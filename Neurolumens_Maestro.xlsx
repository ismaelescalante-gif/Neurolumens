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/>
  <mc:AlternateContent xmlns:mc="http://schemas.openxmlformats.org/markup-compatibility/2006">
    <mc:Choice Requires="x15">
      <x15ac:absPath xmlns:x15ac="http://schemas.microsoft.com/office/spreadsheetml/2010/11/ac" url="/Users/rafaelismaelrodriguezescalante/Neurolumens/"/>
    </mc:Choice>
  </mc:AlternateContent>
  <xr:revisionPtr revIDLastSave="0" documentId="13_ncr:1_{B19A5A29-94EC-0342-BE5C-31E737057DF2}" xr6:coauthVersionLast="47" xr6:coauthVersionMax="47" xr10:uidLastSave="{00000000-0000-0000-0000-000000000000}"/>
  <bookViews>
    <workbookView xWindow="0" yWindow="660" windowWidth="29400" windowHeight="18460" activeTab="8" xr2:uid="{00000000-000D-0000-FFFF-FFFF00000000}"/>
  </bookViews>
  <sheets>
    <sheet name="Dashboard" sheetId="1" r:id="rId1"/>
    <sheet name="Configuración" sheetId="2" r:id="rId2"/>
    <sheet name="Estado de Resultados" sheetId="3" r:id="rId3"/>
    <sheet name="Balance General" sheetId="4" r:id="rId4"/>
    <sheet name="Flujo de Efectivo" sheetId="5" r:id="rId5"/>
    <sheet name="KPIs" sheetId="6" r:id="rId6"/>
    <sheet name="Ingresos" sheetId="7" r:id="rId7"/>
    <sheet name="Gastos" sheetId="8" r:id="rId8"/>
    <sheet name="Activos" sheetId="9" r:id="rId9"/>
    <sheet name="Pasivos" sheetId="10" r:id="rId10"/>
    <sheet name="Control" sheetId="11" r:id="rId11"/>
    <sheet name="Instrucciones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1" i="11" l="1"/>
  <c r="M21" i="11"/>
  <c r="L21" i="11"/>
  <c r="K21" i="11"/>
  <c r="J21" i="11"/>
  <c r="I21" i="11"/>
  <c r="H21" i="11"/>
  <c r="G21" i="11"/>
  <c r="F21" i="11"/>
  <c r="E21" i="11"/>
  <c r="D21" i="11"/>
  <c r="C21" i="11"/>
  <c r="C17" i="11"/>
  <c r="N8" i="11"/>
  <c r="M8" i="11"/>
  <c r="L8" i="11"/>
  <c r="K8" i="11"/>
  <c r="J8" i="11"/>
  <c r="I8" i="11"/>
  <c r="H8" i="11"/>
  <c r="G8" i="11"/>
  <c r="F8" i="11"/>
  <c r="E8" i="11"/>
  <c r="D8" i="11"/>
  <c r="C8" i="11"/>
  <c r="N6" i="11"/>
  <c r="M6" i="11"/>
  <c r="L6" i="11"/>
  <c r="K6" i="11"/>
  <c r="J6" i="11"/>
  <c r="I6" i="11"/>
  <c r="H6" i="11"/>
  <c r="G6" i="11"/>
  <c r="F6" i="11"/>
  <c r="E6" i="11"/>
  <c r="D6" i="11"/>
  <c r="C6" i="11"/>
  <c r="I506" i="10"/>
  <c r="I505" i="10"/>
  <c r="I504" i="10"/>
  <c r="I503" i="10"/>
  <c r="I502" i="10"/>
  <c r="I501" i="10"/>
  <c r="I500" i="10"/>
  <c r="I499" i="10"/>
  <c r="I498" i="10"/>
  <c r="I497" i="10"/>
  <c r="I496" i="10"/>
  <c r="I495" i="10"/>
  <c r="I494" i="10"/>
  <c r="I493" i="10"/>
  <c r="I492" i="10"/>
  <c r="I491" i="10"/>
  <c r="I490" i="10"/>
  <c r="I489" i="10"/>
  <c r="I488" i="10"/>
  <c r="I487" i="10"/>
  <c r="I486" i="10"/>
  <c r="I485" i="10"/>
  <c r="I484" i="10"/>
  <c r="I483" i="10"/>
  <c r="I482" i="10"/>
  <c r="I481" i="10"/>
  <c r="I480" i="10"/>
  <c r="I479" i="10"/>
  <c r="I478" i="10"/>
  <c r="I477" i="10"/>
  <c r="I476" i="10"/>
  <c r="I475" i="10"/>
  <c r="I474" i="10"/>
  <c r="I473" i="10"/>
  <c r="I472" i="10"/>
  <c r="I471" i="10"/>
  <c r="I470" i="10"/>
  <c r="I469" i="10"/>
  <c r="I468" i="10"/>
  <c r="I467" i="10"/>
  <c r="I466" i="10"/>
  <c r="I465" i="10"/>
  <c r="I464" i="10"/>
  <c r="I463" i="10"/>
  <c r="I462" i="10"/>
  <c r="I461" i="10"/>
  <c r="I460" i="10"/>
  <c r="I459" i="10"/>
  <c r="I458" i="10"/>
  <c r="I457" i="10"/>
  <c r="I456" i="10"/>
  <c r="I455" i="10"/>
  <c r="I454" i="10"/>
  <c r="I453" i="10"/>
  <c r="I452" i="10"/>
  <c r="I451" i="10"/>
  <c r="I450" i="10"/>
  <c r="I449" i="10"/>
  <c r="I448" i="10"/>
  <c r="I447" i="10"/>
  <c r="I446" i="10"/>
  <c r="I445" i="10"/>
  <c r="I444" i="10"/>
  <c r="I443" i="10"/>
  <c r="I442" i="10"/>
  <c r="I441" i="10"/>
  <c r="I440" i="10"/>
  <c r="I439" i="10"/>
  <c r="I438" i="10"/>
  <c r="I437" i="10"/>
  <c r="I436" i="10"/>
  <c r="I435" i="10"/>
  <c r="I434" i="10"/>
  <c r="I433" i="10"/>
  <c r="I432" i="10"/>
  <c r="I431" i="10"/>
  <c r="I430" i="10"/>
  <c r="I429" i="10"/>
  <c r="I428" i="10"/>
  <c r="I427" i="10"/>
  <c r="I426" i="10"/>
  <c r="I425" i="10"/>
  <c r="I424" i="10"/>
  <c r="I423" i="10"/>
  <c r="I422" i="10"/>
  <c r="I421" i="10"/>
  <c r="I420" i="10"/>
  <c r="I419" i="10"/>
  <c r="I418" i="10"/>
  <c r="I417" i="10"/>
  <c r="I416" i="10"/>
  <c r="I415" i="10"/>
  <c r="I414" i="10"/>
  <c r="I413" i="10"/>
  <c r="I412" i="10"/>
  <c r="I411" i="10"/>
  <c r="I410" i="10"/>
  <c r="I409" i="10"/>
  <c r="I408" i="10"/>
  <c r="I407" i="10"/>
  <c r="I406" i="10"/>
  <c r="I405" i="10"/>
  <c r="I404" i="10"/>
  <c r="I403" i="10"/>
  <c r="I402" i="10"/>
  <c r="I401" i="10"/>
  <c r="I400" i="10"/>
  <c r="I399" i="10"/>
  <c r="I398" i="10"/>
  <c r="I397" i="10"/>
  <c r="I396" i="10"/>
  <c r="I395" i="10"/>
  <c r="I394" i="10"/>
  <c r="I393" i="10"/>
  <c r="I392" i="10"/>
  <c r="I391" i="10"/>
  <c r="I390" i="10"/>
  <c r="I389" i="10"/>
  <c r="I388" i="10"/>
  <c r="I387" i="10"/>
  <c r="I386" i="10"/>
  <c r="I385" i="10"/>
  <c r="I384" i="10"/>
  <c r="I383" i="10"/>
  <c r="I382" i="10"/>
  <c r="I381" i="10"/>
  <c r="I380" i="10"/>
  <c r="I379" i="10"/>
  <c r="I378" i="10"/>
  <c r="I377" i="10"/>
  <c r="I376" i="10"/>
  <c r="I375" i="10"/>
  <c r="I374" i="10"/>
  <c r="I373" i="10"/>
  <c r="I372" i="10"/>
  <c r="I371" i="10"/>
  <c r="I370" i="10"/>
  <c r="I369" i="10"/>
  <c r="I368" i="10"/>
  <c r="I367" i="10"/>
  <c r="I366" i="10"/>
  <c r="I365" i="10"/>
  <c r="I364" i="10"/>
  <c r="I363" i="10"/>
  <c r="I362" i="10"/>
  <c r="I361" i="10"/>
  <c r="I360" i="10"/>
  <c r="I359" i="10"/>
  <c r="I358" i="10"/>
  <c r="I357" i="10"/>
  <c r="I356" i="10"/>
  <c r="I355" i="10"/>
  <c r="I354" i="10"/>
  <c r="I353" i="10"/>
  <c r="I352" i="10"/>
  <c r="I351" i="10"/>
  <c r="I350" i="10"/>
  <c r="I349" i="10"/>
  <c r="I348" i="10"/>
  <c r="I347" i="10"/>
  <c r="I346" i="10"/>
  <c r="I345" i="10"/>
  <c r="I344" i="10"/>
  <c r="I343" i="10"/>
  <c r="I342" i="10"/>
  <c r="I341" i="10"/>
  <c r="I340" i="10"/>
  <c r="I339" i="10"/>
  <c r="I338" i="10"/>
  <c r="I337" i="10"/>
  <c r="I336" i="10"/>
  <c r="I335" i="10"/>
  <c r="I334" i="10"/>
  <c r="I333" i="10"/>
  <c r="I332" i="10"/>
  <c r="I331" i="10"/>
  <c r="I330" i="10"/>
  <c r="I329" i="10"/>
  <c r="I328" i="10"/>
  <c r="I327" i="10"/>
  <c r="I326" i="10"/>
  <c r="I325" i="10"/>
  <c r="I324" i="10"/>
  <c r="I323" i="10"/>
  <c r="I322" i="10"/>
  <c r="I321" i="10"/>
  <c r="I320" i="10"/>
  <c r="I319" i="10"/>
  <c r="I318" i="10"/>
  <c r="I317" i="10"/>
  <c r="I316" i="10"/>
  <c r="I315" i="10"/>
  <c r="I314" i="10"/>
  <c r="I313" i="10"/>
  <c r="I312" i="10"/>
  <c r="I311" i="10"/>
  <c r="I310" i="10"/>
  <c r="I309" i="10"/>
  <c r="I308" i="10"/>
  <c r="I307" i="10"/>
  <c r="I306" i="10"/>
  <c r="I305" i="10"/>
  <c r="I304" i="10"/>
  <c r="I303" i="10"/>
  <c r="I302" i="10"/>
  <c r="I301" i="10"/>
  <c r="I300" i="10"/>
  <c r="I299" i="10"/>
  <c r="I298" i="10"/>
  <c r="I297" i="10"/>
  <c r="I296" i="10"/>
  <c r="I295" i="10"/>
  <c r="I294" i="10"/>
  <c r="I293" i="10"/>
  <c r="I292" i="10"/>
  <c r="I291" i="10"/>
  <c r="I290" i="10"/>
  <c r="I289" i="10"/>
  <c r="I288" i="10"/>
  <c r="I287" i="10"/>
  <c r="I286" i="10"/>
  <c r="I285" i="10"/>
  <c r="I284" i="10"/>
  <c r="I283" i="10"/>
  <c r="I282" i="10"/>
  <c r="I281" i="10"/>
  <c r="I280" i="10"/>
  <c r="I279" i="10"/>
  <c r="I278" i="10"/>
  <c r="I277" i="10"/>
  <c r="I276" i="10"/>
  <c r="I275" i="10"/>
  <c r="I274" i="10"/>
  <c r="I273" i="10"/>
  <c r="I272" i="10"/>
  <c r="I271" i="10"/>
  <c r="I270" i="10"/>
  <c r="I269" i="10"/>
  <c r="I268" i="10"/>
  <c r="I267" i="10"/>
  <c r="I266" i="10"/>
  <c r="I265" i="10"/>
  <c r="I264" i="10"/>
  <c r="I263" i="10"/>
  <c r="I262" i="10"/>
  <c r="I261" i="10"/>
  <c r="I260" i="10"/>
  <c r="I259" i="10"/>
  <c r="I258" i="10"/>
  <c r="I257" i="10"/>
  <c r="I256" i="10"/>
  <c r="I255" i="10"/>
  <c r="I254" i="10"/>
  <c r="I253" i="10"/>
  <c r="I252" i="10"/>
  <c r="I251" i="10"/>
  <c r="I250" i="10"/>
  <c r="I249" i="10"/>
  <c r="I248" i="10"/>
  <c r="I247" i="10"/>
  <c r="I246" i="10"/>
  <c r="I245" i="10"/>
  <c r="I244" i="10"/>
  <c r="I243" i="10"/>
  <c r="I242" i="10"/>
  <c r="I241" i="10"/>
  <c r="I240" i="10"/>
  <c r="I239" i="10"/>
  <c r="I238" i="10"/>
  <c r="I237" i="10"/>
  <c r="I236" i="10"/>
  <c r="I235" i="10"/>
  <c r="I234" i="10"/>
  <c r="I233" i="10"/>
  <c r="I232" i="10"/>
  <c r="I231" i="10"/>
  <c r="I230" i="10"/>
  <c r="I229" i="10"/>
  <c r="I228" i="10"/>
  <c r="I227" i="10"/>
  <c r="I226" i="10"/>
  <c r="I225" i="10"/>
  <c r="I224" i="10"/>
  <c r="I223" i="10"/>
  <c r="I222" i="10"/>
  <c r="I221" i="10"/>
  <c r="I220" i="10"/>
  <c r="I219" i="10"/>
  <c r="I218" i="10"/>
  <c r="I217" i="10"/>
  <c r="I216" i="10"/>
  <c r="I215" i="10"/>
  <c r="I214" i="10"/>
  <c r="I213" i="10"/>
  <c r="I212" i="10"/>
  <c r="I211" i="10"/>
  <c r="I210" i="10"/>
  <c r="I209" i="10"/>
  <c r="I208" i="10"/>
  <c r="I207" i="10"/>
  <c r="I206" i="10"/>
  <c r="I205" i="10"/>
  <c r="I204" i="10"/>
  <c r="I203" i="10"/>
  <c r="I202" i="10"/>
  <c r="I201" i="10"/>
  <c r="I200" i="10"/>
  <c r="I199" i="10"/>
  <c r="I198" i="10"/>
  <c r="I197" i="10"/>
  <c r="I196" i="10"/>
  <c r="I195" i="10"/>
  <c r="I194" i="10"/>
  <c r="I193" i="10"/>
  <c r="I192" i="10"/>
  <c r="I191" i="10"/>
  <c r="I190" i="10"/>
  <c r="I189" i="10"/>
  <c r="I188" i="10"/>
  <c r="I187" i="10"/>
  <c r="I186" i="10"/>
  <c r="I185" i="10"/>
  <c r="I184" i="10"/>
  <c r="I183" i="10"/>
  <c r="I182" i="10"/>
  <c r="I181" i="10"/>
  <c r="I180" i="10"/>
  <c r="I179" i="10"/>
  <c r="I178" i="10"/>
  <c r="I177" i="10"/>
  <c r="I176" i="10"/>
  <c r="I175" i="10"/>
  <c r="I174" i="10"/>
  <c r="I173" i="10"/>
  <c r="I172" i="10"/>
  <c r="I171" i="10"/>
  <c r="I170" i="10"/>
  <c r="I169" i="10"/>
  <c r="I168" i="10"/>
  <c r="I167" i="10"/>
  <c r="I166" i="10"/>
  <c r="I165" i="10"/>
  <c r="I164" i="10"/>
  <c r="I163" i="10"/>
  <c r="I162" i="10"/>
  <c r="I161" i="10"/>
  <c r="I160" i="10"/>
  <c r="I159" i="10"/>
  <c r="I158" i="10"/>
  <c r="I157" i="10"/>
  <c r="I156" i="10"/>
  <c r="I155" i="10"/>
  <c r="I154" i="10"/>
  <c r="I153" i="10"/>
  <c r="I152" i="10"/>
  <c r="I151" i="10"/>
  <c r="I150" i="10"/>
  <c r="I149" i="10"/>
  <c r="I148" i="10"/>
  <c r="I147" i="10"/>
  <c r="I146" i="10"/>
  <c r="I145" i="10"/>
  <c r="I144" i="10"/>
  <c r="I143" i="10"/>
  <c r="I142" i="10"/>
  <c r="I141" i="10"/>
  <c r="I140" i="10"/>
  <c r="I139" i="10"/>
  <c r="I138" i="10"/>
  <c r="I137" i="10"/>
  <c r="I136" i="10"/>
  <c r="I135" i="10"/>
  <c r="I134" i="10"/>
  <c r="I133" i="10"/>
  <c r="I132" i="10"/>
  <c r="I131" i="10"/>
  <c r="I130" i="10"/>
  <c r="I129" i="10"/>
  <c r="I128" i="10"/>
  <c r="I127" i="10"/>
  <c r="I126" i="10"/>
  <c r="I125" i="10"/>
  <c r="I124" i="10"/>
  <c r="I123" i="10"/>
  <c r="I122" i="10"/>
  <c r="I121" i="10"/>
  <c r="I120" i="10"/>
  <c r="I119" i="10"/>
  <c r="I118" i="10"/>
  <c r="I117" i="10"/>
  <c r="I116" i="10"/>
  <c r="I115" i="10"/>
  <c r="I114" i="10"/>
  <c r="I113" i="10"/>
  <c r="I112" i="10"/>
  <c r="I111" i="10"/>
  <c r="I110" i="10"/>
  <c r="I109" i="10"/>
  <c r="I108" i="10"/>
  <c r="I107" i="10"/>
  <c r="I106" i="10"/>
  <c r="I105" i="10"/>
  <c r="I104" i="10"/>
  <c r="I103" i="10"/>
  <c r="I102" i="10"/>
  <c r="I101" i="10"/>
  <c r="I100" i="10"/>
  <c r="I99" i="10"/>
  <c r="I98" i="10"/>
  <c r="I97" i="10"/>
  <c r="I96" i="10"/>
  <c r="I95" i="10"/>
  <c r="I94" i="10"/>
  <c r="I93" i="10"/>
  <c r="I92" i="10"/>
  <c r="I91" i="10"/>
  <c r="I90" i="10"/>
  <c r="I89" i="10"/>
  <c r="I88" i="10"/>
  <c r="I87" i="10"/>
  <c r="I86" i="10"/>
  <c r="I85" i="10"/>
  <c r="I84" i="10"/>
  <c r="I83" i="10"/>
  <c r="I82" i="10"/>
  <c r="I81" i="10"/>
  <c r="I80" i="10"/>
  <c r="I79" i="10"/>
  <c r="I78" i="10"/>
  <c r="I77" i="10"/>
  <c r="I76" i="10"/>
  <c r="I75" i="10"/>
  <c r="I74" i="10"/>
  <c r="I73" i="10"/>
  <c r="I72" i="10"/>
  <c r="I71" i="10"/>
  <c r="I70" i="10"/>
  <c r="I69" i="10"/>
  <c r="I68" i="10"/>
  <c r="I67" i="10"/>
  <c r="I66" i="10"/>
  <c r="I65" i="10"/>
  <c r="I64" i="10"/>
  <c r="I63" i="10"/>
  <c r="I62" i="10"/>
  <c r="I61" i="10"/>
  <c r="I60" i="10"/>
  <c r="I59" i="10"/>
  <c r="I58" i="10"/>
  <c r="I57" i="10"/>
  <c r="I56" i="10"/>
  <c r="I55" i="10"/>
  <c r="I54" i="10"/>
  <c r="I53" i="10"/>
  <c r="I52" i="10"/>
  <c r="I51" i="10"/>
  <c r="I50" i="10"/>
  <c r="I49" i="10"/>
  <c r="I48" i="10"/>
  <c r="I47" i="10"/>
  <c r="I46" i="10"/>
  <c r="I45" i="10"/>
  <c r="I44" i="10"/>
  <c r="I43" i="10"/>
  <c r="I42" i="10"/>
  <c r="I41" i="10"/>
  <c r="I40" i="10"/>
  <c r="I39" i="10"/>
  <c r="I38" i="10"/>
  <c r="I37" i="10"/>
  <c r="I36" i="10"/>
  <c r="I35" i="10"/>
  <c r="I34" i="10"/>
  <c r="I33" i="10"/>
  <c r="I32" i="10"/>
  <c r="I31" i="10"/>
  <c r="I30" i="10"/>
  <c r="I29" i="10"/>
  <c r="I28" i="10"/>
  <c r="I27" i="10"/>
  <c r="I26" i="10"/>
  <c r="I25" i="10"/>
  <c r="I24" i="10"/>
  <c r="I23" i="10"/>
  <c r="I22" i="10"/>
  <c r="I21" i="10"/>
  <c r="I20" i="10"/>
  <c r="I19" i="10"/>
  <c r="I18" i="10"/>
  <c r="I17" i="10"/>
  <c r="I16" i="10"/>
  <c r="I15" i="10"/>
  <c r="I14" i="10"/>
  <c r="I13" i="10"/>
  <c r="I12" i="10"/>
  <c r="I11" i="10"/>
  <c r="I10" i="10"/>
  <c r="I9" i="10"/>
  <c r="I8" i="10"/>
  <c r="I7" i="10"/>
  <c r="I15" i="11" s="1"/>
  <c r="X106" i="9"/>
  <c r="L106" i="9"/>
  <c r="K106" i="9"/>
  <c r="L105" i="9"/>
  <c r="K105" i="9"/>
  <c r="M104" i="9"/>
  <c r="L104" i="9"/>
  <c r="K104" i="9"/>
  <c r="L103" i="9"/>
  <c r="K103" i="9"/>
  <c r="L102" i="9"/>
  <c r="K102" i="9"/>
  <c r="V101" i="9"/>
  <c r="L101" i="9"/>
  <c r="K101" i="9"/>
  <c r="R100" i="9"/>
  <c r="L100" i="9"/>
  <c r="K100" i="9"/>
  <c r="L99" i="9"/>
  <c r="K99" i="9"/>
  <c r="R98" i="9"/>
  <c r="N98" i="9"/>
  <c r="L98" i="9"/>
  <c r="K98" i="9"/>
  <c r="L97" i="9"/>
  <c r="K97" i="9"/>
  <c r="O96" i="9"/>
  <c r="L96" i="9"/>
  <c r="K96" i="9"/>
  <c r="L95" i="9"/>
  <c r="K95" i="9"/>
  <c r="L94" i="9"/>
  <c r="K94" i="9"/>
  <c r="L93" i="9"/>
  <c r="K93" i="9"/>
  <c r="L92" i="9"/>
  <c r="K92" i="9"/>
  <c r="X91" i="9"/>
  <c r="V91" i="9"/>
  <c r="L91" i="9"/>
  <c r="K91" i="9"/>
  <c r="L90" i="9"/>
  <c r="K90" i="9"/>
  <c r="W89" i="9"/>
  <c r="R89" i="9"/>
  <c r="L89" i="9"/>
  <c r="K89" i="9"/>
  <c r="L88" i="9"/>
  <c r="K88" i="9"/>
  <c r="T87" i="9"/>
  <c r="L87" i="9"/>
  <c r="K87" i="9"/>
  <c r="O86" i="9"/>
  <c r="N86" i="9"/>
  <c r="L86" i="9"/>
  <c r="K86" i="9"/>
  <c r="L85" i="9"/>
  <c r="K85" i="9"/>
  <c r="N84" i="9"/>
  <c r="M84" i="9"/>
  <c r="L84" i="9"/>
  <c r="K84" i="9"/>
  <c r="L83" i="9"/>
  <c r="K83" i="9"/>
  <c r="L82" i="9"/>
  <c r="K82" i="9"/>
  <c r="X81" i="9"/>
  <c r="L81" i="9"/>
  <c r="K81" i="9"/>
  <c r="L80" i="9"/>
  <c r="K80" i="9"/>
  <c r="W79" i="9"/>
  <c r="V79" i="9"/>
  <c r="L79" i="9"/>
  <c r="K79" i="9"/>
  <c r="X78" i="9"/>
  <c r="L78" i="9"/>
  <c r="K78" i="9"/>
  <c r="U77" i="9"/>
  <c r="L77" i="9"/>
  <c r="K77" i="9"/>
  <c r="L76" i="9"/>
  <c r="K76" i="9"/>
  <c r="T75" i="9"/>
  <c r="L75" i="9"/>
  <c r="K75" i="9"/>
  <c r="N74" i="9"/>
  <c r="L74" i="9"/>
  <c r="K74" i="9"/>
  <c r="Q73" i="9"/>
  <c r="L73" i="9"/>
  <c r="K73" i="9"/>
  <c r="N72" i="9"/>
  <c r="L72" i="9"/>
  <c r="K72" i="9"/>
  <c r="O71" i="9"/>
  <c r="L71" i="9"/>
  <c r="K71" i="9"/>
  <c r="L70" i="9"/>
  <c r="K70" i="9"/>
  <c r="X69" i="9"/>
  <c r="M69" i="9"/>
  <c r="L69" i="9"/>
  <c r="K69" i="9"/>
  <c r="L68" i="9"/>
  <c r="K68" i="9"/>
  <c r="L67" i="9"/>
  <c r="K67" i="9"/>
  <c r="X66" i="9"/>
  <c r="T66" i="9"/>
  <c r="L66" i="9"/>
  <c r="K66" i="9"/>
  <c r="L65" i="9"/>
  <c r="K65" i="9"/>
  <c r="V64" i="9"/>
  <c r="L64" i="9"/>
  <c r="K64" i="9"/>
  <c r="R63" i="9"/>
  <c r="L63" i="9"/>
  <c r="K63" i="9"/>
  <c r="L62" i="9"/>
  <c r="K62" i="9"/>
  <c r="R61" i="9"/>
  <c r="O61" i="9"/>
  <c r="N61" i="9"/>
  <c r="L61" i="9"/>
  <c r="K61" i="9"/>
  <c r="N60" i="9"/>
  <c r="L60" i="9"/>
  <c r="K60" i="9"/>
  <c r="L59" i="9"/>
  <c r="K59" i="9"/>
  <c r="R58" i="9"/>
  <c r="L58" i="9"/>
  <c r="K58" i="9"/>
  <c r="X57" i="9"/>
  <c r="N57" i="9"/>
  <c r="M57" i="9"/>
  <c r="L57" i="9"/>
  <c r="K57" i="9"/>
  <c r="Q56" i="9"/>
  <c r="L56" i="9"/>
  <c r="K56" i="9"/>
  <c r="U55" i="9"/>
  <c r="R55" i="9"/>
  <c r="L55" i="9"/>
  <c r="K55" i="9"/>
  <c r="X54" i="9"/>
  <c r="W54" i="9"/>
  <c r="U54" i="9"/>
  <c r="N54" i="9"/>
  <c r="M54" i="9"/>
  <c r="L54" i="9"/>
  <c r="K54" i="9"/>
  <c r="W53" i="9"/>
  <c r="O53" i="9"/>
  <c r="N53" i="9"/>
  <c r="L53" i="9"/>
  <c r="K53" i="9"/>
  <c r="L52" i="9"/>
  <c r="K52" i="9"/>
  <c r="X51" i="9"/>
  <c r="M51" i="9"/>
  <c r="L51" i="9"/>
  <c r="K51" i="9"/>
  <c r="X50" i="9"/>
  <c r="V50" i="9"/>
  <c r="N50" i="9"/>
  <c r="L50" i="9"/>
  <c r="K50" i="9"/>
  <c r="X49" i="9"/>
  <c r="L49" i="9"/>
  <c r="K49" i="9"/>
  <c r="T48" i="9"/>
  <c r="Q48" i="9"/>
  <c r="L48" i="9"/>
  <c r="K48" i="9"/>
  <c r="X47" i="9"/>
  <c r="W47" i="9"/>
  <c r="U47" i="9"/>
  <c r="N47" i="9"/>
  <c r="M47" i="9"/>
  <c r="L47" i="9"/>
  <c r="K47" i="9"/>
  <c r="W46" i="9"/>
  <c r="O46" i="9"/>
  <c r="N46" i="9"/>
  <c r="M46" i="9"/>
  <c r="L46" i="9"/>
  <c r="K46" i="9"/>
  <c r="O45" i="9"/>
  <c r="L45" i="9"/>
  <c r="K45" i="9"/>
  <c r="W44" i="9"/>
  <c r="L44" i="9"/>
  <c r="K44" i="9"/>
  <c r="X43" i="9"/>
  <c r="W43" i="9"/>
  <c r="V43" i="9"/>
  <c r="M43" i="9"/>
  <c r="L43" i="9"/>
  <c r="K43" i="9"/>
  <c r="X42" i="9"/>
  <c r="Q42" i="9"/>
  <c r="L42" i="9"/>
  <c r="K42" i="9"/>
  <c r="U41" i="9"/>
  <c r="Q41" i="9"/>
  <c r="L41" i="9"/>
  <c r="K41" i="9"/>
  <c r="X40" i="9"/>
  <c r="W40" i="9"/>
  <c r="U40" i="9"/>
  <c r="O40" i="9"/>
  <c r="N40" i="9"/>
  <c r="L40" i="9"/>
  <c r="K40" i="9"/>
  <c r="X39" i="9"/>
  <c r="Q39" i="9"/>
  <c r="O39" i="9"/>
  <c r="N39" i="9"/>
  <c r="L39" i="9"/>
  <c r="K39" i="9"/>
  <c r="M38" i="9"/>
  <c r="L38" i="9"/>
  <c r="K38" i="9"/>
  <c r="O37" i="9"/>
  <c r="N37" i="9"/>
  <c r="M37" i="9"/>
  <c r="L37" i="9"/>
  <c r="K37" i="9"/>
  <c r="L36" i="9"/>
  <c r="K36" i="9"/>
  <c r="X35" i="9"/>
  <c r="O35" i="9"/>
  <c r="N35" i="9"/>
  <c r="M35" i="9"/>
  <c r="L35" i="9"/>
  <c r="K35" i="9"/>
  <c r="X34" i="9"/>
  <c r="O34" i="9"/>
  <c r="N34" i="9"/>
  <c r="L34" i="9"/>
  <c r="K34" i="9"/>
  <c r="W33" i="9"/>
  <c r="V33" i="9"/>
  <c r="M33" i="9"/>
  <c r="L33" i="9"/>
  <c r="K33" i="9"/>
  <c r="X32" i="9"/>
  <c r="W32" i="9"/>
  <c r="V32" i="9"/>
  <c r="N32" i="9"/>
  <c r="M32" i="9"/>
  <c r="L32" i="9"/>
  <c r="K32" i="9"/>
  <c r="S31" i="9"/>
  <c r="L31" i="9"/>
  <c r="K31" i="9"/>
  <c r="X30" i="9"/>
  <c r="W30" i="9"/>
  <c r="T30" i="9"/>
  <c r="L30" i="9"/>
  <c r="K30" i="9"/>
  <c r="X29" i="9"/>
  <c r="S29" i="9"/>
  <c r="P29" i="9"/>
  <c r="L29" i="9"/>
  <c r="K29" i="9"/>
  <c r="W28" i="9"/>
  <c r="U28" i="9"/>
  <c r="R28" i="9"/>
  <c r="L28" i="9"/>
  <c r="K28" i="9"/>
  <c r="X27" i="9"/>
  <c r="W27" i="9"/>
  <c r="Q27" i="9"/>
  <c r="O27" i="9"/>
  <c r="N27" i="9"/>
  <c r="L27" i="9"/>
  <c r="K27" i="9"/>
  <c r="R26" i="9"/>
  <c r="Q26" i="9"/>
  <c r="L26" i="9"/>
  <c r="K26" i="9"/>
  <c r="O25" i="9"/>
  <c r="N25" i="9"/>
  <c r="M25" i="9"/>
  <c r="L25" i="9"/>
  <c r="K25" i="9"/>
  <c r="Q24" i="9"/>
  <c r="O24" i="9"/>
  <c r="N24" i="9"/>
  <c r="M24" i="9"/>
  <c r="L24" i="9"/>
  <c r="K24" i="9"/>
  <c r="R23" i="9"/>
  <c r="Q23" i="9"/>
  <c r="M23" i="9"/>
  <c r="L23" i="9"/>
  <c r="K23" i="9"/>
  <c r="Q22" i="9"/>
  <c r="O22" i="9"/>
  <c r="N22" i="9"/>
  <c r="M22" i="9"/>
  <c r="L22" i="9"/>
  <c r="K22" i="9"/>
  <c r="Q21" i="9"/>
  <c r="O21" i="9"/>
  <c r="L21" i="9"/>
  <c r="K21" i="9"/>
  <c r="O20" i="9"/>
  <c r="N20" i="9"/>
  <c r="M20" i="9"/>
  <c r="L20" i="9"/>
  <c r="K20" i="9"/>
  <c r="W19" i="9"/>
  <c r="Q19" i="9"/>
  <c r="O19" i="9"/>
  <c r="N19" i="9"/>
  <c r="L19" i="9"/>
  <c r="K19" i="9"/>
  <c r="W18" i="9"/>
  <c r="T18" i="9"/>
  <c r="Q18" i="9"/>
  <c r="L18" i="9"/>
  <c r="K18" i="9"/>
  <c r="X17" i="9"/>
  <c r="W17" i="9"/>
  <c r="U17" i="9"/>
  <c r="Q17" i="9"/>
  <c r="O17" i="9"/>
  <c r="L17" i="9"/>
  <c r="K17" i="9"/>
  <c r="S16" i="9"/>
  <c r="L16" i="9"/>
  <c r="K16" i="9"/>
  <c r="X15" i="9"/>
  <c r="W15" i="9"/>
  <c r="U15" i="9"/>
  <c r="O15" i="9"/>
  <c r="L15" i="9"/>
  <c r="K15" i="9"/>
  <c r="X14" i="9"/>
  <c r="W14" i="9"/>
  <c r="L14" i="9"/>
  <c r="K14" i="9"/>
  <c r="W13" i="9"/>
  <c r="V13" i="9"/>
  <c r="O13" i="9"/>
  <c r="N13" i="9"/>
  <c r="M13" i="9"/>
  <c r="L13" i="9"/>
  <c r="K13" i="9"/>
  <c r="X12" i="9"/>
  <c r="W12" i="9"/>
  <c r="V12" i="9"/>
  <c r="Q12" i="9"/>
  <c r="O12" i="9"/>
  <c r="N12" i="9"/>
  <c r="M12" i="9"/>
  <c r="L12" i="9"/>
  <c r="K12" i="9"/>
  <c r="L11" i="9"/>
  <c r="K11" i="9"/>
  <c r="X10" i="9"/>
  <c r="W10" i="9"/>
  <c r="V10" i="9"/>
  <c r="T10" i="9"/>
  <c r="O10" i="9"/>
  <c r="N10" i="9"/>
  <c r="M10" i="9"/>
  <c r="L10" i="9"/>
  <c r="K10" i="9"/>
  <c r="X9" i="9"/>
  <c r="Q9" i="9"/>
  <c r="O9" i="9"/>
  <c r="N9" i="9"/>
  <c r="L9" i="9"/>
  <c r="K9" i="9"/>
  <c r="X8" i="9"/>
  <c r="W8" i="9"/>
  <c r="V8" i="9"/>
  <c r="U8" i="9"/>
  <c r="T8" i="9"/>
  <c r="R8" i="9"/>
  <c r="O8" i="9"/>
  <c r="N8" i="9"/>
  <c r="M8" i="9"/>
  <c r="L8" i="9"/>
  <c r="K8" i="9"/>
  <c r="X7" i="9"/>
  <c r="W7" i="9"/>
  <c r="V7" i="9"/>
  <c r="Q7" i="9"/>
  <c r="O7" i="9"/>
  <c r="N7" i="9"/>
  <c r="M7" i="9"/>
  <c r="L7" i="9"/>
  <c r="K7" i="9"/>
  <c r="X5" i="9"/>
  <c r="X65" i="9" s="1"/>
  <c r="W5" i="9"/>
  <c r="W64" i="9" s="1"/>
  <c r="V5" i="9"/>
  <c r="V67" i="9" s="1"/>
  <c r="U5" i="9"/>
  <c r="U18" i="9" s="1"/>
  <c r="T5" i="9"/>
  <c r="T91" i="9" s="1"/>
  <c r="S5" i="9"/>
  <c r="S13" i="9" s="1"/>
  <c r="R5" i="9"/>
  <c r="R75" i="9" s="1"/>
  <c r="Q5" i="9"/>
  <c r="P5" i="9"/>
  <c r="O5" i="9"/>
  <c r="O56" i="9" s="1"/>
  <c r="N5" i="9"/>
  <c r="N103" i="9" s="1"/>
  <c r="M5" i="9"/>
  <c r="M94" i="9" s="1"/>
  <c r="L2006" i="8"/>
  <c r="K2006" i="8"/>
  <c r="L2005" i="8"/>
  <c r="K2005" i="8"/>
  <c r="L2004" i="8"/>
  <c r="K2004" i="8"/>
  <c r="L2003" i="8"/>
  <c r="K2003" i="8"/>
  <c r="L2002" i="8"/>
  <c r="K2002" i="8"/>
  <c r="L2001" i="8"/>
  <c r="K2001" i="8"/>
  <c r="L2000" i="8"/>
  <c r="K2000" i="8"/>
  <c r="L1999" i="8"/>
  <c r="K1999" i="8"/>
  <c r="L1998" i="8"/>
  <c r="K1998" i="8"/>
  <c r="L1997" i="8"/>
  <c r="K1997" i="8"/>
  <c r="L1996" i="8"/>
  <c r="K1996" i="8"/>
  <c r="L1995" i="8"/>
  <c r="K1995" i="8"/>
  <c r="L1994" i="8"/>
  <c r="K1994" i="8"/>
  <c r="L1993" i="8"/>
  <c r="K1993" i="8"/>
  <c r="L1992" i="8"/>
  <c r="K1992" i="8"/>
  <c r="L1991" i="8"/>
  <c r="K1991" i="8"/>
  <c r="L1990" i="8"/>
  <c r="K1990" i="8"/>
  <c r="L1989" i="8"/>
  <c r="K1989" i="8"/>
  <c r="L1988" i="8"/>
  <c r="K1988" i="8"/>
  <c r="L1987" i="8"/>
  <c r="K1987" i="8"/>
  <c r="L1986" i="8"/>
  <c r="K1986" i="8"/>
  <c r="L1985" i="8"/>
  <c r="K1985" i="8"/>
  <c r="L1984" i="8"/>
  <c r="K1984" i="8"/>
  <c r="L1983" i="8"/>
  <c r="K1983" i="8"/>
  <c r="L1982" i="8"/>
  <c r="K1982" i="8"/>
  <c r="L1981" i="8"/>
  <c r="K1981" i="8"/>
  <c r="L1980" i="8"/>
  <c r="K1980" i="8"/>
  <c r="L1979" i="8"/>
  <c r="K1979" i="8"/>
  <c r="L1978" i="8"/>
  <c r="K1978" i="8"/>
  <c r="L1977" i="8"/>
  <c r="K1977" i="8"/>
  <c r="L1976" i="8"/>
  <c r="K1976" i="8"/>
  <c r="L1975" i="8"/>
  <c r="K1975" i="8"/>
  <c r="L1974" i="8"/>
  <c r="K1974" i="8"/>
  <c r="L1973" i="8"/>
  <c r="K1973" i="8"/>
  <c r="L1972" i="8"/>
  <c r="K1972" i="8"/>
  <c r="L1971" i="8"/>
  <c r="K1971" i="8"/>
  <c r="L1970" i="8"/>
  <c r="K1970" i="8"/>
  <c r="L1969" i="8"/>
  <c r="K1969" i="8"/>
  <c r="L1968" i="8"/>
  <c r="K1968" i="8"/>
  <c r="L1967" i="8"/>
  <c r="K1967" i="8"/>
  <c r="L1966" i="8"/>
  <c r="K1966" i="8"/>
  <c r="L1965" i="8"/>
  <c r="K1965" i="8"/>
  <c r="L1964" i="8"/>
  <c r="K1964" i="8"/>
  <c r="L1963" i="8"/>
  <c r="K1963" i="8"/>
  <c r="L1962" i="8"/>
  <c r="K1962" i="8"/>
  <c r="L1961" i="8"/>
  <c r="K1961" i="8"/>
  <c r="L1960" i="8"/>
  <c r="K1960" i="8"/>
  <c r="L1959" i="8"/>
  <c r="K1959" i="8"/>
  <c r="L1958" i="8"/>
  <c r="K1958" i="8"/>
  <c r="L1957" i="8"/>
  <c r="K1957" i="8"/>
  <c r="L1956" i="8"/>
  <c r="K1956" i="8"/>
  <c r="L1955" i="8"/>
  <c r="K1955" i="8"/>
  <c r="L1954" i="8"/>
  <c r="K1954" i="8"/>
  <c r="L1953" i="8"/>
  <c r="K1953" i="8"/>
  <c r="L1952" i="8"/>
  <c r="K1952" i="8"/>
  <c r="L1951" i="8"/>
  <c r="K1951" i="8"/>
  <c r="L1950" i="8"/>
  <c r="K1950" i="8"/>
  <c r="L1949" i="8"/>
  <c r="K1949" i="8"/>
  <c r="L1948" i="8"/>
  <c r="K1948" i="8"/>
  <c r="L1947" i="8"/>
  <c r="K1947" i="8"/>
  <c r="L1946" i="8"/>
  <c r="K1946" i="8"/>
  <c r="L1945" i="8"/>
  <c r="K1945" i="8"/>
  <c r="L1944" i="8"/>
  <c r="K1944" i="8"/>
  <c r="L1943" i="8"/>
  <c r="K1943" i="8"/>
  <c r="L1942" i="8"/>
  <c r="K1942" i="8"/>
  <c r="L1941" i="8"/>
  <c r="K1941" i="8"/>
  <c r="L1940" i="8"/>
  <c r="K1940" i="8"/>
  <c r="L1939" i="8"/>
  <c r="K1939" i="8"/>
  <c r="L1938" i="8"/>
  <c r="K1938" i="8"/>
  <c r="L1937" i="8"/>
  <c r="K1937" i="8"/>
  <c r="L1936" i="8"/>
  <c r="K1936" i="8"/>
  <c r="L1935" i="8"/>
  <c r="K1935" i="8"/>
  <c r="L1934" i="8"/>
  <c r="K1934" i="8"/>
  <c r="L1933" i="8"/>
  <c r="K1933" i="8"/>
  <c r="L1932" i="8"/>
  <c r="K1932" i="8"/>
  <c r="L1931" i="8"/>
  <c r="K1931" i="8"/>
  <c r="L1930" i="8"/>
  <c r="K1930" i="8"/>
  <c r="L1929" i="8"/>
  <c r="K1929" i="8"/>
  <c r="L1928" i="8"/>
  <c r="K1928" i="8"/>
  <c r="L1927" i="8"/>
  <c r="K1927" i="8"/>
  <c r="L1926" i="8"/>
  <c r="K1926" i="8"/>
  <c r="L1925" i="8"/>
  <c r="K1925" i="8"/>
  <c r="L1924" i="8"/>
  <c r="K1924" i="8"/>
  <c r="L1923" i="8"/>
  <c r="K1923" i="8"/>
  <c r="L1922" i="8"/>
  <c r="K1922" i="8"/>
  <c r="L1921" i="8"/>
  <c r="K1921" i="8"/>
  <c r="L1920" i="8"/>
  <c r="K1920" i="8"/>
  <c r="L1919" i="8"/>
  <c r="K1919" i="8"/>
  <c r="L1918" i="8"/>
  <c r="K1918" i="8"/>
  <c r="L1917" i="8"/>
  <c r="K1917" i="8"/>
  <c r="L1916" i="8"/>
  <c r="K1916" i="8"/>
  <c r="L1915" i="8"/>
  <c r="K1915" i="8"/>
  <c r="L1914" i="8"/>
  <c r="K1914" i="8"/>
  <c r="L1913" i="8"/>
  <c r="K1913" i="8"/>
  <c r="L1912" i="8"/>
  <c r="K1912" i="8"/>
  <c r="L1911" i="8"/>
  <c r="K1911" i="8"/>
  <c r="L1910" i="8"/>
  <c r="K1910" i="8"/>
  <c r="L1909" i="8"/>
  <c r="K1909" i="8"/>
  <c r="L1908" i="8"/>
  <c r="K1908" i="8"/>
  <c r="L1907" i="8"/>
  <c r="K1907" i="8"/>
  <c r="L1906" i="8"/>
  <c r="K1906" i="8"/>
  <c r="L1905" i="8"/>
  <c r="K1905" i="8"/>
  <c r="L1904" i="8"/>
  <c r="K1904" i="8"/>
  <c r="L1903" i="8"/>
  <c r="K1903" i="8"/>
  <c r="L1902" i="8"/>
  <c r="K1902" i="8"/>
  <c r="L1901" i="8"/>
  <c r="K1901" i="8"/>
  <c r="L1900" i="8"/>
  <c r="K1900" i="8"/>
  <c r="L1899" i="8"/>
  <c r="K1899" i="8"/>
  <c r="L1898" i="8"/>
  <c r="K1898" i="8"/>
  <c r="L1897" i="8"/>
  <c r="K1897" i="8"/>
  <c r="L1896" i="8"/>
  <c r="K1896" i="8"/>
  <c r="L1895" i="8"/>
  <c r="K1895" i="8"/>
  <c r="L1894" i="8"/>
  <c r="K1894" i="8"/>
  <c r="L1893" i="8"/>
  <c r="K1893" i="8"/>
  <c r="L1892" i="8"/>
  <c r="K1892" i="8"/>
  <c r="L1891" i="8"/>
  <c r="K1891" i="8"/>
  <c r="L1890" i="8"/>
  <c r="K1890" i="8"/>
  <c r="L1889" i="8"/>
  <c r="K1889" i="8"/>
  <c r="L1888" i="8"/>
  <c r="K1888" i="8"/>
  <c r="L1887" i="8"/>
  <c r="K1887" i="8"/>
  <c r="L1886" i="8"/>
  <c r="K1886" i="8"/>
  <c r="L1885" i="8"/>
  <c r="K1885" i="8"/>
  <c r="L1884" i="8"/>
  <c r="K1884" i="8"/>
  <c r="L1883" i="8"/>
  <c r="K1883" i="8"/>
  <c r="L1882" i="8"/>
  <c r="K1882" i="8"/>
  <c r="L1881" i="8"/>
  <c r="K1881" i="8"/>
  <c r="L1880" i="8"/>
  <c r="K1880" i="8"/>
  <c r="L1879" i="8"/>
  <c r="K1879" i="8"/>
  <c r="L1878" i="8"/>
  <c r="K1878" i="8"/>
  <c r="L1877" i="8"/>
  <c r="K1877" i="8"/>
  <c r="L1876" i="8"/>
  <c r="K1876" i="8"/>
  <c r="L1875" i="8"/>
  <c r="K1875" i="8"/>
  <c r="L1874" i="8"/>
  <c r="K1874" i="8"/>
  <c r="L1873" i="8"/>
  <c r="K1873" i="8"/>
  <c r="L1872" i="8"/>
  <c r="K1872" i="8"/>
  <c r="L1871" i="8"/>
  <c r="K1871" i="8"/>
  <c r="L1870" i="8"/>
  <c r="K1870" i="8"/>
  <c r="L1869" i="8"/>
  <c r="K1869" i="8"/>
  <c r="L1868" i="8"/>
  <c r="K1868" i="8"/>
  <c r="L1867" i="8"/>
  <c r="K1867" i="8"/>
  <c r="L1866" i="8"/>
  <c r="K1866" i="8"/>
  <c r="L1865" i="8"/>
  <c r="K1865" i="8"/>
  <c r="L1864" i="8"/>
  <c r="K1864" i="8"/>
  <c r="L1863" i="8"/>
  <c r="K1863" i="8"/>
  <c r="L1862" i="8"/>
  <c r="K1862" i="8"/>
  <c r="L1861" i="8"/>
  <c r="K1861" i="8"/>
  <c r="L1860" i="8"/>
  <c r="K1860" i="8"/>
  <c r="L1859" i="8"/>
  <c r="K1859" i="8"/>
  <c r="L1858" i="8"/>
  <c r="K1858" i="8"/>
  <c r="L1857" i="8"/>
  <c r="K1857" i="8"/>
  <c r="L1856" i="8"/>
  <c r="K1856" i="8"/>
  <c r="L1855" i="8"/>
  <c r="K1855" i="8"/>
  <c r="L1854" i="8"/>
  <c r="K1854" i="8"/>
  <c r="L1853" i="8"/>
  <c r="K1853" i="8"/>
  <c r="L1852" i="8"/>
  <c r="K1852" i="8"/>
  <c r="L1851" i="8"/>
  <c r="K1851" i="8"/>
  <c r="L1850" i="8"/>
  <c r="K1850" i="8"/>
  <c r="L1849" i="8"/>
  <c r="K1849" i="8"/>
  <c r="L1848" i="8"/>
  <c r="K1848" i="8"/>
  <c r="L1847" i="8"/>
  <c r="K1847" i="8"/>
  <c r="L1846" i="8"/>
  <c r="K1846" i="8"/>
  <c r="L1845" i="8"/>
  <c r="K1845" i="8"/>
  <c r="L1844" i="8"/>
  <c r="K1844" i="8"/>
  <c r="L1843" i="8"/>
  <c r="K1843" i="8"/>
  <c r="L1842" i="8"/>
  <c r="K1842" i="8"/>
  <c r="L1841" i="8"/>
  <c r="K1841" i="8"/>
  <c r="L1840" i="8"/>
  <c r="K1840" i="8"/>
  <c r="L1839" i="8"/>
  <c r="K1839" i="8"/>
  <c r="L1838" i="8"/>
  <c r="K1838" i="8"/>
  <c r="L1837" i="8"/>
  <c r="K1837" i="8"/>
  <c r="L1836" i="8"/>
  <c r="K1836" i="8"/>
  <c r="L1835" i="8"/>
  <c r="K1835" i="8"/>
  <c r="L1834" i="8"/>
  <c r="K1834" i="8"/>
  <c r="L1833" i="8"/>
  <c r="K1833" i="8"/>
  <c r="L1832" i="8"/>
  <c r="K1832" i="8"/>
  <c r="L1831" i="8"/>
  <c r="K1831" i="8"/>
  <c r="L1830" i="8"/>
  <c r="K1830" i="8"/>
  <c r="L1829" i="8"/>
  <c r="K1829" i="8"/>
  <c r="L1828" i="8"/>
  <c r="K1828" i="8"/>
  <c r="L1827" i="8"/>
  <c r="K1827" i="8"/>
  <c r="L1826" i="8"/>
  <c r="K1826" i="8"/>
  <c r="L1825" i="8"/>
  <c r="K1825" i="8"/>
  <c r="L1824" i="8"/>
  <c r="K1824" i="8"/>
  <c r="L1823" i="8"/>
  <c r="K1823" i="8"/>
  <c r="L1822" i="8"/>
  <c r="K1822" i="8"/>
  <c r="L1821" i="8"/>
  <c r="K1821" i="8"/>
  <c r="L1820" i="8"/>
  <c r="K1820" i="8"/>
  <c r="L1819" i="8"/>
  <c r="K1819" i="8"/>
  <c r="L1818" i="8"/>
  <c r="K1818" i="8"/>
  <c r="L1817" i="8"/>
  <c r="K1817" i="8"/>
  <c r="L1816" i="8"/>
  <c r="K1816" i="8"/>
  <c r="L1815" i="8"/>
  <c r="K1815" i="8"/>
  <c r="L1814" i="8"/>
  <c r="K1814" i="8"/>
  <c r="L1813" i="8"/>
  <c r="K1813" i="8"/>
  <c r="L1812" i="8"/>
  <c r="K1812" i="8"/>
  <c r="L1811" i="8"/>
  <c r="K1811" i="8"/>
  <c r="L1810" i="8"/>
  <c r="K1810" i="8"/>
  <c r="L1809" i="8"/>
  <c r="K1809" i="8"/>
  <c r="L1808" i="8"/>
  <c r="K1808" i="8"/>
  <c r="L1807" i="8"/>
  <c r="K1807" i="8"/>
  <c r="L1806" i="8"/>
  <c r="K1806" i="8"/>
  <c r="L1805" i="8"/>
  <c r="K1805" i="8"/>
  <c r="L1804" i="8"/>
  <c r="K1804" i="8"/>
  <c r="L1803" i="8"/>
  <c r="K1803" i="8"/>
  <c r="L1802" i="8"/>
  <c r="K1802" i="8"/>
  <c r="L1801" i="8"/>
  <c r="K1801" i="8"/>
  <c r="L1800" i="8"/>
  <c r="K1800" i="8"/>
  <c r="L1799" i="8"/>
  <c r="K1799" i="8"/>
  <c r="L1798" i="8"/>
  <c r="K1798" i="8"/>
  <c r="L1797" i="8"/>
  <c r="K1797" i="8"/>
  <c r="L1796" i="8"/>
  <c r="K1796" i="8"/>
  <c r="L1795" i="8"/>
  <c r="K1795" i="8"/>
  <c r="L1794" i="8"/>
  <c r="K1794" i="8"/>
  <c r="L1793" i="8"/>
  <c r="K1793" i="8"/>
  <c r="L1792" i="8"/>
  <c r="K1792" i="8"/>
  <c r="L1791" i="8"/>
  <c r="K1791" i="8"/>
  <c r="L1790" i="8"/>
  <c r="K1790" i="8"/>
  <c r="L1789" i="8"/>
  <c r="K1789" i="8"/>
  <c r="L1788" i="8"/>
  <c r="K1788" i="8"/>
  <c r="L1787" i="8"/>
  <c r="K1787" i="8"/>
  <c r="L1786" i="8"/>
  <c r="K1786" i="8"/>
  <c r="L1785" i="8"/>
  <c r="K1785" i="8"/>
  <c r="L1784" i="8"/>
  <c r="K1784" i="8"/>
  <c r="L1783" i="8"/>
  <c r="K1783" i="8"/>
  <c r="L1782" i="8"/>
  <c r="K1782" i="8"/>
  <c r="L1781" i="8"/>
  <c r="K1781" i="8"/>
  <c r="L1780" i="8"/>
  <c r="K1780" i="8"/>
  <c r="L1779" i="8"/>
  <c r="K1779" i="8"/>
  <c r="L1778" i="8"/>
  <c r="K1778" i="8"/>
  <c r="L1777" i="8"/>
  <c r="K1777" i="8"/>
  <c r="L1776" i="8"/>
  <c r="K1776" i="8"/>
  <c r="L1775" i="8"/>
  <c r="K1775" i="8"/>
  <c r="L1774" i="8"/>
  <c r="K1774" i="8"/>
  <c r="L1773" i="8"/>
  <c r="K1773" i="8"/>
  <c r="L1772" i="8"/>
  <c r="K1772" i="8"/>
  <c r="L1771" i="8"/>
  <c r="K1771" i="8"/>
  <c r="L1770" i="8"/>
  <c r="K1770" i="8"/>
  <c r="L1769" i="8"/>
  <c r="K1769" i="8"/>
  <c r="L1768" i="8"/>
  <c r="K1768" i="8"/>
  <c r="L1767" i="8"/>
  <c r="K1767" i="8"/>
  <c r="L1766" i="8"/>
  <c r="K1766" i="8"/>
  <c r="L1765" i="8"/>
  <c r="K1765" i="8"/>
  <c r="L1764" i="8"/>
  <c r="K1764" i="8"/>
  <c r="L1763" i="8"/>
  <c r="K1763" i="8"/>
  <c r="L1762" i="8"/>
  <c r="K1762" i="8"/>
  <c r="L1761" i="8"/>
  <c r="K1761" i="8"/>
  <c r="L1760" i="8"/>
  <c r="K1760" i="8"/>
  <c r="L1759" i="8"/>
  <c r="K1759" i="8"/>
  <c r="L1758" i="8"/>
  <c r="K1758" i="8"/>
  <c r="L1757" i="8"/>
  <c r="K1757" i="8"/>
  <c r="L1756" i="8"/>
  <c r="K1756" i="8"/>
  <c r="L1755" i="8"/>
  <c r="K1755" i="8"/>
  <c r="L1754" i="8"/>
  <c r="K1754" i="8"/>
  <c r="L1753" i="8"/>
  <c r="K1753" i="8"/>
  <c r="L1752" i="8"/>
  <c r="K1752" i="8"/>
  <c r="L1751" i="8"/>
  <c r="K1751" i="8"/>
  <c r="L1750" i="8"/>
  <c r="K1750" i="8"/>
  <c r="L1749" i="8"/>
  <c r="K1749" i="8"/>
  <c r="L1748" i="8"/>
  <c r="K1748" i="8"/>
  <c r="L1747" i="8"/>
  <c r="K1747" i="8"/>
  <c r="L1746" i="8"/>
  <c r="K1746" i="8"/>
  <c r="L1745" i="8"/>
  <c r="K1745" i="8"/>
  <c r="L1744" i="8"/>
  <c r="K1744" i="8"/>
  <c r="L1743" i="8"/>
  <c r="K1743" i="8"/>
  <c r="L1742" i="8"/>
  <c r="K1742" i="8"/>
  <c r="L1741" i="8"/>
  <c r="K1741" i="8"/>
  <c r="L1740" i="8"/>
  <c r="K1740" i="8"/>
  <c r="L1739" i="8"/>
  <c r="K1739" i="8"/>
  <c r="L1738" i="8"/>
  <c r="K1738" i="8"/>
  <c r="L1737" i="8"/>
  <c r="K1737" i="8"/>
  <c r="L1736" i="8"/>
  <c r="K1736" i="8"/>
  <c r="L1735" i="8"/>
  <c r="K1735" i="8"/>
  <c r="L1734" i="8"/>
  <c r="K1734" i="8"/>
  <c r="L1733" i="8"/>
  <c r="K1733" i="8"/>
  <c r="L1732" i="8"/>
  <c r="K1732" i="8"/>
  <c r="L1731" i="8"/>
  <c r="K1731" i="8"/>
  <c r="L1730" i="8"/>
  <c r="K1730" i="8"/>
  <c r="L1729" i="8"/>
  <c r="K1729" i="8"/>
  <c r="L1728" i="8"/>
  <c r="K1728" i="8"/>
  <c r="L1727" i="8"/>
  <c r="K1727" i="8"/>
  <c r="L1726" i="8"/>
  <c r="K1726" i="8"/>
  <c r="L1725" i="8"/>
  <c r="K1725" i="8"/>
  <c r="L1724" i="8"/>
  <c r="K1724" i="8"/>
  <c r="L1723" i="8"/>
  <c r="K1723" i="8"/>
  <c r="L1722" i="8"/>
  <c r="K1722" i="8"/>
  <c r="L1721" i="8"/>
  <c r="K1721" i="8"/>
  <c r="L1720" i="8"/>
  <c r="K1720" i="8"/>
  <c r="L1719" i="8"/>
  <c r="K1719" i="8"/>
  <c r="L1718" i="8"/>
  <c r="K1718" i="8"/>
  <c r="L1717" i="8"/>
  <c r="K1717" i="8"/>
  <c r="L1716" i="8"/>
  <c r="K1716" i="8"/>
  <c r="L1715" i="8"/>
  <c r="K1715" i="8"/>
  <c r="L1714" i="8"/>
  <c r="K1714" i="8"/>
  <c r="L1713" i="8"/>
  <c r="K1713" i="8"/>
  <c r="L1712" i="8"/>
  <c r="K1712" i="8"/>
  <c r="L1711" i="8"/>
  <c r="K1711" i="8"/>
  <c r="L1710" i="8"/>
  <c r="K1710" i="8"/>
  <c r="L1709" i="8"/>
  <c r="K1709" i="8"/>
  <c r="L1708" i="8"/>
  <c r="K1708" i="8"/>
  <c r="L1707" i="8"/>
  <c r="K1707" i="8"/>
  <c r="L1706" i="8"/>
  <c r="K1706" i="8"/>
  <c r="L1705" i="8"/>
  <c r="K1705" i="8"/>
  <c r="L1704" i="8"/>
  <c r="K1704" i="8"/>
  <c r="L1703" i="8"/>
  <c r="K1703" i="8"/>
  <c r="L1702" i="8"/>
  <c r="K1702" i="8"/>
  <c r="L1701" i="8"/>
  <c r="K1701" i="8"/>
  <c r="L1700" i="8"/>
  <c r="K1700" i="8"/>
  <c r="L1699" i="8"/>
  <c r="K1699" i="8"/>
  <c r="L1698" i="8"/>
  <c r="K1698" i="8"/>
  <c r="L1697" i="8"/>
  <c r="K1697" i="8"/>
  <c r="L1696" i="8"/>
  <c r="K1696" i="8"/>
  <c r="L1695" i="8"/>
  <c r="K1695" i="8"/>
  <c r="L1694" i="8"/>
  <c r="K1694" i="8"/>
  <c r="L1693" i="8"/>
  <c r="K1693" i="8"/>
  <c r="L1692" i="8"/>
  <c r="K1692" i="8"/>
  <c r="L1691" i="8"/>
  <c r="K1691" i="8"/>
  <c r="L1690" i="8"/>
  <c r="K1690" i="8"/>
  <c r="L1689" i="8"/>
  <c r="K1689" i="8"/>
  <c r="L1688" i="8"/>
  <c r="K1688" i="8"/>
  <c r="L1687" i="8"/>
  <c r="K1687" i="8"/>
  <c r="L1686" i="8"/>
  <c r="K1686" i="8"/>
  <c r="L1685" i="8"/>
  <c r="K1685" i="8"/>
  <c r="L1684" i="8"/>
  <c r="K1684" i="8"/>
  <c r="L1683" i="8"/>
  <c r="K1683" i="8"/>
  <c r="L1682" i="8"/>
  <c r="K1682" i="8"/>
  <c r="L1681" i="8"/>
  <c r="K1681" i="8"/>
  <c r="L1680" i="8"/>
  <c r="K1680" i="8"/>
  <c r="L1679" i="8"/>
  <c r="K1679" i="8"/>
  <c r="L1678" i="8"/>
  <c r="K1678" i="8"/>
  <c r="L1677" i="8"/>
  <c r="K1677" i="8"/>
  <c r="L1676" i="8"/>
  <c r="K1676" i="8"/>
  <c r="L1675" i="8"/>
  <c r="K1675" i="8"/>
  <c r="L1674" i="8"/>
  <c r="K1674" i="8"/>
  <c r="L1673" i="8"/>
  <c r="K1673" i="8"/>
  <c r="L1672" i="8"/>
  <c r="K1672" i="8"/>
  <c r="L1671" i="8"/>
  <c r="K1671" i="8"/>
  <c r="L1670" i="8"/>
  <c r="K1670" i="8"/>
  <c r="L1669" i="8"/>
  <c r="K1669" i="8"/>
  <c r="L1668" i="8"/>
  <c r="K1668" i="8"/>
  <c r="L1667" i="8"/>
  <c r="K1667" i="8"/>
  <c r="L1666" i="8"/>
  <c r="K1666" i="8"/>
  <c r="L1665" i="8"/>
  <c r="K1665" i="8"/>
  <c r="L1664" i="8"/>
  <c r="K1664" i="8"/>
  <c r="L1663" i="8"/>
  <c r="K1663" i="8"/>
  <c r="L1662" i="8"/>
  <c r="K1662" i="8"/>
  <c r="L1661" i="8"/>
  <c r="K1661" i="8"/>
  <c r="L1660" i="8"/>
  <c r="K1660" i="8"/>
  <c r="L1659" i="8"/>
  <c r="K1659" i="8"/>
  <c r="L1658" i="8"/>
  <c r="K1658" i="8"/>
  <c r="L1657" i="8"/>
  <c r="K1657" i="8"/>
  <c r="L1656" i="8"/>
  <c r="K1656" i="8"/>
  <c r="L1655" i="8"/>
  <c r="K1655" i="8"/>
  <c r="L1654" i="8"/>
  <c r="K1654" i="8"/>
  <c r="L1653" i="8"/>
  <c r="K1653" i="8"/>
  <c r="L1652" i="8"/>
  <c r="K1652" i="8"/>
  <c r="L1651" i="8"/>
  <c r="K1651" i="8"/>
  <c r="L1650" i="8"/>
  <c r="K1650" i="8"/>
  <c r="L1649" i="8"/>
  <c r="K1649" i="8"/>
  <c r="L1648" i="8"/>
  <c r="K1648" i="8"/>
  <c r="L1647" i="8"/>
  <c r="K1647" i="8"/>
  <c r="L1646" i="8"/>
  <c r="K1646" i="8"/>
  <c r="L1645" i="8"/>
  <c r="K1645" i="8"/>
  <c r="L1644" i="8"/>
  <c r="K1644" i="8"/>
  <c r="L1643" i="8"/>
  <c r="K1643" i="8"/>
  <c r="L1642" i="8"/>
  <c r="K1642" i="8"/>
  <c r="L1641" i="8"/>
  <c r="K1641" i="8"/>
  <c r="L1640" i="8"/>
  <c r="K1640" i="8"/>
  <c r="L1639" i="8"/>
  <c r="K1639" i="8"/>
  <c r="L1638" i="8"/>
  <c r="K1638" i="8"/>
  <c r="L1637" i="8"/>
  <c r="K1637" i="8"/>
  <c r="L1636" i="8"/>
  <c r="K1636" i="8"/>
  <c r="L1635" i="8"/>
  <c r="K1635" i="8"/>
  <c r="L1634" i="8"/>
  <c r="K1634" i="8"/>
  <c r="L1633" i="8"/>
  <c r="K1633" i="8"/>
  <c r="L1632" i="8"/>
  <c r="K1632" i="8"/>
  <c r="L1631" i="8"/>
  <c r="K1631" i="8"/>
  <c r="L1630" i="8"/>
  <c r="K1630" i="8"/>
  <c r="L1629" i="8"/>
  <c r="K1629" i="8"/>
  <c r="L1628" i="8"/>
  <c r="K1628" i="8"/>
  <c r="L1627" i="8"/>
  <c r="K1627" i="8"/>
  <c r="L1626" i="8"/>
  <c r="K1626" i="8"/>
  <c r="L1625" i="8"/>
  <c r="K1625" i="8"/>
  <c r="L1624" i="8"/>
  <c r="K1624" i="8"/>
  <c r="L1623" i="8"/>
  <c r="K1623" i="8"/>
  <c r="L1622" i="8"/>
  <c r="K1622" i="8"/>
  <c r="L1621" i="8"/>
  <c r="K1621" i="8"/>
  <c r="L1620" i="8"/>
  <c r="K1620" i="8"/>
  <c r="L1619" i="8"/>
  <c r="K1619" i="8"/>
  <c r="L1618" i="8"/>
  <c r="K1618" i="8"/>
  <c r="L1617" i="8"/>
  <c r="K1617" i="8"/>
  <c r="L1616" i="8"/>
  <c r="K1616" i="8"/>
  <c r="L1615" i="8"/>
  <c r="K1615" i="8"/>
  <c r="L1614" i="8"/>
  <c r="K1614" i="8"/>
  <c r="L1613" i="8"/>
  <c r="K1613" i="8"/>
  <c r="L1612" i="8"/>
  <c r="K1612" i="8"/>
  <c r="L1611" i="8"/>
  <c r="K1611" i="8"/>
  <c r="L1610" i="8"/>
  <c r="K1610" i="8"/>
  <c r="L1609" i="8"/>
  <c r="K1609" i="8"/>
  <c r="L1608" i="8"/>
  <c r="K1608" i="8"/>
  <c r="L1607" i="8"/>
  <c r="K1607" i="8"/>
  <c r="L1606" i="8"/>
  <c r="K1606" i="8"/>
  <c r="L1605" i="8"/>
  <c r="K1605" i="8"/>
  <c r="L1604" i="8"/>
  <c r="K1604" i="8"/>
  <c r="L1603" i="8"/>
  <c r="K1603" i="8"/>
  <c r="L1602" i="8"/>
  <c r="K1602" i="8"/>
  <c r="L1601" i="8"/>
  <c r="K1601" i="8"/>
  <c r="L1600" i="8"/>
  <c r="K1600" i="8"/>
  <c r="L1599" i="8"/>
  <c r="K1599" i="8"/>
  <c r="L1598" i="8"/>
  <c r="K1598" i="8"/>
  <c r="L1597" i="8"/>
  <c r="K1597" i="8"/>
  <c r="L1596" i="8"/>
  <c r="K1596" i="8"/>
  <c r="L1595" i="8"/>
  <c r="K1595" i="8"/>
  <c r="L1594" i="8"/>
  <c r="K1594" i="8"/>
  <c r="L1593" i="8"/>
  <c r="K1593" i="8"/>
  <c r="L1592" i="8"/>
  <c r="K1592" i="8"/>
  <c r="L1591" i="8"/>
  <c r="K1591" i="8"/>
  <c r="L1590" i="8"/>
  <c r="K1590" i="8"/>
  <c r="L1589" i="8"/>
  <c r="K1589" i="8"/>
  <c r="L1588" i="8"/>
  <c r="K1588" i="8"/>
  <c r="L1587" i="8"/>
  <c r="K1587" i="8"/>
  <c r="L1586" i="8"/>
  <c r="K1586" i="8"/>
  <c r="L1585" i="8"/>
  <c r="K1585" i="8"/>
  <c r="L1584" i="8"/>
  <c r="K1584" i="8"/>
  <c r="L1583" i="8"/>
  <c r="K1583" i="8"/>
  <c r="L1582" i="8"/>
  <c r="K1582" i="8"/>
  <c r="L1581" i="8"/>
  <c r="K1581" i="8"/>
  <c r="L1580" i="8"/>
  <c r="K1580" i="8"/>
  <c r="L1579" i="8"/>
  <c r="K1579" i="8"/>
  <c r="L1578" i="8"/>
  <c r="K1578" i="8"/>
  <c r="L1577" i="8"/>
  <c r="K1577" i="8"/>
  <c r="L1576" i="8"/>
  <c r="K1576" i="8"/>
  <c r="L1575" i="8"/>
  <c r="K1575" i="8"/>
  <c r="L1574" i="8"/>
  <c r="K1574" i="8"/>
  <c r="L1573" i="8"/>
  <c r="K1573" i="8"/>
  <c r="L1572" i="8"/>
  <c r="K1572" i="8"/>
  <c r="L1571" i="8"/>
  <c r="K1571" i="8"/>
  <c r="L1570" i="8"/>
  <c r="K1570" i="8"/>
  <c r="L1569" i="8"/>
  <c r="K1569" i="8"/>
  <c r="L1568" i="8"/>
  <c r="K1568" i="8"/>
  <c r="L1567" i="8"/>
  <c r="K1567" i="8"/>
  <c r="L1566" i="8"/>
  <c r="K1566" i="8"/>
  <c r="L1565" i="8"/>
  <c r="K1565" i="8"/>
  <c r="L1564" i="8"/>
  <c r="K1564" i="8"/>
  <c r="L1563" i="8"/>
  <c r="K1563" i="8"/>
  <c r="L1562" i="8"/>
  <c r="K1562" i="8"/>
  <c r="L1561" i="8"/>
  <c r="K1561" i="8"/>
  <c r="L1560" i="8"/>
  <c r="K1560" i="8"/>
  <c r="L1559" i="8"/>
  <c r="K1559" i="8"/>
  <c r="L1558" i="8"/>
  <c r="K1558" i="8"/>
  <c r="L1557" i="8"/>
  <c r="K1557" i="8"/>
  <c r="L1556" i="8"/>
  <c r="K1556" i="8"/>
  <c r="L1555" i="8"/>
  <c r="K1555" i="8"/>
  <c r="L1554" i="8"/>
  <c r="K1554" i="8"/>
  <c r="L1553" i="8"/>
  <c r="K1553" i="8"/>
  <c r="L1552" i="8"/>
  <c r="K1552" i="8"/>
  <c r="L1551" i="8"/>
  <c r="K1551" i="8"/>
  <c r="L1550" i="8"/>
  <c r="K1550" i="8"/>
  <c r="L1549" i="8"/>
  <c r="K1549" i="8"/>
  <c r="L1548" i="8"/>
  <c r="K1548" i="8"/>
  <c r="L1547" i="8"/>
  <c r="K1547" i="8"/>
  <c r="L1546" i="8"/>
  <c r="K1546" i="8"/>
  <c r="L1545" i="8"/>
  <c r="K1545" i="8"/>
  <c r="L1544" i="8"/>
  <c r="K1544" i="8"/>
  <c r="L1543" i="8"/>
  <c r="K1543" i="8"/>
  <c r="L1542" i="8"/>
  <c r="K1542" i="8"/>
  <c r="L1541" i="8"/>
  <c r="K1541" i="8"/>
  <c r="L1540" i="8"/>
  <c r="K1540" i="8"/>
  <c r="L1539" i="8"/>
  <c r="K1539" i="8"/>
  <c r="L1538" i="8"/>
  <c r="K1538" i="8"/>
  <c r="L1537" i="8"/>
  <c r="K1537" i="8"/>
  <c r="L1536" i="8"/>
  <c r="K1536" i="8"/>
  <c r="L1535" i="8"/>
  <c r="K1535" i="8"/>
  <c r="L1534" i="8"/>
  <c r="K1534" i="8"/>
  <c r="L1533" i="8"/>
  <c r="K1533" i="8"/>
  <c r="L1532" i="8"/>
  <c r="K1532" i="8"/>
  <c r="L1531" i="8"/>
  <c r="K1531" i="8"/>
  <c r="L1530" i="8"/>
  <c r="K1530" i="8"/>
  <c r="L1529" i="8"/>
  <c r="K1529" i="8"/>
  <c r="L1528" i="8"/>
  <c r="K1528" i="8"/>
  <c r="L1527" i="8"/>
  <c r="K1527" i="8"/>
  <c r="L1526" i="8"/>
  <c r="K1526" i="8"/>
  <c r="L1525" i="8"/>
  <c r="K1525" i="8"/>
  <c r="L1524" i="8"/>
  <c r="K1524" i="8"/>
  <c r="L1523" i="8"/>
  <c r="K1523" i="8"/>
  <c r="L1522" i="8"/>
  <c r="K1522" i="8"/>
  <c r="L1521" i="8"/>
  <c r="K1521" i="8"/>
  <c r="L1520" i="8"/>
  <c r="K1520" i="8"/>
  <c r="L1519" i="8"/>
  <c r="K1519" i="8"/>
  <c r="L1518" i="8"/>
  <c r="K1518" i="8"/>
  <c r="L1517" i="8"/>
  <c r="K1517" i="8"/>
  <c r="L1516" i="8"/>
  <c r="K1516" i="8"/>
  <c r="L1515" i="8"/>
  <c r="K1515" i="8"/>
  <c r="L1514" i="8"/>
  <c r="K1514" i="8"/>
  <c r="L1513" i="8"/>
  <c r="K1513" i="8"/>
  <c r="L1512" i="8"/>
  <c r="K1512" i="8"/>
  <c r="L1511" i="8"/>
  <c r="K1511" i="8"/>
  <c r="L1510" i="8"/>
  <c r="K1510" i="8"/>
  <c r="L1509" i="8"/>
  <c r="K1509" i="8"/>
  <c r="L1508" i="8"/>
  <c r="K1508" i="8"/>
  <c r="L1507" i="8"/>
  <c r="K1507" i="8"/>
  <c r="L1506" i="8"/>
  <c r="K1506" i="8"/>
  <c r="L1505" i="8"/>
  <c r="K1505" i="8"/>
  <c r="L1504" i="8"/>
  <c r="K1504" i="8"/>
  <c r="L1503" i="8"/>
  <c r="K1503" i="8"/>
  <c r="L1502" i="8"/>
  <c r="K1502" i="8"/>
  <c r="L1501" i="8"/>
  <c r="K1501" i="8"/>
  <c r="L1500" i="8"/>
  <c r="K1500" i="8"/>
  <c r="L1499" i="8"/>
  <c r="K1499" i="8"/>
  <c r="L1498" i="8"/>
  <c r="K1498" i="8"/>
  <c r="L1497" i="8"/>
  <c r="K1497" i="8"/>
  <c r="L1496" i="8"/>
  <c r="K1496" i="8"/>
  <c r="L1495" i="8"/>
  <c r="K1495" i="8"/>
  <c r="L1494" i="8"/>
  <c r="K1494" i="8"/>
  <c r="L1493" i="8"/>
  <c r="K1493" i="8"/>
  <c r="L1492" i="8"/>
  <c r="K1492" i="8"/>
  <c r="L1491" i="8"/>
  <c r="K1491" i="8"/>
  <c r="L1490" i="8"/>
  <c r="K1490" i="8"/>
  <c r="L1489" i="8"/>
  <c r="K1489" i="8"/>
  <c r="L1488" i="8"/>
  <c r="K1488" i="8"/>
  <c r="L1487" i="8"/>
  <c r="K1487" i="8"/>
  <c r="L1486" i="8"/>
  <c r="K1486" i="8"/>
  <c r="L1485" i="8"/>
  <c r="K1485" i="8"/>
  <c r="L1484" i="8"/>
  <c r="K1484" i="8"/>
  <c r="L1483" i="8"/>
  <c r="K1483" i="8"/>
  <c r="L1482" i="8"/>
  <c r="K1482" i="8"/>
  <c r="L1481" i="8"/>
  <c r="K1481" i="8"/>
  <c r="L1480" i="8"/>
  <c r="K1480" i="8"/>
  <c r="L1479" i="8"/>
  <c r="K1479" i="8"/>
  <c r="L1478" i="8"/>
  <c r="K1478" i="8"/>
  <c r="L1477" i="8"/>
  <c r="K1477" i="8"/>
  <c r="L1476" i="8"/>
  <c r="K1476" i="8"/>
  <c r="L1475" i="8"/>
  <c r="K1475" i="8"/>
  <c r="L1474" i="8"/>
  <c r="K1474" i="8"/>
  <c r="L1473" i="8"/>
  <c r="K1473" i="8"/>
  <c r="L1472" i="8"/>
  <c r="K1472" i="8"/>
  <c r="L1471" i="8"/>
  <c r="K1471" i="8"/>
  <c r="L1470" i="8"/>
  <c r="K1470" i="8"/>
  <c r="L1469" i="8"/>
  <c r="K1469" i="8"/>
  <c r="L1468" i="8"/>
  <c r="K1468" i="8"/>
  <c r="L1467" i="8"/>
  <c r="K1467" i="8"/>
  <c r="L1466" i="8"/>
  <c r="K1466" i="8"/>
  <c r="L1465" i="8"/>
  <c r="K1465" i="8"/>
  <c r="L1464" i="8"/>
  <c r="K1464" i="8"/>
  <c r="L1463" i="8"/>
  <c r="K1463" i="8"/>
  <c r="L1462" i="8"/>
  <c r="K1462" i="8"/>
  <c r="L1461" i="8"/>
  <c r="K1461" i="8"/>
  <c r="L1460" i="8"/>
  <c r="K1460" i="8"/>
  <c r="L1459" i="8"/>
  <c r="K1459" i="8"/>
  <c r="L1458" i="8"/>
  <c r="K1458" i="8"/>
  <c r="L1457" i="8"/>
  <c r="K1457" i="8"/>
  <c r="L1456" i="8"/>
  <c r="K1456" i="8"/>
  <c r="L1455" i="8"/>
  <c r="K1455" i="8"/>
  <c r="L1454" i="8"/>
  <c r="K1454" i="8"/>
  <c r="L1453" i="8"/>
  <c r="K1453" i="8"/>
  <c r="L1452" i="8"/>
  <c r="K1452" i="8"/>
  <c r="L1451" i="8"/>
  <c r="K1451" i="8"/>
  <c r="L1450" i="8"/>
  <c r="K1450" i="8"/>
  <c r="L1449" i="8"/>
  <c r="K1449" i="8"/>
  <c r="L1448" i="8"/>
  <c r="K1448" i="8"/>
  <c r="L1447" i="8"/>
  <c r="K1447" i="8"/>
  <c r="L1446" i="8"/>
  <c r="K1446" i="8"/>
  <c r="L1445" i="8"/>
  <c r="K1445" i="8"/>
  <c r="L1444" i="8"/>
  <c r="K1444" i="8"/>
  <c r="L1443" i="8"/>
  <c r="K1443" i="8"/>
  <c r="L1442" i="8"/>
  <c r="K1442" i="8"/>
  <c r="L1441" i="8"/>
  <c r="K1441" i="8"/>
  <c r="L1440" i="8"/>
  <c r="K1440" i="8"/>
  <c r="L1439" i="8"/>
  <c r="K1439" i="8"/>
  <c r="L1438" i="8"/>
  <c r="K1438" i="8"/>
  <c r="L1437" i="8"/>
  <c r="K1437" i="8"/>
  <c r="L1436" i="8"/>
  <c r="K1436" i="8"/>
  <c r="L1435" i="8"/>
  <c r="K1435" i="8"/>
  <c r="L1434" i="8"/>
  <c r="K1434" i="8"/>
  <c r="L1433" i="8"/>
  <c r="K1433" i="8"/>
  <c r="L1432" i="8"/>
  <c r="K1432" i="8"/>
  <c r="L1431" i="8"/>
  <c r="K1431" i="8"/>
  <c r="L1430" i="8"/>
  <c r="K1430" i="8"/>
  <c r="L1429" i="8"/>
  <c r="K1429" i="8"/>
  <c r="L1428" i="8"/>
  <c r="K1428" i="8"/>
  <c r="L1427" i="8"/>
  <c r="K1427" i="8"/>
  <c r="L1426" i="8"/>
  <c r="K1426" i="8"/>
  <c r="L1425" i="8"/>
  <c r="K1425" i="8"/>
  <c r="L1424" i="8"/>
  <c r="K1424" i="8"/>
  <c r="L1423" i="8"/>
  <c r="K1423" i="8"/>
  <c r="L1422" i="8"/>
  <c r="K1422" i="8"/>
  <c r="L1421" i="8"/>
  <c r="K1421" i="8"/>
  <c r="L1420" i="8"/>
  <c r="K1420" i="8"/>
  <c r="L1419" i="8"/>
  <c r="K1419" i="8"/>
  <c r="L1418" i="8"/>
  <c r="K1418" i="8"/>
  <c r="L1417" i="8"/>
  <c r="K1417" i="8"/>
  <c r="L1416" i="8"/>
  <c r="K1416" i="8"/>
  <c r="L1415" i="8"/>
  <c r="K1415" i="8"/>
  <c r="L1414" i="8"/>
  <c r="K1414" i="8"/>
  <c r="L1413" i="8"/>
  <c r="K1413" i="8"/>
  <c r="L1412" i="8"/>
  <c r="K1412" i="8"/>
  <c r="L1411" i="8"/>
  <c r="K1411" i="8"/>
  <c r="L1410" i="8"/>
  <c r="K1410" i="8"/>
  <c r="L1409" i="8"/>
  <c r="K1409" i="8"/>
  <c r="L1408" i="8"/>
  <c r="K1408" i="8"/>
  <c r="L1407" i="8"/>
  <c r="K1407" i="8"/>
  <c r="L1406" i="8"/>
  <c r="K1406" i="8"/>
  <c r="L1405" i="8"/>
  <c r="K1405" i="8"/>
  <c r="L1404" i="8"/>
  <c r="K1404" i="8"/>
  <c r="L1403" i="8"/>
  <c r="K1403" i="8"/>
  <c r="L1402" i="8"/>
  <c r="K1402" i="8"/>
  <c r="L1401" i="8"/>
  <c r="K1401" i="8"/>
  <c r="L1400" i="8"/>
  <c r="K1400" i="8"/>
  <c r="L1399" i="8"/>
  <c r="K1399" i="8"/>
  <c r="L1398" i="8"/>
  <c r="K1398" i="8"/>
  <c r="L1397" i="8"/>
  <c r="K1397" i="8"/>
  <c r="L1396" i="8"/>
  <c r="K1396" i="8"/>
  <c r="L1395" i="8"/>
  <c r="K1395" i="8"/>
  <c r="L1394" i="8"/>
  <c r="K1394" i="8"/>
  <c r="L1393" i="8"/>
  <c r="K1393" i="8"/>
  <c r="L1392" i="8"/>
  <c r="K1392" i="8"/>
  <c r="L1391" i="8"/>
  <c r="K1391" i="8"/>
  <c r="L1390" i="8"/>
  <c r="K1390" i="8"/>
  <c r="L1389" i="8"/>
  <c r="K1389" i="8"/>
  <c r="L1388" i="8"/>
  <c r="K1388" i="8"/>
  <c r="L1387" i="8"/>
  <c r="K1387" i="8"/>
  <c r="L1386" i="8"/>
  <c r="K1386" i="8"/>
  <c r="L1385" i="8"/>
  <c r="K1385" i="8"/>
  <c r="L1384" i="8"/>
  <c r="K1384" i="8"/>
  <c r="L1383" i="8"/>
  <c r="K1383" i="8"/>
  <c r="L1382" i="8"/>
  <c r="K1382" i="8"/>
  <c r="L1381" i="8"/>
  <c r="K1381" i="8"/>
  <c r="L1380" i="8"/>
  <c r="K1380" i="8"/>
  <c r="L1379" i="8"/>
  <c r="K1379" i="8"/>
  <c r="L1378" i="8"/>
  <c r="K1378" i="8"/>
  <c r="L1377" i="8"/>
  <c r="K1377" i="8"/>
  <c r="L1376" i="8"/>
  <c r="K1376" i="8"/>
  <c r="L1375" i="8"/>
  <c r="K1375" i="8"/>
  <c r="L1374" i="8"/>
  <c r="K1374" i="8"/>
  <c r="L1373" i="8"/>
  <c r="K1373" i="8"/>
  <c r="L1372" i="8"/>
  <c r="K1372" i="8"/>
  <c r="L1371" i="8"/>
  <c r="K1371" i="8"/>
  <c r="L1370" i="8"/>
  <c r="K1370" i="8"/>
  <c r="L1369" i="8"/>
  <c r="K1369" i="8"/>
  <c r="L1368" i="8"/>
  <c r="K1368" i="8"/>
  <c r="L1367" i="8"/>
  <c r="K1367" i="8"/>
  <c r="L1366" i="8"/>
  <c r="K1366" i="8"/>
  <c r="L1365" i="8"/>
  <c r="K1365" i="8"/>
  <c r="L1364" i="8"/>
  <c r="K1364" i="8"/>
  <c r="L1363" i="8"/>
  <c r="K1363" i="8"/>
  <c r="L1362" i="8"/>
  <c r="K1362" i="8"/>
  <c r="L1361" i="8"/>
  <c r="K1361" i="8"/>
  <c r="L1360" i="8"/>
  <c r="K1360" i="8"/>
  <c r="L1359" i="8"/>
  <c r="K1359" i="8"/>
  <c r="L1358" i="8"/>
  <c r="K1358" i="8"/>
  <c r="L1357" i="8"/>
  <c r="K1357" i="8"/>
  <c r="L1356" i="8"/>
  <c r="K1356" i="8"/>
  <c r="L1355" i="8"/>
  <c r="K1355" i="8"/>
  <c r="L1354" i="8"/>
  <c r="K1354" i="8"/>
  <c r="L1353" i="8"/>
  <c r="K1353" i="8"/>
  <c r="L1352" i="8"/>
  <c r="K1352" i="8"/>
  <c r="L1351" i="8"/>
  <c r="K1351" i="8"/>
  <c r="L1350" i="8"/>
  <c r="K1350" i="8"/>
  <c r="L1349" i="8"/>
  <c r="K1349" i="8"/>
  <c r="L1348" i="8"/>
  <c r="K1348" i="8"/>
  <c r="L1347" i="8"/>
  <c r="K1347" i="8"/>
  <c r="L1346" i="8"/>
  <c r="K1346" i="8"/>
  <c r="L1345" i="8"/>
  <c r="K1345" i="8"/>
  <c r="L1344" i="8"/>
  <c r="K1344" i="8"/>
  <c r="L1343" i="8"/>
  <c r="K1343" i="8"/>
  <c r="L1342" i="8"/>
  <c r="K1342" i="8"/>
  <c r="L1341" i="8"/>
  <c r="K1341" i="8"/>
  <c r="L1340" i="8"/>
  <c r="K1340" i="8"/>
  <c r="L1339" i="8"/>
  <c r="K1339" i="8"/>
  <c r="L1338" i="8"/>
  <c r="K1338" i="8"/>
  <c r="L1337" i="8"/>
  <c r="K1337" i="8"/>
  <c r="L1336" i="8"/>
  <c r="K1336" i="8"/>
  <c r="L1335" i="8"/>
  <c r="K1335" i="8"/>
  <c r="L1334" i="8"/>
  <c r="K1334" i="8"/>
  <c r="L1333" i="8"/>
  <c r="K1333" i="8"/>
  <c r="L1332" i="8"/>
  <c r="K1332" i="8"/>
  <c r="L1331" i="8"/>
  <c r="K1331" i="8"/>
  <c r="L1330" i="8"/>
  <c r="K1330" i="8"/>
  <c r="L1329" i="8"/>
  <c r="K1329" i="8"/>
  <c r="L1328" i="8"/>
  <c r="K1328" i="8"/>
  <c r="L1327" i="8"/>
  <c r="K1327" i="8"/>
  <c r="L1326" i="8"/>
  <c r="K1326" i="8"/>
  <c r="L1325" i="8"/>
  <c r="K1325" i="8"/>
  <c r="L1324" i="8"/>
  <c r="K1324" i="8"/>
  <c r="L1323" i="8"/>
  <c r="K1323" i="8"/>
  <c r="L1322" i="8"/>
  <c r="K1322" i="8"/>
  <c r="L1321" i="8"/>
  <c r="K1321" i="8"/>
  <c r="L1320" i="8"/>
  <c r="K1320" i="8"/>
  <c r="L1319" i="8"/>
  <c r="K1319" i="8"/>
  <c r="L1318" i="8"/>
  <c r="K1318" i="8"/>
  <c r="L1317" i="8"/>
  <c r="K1317" i="8"/>
  <c r="L1316" i="8"/>
  <c r="K1316" i="8"/>
  <c r="L1315" i="8"/>
  <c r="K1315" i="8"/>
  <c r="L1314" i="8"/>
  <c r="K1314" i="8"/>
  <c r="L1313" i="8"/>
  <c r="K1313" i="8"/>
  <c r="L1312" i="8"/>
  <c r="K1312" i="8"/>
  <c r="L1311" i="8"/>
  <c r="K1311" i="8"/>
  <c r="L1310" i="8"/>
  <c r="K1310" i="8"/>
  <c r="L1309" i="8"/>
  <c r="K1309" i="8"/>
  <c r="L1308" i="8"/>
  <c r="K1308" i="8"/>
  <c r="L1307" i="8"/>
  <c r="K1307" i="8"/>
  <c r="L1306" i="8"/>
  <c r="K1306" i="8"/>
  <c r="L1305" i="8"/>
  <c r="K1305" i="8"/>
  <c r="L1304" i="8"/>
  <c r="K1304" i="8"/>
  <c r="L1303" i="8"/>
  <c r="K1303" i="8"/>
  <c r="L1302" i="8"/>
  <c r="K1302" i="8"/>
  <c r="L1301" i="8"/>
  <c r="K1301" i="8"/>
  <c r="L1300" i="8"/>
  <c r="K1300" i="8"/>
  <c r="L1299" i="8"/>
  <c r="K1299" i="8"/>
  <c r="L1298" i="8"/>
  <c r="K1298" i="8"/>
  <c r="L1297" i="8"/>
  <c r="K1297" i="8"/>
  <c r="L1296" i="8"/>
  <c r="K1296" i="8"/>
  <c r="L1295" i="8"/>
  <c r="K1295" i="8"/>
  <c r="L1294" i="8"/>
  <c r="K1294" i="8"/>
  <c r="L1293" i="8"/>
  <c r="K1293" i="8"/>
  <c r="L1292" i="8"/>
  <c r="K1292" i="8"/>
  <c r="L1291" i="8"/>
  <c r="K1291" i="8"/>
  <c r="L1290" i="8"/>
  <c r="K1290" i="8"/>
  <c r="L1289" i="8"/>
  <c r="K1289" i="8"/>
  <c r="L1288" i="8"/>
  <c r="K1288" i="8"/>
  <c r="L1287" i="8"/>
  <c r="K1287" i="8"/>
  <c r="L1286" i="8"/>
  <c r="K1286" i="8"/>
  <c r="L1285" i="8"/>
  <c r="K1285" i="8"/>
  <c r="L1284" i="8"/>
  <c r="K1284" i="8"/>
  <c r="L1283" i="8"/>
  <c r="K1283" i="8"/>
  <c r="L1282" i="8"/>
  <c r="K1282" i="8"/>
  <c r="L1281" i="8"/>
  <c r="K1281" i="8"/>
  <c r="L1280" i="8"/>
  <c r="K1280" i="8"/>
  <c r="L1279" i="8"/>
  <c r="K1279" i="8"/>
  <c r="L1278" i="8"/>
  <c r="K1278" i="8"/>
  <c r="L1277" i="8"/>
  <c r="K1277" i="8"/>
  <c r="L1276" i="8"/>
  <c r="K1276" i="8"/>
  <c r="L1275" i="8"/>
  <c r="K1275" i="8"/>
  <c r="L1274" i="8"/>
  <c r="K1274" i="8"/>
  <c r="L1273" i="8"/>
  <c r="K1273" i="8"/>
  <c r="L1272" i="8"/>
  <c r="K1272" i="8"/>
  <c r="L1271" i="8"/>
  <c r="K1271" i="8"/>
  <c r="L1270" i="8"/>
  <c r="K1270" i="8"/>
  <c r="L1269" i="8"/>
  <c r="K1269" i="8"/>
  <c r="L1268" i="8"/>
  <c r="K1268" i="8"/>
  <c r="L1267" i="8"/>
  <c r="K1267" i="8"/>
  <c r="L1266" i="8"/>
  <c r="K1266" i="8"/>
  <c r="L1265" i="8"/>
  <c r="K1265" i="8"/>
  <c r="L1264" i="8"/>
  <c r="K1264" i="8"/>
  <c r="L1263" i="8"/>
  <c r="K1263" i="8"/>
  <c r="L1262" i="8"/>
  <c r="K1262" i="8"/>
  <c r="L1261" i="8"/>
  <c r="K1261" i="8"/>
  <c r="L1260" i="8"/>
  <c r="K1260" i="8"/>
  <c r="L1259" i="8"/>
  <c r="K1259" i="8"/>
  <c r="L1258" i="8"/>
  <c r="K1258" i="8"/>
  <c r="L1257" i="8"/>
  <c r="K1257" i="8"/>
  <c r="L1256" i="8"/>
  <c r="K1256" i="8"/>
  <c r="L1255" i="8"/>
  <c r="K1255" i="8"/>
  <c r="L1254" i="8"/>
  <c r="K1254" i="8"/>
  <c r="L1253" i="8"/>
  <c r="K1253" i="8"/>
  <c r="L1252" i="8"/>
  <c r="K1252" i="8"/>
  <c r="L1251" i="8"/>
  <c r="K1251" i="8"/>
  <c r="L1250" i="8"/>
  <c r="K1250" i="8"/>
  <c r="L1249" i="8"/>
  <c r="K1249" i="8"/>
  <c r="L1248" i="8"/>
  <c r="K1248" i="8"/>
  <c r="L1247" i="8"/>
  <c r="K1247" i="8"/>
  <c r="L1246" i="8"/>
  <c r="K1246" i="8"/>
  <c r="L1245" i="8"/>
  <c r="K1245" i="8"/>
  <c r="L1244" i="8"/>
  <c r="K1244" i="8"/>
  <c r="L1243" i="8"/>
  <c r="K1243" i="8"/>
  <c r="L1242" i="8"/>
  <c r="K1242" i="8"/>
  <c r="L1241" i="8"/>
  <c r="K1241" i="8"/>
  <c r="L1240" i="8"/>
  <c r="K1240" i="8"/>
  <c r="L1239" i="8"/>
  <c r="K1239" i="8"/>
  <c r="L1238" i="8"/>
  <c r="K1238" i="8"/>
  <c r="L1237" i="8"/>
  <c r="K1237" i="8"/>
  <c r="L1236" i="8"/>
  <c r="K1236" i="8"/>
  <c r="L1235" i="8"/>
  <c r="K1235" i="8"/>
  <c r="L1234" i="8"/>
  <c r="K1234" i="8"/>
  <c r="L1233" i="8"/>
  <c r="K1233" i="8"/>
  <c r="L1232" i="8"/>
  <c r="K1232" i="8"/>
  <c r="L1231" i="8"/>
  <c r="K1231" i="8"/>
  <c r="L1230" i="8"/>
  <c r="K1230" i="8"/>
  <c r="L1229" i="8"/>
  <c r="K1229" i="8"/>
  <c r="L1228" i="8"/>
  <c r="K1228" i="8"/>
  <c r="L1227" i="8"/>
  <c r="K1227" i="8"/>
  <c r="L1226" i="8"/>
  <c r="K1226" i="8"/>
  <c r="L1225" i="8"/>
  <c r="K1225" i="8"/>
  <c r="L1224" i="8"/>
  <c r="K1224" i="8"/>
  <c r="L1223" i="8"/>
  <c r="K1223" i="8"/>
  <c r="L1222" i="8"/>
  <c r="K1222" i="8"/>
  <c r="L1221" i="8"/>
  <c r="K1221" i="8"/>
  <c r="L1220" i="8"/>
  <c r="K1220" i="8"/>
  <c r="L1219" i="8"/>
  <c r="K1219" i="8"/>
  <c r="L1218" i="8"/>
  <c r="K1218" i="8"/>
  <c r="L1217" i="8"/>
  <c r="K1217" i="8"/>
  <c r="L1216" i="8"/>
  <c r="K1216" i="8"/>
  <c r="L1215" i="8"/>
  <c r="K1215" i="8"/>
  <c r="L1214" i="8"/>
  <c r="K1214" i="8"/>
  <c r="L1213" i="8"/>
  <c r="K1213" i="8"/>
  <c r="L1212" i="8"/>
  <c r="K1212" i="8"/>
  <c r="L1211" i="8"/>
  <c r="K1211" i="8"/>
  <c r="L1210" i="8"/>
  <c r="K1210" i="8"/>
  <c r="L1209" i="8"/>
  <c r="K1209" i="8"/>
  <c r="L1208" i="8"/>
  <c r="K1208" i="8"/>
  <c r="L1207" i="8"/>
  <c r="K1207" i="8"/>
  <c r="L1206" i="8"/>
  <c r="K1206" i="8"/>
  <c r="L1205" i="8"/>
  <c r="K1205" i="8"/>
  <c r="L1204" i="8"/>
  <c r="K1204" i="8"/>
  <c r="L1203" i="8"/>
  <c r="K1203" i="8"/>
  <c r="L1202" i="8"/>
  <c r="K1202" i="8"/>
  <c r="L1201" i="8"/>
  <c r="K1201" i="8"/>
  <c r="L1200" i="8"/>
  <c r="K1200" i="8"/>
  <c r="L1199" i="8"/>
  <c r="K1199" i="8"/>
  <c r="L1198" i="8"/>
  <c r="K1198" i="8"/>
  <c r="L1197" i="8"/>
  <c r="K1197" i="8"/>
  <c r="L1196" i="8"/>
  <c r="K1196" i="8"/>
  <c r="L1195" i="8"/>
  <c r="K1195" i="8"/>
  <c r="L1194" i="8"/>
  <c r="K1194" i="8"/>
  <c r="L1193" i="8"/>
  <c r="K1193" i="8"/>
  <c r="L1192" i="8"/>
  <c r="K1192" i="8"/>
  <c r="L1191" i="8"/>
  <c r="K1191" i="8"/>
  <c r="L1190" i="8"/>
  <c r="K1190" i="8"/>
  <c r="L1189" i="8"/>
  <c r="K1189" i="8"/>
  <c r="L1188" i="8"/>
  <c r="K1188" i="8"/>
  <c r="L1187" i="8"/>
  <c r="K1187" i="8"/>
  <c r="L1186" i="8"/>
  <c r="K1186" i="8"/>
  <c r="L1185" i="8"/>
  <c r="K1185" i="8"/>
  <c r="L1184" i="8"/>
  <c r="K1184" i="8"/>
  <c r="L1183" i="8"/>
  <c r="K1183" i="8"/>
  <c r="L1182" i="8"/>
  <c r="K1182" i="8"/>
  <c r="L1181" i="8"/>
  <c r="K1181" i="8"/>
  <c r="L1180" i="8"/>
  <c r="K1180" i="8"/>
  <c r="L1179" i="8"/>
  <c r="K1179" i="8"/>
  <c r="L1178" i="8"/>
  <c r="K1178" i="8"/>
  <c r="L1177" i="8"/>
  <c r="K1177" i="8"/>
  <c r="L1176" i="8"/>
  <c r="K1176" i="8"/>
  <c r="L1175" i="8"/>
  <c r="K1175" i="8"/>
  <c r="L1174" i="8"/>
  <c r="K1174" i="8"/>
  <c r="L1173" i="8"/>
  <c r="K1173" i="8"/>
  <c r="L1172" i="8"/>
  <c r="K1172" i="8"/>
  <c r="L1171" i="8"/>
  <c r="K1171" i="8"/>
  <c r="L1170" i="8"/>
  <c r="K1170" i="8"/>
  <c r="L1169" i="8"/>
  <c r="K1169" i="8"/>
  <c r="L1168" i="8"/>
  <c r="K1168" i="8"/>
  <c r="L1167" i="8"/>
  <c r="K1167" i="8"/>
  <c r="L1166" i="8"/>
  <c r="K1166" i="8"/>
  <c r="L1165" i="8"/>
  <c r="K1165" i="8"/>
  <c r="L1164" i="8"/>
  <c r="K1164" i="8"/>
  <c r="L1163" i="8"/>
  <c r="K1163" i="8"/>
  <c r="L1162" i="8"/>
  <c r="K1162" i="8"/>
  <c r="L1161" i="8"/>
  <c r="K1161" i="8"/>
  <c r="L1160" i="8"/>
  <c r="K1160" i="8"/>
  <c r="L1159" i="8"/>
  <c r="K1159" i="8"/>
  <c r="L1158" i="8"/>
  <c r="K1158" i="8"/>
  <c r="L1157" i="8"/>
  <c r="K1157" i="8"/>
  <c r="L1156" i="8"/>
  <c r="K1156" i="8"/>
  <c r="L1155" i="8"/>
  <c r="K1155" i="8"/>
  <c r="L1154" i="8"/>
  <c r="K1154" i="8"/>
  <c r="L1153" i="8"/>
  <c r="K1153" i="8"/>
  <c r="L1152" i="8"/>
  <c r="K1152" i="8"/>
  <c r="L1151" i="8"/>
  <c r="K1151" i="8"/>
  <c r="L1150" i="8"/>
  <c r="K1150" i="8"/>
  <c r="L1149" i="8"/>
  <c r="K1149" i="8"/>
  <c r="L1148" i="8"/>
  <c r="K1148" i="8"/>
  <c r="L1147" i="8"/>
  <c r="K1147" i="8"/>
  <c r="L1146" i="8"/>
  <c r="K1146" i="8"/>
  <c r="L1145" i="8"/>
  <c r="K1145" i="8"/>
  <c r="L1144" i="8"/>
  <c r="K1144" i="8"/>
  <c r="L1143" i="8"/>
  <c r="K1143" i="8"/>
  <c r="L1142" i="8"/>
  <c r="K1142" i="8"/>
  <c r="L1141" i="8"/>
  <c r="K1141" i="8"/>
  <c r="L1140" i="8"/>
  <c r="K1140" i="8"/>
  <c r="L1139" i="8"/>
  <c r="K1139" i="8"/>
  <c r="L1138" i="8"/>
  <c r="K1138" i="8"/>
  <c r="L1137" i="8"/>
  <c r="K1137" i="8"/>
  <c r="L1136" i="8"/>
  <c r="K1136" i="8"/>
  <c r="L1135" i="8"/>
  <c r="K1135" i="8"/>
  <c r="L1134" i="8"/>
  <c r="K1134" i="8"/>
  <c r="L1133" i="8"/>
  <c r="K1133" i="8"/>
  <c r="L1132" i="8"/>
  <c r="K1132" i="8"/>
  <c r="L1131" i="8"/>
  <c r="K1131" i="8"/>
  <c r="L1130" i="8"/>
  <c r="K1130" i="8"/>
  <c r="L1129" i="8"/>
  <c r="K1129" i="8"/>
  <c r="L1128" i="8"/>
  <c r="K1128" i="8"/>
  <c r="L1127" i="8"/>
  <c r="K1127" i="8"/>
  <c r="L1126" i="8"/>
  <c r="K1126" i="8"/>
  <c r="L1125" i="8"/>
  <c r="K1125" i="8"/>
  <c r="L1124" i="8"/>
  <c r="K1124" i="8"/>
  <c r="L1123" i="8"/>
  <c r="K1123" i="8"/>
  <c r="L1122" i="8"/>
  <c r="K1122" i="8"/>
  <c r="L1121" i="8"/>
  <c r="K1121" i="8"/>
  <c r="L1120" i="8"/>
  <c r="K1120" i="8"/>
  <c r="L1119" i="8"/>
  <c r="K1119" i="8"/>
  <c r="L1118" i="8"/>
  <c r="K1118" i="8"/>
  <c r="L1117" i="8"/>
  <c r="K1117" i="8"/>
  <c r="L1116" i="8"/>
  <c r="K1116" i="8"/>
  <c r="L1115" i="8"/>
  <c r="K1115" i="8"/>
  <c r="L1114" i="8"/>
  <c r="K1114" i="8"/>
  <c r="L1113" i="8"/>
  <c r="K1113" i="8"/>
  <c r="L1112" i="8"/>
  <c r="K1112" i="8"/>
  <c r="L1111" i="8"/>
  <c r="K1111" i="8"/>
  <c r="L1110" i="8"/>
  <c r="K1110" i="8"/>
  <c r="L1109" i="8"/>
  <c r="K1109" i="8"/>
  <c r="L1108" i="8"/>
  <c r="K1108" i="8"/>
  <c r="L1107" i="8"/>
  <c r="K1107" i="8"/>
  <c r="L1106" i="8"/>
  <c r="K1106" i="8"/>
  <c r="L1105" i="8"/>
  <c r="K1105" i="8"/>
  <c r="L1104" i="8"/>
  <c r="K1104" i="8"/>
  <c r="L1103" i="8"/>
  <c r="K1103" i="8"/>
  <c r="L1102" i="8"/>
  <c r="K1102" i="8"/>
  <c r="L1101" i="8"/>
  <c r="K1101" i="8"/>
  <c r="L1100" i="8"/>
  <c r="K1100" i="8"/>
  <c r="L1099" i="8"/>
  <c r="K1099" i="8"/>
  <c r="L1098" i="8"/>
  <c r="K1098" i="8"/>
  <c r="L1097" i="8"/>
  <c r="K1097" i="8"/>
  <c r="L1096" i="8"/>
  <c r="K1096" i="8"/>
  <c r="L1095" i="8"/>
  <c r="K1095" i="8"/>
  <c r="L1094" i="8"/>
  <c r="K1094" i="8"/>
  <c r="L1093" i="8"/>
  <c r="K1093" i="8"/>
  <c r="L1092" i="8"/>
  <c r="K1092" i="8"/>
  <c r="L1091" i="8"/>
  <c r="K1091" i="8"/>
  <c r="L1090" i="8"/>
  <c r="K1090" i="8"/>
  <c r="L1089" i="8"/>
  <c r="K1089" i="8"/>
  <c r="L1088" i="8"/>
  <c r="K1088" i="8"/>
  <c r="L1087" i="8"/>
  <c r="K1087" i="8"/>
  <c r="L1086" i="8"/>
  <c r="K1086" i="8"/>
  <c r="L1085" i="8"/>
  <c r="K1085" i="8"/>
  <c r="L1084" i="8"/>
  <c r="K1084" i="8"/>
  <c r="L1083" i="8"/>
  <c r="K1083" i="8"/>
  <c r="L1082" i="8"/>
  <c r="K1082" i="8"/>
  <c r="L1081" i="8"/>
  <c r="K1081" i="8"/>
  <c r="L1080" i="8"/>
  <c r="K1080" i="8"/>
  <c r="L1079" i="8"/>
  <c r="K1079" i="8"/>
  <c r="L1078" i="8"/>
  <c r="K1078" i="8"/>
  <c r="L1077" i="8"/>
  <c r="K1077" i="8"/>
  <c r="L1076" i="8"/>
  <c r="K1076" i="8"/>
  <c r="L1075" i="8"/>
  <c r="K1075" i="8"/>
  <c r="L1074" i="8"/>
  <c r="K1074" i="8"/>
  <c r="L1073" i="8"/>
  <c r="K1073" i="8"/>
  <c r="L1072" i="8"/>
  <c r="K1072" i="8"/>
  <c r="L1071" i="8"/>
  <c r="K1071" i="8"/>
  <c r="L1070" i="8"/>
  <c r="K1070" i="8"/>
  <c r="L1069" i="8"/>
  <c r="K1069" i="8"/>
  <c r="L1068" i="8"/>
  <c r="K1068" i="8"/>
  <c r="L1067" i="8"/>
  <c r="K1067" i="8"/>
  <c r="L1066" i="8"/>
  <c r="K1066" i="8"/>
  <c r="L1065" i="8"/>
  <c r="K1065" i="8"/>
  <c r="L1064" i="8"/>
  <c r="K1064" i="8"/>
  <c r="L1063" i="8"/>
  <c r="K1063" i="8"/>
  <c r="L1062" i="8"/>
  <c r="K1062" i="8"/>
  <c r="L1061" i="8"/>
  <c r="K1061" i="8"/>
  <c r="L1060" i="8"/>
  <c r="K1060" i="8"/>
  <c r="L1059" i="8"/>
  <c r="K1059" i="8"/>
  <c r="L1058" i="8"/>
  <c r="K1058" i="8"/>
  <c r="L1057" i="8"/>
  <c r="K1057" i="8"/>
  <c r="L1056" i="8"/>
  <c r="K1056" i="8"/>
  <c r="L1055" i="8"/>
  <c r="K1055" i="8"/>
  <c r="L1054" i="8"/>
  <c r="K1054" i="8"/>
  <c r="L1053" i="8"/>
  <c r="K1053" i="8"/>
  <c r="L1052" i="8"/>
  <c r="K1052" i="8"/>
  <c r="L1051" i="8"/>
  <c r="K1051" i="8"/>
  <c r="L1050" i="8"/>
  <c r="K1050" i="8"/>
  <c r="L1049" i="8"/>
  <c r="K1049" i="8"/>
  <c r="L1048" i="8"/>
  <c r="K1048" i="8"/>
  <c r="L1047" i="8"/>
  <c r="K1047" i="8"/>
  <c r="L1046" i="8"/>
  <c r="K1046" i="8"/>
  <c r="L1045" i="8"/>
  <c r="K1045" i="8"/>
  <c r="L1044" i="8"/>
  <c r="K1044" i="8"/>
  <c r="L1043" i="8"/>
  <c r="K1043" i="8"/>
  <c r="L1042" i="8"/>
  <c r="K1042" i="8"/>
  <c r="L1041" i="8"/>
  <c r="K1041" i="8"/>
  <c r="L1040" i="8"/>
  <c r="K1040" i="8"/>
  <c r="L1039" i="8"/>
  <c r="K1039" i="8"/>
  <c r="L1038" i="8"/>
  <c r="K1038" i="8"/>
  <c r="L1037" i="8"/>
  <c r="K1037" i="8"/>
  <c r="L1036" i="8"/>
  <c r="K1036" i="8"/>
  <c r="L1035" i="8"/>
  <c r="K1035" i="8"/>
  <c r="L1034" i="8"/>
  <c r="K1034" i="8"/>
  <c r="L1033" i="8"/>
  <c r="K1033" i="8"/>
  <c r="L1032" i="8"/>
  <c r="K1032" i="8"/>
  <c r="L1031" i="8"/>
  <c r="K1031" i="8"/>
  <c r="L1030" i="8"/>
  <c r="K1030" i="8"/>
  <c r="L1029" i="8"/>
  <c r="K1029" i="8"/>
  <c r="L1028" i="8"/>
  <c r="K1028" i="8"/>
  <c r="L1027" i="8"/>
  <c r="K1027" i="8"/>
  <c r="L1026" i="8"/>
  <c r="K1026" i="8"/>
  <c r="L1025" i="8"/>
  <c r="K1025" i="8"/>
  <c r="L1024" i="8"/>
  <c r="K1024" i="8"/>
  <c r="L1023" i="8"/>
  <c r="K1023" i="8"/>
  <c r="L1022" i="8"/>
  <c r="K1022" i="8"/>
  <c r="L1021" i="8"/>
  <c r="K1021" i="8"/>
  <c r="L1020" i="8"/>
  <c r="K1020" i="8"/>
  <c r="L1019" i="8"/>
  <c r="K1019" i="8"/>
  <c r="L1018" i="8"/>
  <c r="K1018" i="8"/>
  <c r="L1017" i="8"/>
  <c r="K1017" i="8"/>
  <c r="L1016" i="8"/>
  <c r="K1016" i="8"/>
  <c r="L1015" i="8"/>
  <c r="K1015" i="8"/>
  <c r="L1014" i="8"/>
  <c r="K1014" i="8"/>
  <c r="L1013" i="8"/>
  <c r="K1013" i="8"/>
  <c r="L1012" i="8"/>
  <c r="K1012" i="8"/>
  <c r="L1011" i="8"/>
  <c r="K1011" i="8"/>
  <c r="L1010" i="8"/>
  <c r="K1010" i="8"/>
  <c r="L1009" i="8"/>
  <c r="K1009" i="8"/>
  <c r="L1008" i="8"/>
  <c r="K1008" i="8"/>
  <c r="L1007" i="8"/>
  <c r="K1007" i="8"/>
  <c r="L1006" i="8"/>
  <c r="K1006" i="8"/>
  <c r="L1005" i="8"/>
  <c r="K1005" i="8"/>
  <c r="L1004" i="8"/>
  <c r="K1004" i="8"/>
  <c r="L1003" i="8"/>
  <c r="K1003" i="8"/>
  <c r="L1002" i="8"/>
  <c r="K1002" i="8"/>
  <c r="L1001" i="8"/>
  <c r="K1001" i="8"/>
  <c r="L1000" i="8"/>
  <c r="K1000" i="8"/>
  <c r="L999" i="8"/>
  <c r="K999" i="8"/>
  <c r="L998" i="8"/>
  <c r="K998" i="8"/>
  <c r="L997" i="8"/>
  <c r="K997" i="8"/>
  <c r="L996" i="8"/>
  <c r="K996" i="8"/>
  <c r="L995" i="8"/>
  <c r="K995" i="8"/>
  <c r="L994" i="8"/>
  <c r="K994" i="8"/>
  <c r="L993" i="8"/>
  <c r="K993" i="8"/>
  <c r="L992" i="8"/>
  <c r="K992" i="8"/>
  <c r="L991" i="8"/>
  <c r="K991" i="8"/>
  <c r="L990" i="8"/>
  <c r="K990" i="8"/>
  <c r="L989" i="8"/>
  <c r="K989" i="8"/>
  <c r="L988" i="8"/>
  <c r="K988" i="8"/>
  <c r="L987" i="8"/>
  <c r="K987" i="8"/>
  <c r="L986" i="8"/>
  <c r="K986" i="8"/>
  <c r="L985" i="8"/>
  <c r="K985" i="8"/>
  <c r="L984" i="8"/>
  <c r="K984" i="8"/>
  <c r="L983" i="8"/>
  <c r="K983" i="8"/>
  <c r="L982" i="8"/>
  <c r="K982" i="8"/>
  <c r="L981" i="8"/>
  <c r="K981" i="8"/>
  <c r="L980" i="8"/>
  <c r="K980" i="8"/>
  <c r="L979" i="8"/>
  <c r="K979" i="8"/>
  <c r="L978" i="8"/>
  <c r="K978" i="8"/>
  <c r="L977" i="8"/>
  <c r="K977" i="8"/>
  <c r="L976" i="8"/>
  <c r="K976" i="8"/>
  <c r="L975" i="8"/>
  <c r="K975" i="8"/>
  <c r="L974" i="8"/>
  <c r="K974" i="8"/>
  <c r="L973" i="8"/>
  <c r="K973" i="8"/>
  <c r="L972" i="8"/>
  <c r="K972" i="8"/>
  <c r="L971" i="8"/>
  <c r="K971" i="8"/>
  <c r="L970" i="8"/>
  <c r="K970" i="8"/>
  <c r="L969" i="8"/>
  <c r="K969" i="8"/>
  <c r="L968" i="8"/>
  <c r="K968" i="8"/>
  <c r="L967" i="8"/>
  <c r="K967" i="8"/>
  <c r="L966" i="8"/>
  <c r="K966" i="8"/>
  <c r="L965" i="8"/>
  <c r="K965" i="8"/>
  <c r="L964" i="8"/>
  <c r="K964" i="8"/>
  <c r="L963" i="8"/>
  <c r="K963" i="8"/>
  <c r="L962" i="8"/>
  <c r="K962" i="8"/>
  <c r="L961" i="8"/>
  <c r="K961" i="8"/>
  <c r="L960" i="8"/>
  <c r="K960" i="8"/>
  <c r="L959" i="8"/>
  <c r="K959" i="8"/>
  <c r="L958" i="8"/>
  <c r="K958" i="8"/>
  <c r="L957" i="8"/>
  <c r="K957" i="8"/>
  <c r="L956" i="8"/>
  <c r="K956" i="8"/>
  <c r="L955" i="8"/>
  <c r="K955" i="8"/>
  <c r="L954" i="8"/>
  <c r="K954" i="8"/>
  <c r="L953" i="8"/>
  <c r="K953" i="8"/>
  <c r="L952" i="8"/>
  <c r="K952" i="8"/>
  <c r="L951" i="8"/>
  <c r="K951" i="8"/>
  <c r="L950" i="8"/>
  <c r="K950" i="8"/>
  <c r="L949" i="8"/>
  <c r="K949" i="8"/>
  <c r="L948" i="8"/>
  <c r="K948" i="8"/>
  <c r="L947" i="8"/>
  <c r="K947" i="8"/>
  <c r="L946" i="8"/>
  <c r="K946" i="8"/>
  <c r="L945" i="8"/>
  <c r="K945" i="8"/>
  <c r="L944" i="8"/>
  <c r="K944" i="8"/>
  <c r="L943" i="8"/>
  <c r="K943" i="8"/>
  <c r="L942" i="8"/>
  <c r="K942" i="8"/>
  <c r="L941" i="8"/>
  <c r="K941" i="8"/>
  <c r="L940" i="8"/>
  <c r="K940" i="8"/>
  <c r="L939" i="8"/>
  <c r="K939" i="8"/>
  <c r="L938" i="8"/>
  <c r="K938" i="8"/>
  <c r="L937" i="8"/>
  <c r="K937" i="8"/>
  <c r="L936" i="8"/>
  <c r="K936" i="8"/>
  <c r="L935" i="8"/>
  <c r="K935" i="8"/>
  <c r="L934" i="8"/>
  <c r="K934" i="8"/>
  <c r="L933" i="8"/>
  <c r="K933" i="8"/>
  <c r="L932" i="8"/>
  <c r="K932" i="8"/>
  <c r="L931" i="8"/>
  <c r="K931" i="8"/>
  <c r="L930" i="8"/>
  <c r="K930" i="8"/>
  <c r="L929" i="8"/>
  <c r="K929" i="8"/>
  <c r="L928" i="8"/>
  <c r="K928" i="8"/>
  <c r="L927" i="8"/>
  <c r="K927" i="8"/>
  <c r="L926" i="8"/>
  <c r="K926" i="8"/>
  <c r="L925" i="8"/>
  <c r="K925" i="8"/>
  <c r="L924" i="8"/>
  <c r="K924" i="8"/>
  <c r="L923" i="8"/>
  <c r="K923" i="8"/>
  <c r="L922" i="8"/>
  <c r="K922" i="8"/>
  <c r="L921" i="8"/>
  <c r="K921" i="8"/>
  <c r="L920" i="8"/>
  <c r="K920" i="8"/>
  <c r="L919" i="8"/>
  <c r="K919" i="8"/>
  <c r="L918" i="8"/>
  <c r="K918" i="8"/>
  <c r="L917" i="8"/>
  <c r="K917" i="8"/>
  <c r="L916" i="8"/>
  <c r="K916" i="8"/>
  <c r="L915" i="8"/>
  <c r="K915" i="8"/>
  <c r="L914" i="8"/>
  <c r="K914" i="8"/>
  <c r="L913" i="8"/>
  <c r="K913" i="8"/>
  <c r="L912" i="8"/>
  <c r="K912" i="8"/>
  <c r="L911" i="8"/>
  <c r="K911" i="8"/>
  <c r="L910" i="8"/>
  <c r="K910" i="8"/>
  <c r="L909" i="8"/>
  <c r="K909" i="8"/>
  <c r="L908" i="8"/>
  <c r="K908" i="8"/>
  <c r="L907" i="8"/>
  <c r="K907" i="8"/>
  <c r="L906" i="8"/>
  <c r="K906" i="8"/>
  <c r="L905" i="8"/>
  <c r="K905" i="8"/>
  <c r="L904" i="8"/>
  <c r="K904" i="8"/>
  <c r="L903" i="8"/>
  <c r="K903" i="8"/>
  <c r="L902" i="8"/>
  <c r="K902" i="8"/>
  <c r="L901" i="8"/>
  <c r="K901" i="8"/>
  <c r="L900" i="8"/>
  <c r="K900" i="8"/>
  <c r="L899" i="8"/>
  <c r="K899" i="8"/>
  <c r="L898" i="8"/>
  <c r="K898" i="8"/>
  <c r="L897" i="8"/>
  <c r="K897" i="8"/>
  <c r="L896" i="8"/>
  <c r="K896" i="8"/>
  <c r="L895" i="8"/>
  <c r="K895" i="8"/>
  <c r="L894" i="8"/>
  <c r="K894" i="8"/>
  <c r="L893" i="8"/>
  <c r="K893" i="8"/>
  <c r="L892" i="8"/>
  <c r="K892" i="8"/>
  <c r="L891" i="8"/>
  <c r="K891" i="8"/>
  <c r="L890" i="8"/>
  <c r="K890" i="8"/>
  <c r="L889" i="8"/>
  <c r="K889" i="8"/>
  <c r="L888" i="8"/>
  <c r="K888" i="8"/>
  <c r="L887" i="8"/>
  <c r="K887" i="8"/>
  <c r="L886" i="8"/>
  <c r="K886" i="8"/>
  <c r="L885" i="8"/>
  <c r="K885" i="8"/>
  <c r="L884" i="8"/>
  <c r="K884" i="8"/>
  <c r="L883" i="8"/>
  <c r="K883" i="8"/>
  <c r="L882" i="8"/>
  <c r="K882" i="8"/>
  <c r="L881" i="8"/>
  <c r="K881" i="8"/>
  <c r="L880" i="8"/>
  <c r="K880" i="8"/>
  <c r="L879" i="8"/>
  <c r="K879" i="8"/>
  <c r="L878" i="8"/>
  <c r="K878" i="8"/>
  <c r="L877" i="8"/>
  <c r="K877" i="8"/>
  <c r="L876" i="8"/>
  <c r="K876" i="8"/>
  <c r="L875" i="8"/>
  <c r="K875" i="8"/>
  <c r="L874" i="8"/>
  <c r="K874" i="8"/>
  <c r="L873" i="8"/>
  <c r="K873" i="8"/>
  <c r="L872" i="8"/>
  <c r="K872" i="8"/>
  <c r="L871" i="8"/>
  <c r="K871" i="8"/>
  <c r="L870" i="8"/>
  <c r="K870" i="8"/>
  <c r="L869" i="8"/>
  <c r="K869" i="8"/>
  <c r="L868" i="8"/>
  <c r="K868" i="8"/>
  <c r="L867" i="8"/>
  <c r="K867" i="8"/>
  <c r="L866" i="8"/>
  <c r="K866" i="8"/>
  <c r="L865" i="8"/>
  <c r="K865" i="8"/>
  <c r="L864" i="8"/>
  <c r="K864" i="8"/>
  <c r="L863" i="8"/>
  <c r="K863" i="8"/>
  <c r="L862" i="8"/>
  <c r="K862" i="8"/>
  <c r="L861" i="8"/>
  <c r="K861" i="8"/>
  <c r="L860" i="8"/>
  <c r="K860" i="8"/>
  <c r="L859" i="8"/>
  <c r="K859" i="8"/>
  <c r="L858" i="8"/>
  <c r="K858" i="8"/>
  <c r="L857" i="8"/>
  <c r="K857" i="8"/>
  <c r="L856" i="8"/>
  <c r="K856" i="8"/>
  <c r="L855" i="8"/>
  <c r="K855" i="8"/>
  <c r="L854" i="8"/>
  <c r="K854" i="8"/>
  <c r="L853" i="8"/>
  <c r="K853" i="8"/>
  <c r="L852" i="8"/>
  <c r="K852" i="8"/>
  <c r="L851" i="8"/>
  <c r="K851" i="8"/>
  <c r="L850" i="8"/>
  <c r="K850" i="8"/>
  <c r="L849" i="8"/>
  <c r="K849" i="8"/>
  <c r="L848" i="8"/>
  <c r="K848" i="8"/>
  <c r="L847" i="8"/>
  <c r="K847" i="8"/>
  <c r="L846" i="8"/>
  <c r="K846" i="8"/>
  <c r="L845" i="8"/>
  <c r="K845" i="8"/>
  <c r="L844" i="8"/>
  <c r="K844" i="8"/>
  <c r="L843" i="8"/>
  <c r="K843" i="8"/>
  <c r="L842" i="8"/>
  <c r="K842" i="8"/>
  <c r="L841" i="8"/>
  <c r="K841" i="8"/>
  <c r="L840" i="8"/>
  <c r="K840" i="8"/>
  <c r="L839" i="8"/>
  <c r="K839" i="8"/>
  <c r="L838" i="8"/>
  <c r="K838" i="8"/>
  <c r="L837" i="8"/>
  <c r="K837" i="8"/>
  <c r="L836" i="8"/>
  <c r="K836" i="8"/>
  <c r="L835" i="8"/>
  <c r="K835" i="8"/>
  <c r="L834" i="8"/>
  <c r="K834" i="8"/>
  <c r="L833" i="8"/>
  <c r="K833" i="8"/>
  <c r="L832" i="8"/>
  <c r="K832" i="8"/>
  <c r="L831" i="8"/>
  <c r="K831" i="8"/>
  <c r="L830" i="8"/>
  <c r="K830" i="8"/>
  <c r="L829" i="8"/>
  <c r="K829" i="8"/>
  <c r="L828" i="8"/>
  <c r="K828" i="8"/>
  <c r="L827" i="8"/>
  <c r="K827" i="8"/>
  <c r="L826" i="8"/>
  <c r="K826" i="8"/>
  <c r="L825" i="8"/>
  <c r="K825" i="8"/>
  <c r="L824" i="8"/>
  <c r="K824" i="8"/>
  <c r="L823" i="8"/>
  <c r="K823" i="8"/>
  <c r="L822" i="8"/>
  <c r="K822" i="8"/>
  <c r="L821" i="8"/>
  <c r="K821" i="8"/>
  <c r="L820" i="8"/>
  <c r="K820" i="8"/>
  <c r="L819" i="8"/>
  <c r="K819" i="8"/>
  <c r="L818" i="8"/>
  <c r="K818" i="8"/>
  <c r="L817" i="8"/>
  <c r="K817" i="8"/>
  <c r="L816" i="8"/>
  <c r="K816" i="8"/>
  <c r="L815" i="8"/>
  <c r="K815" i="8"/>
  <c r="L814" i="8"/>
  <c r="K814" i="8"/>
  <c r="L813" i="8"/>
  <c r="K813" i="8"/>
  <c r="L812" i="8"/>
  <c r="K812" i="8"/>
  <c r="L811" i="8"/>
  <c r="K811" i="8"/>
  <c r="L810" i="8"/>
  <c r="K810" i="8"/>
  <c r="L809" i="8"/>
  <c r="K809" i="8"/>
  <c r="L808" i="8"/>
  <c r="K808" i="8"/>
  <c r="L807" i="8"/>
  <c r="K807" i="8"/>
  <c r="L806" i="8"/>
  <c r="K806" i="8"/>
  <c r="L805" i="8"/>
  <c r="K805" i="8"/>
  <c r="L804" i="8"/>
  <c r="K804" i="8"/>
  <c r="L803" i="8"/>
  <c r="K803" i="8"/>
  <c r="L802" i="8"/>
  <c r="K802" i="8"/>
  <c r="L801" i="8"/>
  <c r="K801" i="8"/>
  <c r="L800" i="8"/>
  <c r="K800" i="8"/>
  <c r="L799" i="8"/>
  <c r="K799" i="8"/>
  <c r="L798" i="8"/>
  <c r="K798" i="8"/>
  <c r="L797" i="8"/>
  <c r="K797" i="8"/>
  <c r="L796" i="8"/>
  <c r="K796" i="8"/>
  <c r="L795" i="8"/>
  <c r="K795" i="8"/>
  <c r="L794" i="8"/>
  <c r="K794" i="8"/>
  <c r="L793" i="8"/>
  <c r="K793" i="8"/>
  <c r="L792" i="8"/>
  <c r="K792" i="8"/>
  <c r="L791" i="8"/>
  <c r="K791" i="8"/>
  <c r="L790" i="8"/>
  <c r="K790" i="8"/>
  <c r="L789" i="8"/>
  <c r="K789" i="8"/>
  <c r="L788" i="8"/>
  <c r="K788" i="8"/>
  <c r="L787" i="8"/>
  <c r="K787" i="8"/>
  <c r="L786" i="8"/>
  <c r="K786" i="8"/>
  <c r="L785" i="8"/>
  <c r="K785" i="8"/>
  <c r="L784" i="8"/>
  <c r="K784" i="8"/>
  <c r="L783" i="8"/>
  <c r="K783" i="8"/>
  <c r="L782" i="8"/>
  <c r="K782" i="8"/>
  <c r="L781" i="8"/>
  <c r="K781" i="8"/>
  <c r="L780" i="8"/>
  <c r="K780" i="8"/>
  <c r="L779" i="8"/>
  <c r="K779" i="8"/>
  <c r="L778" i="8"/>
  <c r="K778" i="8"/>
  <c r="L777" i="8"/>
  <c r="K777" i="8"/>
  <c r="L776" i="8"/>
  <c r="K776" i="8"/>
  <c r="L775" i="8"/>
  <c r="K775" i="8"/>
  <c r="L774" i="8"/>
  <c r="K774" i="8"/>
  <c r="L773" i="8"/>
  <c r="K773" i="8"/>
  <c r="L772" i="8"/>
  <c r="K772" i="8"/>
  <c r="L771" i="8"/>
  <c r="K771" i="8"/>
  <c r="L770" i="8"/>
  <c r="K770" i="8"/>
  <c r="L769" i="8"/>
  <c r="K769" i="8"/>
  <c r="L768" i="8"/>
  <c r="K768" i="8"/>
  <c r="L767" i="8"/>
  <c r="K767" i="8"/>
  <c r="L766" i="8"/>
  <c r="K766" i="8"/>
  <c r="L765" i="8"/>
  <c r="K765" i="8"/>
  <c r="L764" i="8"/>
  <c r="K764" i="8"/>
  <c r="L763" i="8"/>
  <c r="K763" i="8"/>
  <c r="L762" i="8"/>
  <c r="K762" i="8"/>
  <c r="L761" i="8"/>
  <c r="K761" i="8"/>
  <c r="L760" i="8"/>
  <c r="K760" i="8"/>
  <c r="L759" i="8"/>
  <c r="K759" i="8"/>
  <c r="L758" i="8"/>
  <c r="K758" i="8"/>
  <c r="L757" i="8"/>
  <c r="K757" i="8"/>
  <c r="L756" i="8"/>
  <c r="K756" i="8"/>
  <c r="L755" i="8"/>
  <c r="K755" i="8"/>
  <c r="L754" i="8"/>
  <c r="K754" i="8"/>
  <c r="L753" i="8"/>
  <c r="K753" i="8"/>
  <c r="L752" i="8"/>
  <c r="K752" i="8"/>
  <c r="L751" i="8"/>
  <c r="K751" i="8"/>
  <c r="L750" i="8"/>
  <c r="K750" i="8"/>
  <c r="L749" i="8"/>
  <c r="K749" i="8"/>
  <c r="L748" i="8"/>
  <c r="K748" i="8"/>
  <c r="L747" i="8"/>
  <c r="K747" i="8"/>
  <c r="L746" i="8"/>
  <c r="K746" i="8"/>
  <c r="L745" i="8"/>
  <c r="K745" i="8"/>
  <c r="L744" i="8"/>
  <c r="K744" i="8"/>
  <c r="L743" i="8"/>
  <c r="K743" i="8"/>
  <c r="L742" i="8"/>
  <c r="K742" i="8"/>
  <c r="L741" i="8"/>
  <c r="K741" i="8"/>
  <c r="L740" i="8"/>
  <c r="K740" i="8"/>
  <c r="L739" i="8"/>
  <c r="K739" i="8"/>
  <c r="L738" i="8"/>
  <c r="K738" i="8"/>
  <c r="L737" i="8"/>
  <c r="K737" i="8"/>
  <c r="L736" i="8"/>
  <c r="K736" i="8"/>
  <c r="L735" i="8"/>
  <c r="K735" i="8"/>
  <c r="L734" i="8"/>
  <c r="K734" i="8"/>
  <c r="L733" i="8"/>
  <c r="K733" i="8"/>
  <c r="L732" i="8"/>
  <c r="K732" i="8"/>
  <c r="L731" i="8"/>
  <c r="K731" i="8"/>
  <c r="L730" i="8"/>
  <c r="K730" i="8"/>
  <c r="L729" i="8"/>
  <c r="K729" i="8"/>
  <c r="L728" i="8"/>
  <c r="K728" i="8"/>
  <c r="L727" i="8"/>
  <c r="K727" i="8"/>
  <c r="L726" i="8"/>
  <c r="K726" i="8"/>
  <c r="L725" i="8"/>
  <c r="K725" i="8"/>
  <c r="L724" i="8"/>
  <c r="K724" i="8"/>
  <c r="L723" i="8"/>
  <c r="K723" i="8"/>
  <c r="L722" i="8"/>
  <c r="K722" i="8"/>
  <c r="L721" i="8"/>
  <c r="K721" i="8"/>
  <c r="L720" i="8"/>
  <c r="K720" i="8"/>
  <c r="L719" i="8"/>
  <c r="K719" i="8"/>
  <c r="L718" i="8"/>
  <c r="K718" i="8"/>
  <c r="L717" i="8"/>
  <c r="K717" i="8"/>
  <c r="L716" i="8"/>
  <c r="K716" i="8"/>
  <c r="L715" i="8"/>
  <c r="K715" i="8"/>
  <c r="L714" i="8"/>
  <c r="K714" i="8"/>
  <c r="L713" i="8"/>
  <c r="K713" i="8"/>
  <c r="L712" i="8"/>
  <c r="K712" i="8"/>
  <c r="L711" i="8"/>
  <c r="K711" i="8"/>
  <c r="L710" i="8"/>
  <c r="K710" i="8"/>
  <c r="L709" i="8"/>
  <c r="K709" i="8"/>
  <c r="L708" i="8"/>
  <c r="K708" i="8"/>
  <c r="L707" i="8"/>
  <c r="K707" i="8"/>
  <c r="L706" i="8"/>
  <c r="K706" i="8"/>
  <c r="L705" i="8"/>
  <c r="K705" i="8"/>
  <c r="L704" i="8"/>
  <c r="K704" i="8"/>
  <c r="L703" i="8"/>
  <c r="K703" i="8"/>
  <c r="L702" i="8"/>
  <c r="K702" i="8"/>
  <c r="L701" i="8"/>
  <c r="K701" i="8"/>
  <c r="L700" i="8"/>
  <c r="K700" i="8"/>
  <c r="L699" i="8"/>
  <c r="K699" i="8"/>
  <c r="L698" i="8"/>
  <c r="K698" i="8"/>
  <c r="L697" i="8"/>
  <c r="K697" i="8"/>
  <c r="L696" i="8"/>
  <c r="K696" i="8"/>
  <c r="L695" i="8"/>
  <c r="K695" i="8"/>
  <c r="L694" i="8"/>
  <c r="K694" i="8"/>
  <c r="L693" i="8"/>
  <c r="K693" i="8"/>
  <c r="L692" i="8"/>
  <c r="K692" i="8"/>
  <c r="L691" i="8"/>
  <c r="K691" i="8"/>
  <c r="L690" i="8"/>
  <c r="K690" i="8"/>
  <c r="L689" i="8"/>
  <c r="K689" i="8"/>
  <c r="L688" i="8"/>
  <c r="K688" i="8"/>
  <c r="L687" i="8"/>
  <c r="K687" i="8"/>
  <c r="L686" i="8"/>
  <c r="K686" i="8"/>
  <c r="L685" i="8"/>
  <c r="K685" i="8"/>
  <c r="L684" i="8"/>
  <c r="K684" i="8"/>
  <c r="L683" i="8"/>
  <c r="K683" i="8"/>
  <c r="L682" i="8"/>
  <c r="K682" i="8"/>
  <c r="L681" i="8"/>
  <c r="K681" i="8"/>
  <c r="L680" i="8"/>
  <c r="K680" i="8"/>
  <c r="L679" i="8"/>
  <c r="K679" i="8"/>
  <c r="L678" i="8"/>
  <c r="K678" i="8"/>
  <c r="L677" i="8"/>
  <c r="K677" i="8"/>
  <c r="L676" i="8"/>
  <c r="K676" i="8"/>
  <c r="L675" i="8"/>
  <c r="K675" i="8"/>
  <c r="L674" i="8"/>
  <c r="K674" i="8"/>
  <c r="L673" i="8"/>
  <c r="K673" i="8"/>
  <c r="L672" i="8"/>
  <c r="K672" i="8"/>
  <c r="L671" i="8"/>
  <c r="K671" i="8"/>
  <c r="L670" i="8"/>
  <c r="K670" i="8"/>
  <c r="L669" i="8"/>
  <c r="K669" i="8"/>
  <c r="L668" i="8"/>
  <c r="K668" i="8"/>
  <c r="L667" i="8"/>
  <c r="K667" i="8"/>
  <c r="L666" i="8"/>
  <c r="K666" i="8"/>
  <c r="L665" i="8"/>
  <c r="K665" i="8"/>
  <c r="L664" i="8"/>
  <c r="K664" i="8"/>
  <c r="L663" i="8"/>
  <c r="K663" i="8"/>
  <c r="L662" i="8"/>
  <c r="K662" i="8"/>
  <c r="L661" i="8"/>
  <c r="K661" i="8"/>
  <c r="L660" i="8"/>
  <c r="K660" i="8"/>
  <c r="L659" i="8"/>
  <c r="K659" i="8"/>
  <c r="L658" i="8"/>
  <c r="K658" i="8"/>
  <c r="L657" i="8"/>
  <c r="K657" i="8"/>
  <c r="L656" i="8"/>
  <c r="K656" i="8"/>
  <c r="L655" i="8"/>
  <c r="K655" i="8"/>
  <c r="L654" i="8"/>
  <c r="K654" i="8"/>
  <c r="L653" i="8"/>
  <c r="K653" i="8"/>
  <c r="L652" i="8"/>
  <c r="K652" i="8"/>
  <c r="L651" i="8"/>
  <c r="K651" i="8"/>
  <c r="L650" i="8"/>
  <c r="K650" i="8"/>
  <c r="L649" i="8"/>
  <c r="K649" i="8"/>
  <c r="L648" i="8"/>
  <c r="K648" i="8"/>
  <c r="L647" i="8"/>
  <c r="K647" i="8"/>
  <c r="L646" i="8"/>
  <c r="K646" i="8"/>
  <c r="L645" i="8"/>
  <c r="K645" i="8"/>
  <c r="L644" i="8"/>
  <c r="K644" i="8"/>
  <c r="L643" i="8"/>
  <c r="K643" i="8"/>
  <c r="L642" i="8"/>
  <c r="K642" i="8"/>
  <c r="L641" i="8"/>
  <c r="K641" i="8"/>
  <c r="L640" i="8"/>
  <c r="K640" i="8"/>
  <c r="L639" i="8"/>
  <c r="K639" i="8"/>
  <c r="L638" i="8"/>
  <c r="K638" i="8"/>
  <c r="L637" i="8"/>
  <c r="K637" i="8"/>
  <c r="L636" i="8"/>
  <c r="K636" i="8"/>
  <c r="L635" i="8"/>
  <c r="K635" i="8"/>
  <c r="L634" i="8"/>
  <c r="K634" i="8"/>
  <c r="L633" i="8"/>
  <c r="K633" i="8"/>
  <c r="L632" i="8"/>
  <c r="K632" i="8"/>
  <c r="L631" i="8"/>
  <c r="K631" i="8"/>
  <c r="L630" i="8"/>
  <c r="K630" i="8"/>
  <c r="L629" i="8"/>
  <c r="K629" i="8"/>
  <c r="L628" i="8"/>
  <c r="K628" i="8"/>
  <c r="L627" i="8"/>
  <c r="K627" i="8"/>
  <c r="L626" i="8"/>
  <c r="K626" i="8"/>
  <c r="L625" i="8"/>
  <c r="K625" i="8"/>
  <c r="L624" i="8"/>
  <c r="K624" i="8"/>
  <c r="L623" i="8"/>
  <c r="K623" i="8"/>
  <c r="L622" i="8"/>
  <c r="K622" i="8"/>
  <c r="L621" i="8"/>
  <c r="K621" i="8"/>
  <c r="L620" i="8"/>
  <c r="K620" i="8"/>
  <c r="L619" i="8"/>
  <c r="K619" i="8"/>
  <c r="L618" i="8"/>
  <c r="K618" i="8"/>
  <c r="L617" i="8"/>
  <c r="K617" i="8"/>
  <c r="L616" i="8"/>
  <c r="K616" i="8"/>
  <c r="L615" i="8"/>
  <c r="K615" i="8"/>
  <c r="L614" i="8"/>
  <c r="K614" i="8"/>
  <c r="L613" i="8"/>
  <c r="K613" i="8"/>
  <c r="L612" i="8"/>
  <c r="K612" i="8"/>
  <c r="L611" i="8"/>
  <c r="K611" i="8"/>
  <c r="L610" i="8"/>
  <c r="K610" i="8"/>
  <c r="L609" i="8"/>
  <c r="K609" i="8"/>
  <c r="L608" i="8"/>
  <c r="K608" i="8"/>
  <c r="L607" i="8"/>
  <c r="K607" i="8"/>
  <c r="L606" i="8"/>
  <c r="K606" i="8"/>
  <c r="L605" i="8"/>
  <c r="K605" i="8"/>
  <c r="L604" i="8"/>
  <c r="K604" i="8"/>
  <c r="L603" i="8"/>
  <c r="K603" i="8"/>
  <c r="L602" i="8"/>
  <c r="K602" i="8"/>
  <c r="L601" i="8"/>
  <c r="K601" i="8"/>
  <c r="L600" i="8"/>
  <c r="K600" i="8"/>
  <c r="L599" i="8"/>
  <c r="K599" i="8"/>
  <c r="L598" i="8"/>
  <c r="K598" i="8"/>
  <c r="L597" i="8"/>
  <c r="K597" i="8"/>
  <c r="L596" i="8"/>
  <c r="K596" i="8"/>
  <c r="L595" i="8"/>
  <c r="K595" i="8"/>
  <c r="L594" i="8"/>
  <c r="K594" i="8"/>
  <c r="L593" i="8"/>
  <c r="K593" i="8"/>
  <c r="L592" i="8"/>
  <c r="K592" i="8"/>
  <c r="L591" i="8"/>
  <c r="K591" i="8"/>
  <c r="L590" i="8"/>
  <c r="K590" i="8"/>
  <c r="L589" i="8"/>
  <c r="K589" i="8"/>
  <c r="L588" i="8"/>
  <c r="K588" i="8"/>
  <c r="L587" i="8"/>
  <c r="K587" i="8"/>
  <c r="L586" i="8"/>
  <c r="K586" i="8"/>
  <c r="L585" i="8"/>
  <c r="K585" i="8"/>
  <c r="L584" i="8"/>
  <c r="K584" i="8"/>
  <c r="L583" i="8"/>
  <c r="K583" i="8"/>
  <c r="L582" i="8"/>
  <c r="K582" i="8"/>
  <c r="L581" i="8"/>
  <c r="K581" i="8"/>
  <c r="L580" i="8"/>
  <c r="K580" i="8"/>
  <c r="L579" i="8"/>
  <c r="K579" i="8"/>
  <c r="L578" i="8"/>
  <c r="K578" i="8"/>
  <c r="L577" i="8"/>
  <c r="K577" i="8"/>
  <c r="L576" i="8"/>
  <c r="K576" i="8"/>
  <c r="L575" i="8"/>
  <c r="K575" i="8"/>
  <c r="L574" i="8"/>
  <c r="K574" i="8"/>
  <c r="L573" i="8"/>
  <c r="K573" i="8"/>
  <c r="L572" i="8"/>
  <c r="K572" i="8"/>
  <c r="L571" i="8"/>
  <c r="K571" i="8"/>
  <c r="L570" i="8"/>
  <c r="K570" i="8"/>
  <c r="L569" i="8"/>
  <c r="K569" i="8"/>
  <c r="L568" i="8"/>
  <c r="K568" i="8"/>
  <c r="L567" i="8"/>
  <c r="K567" i="8"/>
  <c r="L566" i="8"/>
  <c r="K566" i="8"/>
  <c r="L565" i="8"/>
  <c r="K565" i="8"/>
  <c r="L564" i="8"/>
  <c r="K564" i="8"/>
  <c r="L563" i="8"/>
  <c r="K563" i="8"/>
  <c r="L562" i="8"/>
  <c r="K562" i="8"/>
  <c r="L561" i="8"/>
  <c r="K561" i="8"/>
  <c r="L560" i="8"/>
  <c r="K560" i="8"/>
  <c r="L559" i="8"/>
  <c r="K559" i="8"/>
  <c r="L558" i="8"/>
  <c r="K558" i="8"/>
  <c r="L557" i="8"/>
  <c r="K557" i="8"/>
  <c r="L556" i="8"/>
  <c r="K556" i="8"/>
  <c r="L555" i="8"/>
  <c r="K555" i="8"/>
  <c r="L554" i="8"/>
  <c r="K554" i="8"/>
  <c r="L553" i="8"/>
  <c r="K553" i="8"/>
  <c r="L552" i="8"/>
  <c r="K552" i="8"/>
  <c r="L551" i="8"/>
  <c r="K551" i="8"/>
  <c r="L550" i="8"/>
  <c r="K550" i="8"/>
  <c r="L549" i="8"/>
  <c r="K549" i="8"/>
  <c r="L548" i="8"/>
  <c r="K548" i="8"/>
  <c r="L547" i="8"/>
  <c r="K547" i="8"/>
  <c r="L546" i="8"/>
  <c r="K546" i="8"/>
  <c r="L545" i="8"/>
  <c r="K545" i="8"/>
  <c r="L544" i="8"/>
  <c r="K544" i="8"/>
  <c r="L543" i="8"/>
  <c r="K543" i="8"/>
  <c r="L542" i="8"/>
  <c r="K542" i="8"/>
  <c r="L541" i="8"/>
  <c r="K541" i="8"/>
  <c r="L540" i="8"/>
  <c r="K540" i="8"/>
  <c r="L539" i="8"/>
  <c r="K539" i="8"/>
  <c r="L538" i="8"/>
  <c r="K538" i="8"/>
  <c r="L537" i="8"/>
  <c r="K537" i="8"/>
  <c r="L536" i="8"/>
  <c r="K536" i="8"/>
  <c r="L535" i="8"/>
  <c r="K535" i="8"/>
  <c r="L534" i="8"/>
  <c r="K534" i="8"/>
  <c r="L533" i="8"/>
  <c r="K533" i="8"/>
  <c r="L532" i="8"/>
  <c r="K532" i="8"/>
  <c r="L531" i="8"/>
  <c r="K531" i="8"/>
  <c r="L530" i="8"/>
  <c r="K530" i="8"/>
  <c r="L529" i="8"/>
  <c r="K529" i="8"/>
  <c r="L528" i="8"/>
  <c r="K528" i="8"/>
  <c r="L527" i="8"/>
  <c r="K527" i="8"/>
  <c r="L526" i="8"/>
  <c r="K526" i="8"/>
  <c r="L525" i="8"/>
  <c r="K525" i="8"/>
  <c r="L524" i="8"/>
  <c r="K524" i="8"/>
  <c r="L523" i="8"/>
  <c r="K523" i="8"/>
  <c r="L522" i="8"/>
  <c r="K522" i="8"/>
  <c r="L521" i="8"/>
  <c r="K521" i="8"/>
  <c r="L520" i="8"/>
  <c r="K520" i="8"/>
  <c r="L519" i="8"/>
  <c r="K519" i="8"/>
  <c r="L518" i="8"/>
  <c r="K518" i="8"/>
  <c r="L517" i="8"/>
  <c r="K517" i="8"/>
  <c r="L516" i="8"/>
  <c r="K516" i="8"/>
  <c r="L515" i="8"/>
  <c r="K515" i="8"/>
  <c r="L514" i="8"/>
  <c r="K514" i="8"/>
  <c r="L513" i="8"/>
  <c r="K513" i="8"/>
  <c r="L512" i="8"/>
  <c r="K512" i="8"/>
  <c r="L511" i="8"/>
  <c r="K511" i="8"/>
  <c r="L510" i="8"/>
  <c r="K510" i="8"/>
  <c r="L509" i="8"/>
  <c r="K509" i="8"/>
  <c r="L508" i="8"/>
  <c r="K508" i="8"/>
  <c r="L507" i="8"/>
  <c r="K507" i="8"/>
  <c r="L506" i="8"/>
  <c r="K506" i="8"/>
  <c r="L505" i="8"/>
  <c r="K505" i="8"/>
  <c r="L504" i="8"/>
  <c r="K504" i="8"/>
  <c r="L503" i="8"/>
  <c r="K503" i="8"/>
  <c r="L502" i="8"/>
  <c r="K502" i="8"/>
  <c r="L501" i="8"/>
  <c r="K501" i="8"/>
  <c r="L500" i="8"/>
  <c r="K500" i="8"/>
  <c r="L499" i="8"/>
  <c r="K499" i="8"/>
  <c r="L498" i="8"/>
  <c r="K498" i="8"/>
  <c r="L497" i="8"/>
  <c r="K497" i="8"/>
  <c r="L496" i="8"/>
  <c r="K496" i="8"/>
  <c r="L495" i="8"/>
  <c r="K495" i="8"/>
  <c r="L494" i="8"/>
  <c r="K494" i="8"/>
  <c r="L493" i="8"/>
  <c r="K493" i="8"/>
  <c r="L492" i="8"/>
  <c r="K492" i="8"/>
  <c r="L491" i="8"/>
  <c r="K491" i="8"/>
  <c r="L490" i="8"/>
  <c r="K490" i="8"/>
  <c r="L489" i="8"/>
  <c r="K489" i="8"/>
  <c r="L488" i="8"/>
  <c r="K488" i="8"/>
  <c r="L487" i="8"/>
  <c r="K487" i="8"/>
  <c r="L486" i="8"/>
  <c r="K486" i="8"/>
  <c r="L485" i="8"/>
  <c r="K485" i="8"/>
  <c r="L484" i="8"/>
  <c r="K484" i="8"/>
  <c r="L483" i="8"/>
  <c r="K483" i="8"/>
  <c r="L482" i="8"/>
  <c r="K482" i="8"/>
  <c r="L481" i="8"/>
  <c r="K481" i="8"/>
  <c r="L480" i="8"/>
  <c r="K480" i="8"/>
  <c r="L479" i="8"/>
  <c r="K479" i="8"/>
  <c r="L478" i="8"/>
  <c r="K478" i="8"/>
  <c r="L477" i="8"/>
  <c r="K477" i="8"/>
  <c r="L476" i="8"/>
  <c r="K476" i="8"/>
  <c r="L475" i="8"/>
  <c r="K475" i="8"/>
  <c r="L474" i="8"/>
  <c r="K474" i="8"/>
  <c r="L473" i="8"/>
  <c r="K473" i="8"/>
  <c r="L472" i="8"/>
  <c r="K472" i="8"/>
  <c r="L471" i="8"/>
  <c r="K471" i="8"/>
  <c r="L470" i="8"/>
  <c r="K470" i="8"/>
  <c r="L469" i="8"/>
  <c r="K469" i="8"/>
  <c r="L468" i="8"/>
  <c r="K468" i="8"/>
  <c r="L467" i="8"/>
  <c r="K467" i="8"/>
  <c r="L466" i="8"/>
  <c r="K466" i="8"/>
  <c r="L465" i="8"/>
  <c r="K465" i="8"/>
  <c r="L464" i="8"/>
  <c r="K464" i="8"/>
  <c r="L463" i="8"/>
  <c r="K463" i="8"/>
  <c r="L462" i="8"/>
  <c r="K462" i="8"/>
  <c r="L461" i="8"/>
  <c r="K461" i="8"/>
  <c r="L460" i="8"/>
  <c r="K460" i="8"/>
  <c r="L459" i="8"/>
  <c r="K459" i="8"/>
  <c r="L458" i="8"/>
  <c r="K458" i="8"/>
  <c r="L457" i="8"/>
  <c r="K457" i="8"/>
  <c r="L456" i="8"/>
  <c r="K456" i="8"/>
  <c r="L455" i="8"/>
  <c r="K455" i="8"/>
  <c r="L454" i="8"/>
  <c r="K454" i="8"/>
  <c r="L453" i="8"/>
  <c r="K453" i="8"/>
  <c r="L452" i="8"/>
  <c r="K452" i="8"/>
  <c r="L451" i="8"/>
  <c r="K451" i="8"/>
  <c r="L450" i="8"/>
  <c r="K450" i="8"/>
  <c r="L449" i="8"/>
  <c r="K449" i="8"/>
  <c r="L448" i="8"/>
  <c r="K448" i="8"/>
  <c r="L447" i="8"/>
  <c r="K447" i="8"/>
  <c r="L446" i="8"/>
  <c r="K446" i="8"/>
  <c r="L445" i="8"/>
  <c r="K445" i="8"/>
  <c r="L444" i="8"/>
  <c r="K444" i="8"/>
  <c r="L443" i="8"/>
  <c r="K443" i="8"/>
  <c r="L442" i="8"/>
  <c r="K442" i="8"/>
  <c r="L441" i="8"/>
  <c r="K441" i="8"/>
  <c r="L440" i="8"/>
  <c r="K440" i="8"/>
  <c r="L439" i="8"/>
  <c r="K439" i="8"/>
  <c r="L438" i="8"/>
  <c r="K438" i="8"/>
  <c r="L437" i="8"/>
  <c r="K437" i="8"/>
  <c r="L436" i="8"/>
  <c r="K436" i="8"/>
  <c r="L435" i="8"/>
  <c r="K435" i="8"/>
  <c r="L434" i="8"/>
  <c r="K434" i="8"/>
  <c r="L433" i="8"/>
  <c r="K433" i="8"/>
  <c r="L432" i="8"/>
  <c r="K432" i="8"/>
  <c r="L431" i="8"/>
  <c r="K431" i="8"/>
  <c r="L430" i="8"/>
  <c r="K430" i="8"/>
  <c r="L429" i="8"/>
  <c r="K429" i="8"/>
  <c r="L428" i="8"/>
  <c r="K428" i="8"/>
  <c r="L427" i="8"/>
  <c r="K427" i="8"/>
  <c r="L426" i="8"/>
  <c r="K426" i="8"/>
  <c r="L425" i="8"/>
  <c r="K425" i="8"/>
  <c r="L424" i="8"/>
  <c r="K424" i="8"/>
  <c r="L423" i="8"/>
  <c r="K423" i="8"/>
  <c r="L422" i="8"/>
  <c r="K422" i="8"/>
  <c r="L421" i="8"/>
  <c r="K421" i="8"/>
  <c r="L420" i="8"/>
  <c r="K420" i="8"/>
  <c r="L419" i="8"/>
  <c r="K419" i="8"/>
  <c r="L418" i="8"/>
  <c r="K418" i="8"/>
  <c r="L417" i="8"/>
  <c r="K417" i="8"/>
  <c r="L416" i="8"/>
  <c r="K416" i="8"/>
  <c r="L415" i="8"/>
  <c r="K415" i="8"/>
  <c r="L414" i="8"/>
  <c r="K414" i="8"/>
  <c r="L413" i="8"/>
  <c r="K413" i="8"/>
  <c r="L412" i="8"/>
  <c r="K412" i="8"/>
  <c r="L411" i="8"/>
  <c r="K411" i="8"/>
  <c r="L410" i="8"/>
  <c r="K410" i="8"/>
  <c r="L409" i="8"/>
  <c r="K409" i="8"/>
  <c r="L408" i="8"/>
  <c r="K408" i="8"/>
  <c r="L407" i="8"/>
  <c r="K407" i="8"/>
  <c r="L406" i="8"/>
  <c r="K406" i="8"/>
  <c r="L405" i="8"/>
  <c r="K405" i="8"/>
  <c r="L404" i="8"/>
  <c r="K404" i="8"/>
  <c r="L403" i="8"/>
  <c r="K403" i="8"/>
  <c r="L402" i="8"/>
  <c r="K402" i="8"/>
  <c r="L401" i="8"/>
  <c r="K401" i="8"/>
  <c r="L400" i="8"/>
  <c r="K400" i="8"/>
  <c r="L399" i="8"/>
  <c r="K399" i="8"/>
  <c r="L398" i="8"/>
  <c r="K398" i="8"/>
  <c r="L397" i="8"/>
  <c r="K397" i="8"/>
  <c r="L396" i="8"/>
  <c r="K396" i="8"/>
  <c r="L395" i="8"/>
  <c r="K395" i="8"/>
  <c r="L394" i="8"/>
  <c r="K394" i="8"/>
  <c r="L393" i="8"/>
  <c r="K393" i="8"/>
  <c r="L392" i="8"/>
  <c r="K392" i="8"/>
  <c r="L391" i="8"/>
  <c r="K391" i="8"/>
  <c r="L390" i="8"/>
  <c r="K390" i="8"/>
  <c r="L389" i="8"/>
  <c r="K389" i="8"/>
  <c r="L388" i="8"/>
  <c r="K388" i="8"/>
  <c r="L387" i="8"/>
  <c r="K387" i="8"/>
  <c r="L386" i="8"/>
  <c r="K386" i="8"/>
  <c r="L385" i="8"/>
  <c r="K385" i="8"/>
  <c r="L384" i="8"/>
  <c r="K384" i="8"/>
  <c r="L383" i="8"/>
  <c r="K383" i="8"/>
  <c r="L382" i="8"/>
  <c r="K382" i="8"/>
  <c r="L381" i="8"/>
  <c r="K381" i="8"/>
  <c r="L380" i="8"/>
  <c r="K380" i="8"/>
  <c r="L379" i="8"/>
  <c r="K379" i="8"/>
  <c r="L378" i="8"/>
  <c r="K378" i="8"/>
  <c r="L377" i="8"/>
  <c r="K377" i="8"/>
  <c r="L376" i="8"/>
  <c r="K376" i="8"/>
  <c r="L375" i="8"/>
  <c r="K375" i="8"/>
  <c r="L374" i="8"/>
  <c r="K374" i="8"/>
  <c r="L373" i="8"/>
  <c r="K373" i="8"/>
  <c r="L372" i="8"/>
  <c r="K372" i="8"/>
  <c r="L371" i="8"/>
  <c r="K371" i="8"/>
  <c r="L370" i="8"/>
  <c r="K370" i="8"/>
  <c r="L369" i="8"/>
  <c r="K369" i="8"/>
  <c r="L368" i="8"/>
  <c r="K368" i="8"/>
  <c r="L367" i="8"/>
  <c r="K367" i="8"/>
  <c r="L366" i="8"/>
  <c r="K366" i="8"/>
  <c r="L365" i="8"/>
  <c r="K365" i="8"/>
  <c r="L364" i="8"/>
  <c r="K364" i="8"/>
  <c r="L363" i="8"/>
  <c r="K363" i="8"/>
  <c r="L362" i="8"/>
  <c r="K362" i="8"/>
  <c r="L361" i="8"/>
  <c r="K361" i="8"/>
  <c r="L360" i="8"/>
  <c r="K360" i="8"/>
  <c r="L359" i="8"/>
  <c r="K359" i="8"/>
  <c r="L358" i="8"/>
  <c r="K358" i="8"/>
  <c r="L357" i="8"/>
  <c r="K357" i="8"/>
  <c r="L356" i="8"/>
  <c r="K356" i="8"/>
  <c r="L355" i="8"/>
  <c r="K355" i="8"/>
  <c r="L354" i="8"/>
  <c r="K354" i="8"/>
  <c r="L353" i="8"/>
  <c r="K353" i="8"/>
  <c r="L352" i="8"/>
  <c r="K352" i="8"/>
  <c r="L351" i="8"/>
  <c r="K351" i="8"/>
  <c r="L350" i="8"/>
  <c r="K350" i="8"/>
  <c r="L349" i="8"/>
  <c r="K349" i="8"/>
  <c r="L348" i="8"/>
  <c r="K348" i="8"/>
  <c r="L347" i="8"/>
  <c r="K347" i="8"/>
  <c r="L346" i="8"/>
  <c r="K346" i="8"/>
  <c r="L345" i="8"/>
  <c r="K345" i="8"/>
  <c r="L344" i="8"/>
  <c r="K344" i="8"/>
  <c r="L343" i="8"/>
  <c r="K343" i="8"/>
  <c r="L342" i="8"/>
  <c r="K342" i="8"/>
  <c r="L341" i="8"/>
  <c r="K341" i="8"/>
  <c r="L340" i="8"/>
  <c r="K340" i="8"/>
  <c r="L339" i="8"/>
  <c r="K339" i="8"/>
  <c r="L338" i="8"/>
  <c r="K338" i="8"/>
  <c r="L337" i="8"/>
  <c r="K337" i="8"/>
  <c r="L336" i="8"/>
  <c r="K336" i="8"/>
  <c r="L335" i="8"/>
  <c r="K335" i="8"/>
  <c r="L334" i="8"/>
  <c r="K334" i="8"/>
  <c r="L333" i="8"/>
  <c r="K333" i="8"/>
  <c r="L332" i="8"/>
  <c r="K332" i="8"/>
  <c r="L331" i="8"/>
  <c r="K331" i="8"/>
  <c r="L330" i="8"/>
  <c r="K330" i="8"/>
  <c r="L329" i="8"/>
  <c r="K329" i="8"/>
  <c r="L328" i="8"/>
  <c r="K328" i="8"/>
  <c r="L327" i="8"/>
  <c r="K327" i="8"/>
  <c r="L326" i="8"/>
  <c r="K326" i="8"/>
  <c r="L325" i="8"/>
  <c r="K325" i="8"/>
  <c r="L324" i="8"/>
  <c r="K324" i="8"/>
  <c r="L323" i="8"/>
  <c r="K323" i="8"/>
  <c r="L322" i="8"/>
  <c r="K322" i="8"/>
  <c r="L321" i="8"/>
  <c r="K321" i="8"/>
  <c r="L320" i="8"/>
  <c r="K320" i="8"/>
  <c r="L319" i="8"/>
  <c r="K319" i="8"/>
  <c r="L318" i="8"/>
  <c r="K318" i="8"/>
  <c r="L317" i="8"/>
  <c r="K317" i="8"/>
  <c r="L316" i="8"/>
  <c r="K316" i="8"/>
  <c r="L315" i="8"/>
  <c r="K315" i="8"/>
  <c r="L314" i="8"/>
  <c r="K314" i="8"/>
  <c r="L313" i="8"/>
  <c r="K313" i="8"/>
  <c r="L312" i="8"/>
  <c r="K312" i="8"/>
  <c r="L311" i="8"/>
  <c r="K311" i="8"/>
  <c r="L310" i="8"/>
  <c r="K310" i="8"/>
  <c r="L309" i="8"/>
  <c r="K309" i="8"/>
  <c r="L308" i="8"/>
  <c r="K308" i="8"/>
  <c r="L307" i="8"/>
  <c r="K307" i="8"/>
  <c r="L306" i="8"/>
  <c r="K306" i="8"/>
  <c r="L305" i="8"/>
  <c r="K305" i="8"/>
  <c r="L304" i="8"/>
  <c r="K304" i="8"/>
  <c r="L303" i="8"/>
  <c r="K303" i="8"/>
  <c r="L302" i="8"/>
  <c r="K302" i="8"/>
  <c r="L301" i="8"/>
  <c r="K301" i="8"/>
  <c r="L300" i="8"/>
  <c r="K300" i="8"/>
  <c r="L299" i="8"/>
  <c r="K299" i="8"/>
  <c r="L298" i="8"/>
  <c r="K298" i="8"/>
  <c r="L297" i="8"/>
  <c r="K297" i="8"/>
  <c r="L296" i="8"/>
  <c r="K296" i="8"/>
  <c r="L295" i="8"/>
  <c r="K295" i="8"/>
  <c r="L294" i="8"/>
  <c r="K294" i="8"/>
  <c r="L293" i="8"/>
  <c r="K293" i="8"/>
  <c r="L292" i="8"/>
  <c r="K292" i="8"/>
  <c r="L291" i="8"/>
  <c r="K291" i="8"/>
  <c r="L290" i="8"/>
  <c r="K290" i="8"/>
  <c r="L289" i="8"/>
  <c r="K289" i="8"/>
  <c r="L288" i="8"/>
  <c r="K288" i="8"/>
  <c r="L287" i="8"/>
  <c r="K287" i="8"/>
  <c r="L286" i="8"/>
  <c r="K286" i="8"/>
  <c r="L285" i="8"/>
  <c r="K285" i="8"/>
  <c r="L284" i="8"/>
  <c r="K284" i="8"/>
  <c r="L283" i="8"/>
  <c r="K283" i="8"/>
  <c r="L282" i="8"/>
  <c r="K282" i="8"/>
  <c r="L281" i="8"/>
  <c r="K281" i="8"/>
  <c r="L280" i="8"/>
  <c r="K280" i="8"/>
  <c r="L279" i="8"/>
  <c r="K279" i="8"/>
  <c r="L278" i="8"/>
  <c r="K278" i="8"/>
  <c r="L277" i="8"/>
  <c r="K277" i="8"/>
  <c r="L276" i="8"/>
  <c r="K276" i="8"/>
  <c r="L275" i="8"/>
  <c r="K275" i="8"/>
  <c r="L274" i="8"/>
  <c r="K274" i="8"/>
  <c r="L273" i="8"/>
  <c r="K273" i="8"/>
  <c r="L272" i="8"/>
  <c r="K272" i="8"/>
  <c r="L271" i="8"/>
  <c r="K271" i="8"/>
  <c r="L270" i="8"/>
  <c r="K270" i="8"/>
  <c r="L269" i="8"/>
  <c r="K269" i="8"/>
  <c r="L268" i="8"/>
  <c r="K268" i="8"/>
  <c r="L267" i="8"/>
  <c r="K267" i="8"/>
  <c r="L266" i="8"/>
  <c r="K266" i="8"/>
  <c r="L265" i="8"/>
  <c r="K265" i="8"/>
  <c r="L264" i="8"/>
  <c r="K264" i="8"/>
  <c r="L263" i="8"/>
  <c r="K263" i="8"/>
  <c r="L262" i="8"/>
  <c r="K262" i="8"/>
  <c r="L261" i="8"/>
  <c r="K261" i="8"/>
  <c r="L260" i="8"/>
  <c r="K260" i="8"/>
  <c r="L259" i="8"/>
  <c r="K259" i="8"/>
  <c r="L258" i="8"/>
  <c r="K258" i="8"/>
  <c r="L257" i="8"/>
  <c r="K257" i="8"/>
  <c r="L256" i="8"/>
  <c r="K256" i="8"/>
  <c r="L255" i="8"/>
  <c r="K255" i="8"/>
  <c r="L254" i="8"/>
  <c r="K254" i="8"/>
  <c r="L253" i="8"/>
  <c r="K253" i="8"/>
  <c r="L252" i="8"/>
  <c r="K252" i="8"/>
  <c r="L251" i="8"/>
  <c r="K251" i="8"/>
  <c r="L250" i="8"/>
  <c r="K250" i="8"/>
  <c r="L249" i="8"/>
  <c r="K249" i="8"/>
  <c r="L248" i="8"/>
  <c r="K248" i="8"/>
  <c r="L247" i="8"/>
  <c r="K247" i="8"/>
  <c r="L246" i="8"/>
  <c r="K246" i="8"/>
  <c r="L245" i="8"/>
  <c r="K245" i="8"/>
  <c r="L244" i="8"/>
  <c r="K244" i="8"/>
  <c r="L243" i="8"/>
  <c r="K243" i="8"/>
  <c r="L242" i="8"/>
  <c r="K242" i="8"/>
  <c r="L241" i="8"/>
  <c r="K241" i="8"/>
  <c r="L240" i="8"/>
  <c r="K240" i="8"/>
  <c r="L239" i="8"/>
  <c r="K239" i="8"/>
  <c r="L238" i="8"/>
  <c r="K238" i="8"/>
  <c r="L237" i="8"/>
  <c r="K237" i="8"/>
  <c r="L236" i="8"/>
  <c r="K236" i="8"/>
  <c r="L235" i="8"/>
  <c r="K235" i="8"/>
  <c r="L234" i="8"/>
  <c r="K234" i="8"/>
  <c r="L233" i="8"/>
  <c r="K233" i="8"/>
  <c r="L232" i="8"/>
  <c r="K232" i="8"/>
  <c r="L231" i="8"/>
  <c r="K231" i="8"/>
  <c r="L230" i="8"/>
  <c r="K230" i="8"/>
  <c r="L229" i="8"/>
  <c r="K229" i="8"/>
  <c r="L228" i="8"/>
  <c r="K228" i="8"/>
  <c r="L227" i="8"/>
  <c r="K227" i="8"/>
  <c r="L226" i="8"/>
  <c r="K226" i="8"/>
  <c r="L225" i="8"/>
  <c r="K225" i="8"/>
  <c r="L224" i="8"/>
  <c r="K224" i="8"/>
  <c r="L223" i="8"/>
  <c r="K223" i="8"/>
  <c r="L222" i="8"/>
  <c r="K222" i="8"/>
  <c r="L221" i="8"/>
  <c r="K221" i="8"/>
  <c r="L220" i="8"/>
  <c r="K220" i="8"/>
  <c r="L219" i="8"/>
  <c r="K219" i="8"/>
  <c r="L218" i="8"/>
  <c r="K218" i="8"/>
  <c r="L217" i="8"/>
  <c r="K217" i="8"/>
  <c r="L216" i="8"/>
  <c r="K216" i="8"/>
  <c r="L215" i="8"/>
  <c r="K215" i="8"/>
  <c r="L214" i="8"/>
  <c r="K214" i="8"/>
  <c r="L213" i="8"/>
  <c r="K213" i="8"/>
  <c r="L212" i="8"/>
  <c r="K212" i="8"/>
  <c r="L211" i="8"/>
  <c r="K211" i="8"/>
  <c r="L210" i="8"/>
  <c r="K210" i="8"/>
  <c r="L209" i="8"/>
  <c r="K209" i="8"/>
  <c r="L208" i="8"/>
  <c r="K208" i="8"/>
  <c r="L207" i="8"/>
  <c r="K207" i="8"/>
  <c r="L206" i="8"/>
  <c r="K206" i="8"/>
  <c r="L205" i="8"/>
  <c r="K205" i="8"/>
  <c r="L204" i="8"/>
  <c r="K204" i="8"/>
  <c r="L203" i="8"/>
  <c r="K203" i="8"/>
  <c r="L202" i="8"/>
  <c r="K202" i="8"/>
  <c r="L201" i="8"/>
  <c r="K201" i="8"/>
  <c r="L200" i="8"/>
  <c r="K200" i="8"/>
  <c r="L199" i="8"/>
  <c r="K199" i="8"/>
  <c r="L198" i="8"/>
  <c r="K198" i="8"/>
  <c r="L197" i="8"/>
  <c r="K197" i="8"/>
  <c r="L196" i="8"/>
  <c r="K196" i="8"/>
  <c r="L195" i="8"/>
  <c r="K195" i="8"/>
  <c r="L194" i="8"/>
  <c r="K194" i="8"/>
  <c r="L193" i="8"/>
  <c r="K193" i="8"/>
  <c r="L192" i="8"/>
  <c r="K192" i="8"/>
  <c r="L191" i="8"/>
  <c r="K191" i="8"/>
  <c r="L190" i="8"/>
  <c r="K190" i="8"/>
  <c r="L189" i="8"/>
  <c r="K189" i="8"/>
  <c r="L188" i="8"/>
  <c r="K188" i="8"/>
  <c r="L187" i="8"/>
  <c r="K187" i="8"/>
  <c r="L186" i="8"/>
  <c r="K186" i="8"/>
  <c r="L185" i="8"/>
  <c r="K185" i="8"/>
  <c r="L184" i="8"/>
  <c r="K184" i="8"/>
  <c r="L183" i="8"/>
  <c r="K183" i="8"/>
  <c r="L182" i="8"/>
  <c r="K182" i="8"/>
  <c r="L181" i="8"/>
  <c r="K181" i="8"/>
  <c r="L180" i="8"/>
  <c r="K180" i="8"/>
  <c r="L179" i="8"/>
  <c r="K179" i="8"/>
  <c r="L178" i="8"/>
  <c r="K178" i="8"/>
  <c r="L177" i="8"/>
  <c r="K177" i="8"/>
  <c r="L176" i="8"/>
  <c r="K176" i="8"/>
  <c r="L175" i="8"/>
  <c r="K175" i="8"/>
  <c r="L174" i="8"/>
  <c r="K174" i="8"/>
  <c r="L173" i="8"/>
  <c r="K173" i="8"/>
  <c r="L172" i="8"/>
  <c r="K172" i="8"/>
  <c r="L171" i="8"/>
  <c r="K171" i="8"/>
  <c r="L170" i="8"/>
  <c r="K170" i="8"/>
  <c r="L169" i="8"/>
  <c r="K169" i="8"/>
  <c r="L168" i="8"/>
  <c r="K168" i="8"/>
  <c r="L167" i="8"/>
  <c r="K167" i="8"/>
  <c r="L166" i="8"/>
  <c r="K166" i="8"/>
  <c r="L165" i="8"/>
  <c r="K165" i="8"/>
  <c r="L164" i="8"/>
  <c r="K164" i="8"/>
  <c r="L163" i="8"/>
  <c r="K163" i="8"/>
  <c r="L162" i="8"/>
  <c r="K162" i="8"/>
  <c r="L161" i="8"/>
  <c r="K161" i="8"/>
  <c r="L160" i="8"/>
  <c r="K160" i="8"/>
  <c r="L159" i="8"/>
  <c r="K159" i="8"/>
  <c r="L158" i="8"/>
  <c r="K158" i="8"/>
  <c r="L157" i="8"/>
  <c r="K157" i="8"/>
  <c r="L156" i="8"/>
  <c r="K156" i="8"/>
  <c r="L155" i="8"/>
  <c r="K155" i="8"/>
  <c r="L154" i="8"/>
  <c r="K154" i="8"/>
  <c r="L153" i="8"/>
  <c r="K153" i="8"/>
  <c r="L152" i="8"/>
  <c r="K152" i="8"/>
  <c r="L151" i="8"/>
  <c r="K151" i="8"/>
  <c r="L150" i="8"/>
  <c r="K150" i="8"/>
  <c r="L149" i="8"/>
  <c r="K149" i="8"/>
  <c r="L148" i="8"/>
  <c r="K148" i="8"/>
  <c r="L147" i="8"/>
  <c r="K147" i="8"/>
  <c r="L146" i="8"/>
  <c r="K146" i="8"/>
  <c r="L145" i="8"/>
  <c r="K145" i="8"/>
  <c r="L144" i="8"/>
  <c r="K144" i="8"/>
  <c r="L143" i="8"/>
  <c r="K143" i="8"/>
  <c r="L142" i="8"/>
  <c r="K142" i="8"/>
  <c r="L141" i="8"/>
  <c r="K141" i="8"/>
  <c r="L140" i="8"/>
  <c r="K140" i="8"/>
  <c r="L139" i="8"/>
  <c r="K139" i="8"/>
  <c r="L138" i="8"/>
  <c r="K138" i="8"/>
  <c r="L137" i="8"/>
  <c r="K137" i="8"/>
  <c r="L136" i="8"/>
  <c r="K136" i="8"/>
  <c r="L135" i="8"/>
  <c r="K135" i="8"/>
  <c r="L134" i="8"/>
  <c r="K134" i="8"/>
  <c r="L133" i="8"/>
  <c r="K133" i="8"/>
  <c r="L132" i="8"/>
  <c r="K132" i="8"/>
  <c r="L131" i="8"/>
  <c r="K131" i="8"/>
  <c r="L130" i="8"/>
  <c r="K130" i="8"/>
  <c r="L129" i="8"/>
  <c r="K129" i="8"/>
  <c r="L128" i="8"/>
  <c r="K128" i="8"/>
  <c r="L127" i="8"/>
  <c r="K127" i="8"/>
  <c r="L126" i="8"/>
  <c r="K126" i="8"/>
  <c r="L125" i="8"/>
  <c r="K125" i="8"/>
  <c r="L124" i="8"/>
  <c r="K124" i="8"/>
  <c r="L123" i="8"/>
  <c r="K123" i="8"/>
  <c r="L122" i="8"/>
  <c r="K122" i="8"/>
  <c r="L121" i="8"/>
  <c r="K121" i="8"/>
  <c r="L120" i="8"/>
  <c r="K120" i="8"/>
  <c r="L119" i="8"/>
  <c r="K119" i="8"/>
  <c r="L118" i="8"/>
  <c r="K118" i="8"/>
  <c r="L117" i="8"/>
  <c r="K117" i="8"/>
  <c r="L116" i="8"/>
  <c r="K116" i="8"/>
  <c r="L115" i="8"/>
  <c r="K115" i="8"/>
  <c r="L114" i="8"/>
  <c r="K114" i="8"/>
  <c r="L113" i="8"/>
  <c r="K113" i="8"/>
  <c r="L112" i="8"/>
  <c r="K112" i="8"/>
  <c r="L111" i="8"/>
  <c r="K111" i="8"/>
  <c r="L110" i="8"/>
  <c r="K110" i="8"/>
  <c r="L109" i="8"/>
  <c r="K109" i="8"/>
  <c r="L108" i="8"/>
  <c r="K108" i="8"/>
  <c r="L107" i="8"/>
  <c r="K107" i="8"/>
  <c r="L106" i="8"/>
  <c r="K106" i="8"/>
  <c r="L105" i="8"/>
  <c r="K105" i="8"/>
  <c r="L104" i="8"/>
  <c r="K104" i="8"/>
  <c r="L103" i="8"/>
  <c r="K103" i="8"/>
  <c r="L102" i="8"/>
  <c r="K102" i="8"/>
  <c r="L101" i="8"/>
  <c r="K101" i="8"/>
  <c r="L100" i="8"/>
  <c r="K100" i="8"/>
  <c r="L99" i="8"/>
  <c r="K99" i="8"/>
  <c r="L98" i="8"/>
  <c r="K98" i="8"/>
  <c r="L97" i="8"/>
  <c r="K97" i="8"/>
  <c r="L96" i="8"/>
  <c r="K96" i="8"/>
  <c r="L95" i="8"/>
  <c r="K95" i="8"/>
  <c r="L94" i="8"/>
  <c r="K94" i="8"/>
  <c r="L93" i="8"/>
  <c r="K93" i="8"/>
  <c r="L92" i="8"/>
  <c r="K92" i="8"/>
  <c r="L91" i="8"/>
  <c r="K91" i="8"/>
  <c r="L90" i="8"/>
  <c r="K90" i="8"/>
  <c r="L89" i="8"/>
  <c r="K89" i="8"/>
  <c r="L88" i="8"/>
  <c r="K88" i="8"/>
  <c r="L87" i="8"/>
  <c r="K87" i="8"/>
  <c r="L86" i="8"/>
  <c r="K86" i="8"/>
  <c r="L85" i="8"/>
  <c r="K85" i="8"/>
  <c r="L84" i="8"/>
  <c r="K84" i="8"/>
  <c r="L83" i="8"/>
  <c r="K83" i="8"/>
  <c r="L82" i="8"/>
  <c r="K82" i="8"/>
  <c r="L81" i="8"/>
  <c r="K81" i="8"/>
  <c r="L80" i="8"/>
  <c r="K80" i="8"/>
  <c r="L79" i="8"/>
  <c r="K79" i="8"/>
  <c r="L78" i="8"/>
  <c r="K78" i="8"/>
  <c r="L77" i="8"/>
  <c r="K77" i="8"/>
  <c r="L76" i="8"/>
  <c r="K76" i="8"/>
  <c r="L75" i="8"/>
  <c r="K75" i="8"/>
  <c r="L74" i="8"/>
  <c r="K74" i="8"/>
  <c r="L73" i="8"/>
  <c r="K73" i="8"/>
  <c r="L72" i="8"/>
  <c r="K72" i="8"/>
  <c r="L71" i="8"/>
  <c r="K71" i="8"/>
  <c r="L70" i="8"/>
  <c r="K70" i="8"/>
  <c r="L69" i="8"/>
  <c r="K69" i="8"/>
  <c r="L68" i="8"/>
  <c r="K68" i="8"/>
  <c r="L67" i="8"/>
  <c r="K67" i="8"/>
  <c r="L66" i="8"/>
  <c r="K66" i="8"/>
  <c r="L65" i="8"/>
  <c r="K65" i="8"/>
  <c r="L64" i="8"/>
  <c r="K64" i="8"/>
  <c r="L63" i="8"/>
  <c r="K63" i="8"/>
  <c r="L62" i="8"/>
  <c r="K62" i="8"/>
  <c r="L61" i="8"/>
  <c r="K61" i="8"/>
  <c r="L60" i="8"/>
  <c r="K60" i="8"/>
  <c r="L59" i="8"/>
  <c r="K59" i="8"/>
  <c r="L58" i="8"/>
  <c r="K58" i="8"/>
  <c r="L57" i="8"/>
  <c r="K57" i="8"/>
  <c r="L56" i="8"/>
  <c r="K56" i="8"/>
  <c r="L55" i="8"/>
  <c r="K55" i="8"/>
  <c r="L54" i="8"/>
  <c r="K54" i="8"/>
  <c r="L53" i="8"/>
  <c r="K53" i="8"/>
  <c r="L52" i="8"/>
  <c r="K52" i="8"/>
  <c r="L51" i="8"/>
  <c r="K51" i="8"/>
  <c r="L50" i="8"/>
  <c r="K50" i="8"/>
  <c r="L49" i="8"/>
  <c r="K49" i="8"/>
  <c r="L48" i="8"/>
  <c r="K48" i="8"/>
  <c r="L47" i="8"/>
  <c r="K47" i="8"/>
  <c r="L46" i="8"/>
  <c r="K46" i="8"/>
  <c r="L45" i="8"/>
  <c r="K45" i="8"/>
  <c r="L44" i="8"/>
  <c r="K44" i="8"/>
  <c r="L43" i="8"/>
  <c r="K43" i="8"/>
  <c r="L42" i="8"/>
  <c r="K42" i="8"/>
  <c r="L41" i="8"/>
  <c r="K41" i="8"/>
  <c r="L40" i="8"/>
  <c r="K40" i="8"/>
  <c r="L39" i="8"/>
  <c r="K39" i="8"/>
  <c r="L38" i="8"/>
  <c r="K38" i="8"/>
  <c r="L37" i="8"/>
  <c r="K37" i="8"/>
  <c r="L36" i="8"/>
  <c r="K36" i="8"/>
  <c r="L35" i="8"/>
  <c r="K35" i="8"/>
  <c r="L34" i="8"/>
  <c r="K34" i="8"/>
  <c r="L33" i="8"/>
  <c r="K33" i="8"/>
  <c r="L32" i="8"/>
  <c r="K32" i="8"/>
  <c r="L31" i="8"/>
  <c r="K31" i="8"/>
  <c r="L30" i="8"/>
  <c r="K30" i="8"/>
  <c r="L29" i="8"/>
  <c r="K29" i="8"/>
  <c r="L28" i="8"/>
  <c r="K28" i="8"/>
  <c r="L27" i="8"/>
  <c r="K27" i="8"/>
  <c r="L26" i="8"/>
  <c r="K26" i="8"/>
  <c r="L25" i="8"/>
  <c r="K25" i="8"/>
  <c r="L24" i="8"/>
  <c r="K24" i="8"/>
  <c r="L23" i="8"/>
  <c r="K23" i="8"/>
  <c r="L22" i="8"/>
  <c r="K22" i="8"/>
  <c r="L21" i="8"/>
  <c r="K21" i="8"/>
  <c r="L20" i="8"/>
  <c r="K20" i="8"/>
  <c r="L19" i="8"/>
  <c r="K19" i="8"/>
  <c r="L18" i="8"/>
  <c r="K18" i="8"/>
  <c r="L17" i="8"/>
  <c r="K17" i="8"/>
  <c r="L16" i="8"/>
  <c r="K16" i="8"/>
  <c r="L15" i="8"/>
  <c r="K15" i="8"/>
  <c r="L14" i="8"/>
  <c r="K14" i="8"/>
  <c r="L13" i="8"/>
  <c r="K13" i="8"/>
  <c r="L12" i="8"/>
  <c r="K12" i="8"/>
  <c r="L11" i="8"/>
  <c r="K11" i="8"/>
  <c r="L10" i="8"/>
  <c r="K10" i="8"/>
  <c r="L9" i="8"/>
  <c r="K9" i="8"/>
  <c r="L8" i="8"/>
  <c r="K8" i="8"/>
  <c r="L7" i="8"/>
  <c r="K7" i="8"/>
  <c r="L2006" i="7"/>
  <c r="K2006" i="7"/>
  <c r="L2005" i="7"/>
  <c r="K2005" i="7"/>
  <c r="L2004" i="7"/>
  <c r="K2004" i="7"/>
  <c r="L2003" i="7"/>
  <c r="K2003" i="7"/>
  <c r="L2002" i="7"/>
  <c r="K2002" i="7"/>
  <c r="L2001" i="7"/>
  <c r="K2001" i="7"/>
  <c r="L2000" i="7"/>
  <c r="K2000" i="7"/>
  <c r="L1999" i="7"/>
  <c r="K1999" i="7"/>
  <c r="L1998" i="7"/>
  <c r="K1998" i="7"/>
  <c r="L1997" i="7"/>
  <c r="K1997" i="7"/>
  <c r="L1996" i="7"/>
  <c r="K1996" i="7"/>
  <c r="L1995" i="7"/>
  <c r="K1995" i="7"/>
  <c r="L1994" i="7"/>
  <c r="K1994" i="7"/>
  <c r="L1993" i="7"/>
  <c r="K1993" i="7"/>
  <c r="L1992" i="7"/>
  <c r="K1992" i="7"/>
  <c r="L1991" i="7"/>
  <c r="K1991" i="7"/>
  <c r="L1990" i="7"/>
  <c r="K1990" i="7"/>
  <c r="L1989" i="7"/>
  <c r="K1989" i="7"/>
  <c r="L1988" i="7"/>
  <c r="K1988" i="7"/>
  <c r="L1987" i="7"/>
  <c r="K1987" i="7"/>
  <c r="L1986" i="7"/>
  <c r="K1986" i="7"/>
  <c r="L1985" i="7"/>
  <c r="K1985" i="7"/>
  <c r="L1984" i="7"/>
  <c r="K1984" i="7"/>
  <c r="L1983" i="7"/>
  <c r="K1983" i="7"/>
  <c r="L1982" i="7"/>
  <c r="K1982" i="7"/>
  <c r="L1981" i="7"/>
  <c r="K1981" i="7"/>
  <c r="L1980" i="7"/>
  <c r="K1980" i="7"/>
  <c r="L1979" i="7"/>
  <c r="K1979" i="7"/>
  <c r="L1978" i="7"/>
  <c r="K1978" i="7"/>
  <c r="L1977" i="7"/>
  <c r="K1977" i="7"/>
  <c r="L1976" i="7"/>
  <c r="K1976" i="7"/>
  <c r="L1975" i="7"/>
  <c r="K1975" i="7"/>
  <c r="L1974" i="7"/>
  <c r="K1974" i="7"/>
  <c r="L1973" i="7"/>
  <c r="K1973" i="7"/>
  <c r="L1972" i="7"/>
  <c r="K1972" i="7"/>
  <c r="L1971" i="7"/>
  <c r="K1971" i="7"/>
  <c r="L1970" i="7"/>
  <c r="K1970" i="7"/>
  <c r="L1969" i="7"/>
  <c r="K1969" i="7"/>
  <c r="L1968" i="7"/>
  <c r="K1968" i="7"/>
  <c r="L1967" i="7"/>
  <c r="K1967" i="7"/>
  <c r="L1966" i="7"/>
  <c r="K1966" i="7"/>
  <c r="L1965" i="7"/>
  <c r="K1965" i="7"/>
  <c r="L1964" i="7"/>
  <c r="K1964" i="7"/>
  <c r="L1963" i="7"/>
  <c r="K1963" i="7"/>
  <c r="L1962" i="7"/>
  <c r="K1962" i="7"/>
  <c r="L1961" i="7"/>
  <c r="K1961" i="7"/>
  <c r="L1960" i="7"/>
  <c r="K1960" i="7"/>
  <c r="L1959" i="7"/>
  <c r="K1959" i="7"/>
  <c r="L1958" i="7"/>
  <c r="K1958" i="7"/>
  <c r="L1957" i="7"/>
  <c r="K1957" i="7"/>
  <c r="L1956" i="7"/>
  <c r="K1956" i="7"/>
  <c r="L1955" i="7"/>
  <c r="K1955" i="7"/>
  <c r="L1954" i="7"/>
  <c r="K1954" i="7"/>
  <c r="L1953" i="7"/>
  <c r="K1953" i="7"/>
  <c r="L1952" i="7"/>
  <c r="K1952" i="7"/>
  <c r="L1951" i="7"/>
  <c r="K1951" i="7"/>
  <c r="L1950" i="7"/>
  <c r="K1950" i="7"/>
  <c r="L1949" i="7"/>
  <c r="K1949" i="7"/>
  <c r="L1948" i="7"/>
  <c r="K1948" i="7"/>
  <c r="L1947" i="7"/>
  <c r="K1947" i="7"/>
  <c r="L1946" i="7"/>
  <c r="K1946" i="7"/>
  <c r="L1945" i="7"/>
  <c r="K1945" i="7"/>
  <c r="L1944" i="7"/>
  <c r="K1944" i="7"/>
  <c r="L1943" i="7"/>
  <c r="K1943" i="7"/>
  <c r="L1942" i="7"/>
  <c r="K1942" i="7"/>
  <c r="L1941" i="7"/>
  <c r="K1941" i="7"/>
  <c r="L1940" i="7"/>
  <c r="K1940" i="7"/>
  <c r="L1939" i="7"/>
  <c r="K1939" i="7"/>
  <c r="L1938" i="7"/>
  <c r="K1938" i="7"/>
  <c r="L1937" i="7"/>
  <c r="K1937" i="7"/>
  <c r="L1936" i="7"/>
  <c r="K1936" i="7"/>
  <c r="L1935" i="7"/>
  <c r="K1935" i="7"/>
  <c r="L1934" i="7"/>
  <c r="K1934" i="7"/>
  <c r="L1933" i="7"/>
  <c r="K1933" i="7"/>
  <c r="L1932" i="7"/>
  <c r="K1932" i="7"/>
  <c r="L1931" i="7"/>
  <c r="K1931" i="7"/>
  <c r="L1930" i="7"/>
  <c r="K1930" i="7"/>
  <c r="L1929" i="7"/>
  <c r="K1929" i="7"/>
  <c r="L1928" i="7"/>
  <c r="K1928" i="7"/>
  <c r="L1927" i="7"/>
  <c r="K1927" i="7"/>
  <c r="L1926" i="7"/>
  <c r="K1926" i="7"/>
  <c r="L1925" i="7"/>
  <c r="K1925" i="7"/>
  <c r="L1924" i="7"/>
  <c r="K1924" i="7"/>
  <c r="L1923" i="7"/>
  <c r="K1923" i="7"/>
  <c r="L1922" i="7"/>
  <c r="K1922" i="7"/>
  <c r="L1921" i="7"/>
  <c r="K1921" i="7"/>
  <c r="L1920" i="7"/>
  <c r="K1920" i="7"/>
  <c r="L1919" i="7"/>
  <c r="K1919" i="7"/>
  <c r="L1918" i="7"/>
  <c r="K1918" i="7"/>
  <c r="L1917" i="7"/>
  <c r="K1917" i="7"/>
  <c r="L1916" i="7"/>
  <c r="K1916" i="7"/>
  <c r="L1915" i="7"/>
  <c r="K1915" i="7"/>
  <c r="L1914" i="7"/>
  <c r="K1914" i="7"/>
  <c r="L1913" i="7"/>
  <c r="K1913" i="7"/>
  <c r="L1912" i="7"/>
  <c r="K1912" i="7"/>
  <c r="L1911" i="7"/>
  <c r="K1911" i="7"/>
  <c r="L1910" i="7"/>
  <c r="K1910" i="7"/>
  <c r="L1909" i="7"/>
  <c r="K1909" i="7"/>
  <c r="L1908" i="7"/>
  <c r="K1908" i="7"/>
  <c r="L1907" i="7"/>
  <c r="K1907" i="7"/>
  <c r="L1906" i="7"/>
  <c r="K1906" i="7"/>
  <c r="L1905" i="7"/>
  <c r="K1905" i="7"/>
  <c r="L1904" i="7"/>
  <c r="K1904" i="7"/>
  <c r="L1903" i="7"/>
  <c r="K1903" i="7"/>
  <c r="L1902" i="7"/>
  <c r="K1902" i="7"/>
  <c r="L1901" i="7"/>
  <c r="K1901" i="7"/>
  <c r="L1900" i="7"/>
  <c r="K1900" i="7"/>
  <c r="L1899" i="7"/>
  <c r="K1899" i="7"/>
  <c r="L1898" i="7"/>
  <c r="K1898" i="7"/>
  <c r="L1897" i="7"/>
  <c r="K1897" i="7"/>
  <c r="L1896" i="7"/>
  <c r="K1896" i="7"/>
  <c r="L1895" i="7"/>
  <c r="K1895" i="7"/>
  <c r="L1894" i="7"/>
  <c r="K1894" i="7"/>
  <c r="L1893" i="7"/>
  <c r="K1893" i="7"/>
  <c r="L1892" i="7"/>
  <c r="K1892" i="7"/>
  <c r="L1891" i="7"/>
  <c r="K1891" i="7"/>
  <c r="L1890" i="7"/>
  <c r="K1890" i="7"/>
  <c r="L1889" i="7"/>
  <c r="K1889" i="7"/>
  <c r="L1888" i="7"/>
  <c r="K1888" i="7"/>
  <c r="L1887" i="7"/>
  <c r="K1887" i="7"/>
  <c r="L1886" i="7"/>
  <c r="K1886" i="7"/>
  <c r="L1885" i="7"/>
  <c r="K1885" i="7"/>
  <c r="L1884" i="7"/>
  <c r="K1884" i="7"/>
  <c r="L1883" i="7"/>
  <c r="K1883" i="7"/>
  <c r="L1882" i="7"/>
  <c r="K1882" i="7"/>
  <c r="L1881" i="7"/>
  <c r="K1881" i="7"/>
  <c r="L1880" i="7"/>
  <c r="K1880" i="7"/>
  <c r="L1879" i="7"/>
  <c r="K1879" i="7"/>
  <c r="L1878" i="7"/>
  <c r="K1878" i="7"/>
  <c r="L1877" i="7"/>
  <c r="K1877" i="7"/>
  <c r="L1876" i="7"/>
  <c r="K1876" i="7"/>
  <c r="L1875" i="7"/>
  <c r="K1875" i="7"/>
  <c r="L1874" i="7"/>
  <c r="K1874" i="7"/>
  <c r="L1873" i="7"/>
  <c r="K1873" i="7"/>
  <c r="L1872" i="7"/>
  <c r="K1872" i="7"/>
  <c r="L1871" i="7"/>
  <c r="K1871" i="7"/>
  <c r="L1870" i="7"/>
  <c r="K1870" i="7"/>
  <c r="L1869" i="7"/>
  <c r="K1869" i="7"/>
  <c r="L1868" i="7"/>
  <c r="K1868" i="7"/>
  <c r="L1867" i="7"/>
  <c r="K1867" i="7"/>
  <c r="L1866" i="7"/>
  <c r="K1866" i="7"/>
  <c r="L1865" i="7"/>
  <c r="K1865" i="7"/>
  <c r="L1864" i="7"/>
  <c r="K1864" i="7"/>
  <c r="L1863" i="7"/>
  <c r="K1863" i="7"/>
  <c r="L1862" i="7"/>
  <c r="K1862" i="7"/>
  <c r="L1861" i="7"/>
  <c r="K1861" i="7"/>
  <c r="L1860" i="7"/>
  <c r="K1860" i="7"/>
  <c r="L1859" i="7"/>
  <c r="K1859" i="7"/>
  <c r="L1858" i="7"/>
  <c r="K1858" i="7"/>
  <c r="L1857" i="7"/>
  <c r="K1857" i="7"/>
  <c r="L1856" i="7"/>
  <c r="K1856" i="7"/>
  <c r="L1855" i="7"/>
  <c r="K1855" i="7"/>
  <c r="L1854" i="7"/>
  <c r="K1854" i="7"/>
  <c r="L1853" i="7"/>
  <c r="K1853" i="7"/>
  <c r="L1852" i="7"/>
  <c r="K1852" i="7"/>
  <c r="L1851" i="7"/>
  <c r="K1851" i="7"/>
  <c r="L1850" i="7"/>
  <c r="K1850" i="7"/>
  <c r="L1849" i="7"/>
  <c r="K1849" i="7"/>
  <c r="L1848" i="7"/>
  <c r="K1848" i="7"/>
  <c r="L1847" i="7"/>
  <c r="K1847" i="7"/>
  <c r="L1846" i="7"/>
  <c r="K1846" i="7"/>
  <c r="L1845" i="7"/>
  <c r="K1845" i="7"/>
  <c r="L1844" i="7"/>
  <c r="K1844" i="7"/>
  <c r="L1843" i="7"/>
  <c r="K1843" i="7"/>
  <c r="L1842" i="7"/>
  <c r="K1842" i="7"/>
  <c r="L1841" i="7"/>
  <c r="K1841" i="7"/>
  <c r="L1840" i="7"/>
  <c r="K1840" i="7"/>
  <c r="L1839" i="7"/>
  <c r="K1839" i="7"/>
  <c r="L1838" i="7"/>
  <c r="K1838" i="7"/>
  <c r="L1837" i="7"/>
  <c r="K1837" i="7"/>
  <c r="L1836" i="7"/>
  <c r="K1836" i="7"/>
  <c r="L1835" i="7"/>
  <c r="K1835" i="7"/>
  <c r="L1834" i="7"/>
  <c r="K1834" i="7"/>
  <c r="L1833" i="7"/>
  <c r="K1833" i="7"/>
  <c r="L1832" i="7"/>
  <c r="K1832" i="7"/>
  <c r="L1831" i="7"/>
  <c r="K1831" i="7"/>
  <c r="L1830" i="7"/>
  <c r="K1830" i="7"/>
  <c r="L1829" i="7"/>
  <c r="K1829" i="7"/>
  <c r="L1828" i="7"/>
  <c r="K1828" i="7"/>
  <c r="L1827" i="7"/>
  <c r="K1827" i="7"/>
  <c r="L1826" i="7"/>
  <c r="K1826" i="7"/>
  <c r="L1825" i="7"/>
  <c r="K1825" i="7"/>
  <c r="L1824" i="7"/>
  <c r="K1824" i="7"/>
  <c r="L1823" i="7"/>
  <c r="K1823" i="7"/>
  <c r="L1822" i="7"/>
  <c r="K1822" i="7"/>
  <c r="L1821" i="7"/>
  <c r="K1821" i="7"/>
  <c r="L1820" i="7"/>
  <c r="K1820" i="7"/>
  <c r="L1819" i="7"/>
  <c r="K1819" i="7"/>
  <c r="L1818" i="7"/>
  <c r="K1818" i="7"/>
  <c r="L1817" i="7"/>
  <c r="K1817" i="7"/>
  <c r="L1816" i="7"/>
  <c r="K1816" i="7"/>
  <c r="L1815" i="7"/>
  <c r="K1815" i="7"/>
  <c r="L1814" i="7"/>
  <c r="K1814" i="7"/>
  <c r="L1813" i="7"/>
  <c r="K1813" i="7"/>
  <c r="L1812" i="7"/>
  <c r="K1812" i="7"/>
  <c r="L1811" i="7"/>
  <c r="K1811" i="7"/>
  <c r="L1810" i="7"/>
  <c r="K1810" i="7"/>
  <c r="L1809" i="7"/>
  <c r="K1809" i="7"/>
  <c r="L1808" i="7"/>
  <c r="K1808" i="7"/>
  <c r="L1807" i="7"/>
  <c r="K1807" i="7"/>
  <c r="L1806" i="7"/>
  <c r="K1806" i="7"/>
  <c r="L1805" i="7"/>
  <c r="K1805" i="7"/>
  <c r="L1804" i="7"/>
  <c r="K1804" i="7"/>
  <c r="L1803" i="7"/>
  <c r="K1803" i="7"/>
  <c r="L1802" i="7"/>
  <c r="K1802" i="7"/>
  <c r="L1801" i="7"/>
  <c r="K1801" i="7"/>
  <c r="L1800" i="7"/>
  <c r="K1800" i="7"/>
  <c r="L1799" i="7"/>
  <c r="K1799" i="7"/>
  <c r="L1798" i="7"/>
  <c r="K1798" i="7"/>
  <c r="L1797" i="7"/>
  <c r="K1797" i="7"/>
  <c r="L1796" i="7"/>
  <c r="K1796" i="7"/>
  <c r="L1795" i="7"/>
  <c r="K1795" i="7"/>
  <c r="L1794" i="7"/>
  <c r="K1794" i="7"/>
  <c r="L1793" i="7"/>
  <c r="K1793" i="7"/>
  <c r="L1792" i="7"/>
  <c r="K1792" i="7"/>
  <c r="L1791" i="7"/>
  <c r="K1791" i="7"/>
  <c r="L1790" i="7"/>
  <c r="K1790" i="7"/>
  <c r="L1789" i="7"/>
  <c r="K1789" i="7"/>
  <c r="L1788" i="7"/>
  <c r="K1788" i="7"/>
  <c r="L1787" i="7"/>
  <c r="K1787" i="7"/>
  <c r="L1786" i="7"/>
  <c r="K1786" i="7"/>
  <c r="L1785" i="7"/>
  <c r="K1785" i="7"/>
  <c r="L1784" i="7"/>
  <c r="K1784" i="7"/>
  <c r="L1783" i="7"/>
  <c r="K1783" i="7"/>
  <c r="L1782" i="7"/>
  <c r="K1782" i="7"/>
  <c r="L1781" i="7"/>
  <c r="K1781" i="7"/>
  <c r="L1780" i="7"/>
  <c r="K1780" i="7"/>
  <c r="L1779" i="7"/>
  <c r="K1779" i="7"/>
  <c r="L1778" i="7"/>
  <c r="K1778" i="7"/>
  <c r="L1777" i="7"/>
  <c r="K1777" i="7"/>
  <c r="L1776" i="7"/>
  <c r="K1776" i="7"/>
  <c r="L1775" i="7"/>
  <c r="K1775" i="7"/>
  <c r="L1774" i="7"/>
  <c r="K1774" i="7"/>
  <c r="L1773" i="7"/>
  <c r="K1773" i="7"/>
  <c r="L1772" i="7"/>
  <c r="K1772" i="7"/>
  <c r="L1771" i="7"/>
  <c r="K1771" i="7"/>
  <c r="L1770" i="7"/>
  <c r="K1770" i="7"/>
  <c r="L1769" i="7"/>
  <c r="K1769" i="7"/>
  <c r="L1768" i="7"/>
  <c r="K1768" i="7"/>
  <c r="L1767" i="7"/>
  <c r="K1767" i="7"/>
  <c r="L1766" i="7"/>
  <c r="K1766" i="7"/>
  <c r="L1765" i="7"/>
  <c r="K1765" i="7"/>
  <c r="L1764" i="7"/>
  <c r="K1764" i="7"/>
  <c r="L1763" i="7"/>
  <c r="K1763" i="7"/>
  <c r="L1762" i="7"/>
  <c r="K1762" i="7"/>
  <c r="L1761" i="7"/>
  <c r="K1761" i="7"/>
  <c r="L1760" i="7"/>
  <c r="K1760" i="7"/>
  <c r="L1759" i="7"/>
  <c r="K1759" i="7"/>
  <c r="L1758" i="7"/>
  <c r="K1758" i="7"/>
  <c r="L1757" i="7"/>
  <c r="K1757" i="7"/>
  <c r="L1756" i="7"/>
  <c r="K1756" i="7"/>
  <c r="L1755" i="7"/>
  <c r="K1755" i="7"/>
  <c r="L1754" i="7"/>
  <c r="K1754" i="7"/>
  <c r="L1753" i="7"/>
  <c r="K1753" i="7"/>
  <c r="L1752" i="7"/>
  <c r="K1752" i="7"/>
  <c r="L1751" i="7"/>
  <c r="K1751" i="7"/>
  <c r="L1750" i="7"/>
  <c r="K1750" i="7"/>
  <c r="L1749" i="7"/>
  <c r="K1749" i="7"/>
  <c r="L1748" i="7"/>
  <c r="K1748" i="7"/>
  <c r="L1747" i="7"/>
  <c r="K1747" i="7"/>
  <c r="L1746" i="7"/>
  <c r="K1746" i="7"/>
  <c r="L1745" i="7"/>
  <c r="K1745" i="7"/>
  <c r="L1744" i="7"/>
  <c r="K1744" i="7"/>
  <c r="L1743" i="7"/>
  <c r="K1743" i="7"/>
  <c r="L1742" i="7"/>
  <c r="K1742" i="7"/>
  <c r="L1741" i="7"/>
  <c r="K1741" i="7"/>
  <c r="L1740" i="7"/>
  <c r="K1740" i="7"/>
  <c r="L1739" i="7"/>
  <c r="K1739" i="7"/>
  <c r="L1738" i="7"/>
  <c r="K1738" i="7"/>
  <c r="L1737" i="7"/>
  <c r="K1737" i="7"/>
  <c r="L1736" i="7"/>
  <c r="K1736" i="7"/>
  <c r="L1735" i="7"/>
  <c r="K1735" i="7"/>
  <c r="L1734" i="7"/>
  <c r="K1734" i="7"/>
  <c r="L1733" i="7"/>
  <c r="K1733" i="7"/>
  <c r="L1732" i="7"/>
  <c r="K1732" i="7"/>
  <c r="L1731" i="7"/>
  <c r="K1731" i="7"/>
  <c r="L1730" i="7"/>
  <c r="K1730" i="7"/>
  <c r="L1729" i="7"/>
  <c r="K1729" i="7"/>
  <c r="L1728" i="7"/>
  <c r="K1728" i="7"/>
  <c r="L1727" i="7"/>
  <c r="K1727" i="7"/>
  <c r="L1726" i="7"/>
  <c r="K1726" i="7"/>
  <c r="L1725" i="7"/>
  <c r="K1725" i="7"/>
  <c r="L1724" i="7"/>
  <c r="K1724" i="7"/>
  <c r="L1723" i="7"/>
  <c r="K1723" i="7"/>
  <c r="L1722" i="7"/>
  <c r="K1722" i="7"/>
  <c r="L1721" i="7"/>
  <c r="K1721" i="7"/>
  <c r="L1720" i="7"/>
  <c r="K1720" i="7"/>
  <c r="L1719" i="7"/>
  <c r="K1719" i="7"/>
  <c r="L1718" i="7"/>
  <c r="K1718" i="7"/>
  <c r="L1717" i="7"/>
  <c r="K1717" i="7"/>
  <c r="L1716" i="7"/>
  <c r="K1716" i="7"/>
  <c r="L1715" i="7"/>
  <c r="K1715" i="7"/>
  <c r="L1714" i="7"/>
  <c r="K1714" i="7"/>
  <c r="L1713" i="7"/>
  <c r="K1713" i="7"/>
  <c r="L1712" i="7"/>
  <c r="K1712" i="7"/>
  <c r="L1711" i="7"/>
  <c r="K1711" i="7"/>
  <c r="L1710" i="7"/>
  <c r="K1710" i="7"/>
  <c r="L1709" i="7"/>
  <c r="K1709" i="7"/>
  <c r="L1708" i="7"/>
  <c r="K1708" i="7"/>
  <c r="L1707" i="7"/>
  <c r="K1707" i="7"/>
  <c r="L1706" i="7"/>
  <c r="K1706" i="7"/>
  <c r="L1705" i="7"/>
  <c r="K1705" i="7"/>
  <c r="L1704" i="7"/>
  <c r="K1704" i="7"/>
  <c r="L1703" i="7"/>
  <c r="K1703" i="7"/>
  <c r="L1702" i="7"/>
  <c r="K1702" i="7"/>
  <c r="L1701" i="7"/>
  <c r="K1701" i="7"/>
  <c r="L1700" i="7"/>
  <c r="K1700" i="7"/>
  <c r="L1699" i="7"/>
  <c r="K1699" i="7"/>
  <c r="L1698" i="7"/>
  <c r="K1698" i="7"/>
  <c r="L1697" i="7"/>
  <c r="K1697" i="7"/>
  <c r="L1696" i="7"/>
  <c r="K1696" i="7"/>
  <c r="L1695" i="7"/>
  <c r="K1695" i="7"/>
  <c r="L1694" i="7"/>
  <c r="K1694" i="7"/>
  <c r="L1693" i="7"/>
  <c r="K1693" i="7"/>
  <c r="L1692" i="7"/>
  <c r="K1692" i="7"/>
  <c r="L1691" i="7"/>
  <c r="K1691" i="7"/>
  <c r="L1690" i="7"/>
  <c r="K1690" i="7"/>
  <c r="L1689" i="7"/>
  <c r="K1689" i="7"/>
  <c r="L1688" i="7"/>
  <c r="K1688" i="7"/>
  <c r="L1687" i="7"/>
  <c r="K1687" i="7"/>
  <c r="L1686" i="7"/>
  <c r="K1686" i="7"/>
  <c r="L1685" i="7"/>
  <c r="K1685" i="7"/>
  <c r="L1684" i="7"/>
  <c r="K1684" i="7"/>
  <c r="L1683" i="7"/>
  <c r="K1683" i="7"/>
  <c r="L1682" i="7"/>
  <c r="K1682" i="7"/>
  <c r="L1681" i="7"/>
  <c r="K1681" i="7"/>
  <c r="L1680" i="7"/>
  <c r="K1680" i="7"/>
  <c r="L1679" i="7"/>
  <c r="K1679" i="7"/>
  <c r="L1678" i="7"/>
  <c r="K1678" i="7"/>
  <c r="L1677" i="7"/>
  <c r="K1677" i="7"/>
  <c r="L1676" i="7"/>
  <c r="K1676" i="7"/>
  <c r="L1675" i="7"/>
  <c r="K1675" i="7"/>
  <c r="L1674" i="7"/>
  <c r="K1674" i="7"/>
  <c r="L1673" i="7"/>
  <c r="K1673" i="7"/>
  <c r="L1672" i="7"/>
  <c r="K1672" i="7"/>
  <c r="L1671" i="7"/>
  <c r="K1671" i="7"/>
  <c r="L1670" i="7"/>
  <c r="K1670" i="7"/>
  <c r="L1669" i="7"/>
  <c r="K1669" i="7"/>
  <c r="L1668" i="7"/>
  <c r="K1668" i="7"/>
  <c r="L1667" i="7"/>
  <c r="K1667" i="7"/>
  <c r="L1666" i="7"/>
  <c r="K1666" i="7"/>
  <c r="L1665" i="7"/>
  <c r="K1665" i="7"/>
  <c r="L1664" i="7"/>
  <c r="K1664" i="7"/>
  <c r="L1663" i="7"/>
  <c r="K1663" i="7"/>
  <c r="L1662" i="7"/>
  <c r="K1662" i="7"/>
  <c r="L1661" i="7"/>
  <c r="K1661" i="7"/>
  <c r="L1660" i="7"/>
  <c r="K1660" i="7"/>
  <c r="L1659" i="7"/>
  <c r="K1659" i="7"/>
  <c r="L1658" i="7"/>
  <c r="K1658" i="7"/>
  <c r="L1657" i="7"/>
  <c r="K1657" i="7"/>
  <c r="L1656" i="7"/>
  <c r="K1656" i="7"/>
  <c r="L1655" i="7"/>
  <c r="K1655" i="7"/>
  <c r="L1654" i="7"/>
  <c r="K1654" i="7"/>
  <c r="L1653" i="7"/>
  <c r="K1653" i="7"/>
  <c r="L1652" i="7"/>
  <c r="K1652" i="7"/>
  <c r="L1651" i="7"/>
  <c r="K1651" i="7"/>
  <c r="L1650" i="7"/>
  <c r="K1650" i="7"/>
  <c r="L1649" i="7"/>
  <c r="K1649" i="7"/>
  <c r="L1648" i="7"/>
  <c r="K1648" i="7"/>
  <c r="L1647" i="7"/>
  <c r="K1647" i="7"/>
  <c r="L1646" i="7"/>
  <c r="K1646" i="7"/>
  <c r="L1645" i="7"/>
  <c r="K1645" i="7"/>
  <c r="L1644" i="7"/>
  <c r="K1644" i="7"/>
  <c r="L1643" i="7"/>
  <c r="K1643" i="7"/>
  <c r="L1642" i="7"/>
  <c r="K1642" i="7"/>
  <c r="L1641" i="7"/>
  <c r="K1641" i="7"/>
  <c r="L1640" i="7"/>
  <c r="K1640" i="7"/>
  <c r="L1639" i="7"/>
  <c r="K1639" i="7"/>
  <c r="L1638" i="7"/>
  <c r="K1638" i="7"/>
  <c r="L1637" i="7"/>
  <c r="K1637" i="7"/>
  <c r="L1636" i="7"/>
  <c r="K1636" i="7"/>
  <c r="L1635" i="7"/>
  <c r="K1635" i="7"/>
  <c r="L1634" i="7"/>
  <c r="K1634" i="7"/>
  <c r="L1633" i="7"/>
  <c r="K1633" i="7"/>
  <c r="L1632" i="7"/>
  <c r="K1632" i="7"/>
  <c r="L1631" i="7"/>
  <c r="K1631" i="7"/>
  <c r="L1630" i="7"/>
  <c r="K1630" i="7"/>
  <c r="L1629" i="7"/>
  <c r="K1629" i="7"/>
  <c r="L1628" i="7"/>
  <c r="K1628" i="7"/>
  <c r="L1627" i="7"/>
  <c r="K1627" i="7"/>
  <c r="L1626" i="7"/>
  <c r="K1626" i="7"/>
  <c r="L1625" i="7"/>
  <c r="K1625" i="7"/>
  <c r="L1624" i="7"/>
  <c r="K1624" i="7"/>
  <c r="L1623" i="7"/>
  <c r="K1623" i="7"/>
  <c r="L1622" i="7"/>
  <c r="K1622" i="7"/>
  <c r="L1621" i="7"/>
  <c r="K1621" i="7"/>
  <c r="L1620" i="7"/>
  <c r="K1620" i="7"/>
  <c r="L1619" i="7"/>
  <c r="K1619" i="7"/>
  <c r="L1618" i="7"/>
  <c r="K1618" i="7"/>
  <c r="L1617" i="7"/>
  <c r="K1617" i="7"/>
  <c r="L1616" i="7"/>
  <c r="K1616" i="7"/>
  <c r="L1615" i="7"/>
  <c r="K1615" i="7"/>
  <c r="L1614" i="7"/>
  <c r="K1614" i="7"/>
  <c r="L1613" i="7"/>
  <c r="K1613" i="7"/>
  <c r="L1612" i="7"/>
  <c r="K1612" i="7"/>
  <c r="L1611" i="7"/>
  <c r="K1611" i="7"/>
  <c r="L1610" i="7"/>
  <c r="K1610" i="7"/>
  <c r="L1609" i="7"/>
  <c r="K1609" i="7"/>
  <c r="L1608" i="7"/>
  <c r="K1608" i="7"/>
  <c r="L1607" i="7"/>
  <c r="K1607" i="7"/>
  <c r="L1606" i="7"/>
  <c r="K1606" i="7"/>
  <c r="L1605" i="7"/>
  <c r="K1605" i="7"/>
  <c r="L1604" i="7"/>
  <c r="K1604" i="7"/>
  <c r="L1603" i="7"/>
  <c r="K1603" i="7"/>
  <c r="L1602" i="7"/>
  <c r="K1602" i="7"/>
  <c r="L1601" i="7"/>
  <c r="K1601" i="7"/>
  <c r="L1600" i="7"/>
  <c r="K1600" i="7"/>
  <c r="L1599" i="7"/>
  <c r="K1599" i="7"/>
  <c r="L1598" i="7"/>
  <c r="K1598" i="7"/>
  <c r="L1597" i="7"/>
  <c r="K1597" i="7"/>
  <c r="L1596" i="7"/>
  <c r="K1596" i="7"/>
  <c r="L1595" i="7"/>
  <c r="K1595" i="7"/>
  <c r="L1594" i="7"/>
  <c r="K1594" i="7"/>
  <c r="L1593" i="7"/>
  <c r="K1593" i="7"/>
  <c r="L1592" i="7"/>
  <c r="K1592" i="7"/>
  <c r="L1591" i="7"/>
  <c r="K1591" i="7"/>
  <c r="L1590" i="7"/>
  <c r="K1590" i="7"/>
  <c r="L1589" i="7"/>
  <c r="K1589" i="7"/>
  <c r="L1588" i="7"/>
  <c r="K1588" i="7"/>
  <c r="L1587" i="7"/>
  <c r="K1587" i="7"/>
  <c r="L1586" i="7"/>
  <c r="K1586" i="7"/>
  <c r="L1585" i="7"/>
  <c r="K1585" i="7"/>
  <c r="L1584" i="7"/>
  <c r="K1584" i="7"/>
  <c r="L1583" i="7"/>
  <c r="K1583" i="7"/>
  <c r="L1582" i="7"/>
  <c r="K1582" i="7"/>
  <c r="L1581" i="7"/>
  <c r="K1581" i="7"/>
  <c r="L1580" i="7"/>
  <c r="K1580" i="7"/>
  <c r="L1579" i="7"/>
  <c r="K1579" i="7"/>
  <c r="L1578" i="7"/>
  <c r="K1578" i="7"/>
  <c r="L1577" i="7"/>
  <c r="K1577" i="7"/>
  <c r="L1576" i="7"/>
  <c r="K1576" i="7"/>
  <c r="L1575" i="7"/>
  <c r="K1575" i="7"/>
  <c r="L1574" i="7"/>
  <c r="K1574" i="7"/>
  <c r="L1573" i="7"/>
  <c r="K1573" i="7"/>
  <c r="L1572" i="7"/>
  <c r="K1572" i="7"/>
  <c r="L1571" i="7"/>
  <c r="K1571" i="7"/>
  <c r="L1570" i="7"/>
  <c r="K1570" i="7"/>
  <c r="L1569" i="7"/>
  <c r="K1569" i="7"/>
  <c r="L1568" i="7"/>
  <c r="K1568" i="7"/>
  <c r="L1567" i="7"/>
  <c r="K1567" i="7"/>
  <c r="L1566" i="7"/>
  <c r="K1566" i="7"/>
  <c r="L1565" i="7"/>
  <c r="K1565" i="7"/>
  <c r="L1564" i="7"/>
  <c r="K1564" i="7"/>
  <c r="L1563" i="7"/>
  <c r="K1563" i="7"/>
  <c r="L1562" i="7"/>
  <c r="K1562" i="7"/>
  <c r="L1561" i="7"/>
  <c r="K1561" i="7"/>
  <c r="L1560" i="7"/>
  <c r="K1560" i="7"/>
  <c r="L1559" i="7"/>
  <c r="K1559" i="7"/>
  <c r="L1558" i="7"/>
  <c r="K1558" i="7"/>
  <c r="L1557" i="7"/>
  <c r="K1557" i="7"/>
  <c r="L1556" i="7"/>
  <c r="K1556" i="7"/>
  <c r="L1555" i="7"/>
  <c r="K1555" i="7"/>
  <c r="L1554" i="7"/>
  <c r="K1554" i="7"/>
  <c r="L1553" i="7"/>
  <c r="K1553" i="7"/>
  <c r="L1552" i="7"/>
  <c r="K1552" i="7"/>
  <c r="L1551" i="7"/>
  <c r="K1551" i="7"/>
  <c r="L1550" i="7"/>
  <c r="K1550" i="7"/>
  <c r="L1549" i="7"/>
  <c r="K1549" i="7"/>
  <c r="L1548" i="7"/>
  <c r="K1548" i="7"/>
  <c r="L1547" i="7"/>
  <c r="K1547" i="7"/>
  <c r="L1546" i="7"/>
  <c r="K1546" i="7"/>
  <c r="L1545" i="7"/>
  <c r="K1545" i="7"/>
  <c r="L1544" i="7"/>
  <c r="K1544" i="7"/>
  <c r="L1543" i="7"/>
  <c r="K1543" i="7"/>
  <c r="L1542" i="7"/>
  <c r="K1542" i="7"/>
  <c r="L1541" i="7"/>
  <c r="K1541" i="7"/>
  <c r="L1540" i="7"/>
  <c r="K1540" i="7"/>
  <c r="L1539" i="7"/>
  <c r="K1539" i="7"/>
  <c r="L1538" i="7"/>
  <c r="K1538" i="7"/>
  <c r="L1537" i="7"/>
  <c r="K1537" i="7"/>
  <c r="L1536" i="7"/>
  <c r="K1536" i="7"/>
  <c r="L1535" i="7"/>
  <c r="K1535" i="7"/>
  <c r="L1534" i="7"/>
  <c r="K1534" i="7"/>
  <c r="L1533" i="7"/>
  <c r="K1533" i="7"/>
  <c r="L1532" i="7"/>
  <c r="K1532" i="7"/>
  <c r="L1531" i="7"/>
  <c r="K1531" i="7"/>
  <c r="L1530" i="7"/>
  <c r="K1530" i="7"/>
  <c r="L1529" i="7"/>
  <c r="K1529" i="7"/>
  <c r="L1528" i="7"/>
  <c r="K1528" i="7"/>
  <c r="L1527" i="7"/>
  <c r="K1527" i="7"/>
  <c r="L1526" i="7"/>
  <c r="K1526" i="7"/>
  <c r="L1525" i="7"/>
  <c r="K1525" i="7"/>
  <c r="L1524" i="7"/>
  <c r="K1524" i="7"/>
  <c r="L1523" i="7"/>
  <c r="K1523" i="7"/>
  <c r="L1522" i="7"/>
  <c r="K1522" i="7"/>
  <c r="L1521" i="7"/>
  <c r="K1521" i="7"/>
  <c r="L1520" i="7"/>
  <c r="K1520" i="7"/>
  <c r="L1519" i="7"/>
  <c r="K1519" i="7"/>
  <c r="L1518" i="7"/>
  <c r="K1518" i="7"/>
  <c r="L1517" i="7"/>
  <c r="K1517" i="7"/>
  <c r="L1516" i="7"/>
  <c r="K1516" i="7"/>
  <c r="L1515" i="7"/>
  <c r="K1515" i="7"/>
  <c r="L1514" i="7"/>
  <c r="K1514" i="7"/>
  <c r="L1513" i="7"/>
  <c r="K1513" i="7"/>
  <c r="L1512" i="7"/>
  <c r="K1512" i="7"/>
  <c r="L1511" i="7"/>
  <c r="K1511" i="7"/>
  <c r="L1510" i="7"/>
  <c r="K1510" i="7"/>
  <c r="L1509" i="7"/>
  <c r="K1509" i="7"/>
  <c r="L1508" i="7"/>
  <c r="K1508" i="7"/>
  <c r="L1507" i="7"/>
  <c r="K1507" i="7"/>
  <c r="L1506" i="7"/>
  <c r="K1506" i="7"/>
  <c r="L1505" i="7"/>
  <c r="K1505" i="7"/>
  <c r="L1504" i="7"/>
  <c r="K1504" i="7"/>
  <c r="L1503" i="7"/>
  <c r="K1503" i="7"/>
  <c r="L1502" i="7"/>
  <c r="K1502" i="7"/>
  <c r="L1501" i="7"/>
  <c r="K1501" i="7"/>
  <c r="L1500" i="7"/>
  <c r="K1500" i="7"/>
  <c r="L1499" i="7"/>
  <c r="K1499" i="7"/>
  <c r="L1498" i="7"/>
  <c r="K1498" i="7"/>
  <c r="L1497" i="7"/>
  <c r="K1497" i="7"/>
  <c r="L1496" i="7"/>
  <c r="K1496" i="7"/>
  <c r="L1495" i="7"/>
  <c r="K1495" i="7"/>
  <c r="L1494" i="7"/>
  <c r="K1494" i="7"/>
  <c r="L1493" i="7"/>
  <c r="K1493" i="7"/>
  <c r="L1492" i="7"/>
  <c r="K1492" i="7"/>
  <c r="L1491" i="7"/>
  <c r="K1491" i="7"/>
  <c r="L1490" i="7"/>
  <c r="K1490" i="7"/>
  <c r="L1489" i="7"/>
  <c r="K1489" i="7"/>
  <c r="L1488" i="7"/>
  <c r="K1488" i="7"/>
  <c r="L1487" i="7"/>
  <c r="K1487" i="7"/>
  <c r="L1486" i="7"/>
  <c r="K1486" i="7"/>
  <c r="L1485" i="7"/>
  <c r="K1485" i="7"/>
  <c r="L1484" i="7"/>
  <c r="K1484" i="7"/>
  <c r="L1483" i="7"/>
  <c r="K1483" i="7"/>
  <c r="L1482" i="7"/>
  <c r="K1482" i="7"/>
  <c r="L1481" i="7"/>
  <c r="K1481" i="7"/>
  <c r="L1480" i="7"/>
  <c r="K1480" i="7"/>
  <c r="L1479" i="7"/>
  <c r="K1479" i="7"/>
  <c r="L1478" i="7"/>
  <c r="K1478" i="7"/>
  <c r="L1477" i="7"/>
  <c r="K1477" i="7"/>
  <c r="L1476" i="7"/>
  <c r="K1476" i="7"/>
  <c r="L1475" i="7"/>
  <c r="K1475" i="7"/>
  <c r="L1474" i="7"/>
  <c r="K1474" i="7"/>
  <c r="L1473" i="7"/>
  <c r="K1473" i="7"/>
  <c r="L1472" i="7"/>
  <c r="K1472" i="7"/>
  <c r="L1471" i="7"/>
  <c r="K1471" i="7"/>
  <c r="L1470" i="7"/>
  <c r="K1470" i="7"/>
  <c r="L1469" i="7"/>
  <c r="K1469" i="7"/>
  <c r="L1468" i="7"/>
  <c r="K1468" i="7"/>
  <c r="L1467" i="7"/>
  <c r="K1467" i="7"/>
  <c r="L1466" i="7"/>
  <c r="K1466" i="7"/>
  <c r="L1465" i="7"/>
  <c r="K1465" i="7"/>
  <c r="L1464" i="7"/>
  <c r="K1464" i="7"/>
  <c r="L1463" i="7"/>
  <c r="K1463" i="7"/>
  <c r="L1462" i="7"/>
  <c r="K1462" i="7"/>
  <c r="L1461" i="7"/>
  <c r="K1461" i="7"/>
  <c r="L1460" i="7"/>
  <c r="K1460" i="7"/>
  <c r="L1459" i="7"/>
  <c r="K1459" i="7"/>
  <c r="L1458" i="7"/>
  <c r="K1458" i="7"/>
  <c r="L1457" i="7"/>
  <c r="K1457" i="7"/>
  <c r="L1456" i="7"/>
  <c r="K1456" i="7"/>
  <c r="L1455" i="7"/>
  <c r="K1455" i="7"/>
  <c r="L1454" i="7"/>
  <c r="K1454" i="7"/>
  <c r="L1453" i="7"/>
  <c r="K1453" i="7"/>
  <c r="L1452" i="7"/>
  <c r="K1452" i="7"/>
  <c r="L1451" i="7"/>
  <c r="K1451" i="7"/>
  <c r="L1450" i="7"/>
  <c r="K1450" i="7"/>
  <c r="L1449" i="7"/>
  <c r="K1449" i="7"/>
  <c r="L1448" i="7"/>
  <c r="K1448" i="7"/>
  <c r="L1447" i="7"/>
  <c r="K1447" i="7"/>
  <c r="L1446" i="7"/>
  <c r="K1446" i="7"/>
  <c r="L1445" i="7"/>
  <c r="K1445" i="7"/>
  <c r="L1444" i="7"/>
  <c r="K1444" i="7"/>
  <c r="L1443" i="7"/>
  <c r="K1443" i="7"/>
  <c r="L1442" i="7"/>
  <c r="K1442" i="7"/>
  <c r="L1441" i="7"/>
  <c r="K1441" i="7"/>
  <c r="L1440" i="7"/>
  <c r="K1440" i="7"/>
  <c r="L1439" i="7"/>
  <c r="K1439" i="7"/>
  <c r="L1438" i="7"/>
  <c r="K1438" i="7"/>
  <c r="L1437" i="7"/>
  <c r="K1437" i="7"/>
  <c r="L1436" i="7"/>
  <c r="K1436" i="7"/>
  <c r="L1435" i="7"/>
  <c r="K1435" i="7"/>
  <c r="L1434" i="7"/>
  <c r="K1434" i="7"/>
  <c r="L1433" i="7"/>
  <c r="K1433" i="7"/>
  <c r="L1432" i="7"/>
  <c r="K1432" i="7"/>
  <c r="L1431" i="7"/>
  <c r="K1431" i="7"/>
  <c r="L1430" i="7"/>
  <c r="K1430" i="7"/>
  <c r="L1429" i="7"/>
  <c r="K1429" i="7"/>
  <c r="L1428" i="7"/>
  <c r="K1428" i="7"/>
  <c r="L1427" i="7"/>
  <c r="K1427" i="7"/>
  <c r="L1426" i="7"/>
  <c r="K1426" i="7"/>
  <c r="L1425" i="7"/>
  <c r="K1425" i="7"/>
  <c r="L1424" i="7"/>
  <c r="K1424" i="7"/>
  <c r="L1423" i="7"/>
  <c r="K1423" i="7"/>
  <c r="L1422" i="7"/>
  <c r="K1422" i="7"/>
  <c r="L1421" i="7"/>
  <c r="K1421" i="7"/>
  <c r="L1420" i="7"/>
  <c r="K1420" i="7"/>
  <c r="L1419" i="7"/>
  <c r="K1419" i="7"/>
  <c r="L1418" i="7"/>
  <c r="K1418" i="7"/>
  <c r="L1417" i="7"/>
  <c r="K1417" i="7"/>
  <c r="L1416" i="7"/>
  <c r="K1416" i="7"/>
  <c r="L1415" i="7"/>
  <c r="K1415" i="7"/>
  <c r="L1414" i="7"/>
  <c r="K1414" i="7"/>
  <c r="L1413" i="7"/>
  <c r="K1413" i="7"/>
  <c r="L1412" i="7"/>
  <c r="K1412" i="7"/>
  <c r="L1411" i="7"/>
  <c r="K1411" i="7"/>
  <c r="L1410" i="7"/>
  <c r="K1410" i="7"/>
  <c r="L1409" i="7"/>
  <c r="K1409" i="7"/>
  <c r="L1408" i="7"/>
  <c r="K1408" i="7"/>
  <c r="L1407" i="7"/>
  <c r="K1407" i="7"/>
  <c r="L1406" i="7"/>
  <c r="K1406" i="7"/>
  <c r="L1405" i="7"/>
  <c r="K1405" i="7"/>
  <c r="L1404" i="7"/>
  <c r="K1404" i="7"/>
  <c r="L1403" i="7"/>
  <c r="K1403" i="7"/>
  <c r="L1402" i="7"/>
  <c r="K1402" i="7"/>
  <c r="L1401" i="7"/>
  <c r="K1401" i="7"/>
  <c r="L1400" i="7"/>
  <c r="K1400" i="7"/>
  <c r="L1399" i="7"/>
  <c r="K1399" i="7"/>
  <c r="L1398" i="7"/>
  <c r="K1398" i="7"/>
  <c r="L1397" i="7"/>
  <c r="K1397" i="7"/>
  <c r="L1396" i="7"/>
  <c r="K1396" i="7"/>
  <c r="L1395" i="7"/>
  <c r="K1395" i="7"/>
  <c r="L1394" i="7"/>
  <c r="K1394" i="7"/>
  <c r="L1393" i="7"/>
  <c r="K1393" i="7"/>
  <c r="L1392" i="7"/>
  <c r="K1392" i="7"/>
  <c r="L1391" i="7"/>
  <c r="K1391" i="7"/>
  <c r="L1390" i="7"/>
  <c r="K1390" i="7"/>
  <c r="L1389" i="7"/>
  <c r="K1389" i="7"/>
  <c r="L1388" i="7"/>
  <c r="K1388" i="7"/>
  <c r="L1387" i="7"/>
  <c r="K1387" i="7"/>
  <c r="L1386" i="7"/>
  <c r="K1386" i="7"/>
  <c r="L1385" i="7"/>
  <c r="K1385" i="7"/>
  <c r="L1384" i="7"/>
  <c r="K1384" i="7"/>
  <c r="L1383" i="7"/>
  <c r="K1383" i="7"/>
  <c r="L1382" i="7"/>
  <c r="K1382" i="7"/>
  <c r="L1381" i="7"/>
  <c r="K1381" i="7"/>
  <c r="L1380" i="7"/>
  <c r="K1380" i="7"/>
  <c r="L1379" i="7"/>
  <c r="K1379" i="7"/>
  <c r="L1378" i="7"/>
  <c r="K1378" i="7"/>
  <c r="L1377" i="7"/>
  <c r="K1377" i="7"/>
  <c r="L1376" i="7"/>
  <c r="K1376" i="7"/>
  <c r="L1375" i="7"/>
  <c r="K1375" i="7"/>
  <c r="L1374" i="7"/>
  <c r="K1374" i="7"/>
  <c r="L1373" i="7"/>
  <c r="K1373" i="7"/>
  <c r="L1372" i="7"/>
  <c r="K1372" i="7"/>
  <c r="L1371" i="7"/>
  <c r="K1371" i="7"/>
  <c r="L1370" i="7"/>
  <c r="K1370" i="7"/>
  <c r="L1369" i="7"/>
  <c r="K1369" i="7"/>
  <c r="L1368" i="7"/>
  <c r="K1368" i="7"/>
  <c r="L1367" i="7"/>
  <c r="K1367" i="7"/>
  <c r="L1366" i="7"/>
  <c r="K1366" i="7"/>
  <c r="L1365" i="7"/>
  <c r="K1365" i="7"/>
  <c r="L1364" i="7"/>
  <c r="K1364" i="7"/>
  <c r="L1363" i="7"/>
  <c r="K1363" i="7"/>
  <c r="L1362" i="7"/>
  <c r="K1362" i="7"/>
  <c r="L1361" i="7"/>
  <c r="K1361" i="7"/>
  <c r="L1360" i="7"/>
  <c r="K1360" i="7"/>
  <c r="L1359" i="7"/>
  <c r="K1359" i="7"/>
  <c r="L1358" i="7"/>
  <c r="K1358" i="7"/>
  <c r="L1357" i="7"/>
  <c r="K1357" i="7"/>
  <c r="L1356" i="7"/>
  <c r="K1356" i="7"/>
  <c r="L1355" i="7"/>
  <c r="K1355" i="7"/>
  <c r="L1354" i="7"/>
  <c r="K1354" i="7"/>
  <c r="L1353" i="7"/>
  <c r="K1353" i="7"/>
  <c r="L1352" i="7"/>
  <c r="K1352" i="7"/>
  <c r="L1351" i="7"/>
  <c r="K1351" i="7"/>
  <c r="L1350" i="7"/>
  <c r="K1350" i="7"/>
  <c r="L1349" i="7"/>
  <c r="K1349" i="7"/>
  <c r="L1348" i="7"/>
  <c r="K1348" i="7"/>
  <c r="L1347" i="7"/>
  <c r="K1347" i="7"/>
  <c r="L1346" i="7"/>
  <c r="K1346" i="7"/>
  <c r="L1345" i="7"/>
  <c r="K1345" i="7"/>
  <c r="L1344" i="7"/>
  <c r="K1344" i="7"/>
  <c r="L1343" i="7"/>
  <c r="K1343" i="7"/>
  <c r="L1342" i="7"/>
  <c r="K1342" i="7"/>
  <c r="L1341" i="7"/>
  <c r="K1341" i="7"/>
  <c r="L1340" i="7"/>
  <c r="K1340" i="7"/>
  <c r="L1339" i="7"/>
  <c r="K1339" i="7"/>
  <c r="L1338" i="7"/>
  <c r="K1338" i="7"/>
  <c r="L1337" i="7"/>
  <c r="K1337" i="7"/>
  <c r="L1336" i="7"/>
  <c r="K1336" i="7"/>
  <c r="L1335" i="7"/>
  <c r="K1335" i="7"/>
  <c r="L1334" i="7"/>
  <c r="K1334" i="7"/>
  <c r="L1333" i="7"/>
  <c r="K1333" i="7"/>
  <c r="L1332" i="7"/>
  <c r="K1332" i="7"/>
  <c r="L1331" i="7"/>
  <c r="K1331" i="7"/>
  <c r="L1330" i="7"/>
  <c r="K1330" i="7"/>
  <c r="L1329" i="7"/>
  <c r="K1329" i="7"/>
  <c r="L1328" i="7"/>
  <c r="K1328" i="7"/>
  <c r="L1327" i="7"/>
  <c r="K1327" i="7"/>
  <c r="L1326" i="7"/>
  <c r="K1326" i="7"/>
  <c r="L1325" i="7"/>
  <c r="K1325" i="7"/>
  <c r="L1324" i="7"/>
  <c r="K1324" i="7"/>
  <c r="L1323" i="7"/>
  <c r="K1323" i="7"/>
  <c r="L1322" i="7"/>
  <c r="K1322" i="7"/>
  <c r="L1321" i="7"/>
  <c r="K1321" i="7"/>
  <c r="L1320" i="7"/>
  <c r="K1320" i="7"/>
  <c r="L1319" i="7"/>
  <c r="K1319" i="7"/>
  <c r="L1318" i="7"/>
  <c r="K1318" i="7"/>
  <c r="L1317" i="7"/>
  <c r="K1317" i="7"/>
  <c r="L1316" i="7"/>
  <c r="K1316" i="7"/>
  <c r="L1315" i="7"/>
  <c r="K1315" i="7"/>
  <c r="L1314" i="7"/>
  <c r="K1314" i="7"/>
  <c r="L1313" i="7"/>
  <c r="K1313" i="7"/>
  <c r="L1312" i="7"/>
  <c r="K1312" i="7"/>
  <c r="L1311" i="7"/>
  <c r="K1311" i="7"/>
  <c r="L1310" i="7"/>
  <c r="K1310" i="7"/>
  <c r="L1309" i="7"/>
  <c r="K1309" i="7"/>
  <c r="L1308" i="7"/>
  <c r="K1308" i="7"/>
  <c r="L1307" i="7"/>
  <c r="K1307" i="7"/>
  <c r="L1306" i="7"/>
  <c r="K1306" i="7"/>
  <c r="L1305" i="7"/>
  <c r="K1305" i="7"/>
  <c r="L1304" i="7"/>
  <c r="K1304" i="7"/>
  <c r="L1303" i="7"/>
  <c r="K1303" i="7"/>
  <c r="L1302" i="7"/>
  <c r="K1302" i="7"/>
  <c r="L1301" i="7"/>
  <c r="K1301" i="7"/>
  <c r="L1300" i="7"/>
  <c r="K1300" i="7"/>
  <c r="L1299" i="7"/>
  <c r="K1299" i="7"/>
  <c r="L1298" i="7"/>
  <c r="K1298" i="7"/>
  <c r="L1297" i="7"/>
  <c r="K1297" i="7"/>
  <c r="L1296" i="7"/>
  <c r="K1296" i="7"/>
  <c r="L1295" i="7"/>
  <c r="K1295" i="7"/>
  <c r="L1294" i="7"/>
  <c r="K1294" i="7"/>
  <c r="L1293" i="7"/>
  <c r="K1293" i="7"/>
  <c r="L1292" i="7"/>
  <c r="K1292" i="7"/>
  <c r="L1291" i="7"/>
  <c r="K1291" i="7"/>
  <c r="L1290" i="7"/>
  <c r="K1290" i="7"/>
  <c r="L1289" i="7"/>
  <c r="K1289" i="7"/>
  <c r="L1288" i="7"/>
  <c r="K1288" i="7"/>
  <c r="L1287" i="7"/>
  <c r="K1287" i="7"/>
  <c r="L1286" i="7"/>
  <c r="K1286" i="7"/>
  <c r="L1285" i="7"/>
  <c r="K1285" i="7"/>
  <c r="L1284" i="7"/>
  <c r="K1284" i="7"/>
  <c r="L1283" i="7"/>
  <c r="K1283" i="7"/>
  <c r="L1282" i="7"/>
  <c r="K1282" i="7"/>
  <c r="L1281" i="7"/>
  <c r="K1281" i="7"/>
  <c r="L1280" i="7"/>
  <c r="K1280" i="7"/>
  <c r="L1279" i="7"/>
  <c r="K1279" i="7"/>
  <c r="L1278" i="7"/>
  <c r="K1278" i="7"/>
  <c r="L1277" i="7"/>
  <c r="K1277" i="7"/>
  <c r="L1276" i="7"/>
  <c r="K1276" i="7"/>
  <c r="L1275" i="7"/>
  <c r="K1275" i="7"/>
  <c r="L1274" i="7"/>
  <c r="K1274" i="7"/>
  <c r="L1273" i="7"/>
  <c r="K1273" i="7"/>
  <c r="L1272" i="7"/>
  <c r="K1272" i="7"/>
  <c r="L1271" i="7"/>
  <c r="K1271" i="7"/>
  <c r="L1270" i="7"/>
  <c r="K1270" i="7"/>
  <c r="L1269" i="7"/>
  <c r="K1269" i="7"/>
  <c r="L1268" i="7"/>
  <c r="K1268" i="7"/>
  <c r="L1267" i="7"/>
  <c r="K1267" i="7"/>
  <c r="L1266" i="7"/>
  <c r="K1266" i="7"/>
  <c r="L1265" i="7"/>
  <c r="K1265" i="7"/>
  <c r="L1264" i="7"/>
  <c r="K1264" i="7"/>
  <c r="L1263" i="7"/>
  <c r="K1263" i="7"/>
  <c r="L1262" i="7"/>
  <c r="K1262" i="7"/>
  <c r="L1261" i="7"/>
  <c r="K1261" i="7"/>
  <c r="L1260" i="7"/>
  <c r="K1260" i="7"/>
  <c r="L1259" i="7"/>
  <c r="K1259" i="7"/>
  <c r="L1258" i="7"/>
  <c r="K1258" i="7"/>
  <c r="L1257" i="7"/>
  <c r="K1257" i="7"/>
  <c r="L1256" i="7"/>
  <c r="K1256" i="7"/>
  <c r="L1255" i="7"/>
  <c r="K1255" i="7"/>
  <c r="L1254" i="7"/>
  <c r="K1254" i="7"/>
  <c r="L1253" i="7"/>
  <c r="K1253" i="7"/>
  <c r="L1252" i="7"/>
  <c r="K1252" i="7"/>
  <c r="L1251" i="7"/>
  <c r="K1251" i="7"/>
  <c r="L1250" i="7"/>
  <c r="K1250" i="7"/>
  <c r="L1249" i="7"/>
  <c r="K1249" i="7"/>
  <c r="L1248" i="7"/>
  <c r="K1248" i="7"/>
  <c r="L1247" i="7"/>
  <c r="K1247" i="7"/>
  <c r="L1246" i="7"/>
  <c r="K1246" i="7"/>
  <c r="L1245" i="7"/>
  <c r="K1245" i="7"/>
  <c r="L1244" i="7"/>
  <c r="K1244" i="7"/>
  <c r="L1243" i="7"/>
  <c r="K1243" i="7"/>
  <c r="L1242" i="7"/>
  <c r="K1242" i="7"/>
  <c r="L1241" i="7"/>
  <c r="K1241" i="7"/>
  <c r="L1240" i="7"/>
  <c r="K1240" i="7"/>
  <c r="L1239" i="7"/>
  <c r="K1239" i="7"/>
  <c r="L1238" i="7"/>
  <c r="K1238" i="7"/>
  <c r="L1237" i="7"/>
  <c r="K1237" i="7"/>
  <c r="L1236" i="7"/>
  <c r="K1236" i="7"/>
  <c r="L1235" i="7"/>
  <c r="K1235" i="7"/>
  <c r="L1234" i="7"/>
  <c r="K1234" i="7"/>
  <c r="L1233" i="7"/>
  <c r="K1233" i="7"/>
  <c r="L1232" i="7"/>
  <c r="K1232" i="7"/>
  <c r="L1231" i="7"/>
  <c r="K1231" i="7"/>
  <c r="L1230" i="7"/>
  <c r="K1230" i="7"/>
  <c r="L1229" i="7"/>
  <c r="K1229" i="7"/>
  <c r="L1228" i="7"/>
  <c r="K1228" i="7"/>
  <c r="L1227" i="7"/>
  <c r="K1227" i="7"/>
  <c r="L1226" i="7"/>
  <c r="K1226" i="7"/>
  <c r="L1225" i="7"/>
  <c r="K1225" i="7"/>
  <c r="L1224" i="7"/>
  <c r="K1224" i="7"/>
  <c r="L1223" i="7"/>
  <c r="K1223" i="7"/>
  <c r="L1222" i="7"/>
  <c r="K1222" i="7"/>
  <c r="L1221" i="7"/>
  <c r="K1221" i="7"/>
  <c r="L1220" i="7"/>
  <c r="K1220" i="7"/>
  <c r="L1219" i="7"/>
  <c r="K1219" i="7"/>
  <c r="L1218" i="7"/>
  <c r="K1218" i="7"/>
  <c r="L1217" i="7"/>
  <c r="K1217" i="7"/>
  <c r="L1216" i="7"/>
  <c r="K1216" i="7"/>
  <c r="L1215" i="7"/>
  <c r="K1215" i="7"/>
  <c r="L1214" i="7"/>
  <c r="K1214" i="7"/>
  <c r="L1213" i="7"/>
  <c r="K1213" i="7"/>
  <c r="L1212" i="7"/>
  <c r="K1212" i="7"/>
  <c r="L1211" i="7"/>
  <c r="K1211" i="7"/>
  <c r="L1210" i="7"/>
  <c r="K1210" i="7"/>
  <c r="L1209" i="7"/>
  <c r="K1209" i="7"/>
  <c r="L1208" i="7"/>
  <c r="K1208" i="7"/>
  <c r="L1207" i="7"/>
  <c r="K1207" i="7"/>
  <c r="L1206" i="7"/>
  <c r="K1206" i="7"/>
  <c r="L1205" i="7"/>
  <c r="K1205" i="7"/>
  <c r="L1204" i="7"/>
  <c r="K1204" i="7"/>
  <c r="L1203" i="7"/>
  <c r="K1203" i="7"/>
  <c r="L1202" i="7"/>
  <c r="K1202" i="7"/>
  <c r="L1201" i="7"/>
  <c r="K1201" i="7"/>
  <c r="L1200" i="7"/>
  <c r="K1200" i="7"/>
  <c r="L1199" i="7"/>
  <c r="K1199" i="7"/>
  <c r="L1198" i="7"/>
  <c r="K1198" i="7"/>
  <c r="L1197" i="7"/>
  <c r="K1197" i="7"/>
  <c r="L1196" i="7"/>
  <c r="K1196" i="7"/>
  <c r="L1195" i="7"/>
  <c r="K1195" i="7"/>
  <c r="L1194" i="7"/>
  <c r="K1194" i="7"/>
  <c r="L1193" i="7"/>
  <c r="K1193" i="7"/>
  <c r="L1192" i="7"/>
  <c r="K1192" i="7"/>
  <c r="L1191" i="7"/>
  <c r="K1191" i="7"/>
  <c r="L1190" i="7"/>
  <c r="K1190" i="7"/>
  <c r="L1189" i="7"/>
  <c r="K1189" i="7"/>
  <c r="L1188" i="7"/>
  <c r="K1188" i="7"/>
  <c r="L1187" i="7"/>
  <c r="K1187" i="7"/>
  <c r="L1186" i="7"/>
  <c r="K1186" i="7"/>
  <c r="L1185" i="7"/>
  <c r="K1185" i="7"/>
  <c r="L1184" i="7"/>
  <c r="K1184" i="7"/>
  <c r="L1183" i="7"/>
  <c r="K1183" i="7"/>
  <c r="L1182" i="7"/>
  <c r="K1182" i="7"/>
  <c r="L1181" i="7"/>
  <c r="K1181" i="7"/>
  <c r="L1180" i="7"/>
  <c r="K1180" i="7"/>
  <c r="L1179" i="7"/>
  <c r="K1179" i="7"/>
  <c r="L1178" i="7"/>
  <c r="K1178" i="7"/>
  <c r="L1177" i="7"/>
  <c r="K1177" i="7"/>
  <c r="L1176" i="7"/>
  <c r="K1176" i="7"/>
  <c r="L1175" i="7"/>
  <c r="K1175" i="7"/>
  <c r="L1174" i="7"/>
  <c r="K1174" i="7"/>
  <c r="L1173" i="7"/>
  <c r="K1173" i="7"/>
  <c r="L1172" i="7"/>
  <c r="K1172" i="7"/>
  <c r="L1171" i="7"/>
  <c r="K1171" i="7"/>
  <c r="L1170" i="7"/>
  <c r="K1170" i="7"/>
  <c r="L1169" i="7"/>
  <c r="K1169" i="7"/>
  <c r="L1168" i="7"/>
  <c r="K1168" i="7"/>
  <c r="L1167" i="7"/>
  <c r="K1167" i="7"/>
  <c r="L1166" i="7"/>
  <c r="K1166" i="7"/>
  <c r="L1165" i="7"/>
  <c r="K1165" i="7"/>
  <c r="L1164" i="7"/>
  <c r="K1164" i="7"/>
  <c r="L1163" i="7"/>
  <c r="K1163" i="7"/>
  <c r="L1162" i="7"/>
  <c r="K1162" i="7"/>
  <c r="L1161" i="7"/>
  <c r="K1161" i="7"/>
  <c r="L1160" i="7"/>
  <c r="K1160" i="7"/>
  <c r="L1159" i="7"/>
  <c r="K1159" i="7"/>
  <c r="L1158" i="7"/>
  <c r="K1158" i="7"/>
  <c r="L1157" i="7"/>
  <c r="K1157" i="7"/>
  <c r="L1156" i="7"/>
  <c r="K1156" i="7"/>
  <c r="L1155" i="7"/>
  <c r="K1155" i="7"/>
  <c r="L1154" i="7"/>
  <c r="K1154" i="7"/>
  <c r="L1153" i="7"/>
  <c r="K1153" i="7"/>
  <c r="L1152" i="7"/>
  <c r="K1152" i="7"/>
  <c r="L1151" i="7"/>
  <c r="K1151" i="7"/>
  <c r="L1150" i="7"/>
  <c r="K1150" i="7"/>
  <c r="L1149" i="7"/>
  <c r="K1149" i="7"/>
  <c r="L1148" i="7"/>
  <c r="K1148" i="7"/>
  <c r="L1147" i="7"/>
  <c r="K1147" i="7"/>
  <c r="L1146" i="7"/>
  <c r="K1146" i="7"/>
  <c r="L1145" i="7"/>
  <c r="K1145" i="7"/>
  <c r="L1144" i="7"/>
  <c r="K1144" i="7"/>
  <c r="L1143" i="7"/>
  <c r="K1143" i="7"/>
  <c r="L1142" i="7"/>
  <c r="K1142" i="7"/>
  <c r="L1141" i="7"/>
  <c r="K1141" i="7"/>
  <c r="L1140" i="7"/>
  <c r="K1140" i="7"/>
  <c r="L1139" i="7"/>
  <c r="K1139" i="7"/>
  <c r="L1138" i="7"/>
  <c r="K1138" i="7"/>
  <c r="L1137" i="7"/>
  <c r="K1137" i="7"/>
  <c r="L1136" i="7"/>
  <c r="K1136" i="7"/>
  <c r="L1135" i="7"/>
  <c r="K1135" i="7"/>
  <c r="L1134" i="7"/>
  <c r="K1134" i="7"/>
  <c r="L1133" i="7"/>
  <c r="K1133" i="7"/>
  <c r="L1132" i="7"/>
  <c r="K1132" i="7"/>
  <c r="L1131" i="7"/>
  <c r="K1131" i="7"/>
  <c r="L1130" i="7"/>
  <c r="K1130" i="7"/>
  <c r="L1129" i="7"/>
  <c r="K1129" i="7"/>
  <c r="L1128" i="7"/>
  <c r="K1128" i="7"/>
  <c r="L1127" i="7"/>
  <c r="K1127" i="7"/>
  <c r="L1126" i="7"/>
  <c r="K1126" i="7"/>
  <c r="L1125" i="7"/>
  <c r="K1125" i="7"/>
  <c r="L1124" i="7"/>
  <c r="K1124" i="7"/>
  <c r="L1123" i="7"/>
  <c r="K1123" i="7"/>
  <c r="L1122" i="7"/>
  <c r="K1122" i="7"/>
  <c r="L1121" i="7"/>
  <c r="K1121" i="7"/>
  <c r="L1120" i="7"/>
  <c r="K1120" i="7"/>
  <c r="L1119" i="7"/>
  <c r="K1119" i="7"/>
  <c r="L1118" i="7"/>
  <c r="K1118" i="7"/>
  <c r="L1117" i="7"/>
  <c r="K1117" i="7"/>
  <c r="L1116" i="7"/>
  <c r="K1116" i="7"/>
  <c r="L1115" i="7"/>
  <c r="K1115" i="7"/>
  <c r="L1114" i="7"/>
  <c r="K1114" i="7"/>
  <c r="L1113" i="7"/>
  <c r="K1113" i="7"/>
  <c r="L1112" i="7"/>
  <c r="K1112" i="7"/>
  <c r="L1111" i="7"/>
  <c r="K1111" i="7"/>
  <c r="L1110" i="7"/>
  <c r="K1110" i="7"/>
  <c r="L1109" i="7"/>
  <c r="K1109" i="7"/>
  <c r="L1108" i="7"/>
  <c r="K1108" i="7"/>
  <c r="L1107" i="7"/>
  <c r="K1107" i="7"/>
  <c r="L1106" i="7"/>
  <c r="K1106" i="7"/>
  <c r="L1105" i="7"/>
  <c r="K1105" i="7"/>
  <c r="L1104" i="7"/>
  <c r="K1104" i="7"/>
  <c r="L1103" i="7"/>
  <c r="K1103" i="7"/>
  <c r="L1102" i="7"/>
  <c r="K1102" i="7"/>
  <c r="L1101" i="7"/>
  <c r="K1101" i="7"/>
  <c r="L1100" i="7"/>
  <c r="K1100" i="7"/>
  <c r="L1099" i="7"/>
  <c r="K1099" i="7"/>
  <c r="L1098" i="7"/>
  <c r="K1098" i="7"/>
  <c r="L1097" i="7"/>
  <c r="K1097" i="7"/>
  <c r="L1096" i="7"/>
  <c r="K1096" i="7"/>
  <c r="L1095" i="7"/>
  <c r="K1095" i="7"/>
  <c r="L1094" i="7"/>
  <c r="K1094" i="7"/>
  <c r="L1093" i="7"/>
  <c r="K1093" i="7"/>
  <c r="L1092" i="7"/>
  <c r="K1092" i="7"/>
  <c r="L1091" i="7"/>
  <c r="K1091" i="7"/>
  <c r="L1090" i="7"/>
  <c r="K1090" i="7"/>
  <c r="L1089" i="7"/>
  <c r="K1089" i="7"/>
  <c r="L1088" i="7"/>
  <c r="K1088" i="7"/>
  <c r="L1087" i="7"/>
  <c r="K1087" i="7"/>
  <c r="L1086" i="7"/>
  <c r="K1086" i="7"/>
  <c r="L1085" i="7"/>
  <c r="K1085" i="7"/>
  <c r="L1084" i="7"/>
  <c r="K1084" i="7"/>
  <c r="L1083" i="7"/>
  <c r="K1083" i="7"/>
  <c r="L1082" i="7"/>
  <c r="K1082" i="7"/>
  <c r="L1081" i="7"/>
  <c r="K1081" i="7"/>
  <c r="L1080" i="7"/>
  <c r="K1080" i="7"/>
  <c r="L1079" i="7"/>
  <c r="K1079" i="7"/>
  <c r="L1078" i="7"/>
  <c r="K1078" i="7"/>
  <c r="L1077" i="7"/>
  <c r="K1077" i="7"/>
  <c r="L1076" i="7"/>
  <c r="K1076" i="7"/>
  <c r="L1075" i="7"/>
  <c r="K1075" i="7"/>
  <c r="L1074" i="7"/>
  <c r="K1074" i="7"/>
  <c r="L1073" i="7"/>
  <c r="K1073" i="7"/>
  <c r="L1072" i="7"/>
  <c r="K1072" i="7"/>
  <c r="L1071" i="7"/>
  <c r="K1071" i="7"/>
  <c r="L1070" i="7"/>
  <c r="K1070" i="7"/>
  <c r="L1069" i="7"/>
  <c r="K1069" i="7"/>
  <c r="L1068" i="7"/>
  <c r="K1068" i="7"/>
  <c r="L1067" i="7"/>
  <c r="K1067" i="7"/>
  <c r="L1066" i="7"/>
  <c r="K1066" i="7"/>
  <c r="L1065" i="7"/>
  <c r="K1065" i="7"/>
  <c r="L1064" i="7"/>
  <c r="K1064" i="7"/>
  <c r="L1063" i="7"/>
  <c r="K1063" i="7"/>
  <c r="L1062" i="7"/>
  <c r="K1062" i="7"/>
  <c r="L1061" i="7"/>
  <c r="K1061" i="7"/>
  <c r="L1060" i="7"/>
  <c r="K1060" i="7"/>
  <c r="L1059" i="7"/>
  <c r="K1059" i="7"/>
  <c r="L1058" i="7"/>
  <c r="K1058" i="7"/>
  <c r="L1057" i="7"/>
  <c r="K1057" i="7"/>
  <c r="L1056" i="7"/>
  <c r="K1056" i="7"/>
  <c r="L1055" i="7"/>
  <c r="K1055" i="7"/>
  <c r="L1054" i="7"/>
  <c r="K1054" i="7"/>
  <c r="L1053" i="7"/>
  <c r="K1053" i="7"/>
  <c r="L1052" i="7"/>
  <c r="K1052" i="7"/>
  <c r="L1051" i="7"/>
  <c r="K1051" i="7"/>
  <c r="L1050" i="7"/>
  <c r="K1050" i="7"/>
  <c r="L1049" i="7"/>
  <c r="K1049" i="7"/>
  <c r="L1048" i="7"/>
  <c r="K1048" i="7"/>
  <c r="L1047" i="7"/>
  <c r="K1047" i="7"/>
  <c r="L1046" i="7"/>
  <c r="K1046" i="7"/>
  <c r="L1045" i="7"/>
  <c r="K1045" i="7"/>
  <c r="L1044" i="7"/>
  <c r="K1044" i="7"/>
  <c r="L1043" i="7"/>
  <c r="K1043" i="7"/>
  <c r="L1042" i="7"/>
  <c r="K1042" i="7"/>
  <c r="L1041" i="7"/>
  <c r="K1041" i="7"/>
  <c r="L1040" i="7"/>
  <c r="K1040" i="7"/>
  <c r="L1039" i="7"/>
  <c r="K1039" i="7"/>
  <c r="L1038" i="7"/>
  <c r="K1038" i="7"/>
  <c r="L1037" i="7"/>
  <c r="K1037" i="7"/>
  <c r="L1036" i="7"/>
  <c r="K1036" i="7"/>
  <c r="L1035" i="7"/>
  <c r="K1035" i="7"/>
  <c r="L1034" i="7"/>
  <c r="K1034" i="7"/>
  <c r="L1033" i="7"/>
  <c r="K1033" i="7"/>
  <c r="L1032" i="7"/>
  <c r="K1032" i="7"/>
  <c r="L1031" i="7"/>
  <c r="K1031" i="7"/>
  <c r="L1030" i="7"/>
  <c r="K1030" i="7"/>
  <c r="L1029" i="7"/>
  <c r="K1029" i="7"/>
  <c r="L1028" i="7"/>
  <c r="K1028" i="7"/>
  <c r="L1027" i="7"/>
  <c r="K1027" i="7"/>
  <c r="L1026" i="7"/>
  <c r="K1026" i="7"/>
  <c r="L1025" i="7"/>
  <c r="K1025" i="7"/>
  <c r="L1024" i="7"/>
  <c r="K1024" i="7"/>
  <c r="L1023" i="7"/>
  <c r="K1023" i="7"/>
  <c r="L1022" i="7"/>
  <c r="K1022" i="7"/>
  <c r="L1021" i="7"/>
  <c r="K1021" i="7"/>
  <c r="L1020" i="7"/>
  <c r="K1020" i="7"/>
  <c r="L1019" i="7"/>
  <c r="K1019" i="7"/>
  <c r="L1018" i="7"/>
  <c r="K1018" i="7"/>
  <c r="L1017" i="7"/>
  <c r="K1017" i="7"/>
  <c r="L1016" i="7"/>
  <c r="K1016" i="7"/>
  <c r="L1015" i="7"/>
  <c r="K1015" i="7"/>
  <c r="L1014" i="7"/>
  <c r="K1014" i="7"/>
  <c r="L1013" i="7"/>
  <c r="K1013" i="7"/>
  <c r="L1012" i="7"/>
  <c r="K1012" i="7"/>
  <c r="L1011" i="7"/>
  <c r="K1011" i="7"/>
  <c r="L1010" i="7"/>
  <c r="K1010" i="7"/>
  <c r="L1009" i="7"/>
  <c r="K1009" i="7"/>
  <c r="L1008" i="7"/>
  <c r="K1008" i="7"/>
  <c r="L1007" i="7"/>
  <c r="K1007" i="7"/>
  <c r="L1006" i="7"/>
  <c r="K1006" i="7"/>
  <c r="L1005" i="7"/>
  <c r="K1005" i="7"/>
  <c r="L1004" i="7"/>
  <c r="K1004" i="7"/>
  <c r="L1003" i="7"/>
  <c r="K1003" i="7"/>
  <c r="L1002" i="7"/>
  <c r="K1002" i="7"/>
  <c r="L1001" i="7"/>
  <c r="K1001" i="7"/>
  <c r="L1000" i="7"/>
  <c r="K1000" i="7"/>
  <c r="L999" i="7"/>
  <c r="K999" i="7"/>
  <c r="L998" i="7"/>
  <c r="K998" i="7"/>
  <c r="L997" i="7"/>
  <c r="K997" i="7"/>
  <c r="L996" i="7"/>
  <c r="K996" i="7"/>
  <c r="L995" i="7"/>
  <c r="K995" i="7"/>
  <c r="L994" i="7"/>
  <c r="K994" i="7"/>
  <c r="L993" i="7"/>
  <c r="K993" i="7"/>
  <c r="L992" i="7"/>
  <c r="K992" i="7"/>
  <c r="L991" i="7"/>
  <c r="K991" i="7"/>
  <c r="L990" i="7"/>
  <c r="K990" i="7"/>
  <c r="L989" i="7"/>
  <c r="K989" i="7"/>
  <c r="L988" i="7"/>
  <c r="K988" i="7"/>
  <c r="L987" i="7"/>
  <c r="K987" i="7"/>
  <c r="L986" i="7"/>
  <c r="K986" i="7"/>
  <c r="L985" i="7"/>
  <c r="K985" i="7"/>
  <c r="L984" i="7"/>
  <c r="K984" i="7"/>
  <c r="L983" i="7"/>
  <c r="K983" i="7"/>
  <c r="L982" i="7"/>
  <c r="K982" i="7"/>
  <c r="L981" i="7"/>
  <c r="K981" i="7"/>
  <c r="L980" i="7"/>
  <c r="K980" i="7"/>
  <c r="L979" i="7"/>
  <c r="K979" i="7"/>
  <c r="L978" i="7"/>
  <c r="K978" i="7"/>
  <c r="L977" i="7"/>
  <c r="K977" i="7"/>
  <c r="L976" i="7"/>
  <c r="K976" i="7"/>
  <c r="L975" i="7"/>
  <c r="K975" i="7"/>
  <c r="L974" i="7"/>
  <c r="K974" i="7"/>
  <c r="L973" i="7"/>
  <c r="K973" i="7"/>
  <c r="L972" i="7"/>
  <c r="K972" i="7"/>
  <c r="L971" i="7"/>
  <c r="K971" i="7"/>
  <c r="L970" i="7"/>
  <c r="K970" i="7"/>
  <c r="L969" i="7"/>
  <c r="K969" i="7"/>
  <c r="L968" i="7"/>
  <c r="K968" i="7"/>
  <c r="L967" i="7"/>
  <c r="K967" i="7"/>
  <c r="L966" i="7"/>
  <c r="K966" i="7"/>
  <c r="L965" i="7"/>
  <c r="K965" i="7"/>
  <c r="L964" i="7"/>
  <c r="K964" i="7"/>
  <c r="L963" i="7"/>
  <c r="K963" i="7"/>
  <c r="L962" i="7"/>
  <c r="K962" i="7"/>
  <c r="L961" i="7"/>
  <c r="K961" i="7"/>
  <c r="L960" i="7"/>
  <c r="K960" i="7"/>
  <c r="L959" i="7"/>
  <c r="K959" i="7"/>
  <c r="L958" i="7"/>
  <c r="K958" i="7"/>
  <c r="L957" i="7"/>
  <c r="K957" i="7"/>
  <c r="L956" i="7"/>
  <c r="K956" i="7"/>
  <c r="L955" i="7"/>
  <c r="K955" i="7"/>
  <c r="L954" i="7"/>
  <c r="K954" i="7"/>
  <c r="L953" i="7"/>
  <c r="K953" i="7"/>
  <c r="L952" i="7"/>
  <c r="K952" i="7"/>
  <c r="L951" i="7"/>
  <c r="K951" i="7"/>
  <c r="L950" i="7"/>
  <c r="K950" i="7"/>
  <c r="L949" i="7"/>
  <c r="K949" i="7"/>
  <c r="L948" i="7"/>
  <c r="K948" i="7"/>
  <c r="L947" i="7"/>
  <c r="K947" i="7"/>
  <c r="L946" i="7"/>
  <c r="K946" i="7"/>
  <c r="L945" i="7"/>
  <c r="K945" i="7"/>
  <c r="L944" i="7"/>
  <c r="K944" i="7"/>
  <c r="L943" i="7"/>
  <c r="K943" i="7"/>
  <c r="L942" i="7"/>
  <c r="K942" i="7"/>
  <c r="L941" i="7"/>
  <c r="K941" i="7"/>
  <c r="L940" i="7"/>
  <c r="K940" i="7"/>
  <c r="L939" i="7"/>
  <c r="K939" i="7"/>
  <c r="L938" i="7"/>
  <c r="K938" i="7"/>
  <c r="L937" i="7"/>
  <c r="K937" i="7"/>
  <c r="L936" i="7"/>
  <c r="K936" i="7"/>
  <c r="L935" i="7"/>
  <c r="K935" i="7"/>
  <c r="L934" i="7"/>
  <c r="K934" i="7"/>
  <c r="L933" i="7"/>
  <c r="K933" i="7"/>
  <c r="L932" i="7"/>
  <c r="K932" i="7"/>
  <c r="L931" i="7"/>
  <c r="K931" i="7"/>
  <c r="L930" i="7"/>
  <c r="K930" i="7"/>
  <c r="L929" i="7"/>
  <c r="K929" i="7"/>
  <c r="L928" i="7"/>
  <c r="K928" i="7"/>
  <c r="L927" i="7"/>
  <c r="K927" i="7"/>
  <c r="L926" i="7"/>
  <c r="K926" i="7"/>
  <c r="L925" i="7"/>
  <c r="K925" i="7"/>
  <c r="L924" i="7"/>
  <c r="K924" i="7"/>
  <c r="L923" i="7"/>
  <c r="K923" i="7"/>
  <c r="L922" i="7"/>
  <c r="K922" i="7"/>
  <c r="L921" i="7"/>
  <c r="K921" i="7"/>
  <c r="L920" i="7"/>
  <c r="K920" i="7"/>
  <c r="L919" i="7"/>
  <c r="K919" i="7"/>
  <c r="L918" i="7"/>
  <c r="K918" i="7"/>
  <c r="L917" i="7"/>
  <c r="K917" i="7"/>
  <c r="L916" i="7"/>
  <c r="K916" i="7"/>
  <c r="L915" i="7"/>
  <c r="K915" i="7"/>
  <c r="L914" i="7"/>
  <c r="K914" i="7"/>
  <c r="L913" i="7"/>
  <c r="K913" i="7"/>
  <c r="L912" i="7"/>
  <c r="K912" i="7"/>
  <c r="L911" i="7"/>
  <c r="K911" i="7"/>
  <c r="L910" i="7"/>
  <c r="K910" i="7"/>
  <c r="L909" i="7"/>
  <c r="K909" i="7"/>
  <c r="L908" i="7"/>
  <c r="K908" i="7"/>
  <c r="L907" i="7"/>
  <c r="K907" i="7"/>
  <c r="L906" i="7"/>
  <c r="K906" i="7"/>
  <c r="L905" i="7"/>
  <c r="K905" i="7"/>
  <c r="L904" i="7"/>
  <c r="K904" i="7"/>
  <c r="L903" i="7"/>
  <c r="K903" i="7"/>
  <c r="L902" i="7"/>
  <c r="K902" i="7"/>
  <c r="L901" i="7"/>
  <c r="K901" i="7"/>
  <c r="L900" i="7"/>
  <c r="K900" i="7"/>
  <c r="L899" i="7"/>
  <c r="K899" i="7"/>
  <c r="L898" i="7"/>
  <c r="K898" i="7"/>
  <c r="L897" i="7"/>
  <c r="K897" i="7"/>
  <c r="L896" i="7"/>
  <c r="K896" i="7"/>
  <c r="L895" i="7"/>
  <c r="K895" i="7"/>
  <c r="L894" i="7"/>
  <c r="K894" i="7"/>
  <c r="L893" i="7"/>
  <c r="K893" i="7"/>
  <c r="L892" i="7"/>
  <c r="K892" i="7"/>
  <c r="L891" i="7"/>
  <c r="K891" i="7"/>
  <c r="L890" i="7"/>
  <c r="K890" i="7"/>
  <c r="L889" i="7"/>
  <c r="K889" i="7"/>
  <c r="L888" i="7"/>
  <c r="K888" i="7"/>
  <c r="L887" i="7"/>
  <c r="K887" i="7"/>
  <c r="L886" i="7"/>
  <c r="K886" i="7"/>
  <c r="L885" i="7"/>
  <c r="K885" i="7"/>
  <c r="L884" i="7"/>
  <c r="K884" i="7"/>
  <c r="L883" i="7"/>
  <c r="K883" i="7"/>
  <c r="L882" i="7"/>
  <c r="K882" i="7"/>
  <c r="L881" i="7"/>
  <c r="K881" i="7"/>
  <c r="L880" i="7"/>
  <c r="K880" i="7"/>
  <c r="L879" i="7"/>
  <c r="K879" i="7"/>
  <c r="L878" i="7"/>
  <c r="K878" i="7"/>
  <c r="L877" i="7"/>
  <c r="K877" i="7"/>
  <c r="L876" i="7"/>
  <c r="K876" i="7"/>
  <c r="L875" i="7"/>
  <c r="K875" i="7"/>
  <c r="L874" i="7"/>
  <c r="K874" i="7"/>
  <c r="L873" i="7"/>
  <c r="K873" i="7"/>
  <c r="L872" i="7"/>
  <c r="K872" i="7"/>
  <c r="L871" i="7"/>
  <c r="K871" i="7"/>
  <c r="L870" i="7"/>
  <c r="K870" i="7"/>
  <c r="L869" i="7"/>
  <c r="K869" i="7"/>
  <c r="L868" i="7"/>
  <c r="K868" i="7"/>
  <c r="L867" i="7"/>
  <c r="K867" i="7"/>
  <c r="L866" i="7"/>
  <c r="K866" i="7"/>
  <c r="L865" i="7"/>
  <c r="K865" i="7"/>
  <c r="L864" i="7"/>
  <c r="K864" i="7"/>
  <c r="L863" i="7"/>
  <c r="K863" i="7"/>
  <c r="L862" i="7"/>
  <c r="K862" i="7"/>
  <c r="L861" i="7"/>
  <c r="K861" i="7"/>
  <c r="L860" i="7"/>
  <c r="K860" i="7"/>
  <c r="L859" i="7"/>
  <c r="K859" i="7"/>
  <c r="L858" i="7"/>
  <c r="K858" i="7"/>
  <c r="L857" i="7"/>
  <c r="K857" i="7"/>
  <c r="L856" i="7"/>
  <c r="K856" i="7"/>
  <c r="L855" i="7"/>
  <c r="K855" i="7"/>
  <c r="L854" i="7"/>
  <c r="K854" i="7"/>
  <c r="L853" i="7"/>
  <c r="K853" i="7"/>
  <c r="L852" i="7"/>
  <c r="K852" i="7"/>
  <c r="L851" i="7"/>
  <c r="K851" i="7"/>
  <c r="L850" i="7"/>
  <c r="K850" i="7"/>
  <c r="L849" i="7"/>
  <c r="K849" i="7"/>
  <c r="L848" i="7"/>
  <c r="K848" i="7"/>
  <c r="L847" i="7"/>
  <c r="K847" i="7"/>
  <c r="L846" i="7"/>
  <c r="K846" i="7"/>
  <c r="L845" i="7"/>
  <c r="K845" i="7"/>
  <c r="L844" i="7"/>
  <c r="K844" i="7"/>
  <c r="L843" i="7"/>
  <c r="K843" i="7"/>
  <c r="L842" i="7"/>
  <c r="K842" i="7"/>
  <c r="L841" i="7"/>
  <c r="K841" i="7"/>
  <c r="L840" i="7"/>
  <c r="K840" i="7"/>
  <c r="L839" i="7"/>
  <c r="K839" i="7"/>
  <c r="L838" i="7"/>
  <c r="K838" i="7"/>
  <c r="L837" i="7"/>
  <c r="K837" i="7"/>
  <c r="L836" i="7"/>
  <c r="K836" i="7"/>
  <c r="L835" i="7"/>
  <c r="K835" i="7"/>
  <c r="L834" i="7"/>
  <c r="K834" i="7"/>
  <c r="L833" i="7"/>
  <c r="K833" i="7"/>
  <c r="L832" i="7"/>
  <c r="K832" i="7"/>
  <c r="L831" i="7"/>
  <c r="K831" i="7"/>
  <c r="L830" i="7"/>
  <c r="K830" i="7"/>
  <c r="L829" i="7"/>
  <c r="K829" i="7"/>
  <c r="L828" i="7"/>
  <c r="K828" i="7"/>
  <c r="L827" i="7"/>
  <c r="K827" i="7"/>
  <c r="L826" i="7"/>
  <c r="K826" i="7"/>
  <c r="L825" i="7"/>
  <c r="K825" i="7"/>
  <c r="L824" i="7"/>
  <c r="K824" i="7"/>
  <c r="L823" i="7"/>
  <c r="K823" i="7"/>
  <c r="L822" i="7"/>
  <c r="K822" i="7"/>
  <c r="L821" i="7"/>
  <c r="K821" i="7"/>
  <c r="L820" i="7"/>
  <c r="K820" i="7"/>
  <c r="L819" i="7"/>
  <c r="K819" i="7"/>
  <c r="L818" i="7"/>
  <c r="K818" i="7"/>
  <c r="L817" i="7"/>
  <c r="K817" i="7"/>
  <c r="L816" i="7"/>
  <c r="K816" i="7"/>
  <c r="L815" i="7"/>
  <c r="K815" i="7"/>
  <c r="L814" i="7"/>
  <c r="K814" i="7"/>
  <c r="L813" i="7"/>
  <c r="K813" i="7"/>
  <c r="L812" i="7"/>
  <c r="K812" i="7"/>
  <c r="L811" i="7"/>
  <c r="K811" i="7"/>
  <c r="L810" i="7"/>
  <c r="K810" i="7"/>
  <c r="L809" i="7"/>
  <c r="K809" i="7"/>
  <c r="L808" i="7"/>
  <c r="K808" i="7"/>
  <c r="L807" i="7"/>
  <c r="K807" i="7"/>
  <c r="L806" i="7"/>
  <c r="K806" i="7"/>
  <c r="L805" i="7"/>
  <c r="K805" i="7"/>
  <c r="L804" i="7"/>
  <c r="K804" i="7"/>
  <c r="L803" i="7"/>
  <c r="K803" i="7"/>
  <c r="L802" i="7"/>
  <c r="K802" i="7"/>
  <c r="L801" i="7"/>
  <c r="K801" i="7"/>
  <c r="L800" i="7"/>
  <c r="K800" i="7"/>
  <c r="L799" i="7"/>
  <c r="K799" i="7"/>
  <c r="L798" i="7"/>
  <c r="K798" i="7"/>
  <c r="L797" i="7"/>
  <c r="K797" i="7"/>
  <c r="L796" i="7"/>
  <c r="K796" i="7"/>
  <c r="L795" i="7"/>
  <c r="K795" i="7"/>
  <c r="L794" i="7"/>
  <c r="K794" i="7"/>
  <c r="L793" i="7"/>
  <c r="K793" i="7"/>
  <c r="L792" i="7"/>
  <c r="K792" i="7"/>
  <c r="L791" i="7"/>
  <c r="K791" i="7"/>
  <c r="L790" i="7"/>
  <c r="K790" i="7"/>
  <c r="L789" i="7"/>
  <c r="K789" i="7"/>
  <c r="L788" i="7"/>
  <c r="K788" i="7"/>
  <c r="L787" i="7"/>
  <c r="K787" i="7"/>
  <c r="L786" i="7"/>
  <c r="K786" i="7"/>
  <c r="L785" i="7"/>
  <c r="K785" i="7"/>
  <c r="L784" i="7"/>
  <c r="K784" i="7"/>
  <c r="L783" i="7"/>
  <c r="K783" i="7"/>
  <c r="L782" i="7"/>
  <c r="K782" i="7"/>
  <c r="L781" i="7"/>
  <c r="K781" i="7"/>
  <c r="L780" i="7"/>
  <c r="K780" i="7"/>
  <c r="L779" i="7"/>
  <c r="K779" i="7"/>
  <c r="L778" i="7"/>
  <c r="K778" i="7"/>
  <c r="L777" i="7"/>
  <c r="K777" i="7"/>
  <c r="L776" i="7"/>
  <c r="K776" i="7"/>
  <c r="L775" i="7"/>
  <c r="K775" i="7"/>
  <c r="L774" i="7"/>
  <c r="K774" i="7"/>
  <c r="L773" i="7"/>
  <c r="K773" i="7"/>
  <c r="L772" i="7"/>
  <c r="K772" i="7"/>
  <c r="L771" i="7"/>
  <c r="K771" i="7"/>
  <c r="L770" i="7"/>
  <c r="K770" i="7"/>
  <c r="L769" i="7"/>
  <c r="K769" i="7"/>
  <c r="L768" i="7"/>
  <c r="K768" i="7"/>
  <c r="L767" i="7"/>
  <c r="K767" i="7"/>
  <c r="L766" i="7"/>
  <c r="K766" i="7"/>
  <c r="L765" i="7"/>
  <c r="K765" i="7"/>
  <c r="L764" i="7"/>
  <c r="K764" i="7"/>
  <c r="L763" i="7"/>
  <c r="K763" i="7"/>
  <c r="L762" i="7"/>
  <c r="K762" i="7"/>
  <c r="L761" i="7"/>
  <c r="K761" i="7"/>
  <c r="L760" i="7"/>
  <c r="K760" i="7"/>
  <c r="L759" i="7"/>
  <c r="K759" i="7"/>
  <c r="L758" i="7"/>
  <c r="K758" i="7"/>
  <c r="L757" i="7"/>
  <c r="K757" i="7"/>
  <c r="L756" i="7"/>
  <c r="K756" i="7"/>
  <c r="L755" i="7"/>
  <c r="K755" i="7"/>
  <c r="L754" i="7"/>
  <c r="K754" i="7"/>
  <c r="L753" i="7"/>
  <c r="K753" i="7"/>
  <c r="L752" i="7"/>
  <c r="K752" i="7"/>
  <c r="L751" i="7"/>
  <c r="K751" i="7"/>
  <c r="L750" i="7"/>
  <c r="K750" i="7"/>
  <c r="L749" i="7"/>
  <c r="K749" i="7"/>
  <c r="L748" i="7"/>
  <c r="K748" i="7"/>
  <c r="L747" i="7"/>
  <c r="K747" i="7"/>
  <c r="L746" i="7"/>
  <c r="K746" i="7"/>
  <c r="L745" i="7"/>
  <c r="K745" i="7"/>
  <c r="L744" i="7"/>
  <c r="K744" i="7"/>
  <c r="L743" i="7"/>
  <c r="K743" i="7"/>
  <c r="L742" i="7"/>
  <c r="K742" i="7"/>
  <c r="L741" i="7"/>
  <c r="K741" i="7"/>
  <c r="L740" i="7"/>
  <c r="K740" i="7"/>
  <c r="L739" i="7"/>
  <c r="K739" i="7"/>
  <c r="L738" i="7"/>
  <c r="K738" i="7"/>
  <c r="L737" i="7"/>
  <c r="K737" i="7"/>
  <c r="L736" i="7"/>
  <c r="K736" i="7"/>
  <c r="L735" i="7"/>
  <c r="K735" i="7"/>
  <c r="L734" i="7"/>
  <c r="K734" i="7"/>
  <c r="L733" i="7"/>
  <c r="K733" i="7"/>
  <c r="L732" i="7"/>
  <c r="K732" i="7"/>
  <c r="L731" i="7"/>
  <c r="K731" i="7"/>
  <c r="L730" i="7"/>
  <c r="K730" i="7"/>
  <c r="L729" i="7"/>
  <c r="K729" i="7"/>
  <c r="L728" i="7"/>
  <c r="K728" i="7"/>
  <c r="L727" i="7"/>
  <c r="K727" i="7"/>
  <c r="L726" i="7"/>
  <c r="K726" i="7"/>
  <c r="L725" i="7"/>
  <c r="K725" i="7"/>
  <c r="L724" i="7"/>
  <c r="K724" i="7"/>
  <c r="L723" i="7"/>
  <c r="K723" i="7"/>
  <c r="L722" i="7"/>
  <c r="K722" i="7"/>
  <c r="L721" i="7"/>
  <c r="K721" i="7"/>
  <c r="L720" i="7"/>
  <c r="K720" i="7"/>
  <c r="L719" i="7"/>
  <c r="K719" i="7"/>
  <c r="L718" i="7"/>
  <c r="K718" i="7"/>
  <c r="L717" i="7"/>
  <c r="K717" i="7"/>
  <c r="L716" i="7"/>
  <c r="K716" i="7"/>
  <c r="L715" i="7"/>
  <c r="K715" i="7"/>
  <c r="L714" i="7"/>
  <c r="K714" i="7"/>
  <c r="L713" i="7"/>
  <c r="K713" i="7"/>
  <c r="L712" i="7"/>
  <c r="K712" i="7"/>
  <c r="L711" i="7"/>
  <c r="K711" i="7"/>
  <c r="L710" i="7"/>
  <c r="K710" i="7"/>
  <c r="L709" i="7"/>
  <c r="K709" i="7"/>
  <c r="L708" i="7"/>
  <c r="K708" i="7"/>
  <c r="L707" i="7"/>
  <c r="K707" i="7"/>
  <c r="L706" i="7"/>
  <c r="K706" i="7"/>
  <c r="L705" i="7"/>
  <c r="K705" i="7"/>
  <c r="L704" i="7"/>
  <c r="K704" i="7"/>
  <c r="L703" i="7"/>
  <c r="K703" i="7"/>
  <c r="L702" i="7"/>
  <c r="K702" i="7"/>
  <c r="L701" i="7"/>
  <c r="K701" i="7"/>
  <c r="L700" i="7"/>
  <c r="K700" i="7"/>
  <c r="L699" i="7"/>
  <c r="K699" i="7"/>
  <c r="L698" i="7"/>
  <c r="K698" i="7"/>
  <c r="L697" i="7"/>
  <c r="K697" i="7"/>
  <c r="L696" i="7"/>
  <c r="K696" i="7"/>
  <c r="L695" i="7"/>
  <c r="K695" i="7"/>
  <c r="L694" i="7"/>
  <c r="K694" i="7"/>
  <c r="L693" i="7"/>
  <c r="K693" i="7"/>
  <c r="L692" i="7"/>
  <c r="K692" i="7"/>
  <c r="L691" i="7"/>
  <c r="K691" i="7"/>
  <c r="L690" i="7"/>
  <c r="K690" i="7"/>
  <c r="L689" i="7"/>
  <c r="K689" i="7"/>
  <c r="L688" i="7"/>
  <c r="K688" i="7"/>
  <c r="L687" i="7"/>
  <c r="K687" i="7"/>
  <c r="L686" i="7"/>
  <c r="K686" i="7"/>
  <c r="L685" i="7"/>
  <c r="K685" i="7"/>
  <c r="L684" i="7"/>
  <c r="K684" i="7"/>
  <c r="L683" i="7"/>
  <c r="K683" i="7"/>
  <c r="L682" i="7"/>
  <c r="K682" i="7"/>
  <c r="L681" i="7"/>
  <c r="K681" i="7"/>
  <c r="L680" i="7"/>
  <c r="K680" i="7"/>
  <c r="L679" i="7"/>
  <c r="K679" i="7"/>
  <c r="L678" i="7"/>
  <c r="K678" i="7"/>
  <c r="L677" i="7"/>
  <c r="K677" i="7"/>
  <c r="L676" i="7"/>
  <c r="K676" i="7"/>
  <c r="L675" i="7"/>
  <c r="K675" i="7"/>
  <c r="L674" i="7"/>
  <c r="K674" i="7"/>
  <c r="L673" i="7"/>
  <c r="K673" i="7"/>
  <c r="L672" i="7"/>
  <c r="K672" i="7"/>
  <c r="L671" i="7"/>
  <c r="K671" i="7"/>
  <c r="L670" i="7"/>
  <c r="K670" i="7"/>
  <c r="L669" i="7"/>
  <c r="K669" i="7"/>
  <c r="L668" i="7"/>
  <c r="K668" i="7"/>
  <c r="L667" i="7"/>
  <c r="K667" i="7"/>
  <c r="L666" i="7"/>
  <c r="K666" i="7"/>
  <c r="L665" i="7"/>
  <c r="K665" i="7"/>
  <c r="L664" i="7"/>
  <c r="K664" i="7"/>
  <c r="L663" i="7"/>
  <c r="K663" i="7"/>
  <c r="L662" i="7"/>
  <c r="K662" i="7"/>
  <c r="L661" i="7"/>
  <c r="K661" i="7"/>
  <c r="L660" i="7"/>
  <c r="K660" i="7"/>
  <c r="L659" i="7"/>
  <c r="K659" i="7"/>
  <c r="L658" i="7"/>
  <c r="K658" i="7"/>
  <c r="L657" i="7"/>
  <c r="K657" i="7"/>
  <c r="L656" i="7"/>
  <c r="K656" i="7"/>
  <c r="L655" i="7"/>
  <c r="K655" i="7"/>
  <c r="L654" i="7"/>
  <c r="K654" i="7"/>
  <c r="L653" i="7"/>
  <c r="K653" i="7"/>
  <c r="L652" i="7"/>
  <c r="K652" i="7"/>
  <c r="L651" i="7"/>
  <c r="K651" i="7"/>
  <c r="L650" i="7"/>
  <c r="K650" i="7"/>
  <c r="L649" i="7"/>
  <c r="K649" i="7"/>
  <c r="L648" i="7"/>
  <c r="K648" i="7"/>
  <c r="L647" i="7"/>
  <c r="K647" i="7"/>
  <c r="L646" i="7"/>
  <c r="K646" i="7"/>
  <c r="L645" i="7"/>
  <c r="K645" i="7"/>
  <c r="L644" i="7"/>
  <c r="K644" i="7"/>
  <c r="L643" i="7"/>
  <c r="K643" i="7"/>
  <c r="L642" i="7"/>
  <c r="K642" i="7"/>
  <c r="L641" i="7"/>
  <c r="K641" i="7"/>
  <c r="L640" i="7"/>
  <c r="K640" i="7"/>
  <c r="L639" i="7"/>
  <c r="K639" i="7"/>
  <c r="L638" i="7"/>
  <c r="K638" i="7"/>
  <c r="L637" i="7"/>
  <c r="K637" i="7"/>
  <c r="L636" i="7"/>
  <c r="K636" i="7"/>
  <c r="L635" i="7"/>
  <c r="K635" i="7"/>
  <c r="L634" i="7"/>
  <c r="K634" i="7"/>
  <c r="L633" i="7"/>
  <c r="K633" i="7"/>
  <c r="L632" i="7"/>
  <c r="K632" i="7"/>
  <c r="L631" i="7"/>
  <c r="K631" i="7"/>
  <c r="L630" i="7"/>
  <c r="K630" i="7"/>
  <c r="L629" i="7"/>
  <c r="K629" i="7"/>
  <c r="L628" i="7"/>
  <c r="K628" i="7"/>
  <c r="L627" i="7"/>
  <c r="K627" i="7"/>
  <c r="L626" i="7"/>
  <c r="K626" i="7"/>
  <c r="L625" i="7"/>
  <c r="K625" i="7"/>
  <c r="L624" i="7"/>
  <c r="K624" i="7"/>
  <c r="L623" i="7"/>
  <c r="K623" i="7"/>
  <c r="L622" i="7"/>
  <c r="K622" i="7"/>
  <c r="L621" i="7"/>
  <c r="K621" i="7"/>
  <c r="L620" i="7"/>
  <c r="K620" i="7"/>
  <c r="L619" i="7"/>
  <c r="K619" i="7"/>
  <c r="L618" i="7"/>
  <c r="K618" i="7"/>
  <c r="L617" i="7"/>
  <c r="K617" i="7"/>
  <c r="L616" i="7"/>
  <c r="K616" i="7"/>
  <c r="L615" i="7"/>
  <c r="K615" i="7"/>
  <c r="L614" i="7"/>
  <c r="K614" i="7"/>
  <c r="L613" i="7"/>
  <c r="K613" i="7"/>
  <c r="L612" i="7"/>
  <c r="K612" i="7"/>
  <c r="L611" i="7"/>
  <c r="K611" i="7"/>
  <c r="L610" i="7"/>
  <c r="K610" i="7"/>
  <c r="L609" i="7"/>
  <c r="K609" i="7"/>
  <c r="L608" i="7"/>
  <c r="K608" i="7"/>
  <c r="L607" i="7"/>
  <c r="K607" i="7"/>
  <c r="L606" i="7"/>
  <c r="K606" i="7"/>
  <c r="L605" i="7"/>
  <c r="K605" i="7"/>
  <c r="L604" i="7"/>
  <c r="K604" i="7"/>
  <c r="L603" i="7"/>
  <c r="K603" i="7"/>
  <c r="L602" i="7"/>
  <c r="K602" i="7"/>
  <c r="L601" i="7"/>
  <c r="K601" i="7"/>
  <c r="L600" i="7"/>
  <c r="K600" i="7"/>
  <c r="L599" i="7"/>
  <c r="K599" i="7"/>
  <c r="L598" i="7"/>
  <c r="K598" i="7"/>
  <c r="L597" i="7"/>
  <c r="K597" i="7"/>
  <c r="L596" i="7"/>
  <c r="K596" i="7"/>
  <c r="L595" i="7"/>
  <c r="K595" i="7"/>
  <c r="L594" i="7"/>
  <c r="K594" i="7"/>
  <c r="L593" i="7"/>
  <c r="K593" i="7"/>
  <c r="L592" i="7"/>
  <c r="K592" i="7"/>
  <c r="L591" i="7"/>
  <c r="K591" i="7"/>
  <c r="L590" i="7"/>
  <c r="K590" i="7"/>
  <c r="L589" i="7"/>
  <c r="K589" i="7"/>
  <c r="L588" i="7"/>
  <c r="K588" i="7"/>
  <c r="L587" i="7"/>
  <c r="K587" i="7"/>
  <c r="L586" i="7"/>
  <c r="K586" i="7"/>
  <c r="L585" i="7"/>
  <c r="K585" i="7"/>
  <c r="L584" i="7"/>
  <c r="K584" i="7"/>
  <c r="L583" i="7"/>
  <c r="K583" i="7"/>
  <c r="L582" i="7"/>
  <c r="K582" i="7"/>
  <c r="L581" i="7"/>
  <c r="K581" i="7"/>
  <c r="L580" i="7"/>
  <c r="K580" i="7"/>
  <c r="L579" i="7"/>
  <c r="K579" i="7"/>
  <c r="L578" i="7"/>
  <c r="K578" i="7"/>
  <c r="L577" i="7"/>
  <c r="K577" i="7"/>
  <c r="L576" i="7"/>
  <c r="K576" i="7"/>
  <c r="L575" i="7"/>
  <c r="K575" i="7"/>
  <c r="L574" i="7"/>
  <c r="K574" i="7"/>
  <c r="L573" i="7"/>
  <c r="K573" i="7"/>
  <c r="L572" i="7"/>
  <c r="K572" i="7"/>
  <c r="L571" i="7"/>
  <c r="K571" i="7"/>
  <c r="L570" i="7"/>
  <c r="K570" i="7"/>
  <c r="L569" i="7"/>
  <c r="K569" i="7"/>
  <c r="L568" i="7"/>
  <c r="K568" i="7"/>
  <c r="L567" i="7"/>
  <c r="K567" i="7"/>
  <c r="L566" i="7"/>
  <c r="K566" i="7"/>
  <c r="L565" i="7"/>
  <c r="K565" i="7"/>
  <c r="L564" i="7"/>
  <c r="K564" i="7"/>
  <c r="L563" i="7"/>
  <c r="K563" i="7"/>
  <c r="L562" i="7"/>
  <c r="K562" i="7"/>
  <c r="L561" i="7"/>
  <c r="K561" i="7"/>
  <c r="L560" i="7"/>
  <c r="K560" i="7"/>
  <c r="L559" i="7"/>
  <c r="K559" i="7"/>
  <c r="L558" i="7"/>
  <c r="K558" i="7"/>
  <c r="L557" i="7"/>
  <c r="K557" i="7"/>
  <c r="L556" i="7"/>
  <c r="K556" i="7"/>
  <c r="L555" i="7"/>
  <c r="K555" i="7"/>
  <c r="L554" i="7"/>
  <c r="K554" i="7"/>
  <c r="L553" i="7"/>
  <c r="K553" i="7"/>
  <c r="L552" i="7"/>
  <c r="K552" i="7"/>
  <c r="L551" i="7"/>
  <c r="K551" i="7"/>
  <c r="L550" i="7"/>
  <c r="K550" i="7"/>
  <c r="L549" i="7"/>
  <c r="K549" i="7"/>
  <c r="L548" i="7"/>
  <c r="K548" i="7"/>
  <c r="L547" i="7"/>
  <c r="K547" i="7"/>
  <c r="L546" i="7"/>
  <c r="K546" i="7"/>
  <c r="L545" i="7"/>
  <c r="K545" i="7"/>
  <c r="L544" i="7"/>
  <c r="K544" i="7"/>
  <c r="L543" i="7"/>
  <c r="K543" i="7"/>
  <c r="L542" i="7"/>
  <c r="K542" i="7"/>
  <c r="L541" i="7"/>
  <c r="K541" i="7"/>
  <c r="L540" i="7"/>
  <c r="K540" i="7"/>
  <c r="L539" i="7"/>
  <c r="K539" i="7"/>
  <c r="L538" i="7"/>
  <c r="K538" i="7"/>
  <c r="L537" i="7"/>
  <c r="K537" i="7"/>
  <c r="L536" i="7"/>
  <c r="K536" i="7"/>
  <c r="L535" i="7"/>
  <c r="K535" i="7"/>
  <c r="L534" i="7"/>
  <c r="K534" i="7"/>
  <c r="L533" i="7"/>
  <c r="K533" i="7"/>
  <c r="L532" i="7"/>
  <c r="K532" i="7"/>
  <c r="L531" i="7"/>
  <c r="K531" i="7"/>
  <c r="L530" i="7"/>
  <c r="K530" i="7"/>
  <c r="L529" i="7"/>
  <c r="K529" i="7"/>
  <c r="L528" i="7"/>
  <c r="K528" i="7"/>
  <c r="L527" i="7"/>
  <c r="K527" i="7"/>
  <c r="L526" i="7"/>
  <c r="K526" i="7"/>
  <c r="L525" i="7"/>
  <c r="K525" i="7"/>
  <c r="L524" i="7"/>
  <c r="K524" i="7"/>
  <c r="L523" i="7"/>
  <c r="K523" i="7"/>
  <c r="L522" i="7"/>
  <c r="K522" i="7"/>
  <c r="L521" i="7"/>
  <c r="K521" i="7"/>
  <c r="L520" i="7"/>
  <c r="K520" i="7"/>
  <c r="L519" i="7"/>
  <c r="K519" i="7"/>
  <c r="L518" i="7"/>
  <c r="K518" i="7"/>
  <c r="L517" i="7"/>
  <c r="K517" i="7"/>
  <c r="L516" i="7"/>
  <c r="K516" i="7"/>
  <c r="L515" i="7"/>
  <c r="K515" i="7"/>
  <c r="L514" i="7"/>
  <c r="K514" i="7"/>
  <c r="L513" i="7"/>
  <c r="K513" i="7"/>
  <c r="L512" i="7"/>
  <c r="K512" i="7"/>
  <c r="L511" i="7"/>
  <c r="K511" i="7"/>
  <c r="L510" i="7"/>
  <c r="K510" i="7"/>
  <c r="L509" i="7"/>
  <c r="K509" i="7"/>
  <c r="L508" i="7"/>
  <c r="K508" i="7"/>
  <c r="L507" i="7"/>
  <c r="K507" i="7"/>
  <c r="L506" i="7"/>
  <c r="K506" i="7"/>
  <c r="L505" i="7"/>
  <c r="K505" i="7"/>
  <c r="L504" i="7"/>
  <c r="K504" i="7"/>
  <c r="L503" i="7"/>
  <c r="K503" i="7"/>
  <c r="L502" i="7"/>
  <c r="K502" i="7"/>
  <c r="L501" i="7"/>
  <c r="K501" i="7"/>
  <c r="L500" i="7"/>
  <c r="K500" i="7"/>
  <c r="L499" i="7"/>
  <c r="K499" i="7"/>
  <c r="L498" i="7"/>
  <c r="K498" i="7"/>
  <c r="L497" i="7"/>
  <c r="K497" i="7"/>
  <c r="L496" i="7"/>
  <c r="K496" i="7"/>
  <c r="L495" i="7"/>
  <c r="K495" i="7"/>
  <c r="L494" i="7"/>
  <c r="K494" i="7"/>
  <c r="L493" i="7"/>
  <c r="K493" i="7"/>
  <c r="L492" i="7"/>
  <c r="K492" i="7"/>
  <c r="L491" i="7"/>
  <c r="K491" i="7"/>
  <c r="L490" i="7"/>
  <c r="K490" i="7"/>
  <c r="L489" i="7"/>
  <c r="K489" i="7"/>
  <c r="L488" i="7"/>
  <c r="K488" i="7"/>
  <c r="L487" i="7"/>
  <c r="K487" i="7"/>
  <c r="L486" i="7"/>
  <c r="K486" i="7"/>
  <c r="L485" i="7"/>
  <c r="K485" i="7"/>
  <c r="L484" i="7"/>
  <c r="K484" i="7"/>
  <c r="L483" i="7"/>
  <c r="K483" i="7"/>
  <c r="L482" i="7"/>
  <c r="K482" i="7"/>
  <c r="L481" i="7"/>
  <c r="K481" i="7"/>
  <c r="L480" i="7"/>
  <c r="K480" i="7"/>
  <c r="L479" i="7"/>
  <c r="K479" i="7"/>
  <c r="L478" i="7"/>
  <c r="K478" i="7"/>
  <c r="L477" i="7"/>
  <c r="K477" i="7"/>
  <c r="L476" i="7"/>
  <c r="K476" i="7"/>
  <c r="L475" i="7"/>
  <c r="K475" i="7"/>
  <c r="L474" i="7"/>
  <c r="K474" i="7"/>
  <c r="L473" i="7"/>
  <c r="K473" i="7"/>
  <c r="L472" i="7"/>
  <c r="K472" i="7"/>
  <c r="L471" i="7"/>
  <c r="K471" i="7"/>
  <c r="L470" i="7"/>
  <c r="K470" i="7"/>
  <c r="L469" i="7"/>
  <c r="K469" i="7"/>
  <c r="L468" i="7"/>
  <c r="K468" i="7"/>
  <c r="L467" i="7"/>
  <c r="K467" i="7"/>
  <c r="L466" i="7"/>
  <c r="K466" i="7"/>
  <c r="L465" i="7"/>
  <c r="K465" i="7"/>
  <c r="L464" i="7"/>
  <c r="K464" i="7"/>
  <c r="L463" i="7"/>
  <c r="K463" i="7"/>
  <c r="L462" i="7"/>
  <c r="K462" i="7"/>
  <c r="L461" i="7"/>
  <c r="K461" i="7"/>
  <c r="L460" i="7"/>
  <c r="K460" i="7"/>
  <c r="L459" i="7"/>
  <c r="K459" i="7"/>
  <c r="L458" i="7"/>
  <c r="K458" i="7"/>
  <c r="L457" i="7"/>
  <c r="K457" i="7"/>
  <c r="L456" i="7"/>
  <c r="K456" i="7"/>
  <c r="L455" i="7"/>
  <c r="K455" i="7"/>
  <c r="L454" i="7"/>
  <c r="K454" i="7"/>
  <c r="L453" i="7"/>
  <c r="K453" i="7"/>
  <c r="L452" i="7"/>
  <c r="K452" i="7"/>
  <c r="L451" i="7"/>
  <c r="K451" i="7"/>
  <c r="L450" i="7"/>
  <c r="K450" i="7"/>
  <c r="L449" i="7"/>
  <c r="K449" i="7"/>
  <c r="L448" i="7"/>
  <c r="K448" i="7"/>
  <c r="L447" i="7"/>
  <c r="K447" i="7"/>
  <c r="L446" i="7"/>
  <c r="K446" i="7"/>
  <c r="L445" i="7"/>
  <c r="K445" i="7"/>
  <c r="L444" i="7"/>
  <c r="K444" i="7"/>
  <c r="L443" i="7"/>
  <c r="K443" i="7"/>
  <c r="L442" i="7"/>
  <c r="K442" i="7"/>
  <c r="L441" i="7"/>
  <c r="K441" i="7"/>
  <c r="L440" i="7"/>
  <c r="K440" i="7"/>
  <c r="L439" i="7"/>
  <c r="K439" i="7"/>
  <c r="L438" i="7"/>
  <c r="K438" i="7"/>
  <c r="L437" i="7"/>
  <c r="K437" i="7"/>
  <c r="L436" i="7"/>
  <c r="K436" i="7"/>
  <c r="L435" i="7"/>
  <c r="K435" i="7"/>
  <c r="L434" i="7"/>
  <c r="K434" i="7"/>
  <c r="L433" i="7"/>
  <c r="K433" i="7"/>
  <c r="L432" i="7"/>
  <c r="K432" i="7"/>
  <c r="L431" i="7"/>
  <c r="K431" i="7"/>
  <c r="L430" i="7"/>
  <c r="K430" i="7"/>
  <c r="L429" i="7"/>
  <c r="K429" i="7"/>
  <c r="L428" i="7"/>
  <c r="K428" i="7"/>
  <c r="L427" i="7"/>
  <c r="K427" i="7"/>
  <c r="L426" i="7"/>
  <c r="K426" i="7"/>
  <c r="L425" i="7"/>
  <c r="K425" i="7"/>
  <c r="L424" i="7"/>
  <c r="K424" i="7"/>
  <c r="L423" i="7"/>
  <c r="K423" i="7"/>
  <c r="L422" i="7"/>
  <c r="K422" i="7"/>
  <c r="L421" i="7"/>
  <c r="K421" i="7"/>
  <c r="L420" i="7"/>
  <c r="K420" i="7"/>
  <c r="L419" i="7"/>
  <c r="K419" i="7"/>
  <c r="L418" i="7"/>
  <c r="K418" i="7"/>
  <c r="L417" i="7"/>
  <c r="K417" i="7"/>
  <c r="L416" i="7"/>
  <c r="K416" i="7"/>
  <c r="L415" i="7"/>
  <c r="K415" i="7"/>
  <c r="L414" i="7"/>
  <c r="K414" i="7"/>
  <c r="L413" i="7"/>
  <c r="K413" i="7"/>
  <c r="L412" i="7"/>
  <c r="K412" i="7"/>
  <c r="L411" i="7"/>
  <c r="K411" i="7"/>
  <c r="L410" i="7"/>
  <c r="K410" i="7"/>
  <c r="L409" i="7"/>
  <c r="K409" i="7"/>
  <c r="L408" i="7"/>
  <c r="K408" i="7"/>
  <c r="L407" i="7"/>
  <c r="K407" i="7"/>
  <c r="L406" i="7"/>
  <c r="K406" i="7"/>
  <c r="L405" i="7"/>
  <c r="K405" i="7"/>
  <c r="L404" i="7"/>
  <c r="K404" i="7"/>
  <c r="L403" i="7"/>
  <c r="K403" i="7"/>
  <c r="L402" i="7"/>
  <c r="K402" i="7"/>
  <c r="L401" i="7"/>
  <c r="K401" i="7"/>
  <c r="L400" i="7"/>
  <c r="K400" i="7"/>
  <c r="L399" i="7"/>
  <c r="K399" i="7"/>
  <c r="L398" i="7"/>
  <c r="K398" i="7"/>
  <c r="L397" i="7"/>
  <c r="K397" i="7"/>
  <c r="L396" i="7"/>
  <c r="K396" i="7"/>
  <c r="L395" i="7"/>
  <c r="K395" i="7"/>
  <c r="L394" i="7"/>
  <c r="K394" i="7"/>
  <c r="L393" i="7"/>
  <c r="K393" i="7"/>
  <c r="L392" i="7"/>
  <c r="K392" i="7"/>
  <c r="L391" i="7"/>
  <c r="K391" i="7"/>
  <c r="L390" i="7"/>
  <c r="K390" i="7"/>
  <c r="L389" i="7"/>
  <c r="K389" i="7"/>
  <c r="L388" i="7"/>
  <c r="K388" i="7"/>
  <c r="L387" i="7"/>
  <c r="K387" i="7"/>
  <c r="L386" i="7"/>
  <c r="K386" i="7"/>
  <c r="L385" i="7"/>
  <c r="K385" i="7"/>
  <c r="L384" i="7"/>
  <c r="K384" i="7"/>
  <c r="L383" i="7"/>
  <c r="K383" i="7"/>
  <c r="L382" i="7"/>
  <c r="K382" i="7"/>
  <c r="L381" i="7"/>
  <c r="K381" i="7"/>
  <c r="L380" i="7"/>
  <c r="K380" i="7"/>
  <c r="L379" i="7"/>
  <c r="K379" i="7"/>
  <c r="L378" i="7"/>
  <c r="K378" i="7"/>
  <c r="L377" i="7"/>
  <c r="K377" i="7"/>
  <c r="L376" i="7"/>
  <c r="K376" i="7"/>
  <c r="L375" i="7"/>
  <c r="K375" i="7"/>
  <c r="L374" i="7"/>
  <c r="K374" i="7"/>
  <c r="L373" i="7"/>
  <c r="K373" i="7"/>
  <c r="L372" i="7"/>
  <c r="K372" i="7"/>
  <c r="L371" i="7"/>
  <c r="K371" i="7"/>
  <c r="L370" i="7"/>
  <c r="K370" i="7"/>
  <c r="L369" i="7"/>
  <c r="K369" i="7"/>
  <c r="L368" i="7"/>
  <c r="K368" i="7"/>
  <c r="L367" i="7"/>
  <c r="K367" i="7"/>
  <c r="L366" i="7"/>
  <c r="K366" i="7"/>
  <c r="L365" i="7"/>
  <c r="K365" i="7"/>
  <c r="L364" i="7"/>
  <c r="K364" i="7"/>
  <c r="L363" i="7"/>
  <c r="K363" i="7"/>
  <c r="L362" i="7"/>
  <c r="K362" i="7"/>
  <c r="L361" i="7"/>
  <c r="K361" i="7"/>
  <c r="L360" i="7"/>
  <c r="K360" i="7"/>
  <c r="L359" i="7"/>
  <c r="K359" i="7"/>
  <c r="L358" i="7"/>
  <c r="K358" i="7"/>
  <c r="L357" i="7"/>
  <c r="K357" i="7"/>
  <c r="L356" i="7"/>
  <c r="K356" i="7"/>
  <c r="L355" i="7"/>
  <c r="K355" i="7"/>
  <c r="L354" i="7"/>
  <c r="K354" i="7"/>
  <c r="L353" i="7"/>
  <c r="K353" i="7"/>
  <c r="L352" i="7"/>
  <c r="K352" i="7"/>
  <c r="L351" i="7"/>
  <c r="K351" i="7"/>
  <c r="L350" i="7"/>
  <c r="K350" i="7"/>
  <c r="L349" i="7"/>
  <c r="K349" i="7"/>
  <c r="L348" i="7"/>
  <c r="K348" i="7"/>
  <c r="L347" i="7"/>
  <c r="K347" i="7"/>
  <c r="L346" i="7"/>
  <c r="K346" i="7"/>
  <c r="L345" i="7"/>
  <c r="K345" i="7"/>
  <c r="L344" i="7"/>
  <c r="K344" i="7"/>
  <c r="L343" i="7"/>
  <c r="K343" i="7"/>
  <c r="L342" i="7"/>
  <c r="K342" i="7"/>
  <c r="L341" i="7"/>
  <c r="K341" i="7"/>
  <c r="L340" i="7"/>
  <c r="K340" i="7"/>
  <c r="L339" i="7"/>
  <c r="K339" i="7"/>
  <c r="L338" i="7"/>
  <c r="K338" i="7"/>
  <c r="L337" i="7"/>
  <c r="K337" i="7"/>
  <c r="L336" i="7"/>
  <c r="K336" i="7"/>
  <c r="L335" i="7"/>
  <c r="K335" i="7"/>
  <c r="L334" i="7"/>
  <c r="K334" i="7"/>
  <c r="L333" i="7"/>
  <c r="K333" i="7"/>
  <c r="L332" i="7"/>
  <c r="K332" i="7"/>
  <c r="L331" i="7"/>
  <c r="K331" i="7"/>
  <c r="L330" i="7"/>
  <c r="K330" i="7"/>
  <c r="L329" i="7"/>
  <c r="K329" i="7"/>
  <c r="L328" i="7"/>
  <c r="K328" i="7"/>
  <c r="L327" i="7"/>
  <c r="K327" i="7"/>
  <c r="L326" i="7"/>
  <c r="K326" i="7"/>
  <c r="L325" i="7"/>
  <c r="K325" i="7"/>
  <c r="L324" i="7"/>
  <c r="K324" i="7"/>
  <c r="L323" i="7"/>
  <c r="K323" i="7"/>
  <c r="L322" i="7"/>
  <c r="K322" i="7"/>
  <c r="L321" i="7"/>
  <c r="K321" i="7"/>
  <c r="L320" i="7"/>
  <c r="K320" i="7"/>
  <c r="L319" i="7"/>
  <c r="K319" i="7"/>
  <c r="L318" i="7"/>
  <c r="K318" i="7"/>
  <c r="L317" i="7"/>
  <c r="K317" i="7"/>
  <c r="L316" i="7"/>
  <c r="K316" i="7"/>
  <c r="L315" i="7"/>
  <c r="K315" i="7"/>
  <c r="L314" i="7"/>
  <c r="K314" i="7"/>
  <c r="L313" i="7"/>
  <c r="K313" i="7"/>
  <c r="L312" i="7"/>
  <c r="K312" i="7"/>
  <c r="L311" i="7"/>
  <c r="K311" i="7"/>
  <c r="L310" i="7"/>
  <c r="K310" i="7"/>
  <c r="L309" i="7"/>
  <c r="K309" i="7"/>
  <c r="L308" i="7"/>
  <c r="K308" i="7"/>
  <c r="L307" i="7"/>
  <c r="K307" i="7"/>
  <c r="L306" i="7"/>
  <c r="K306" i="7"/>
  <c r="L305" i="7"/>
  <c r="K305" i="7"/>
  <c r="L304" i="7"/>
  <c r="K304" i="7"/>
  <c r="L303" i="7"/>
  <c r="K303" i="7"/>
  <c r="L302" i="7"/>
  <c r="K302" i="7"/>
  <c r="L301" i="7"/>
  <c r="K301" i="7"/>
  <c r="L300" i="7"/>
  <c r="K300" i="7"/>
  <c r="L299" i="7"/>
  <c r="K299" i="7"/>
  <c r="L298" i="7"/>
  <c r="K298" i="7"/>
  <c r="L297" i="7"/>
  <c r="K297" i="7"/>
  <c r="L296" i="7"/>
  <c r="K296" i="7"/>
  <c r="L295" i="7"/>
  <c r="K295" i="7"/>
  <c r="L294" i="7"/>
  <c r="K294" i="7"/>
  <c r="L293" i="7"/>
  <c r="K293" i="7"/>
  <c r="L292" i="7"/>
  <c r="K292" i="7"/>
  <c r="L291" i="7"/>
  <c r="K291" i="7"/>
  <c r="L290" i="7"/>
  <c r="K290" i="7"/>
  <c r="L289" i="7"/>
  <c r="K289" i="7"/>
  <c r="L288" i="7"/>
  <c r="K288" i="7"/>
  <c r="L287" i="7"/>
  <c r="K287" i="7"/>
  <c r="L286" i="7"/>
  <c r="K286" i="7"/>
  <c r="L285" i="7"/>
  <c r="K285" i="7"/>
  <c r="L284" i="7"/>
  <c r="K284" i="7"/>
  <c r="L283" i="7"/>
  <c r="K283" i="7"/>
  <c r="L282" i="7"/>
  <c r="K282" i="7"/>
  <c r="L281" i="7"/>
  <c r="K281" i="7"/>
  <c r="L280" i="7"/>
  <c r="K280" i="7"/>
  <c r="L279" i="7"/>
  <c r="K279" i="7"/>
  <c r="L278" i="7"/>
  <c r="K278" i="7"/>
  <c r="L277" i="7"/>
  <c r="K277" i="7"/>
  <c r="L276" i="7"/>
  <c r="K276" i="7"/>
  <c r="L275" i="7"/>
  <c r="K275" i="7"/>
  <c r="L274" i="7"/>
  <c r="K274" i="7"/>
  <c r="L273" i="7"/>
  <c r="K273" i="7"/>
  <c r="L272" i="7"/>
  <c r="K272" i="7"/>
  <c r="L271" i="7"/>
  <c r="K271" i="7"/>
  <c r="L270" i="7"/>
  <c r="K270" i="7"/>
  <c r="L269" i="7"/>
  <c r="K269" i="7"/>
  <c r="L268" i="7"/>
  <c r="K268" i="7"/>
  <c r="L267" i="7"/>
  <c r="K267" i="7"/>
  <c r="L266" i="7"/>
  <c r="K266" i="7"/>
  <c r="L265" i="7"/>
  <c r="K265" i="7"/>
  <c r="L264" i="7"/>
  <c r="K264" i="7"/>
  <c r="L263" i="7"/>
  <c r="K263" i="7"/>
  <c r="L262" i="7"/>
  <c r="K262" i="7"/>
  <c r="L261" i="7"/>
  <c r="K261" i="7"/>
  <c r="L260" i="7"/>
  <c r="K260" i="7"/>
  <c r="L259" i="7"/>
  <c r="K259" i="7"/>
  <c r="L258" i="7"/>
  <c r="K258" i="7"/>
  <c r="L257" i="7"/>
  <c r="K257" i="7"/>
  <c r="L256" i="7"/>
  <c r="K256" i="7"/>
  <c r="L255" i="7"/>
  <c r="K255" i="7"/>
  <c r="L254" i="7"/>
  <c r="K254" i="7"/>
  <c r="L253" i="7"/>
  <c r="K253" i="7"/>
  <c r="L252" i="7"/>
  <c r="K252" i="7"/>
  <c r="L251" i="7"/>
  <c r="K251" i="7"/>
  <c r="L250" i="7"/>
  <c r="K250" i="7"/>
  <c r="L249" i="7"/>
  <c r="K249" i="7"/>
  <c r="L248" i="7"/>
  <c r="K248" i="7"/>
  <c r="L247" i="7"/>
  <c r="K247" i="7"/>
  <c r="L246" i="7"/>
  <c r="K246" i="7"/>
  <c r="L245" i="7"/>
  <c r="K245" i="7"/>
  <c r="L244" i="7"/>
  <c r="K244" i="7"/>
  <c r="L243" i="7"/>
  <c r="K243" i="7"/>
  <c r="L242" i="7"/>
  <c r="K242" i="7"/>
  <c r="L241" i="7"/>
  <c r="K241" i="7"/>
  <c r="L240" i="7"/>
  <c r="K240" i="7"/>
  <c r="L239" i="7"/>
  <c r="K239" i="7"/>
  <c r="L238" i="7"/>
  <c r="K238" i="7"/>
  <c r="L237" i="7"/>
  <c r="K237" i="7"/>
  <c r="L236" i="7"/>
  <c r="K236" i="7"/>
  <c r="L235" i="7"/>
  <c r="K235" i="7"/>
  <c r="L234" i="7"/>
  <c r="K234" i="7"/>
  <c r="L233" i="7"/>
  <c r="K233" i="7"/>
  <c r="L232" i="7"/>
  <c r="K232" i="7"/>
  <c r="L231" i="7"/>
  <c r="K231" i="7"/>
  <c r="L230" i="7"/>
  <c r="K230" i="7"/>
  <c r="L229" i="7"/>
  <c r="K229" i="7"/>
  <c r="L228" i="7"/>
  <c r="K228" i="7"/>
  <c r="L227" i="7"/>
  <c r="K227" i="7"/>
  <c r="L226" i="7"/>
  <c r="K226" i="7"/>
  <c r="L225" i="7"/>
  <c r="K225" i="7"/>
  <c r="L224" i="7"/>
  <c r="K224" i="7"/>
  <c r="L223" i="7"/>
  <c r="K223" i="7"/>
  <c r="L222" i="7"/>
  <c r="K222" i="7"/>
  <c r="L221" i="7"/>
  <c r="K221" i="7"/>
  <c r="L220" i="7"/>
  <c r="K220" i="7"/>
  <c r="L219" i="7"/>
  <c r="K219" i="7"/>
  <c r="L218" i="7"/>
  <c r="K218" i="7"/>
  <c r="L217" i="7"/>
  <c r="K217" i="7"/>
  <c r="L216" i="7"/>
  <c r="K216" i="7"/>
  <c r="L215" i="7"/>
  <c r="K215" i="7"/>
  <c r="L214" i="7"/>
  <c r="K214" i="7"/>
  <c r="L213" i="7"/>
  <c r="K213" i="7"/>
  <c r="L212" i="7"/>
  <c r="K212" i="7"/>
  <c r="L211" i="7"/>
  <c r="K211" i="7"/>
  <c r="L210" i="7"/>
  <c r="K210" i="7"/>
  <c r="L209" i="7"/>
  <c r="K209" i="7"/>
  <c r="L208" i="7"/>
  <c r="K208" i="7"/>
  <c r="L207" i="7"/>
  <c r="K207" i="7"/>
  <c r="L206" i="7"/>
  <c r="K206" i="7"/>
  <c r="L205" i="7"/>
  <c r="K205" i="7"/>
  <c r="L204" i="7"/>
  <c r="K204" i="7"/>
  <c r="L203" i="7"/>
  <c r="K203" i="7"/>
  <c r="L202" i="7"/>
  <c r="K202" i="7"/>
  <c r="L201" i="7"/>
  <c r="K201" i="7"/>
  <c r="L200" i="7"/>
  <c r="K200" i="7"/>
  <c r="L199" i="7"/>
  <c r="K199" i="7"/>
  <c r="L198" i="7"/>
  <c r="K198" i="7"/>
  <c r="L197" i="7"/>
  <c r="K197" i="7"/>
  <c r="L196" i="7"/>
  <c r="K196" i="7"/>
  <c r="L195" i="7"/>
  <c r="K195" i="7"/>
  <c r="L194" i="7"/>
  <c r="K194" i="7"/>
  <c r="L193" i="7"/>
  <c r="K193" i="7"/>
  <c r="L192" i="7"/>
  <c r="K192" i="7"/>
  <c r="L191" i="7"/>
  <c r="K191" i="7"/>
  <c r="L190" i="7"/>
  <c r="K190" i="7"/>
  <c r="L189" i="7"/>
  <c r="K189" i="7"/>
  <c r="L188" i="7"/>
  <c r="K188" i="7"/>
  <c r="L187" i="7"/>
  <c r="K187" i="7"/>
  <c r="L186" i="7"/>
  <c r="K186" i="7"/>
  <c r="L185" i="7"/>
  <c r="K185" i="7"/>
  <c r="L184" i="7"/>
  <c r="K184" i="7"/>
  <c r="L183" i="7"/>
  <c r="K183" i="7"/>
  <c r="L182" i="7"/>
  <c r="K182" i="7"/>
  <c r="L181" i="7"/>
  <c r="K181" i="7"/>
  <c r="L180" i="7"/>
  <c r="K180" i="7"/>
  <c r="L179" i="7"/>
  <c r="K179" i="7"/>
  <c r="L178" i="7"/>
  <c r="K178" i="7"/>
  <c r="L177" i="7"/>
  <c r="K177" i="7"/>
  <c r="L176" i="7"/>
  <c r="K176" i="7"/>
  <c r="L175" i="7"/>
  <c r="K175" i="7"/>
  <c r="L174" i="7"/>
  <c r="K174" i="7"/>
  <c r="L173" i="7"/>
  <c r="K173" i="7"/>
  <c r="L172" i="7"/>
  <c r="K172" i="7"/>
  <c r="L171" i="7"/>
  <c r="K171" i="7"/>
  <c r="L170" i="7"/>
  <c r="K170" i="7"/>
  <c r="L169" i="7"/>
  <c r="K169" i="7"/>
  <c r="L168" i="7"/>
  <c r="K168" i="7"/>
  <c r="L167" i="7"/>
  <c r="K167" i="7"/>
  <c r="L166" i="7"/>
  <c r="K166" i="7"/>
  <c r="L165" i="7"/>
  <c r="K165" i="7"/>
  <c r="L164" i="7"/>
  <c r="K164" i="7"/>
  <c r="L163" i="7"/>
  <c r="K163" i="7"/>
  <c r="L162" i="7"/>
  <c r="K162" i="7"/>
  <c r="L161" i="7"/>
  <c r="K161" i="7"/>
  <c r="L160" i="7"/>
  <c r="K160" i="7"/>
  <c r="L159" i="7"/>
  <c r="K159" i="7"/>
  <c r="L158" i="7"/>
  <c r="K158" i="7"/>
  <c r="L157" i="7"/>
  <c r="K157" i="7"/>
  <c r="L156" i="7"/>
  <c r="K156" i="7"/>
  <c r="L155" i="7"/>
  <c r="K155" i="7"/>
  <c r="L154" i="7"/>
  <c r="K154" i="7"/>
  <c r="L153" i="7"/>
  <c r="K153" i="7"/>
  <c r="L152" i="7"/>
  <c r="K152" i="7"/>
  <c r="L151" i="7"/>
  <c r="K151" i="7"/>
  <c r="L150" i="7"/>
  <c r="K150" i="7"/>
  <c r="L149" i="7"/>
  <c r="K149" i="7"/>
  <c r="L148" i="7"/>
  <c r="K148" i="7"/>
  <c r="L147" i="7"/>
  <c r="K147" i="7"/>
  <c r="L146" i="7"/>
  <c r="K146" i="7"/>
  <c r="L145" i="7"/>
  <c r="K145" i="7"/>
  <c r="L144" i="7"/>
  <c r="K144" i="7"/>
  <c r="L143" i="7"/>
  <c r="K143" i="7"/>
  <c r="L142" i="7"/>
  <c r="K142" i="7"/>
  <c r="L141" i="7"/>
  <c r="K141" i="7"/>
  <c r="L140" i="7"/>
  <c r="K140" i="7"/>
  <c r="L139" i="7"/>
  <c r="K139" i="7"/>
  <c r="L138" i="7"/>
  <c r="K138" i="7"/>
  <c r="L137" i="7"/>
  <c r="K137" i="7"/>
  <c r="L136" i="7"/>
  <c r="K136" i="7"/>
  <c r="L135" i="7"/>
  <c r="K135" i="7"/>
  <c r="L134" i="7"/>
  <c r="K134" i="7"/>
  <c r="L133" i="7"/>
  <c r="K133" i="7"/>
  <c r="L132" i="7"/>
  <c r="K132" i="7"/>
  <c r="L131" i="7"/>
  <c r="K131" i="7"/>
  <c r="L130" i="7"/>
  <c r="K130" i="7"/>
  <c r="L129" i="7"/>
  <c r="K129" i="7"/>
  <c r="L128" i="7"/>
  <c r="K128" i="7"/>
  <c r="L127" i="7"/>
  <c r="K127" i="7"/>
  <c r="L126" i="7"/>
  <c r="K126" i="7"/>
  <c r="L125" i="7"/>
  <c r="K125" i="7"/>
  <c r="L124" i="7"/>
  <c r="K124" i="7"/>
  <c r="L123" i="7"/>
  <c r="K123" i="7"/>
  <c r="L122" i="7"/>
  <c r="K122" i="7"/>
  <c r="L121" i="7"/>
  <c r="K121" i="7"/>
  <c r="L120" i="7"/>
  <c r="K120" i="7"/>
  <c r="L119" i="7"/>
  <c r="K119" i="7"/>
  <c r="L118" i="7"/>
  <c r="K118" i="7"/>
  <c r="L117" i="7"/>
  <c r="K117" i="7"/>
  <c r="L116" i="7"/>
  <c r="K116" i="7"/>
  <c r="L115" i="7"/>
  <c r="K115" i="7"/>
  <c r="L114" i="7"/>
  <c r="K114" i="7"/>
  <c r="L113" i="7"/>
  <c r="K113" i="7"/>
  <c r="L112" i="7"/>
  <c r="K112" i="7"/>
  <c r="L111" i="7"/>
  <c r="K111" i="7"/>
  <c r="L110" i="7"/>
  <c r="K110" i="7"/>
  <c r="L109" i="7"/>
  <c r="K109" i="7"/>
  <c r="L108" i="7"/>
  <c r="K108" i="7"/>
  <c r="L107" i="7"/>
  <c r="K107" i="7"/>
  <c r="L106" i="7"/>
  <c r="K106" i="7"/>
  <c r="L105" i="7"/>
  <c r="K105" i="7"/>
  <c r="L104" i="7"/>
  <c r="K104" i="7"/>
  <c r="L103" i="7"/>
  <c r="K103" i="7"/>
  <c r="L102" i="7"/>
  <c r="K102" i="7"/>
  <c r="L101" i="7"/>
  <c r="K101" i="7"/>
  <c r="L100" i="7"/>
  <c r="K100" i="7"/>
  <c r="L99" i="7"/>
  <c r="K99" i="7"/>
  <c r="L98" i="7"/>
  <c r="K98" i="7"/>
  <c r="L97" i="7"/>
  <c r="K97" i="7"/>
  <c r="L96" i="7"/>
  <c r="K96" i="7"/>
  <c r="L95" i="7"/>
  <c r="K95" i="7"/>
  <c r="L94" i="7"/>
  <c r="K94" i="7"/>
  <c r="L93" i="7"/>
  <c r="K93" i="7"/>
  <c r="L92" i="7"/>
  <c r="K92" i="7"/>
  <c r="L91" i="7"/>
  <c r="K91" i="7"/>
  <c r="L90" i="7"/>
  <c r="K90" i="7"/>
  <c r="L89" i="7"/>
  <c r="K89" i="7"/>
  <c r="L88" i="7"/>
  <c r="K88" i="7"/>
  <c r="L87" i="7"/>
  <c r="K87" i="7"/>
  <c r="L86" i="7"/>
  <c r="K86" i="7"/>
  <c r="L85" i="7"/>
  <c r="K85" i="7"/>
  <c r="L84" i="7"/>
  <c r="K84" i="7"/>
  <c r="L83" i="7"/>
  <c r="K83" i="7"/>
  <c r="L82" i="7"/>
  <c r="K82" i="7"/>
  <c r="L81" i="7"/>
  <c r="K81" i="7"/>
  <c r="L80" i="7"/>
  <c r="K80" i="7"/>
  <c r="L79" i="7"/>
  <c r="K79" i="7"/>
  <c r="L78" i="7"/>
  <c r="K78" i="7"/>
  <c r="L77" i="7"/>
  <c r="K77" i="7"/>
  <c r="L76" i="7"/>
  <c r="K76" i="7"/>
  <c r="L75" i="7"/>
  <c r="K75" i="7"/>
  <c r="L74" i="7"/>
  <c r="K74" i="7"/>
  <c r="L73" i="7"/>
  <c r="K73" i="7"/>
  <c r="L72" i="7"/>
  <c r="K72" i="7"/>
  <c r="L71" i="7"/>
  <c r="K71" i="7"/>
  <c r="L70" i="7"/>
  <c r="K70" i="7"/>
  <c r="L69" i="7"/>
  <c r="K69" i="7"/>
  <c r="L68" i="7"/>
  <c r="K68" i="7"/>
  <c r="L67" i="7"/>
  <c r="K67" i="7"/>
  <c r="L66" i="7"/>
  <c r="K66" i="7"/>
  <c r="L65" i="7"/>
  <c r="K65" i="7"/>
  <c r="L64" i="7"/>
  <c r="K64" i="7"/>
  <c r="L63" i="7"/>
  <c r="K63" i="7"/>
  <c r="L62" i="7"/>
  <c r="K62" i="7"/>
  <c r="L61" i="7"/>
  <c r="K61" i="7"/>
  <c r="L60" i="7"/>
  <c r="K60" i="7"/>
  <c r="L59" i="7"/>
  <c r="K59" i="7"/>
  <c r="L58" i="7"/>
  <c r="K58" i="7"/>
  <c r="L57" i="7"/>
  <c r="K57" i="7"/>
  <c r="L56" i="7"/>
  <c r="K56" i="7"/>
  <c r="L55" i="7"/>
  <c r="K55" i="7"/>
  <c r="L54" i="7"/>
  <c r="K54" i="7"/>
  <c r="L53" i="7"/>
  <c r="K53" i="7"/>
  <c r="L52" i="7"/>
  <c r="K52" i="7"/>
  <c r="L51" i="7"/>
  <c r="K51" i="7"/>
  <c r="L50" i="7"/>
  <c r="K50" i="7"/>
  <c r="L49" i="7"/>
  <c r="K49" i="7"/>
  <c r="L48" i="7"/>
  <c r="K48" i="7"/>
  <c r="L47" i="7"/>
  <c r="K47" i="7"/>
  <c r="L46" i="7"/>
  <c r="K46" i="7"/>
  <c r="L45" i="7"/>
  <c r="K45" i="7"/>
  <c r="L44" i="7"/>
  <c r="K44" i="7"/>
  <c r="L43" i="7"/>
  <c r="K43" i="7"/>
  <c r="L42" i="7"/>
  <c r="K42" i="7"/>
  <c r="L41" i="7"/>
  <c r="K41" i="7"/>
  <c r="L40" i="7"/>
  <c r="K40" i="7"/>
  <c r="L39" i="7"/>
  <c r="K39" i="7"/>
  <c r="L38" i="7"/>
  <c r="K38" i="7"/>
  <c r="L37" i="7"/>
  <c r="K37" i="7"/>
  <c r="L36" i="7"/>
  <c r="K36" i="7"/>
  <c r="L35" i="7"/>
  <c r="K35" i="7"/>
  <c r="L34" i="7"/>
  <c r="K34" i="7"/>
  <c r="L33" i="7"/>
  <c r="K33" i="7"/>
  <c r="L32" i="7"/>
  <c r="K32" i="7"/>
  <c r="L31" i="7"/>
  <c r="K31" i="7"/>
  <c r="L30" i="7"/>
  <c r="K30" i="7"/>
  <c r="L29" i="7"/>
  <c r="K29" i="7"/>
  <c r="L28" i="7"/>
  <c r="K28" i="7"/>
  <c r="L27" i="7"/>
  <c r="K27" i="7"/>
  <c r="L26" i="7"/>
  <c r="K26" i="7"/>
  <c r="L25" i="7"/>
  <c r="K25" i="7"/>
  <c r="L24" i="7"/>
  <c r="K24" i="7"/>
  <c r="L23" i="7"/>
  <c r="K23" i="7"/>
  <c r="L22" i="7"/>
  <c r="K22" i="7"/>
  <c r="L21" i="7"/>
  <c r="K21" i="7"/>
  <c r="L20" i="7"/>
  <c r="K20" i="7"/>
  <c r="L19" i="7"/>
  <c r="K19" i="7"/>
  <c r="L18" i="7"/>
  <c r="K18" i="7"/>
  <c r="L17" i="7"/>
  <c r="K17" i="7"/>
  <c r="L16" i="7"/>
  <c r="K16" i="7"/>
  <c r="L15" i="7"/>
  <c r="K15" i="7"/>
  <c r="L14" i="7"/>
  <c r="K14" i="7"/>
  <c r="L13" i="7"/>
  <c r="K13" i="7"/>
  <c r="L12" i="7"/>
  <c r="K12" i="7"/>
  <c r="L11" i="7"/>
  <c r="K11" i="7"/>
  <c r="L10" i="7"/>
  <c r="K10" i="7"/>
  <c r="L9" i="7"/>
  <c r="K9" i="7"/>
  <c r="L8" i="7"/>
  <c r="K8" i="7"/>
  <c r="L7" i="7"/>
  <c r="K7" i="7"/>
  <c r="L21" i="6"/>
  <c r="E20" i="6"/>
  <c r="L19" i="6"/>
  <c r="H19" i="6"/>
  <c r="C19" i="6"/>
  <c r="N12" i="6"/>
  <c r="N13" i="6" s="1"/>
  <c r="M12" i="6"/>
  <c r="M13" i="6" s="1"/>
  <c r="L12" i="6"/>
  <c r="L13" i="6" s="1"/>
  <c r="H12" i="6"/>
  <c r="H13" i="6" s="1"/>
  <c r="G12" i="6"/>
  <c r="G13" i="6" s="1"/>
  <c r="E12" i="6"/>
  <c r="E13" i="6" s="1"/>
  <c r="C12" i="6"/>
  <c r="N6" i="6"/>
  <c r="M6" i="6"/>
  <c r="L6" i="6"/>
  <c r="K6" i="6"/>
  <c r="K12" i="6" s="1"/>
  <c r="K13" i="6" s="1"/>
  <c r="J6" i="6"/>
  <c r="J12" i="6" s="1"/>
  <c r="J13" i="6" s="1"/>
  <c r="I6" i="6"/>
  <c r="I12" i="6" s="1"/>
  <c r="I13" i="6" s="1"/>
  <c r="H6" i="6"/>
  <c r="G6" i="6"/>
  <c r="F6" i="6"/>
  <c r="F12" i="6" s="1"/>
  <c r="F13" i="6" s="1"/>
  <c r="E6" i="6"/>
  <c r="D6" i="6"/>
  <c r="D12" i="6" s="1"/>
  <c r="D13" i="6" s="1"/>
  <c r="C6" i="6"/>
  <c r="N27" i="5"/>
  <c r="N20" i="6" s="1"/>
  <c r="M27" i="5"/>
  <c r="M20" i="6" s="1"/>
  <c r="L27" i="5"/>
  <c r="L20" i="6" s="1"/>
  <c r="G27" i="5"/>
  <c r="G20" i="6" s="1"/>
  <c r="E27" i="5"/>
  <c r="D27" i="5"/>
  <c r="D20" i="6" s="1"/>
  <c r="O24" i="5"/>
  <c r="C24" i="5"/>
  <c r="M20" i="5"/>
  <c r="L20" i="5"/>
  <c r="K20" i="5"/>
  <c r="J20" i="5"/>
  <c r="J19" i="6" s="1"/>
  <c r="H20" i="5"/>
  <c r="H35" i="3" s="1"/>
  <c r="E20" i="5"/>
  <c r="E19" i="6" s="1"/>
  <c r="E21" i="6" s="1"/>
  <c r="C20" i="5"/>
  <c r="M19" i="5"/>
  <c r="L19" i="5"/>
  <c r="K19" i="5"/>
  <c r="G19" i="5"/>
  <c r="E19" i="5"/>
  <c r="M18" i="5"/>
  <c r="K18" i="5"/>
  <c r="I18" i="5"/>
  <c r="G18" i="5"/>
  <c r="F18" i="5"/>
  <c r="E18" i="5"/>
  <c r="D18" i="5"/>
  <c r="C18" i="5"/>
  <c r="K17" i="5"/>
  <c r="H17" i="5"/>
  <c r="G17" i="5"/>
  <c r="F17" i="5"/>
  <c r="D17" i="5"/>
  <c r="C17" i="5"/>
  <c r="M14" i="5"/>
  <c r="M15" i="5" s="1"/>
  <c r="I14" i="5"/>
  <c r="I15" i="5" s="1"/>
  <c r="H14" i="5"/>
  <c r="H15" i="5" s="1"/>
  <c r="G14" i="5"/>
  <c r="G15" i="5" s="1"/>
  <c r="F14" i="5"/>
  <c r="F15" i="5" s="1"/>
  <c r="K11" i="5"/>
  <c r="H11" i="5"/>
  <c r="E11" i="5"/>
  <c r="D11" i="5"/>
  <c r="C11" i="5"/>
  <c r="N10" i="5"/>
  <c r="M10" i="5"/>
  <c r="L10" i="5"/>
  <c r="K10" i="5"/>
  <c r="G10" i="5"/>
  <c r="F10" i="5"/>
  <c r="E10" i="5"/>
  <c r="D10" i="5"/>
  <c r="C10" i="5"/>
  <c r="N9" i="5"/>
  <c r="K9" i="5"/>
  <c r="G9" i="5"/>
  <c r="E9" i="5"/>
  <c r="M8" i="5"/>
  <c r="K8" i="5"/>
  <c r="G8" i="5"/>
  <c r="E8" i="5"/>
  <c r="M7" i="5"/>
  <c r="L7" i="5"/>
  <c r="K7" i="5"/>
  <c r="J7" i="5"/>
  <c r="G7" i="5"/>
  <c r="D7" i="5"/>
  <c r="N6" i="5"/>
  <c r="M6" i="5"/>
  <c r="L6" i="5"/>
  <c r="K6" i="5"/>
  <c r="K27" i="5" s="1"/>
  <c r="K20" i="6" s="1"/>
  <c r="C13" i="1" s="1"/>
  <c r="J6" i="5"/>
  <c r="J19" i="5" s="1"/>
  <c r="I6" i="5"/>
  <c r="H6" i="5"/>
  <c r="G6" i="5"/>
  <c r="G11" i="5" s="1"/>
  <c r="F6" i="5"/>
  <c r="E6" i="5"/>
  <c r="E17" i="5" s="1"/>
  <c r="E21" i="5" s="1"/>
  <c r="D6" i="5"/>
  <c r="D20" i="5" s="1"/>
  <c r="C6" i="5"/>
  <c r="L45" i="4"/>
  <c r="K45" i="4"/>
  <c r="G45" i="4"/>
  <c r="E45" i="4"/>
  <c r="N44" i="4"/>
  <c r="L44" i="4"/>
  <c r="E44" i="4"/>
  <c r="D44" i="4"/>
  <c r="C44" i="4"/>
  <c r="N43" i="4"/>
  <c r="L43" i="4"/>
  <c r="G43" i="4"/>
  <c r="E43" i="4"/>
  <c r="D43" i="4"/>
  <c r="C43" i="4"/>
  <c r="N42" i="4"/>
  <c r="L42" i="4"/>
  <c r="K42" i="4"/>
  <c r="J42" i="4"/>
  <c r="G42" i="4"/>
  <c r="E42" i="4"/>
  <c r="M41" i="4"/>
  <c r="L41" i="4"/>
  <c r="K41" i="4"/>
  <c r="J41" i="4"/>
  <c r="G41" i="4"/>
  <c r="D41" i="4"/>
  <c r="N40" i="4"/>
  <c r="L40" i="4"/>
  <c r="K40" i="4"/>
  <c r="J40" i="4"/>
  <c r="D40" i="4"/>
  <c r="N39" i="4"/>
  <c r="J39" i="4"/>
  <c r="G39" i="4"/>
  <c r="E39" i="4"/>
  <c r="D39" i="4"/>
  <c r="N29" i="4"/>
  <c r="O29" i="4" s="1"/>
  <c r="M29" i="4"/>
  <c r="L29" i="4"/>
  <c r="K29" i="4"/>
  <c r="J29" i="4"/>
  <c r="I29" i="4"/>
  <c r="H29" i="4"/>
  <c r="G29" i="4"/>
  <c r="F29" i="4"/>
  <c r="E29" i="4"/>
  <c r="D29" i="4"/>
  <c r="C29" i="4"/>
  <c r="N6" i="4"/>
  <c r="M6" i="4"/>
  <c r="L6" i="4"/>
  <c r="L39" i="4" s="1"/>
  <c r="K6" i="4"/>
  <c r="J6" i="4"/>
  <c r="I6" i="4"/>
  <c r="I43" i="4" s="1"/>
  <c r="H6" i="4"/>
  <c r="G6" i="4"/>
  <c r="G44" i="4" s="1"/>
  <c r="F6" i="4"/>
  <c r="E6" i="4"/>
  <c r="E41" i="4" s="1"/>
  <c r="D6" i="4"/>
  <c r="C6" i="4"/>
  <c r="M35" i="3"/>
  <c r="L35" i="3"/>
  <c r="E35" i="3"/>
  <c r="K32" i="3"/>
  <c r="J32" i="3"/>
  <c r="I32" i="3"/>
  <c r="H32" i="3"/>
  <c r="F32" i="3"/>
  <c r="E32" i="3"/>
  <c r="L30" i="3"/>
  <c r="K30" i="3"/>
  <c r="I30" i="3"/>
  <c r="E30" i="3"/>
  <c r="C30" i="3"/>
  <c r="K25" i="3"/>
  <c r="J25" i="3"/>
  <c r="I25" i="3"/>
  <c r="C25" i="3"/>
  <c r="L24" i="3"/>
  <c r="K24" i="3"/>
  <c r="J24" i="3"/>
  <c r="I24" i="3"/>
  <c r="E24" i="3"/>
  <c r="C24" i="3"/>
  <c r="M23" i="3"/>
  <c r="L23" i="3"/>
  <c r="J23" i="3"/>
  <c r="G23" i="3"/>
  <c r="E23" i="3"/>
  <c r="L22" i="3"/>
  <c r="J22" i="3"/>
  <c r="I22" i="3"/>
  <c r="H22" i="3"/>
  <c r="E22" i="3"/>
  <c r="L21" i="3"/>
  <c r="K21" i="3"/>
  <c r="J21" i="3"/>
  <c r="I21" i="3"/>
  <c r="H21" i="3"/>
  <c r="F21" i="3"/>
  <c r="E21" i="3"/>
  <c r="M20" i="3"/>
  <c r="L20" i="3"/>
  <c r="K20" i="3"/>
  <c r="I20" i="3"/>
  <c r="H20" i="3"/>
  <c r="G20" i="3"/>
  <c r="F20" i="3"/>
  <c r="E20" i="3"/>
  <c r="L19" i="3"/>
  <c r="K19" i="3"/>
  <c r="I19" i="3"/>
  <c r="H19" i="3"/>
  <c r="G19" i="3"/>
  <c r="E19" i="3"/>
  <c r="L16" i="3"/>
  <c r="K16" i="3"/>
  <c r="E16" i="3"/>
  <c r="C16" i="3"/>
  <c r="L13" i="3"/>
  <c r="K13" i="3"/>
  <c r="J13" i="3"/>
  <c r="I13" i="3"/>
  <c r="M12" i="3"/>
  <c r="L12" i="3"/>
  <c r="K12" i="3"/>
  <c r="J12" i="3"/>
  <c r="E12" i="3"/>
  <c r="C12" i="3"/>
  <c r="L11" i="3"/>
  <c r="J11" i="3"/>
  <c r="G11" i="3"/>
  <c r="E11" i="3"/>
  <c r="C11" i="3"/>
  <c r="L10" i="3"/>
  <c r="K10" i="3"/>
  <c r="F10" i="3"/>
  <c r="E10" i="3"/>
  <c r="C10" i="3"/>
  <c r="M9" i="3"/>
  <c r="L9" i="3"/>
  <c r="K9" i="3"/>
  <c r="E9" i="3"/>
  <c r="C9" i="3"/>
  <c r="M8" i="3"/>
  <c r="K8" i="3"/>
  <c r="E8" i="3"/>
  <c r="C8" i="3"/>
  <c r="L7" i="3"/>
  <c r="K7" i="3"/>
  <c r="I7" i="3"/>
  <c r="E7" i="3"/>
  <c r="N6" i="3"/>
  <c r="N8" i="3" s="1"/>
  <c r="M6" i="3"/>
  <c r="M10" i="3" s="1"/>
  <c r="L6" i="3"/>
  <c r="K6" i="3"/>
  <c r="J6" i="3"/>
  <c r="I6" i="3"/>
  <c r="H6" i="3"/>
  <c r="H23" i="3" s="1"/>
  <c r="G6" i="3"/>
  <c r="G32" i="3" s="1"/>
  <c r="F6" i="3"/>
  <c r="F22" i="3" s="1"/>
  <c r="E6" i="3"/>
  <c r="D6" i="3"/>
  <c r="C6" i="3"/>
  <c r="F33" i="1"/>
  <c r="F31" i="1"/>
  <c r="F29" i="1"/>
  <c r="F26" i="1"/>
  <c r="F25" i="1"/>
  <c r="F24" i="1"/>
  <c r="C4" i="1"/>
  <c r="D32" i="3" l="1"/>
  <c r="D22" i="3"/>
  <c r="D10" i="3"/>
  <c r="D20" i="3"/>
  <c r="D12" i="3"/>
  <c r="D19" i="3"/>
  <c r="D21" i="3"/>
  <c r="D23" i="3"/>
  <c r="D25" i="3"/>
  <c r="D24" i="3"/>
  <c r="D16" i="3"/>
  <c r="O16" i="3" s="1"/>
  <c r="D11" i="3"/>
  <c r="D13" i="3"/>
  <c r="D30" i="3"/>
  <c r="O30" i="3" s="1"/>
  <c r="N9" i="3"/>
  <c r="D8" i="3"/>
  <c r="N16" i="3"/>
  <c r="N20" i="3"/>
  <c r="N19" i="3"/>
  <c r="N26" i="3" s="1"/>
  <c r="F41" i="4"/>
  <c r="F40" i="4"/>
  <c r="F39" i="4"/>
  <c r="F42" i="4"/>
  <c r="F43" i="4"/>
  <c r="F44" i="4"/>
  <c r="O44" i="4" s="1"/>
  <c r="N13" i="3"/>
  <c r="D7" i="3"/>
  <c r="D9" i="3"/>
  <c r="K12" i="5"/>
  <c r="K21" i="5"/>
  <c r="M19" i="6"/>
  <c r="M21" i="6" s="1"/>
  <c r="F34" i="1"/>
  <c r="N32" i="3"/>
  <c r="N22" i="3"/>
  <c r="N10" i="3"/>
  <c r="N7" i="3"/>
  <c r="N23" i="3"/>
  <c r="N30" i="3"/>
  <c r="N24" i="3"/>
  <c r="N11" i="3"/>
  <c r="N12" i="3"/>
  <c r="N25" i="3"/>
  <c r="N21" i="3"/>
  <c r="F25" i="3"/>
  <c r="F19" i="3"/>
  <c r="F11" i="3"/>
  <c r="F16" i="3"/>
  <c r="F30" i="3"/>
  <c r="F8" i="3"/>
  <c r="F9" i="3"/>
  <c r="F7" i="3"/>
  <c r="F12" i="3"/>
  <c r="F23" i="3"/>
  <c r="F13" i="3"/>
  <c r="F24" i="3"/>
  <c r="C42" i="4"/>
  <c r="C41" i="4"/>
  <c r="C25" i="4"/>
  <c r="D25" i="4" s="1"/>
  <c r="E25" i="4" s="1"/>
  <c r="F25" i="4" s="1"/>
  <c r="G25" i="4" s="1"/>
  <c r="H25" i="4" s="1"/>
  <c r="I25" i="4" s="1"/>
  <c r="J25" i="4" s="1"/>
  <c r="K25" i="4" s="1"/>
  <c r="L25" i="4" s="1"/>
  <c r="M25" i="4" s="1"/>
  <c r="N25" i="4" s="1"/>
  <c r="O25" i="4" s="1"/>
  <c r="C23" i="4"/>
  <c r="C40" i="4"/>
  <c r="C39" i="4"/>
  <c r="C45" i="4"/>
  <c r="M42" i="4"/>
  <c r="M43" i="4"/>
  <c r="M44" i="4"/>
  <c r="M45" i="4"/>
  <c r="M40" i="4"/>
  <c r="M39" i="4"/>
  <c r="F45" i="4"/>
  <c r="I19" i="5"/>
  <c r="I7" i="5"/>
  <c r="I11" i="5"/>
  <c r="I10" i="5"/>
  <c r="I9" i="5"/>
  <c r="I8" i="5"/>
  <c r="I17" i="5"/>
  <c r="O17" i="5" s="1"/>
  <c r="I27" i="5"/>
  <c r="I20" i="6" s="1"/>
  <c r="I20" i="5"/>
  <c r="J30" i="3"/>
  <c r="J20" i="3"/>
  <c r="J8" i="3"/>
  <c r="J16" i="3"/>
  <c r="J9" i="3"/>
  <c r="J7" i="3"/>
  <c r="J10" i="3"/>
  <c r="H16" i="3"/>
  <c r="J35" i="3"/>
  <c r="K44" i="4"/>
  <c r="K43" i="4"/>
  <c r="C9" i="5"/>
  <c r="C8" i="5"/>
  <c r="C14" i="5"/>
  <c r="C7" i="5"/>
  <c r="C27" i="5"/>
  <c r="M9" i="5"/>
  <c r="M12" i="5" s="1"/>
  <c r="M17" i="5"/>
  <c r="M21" i="5" s="1"/>
  <c r="D8" i="5"/>
  <c r="D12" i="5" s="1"/>
  <c r="M11" i="5"/>
  <c r="D14" i="5"/>
  <c r="D15" i="5" s="1"/>
  <c r="D19" i="5"/>
  <c r="D21" i="5" s="1"/>
  <c r="D19" i="6"/>
  <c r="D21" i="6" s="1"/>
  <c r="D35" i="3"/>
  <c r="N8" i="5"/>
  <c r="N14" i="5"/>
  <c r="N15" i="5" s="1"/>
  <c r="N7" i="5"/>
  <c r="N20" i="5"/>
  <c r="N19" i="5"/>
  <c r="N18" i="5"/>
  <c r="N17" i="5"/>
  <c r="N11" i="5"/>
  <c r="K35" i="3"/>
  <c r="F32" i="1"/>
  <c r="K19" i="6"/>
  <c r="C19" i="3"/>
  <c r="C32" i="3"/>
  <c r="C7" i="3"/>
  <c r="C21" i="3"/>
  <c r="C20" i="3"/>
  <c r="C23" i="3"/>
  <c r="C22" i="3"/>
  <c r="M19" i="3"/>
  <c r="M26" i="3" s="1"/>
  <c r="M7" i="3"/>
  <c r="M21" i="3"/>
  <c r="M13" i="3"/>
  <c r="M30" i="3"/>
  <c r="M24" i="3"/>
  <c r="M25" i="3"/>
  <c r="M16" i="3"/>
  <c r="G22" i="3"/>
  <c r="G26" i="3" s="1"/>
  <c r="F20" i="5"/>
  <c r="F8" i="5"/>
  <c r="F27" i="5"/>
  <c r="F20" i="6" s="1"/>
  <c r="F19" i="5"/>
  <c r="F21" i="5" s="1"/>
  <c r="F11" i="5"/>
  <c r="O11" i="5" s="1"/>
  <c r="F7" i="5"/>
  <c r="J8" i="5"/>
  <c r="J12" i="5" s="1"/>
  <c r="G21" i="3"/>
  <c r="G9" i="3"/>
  <c r="G30" i="3"/>
  <c r="G24" i="3"/>
  <c r="G13" i="3"/>
  <c r="G12" i="3"/>
  <c r="G10" i="3"/>
  <c r="H45" i="4"/>
  <c r="H44" i="4"/>
  <c r="H42" i="4"/>
  <c r="H41" i="4"/>
  <c r="H43" i="4"/>
  <c r="H40" i="4"/>
  <c r="H39" i="4"/>
  <c r="J10" i="5"/>
  <c r="J18" i="5"/>
  <c r="J17" i="5"/>
  <c r="J21" i="5" s="1"/>
  <c r="J9" i="5"/>
  <c r="J14" i="5"/>
  <c r="J15" i="5" s="1"/>
  <c r="J11" i="5"/>
  <c r="D9" i="5"/>
  <c r="C35" i="3"/>
  <c r="C31" i="4"/>
  <c r="M11" i="3"/>
  <c r="M22" i="3"/>
  <c r="G25" i="3"/>
  <c r="M32" i="3"/>
  <c r="H24" i="3"/>
  <c r="H26" i="3" s="1"/>
  <c r="H12" i="3"/>
  <c r="H10" i="3"/>
  <c r="H11" i="3"/>
  <c r="H13" i="3"/>
  <c r="G7" i="3"/>
  <c r="G8" i="3"/>
  <c r="H9" i="3"/>
  <c r="I40" i="4"/>
  <c r="I45" i="4"/>
  <c r="I39" i="4"/>
  <c r="I44" i="4"/>
  <c r="I42" i="4"/>
  <c r="I41" i="4"/>
  <c r="I16" i="3"/>
  <c r="I23" i="3"/>
  <c r="I26" i="3" s="1"/>
  <c r="I10" i="3"/>
  <c r="I9" i="3"/>
  <c r="I8" i="3"/>
  <c r="I12" i="3"/>
  <c r="I11" i="3"/>
  <c r="H7" i="3"/>
  <c r="H8" i="3"/>
  <c r="C13" i="3"/>
  <c r="G16" i="3"/>
  <c r="J19" i="3"/>
  <c r="J26" i="3" s="1"/>
  <c r="H25" i="3"/>
  <c r="H30" i="3"/>
  <c r="J43" i="4"/>
  <c r="J45" i="4"/>
  <c r="J44" i="4"/>
  <c r="K39" i="4"/>
  <c r="L18" i="5"/>
  <c r="L17" i="5"/>
  <c r="L21" i="5" s="1"/>
  <c r="L9" i="5"/>
  <c r="L8" i="5"/>
  <c r="L12" i="5" s="1"/>
  <c r="L14" i="5"/>
  <c r="L15" i="5" s="1"/>
  <c r="F9" i="5"/>
  <c r="L11" i="5"/>
  <c r="C19" i="5"/>
  <c r="J27" i="5"/>
  <c r="J20" i="6" s="1"/>
  <c r="J21" i="6" s="1"/>
  <c r="O12" i="6"/>
  <c r="L8" i="3"/>
  <c r="L14" i="3" s="1"/>
  <c r="L32" i="3"/>
  <c r="H27" i="5"/>
  <c r="H20" i="6" s="1"/>
  <c r="H21" i="6" s="1"/>
  <c r="H19" i="5"/>
  <c r="H18" i="5"/>
  <c r="O18" i="5" s="1"/>
  <c r="H10" i="5"/>
  <c r="O10" i="5" s="1"/>
  <c r="H7" i="5"/>
  <c r="E12" i="11"/>
  <c r="N12" i="11"/>
  <c r="D12" i="11"/>
  <c r="M12" i="11"/>
  <c r="C12" i="11"/>
  <c r="L12" i="11"/>
  <c r="K12" i="11"/>
  <c r="J12" i="11"/>
  <c r="I12" i="11"/>
  <c r="H12" i="11"/>
  <c r="G12" i="11"/>
  <c r="F12" i="11"/>
  <c r="P104" i="9"/>
  <c r="P91" i="9"/>
  <c r="P90" i="9"/>
  <c r="P77" i="9"/>
  <c r="P66" i="9"/>
  <c r="P65" i="9"/>
  <c r="P58" i="9"/>
  <c r="P51" i="9"/>
  <c r="P38" i="9"/>
  <c r="P33" i="9"/>
  <c r="P28" i="9"/>
  <c r="P23" i="9"/>
  <c r="P18" i="9"/>
  <c r="P13" i="9"/>
  <c r="P79" i="9"/>
  <c r="P78" i="9"/>
  <c r="P54" i="9"/>
  <c r="P102" i="9"/>
  <c r="P92" i="9"/>
  <c r="P81" i="9"/>
  <c r="P80" i="9"/>
  <c r="P67" i="9"/>
  <c r="P47" i="9"/>
  <c r="P43" i="9"/>
  <c r="P40" i="9"/>
  <c r="P35" i="9"/>
  <c r="P30" i="9"/>
  <c r="P25" i="9"/>
  <c r="P20" i="9"/>
  <c r="P15" i="9"/>
  <c r="P94" i="9"/>
  <c r="P93" i="9"/>
  <c r="P69" i="9"/>
  <c r="P68" i="9"/>
  <c r="P103" i="9"/>
  <c r="P96" i="9"/>
  <c r="P95" i="9"/>
  <c r="P82" i="9"/>
  <c r="P71" i="9"/>
  <c r="P70" i="9"/>
  <c r="P57" i="9"/>
  <c r="P106" i="9"/>
  <c r="P89" i="9"/>
  <c r="P88" i="9"/>
  <c r="P64" i="9"/>
  <c r="P63" i="9"/>
  <c r="P55" i="9"/>
  <c r="P44" i="9"/>
  <c r="P83" i="9"/>
  <c r="P73" i="9"/>
  <c r="P56" i="9"/>
  <c r="P48" i="9"/>
  <c r="P42" i="9"/>
  <c r="P41" i="9"/>
  <c r="P101" i="9"/>
  <c r="P87" i="9"/>
  <c r="P85" i="9"/>
  <c r="P50" i="9"/>
  <c r="P32" i="9"/>
  <c r="P8" i="9"/>
  <c r="P99" i="9"/>
  <c r="P31" i="9"/>
  <c r="P105" i="9"/>
  <c r="P97" i="9"/>
  <c r="P76" i="9"/>
  <c r="P62" i="9"/>
  <c r="P60" i="9"/>
  <c r="P34" i="9"/>
  <c r="P10" i="9"/>
  <c r="P74" i="9"/>
  <c r="P86" i="9"/>
  <c r="P84" i="9"/>
  <c r="P72" i="9"/>
  <c r="P53" i="9"/>
  <c r="P46" i="9"/>
  <c r="P45" i="9"/>
  <c r="P37" i="9"/>
  <c r="P24" i="9"/>
  <c r="P12" i="9"/>
  <c r="P7" i="9"/>
  <c r="P100" i="9"/>
  <c r="P61" i="9"/>
  <c r="P39" i="9"/>
  <c r="P27" i="9"/>
  <c r="P21" i="9"/>
  <c r="P19" i="9"/>
  <c r="P9" i="9"/>
  <c r="P98" i="9"/>
  <c r="P26" i="9"/>
  <c r="P17" i="9"/>
  <c r="P16" i="9"/>
  <c r="P75" i="9"/>
  <c r="P49" i="9"/>
  <c r="P14" i="9"/>
  <c r="P36" i="9"/>
  <c r="P11" i="9"/>
  <c r="P22" i="9"/>
  <c r="K14" i="11"/>
  <c r="J14" i="11"/>
  <c r="I14" i="11"/>
  <c r="H14" i="11"/>
  <c r="G14" i="11"/>
  <c r="F14" i="11"/>
  <c r="E14" i="11"/>
  <c r="N14" i="11"/>
  <c r="D14" i="11"/>
  <c r="M14" i="11"/>
  <c r="C14" i="11"/>
  <c r="L14" i="11"/>
  <c r="P52" i="9"/>
  <c r="P59" i="9"/>
  <c r="K23" i="3"/>
  <c r="K11" i="3"/>
  <c r="K14" i="3" s="1"/>
  <c r="K22" i="3"/>
  <c r="K26" i="3" s="1"/>
  <c r="L25" i="3"/>
  <c r="L26" i="3" s="1"/>
  <c r="D45" i="4"/>
  <c r="D42" i="4"/>
  <c r="N45" i="4"/>
  <c r="N41" i="4"/>
  <c r="G12" i="5"/>
  <c r="H8" i="5"/>
  <c r="H9" i="5"/>
  <c r="S102" i="9"/>
  <c r="S97" i="9"/>
  <c r="S92" i="9"/>
  <c r="S87" i="9"/>
  <c r="S82" i="9"/>
  <c r="S77" i="9"/>
  <c r="S72" i="9"/>
  <c r="S67" i="9"/>
  <c r="S62" i="9"/>
  <c r="S104" i="9"/>
  <c r="S99" i="9"/>
  <c r="S94" i="9"/>
  <c r="S89" i="9"/>
  <c r="S84" i="9"/>
  <c r="S79" i="9"/>
  <c r="S74" i="9"/>
  <c r="S69" i="9"/>
  <c r="S64" i="9"/>
  <c r="S106" i="9"/>
  <c r="S101" i="9"/>
  <c r="S96" i="9"/>
  <c r="S91" i="9"/>
  <c r="S86" i="9"/>
  <c r="S81" i="9"/>
  <c r="S76" i="9"/>
  <c r="S71" i="9"/>
  <c r="S66" i="9"/>
  <c r="S61" i="9"/>
  <c r="S56" i="9"/>
  <c r="S51" i="9"/>
  <c r="S46" i="9"/>
  <c r="S41" i="9"/>
  <c r="S103" i="9"/>
  <c r="S98" i="9"/>
  <c r="S93" i="9"/>
  <c r="S88" i="9"/>
  <c r="S83" i="9"/>
  <c r="S78" i="9"/>
  <c r="S73" i="9"/>
  <c r="S68" i="9"/>
  <c r="S63" i="9"/>
  <c r="S80" i="9"/>
  <c r="S50" i="9"/>
  <c r="S57" i="9"/>
  <c r="S53" i="9"/>
  <c r="S37" i="9"/>
  <c r="S32" i="9"/>
  <c r="S27" i="9"/>
  <c r="S22" i="9"/>
  <c r="S17" i="9"/>
  <c r="S95" i="9"/>
  <c r="S70" i="9"/>
  <c r="S85" i="9"/>
  <c r="S60" i="9"/>
  <c r="S54" i="9"/>
  <c r="S47" i="9"/>
  <c r="S43" i="9"/>
  <c r="S40" i="9"/>
  <c r="S35" i="9"/>
  <c r="S30" i="9"/>
  <c r="S25" i="9"/>
  <c r="S34" i="9"/>
  <c r="S10" i="9"/>
  <c r="S105" i="9"/>
  <c r="S45" i="9"/>
  <c r="S33" i="9"/>
  <c r="S24" i="9"/>
  <c r="S12" i="9"/>
  <c r="S7" i="9"/>
  <c r="S90" i="9"/>
  <c r="S52" i="9"/>
  <c r="S44" i="9"/>
  <c r="S36" i="9"/>
  <c r="S39" i="9"/>
  <c r="S21" i="9"/>
  <c r="S19" i="9"/>
  <c r="S9" i="9"/>
  <c r="S100" i="9"/>
  <c r="S65" i="9"/>
  <c r="S58" i="9"/>
  <c r="S26" i="9"/>
  <c r="S23" i="9"/>
  <c r="S75" i="9"/>
  <c r="S59" i="9"/>
  <c r="S49" i="9"/>
  <c r="S48" i="9"/>
  <c r="S42" i="9"/>
  <c r="S18" i="9"/>
  <c r="S55" i="9"/>
  <c r="S28" i="9"/>
  <c r="S15" i="9"/>
  <c r="S8" i="9"/>
  <c r="S20" i="9"/>
  <c r="S38" i="9"/>
  <c r="E40" i="4"/>
  <c r="S11" i="9"/>
  <c r="M13" i="11"/>
  <c r="C13" i="11"/>
  <c r="L13" i="11"/>
  <c r="K13" i="11"/>
  <c r="J13" i="11"/>
  <c r="I13" i="11"/>
  <c r="H13" i="11"/>
  <c r="G13" i="11"/>
  <c r="F13" i="11"/>
  <c r="E13" i="11"/>
  <c r="N13" i="11"/>
  <c r="D13" i="11"/>
  <c r="S14" i="9"/>
  <c r="E25" i="3"/>
  <c r="E26" i="3" s="1"/>
  <c r="E13" i="3"/>
  <c r="E14" i="3" s="1"/>
  <c r="G40" i="4"/>
  <c r="E7" i="5"/>
  <c r="E12" i="5" s="1"/>
  <c r="E14" i="5"/>
  <c r="E15" i="5" s="1"/>
  <c r="G20" i="5"/>
  <c r="Q105" i="9"/>
  <c r="Q100" i="9"/>
  <c r="Q95" i="9"/>
  <c r="Q90" i="9"/>
  <c r="Q85" i="9"/>
  <c r="Q80" i="9"/>
  <c r="Q75" i="9"/>
  <c r="Q70" i="9"/>
  <c r="Q65" i="9"/>
  <c r="Q60" i="9"/>
  <c r="Q102" i="9"/>
  <c r="Q97" i="9"/>
  <c r="Q92" i="9"/>
  <c r="Q87" i="9"/>
  <c r="Q82" i="9"/>
  <c r="Q77" i="9"/>
  <c r="Q72" i="9"/>
  <c r="Q67" i="9"/>
  <c r="Q62" i="9"/>
  <c r="Q104" i="9"/>
  <c r="Q99" i="9"/>
  <c r="Q94" i="9"/>
  <c r="Q89" i="9"/>
  <c r="Q84" i="9"/>
  <c r="Q79" i="9"/>
  <c r="Q74" i="9"/>
  <c r="Q69" i="9"/>
  <c r="Q64" i="9"/>
  <c r="Q59" i="9"/>
  <c r="Q54" i="9"/>
  <c r="Q49" i="9"/>
  <c r="Q44" i="9"/>
  <c r="Q106" i="9"/>
  <c r="Q101" i="9"/>
  <c r="Q96" i="9"/>
  <c r="Q91" i="9"/>
  <c r="Q86" i="9"/>
  <c r="Q81" i="9"/>
  <c r="Q76" i="9"/>
  <c r="Q71" i="9"/>
  <c r="Q66" i="9"/>
  <c r="Q61" i="9"/>
  <c r="Q78" i="9"/>
  <c r="Q47" i="9"/>
  <c r="Q43" i="9"/>
  <c r="Q40" i="9"/>
  <c r="Q35" i="9"/>
  <c r="Q30" i="9"/>
  <c r="Q25" i="9"/>
  <c r="Q20" i="9"/>
  <c r="Q15" i="9"/>
  <c r="Q93" i="9"/>
  <c r="Q68" i="9"/>
  <c r="Q50" i="9"/>
  <c r="Q103" i="9"/>
  <c r="Q83" i="9"/>
  <c r="Q58" i="9"/>
  <c r="Q51" i="9"/>
  <c r="Q38" i="9"/>
  <c r="Q33" i="9"/>
  <c r="Q28" i="9"/>
  <c r="U10" i="9"/>
  <c r="Q11" i="9"/>
  <c r="T13" i="9"/>
  <c r="Q14" i="9"/>
  <c r="Q16" i="9"/>
  <c r="R18" i="9"/>
  <c r="Q29" i="9"/>
  <c r="U30" i="9"/>
  <c r="T31" i="9"/>
  <c r="R41" i="9"/>
  <c r="R42" i="9"/>
  <c r="R48" i="9"/>
  <c r="R49" i="9"/>
  <c r="M53" i="9"/>
  <c r="R56" i="9"/>
  <c r="R59" i="9"/>
  <c r="V66" i="9"/>
  <c r="R73" i="9"/>
  <c r="U87" i="9"/>
  <c r="T89" i="9"/>
  <c r="X93" i="9"/>
  <c r="N96" i="9"/>
  <c r="X101" i="9"/>
  <c r="N104" i="9"/>
  <c r="T106" i="9"/>
  <c r="R106" i="9"/>
  <c r="R101" i="9"/>
  <c r="R79" i="9"/>
  <c r="R54" i="9"/>
  <c r="R47" i="9"/>
  <c r="R43" i="9"/>
  <c r="R40" i="9"/>
  <c r="R35" i="9"/>
  <c r="R30" i="9"/>
  <c r="R25" i="9"/>
  <c r="R20" i="9"/>
  <c r="R15" i="9"/>
  <c r="R102" i="9"/>
  <c r="R93" i="9"/>
  <c r="R92" i="9"/>
  <c r="R81" i="9"/>
  <c r="R80" i="9"/>
  <c r="R68" i="9"/>
  <c r="R67" i="9"/>
  <c r="R50" i="9"/>
  <c r="R103" i="9"/>
  <c r="R94" i="9"/>
  <c r="R69" i="9"/>
  <c r="R57" i="9"/>
  <c r="R53" i="9"/>
  <c r="R46" i="9"/>
  <c r="R37" i="9"/>
  <c r="R32" i="9"/>
  <c r="R27" i="9"/>
  <c r="R22" i="9"/>
  <c r="R17" i="9"/>
  <c r="R96" i="9"/>
  <c r="R95" i="9"/>
  <c r="R83" i="9"/>
  <c r="R82" i="9"/>
  <c r="R71" i="9"/>
  <c r="R70" i="9"/>
  <c r="R84" i="9"/>
  <c r="R91" i="9"/>
  <c r="R90" i="9"/>
  <c r="R78" i="9"/>
  <c r="R77" i="9"/>
  <c r="R66" i="9"/>
  <c r="R65" i="9"/>
  <c r="R11" i="9"/>
  <c r="U13" i="9"/>
  <c r="R14" i="9"/>
  <c r="T15" i="9"/>
  <c r="R16" i="9"/>
  <c r="T28" i="9"/>
  <c r="R29" i="9"/>
  <c r="V30" i="9"/>
  <c r="U31" i="9"/>
  <c r="R38" i="9"/>
  <c r="T40" i="9"/>
  <c r="T41" i="9"/>
  <c r="T47" i="9"/>
  <c r="T54" i="9"/>
  <c r="T55" i="9"/>
  <c r="T56" i="9"/>
  <c r="Q63" i="9"/>
  <c r="T77" i="9"/>
  <c r="V89" i="9"/>
  <c r="Q98" i="9"/>
  <c r="R104" i="9"/>
  <c r="T103" i="9"/>
  <c r="T102" i="9"/>
  <c r="T93" i="9"/>
  <c r="T92" i="9"/>
  <c r="T81" i="9"/>
  <c r="T68" i="9"/>
  <c r="T67" i="9"/>
  <c r="T57" i="9"/>
  <c r="T53" i="9"/>
  <c r="T37" i="9"/>
  <c r="T32" i="9"/>
  <c r="T27" i="9"/>
  <c r="T22" i="9"/>
  <c r="T17" i="9"/>
  <c r="T95" i="9"/>
  <c r="T94" i="9"/>
  <c r="T70" i="9"/>
  <c r="T69" i="9"/>
  <c r="T46" i="9"/>
  <c r="T96" i="9"/>
  <c r="T83" i="9"/>
  <c r="T82" i="9"/>
  <c r="T71" i="9"/>
  <c r="T49" i="9"/>
  <c r="T42" i="9"/>
  <c r="T39" i="9"/>
  <c r="T34" i="9"/>
  <c r="T29" i="9"/>
  <c r="T24" i="9"/>
  <c r="T19" i="9"/>
  <c r="T14" i="9"/>
  <c r="T85" i="9"/>
  <c r="T84" i="9"/>
  <c r="T60" i="9"/>
  <c r="T105" i="9"/>
  <c r="T104" i="9"/>
  <c r="T98" i="9"/>
  <c r="T97" i="9"/>
  <c r="T86" i="9"/>
  <c r="T73" i="9"/>
  <c r="T72" i="9"/>
  <c r="T61" i="9"/>
  <c r="T59" i="9"/>
  <c r="T80" i="9"/>
  <c r="T79" i="9"/>
  <c r="T50" i="9"/>
  <c r="R9" i="9"/>
  <c r="T11" i="9"/>
  <c r="V15" i="9"/>
  <c r="T16" i="9"/>
  <c r="V17" i="9"/>
  <c r="R19" i="9"/>
  <c r="T20" i="9"/>
  <c r="R21" i="9"/>
  <c r="T25" i="9"/>
  <c r="V27" i="9"/>
  <c r="V28" i="9"/>
  <c r="Q36" i="9"/>
  <c r="T38" i="9"/>
  <c r="R39" i="9"/>
  <c r="V40" i="9"/>
  <c r="V41" i="9"/>
  <c r="V47" i="9"/>
  <c r="V48" i="9"/>
  <c r="Q52" i="9"/>
  <c r="V54" i="9"/>
  <c r="V55" i="9"/>
  <c r="T63" i="9"/>
  <c r="V77" i="9"/>
  <c r="Q88" i="9"/>
  <c r="V102" i="9"/>
  <c r="U104" i="9"/>
  <c r="U99" i="9"/>
  <c r="U94" i="9"/>
  <c r="U89" i="9"/>
  <c r="U84" i="9"/>
  <c r="U79" i="9"/>
  <c r="U74" i="9"/>
  <c r="U69" i="9"/>
  <c r="U64" i="9"/>
  <c r="U106" i="9"/>
  <c r="U101" i="9"/>
  <c r="U96" i="9"/>
  <c r="U91" i="9"/>
  <c r="U86" i="9"/>
  <c r="U81" i="9"/>
  <c r="U76" i="9"/>
  <c r="U71" i="9"/>
  <c r="U66" i="9"/>
  <c r="U61" i="9"/>
  <c r="U103" i="9"/>
  <c r="U98" i="9"/>
  <c r="U93" i="9"/>
  <c r="U88" i="9"/>
  <c r="U83" i="9"/>
  <c r="U78" i="9"/>
  <c r="U73" i="9"/>
  <c r="U68" i="9"/>
  <c r="U63" i="9"/>
  <c r="U58" i="9"/>
  <c r="U53" i="9"/>
  <c r="U48" i="9"/>
  <c r="U43" i="9"/>
  <c r="U105" i="9"/>
  <c r="U100" i="9"/>
  <c r="U95" i="9"/>
  <c r="U90" i="9"/>
  <c r="U85" i="9"/>
  <c r="U80" i="9"/>
  <c r="U75" i="9"/>
  <c r="U70" i="9"/>
  <c r="U65" i="9"/>
  <c r="U60" i="9"/>
  <c r="U46" i="9"/>
  <c r="U82" i="9"/>
  <c r="U49" i="9"/>
  <c r="U42" i="9"/>
  <c r="U39" i="9"/>
  <c r="U34" i="9"/>
  <c r="U29" i="9"/>
  <c r="U24" i="9"/>
  <c r="U19" i="9"/>
  <c r="U14" i="9"/>
  <c r="U56" i="9"/>
  <c r="U45" i="9"/>
  <c r="U97" i="9"/>
  <c r="U72" i="9"/>
  <c r="U59" i="9"/>
  <c r="U102" i="9"/>
  <c r="U92" i="9"/>
  <c r="U67" i="9"/>
  <c r="U57" i="9"/>
  <c r="U37" i="9"/>
  <c r="U32" i="9"/>
  <c r="U27" i="9"/>
  <c r="U11" i="9"/>
  <c r="U16" i="9"/>
  <c r="V18" i="9"/>
  <c r="U20" i="9"/>
  <c r="U22" i="9"/>
  <c r="T23" i="9"/>
  <c r="U25" i="9"/>
  <c r="T26" i="9"/>
  <c r="R36" i="9"/>
  <c r="Q37" i="9"/>
  <c r="U38" i="9"/>
  <c r="R44" i="9"/>
  <c r="Q45" i="9"/>
  <c r="Q46" i="9"/>
  <c r="R51" i="9"/>
  <c r="R52" i="9"/>
  <c r="Q53" i="9"/>
  <c r="T58" i="9"/>
  <c r="V63" i="9"/>
  <c r="T65" i="9"/>
  <c r="R72" i="9"/>
  <c r="X77" i="9"/>
  <c r="X79" i="9"/>
  <c r="N82" i="9"/>
  <c r="R86" i="9"/>
  <c r="R88" i="9"/>
  <c r="X94" i="9"/>
  <c r="N97" i="9"/>
  <c r="T100" i="9"/>
  <c r="N105" i="9"/>
  <c r="V106" i="9"/>
  <c r="V105" i="9"/>
  <c r="V95" i="9"/>
  <c r="V94" i="9"/>
  <c r="V82" i="9"/>
  <c r="V70" i="9"/>
  <c r="V69" i="9"/>
  <c r="V49" i="9"/>
  <c r="V42" i="9"/>
  <c r="V39" i="9"/>
  <c r="V34" i="9"/>
  <c r="V29" i="9"/>
  <c r="V24" i="9"/>
  <c r="V19" i="9"/>
  <c r="V14" i="9"/>
  <c r="V103" i="9"/>
  <c r="V96" i="9"/>
  <c r="V83" i="9"/>
  <c r="V71" i="9"/>
  <c r="V56" i="9"/>
  <c r="V45" i="9"/>
  <c r="V97" i="9"/>
  <c r="V85" i="9"/>
  <c r="V84" i="9"/>
  <c r="V72" i="9"/>
  <c r="V60" i="9"/>
  <c r="V59" i="9"/>
  <c r="V52" i="9"/>
  <c r="V36" i="9"/>
  <c r="V31" i="9"/>
  <c r="V26" i="9"/>
  <c r="V21" i="9"/>
  <c r="V16" i="9"/>
  <c r="V104" i="9"/>
  <c r="V98" i="9"/>
  <c r="V86" i="9"/>
  <c r="V73" i="9"/>
  <c r="V61" i="9"/>
  <c r="V100" i="9"/>
  <c r="V99" i="9"/>
  <c r="V87" i="9"/>
  <c r="V75" i="9"/>
  <c r="V74" i="9"/>
  <c r="V62" i="9"/>
  <c r="V93" i="9"/>
  <c r="V81" i="9"/>
  <c r="V68" i="9"/>
  <c r="V53" i="9"/>
  <c r="V46" i="9"/>
  <c r="R7" i="9"/>
  <c r="T9" i="9"/>
  <c r="V11" i="9"/>
  <c r="R12" i="9"/>
  <c r="V20" i="9"/>
  <c r="T21" i="9"/>
  <c r="V22" i="9"/>
  <c r="U23" i="9"/>
  <c r="R24" i="9"/>
  <c r="V25" i="9"/>
  <c r="U26" i="9"/>
  <c r="R33" i="9"/>
  <c r="T35" i="9"/>
  <c r="V37" i="9"/>
  <c r="V38" i="9"/>
  <c r="R45" i="9"/>
  <c r="T51" i="9"/>
  <c r="V58" i="9"/>
  <c r="V65" i="9"/>
  <c r="X67" i="9"/>
  <c r="N70" i="9"/>
  <c r="R74" i="9"/>
  <c r="T88" i="9"/>
  <c r="N99" i="9"/>
  <c r="M106" i="9"/>
  <c r="M101" i="9"/>
  <c r="M96" i="9"/>
  <c r="M91" i="9"/>
  <c r="M86" i="9"/>
  <c r="M81" i="9"/>
  <c r="M76" i="9"/>
  <c r="M71" i="9"/>
  <c r="M66" i="9"/>
  <c r="M61" i="9"/>
  <c r="M103" i="9"/>
  <c r="M98" i="9"/>
  <c r="M93" i="9"/>
  <c r="M88" i="9"/>
  <c r="M83" i="9"/>
  <c r="M78" i="9"/>
  <c r="M73" i="9"/>
  <c r="M68" i="9"/>
  <c r="M63" i="9"/>
  <c r="M105" i="9"/>
  <c r="M100" i="9"/>
  <c r="M95" i="9"/>
  <c r="M90" i="9"/>
  <c r="M85" i="9"/>
  <c r="M80" i="9"/>
  <c r="M75" i="9"/>
  <c r="M70" i="9"/>
  <c r="M65" i="9"/>
  <c r="M60" i="9"/>
  <c r="M55" i="9"/>
  <c r="M50" i="9"/>
  <c r="M45" i="9"/>
  <c r="M102" i="9"/>
  <c r="M97" i="9"/>
  <c r="M92" i="9"/>
  <c r="M87" i="9"/>
  <c r="M82" i="9"/>
  <c r="M77" i="9"/>
  <c r="M72" i="9"/>
  <c r="M67" i="9"/>
  <c r="M62" i="9"/>
  <c r="M59" i="9"/>
  <c r="M52" i="9"/>
  <c r="M89" i="9"/>
  <c r="M64" i="9"/>
  <c r="M48" i="9"/>
  <c r="M41" i="9"/>
  <c r="M36" i="9"/>
  <c r="M31" i="9"/>
  <c r="M26" i="9"/>
  <c r="M21" i="9"/>
  <c r="M16" i="9"/>
  <c r="M44" i="9"/>
  <c r="M79" i="9"/>
  <c r="M58" i="9"/>
  <c r="M99" i="9"/>
  <c r="M74" i="9"/>
  <c r="M56" i="9"/>
  <c r="M39" i="9"/>
  <c r="M34" i="9"/>
  <c r="M29" i="9"/>
  <c r="W106" i="9"/>
  <c r="W101" i="9"/>
  <c r="W96" i="9"/>
  <c r="W91" i="9"/>
  <c r="W86" i="9"/>
  <c r="W81" i="9"/>
  <c r="W76" i="9"/>
  <c r="W71" i="9"/>
  <c r="W66" i="9"/>
  <c r="W61" i="9"/>
  <c r="W103" i="9"/>
  <c r="W98" i="9"/>
  <c r="W93" i="9"/>
  <c r="W88" i="9"/>
  <c r="W83" i="9"/>
  <c r="W78" i="9"/>
  <c r="W73" i="9"/>
  <c r="W68" i="9"/>
  <c r="W63" i="9"/>
  <c r="W105" i="9"/>
  <c r="W100" i="9"/>
  <c r="W95" i="9"/>
  <c r="W90" i="9"/>
  <c r="W85" i="9"/>
  <c r="W80" i="9"/>
  <c r="W75" i="9"/>
  <c r="W70" i="9"/>
  <c r="W65" i="9"/>
  <c r="W60" i="9"/>
  <c r="W55" i="9"/>
  <c r="W50" i="9"/>
  <c r="W45" i="9"/>
  <c r="W102" i="9"/>
  <c r="W97" i="9"/>
  <c r="W92" i="9"/>
  <c r="W87" i="9"/>
  <c r="W82" i="9"/>
  <c r="W77" i="9"/>
  <c r="W72" i="9"/>
  <c r="W67" i="9"/>
  <c r="W62" i="9"/>
  <c r="W56" i="9"/>
  <c r="W84" i="9"/>
  <c r="W59" i="9"/>
  <c r="W52" i="9"/>
  <c r="W36" i="9"/>
  <c r="W31" i="9"/>
  <c r="W26" i="9"/>
  <c r="W21" i="9"/>
  <c r="W16" i="9"/>
  <c r="W104" i="9"/>
  <c r="W48" i="9"/>
  <c r="W41" i="9"/>
  <c r="W99" i="9"/>
  <c r="W74" i="9"/>
  <c r="W58" i="9"/>
  <c r="W94" i="9"/>
  <c r="W69" i="9"/>
  <c r="W49" i="9"/>
  <c r="W42" i="9"/>
  <c r="W39" i="9"/>
  <c r="W34" i="9"/>
  <c r="W29" i="9"/>
  <c r="W24" i="9"/>
  <c r="U9" i="9"/>
  <c r="Q10" i="9"/>
  <c r="M11" i="9"/>
  <c r="W11" i="9"/>
  <c r="M14" i="9"/>
  <c r="X19" i="9"/>
  <c r="W20" i="9"/>
  <c r="U21" i="9"/>
  <c r="W22" i="9"/>
  <c r="V23" i="9"/>
  <c r="W25" i="9"/>
  <c r="M30" i="9"/>
  <c r="O32" i="9"/>
  <c r="Q34" i="9"/>
  <c r="U35" i="9"/>
  <c r="T36" i="9"/>
  <c r="W37" i="9"/>
  <c r="W38" i="9"/>
  <c r="M42" i="9"/>
  <c r="N43" i="9"/>
  <c r="T44" i="9"/>
  <c r="X46" i="9"/>
  <c r="M49" i="9"/>
  <c r="O50" i="9"/>
  <c r="U51" i="9"/>
  <c r="T52" i="9"/>
  <c r="X53" i="9"/>
  <c r="N56" i="9"/>
  <c r="Q57" i="9"/>
  <c r="R60" i="9"/>
  <c r="R62" i="9"/>
  <c r="T74" i="9"/>
  <c r="R76" i="9"/>
  <c r="N85" i="9"/>
  <c r="V88" i="9"/>
  <c r="T90" i="9"/>
  <c r="V92" i="9"/>
  <c r="R97" i="9"/>
  <c r="R105" i="9"/>
  <c r="N102" i="9"/>
  <c r="N106" i="9"/>
  <c r="N101" i="9"/>
  <c r="N89" i="9"/>
  <c r="N88" i="9"/>
  <c r="N76" i="9"/>
  <c r="N64" i="9"/>
  <c r="N63" i="9"/>
  <c r="N48" i="9"/>
  <c r="N41" i="9"/>
  <c r="N36" i="9"/>
  <c r="N31" i="9"/>
  <c r="N26" i="9"/>
  <c r="N21" i="9"/>
  <c r="N16" i="9"/>
  <c r="N90" i="9"/>
  <c r="N77" i="9"/>
  <c r="N65" i="9"/>
  <c r="N55" i="9"/>
  <c r="N44" i="9"/>
  <c r="N91" i="9"/>
  <c r="N79" i="9"/>
  <c r="N78" i="9"/>
  <c r="N66" i="9"/>
  <c r="N58" i="9"/>
  <c r="N51" i="9"/>
  <c r="N38" i="9"/>
  <c r="N33" i="9"/>
  <c r="N28" i="9"/>
  <c r="N23" i="9"/>
  <c r="N18" i="9"/>
  <c r="N92" i="9"/>
  <c r="N80" i="9"/>
  <c r="N67" i="9"/>
  <c r="N94" i="9"/>
  <c r="N93" i="9"/>
  <c r="N81" i="9"/>
  <c r="N69" i="9"/>
  <c r="N68" i="9"/>
  <c r="N100" i="9"/>
  <c r="N87" i="9"/>
  <c r="N75" i="9"/>
  <c r="N62" i="9"/>
  <c r="N59" i="9"/>
  <c r="N52" i="9"/>
  <c r="N45" i="9"/>
  <c r="X102" i="9"/>
  <c r="X103" i="9"/>
  <c r="X96" i="9"/>
  <c r="X84" i="9"/>
  <c r="X83" i="9"/>
  <c r="X71" i="9"/>
  <c r="X59" i="9"/>
  <c r="X52" i="9"/>
  <c r="X45" i="9"/>
  <c r="X36" i="9"/>
  <c r="X31" i="9"/>
  <c r="X26" i="9"/>
  <c r="X21" i="9"/>
  <c r="X16" i="9"/>
  <c r="X104" i="9"/>
  <c r="X97" i="9"/>
  <c r="X85" i="9"/>
  <c r="X72" i="9"/>
  <c r="X60" i="9"/>
  <c r="X48" i="9"/>
  <c r="X41" i="9"/>
  <c r="X99" i="9"/>
  <c r="X98" i="9"/>
  <c r="X86" i="9"/>
  <c r="X74" i="9"/>
  <c r="X73" i="9"/>
  <c r="X61" i="9"/>
  <c r="X55" i="9"/>
  <c r="X44" i="9"/>
  <c r="X38" i="9"/>
  <c r="X33" i="9"/>
  <c r="X28" i="9"/>
  <c r="X23" i="9"/>
  <c r="X18" i="9"/>
  <c r="X13" i="9"/>
  <c r="X105" i="9"/>
  <c r="X100" i="9"/>
  <c r="X87" i="9"/>
  <c r="X75" i="9"/>
  <c r="X62" i="9"/>
  <c r="X58" i="9"/>
  <c r="X89" i="9"/>
  <c r="X88" i="9"/>
  <c r="X76" i="9"/>
  <c r="X64" i="9"/>
  <c r="X63" i="9"/>
  <c r="X95" i="9"/>
  <c r="X82" i="9"/>
  <c r="X70" i="9"/>
  <c r="X56" i="9"/>
  <c r="T7" i="9"/>
  <c r="V9" i="9"/>
  <c r="R10" i="9"/>
  <c r="N11" i="9"/>
  <c r="X11" i="9"/>
  <c r="T12" i="9"/>
  <c r="Q13" i="9"/>
  <c r="N14" i="9"/>
  <c r="M15" i="9"/>
  <c r="M17" i="9"/>
  <c r="X20" i="9"/>
  <c r="X22" i="9"/>
  <c r="W23" i="9"/>
  <c r="X24" i="9"/>
  <c r="X25" i="9"/>
  <c r="N29" i="9"/>
  <c r="N30" i="9"/>
  <c r="Q31" i="9"/>
  <c r="T33" i="9"/>
  <c r="R34" i="9"/>
  <c r="V35" i="9"/>
  <c r="U36" i="9"/>
  <c r="X37" i="9"/>
  <c r="N42" i="9"/>
  <c r="O43" i="9"/>
  <c r="U44" i="9"/>
  <c r="T45" i="9"/>
  <c r="N49" i="9"/>
  <c r="V51" i="9"/>
  <c r="U52" i="9"/>
  <c r="V57" i="9"/>
  <c r="T62" i="9"/>
  <c r="R64" i="9"/>
  <c r="N73" i="9"/>
  <c r="T76" i="9"/>
  <c r="T78" i="9"/>
  <c r="V80" i="9"/>
  <c r="N83" i="9"/>
  <c r="V90" i="9"/>
  <c r="X92" i="9"/>
  <c r="N95" i="9"/>
  <c r="R99" i="9"/>
  <c r="K14" i="5"/>
  <c r="K15" i="5" s="1"/>
  <c r="O103" i="9"/>
  <c r="O98" i="9"/>
  <c r="O93" i="9"/>
  <c r="O88" i="9"/>
  <c r="O83" i="9"/>
  <c r="O78" i="9"/>
  <c r="O73" i="9"/>
  <c r="O68" i="9"/>
  <c r="O63" i="9"/>
  <c r="O105" i="9"/>
  <c r="O100" i="9"/>
  <c r="O95" i="9"/>
  <c r="O90" i="9"/>
  <c r="O85" i="9"/>
  <c r="O80" i="9"/>
  <c r="O75" i="9"/>
  <c r="O70" i="9"/>
  <c r="O65" i="9"/>
  <c r="O60" i="9"/>
  <c r="O102" i="9"/>
  <c r="O97" i="9"/>
  <c r="O92" i="9"/>
  <c r="O87" i="9"/>
  <c r="O82" i="9"/>
  <c r="O77" i="9"/>
  <c r="O72" i="9"/>
  <c r="O67" i="9"/>
  <c r="O62" i="9"/>
  <c r="O57" i="9"/>
  <c r="O52" i="9"/>
  <c r="O47" i="9"/>
  <c r="O42" i="9"/>
  <c r="O104" i="9"/>
  <c r="O99" i="9"/>
  <c r="O94" i="9"/>
  <c r="O89" i="9"/>
  <c r="O84" i="9"/>
  <c r="O79" i="9"/>
  <c r="O74" i="9"/>
  <c r="O69" i="9"/>
  <c r="O64" i="9"/>
  <c r="O106" i="9"/>
  <c r="O55" i="9"/>
  <c r="O44" i="9"/>
  <c r="O91" i="9"/>
  <c r="O66" i="9"/>
  <c r="O58" i="9"/>
  <c r="O51" i="9"/>
  <c r="O38" i="9"/>
  <c r="O33" i="9"/>
  <c r="O28" i="9"/>
  <c r="O23" i="9"/>
  <c r="O18" i="9"/>
  <c r="O54" i="9"/>
  <c r="O81" i="9"/>
  <c r="O101" i="9"/>
  <c r="O76" i="9"/>
  <c r="O48" i="9"/>
  <c r="O41" i="9"/>
  <c r="O36" i="9"/>
  <c r="O31" i="9"/>
  <c r="O26" i="9"/>
  <c r="U7" i="9"/>
  <c r="Q8" i="9"/>
  <c r="M9" i="9"/>
  <c r="W9" i="9"/>
  <c r="O11" i="9"/>
  <c r="U12" i="9"/>
  <c r="R13" i="9"/>
  <c r="O14" i="9"/>
  <c r="N15" i="9"/>
  <c r="O16" i="9"/>
  <c r="N17" i="9"/>
  <c r="M18" i="9"/>
  <c r="M19" i="9"/>
  <c r="M27" i="9"/>
  <c r="M28" i="9"/>
  <c r="O29" i="9"/>
  <c r="O30" i="9"/>
  <c r="R31" i="9"/>
  <c r="Q32" i="9"/>
  <c r="U33" i="9"/>
  <c r="W35" i="9"/>
  <c r="M40" i="9"/>
  <c r="T43" i="9"/>
  <c r="V44" i="9"/>
  <c r="O49" i="9"/>
  <c r="U50" i="9"/>
  <c r="W51" i="9"/>
  <c r="Q55" i="9"/>
  <c r="W57" i="9"/>
  <c r="O59" i="9"/>
  <c r="U62" i="9"/>
  <c r="T64" i="9"/>
  <c r="X68" i="9"/>
  <c r="N71" i="9"/>
  <c r="V76" i="9"/>
  <c r="V78" i="9"/>
  <c r="X80" i="9"/>
  <c r="R85" i="9"/>
  <c r="R87" i="9"/>
  <c r="X90" i="9"/>
  <c r="T99" i="9"/>
  <c r="T101" i="9"/>
  <c r="J15" i="11"/>
  <c r="K15" i="11"/>
  <c r="L15" i="11"/>
  <c r="C15" i="11"/>
  <c r="M15" i="11"/>
  <c r="D15" i="11"/>
  <c r="N15" i="11"/>
  <c r="E15" i="11"/>
  <c r="F15" i="11"/>
  <c r="G15" i="11"/>
  <c r="H15" i="11"/>
  <c r="J14" i="3" l="1"/>
  <c r="G14" i="3"/>
  <c r="C28" i="1" s="1"/>
  <c r="H14" i="3"/>
  <c r="H17" i="3" s="1"/>
  <c r="H27" i="3" s="1"/>
  <c r="O12" i="3"/>
  <c r="O43" i="4"/>
  <c r="O10" i="3"/>
  <c r="O9" i="3"/>
  <c r="O11" i="3"/>
  <c r="O8" i="3"/>
  <c r="L23" i="5"/>
  <c r="L14" i="6"/>
  <c r="K7" i="6"/>
  <c r="K17" i="3"/>
  <c r="K27" i="3" s="1"/>
  <c r="C32" i="1"/>
  <c r="M14" i="6"/>
  <c r="M23" i="5"/>
  <c r="J23" i="5"/>
  <c r="J14" i="6"/>
  <c r="E7" i="6"/>
  <c r="E17" i="3"/>
  <c r="E27" i="3" s="1"/>
  <c r="C26" i="1"/>
  <c r="C33" i="1"/>
  <c r="L7" i="6"/>
  <c r="L17" i="3"/>
  <c r="L27" i="3" s="1"/>
  <c r="N28" i="3"/>
  <c r="I28" i="3"/>
  <c r="O21" i="3"/>
  <c r="N21" i="5"/>
  <c r="O9" i="5"/>
  <c r="O42" i="4"/>
  <c r="C10" i="4"/>
  <c r="D10" i="4" s="1"/>
  <c r="E10" i="4" s="1"/>
  <c r="F10" i="4" s="1"/>
  <c r="G10" i="4" s="1"/>
  <c r="H10" i="4" s="1"/>
  <c r="I10" i="4" s="1"/>
  <c r="J10" i="4" s="1"/>
  <c r="K10" i="4" s="1"/>
  <c r="L10" i="4" s="1"/>
  <c r="M10" i="4" s="1"/>
  <c r="N10" i="4" s="1"/>
  <c r="O10" i="4" s="1"/>
  <c r="H21" i="5"/>
  <c r="D26" i="3"/>
  <c r="D28" i="3"/>
  <c r="G14" i="6"/>
  <c r="F28" i="3"/>
  <c r="C14" i="3"/>
  <c r="O7" i="3"/>
  <c r="F12" i="5"/>
  <c r="C22" i="4"/>
  <c r="D22" i="4" s="1"/>
  <c r="E22" i="4" s="1"/>
  <c r="F22" i="4" s="1"/>
  <c r="G22" i="4" s="1"/>
  <c r="H22" i="4" s="1"/>
  <c r="I22" i="4" s="1"/>
  <c r="J22" i="4" s="1"/>
  <c r="K22" i="4" s="1"/>
  <c r="L22" i="4" s="1"/>
  <c r="M22" i="4" s="1"/>
  <c r="N22" i="4" s="1"/>
  <c r="O22" i="4" s="1"/>
  <c r="O32" i="3"/>
  <c r="O45" i="4"/>
  <c r="C11" i="4"/>
  <c r="D11" i="4" s="1"/>
  <c r="E11" i="4" s="1"/>
  <c r="F11" i="4" s="1"/>
  <c r="G11" i="4" s="1"/>
  <c r="H11" i="4" s="1"/>
  <c r="I11" i="4" s="1"/>
  <c r="J11" i="4" s="1"/>
  <c r="K11" i="4" s="1"/>
  <c r="L11" i="4" s="1"/>
  <c r="M11" i="4" s="1"/>
  <c r="N11" i="4" s="1"/>
  <c r="O11" i="4" s="1"/>
  <c r="H12" i="5"/>
  <c r="O19" i="5"/>
  <c r="C28" i="4"/>
  <c r="D28" i="4" s="1"/>
  <c r="E28" i="4" s="1"/>
  <c r="F28" i="4" s="1"/>
  <c r="G28" i="4" s="1"/>
  <c r="H28" i="4" s="1"/>
  <c r="I28" i="4" s="1"/>
  <c r="J28" i="4" s="1"/>
  <c r="K28" i="4" s="1"/>
  <c r="L28" i="4" s="1"/>
  <c r="M28" i="4" s="1"/>
  <c r="N28" i="4" s="1"/>
  <c r="O28" i="4" s="1"/>
  <c r="O19" i="3"/>
  <c r="C26" i="3"/>
  <c r="N19" i="6"/>
  <c r="N21" i="6" s="1"/>
  <c r="F35" i="1"/>
  <c r="N35" i="3"/>
  <c r="I12" i="5"/>
  <c r="C14" i="4"/>
  <c r="O39" i="4"/>
  <c r="O25" i="3"/>
  <c r="K14" i="6"/>
  <c r="K23" i="5"/>
  <c r="G19" i="6"/>
  <c r="G21" i="6" s="1"/>
  <c r="G35" i="3"/>
  <c r="F28" i="1"/>
  <c r="I14" i="3"/>
  <c r="D23" i="5"/>
  <c r="D14" i="6"/>
  <c r="N12" i="5"/>
  <c r="O40" i="4"/>
  <c r="C38" i="4"/>
  <c r="J28" i="3"/>
  <c r="E28" i="3"/>
  <c r="M14" i="3"/>
  <c r="K21" i="6"/>
  <c r="C14" i="1" s="1"/>
  <c r="C12" i="1"/>
  <c r="C19" i="4"/>
  <c r="F26" i="3"/>
  <c r="L28" i="3"/>
  <c r="M28" i="3"/>
  <c r="E14" i="6"/>
  <c r="E23" i="5"/>
  <c r="C20" i="6"/>
  <c r="C21" i="6" s="1"/>
  <c r="O27" i="5"/>
  <c r="O20" i="6" s="1"/>
  <c r="D13" i="1" s="1"/>
  <c r="I35" i="3"/>
  <c r="F30" i="1"/>
  <c r="I19" i="6"/>
  <c r="I21" i="6" s="1"/>
  <c r="C18" i="6"/>
  <c r="D23" i="4"/>
  <c r="N14" i="3"/>
  <c r="O24" i="3"/>
  <c r="C28" i="3"/>
  <c r="D31" i="4"/>
  <c r="F27" i="1"/>
  <c r="F35" i="3"/>
  <c r="F19" i="6"/>
  <c r="F21" i="6" s="1"/>
  <c r="O22" i="3"/>
  <c r="O7" i="5"/>
  <c r="C12" i="5"/>
  <c r="J7" i="6"/>
  <c r="J17" i="3"/>
  <c r="J27" i="3" s="1"/>
  <c r="J29" i="3" s="1"/>
  <c r="J31" i="3" s="1"/>
  <c r="J33" i="3" s="1"/>
  <c r="C31" i="1"/>
  <c r="G28" i="3"/>
  <c r="H28" i="3"/>
  <c r="O35" i="3"/>
  <c r="O23" i="3"/>
  <c r="C15" i="5"/>
  <c r="O15" i="5" s="1"/>
  <c r="O14" i="5"/>
  <c r="I21" i="5"/>
  <c r="O41" i="4"/>
  <c r="C21" i="5"/>
  <c r="O21" i="5" s="1"/>
  <c r="K28" i="3"/>
  <c r="O13" i="3"/>
  <c r="O20" i="5"/>
  <c r="O19" i="6" s="1"/>
  <c r="O20" i="3"/>
  <c r="C20" i="4"/>
  <c r="D20" i="4" s="1"/>
  <c r="E20" i="4" s="1"/>
  <c r="F20" i="4" s="1"/>
  <c r="G20" i="4" s="1"/>
  <c r="H20" i="4" s="1"/>
  <c r="I20" i="4" s="1"/>
  <c r="J20" i="4" s="1"/>
  <c r="K20" i="4" s="1"/>
  <c r="L20" i="4" s="1"/>
  <c r="M20" i="4" s="1"/>
  <c r="N20" i="4" s="1"/>
  <c r="O20" i="4" s="1"/>
  <c r="O8" i="5"/>
  <c r="C8" i="4"/>
  <c r="F14" i="3"/>
  <c r="D14" i="3"/>
  <c r="G21" i="5"/>
  <c r="G23" i="5" s="1"/>
  <c r="C29" i="1" l="1"/>
  <c r="H7" i="6"/>
  <c r="H9" i="6" s="1"/>
  <c r="G7" i="6"/>
  <c r="G10" i="6" s="1"/>
  <c r="G17" i="3"/>
  <c r="G27" i="3" s="1"/>
  <c r="G29" i="3" s="1"/>
  <c r="G31" i="3" s="1"/>
  <c r="G33" i="3" s="1"/>
  <c r="E10" i="6"/>
  <c r="E9" i="6"/>
  <c r="E11" i="6"/>
  <c r="D18" i="6"/>
  <c r="E23" i="4"/>
  <c r="N23" i="5"/>
  <c r="N14" i="6"/>
  <c r="H14" i="6"/>
  <c r="H23" i="5"/>
  <c r="H29" i="3"/>
  <c r="H31" i="3" s="1"/>
  <c r="H33" i="3" s="1"/>
  <c r="I14" i="6"/>
  <c r="I23" i="5"/>
  <c r="N7" i="6"/>
  <c r="N17" i="3"/>
  <c r="N27" i="3" s="1"/>
  <c r="N29" i="3" s="1"/>
  <c r="N31" i="3" s="1"/>
  <c r="N33" i="3" s="1"/>
  <c r="C35" i="1"/>
  <c r="D12" i="1"/>
  <c r="O21" i="6"/>
  <c r="D14" i="1" s="1"/>
  <c r="C30" i="1"/>
  <c r="I7" i="6"/>
  <c r="I17" i="3"/>
  <c r="I27" i="3" s="1"/>
  <c r="I29" i="3" s="1"/>
  <c r="I31" i="3" s="1"/>
  <c r="I33" i="3" s="1"/>
  <c r="E31" i="4"/>
  <c r="L29" i="3"/>
  <c r="L31" i="3" s="1"/>
  <c r="L33" i="3" s="1"/>
  <c r="D19" i="4"/>
  <c r="J9" i="6"/>
  <c r="J10" i="6"/>
  <c r="J11" i="6"/>
  <c r="C34" i="1"/>
  <c r="M7" i="6"/>
  <c r="M17" i="3"/>
  <c r="M27" i="3" s="1"/>
  <c r="M29" i="3" s="1"/>
  <c r="M31" i="3" s="1"/>
  <c r="M33" i="3" s="1"/>
  <c r="F23" i="5"/>
  <c r="F14" i="6"/>
  <c r="L9" i="6"/>
  <c r="L10" i="6"/>
  <c r="L11" i="6"/>
  <c r="K29" i="3"/>
  <c r="K31" i="3" s="1"/>
  <c r="K33" i="3" s="1"/>
  <c r="D14" i="4"/>
  <c r="C16" i="4"/>
  <c r="F7" i="6"/>
  <c r="F17" i="3"/>
  <c r="F27" i="3" s="1"/>
  <c r="F29" i="3" s="1"/>
  <c r="F31" i="3" s="1"/>
  <c r="F33" i="3" s="1"/>
  <c r="C27" i="1"/>
  <c r="C23" i="5"/>
  <c r="O12" i="5"/>
  <c r="O14" i="6" s="1"/>
  <c r="D10" i="1" s="1"/>
  <c r="C14" i="6"/>
  <c r="C10" i="1" s="1"/>
  <c r="O26" i="3"/>
  <c r="K10" i="6"/>
  <c r="K9" i="6"/>
  <c r="K11" i="6"/>
  <c r="C15" i="4"/>
  <c r="D15" i="4" s="1"/>
  <c r="E15" i="4" s="1"/>
  <c r="F15" i="4" s="1"/>
  <c r="G15" i="4" s="1"/>
  <c r="H15" i="4" s="1"/>
  <c r="I15" i="4" s="1"/>
  <c r="J15" i="4" s="1"/>
  <c r="K15" i="4" s="1"/>
  <c r="L15" i="4" s="1"/>
  <c r="M15" i="4" s="1"/>
  <c r="N15" i="4" s="1"/>
  <c r="O15" i="4" s="1"/>
  <c r="O28" i="3"/>
  <c r="C24" i="1"/>
  <c r="C7" i="6"/>
  <c r="C17" i="3"/>
  <c r="O14" i="3"/>
  <c r="O7" i="6" s="1"/>
  <c r="O13" i="6" s="1"/>
  <c r="J36" i="3"/>
  <c r="D31" i="1"/>
  <c r="J8" i="6"/>
  <c r="J22" i="6" s="1"/>
  <c r="D7" i="6"/>
  <c r="D17" i="3"/>
  <c r="D27" i="3" s="1"/>
  <c r="D29" i="3" s="1"/>
  <c r="D31" i="3" s="1"/>
  <c r="D33" i="3" s="1"/>
  <c r="C25" i="1"/>
  <c r="C23" i="6"/>
  <c r="D8" i="4"/>
  <c r="C9" i="4"/>
  <c r="D38" i="4"/>
  <c r="C21" i="4"/>
  <c r="C24" i="4" s="1"/>
  <c r="H11" i="6"/>
  <c r="H10" i="6"/>
  <c r="E29" i="3"/>
  <c r="E31" i="3" s="1"/>
  <c r="E33" i="3" s="1"/>
  <c r="G9" i="6" l="1"/>
  <c r="G11" i="6"/>
  <c r="C7" i="1"/>
  <c r="C13" i="6"/>
  <c r="I36" i="3"/>
  <c r="D30" i="1"/>
  <c r="I8" i="6"/>
  <c r="I22" i="6" s="1"/>
  <c r="D29" i="1"/>
  <c r="H8" i="6"/>
  <c r="H22" i="6" s="1"/>
  <c r="H36" i="3"/>
  <c r="G36" i="3"/>
  <c r="G8" i="6"/>
  <c r="G22" i="6" s="1"/>
  <c r="D28" i="1"/>
  <c r="I9" i="6"/>
  <c r="I11" i="6"/>
  <c r="I10" i="6"/>
  <c r="E38" i="4"/>
  <c r="D21" i="4"/>
  <c r="D24" i="4" s="1"/>
  <c r="D9" i="4"/>
  <c r="D23" i="6"/>
  <c r="E8" i="4"/>
  <c r="K8" i="6"/>
  <c r="K36" i="3"/>
  <c r="D32" i="1"/>
  <c r="D7" i="1"/>
  <c r="O17" i="3"/>
  <c r="O9" i="6" s="1"/>
  <c r="C27" i="3"/>
  <c r="E18" i="6"/>
  <c r="F23" i="4"/>
  <c r="E14" i="4"/>
  <c r="D16" i="4"/>
  <c r="E36" i="3"/>
  <c r="E8" i="6"/>
  <c r="E22" i="6" s="1"/>
  <c r="D26" i="1"/>
  <c r="D36" i="3"/>
  <c r="D8" i="6"/>
  <c r="D22" i="6" s="1"/>
  <c r="D25" i="1"/>
  <c r="C9" i="6"/>
  <c r="C26" i="4"/>
  <c r="C17" i="6"/>
  <c r="N8" i="6"/>
  <c r="N22" i="6" s="1"/>
  <c r="N36" i="3"/>
  <c r="D35" i="1"/>
  <c r="E19" i="4"/>
  <c r="D11" i="6"/>
  <c r="D9" i="6"/>
  <c r="D10" i="6"/>
  <c r="O23" i="5"/>
  <c r="C25" i="5"/>
  <c r="L36" i="3"/>
  <c r="L8" i="6"/>
  <c r="L22" i="6" s="1"/>
  <c r="D33" i="1"/>
  <c r="N11" i="6"/>
  <c r="N10" i="6"/>
  <c r="N9" i="6"/>
  <c r="M8" i="6"/>
  <c r="M22" i="6" s="1"/>
  <c r="D34" i="1"/>
  <c r="M36" i="3"/>
  <c r="F31" i="4"/>
  <c r="D27" i="1"/>
  <c r="F8" i="6"/>
  <c r="F22" i="6" s="1"/>
  <c r="F36" i="3"/>
  <c r="F11" i="6"/>
  <c r="F10" i="6"/>
  <c r="F9" i="6"/>
  <c r="M11" i="6"/>
  <c r="M9" i="6"/>
  <c r="M10" i="6"/>
  <c r="F18" i="6" l="1"/>
  <c r="G23" i="4"/>
  <c r="K22" i="6"/>
  <c r="E23" i="6"/>
  <c r="F8" i="4"/>
  <c r="D26" i="4"/>
  <c r="D17" i="6"/>
  <c r="C29" i="3"/>
  <c r="C10" i="6" s="1"/>
  <c r="O27" i="3"/>
  <c r="F19" i="4"/>
  <c r="E21" i="4"/>
  <c r="E24" i="4" s="1"/>
  <c r="F38" i="4"/>
  <c r="E9" i="4"/>
  <c r="F14" i="4"/>
  <c r="E16" i="4"/>
  <c r="G31" i="4"/>
  <c r="C7" i="4"/>
  <c r="D24" i="5"/>
  <c r="D25" i="5" s="1"/>
  <c r="E24" i="1"/>
  <c r="E17" i="6" l="1"/>
  <c r="E26" i="4"/>
  <c r="H23" i="4"/>
  <c r="G18" i="6"/>
  <c r="G38" i="4"/>
  <c r="F9" i="4"/>
  <c r="F21" i="4"/>
  <c r="E24" i="5"/>
  <c r="E25" i="5" s="1"/>
  <c r="D7" i="4"/>
  <c r="E25" i="1"/>
  <c r="C31" i="3"/>
  <c r="O29" i="3"/>
  <c r="O10" i="6" s="1"/>
  <c r="H31" i="4"/>
  <c r="F16" i="4"/>
  <c r="G14" i="4"/>
  <c r="G8" i="4"/>
  <c r="F23" i="6"/>
  <c r="F24" i="4"/>
  <c r="G19" i="4"/>
  <c r="C19" i="11"/>
  <c r="C15" i="6"/>
  <c r="C12" i="4"/>
  <c r="H18" i="6" l="1"/>
  <c r="I23" i="4"/>
  <c r="F17" i="6"/>
  <c r="F26" i="4"/>
  <c r="D19" i="11"/>
  <c r="D12" i="4"/>
  <c r="D15" i="6"/>
  <c r="G23" i="6"/>
  <c r="H8" i="4"/>
  <c r="E7" i="4"/>
  <c r="E26" i="1"/>
  <c r="F24" i="5"/>
  <c r="F25" i="5" s="1"/>
  <c r="H14" i="4"/>
  <c r="G16" i="4"/>
  <c r="C17" i="4"/>
  <c r="C16" i="6"/>
  <c r="H38" i="4"/>
  <c r="G9" i="4"/>
  <c r="G21" i="4"/>
  <c r="G24" i="4" s="1"/>
  <c r="I31" i="4"/>
  <c r="H19" i="4"/>
  <c r="C33" i="3"/>
  <c r="O31" i="3"/>
  <c r="G26" i="4" l="1"/>
  <c r="G17" i="6"/>
  <c r="H23" i="6"/>
  <c r="I8" i="4"/>
  <c r="D16" i="6"/>
  <c r="D17" i="4"/>
  <c r="J23" i="4"/>
  <c r="I18" i="6"/>
  <c r="E19" i="11"/>
  <c r="E12" i="4"/>
  <c r="E15" i="6"/>
  <c r="I38" i="4"/>
  <c r="H9" i="4"/>
  <c r="H21" i="4"/>
  <c r="H24" i="4" s="1"/>
  <c r="C8" i="6"/>
  <c r="C11" i="6" s="1"/>
  <c r="C9" i="1" s="1"/>
  <c r="C36" i="3"/>
  <c r="O36" i="3" s="1"/>
  <c r="C30" i="4"/>
  <c r="D24" i="1"/>
  <c r="O33" i="3"/>
  <c r="O8" i="6" s="1"/>
  <c r="O11" i="6" s="1"/>
  <c r="D9" i="1" s="1"/>
  <c r="I19" i="4"/>
  <c r="I14" i="4"/>
  <c r="H16" i="4"/>
  <c r="G24" i="5"/>
  <c r="G25" i="5" s="1"/>
  <c r="E27" i="1"/>
  <c r="F7" i="4"/>
  <c r="J31" i="4"/>
  <c r="C22" i="6" l="1"/>
  <c r="C8" i="1"/>
  <c r="H17" i="6"/>
  <c r="H26" i="4"/>
  <c r="J19" i="4"/>
  <c r="O22" i="6"/>
  <c r="D8" i="1"/>
  <c r="K31" i="4"/>
  <c r="F19" i="11"/>
  <c r="F15" i="6"/>
  <c r="F12" i="4"/>
  <c r="D30" i="4"/>
  <c r="C32" i="4"/>
  <c r="C33" i="4" s="1"/>
  <c r="C35" i="4" s="1"/>
  <c r="C7" i="11" s="1"/>
  <c r="I16" i="4"/>
  <c r="J14" i="4"/>
  <c r="I23" i="6"/>
  <c r="J8" i="4"/>
  <c r="J18" i="6"/>
  <c r="K23" i="4"/>
  <c r="H24" i="5"/>
  <c r="H25" i="5" s="1"/>
  <c r="E28" i="1"/>
  <c r="G7" i="4"/>
  <c r="J38" i="4"/>
  <c r="I21" i="4"/>
  <c r="I24" i="4" s="1"/>
  <c r="I9" i="4"/>
  <c r="E16" i="6"/>
  <c r="E17" i="4"/>
  <c r="I26" i="4" l="1"/>
  <c r="I17" i="6"/>
  <c r="L23" i="4"/>
  <c r="K18" i="6"/>
  <c r="C15" i="1" s="1"/>
  <c r="K38" i="4"/>
  <c r="J9" i="4"/>
  <c r="J21" i="4"/>
  <c r="J24" i="4" s="1"/>
  <c r="L31" i="4"/>
  <c r="K8" i="4"/>
  <c r="J23" i="6"/>
  <c r="J16" i="4"/>
  <c r="K14" i="4"/>
  <c r="K19" i="4"/>
  <c r="G19" i="11"/>
  <c r="G12" i="4"/>
  <c r="G15" i="6"/>
  <c r="E30" i="4"/>
  <c r="D32" i="4"/>
  <c r="D33" i="4" s="1"/>
  <c r="D35" i="4" s="1"/>
  <c r="D7" i="11" s="1"/>
  <c r="F17" i="4"/>
  <c r="F16" i="6"/>
  <c r="I24" i="5"/>
  <c r="I25" i="5" s="1"/>
  <c r="E29" i="1"/>
  <c r="H7" i="4"/>
  <c r="J17" i="6" l="1"/>
  <c r="J26" i="4"/>
  <c r="L19" i="4"/>
  <c r="J24" i="5"/>
  <c r="J25" i="5" s="1"/>
  <c r="E30" i="1"/>
  <c r="I7" i="4"/>
  <c r="L14" i="4"/>
  <c r="K16" i="4"/>
  <c r="L18" i="6"/>
  <c r="M23" i="4"/>
  <c r="G16" i="6"/>
  <c r="G17" i="4"/>
  <c r="M31" i="4"/>
  <c r="H19" i="11"/>
  <c r="H12" i="4"/>
  <c r="H15" i="6"/>
  <c r="K21" i="4"/>
  <c r="K24" i="4" s="1"/>
  <c r="K9" i="4"/>
  <c r="L38" i="4"/>
  <c r="L8" i="4"/>
  <c r="K23" i="6"/>
  <c r="C16" i="1" s="1"/>
  <c r="F30" i="4"/>
  <c r="E32" i="4"/>
  <c r="E33" i="4" s="1"/>
  <c r="E35" i="4" s="1"/>
  <c r="E7" i="11" s="1"/>
  <c r="K17" i="6" l="1"/>
  <c r="K26" i="4"/>
  <c r="H17" i="4"/>
  <c r="H16" i="6"/>
  <c r="L23" i="6"/>
  <c r="M8" i="4"/>
  <c r="M19" i="4"/>
  <c r="L16" i="4"/>
  <c r="M14" i="4"/>
  <c r="I19" i="11"/>
  <c r="I15" i="6"/>
  <c r="I12" i="4"/>
  <c r="N31" i="4"/>
  <c r="G30" i="4"/>
  <c r="F32" i="4"/>
  <c r="F33" i="4" s="1"/>
  <c r="F35" i="4" s="1"/>
  <c r="F7" i="11" s="1"/>
  <c r="J7" i="4"/>
  <c r="E31" i="1"/>
  <c r="K24" i="5"/>
  <c r="K25" i="5" s="1"/>
  <c r="L9" i="4"/>
  <c r="L21" i="4"/>
  <c r="L24" i="4" s="1"/>
  <c r="M38" i="4"/>
  <c r="M18" i="6"/>
  <c r="N23" i="4"/>
  <c r="L24" i="5" l="1"/>
  <c r="L25" i="5" s="1"/>
  <c r="K7" i="4"/>
  <c r="E32" i="1"/>
  <c r="N14" i="4"/>
  <c r="M16" i="4"/>
  <c r="L17" i="6"/>
  <c r="L26" i="4"/>
  <c r="M21" i="4"/>
  <c r="M24" i="4" s="1"/>
  <c r="N38" i="4"/>
  <c r="M9" i="4"/>
  <c r="J19" i="11"/>
  <c r="J15" i="6"/>
  <c r="J12" i="4"/>
  <c r="N19" i="4"/>
  <c r="H30" i="4"/>
  <c r="G32" i="4"/>
  <c r="G33" i="4" s="1"/>
  <c r="G35" i="4" s="1"/>
  <c r="G7" i="11" s="1"/>
  <c r="O31" i="4"/>
  <c r="O18" i="6"/>
  <c r="D15" i="1" s="1"/>
  <c r="O23" i="4"/>
  <c r="N18" i="6"/>
  <c r="N8" i="4"/>
  <c r="M23" i="6"/>
  <c r="I16" i="6"/>
  <c r="I17" i="4"/>
  <c r="M17" i="6" l="1"/>
  <c r="M26" i="4"/>
  <c r="I30" i="4"/>
  <c r="H32" i="4"/>
  <c r="H33" i="4" s="1"/>
  <c r="H35" i="4" s="1"/>
  <c r="H7" i="11" s="1"/>
  <c r="N23" i="6"/>
  <c r="O8" i="4"/>
  <c r="O23" i="6"/>
  <c r="D16" i="1" s="1"/>
  <c r="J16" i="6"/>
  <c r="J17" i="4"/>
  <c r="O19" i="4"/>
  <c r="K19" i="11"/>
  <c r="K15" i="6"/>
  <c r="C11" i="1" s="1"/>
  <c r="K12" i="4"/>
  <c r="O38" i="4"/>
  <c r="N21" i="4"/>
  <c r="O21" i="4" s="1"/>
  <c r="N9" i="4"/>
  <c r="O9" i="4" s="1"/>
  <c r="N16" i="4"/>
  <c r="O16" i="4" s="1"/>
  <c r="O14" i="4"/>
  <c r="L7" i="4"/>
  <c r="M24" i="5"/>
  <c r="M25" i="5" s="1"/>
  <c r="E33" i="1"/>
  <c r="K17" i="4" l="1"/>
  <c r="K16" i="6"/>
  <c r="E34" i="1"/>
  <c r="M7" i="4"/>
  <c r="N24" i="5"/>
  <c r="N25" i="5" s="1"/>
  <c r="J30" i="4"/>
  <c r="I32" i="4"/>
  <c r="I33" i="4" s="1"/>
  <c r="I35" i="4" s="1"/>
  <c r="I7" i="11" s="1"/>
  <c r="L19" i="11"/>
  <c r="L15" i="6"/>
  <c r="L12" i="4"/>
  <c r="N24" i="4"/>
  <c r="N7" i="4" l="1"/>
  <c r="E35" i="1"/>
  <c r="O25" i="5"/>
  <c r="M19" i="11"/>
  <c r="M15" i="6"/>
  <c r="M12" i="4"/>
  <c r="K30" i="4"/>
  <c r="J32" i="4"/>
  <c r="J33" i="4" s="1"/>
  <c r="J35" i="4" s="1"/>
  <c r="J7" i="11" s="1"/>
  <c r="O24" i="4"/>
  <c r="N17" i="6"/>
  <c r="N26" i="4"/>
  <c r="O17" i="6"/>
  <c r="L16" i="6"/>
  <c r="L17" i="4"/>
  <c r="M17" i="4" l="1"/>
  <c r="M16" i="6"/>
  <c r="L30" i="4"/>
  <c r="K32" i="4"/>
  <c r="K33" i="4" s="1"/>
  <c r="K35" i="4" s="1"/>
  <c r="K7" i="11" s="1"/>
  <c r="O26" i="4"/>
  <c r="N19" i="11"/>
  <c r="N12" i="4"/>
  <c r="O7" i="4"/>
  <c r="O15" i="6"/>
  <c r="D11" i="1" s="1"/>
  <c r="N15" i="6"/>
  <c r="O12" i="4" l="1"/>
  <c r="O16" i="6"/>
  <c r="N16" i="6"/>
  <c r="N17" i="4"/>
  <c r="M30" i="4"/>
  <c r="L32" i="4"/>
  <c r="L33" i="4" s="1"/>
  <c r="L35" i="4" s="1"/>
  <c r="L7" i="11" s="1"/>
  <c r="N30" i="4" l="1"/>
  <c r="M32" i="4"/>
  <c r="M33" i="4" s="1"/>
  <c r="M35" i="4" s="1"/>
  <c r="M7" i="11" s="1"/>
  <c r="O17" i="4"/>
  <c r="O30" i="4" l="1"/>
  <c r="N32" i="4"/>
  <c r="O32" i="4" l="1"/>
  <c r="N33" i="4"/>
  <c r="O33" i="4" l="1"/>
  <c r="N35" i="4"/>
  <c r="N7" i="11" l="1"/>
  <c r="O35" i="4"/>
</calcChain>
</file>

<file path=xl/sharedStrings.xml><?xml version="1.0" encoding="utf-8"?>
<sst xmlns="http://schemas.openxmlformats.org/spreadsheetml/2006/main" count="353" uniqueCount="287">
  <si>
    <t>Neurolumens · Dashboard mensual</t>
  </si>
  <si>
    <t>Mes seleccionado</t>
  </si>
  <si>
    <t>Indicador</t>
  </si>
  <si>
    <t>Mes</t>
  </si>
  <si>
    <t>Año completo</t>
  </si>
  <si>
    <t>Ingresos por servicios</t>
  </si>
  <si>
    <t>Utilidad neta</t>
  </si>
  <si>
    <t>Margen neto</t>
  </si>
  <si>
    <t>Flujo operativo</t>
  </si>
  <si>
    <t>Efectivo al cierre</t>
  </si>
  <si>
    <t>Retiros familiares</t>
  </si>
  <si>
    <t>Remuneraciones familiares pagadas</t>
  </si>
  <si>
    <t>Salida total a la familia</t>
  </si>
  <si>
    <t>Deuda financiera</t>
  </si>
  <si>
    <t>Cuentas por cobrar</t>
  </si>
  <si>
    <t>Empieza en Instrucciones y Configuración. Captura en amarillo; fórmulas en blanco.</t>
  </si>
  <si>
    <t>Los importes en cero no prueban que el mes esté completo. Revisa Control antes de cerrar.</t>
  </si>
  <si>
    <t>Ingresos</t>
  </si>
  <si>
    <t>Efectivo final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</si>
  <si>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</si>
  <si>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</si>
  <si>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</si>
  <si>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</si>
  <si>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</si>
  <si>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</si>
  <si>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</si>
  <si>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</si>
  <si>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</si>
  <si>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</si>
  <si>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</si>
  <si>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</si>
  <si>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Configuración</t>
  </si>
  <si>
    <t>Año de captura</t>
  </si>
  <si>
    <t>Mes del dashboard (1–12)</t>
  </si>
  <si>
    <t>Saldos al 31 de diciembre anterior</t>
  </si>
  <si>
    <t>Efectivo y bancos iniciales</t>
  </si>
  <si>
    <t>Activos iniciales: captúralos en Activos con fecha de compra anterior al año.</t>
  </si>
  <si>
    <t>Cuentas por cobrar iniciales</t>
  </si>
  <si>
    <t>IVA recuperable inicial</t>
  </si>
  <si>
    <t>Deudas iniciales: usa Saldo inicial en Pasivos, con fecha 31/12 del año anterior.</t>
  </si>
  <si>
    <t>Retenciones ISR a favor iniciales</t>
  </si>
  <si>
    <t>Retenciones IVA a favor iniciales</t>
  </si>
  <si>
    <t>Capital y resultados: captura saldos reales. No se calculan para forzar el balance.</t>
  </si>
  <si>
    <t>Cuentas por pagar iniciales</t>
  </si>
  <si>
    <t>Anticipos de pacientes iniciales</t>
  </si>
  <si>
    <t>Un archivo por año. Para un año nuevo, usa una copia y traslada los saldos de cierre.</t>
  </si>
  <si>
    <t>IVA por pagar inicial</t>
  </si>
  <si>
    <t>ISR por pagar inicial</t>
  </si>
  <si>
    <t>Ceros iniciales son campos por completar; no son cifras reales de Neurolumens.</t>
  </si>
  <si>
    <t>Capital / aportaciones iniciales</t>
  </si>
  <si>
    <t>Resultados acumulados iniciales</t>
  </si>
  <si>
    <t>Estado de Resultados</t>
  </si>
  <si>
    <t>MXN · enero a diciembre</t>
  </si>
  <si>
    <t>Concepto</t>
  </si>
  <si>
    <t>Total anual</t>
  </si>
  <si>
    <t>TMS</t>
  </si>
  <si>
    <t>Valoración</t>
  </si>
  <si>
    <t>EEG</t>
  </si>
  <si>
    <t>Neurofeedback</t>
  </si>
  <si>
    <t>Fotobiomodulación</t>
  </si>
  <si>
    <t>Psicoterapia</t>
  </si>
  <si>
    <t>Otros</t>
  </si>
  <si>
    <t>Costos clínicos</t>
  </si>
  <si>
    <t>Utilidad bruta</t>
  </si>
  <si>
    <t>Remuneración familiar por trabajo</t>
  </si>
  <si>
    <t>Nómina y honorarios</t>
  </si>
  <si>
    <t>Renta</t>
  </si>
  <si>
    <t>Marketing</t>
  </si>
  <si>
    <t>Servicios y software</t>
  </si>
  <si>
    <t>Mantenimiento</t>
  </si>
  <si>
    <t>Otros gastos operativos</t>
  </si>
  <si>
    <t>Gastos operativos</t>
  </si>
  <si>
    <t>Resultado antes de depreciación</t>
  </si>
  <si>
    <t>Depreciación contable</t>
  </si>
  <si>
    <t>Utilidad operativa</t>
  </si>
  <si>
    <t>Intereses</t>
  </si>
  <si>
    <t>Utilidad antes de ISR</t>
  </si>
  <si>
    <t>ISR devengado (capturado)</t>
  </si>
  <si>
    <t>Retiros familiares (fuera de gastos)</t>
  </si>
  <si>
    <t>Utilidad menos retiros*</t>
  </si>
  <si>
    <t>*No equivale al efectivo disponible.</t>
  </si>
  <si>
    <t>Balance General</t>
  </si>
  <si>
    <t>Cierre anual</t>
  </si>
  <si>
    <t>Efectivo y bancos</t>
  </si>
  <si>
    <t>IVA neto a favor</t>
  </si>
  <si>
    <t>Retenciones ISR a favor</t>
  </si>
  <si>
    <t>Retenciones IVA a favor</t>
  </si>
  <si>
    <t>Activo circulante</t>
  </si>
  <si>
    <t>Activos fijos a costo</t>
  </si>
  <si>
    <t>Depreciación acumulada</t>
  </si>
  <si>
    <t>Activos fijos netos</t>
  </si>
  <si>
    <t>Total activo</t>
  </si>
  <si>
    <t>Proveedores y otras cuentas por pagar</t>
  </si>
  <si>
    <t>Anticipos de pacientes</t>
  </si>
  <si>
    <t>IVA neto por pagar</t>
  </si>
  <si>
    <t>ISR por pagar</t>
  </si>
  <si>
    <t>Préstamos a corto plazo</t>
  </si>
  <si>
    <t>Pasivo circulante</t>
  </si>
  <si>
    <t>Préstamos a largo plazo</t>
  </si>
  <si>
    <t>Total pasivo</t>
  </si>
  <si>
    <t>Capital y aportaciones</t>
  </si>
  <si>
    <t>Resultados acumulados</t>
  </si>
  <si>
    <t>Resultado del ejercicio acumulado</t>
  </si>
  <si>
    <t>Retiros acumulados (restan)</t>
  </si>
  <si>
    <t>Patrimonio</t>
  </si>
  <si>
    <t>Pasivo más patrimonio</t>
  </si>
  <si>
    <t>Diferencia de balance</t>
  </si>
  <si>
    <t>Cálculos de apoyo</t>
  </si>
  <si>
    <t>IVA neto: positivo por pagar</t>
  </si>
  <si>
    <t>Altas de activos (costo)</t>
  </si>
  <si>
    <t>IVA recuperable de activos</t>
  </si>
  <si>
    <t>Aplicación de anticipos</t>
  </si>
  <si>
    <t>Retenciones ISR del mes</t>
  </si>
  <si>
    <t>Retenciones IVA del mes</t>
  </si>
  <si>
    <t>Compensación ISR del mes</t>
  </si>
  <si>
    <t>Compensación IVA del mes</t>
  </si>
  <si>
    <t>Flujo de Efectivo</t>
  </si>
  <si>
    <t>Cobros de servicios</t>
  </si>
  <si>
    <t>Anticipos recibidos</t>
  </si>
  <si>
    <t>Pagos a proveedores y personal</t>
  </si>
  <si>
    <t>ISR pagado</t>
  </si>
  <si>
    <t>IVA pagado</t>
  </si>
  <si>
    <t>Pagos de activos</t>
  </si>
  <si>
    <t>Flujo de inversión</t>
  </si>
  <si>
    <t>Préstamos recibidos</t>
  </si>
  <si>
    <t>Amortización de capital</t>
  </si>
  <si>
    <t>Aportaciones familiares / socios</t>
  </si>
  <si>
    <t>Retiros familiares / distribuciones</t>
  </si>
  <si>
    <t>Flujo de financiamiento</t>
  </si>
  <si>
    <t>Cambio neto de efectivo</t>
  </si>
  <si>
    <t>Efectivo inicial</t>
  </si>
  <si>
    <t>Remuneraciones familiares pagadas*</t>
  </si>
  <si>
    <t>*Parte de pagos a proveedores; no sumar de nuevo.</t>
  </si>
  <si>
    <t>KPIs</t>
  </si>
  <si>
    <t>Margen bruto</t>
  </si>
  <si>
    <t>Margen operativo</t>
  </si>
  <si>
    <t>Sesiones prestadas</t>
  </si>
  <si>
    <t>Ingreso por sesión (MXN)</t>
  </si>
  <si>
    <t>Capital de trabajo</t>
  </si>
  <si>
    <t>Razón circulante</t>
  </si>
  <si>
    <t>Retiros / utilidad neta positiva</t>
  </si>
  <si>
    <t>Saldo de cuentas por cobrar</t>
  </si>
  <si>
    <t>n.d. = sin denominador válido. Razones anuales recalculadas; saldos anuales son de diciembre.</t>
  </si>
  <si>
    <t>Ingreso por sesión requiere capturar todas las sesiones prestadas, incluidas las de paquetes.</t>
  </si>
  <si>
    <t>Servicio reconoce la venta. Cobro registra el banco. Captura ambos aunque ocurran el mismo día.</t>
  </si>
  <si>
    <t>ID único</t>
  </si>
  <si>
    <t>Fecha</t>
  </si>
  <si>
    <t>Tipo de registro</t>
  </si>
  <si>
    <t>Folio relacionado</t>
  </si>
  <si>
    <t>Paciente (alias)</t>
  </si>
  <si>
    <t>Servicio</t>
  </si>
  <si>
    <t>Base / importe</t>
  </si>
  <si>
    <t>IVA trasladado</t>
  </si>
  <si>
    <t>Nota</t>
  </si>
  <si>
    <t>Total</t>
  </si>
  <si>
    <t>Revisión</t>
  </si>
  <si>
    <t>Gastos</t>
  </si>
  <si>
    <t>Gasto reconoce el consumo. Pago proveedor registra el banco. Retiros y aportaciones van por separado.</t>
  </si>
  <si>
    <t>Categoría</t>
  </si>
  <si>
    <t>Beneficiario</t>
  </si>
  <si>
    <t>¿Es familiar?</t>
  </si>
  <si>
    <t>IVA recuperable</t>
  </si>
  <si>
    <t>Activos</t>
  </si>
  <si>
    <t>Una fila por equipo. Depreciación lineal contable desde el mes de puesta en uso. Pagos: Gastos, tipo Pago activo.</t>
  </si>
  <si>
    <t>ID activo</t>
  </si>
  <si>
    <t>Descripción</t>
  </si>
  <si>
    <t>Fecha compra</t>
  </si>
  <si>
    <t>En uso desde</t>
  </si>
  <si>
    <t>Costo capitalizado</t>
  </si>
  <si>
    <t>Residual</t>
  </si>
  <si>
    <t>Vida útil (meses)</t>
  </si>
  <si>
    <t>Dep. inicial</t>
  </si>
  <si>
    <t>Dep. mensual</t>
  </si>
  <si>
    <t>Dep. 1</t>
  </si>
  <si>
    <t>Dep. 2</t>
  </si>
  <si>
    <t>Dep. 3</t>
  </si>
  <si>
    <t>Dep. 4</t>
  </si>
  <si>
    <t>Dep. 5</t>
  </si>
  <si>
    <t>Dep. 6</t>
  </si>
  <si>
    <t>Dep. 7</t>
  </si>
  <si>
    <t>Dep. 8</t>
  </si>
  <si>
    <t>Dep. 9</t>
  </si>
  <si>
    <t>Dep. 10</t>
  </si>
  <si>
    <t>Dep. 11</t>
  </si>
  <si>
    <t>Dep. 12</t>
  </si>
  <si>
    <t>Pasivos</t>
  </si>
  <si>
    <t>Solo capital de préstamos. Los intereses se registran como Gasto y Pago proveedor en Gastos.</t>
  </si>
  <si>
    <t>Tipo</t>
  </si>
  <si>
    <t>ID deuda</t>
  </si>
  <si>
    <t>Acreedor</t>
  </si>
  <si>
    <t>Clasificación</t>
  </si>
  <si>
    <t>Capital / importe</t>
  </si>
  <si>
    <t>Control</t>
  </si>
  <si>
    <t>Diferencia del balance</t>
  </si>
  <si>
    <t>Efectivo: cálculo menos banco real</t>
  </si>
  <si>
    <t>Saldo real de bancos y caja</t>
  </si>
  <si>
    <t>¿Captura mensual completa?</t>
  </si>
  <si>
    <t>Pendiente</t>
  </si>
  <si>
    <t>Errores en Ingresos</t>
  </si>
  <si>
    <t>Errores en Gastos</t>
  </si>
  <si>
    <t>Errores en Activos</t>
  </si>
  <si>
    <t>Errores en Pasivos</t>
  </si>
  <si>
    <t>Diferencia de apertura</t>
  </si>
  <si>
    <t>Revisa saldos negativos</t>
  </si>
  <si>
    <t>Estado de revisión mensual</t>
  </si>
  <si>
    <t>Conciliado exige: captura confirmada, banco real, apertura cuadrada y ausencia de alertas.</t>
  </si>
  <si>
    <t>Instrucciones</t>
  </si>
  <si>
    <t>Inicio</t>
  </si>
  <si>
    <t>1. Define el año y el mes en Configuración. Este archivo inicia en blanco: no incluye estimaciones de ventas ni gastos.</t>
  </si>
  <si>
    <t>Saldos de apertura</t>
  </si>
  <si>
    <t>2. Captura saldos al 31/12 anterior, incluso si empiezas a reconstruir el año a mitad de ejercicio. Reúne bancos, cartera, deudas y patrimonio.</t>
  </si>
  <si>
    <t>Activos existentes</t>
  </si>
  <si>
    <t>3. Registra equipos en Activos con costo histórico, residual, vida útil total, fecha de uso y depreciación acumulada al inicio del año.</t>
  </si>
  <si>
    <t>Préstamos existentes</t>
  </si>
  <si>
    <t>4. En Pasivos, usa Saldo inicial con fecha 31/12 anterior. Registra únicamente deudas de Neurolumens, no deudas personales ajenas al negocio.</t>
  </si>
  <si>
    <t>Captura diaria</t>
  </si>
  <si>
    <t>5. Llena solo celdas amarillas. Usa fechas reales, importes positivos, IDs únicos y las listas desplegables. No sustituyas las fórmulas.</t>
  </si>
  <si>
    <t>Una operación, dos momentos</t>
  </si>
  <si>
    <t>Un servicio vendido se registra como Servicio y su cobro como Cobro, en filas distintas. Un gasto y su pago también requieren dos filas.</t>
  </si>
  <si>
    <t>Ejemplo de venta</t>
  </si>
  <si>
    <t>Servicio: base 1,000 y el IVA que corresponda. Cobro: importe total recibido en Base / importe, IVA vacío. Relaciona ambos con el mismo folio.</t>
  </si>
  <si>
    <t>Cobros parciales</t>
  </si>
  <si>
    <t>Registra cada abono en una nueva fila Cobro con su fecha e importe; no repitas el Servicio. Aplica también a pagos parciales de proveedores.</t>
  </si>
  <si>
    <t>Paquetes y anticipos</t>
  </si>
  <si>
    <t>Al recibir dinero antes del servicio, usa Anticipo. Al prestar el servicio, registra Servicio y Aplicación anticipo por el importe aplicado.</t>
  </si>
  <si>
    <t>Aplicación de anticipo</t>
  </si>
  <si>
    <t>La aplicación no mueve banco: reduce el anticipo y la cuenta por cobrar. No registres otro Cobro por la misma aplicación.</t>
  </si>
  <si>
    <t>Sesiones</t>
  </si>
  <si>
    <t>En Servicio, captura las sesiones realmente prestadas. Para paquetes, distribuye ingreso y sesiones entre los meses en que se prestan.</t>
  </si>
  <si>
    <t>Retenciones de clientes</t>
  </si>
  <si>
    <t>Registra Cobro por lo que entró al banco. Registra Retención ISR y Retención IVA en filas separadas por sus importes, con el mismo folio.</t>
  </si>
  <si>
    <t>Gastos e IVA</t>
  </si>
  <si>
    <t>En Gasto, Base / importe contiene el gasto más IVA no recuperable. IVA recuperable contiene solo el monto recuperable confirmado por el contador.</t>
  </si>
  <si>
    <t>Pago de proveedores</t>
  </si>
  <si>
    <t>Pago proveedor lleva el total pagado en Base / importe e IVA vacío. Incluye categoría y ¿Es familiar? para identificar pagos a la familia.</t>
  </si>
  <si>
    <t>Trabajo de familiares</t>
  </si>
  <si>
    <t>Usa Gasto / Remuneración familiar para trabajo real y documentado; registra su pago como Pago proveedor y marca Sí en ¿Es familiar?.</t>
  </si>
  <si>
    <t>Dinero para gastos personales: usa Retiro familiar. Reduce caja y patrimonio; no reduce la utilidad operativa ni se presupone deducible.</t>
  </si>
  <si>
    <t>Aportaciones</t>
  </si>
  <si>
    <t>Dinero propio ingresado al negocio: usa Aportación. Aumenta caja y patrimonio. No es ingreso por servicios.</t>
  </si>
  <si>
    <t>Equipo nuevo</t>
  </si>
  <si>
    <t>Registra la compra en Activos; genera activo y cuenta por pagar. Registra su desembolso en Gastos como Pago activo, no como Gasto.</t>
  </si>
  <si>
    <t>Depreciación</t>
  </si>
  <si>
    <t>Método lineal contable, mes completo desde puesta en uso; se detiene al valor residual. Captura vida útil en meses, no una tasa fiscal.</t>
  </si>
  <si>
    <t>Capital de deuda</t>
  </si>
  <si>
    <t>En Pasivos, Desembolso aumenta banco y deuda; Amortización disminuye ambos. Intereses van en Gastos, categoría Intereses, y su pago aparte.</t>
  </si>
  <si>
    <t>Corto y largo plazo</t>
  </si>
  <si>
    <t>Clasifica deuda según su vencimiento. Reclasificar a CP mueve capital desde LP a CP; Reclasificar a LP hace lo contrario, sin tocar efectivo.</t>
  </si>
  <si>
    <t>ISR</t>
  </si>
  <si>
    <t>Captura ISR devengado cuando el contador determine el gasto y Pago ISR cuando salga dinero. No se calcula RESICO ni ISR de sociedad automáticamente.</t>
  </si>
  <si>
    <t>IVA y compensaciones</t>
  </si>
  <si>
    <t>Pago IVA reduce banco y el saldo neto de IVA. Compensación ISR o IVA aplica retenciones registradas a la obligación respectiva, sin mover banco.</t>
  </si>
  <si>
    <t>Alcance fiscal</t>
  </si>
  <si>
    <t>IVA y retenciones son saldos de control contable. La exigibilidad fiscal y aplicación de saldos se validan aparte; este archivo no prepara declaraciones.</t>
  </si>
  <si>
    <t>Cierre mensual</t>
  </si>
  <si>
    <t>6. Revisa cada columna Revisión. En Control, captura el saldo real de bancos más caja y confirma la captura completa. Investiga toda diferencia.</t>
  </si>
  <si>
    <t>Lectura de reportes</t>
  </si>
  <si>
    <t>Resultados = ingresos menos costos del periodo. Balance = recursos, obligaciones y patrimonio al cierre. Flujo = entradas y salidas reales de dinero.</t>
  </si>
  <si>
    <t>Mes y año</t>
  </si>
  <si>
    <t>Dashboard usa el mes de Configuración. Los reportes muestran 12 meses y año completo; los saldos anuales son diciembre y las razones se recalculan.</t>
  </si>
  <si>
    <t>Año nuevo</t>
  </si>
  <si>
    <t>Guarda el año cerrado. En una copia limpia cambia el año, traslada saldos finales a apertura y actualiza depreciación inicial; no mezcles dos años.</t>
  </si>
  <si>
    <t>Capacidad de captura</t>
  </si>
  <si>
    <t>2,000 filas en Ingresos y Gastos, 100 activos y 500 registros de deuda. Todos los reportes incluyen hasta esas filas; no captures debajo del límite.</t>
  </si>
  <si>
    <t>Documentos y privacidad</t>
  </si>
  <si>
    <t>Usa folios para rastrear facturas y pagos. En Paciente usa un alias o código; no hace falta registrar información clínica.</t>
  </si>
  <si>
    <t>Límites del modelo</t>
  </si>
  <si>
    <t>Servicios y equipo, sin inventarios, bajas/ventas de activos, arrendamientos contables ni ajustes generales. Esos casos requieren ampliar el modelo.</t>
  </si>
  <si>
    <t>Nómina y otras retenciones</t>
  </si>
  <si>
    <t>Captura el costo total y pagos asociados conciliados con el contador. Si quedan retenciones de nómina pendientes, hay que agregar su cuenta específica.</t>
  </si>
  <si>
    <t>Correcciones</t>
  </si>
  <si>
    <t>Corrige el registro original antes del cierre; no uses importes negativos. Conserva el soporte del cambio y vuelve a conciliar.</t>
  </si>
  <si>
    <t>Cartera y proveedores</t>
  </si>
  <si>
    <t>El balance presenta saldos agregados. Filtra por folio para revisar pendientes y evita compensar saldos de distintos pacientes o proveedores.</t>
  </si>
  <si>
    <t>Para empezar</t>
  </si>
  <si>
    <t>Reconstruye enero y sus saldos iniciales. Continúa mes a mes; marcar un mes completo es responsabilidad de quien captura.</t>
  </si>
  <si>
    <t>V001</t>
  </si>
  <si>
    <t>C130</t>
  </si>
  <si>
    <t>No notes</t>
  </si>
  <si>
    <t>Ing-001</t>
  </si>
  <si>
    <t>Ing-002</t>
  </si>
  <si>
    <t>Cobro</t>
  </si>
  <si>
    <t>Ing-003</t>
  </si>
  <si>
    <t>V002</t>
  </si>
  <si>
    <t>C126</t>
  </si>
  <si>
    <t>Ing-004</t>
  </si>
  <si>
    <t>v002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</si>
</sst>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&quot;$&quot;#,##0.00;\(&quot;$&quot;#,##0.00\);&quot;–&quot;"/>
    <numFmt numFmtId="165" formatCode="dd/mm/yyyy"/>
    <numFmt numFmtId="166" formatCode="0.00;[Red]\(0.00\);0.00"/>
    <numFmt numFmtId="167" formatCode="0.0%"/>
    <numFmt numFmtId="168" formatCode="0.00&quot;x&quot;"/>
    <numFmt numFmtId="170" formatCode="[$-80A]mmm\-yy"/>
    <numFmt numFmtId="171" formatCode="[$-80A]mmmm\ yyyy"/>
  </numFmts>
  <fonts count="9">
    <font>
      <sz val="11"/>
      <name val="Carlito"/>
    </font>
    <font>
      <sz val="10"/>
      <color rgb="FF18364A"/>
      <name val="Arial"/>
    </font>
    <font>
      <b/>
      <sz val="16"/>
      <color rgb="FF18364A"/>
      <name val="Arial"/>
    </font>
    <font>
      <sz val="10"/>
      <color rgb="FF1758B0"/>
      <name val="Arial"/>
    </font>
    <font>
      <b/>
      <sz val="10"/>
      <color rgb="FFFFFFFF"/>
      <name val="Arial"/>
    </font>
    <font>
      <b/>
      <sz val="11"/>
      <color rgb="FFFFFFFF"/>
      <name val="Carlito"/>
    </font>
    <font>
      <b/>
      <sz val="10"/>
      <color rgb="FF18364A"/>
      <name val="Arial"/>
    </font>
    <font>
      <b/>
      <sz val="11"/>
      <name val="Carlito"/>
    </font>
    <font>
      <sz val="10"/>
      <color rgb="FF1758B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4D8"/>
      </patternFill>
    </fill>
    <fill>
      <patternFill patternType="solid">
        <fgColor rgb="FF18364A"/>
      </patternFill>
    </fill>
    <fill>
      <patternFill patternType="solid">
        <fgColor rgb="FFE8F1F3"/>
      </patternFill>
    </fill>
    <fill>
      <patternFill patternType="solid">
        <fgColor rgb="FFF2F6F8"/>
      </patternFill>
    </fill>
  </fills>
  <borders count="2">
    <border>
      <left/>
      <right/>
      <top/>
      <bottom/>
      <diagonal/>
    </border>
    <border>
      <left/>
      <right/>
      <top/>
      <bottom style="thin">
        <color rgb="FF187D87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164" fontId="3" fillId="2" borderId="0" xfId="0" applyNumberFormat="1" applyFont="1" applyFill="1"/>
    <xf numFmtId="0" fontId="4" fillId="3" borderId="0" xfId="0" applyFont="1" applyFill="1"/>
    <xf numFmtId="0" fontId="4" fillId="3" borderId="0" xfId="0" applyFont="1" applyFill="1" applyAlignment="1">
      <alignment wrapText="1"/>
    </xf>
    <xf numFmtId="165" fontId="3" fillId="2" borderId="0" xfId="0" applyNumberFormat="1" applyFont="1" applyFill="1"/>
    <xf numFmtId="164" fontId="1" fillId="0" borderId="0" xfId="0" applyNumberFormat="1" applyFont="1"/>
    <xf numFmtId="17" fontId="1" fillId="0" borderId="0" xfId="0" applyNumberFormat="1" applyFont="1"/>
    <xf numFmtId="0" fontId="5" fillId="3" borderId="0" xfId="0" applyFont="1" applyFill="1"/>
    <xf numFmtId="164" fontId="0" fillId="0" borderId="0" xfId="0" applyNumberFormat="1"/>
    <xf numFmtId="0" fontId="6" fillId="4" borderId="1" xfId="0" applyFont="1" applyFill="1" applyBorder="1"/>
    <xf numFmtId="164" fontId="6" fillId="4" borderId="1" xfId="0" applyNumberFormat="1" applyFont="1" applyFill="1" applyBorder="1"/>
    <xf numFmtId="164" fontId="7" fillId="4" borderId="1" xfId="0" applyNumberFormat="1" applyFont="1" applyFill="1" applyBorder="1"/>
    <xf numFmtId="164" fontId="4" fillId="3" borderId="0" xfId="0" applyNumberFormat="1" applyFont="1" applyFill="1"/>
    <xf numFmtId="164" fontId="5" fillId="3" borderId="0" xfId="0" applyNumberFormat="1" applyFont="1" applyFill="1"/>
    <xf numFmtId="166" fontId="6" fillId="4" borderId="1" xfId="0" applyNumberFormat="1" applyFont="1" applyFill="1" applyBorder="1"/>
    <xf numFmtId="166" fontId="7" fillId="4" borderId="1" xfId="0" applyNumberFormat="1" applyFont="1" applyFill="1" applyBorder="1"/>
    <xf numFmtId="167" fontId="1" fillId="0" borderId="0" xfId="0" applyNumberFormat="1" applyFont="1"/>
    <xf numFmtId="167" fontId="0" fillId="0" borderId="0" xfId="0" applyNumberFormat="1"/>
    <xf numFmtId="3" fontId="1" fillId="0" borderId="0" xfId="0" applyNumberFormat="1" applyFont="1"/>
    <xf numFmtId="3" fontId="0" fillId="0" borderId="0" xfId="0" applyNumberFormat="1"/>
    <xf numFmtId="168" fontId="1" fillId="0" borderId="0" xfId="0" applyNumberFormat="1" applyFont="1"/>
    <xf numFmtId="168" fontId="0" fillId="0" borderId="0" xfId="0" applyNumberFormat="1"/>
    <xf numFmtId="166" fontId="1" fillId="0" borderId="0" xfId="0" applyNumberFormat="1" applyFont="1"/>
    <xf numFmtId="1" fontId="1" fillId="0" borderId="0" xfId="0" applyNumberFormat="1" applyFont="1"/>
    <xf numFmtId="0" fontId="6" fillId="0" borderId="0" xfId="0" applyFont="1"/>
    <xf numFmtId="0" fontId="1" fillId="0" borderId="0" xfId="0" applyFont="1" applyAlignment="1">
      <alignment wrapText="1"/>
    </xf>
    <xf numFmtId="0" fontId="6" fillId="5" borderId="0" xfId="0" applyFont="1" applyFill="1"/>
    <xf numFmtId="0" fontId="1" fillId="5" borderId="0" xfId="0" applyFont="1" applyFill="1" applyAlignment="1">
      <alignment wrapText="1"/>
    </xf>
    <xf numFmtId="170" fontId="4" fillId="3" borderId="0" xfId="0" applyNumberFormat="1" applyFont="1" applyFill="1"/>
    <xf numFmtId="171" fontId="1" fillId="0" borderId="0" xfId="0" applyNumberFormat="1" applyFont="1"/>
    <xf numFmtId="0" fontId="8" fillId="2" borderId="0" xfId="0" applyFont="1" applyFill="1"/>
  </cellXfs>
  <cellStyles count="1">
    <cellStyle name="Normal" xfId="0" builtinId="0"/>
  </cellStyles>
  <dxfs count="6">
    <dxf>
      <font>
        <color rgb="FFA52121"/>
      </font>
      <fill>
        <patternFill patternType="solid">
          <bgColor rgb="FFFDE4E4"/>
        </patternFill>
      </fill>
    </dxf>
    <dxf>
      <font>
        <color rgb="FFA52121"/>
      </font>
      <fill>
        <patternFill patternType="solid">
          <bgColor rgb="FFFDE4E4"/>
        </patternFill>
      </fill>
    </dxf>
    <dxf>
      <font>
        <color rgb="FFA52121"/>
      </font>
      <fill>
        <patternFill patternType="solid">
          <bgColor rgb="FFFDE4E4"/>
        </patternFill>
      </fill>
    </dxf>
    <dxf>
      <font>
        <color rgb="FFA52121"/>
      </font>
      <fill>
        <patternFill patternType="solid">
          <bgColor rgb="FFFDE4E4"/>
        </patternFill>
      </fill>
    </dxf>
    <dxf>
      <font>
        <color rgb="FFA52121"/>
      </font>
      <fill>
        <patternFill patternType="solid">
          <bgColor rgb="FFFDE4E4"/>
        </patternFill>
      </fill>
    </dxf>
    <dxf>
      <font>
        <color rgb="FFA52121"/>
      </font>
      <fill>
        <patternFill patternType="solid">
          <bgColor rgb="FFFDE4E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1050">
                <a:latin typeface="Arial"/>
                <a:ea typeface="Arial"/>
                <a:cs typeface="Arial"/>
              </a:rPr>
              <a:t>Ingresos y utilidad mensual (MXN)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Ingresos</c:v>
          </c:tx>
          <c:spPr>
            <a:ln w="19050">
              <a:solidFill>
                <a:srgbClr val="18364A"/>
              </a:solidFill>
              <a:prstDash val="solid"/>
            </a:ln>
          </c:spPr>
          <c:marker>
            <c:symbol val="none"/>
          </c:marker>
          <c:cat>
            <c:strRef>
              <c:f>Dashboard!$B$24:$B$35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Dashboard!$C$24:$C$35</c:f>
              <c:numCache>
                <c:formatCode>"$"#,##0.00;\("$"#,##0.00\);"–"</c:formatCode>
                <c:ptCount val="12"/>
                <c:pt idx="0">
                  <c:v>2200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CA-6D4B-96D3-3DE55F715AB9}"/>
            </c:ext>
          </c:extLst>
        </c:ser>
        <c:ser>
          <c:idx val="1"/>
          <c:order val="1"/>
          <c:tx>
            <c:v>Utilidad neta</c:v>
          </c:tx>
          <c:spPr>
            <a:ln w="19050">
              <a:solidFill>
                <a:srgbClr val="187D87"/>
              </a:solidFill>
              <a:prstDash val="solid"/>
            </a:ln>
          </c:spPr>
          <c:marker>
            <c:symbol val="none"/>
          </c:marker>
          <c:cat>
            <c:strRef>
              <c:f>Dashboard!$B$24:$B$35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Dashboard!$D$24:$D$35</c:f>
              <c:numCache>
                <c:formatCode>"$"#,##0.00;\("$"#,##0.00\);"–"</c:formatCode>
                <c:ptCount val="12"/>
                <c:pt idx="0">
                  <c:v>2200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BCA-6D4B-96D3-3DE55F715A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750">
                <a:latin typeface="Arial"/>
                <a:ea typeface="Arial"/>
                <a:cs typeface="Arial"/>
              </a:defRPr>
            </a:pPr>
            <a:endParaRPr lang="en-MX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#,##0" sourceLinked="0"/>
        <c:majorTickMark val="none"/>
        <c:minorTickMark val="none"/>
        <c:tickLblPos val="nextTo"/>
        <c:txPr>
          <a:bodyPr anchorCtr="1"/>
          <a:lstStyle/>
          <a:p>
            <a:pPr>
              <a:defRPr sz="750">
                <a:latin typeface="Arial"/>
                <a:ea typeface="Arial"/>
                <a:cs typeface="Arial"/>
              </a:defRPr>
            </a:pPr>
            <a:endParaRPr lang="en-MX"/>
          </a:p>
        </c:txPr>
        <c:crossAx val="48650112"/>
        <c:crosses val="autoZero"/>
        <c:crossBetween val="between"/>
      </c:valAx>
    </c:plotArea>
    <c:legend>
      <c:legendPos val="b"/>
      <c:overlay val="0"/>
      <c:txPr>
        <a:bodyPr anchorCtr="1"/>
        <a:lstStyle/>
        <a:p>
          <a:pPr>
            <a:defRPr sz="750">
              <a:latin typeface="Arial"/>
              <a:ea typeface="Arial"/>
              <a:cs typeface="Arial"/>
            </a:defRPr>
          </a:pPr>
          <a:endParaRPr lang="en-MX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4</xdr:row>
      <xdr:rowOff>0</xdr:rowOff>
    </xdr:from>
    <xdr:to>
      <xdr:col>15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Ingresos" displayName="TablaIngresos" ref="A6:L2006" totalsRowShown="0">
  <tableColumns count="12">
    <tableColumn id="1" xr3:uid="{00000000-0010-0000-0000-000001000000}" name="ID único"/>
    <tableColumn id="2" xr3:uid="{00000000-0010-0000-0000-000002000000}" name="Fecha"/>
    <tableColumn id="3" xr3:uid="{00000000-0010-0000-0000-000003000000}" name="Tipo de registro"/>
    <tableColumn id="4" xr3:uid="{00000000-0010-0000-0000-000004000000}" name="Folio relacionado"/>
    <tableColumn id="5" xr3:uid="{00000000-0010-0000-0000-000005000000}" name="Paciente (alias)"/>
    <tableColumn id="6" xr3:uid="{00000000-0010-0000-0000-000006000000}" name="Servicio"/>
    <tableColumn id="7" xr3:uid="{00000000-0010-0000-0000-000007000000}" name="Base / importe"/>
    <tableColumn id="8" xr3:uid="{00000000-0010-0000-0000-000008000000}" name="IVA trasladado"/>
    <tableColumn id="9" xr3:uid="{00000000-0010-0000-0000-000009000000}" name="Sesiones prestadas"/>
    <tableColumn id="10" xr3:uid="{00000000-0010-0000-0000-00000A000000}" name="Nota"/>
    <tableColumn id="11" xr3:uid="{00000000-0010-0000-0000-00000B000000}" name="Total"/>
    <tableColumn id="12" xr3:uid="{00000000-0010-0000-0000-00000C000000}" name="Revis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Gastos" displayName="TablaGastos" ref="A6:L2006" totalsRowShown="0">
  <tableColumns count="12">
    <tableColumn id="1" xr3:uid="{00000000-0010-0000-0100-000001000000}" name="ID único"/>
    <tableColumn id="2" xr3:uid="{00000000-0010-0000-0100-000002000000}" name="Fecha"/>
    <tableColumn id="3" xr3:uid="{00000000-0010-0000-0100-000003000000}" name="Tipo de registro"/>
    <tableColumn id="4" xr3:uid="{00000000-0010-0000-0100-000004000000}" name="Categoría"/>
    <tableColumn id="5" xr3:uid="{00000000-0010-0000-0100-000005000000}" name="Beneficiario"/>
    <tableColumn id="6" xr3:uid="{00000000-0010-0000-0100-000006000000}" name="¿Es familiar?"/>
    <tableColumn id="7" xr3:uid="{00000000-0010-0000-0100-000007000000}" name="Folio relacionado"/>
    <tableColumn id="8" xr3:uid="{00000000-0010-0000-0100-000008000000}" name="Base / importe"/>
    <tableColumn id="9" xr3:uid="{00000000-0010-0000-0100-000009000000}" name="IVA recuperable"/>
    <tableColumn id="10" xr3:uid="{00000000-0010-0000-0100-00000A000000}" name="Nota"/>
    <tableColumn id="11" xr3:uid="{00000000-0010-0000-0100-00000B000000}" name="Total"/>
    <tableColumn id="12" xr3:uid="{00000000-0010-0000-0100-00000C000000}" name="Revisió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aActivos" displayName="TablaActivos" ref="A6:X106" totalsRowShown="0">
  <tableColumns count="24">
    <tableColumn id="1" xr3:uid="{00000000-0010-0000-0200-000001000000}" name="ID activo"/>
    <tableColumn id="2" xr3:uid="{00000000-0010-0000-0200-000002000000}" name="Descripción"/>
    <tableColumn id="3" xr3:uid="{00000000-0010-0000-0200-000003000000}" name="Fecha compra"/>
    <tableColumn id="4" xr3:uid="{00000000-0010-0000-0200-000004000000}" name="En uso desde"/>
    <tableColumn id="5" xr3:uid="{00000000-0010-0000-0200-000005000000}" name="Costo capitalizado"/>
    <tableColumn id="6" xr3:uid="{00000000-0010-0000-0200-000006000000}" name="IVA recuperable"/>
    <tableColumn id="7" xr3:uid="{00000000-0010-0000-0200-000007000000}" name="Residual"/>
    <tableColumn id="8" xr3:uid="{00000000-0010-0000-0200-000008000000}" name="Vida útil (meses)"/>
    <tableColumn id="9" xr3:uid="{00000000-0010-0000-0200-000009000000}" name="Dep. inicial"/>
    <tableColumn id="10" xr3:uid="{00000000-0010-0000-0200-00000A000000}" name="Nota"/>
    <tableColumn id="11" xr3:uid="{00000000-0010-0000-0200-00000B000000}" name="Dep. mensual"/>
    <tableColumn id="12" xr3:uid="{00000000-0010-0000-0200-00000C000000}" name="Revisión"/>
    <tableColumn id="13" xr3:uid="{00000000-0010-0000-0200-00000D000000}" name="Dep. 1"/>
    <tableColumn id="14" xr3:uid="{00000000-0010-0000-0200-00000E000000}" name="Dep. 2"/>
    <tableColumn id="15" xr3:uid="{00000000-0010-0000-0200-00000F000000}" name="Dep. 3"/>
    <tableColumn id="16" xr3:uid="{00000000-0010-0000-0200-000010000000}" name="Dep. 4"/>
    <tableColumn id="17" xr3:uid="{00000000-0010-0000-0200-000011000000}" name="Dep. 5"/>
    <tableColumn id="18" xr3:uid="{00000000-0010-0000-0200-000012000000}" name="Dep. 6"/>
    <tableColumn id="19" xr3:uid="{00000000-0010-0000-0200-000013000000}" name="Dep. 7"/>
    <tableColumn id="20" xr3:uid="{00000000-0010-0000-0200-000014000000}" name="Dep. 8"/>
    <tableColumn id="21" xr3:uid="{00000000-0010-0000-0200-000015000000}" name="Dep. 9"/>
    <tableColumn id="22" xr3:uid="{00000000-0010-0000-0200-000016000000}" name="Dep. 10"/>
    <tableColumn id="23" xr3:uid="{00000000-0010-0000-0200-000017000000}" name="Dep. 11"/>
    <tableColumn id="24" xr3:uid="{00000000-0010-0000-0200-000018000000}" name="Dep. 1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aPasivos" displayName="TablaPasivos" ref="A6:I506" totalsRowShown="0">
  <tableColumns count="9">
    <tableColumn id="1" xr3:uid="{00000000-0010-0000-0300-000001000000}" name="ID único"/>
    <tableColumn id="2" xr3:uid="{00000000-0010-0000-0300-000002000000}" name="Fecha"/>
    <tableColumn id="3" xr3:uid="{00000000-0010-0000-0300-000003000000}" name="Tipo"/>
    <tableColumn id="4" xr3:uid="{00000000-0010-0000-0300-000004000000}" name="ID deuda"/>
    <tableColumn id="5" xr3:uid="{00000000-0010-0000-0300-000005000000}" name="Acreedor"/>
    <tableColumn id="6" xr3:uid="{00000000-0010-0000-0300-000006000000}" name="Clasificación"/>
    <tableColumn id="7" xr3:uid="{00000000-0010-0000-0300-000007000000}" name="Capital / importe"/>
    <tableColumn id="8" xr3:uid="{00000000-0010-0000-0300-000008000000}" name="Nota"/>
    <tableColumn id="9" xr3:uid="{00000000-0010-0000-0300-000009000000}" name="Revisió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8364A"/>
  </sheetPr>
  <dimension ref="A1:N46"/>
  <sheetViews>
    <sheetView showGridLines="0" topLeftCell="A2" zoomScale="139" workbookViewId="0"/>
  </sheetViews>
  <sheetFormatPr baseColWidth="10" defaultColWidth="8.83203125" defaultRowHeight="15"/>
  <cols>
    <col min="1" max="1" width="4" customWidth="1"/>
    <col min="2" max="2" width="43" customWidth="1"/>
    <col min="3" max="3" width="16" customWidth="1"/>
    <col min="4" max="6" width="19" customWidth="1"/>
    <col min="7" max="14" width="16" customWidth="1"/>
  </cols>
  <sheetData>
    <row r="1" spans="1:14" ht="22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22" customHeight="1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22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ht="22" customHeight="1">
      <c r="A4" s="1"/>
      <c r="B4" s="1" t="s">
        <v>1</v>
      </c>
      <c r="C4" s="32">
        <f>DATE(Configuración!C5,Configuración!C6,1)</f>
        <v>46023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22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26" customHeight="1">
      <c r="A6" s="1"/>
      <c r="B6" s="5" t="s">
        <v>2</v>
      </c>
      <c r="C6" s="5" t="s">
        <v>3</v>
      </c>
      <c r="D6" s="5" t="s">
        <v>4</v>
      </c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ht="22" customHeight="1">
      <c r="A7" s="1"/>
      <c r="B7" s="12" t="s">
        <v>5</v>
      </c>
      <c r="C7" s="13">
        <f>INDEX(KPIs!$C$7:$N$7,1,Configuración!$C$6)</f>
        <v>2200</v>
      </c>
      <c r="D7" s="13">
        <f>KPIs!O7</f>
        <v>2200</v>
      </c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ht="22" customHeight="1">
      <c r="A8" s="1"/>
      <c r="B8" s="12" t="s">
        <v>6</v>
      </c>
      <c r="C8" s="13">
        <f>INDEX(KPIs!$C$8:$N$8,1,Configuración!$C$6)</f>
        <v>2200</v>
      </c>
      <c r="D8" s="13">
        <f>KPIs!O8</f>
        <v>2200</v>
      </c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ht="22" customHeight="1">
      <c r="A9" s="1"/>
      <c r="B9" s="1" t="s">
        <v>7</v>
      </c>
      <c r="C9" s="19">
        <f>INDEX(KPIs!$C$11:$N$11,1,Configuración!$C$6)</f>
        <v>1</v>
      </c>
      <c r="D9" s="19">
        <f>KPIs!O11</f>
        <v>1</v>
      </c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ht="22" customHeight="1">
      <c r="A10" s="1"/>
      <c r="B10" s="1" t="s">
        <v>8</v>
      </c>
      <c r="C10" s="8">
        <f>INDEX(KPIs!$C$14:$N$14,1,Configuración!$C$6)</f>
        <v>2200</v>
      </c>
      <c r="D10" s="8">
        <f>KPIs!O14</f>
        <v>2200</v>
      </c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ht="22" customHeight="1">
      <c r="A11" s="1"/>
      <c r="B11" s="12" t="s">
        <v>9</v>
      </c>
      <c r="C11" s="13">
        <f>INDEX(KPIs!$C$15:$N$15,1,Configuración!$C$6)</f>
        <v>2200</v>
      </c>
      <c r="D11" s="13">
        <f>KPIs!O15</f>
        <v>2200</v>
      </c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ht="22" customHeight="1">
      <c r="A12" s="1"/>
      <c r="B12" s="1" t="s">
        <v>10</v>
      </c>
      <c r="C12" s="8">
        <f>INDEX(KPIs!$C$19:$N$19,1,Configuración!$C$6)</f>
        <v>0</v>
      </c>
      <c r="D12" s="8">
        <f>KPIs!O19</f>
        <v>0</v>
      </c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ht="22" customHeight="1">
      <c r="A13" s="1"/>
      <c r="B13" s="1" t="s">
        <v>11</v>
      </c>
      <c r="C13" s="8">
        <f>INDEX(KPIs!$C$20:$N$20,1,Configuración!$C$6)</f>
        <v>0</v>
      </c>
      <c r="D13" s="8">
        <f>KPIs!O20</f>
        <v>0</v>
      </c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ht="22" customHeight="1">
      <c r="A14" s="1"/>
      <c r="B14" s="12" t="s">
        <v>12</v>
      </c>
      <c r="C14" s="13">
        <f>INDEX(KPIs!$C$21:$N$21,1,Configuración!$C$6)</f>
        <v>0</v>
      </c>
      <c r="D14" s="13">
        <f>KPIs!O21</f>
        <v>0</v>
      </c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ht="22" customHeight="1">
      <c r="A15" s="1"/>
      <c r="B15" s="1" t="s">
        <v>13</v>
      </c>
      <c r="C15" s="8">
        <f>INDEX(KPIs!$C$18:$N$18,1,Configuración!$C$6)</f>
        <v>0</v>
      </c>
      <c r="D15" s="8">
        <f>KPIs!O18</f>
        <v>0</v>
      </c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ht="22" customHeight="1">
      <c r="A16" s="1"/>
      <c r="B16" s="1" t="s">
        <v>14</v>
      </c>
      <c r="C16" s="8">
        <f>INDEX(KPIs!$C$23:$N$23,1,Configuración!$C$6)</f>
        <v>0</v>
      </c>
      <c r="D16" s="8">
        <f>KPIs!O23</f>
        <v>0</v>
      </c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ht="22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ht="22" customHeight="1">
      <c r="A18" s="1"/>
      <c r="B18" s="1" t="s">
        <v>15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ht="22" customHeight="1">
      <c r="A19" s="1"/>
      <c r="B19" s="1" t="s">
        <v>16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ht="22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ht="22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ht="22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ht="26" customHeight="1">
      <c r="A23" s="1"/>
      <c r="B23" s="5" t="s">
        <v>3</v>
      </c>
      <c r="C23" s="5" t="s">
        <v>17</v>
      </c>
      <c r="D23" s="5" t="s">
        <v>6</v>
      </c>
      <c r="E23" s="5" t="s">
        <v>18</v>
      </c>
      <c r="F23" s="5" t="s">
        <v>10</v>
      </c>
      <c r="G23" s="1"/>
      <c r="H23" s="1"/>
      <c r="I23" s="1"/>
      <c r="J23" s="1"/>
      <c r="K23" s="1"/>
      <c r="L23" s="1"/>
      <c r="M23" s="1"/>
      <c r="N23" s="1"/>
    </row>
    <row r="24" spans="1:14" ht="22" customHeight="1">
      <c r="A24" s="1"/>
      <c r="B24" s="1" t="s">
        <v>19</v>
      </c>
      <c r="C24" s="8">
        <f>'Estado de Resultados'!C14</f>
        <v>2200</v>
      </c>
      <c r="D24" s="8">
        <f>'Estado de Resultados'!C33</f>
        <v>2200</v>
      </c>
      <c r="E24" s="8">
        <f>'Flujo de Efectivo'!C25</f>
        <v>2200</v>
      </c>
      <c r="F24" s="8">
        <f>'Flujo de Efectivo'!C20</f>
        <v>0</v>
      </c>
      <c r="G24" s="1"/>
      <c r="H24" s="1"/>
      <c r="I24" s="1"/>
      <c r="J24" s="1"/>
      <c r="K24" s="1"/>
      <c r="L24" s="1"/>
      <c r="M24" s="1"/>
      <c r="N24" s="1"/>
    </row>
    <row r="25" spans="1:14" ht="22" customHeight="1">
      <c r="A25" s="1"/>
      <c r="B25" s="1" t="s">
        <v>20</v>
      </c>
      <c r="C25" s="8">
        <f>'Estado de Resultados'!D14</f>
        <v>0</v>
      </c>
      <c r="D25" s="8">
        <f>'Estado de Resultados'!D33</f>
        <v>0</v>
      </c>
      <c r="E25" s="8">
        <f>'Flujo de Efectivo'!D25</f>
        <v>2200</v>
      </c>
      <c r="F25" s="8">
        <f>'Flujo de Efectivo'!D20</f>
        <v>0</v>
      </c>
      <c r="G25" s="1"/>
      <c r="H25" s="1"/>
      <c r="I25" s="1"/>
      <c r="J25" s="1"/>
      <c r="K25" s="1"/>
      <c r="L25" s="1"/>
      <c r="M25" s="1"/>
      <c r="N25" s="1"/>
    </row>
    <row r="26" spans="1:14" ht="22" customHeight="1">
      <c r="A26" s="1"/>
      <c r="B26" s="1" t="s">
        <v>21</v>
      </c>
      <c r="C26" s="8">
        <f>'Estado de Resultados'!E14</f>
        <v>0</v>
      </c>
      <c r="D26" s="8">
        <f>'Estado de Resultados'!E33</f>
        <v>0</v>
      </c>
      <c r="E26" s="8">
        <f>'Flujo de Efectivo'!E25</f>
        <v>2200</v>
      </c>
      <c r="F26" s="8">
        <f>'Flujo de Efectivo'!E20</f>
        <v>0</v>
      </c>
      <c r="G26" s="1"/>
      <c r="H26" s="1"/>
      <c r="I26" s="1"/>
      <c r="J26" s="1"/>
      <c r="K26" s="1"/>
      <c r="L26" s="1"/>
      <c r="M26" s="1"/>
      <c r="N26" s="1"/>
    </row>
    <row r="27" spans="1:14" ht="22" customHeight="1">
      <c r="A27" s="1"/>
      <c r="B27" s="1" t="s">
        <v>22</v>
      </c>
      <c r="C27" s="8">
        <f>'Estado de Resultados'!F14</f>
        <v>0</v>
      </c>
      <c r="D27" s="8">
        <f>'Estado de Resultados'!F33</f>
        <v>0</v>
      </c>
      <c r="E27" s="8">
        <f>'Flujo de Efectivo'!F25</f>
        <v>2200</v>
      </c>
      <c r="F27" s="8">
        <f>'Flujo de Efectivo'!F20</f>
        <v>0</v>
      </c>
      <c r="G27" s="1"/>
      <c r="H27" s="1"/>
      <c r="I27" s="1"/>
      <c r="J27" s="1"/>
      <c r="K27" s="1"/>
      <c r="L27" s="1"/>
      <c r="M27" s="1"/>
      <c r="N27" s="1"/>
    </row>
    <row r="28" spans="1:14" ht="22" customHeight="1">
      <c r="A28" s="1"/>
      <c r="B28" s="1" t="s">
        <v>23</v>
      </c>
      <c r="C28" s="8">
        <f>'Estado de Resultados'!G14</f>
        <v>0</v>
      </c>
      <c r="D28" s="8">
        <f>'Estado de Resultados'!G33</f>
        <v>0</v>
      </c>
      <c r="E28" s="8">
        <f>'Flujo de Efectivo'!G25</f>
        <v>2200</v>
      </c>
      <c r="F28" s="8">
        <f>'Flujo de Efectivo'!G20</f>
        <v>0</v>
      </c>
      <c r="G28" s="1"/>
      <c r="H28" s="1"/>
      <c r="I28" s="1"/>
      <c r="J28" s="1"/>
      <c r="K28" s="1"/>
      <c r="L28" s="1"/>
      <c r="M28" s="1"/>
      <c r="N28" s="1"/>
    </row>
    <row r="29" spans="1:14" ht="22" customHeight="1">
      <c r="A29" s="1"/>
      <c r="B29" s="1" t="s">
        <v>24</v>
      </c>
      <c r="C29" s="8">
        <f>'Estado de Resultados'!H14</f>
        <v>0</v>
      </c>
      <c r="D29" s="8">
        <f>'Estado de Resultados'!H33</f>
        <v>0</v>
      </c>
      <c r="E29" s="8">
        <f>'Flujo de Efectivo'!H25</f>
        <v>2200</v>
      </c>
      <c r="F29" s="8">
        <f>'Flujo de Efectivo'!H20</f>
        <v>0</v>
      </c>
      <c r="G29" s="1"/>
      <c r="H29" s="1"/>
      <c r="I29" s="1"/>
      <c r="J29" s="1"/>
      <c r="K29" s="1"/>
      <c r="L29" s="1"/>
      <c r="M29" s="1"/>
      <c r="N29" s="1"/>
    </row>
    <row r="30" spans="1:14" ht="22" customHeight="1">
      <c r="A30" s="1"/>
      <c r="B30" s="1" t="s">
        <v>25</v>
      </c>
      <c r="C30" s="8">
        <f>'Estado de Resultados'!I14</f>
        <v>0</v>
      </c>
      <c r="D30" s="8">
        <f>'Estado de Resultados'!I33</f>
        <v>0</v>
      </c>
      <c r="E30" s="8">
        <f>'Flujo de Efectivo'!I25</f>
        <v>2200</v>
      </c>
      <c r="F30" s="8">
        <f>'Flujo de Efectivo'!I20</f>
        <v>0</v>
      </c>
      <c r="G30" s="1"/>
      <c r="H30" s="1"/>
      <c r="I30" s="1"/>
      <c r="J30" s="1"/>
      <c r="K30" s="1"/>
      <c r="L30" s="1"/>
      <c r="M30" s="1"/>
      <c r="N30" s="1"/>
    </row>
    <row r="31" spans="1:14" ht="22" customHeight="1">
      <c r="A31" s="1"/>
      <c r="B31" s="1" t="s">
        <v>26</v>
      </c>
      <c r="C31" s="8">
        <f>'Estado de Resultados'!J14</f>
        <v>0</v>
      </c>
      <c r="D31" s="8">
        <f>'Estado de Resultados'!J33</f>
        <v>0</v>
      </c>
      <c r="E31" s="8">
        <f>'Flujo de Efectivo'!J25</f>
        <v>2200</v>
      </c>
      <c r="F31" s="8">
        <f>'Flujo de Efectivo'!J20</f>
        <v>0</v>
      </c>
      <c r="G31" s="1"/>
      <c r="H31" s="1"/>
      <c r="I31" s="1"/>
      <c r="J31" s="1"/>
      <c r="K31" s="1"/>
      <c r="L31" s="1"/>
      <c r="M31" s="1"/>
      <c r="N31" s="1"/>
    </row>
    <row r="32" spans="1:14" ht="22" customHeight="1">
      <c r="A32" s="1"/>
      <c r="B32" s="1" t="s">
        <v>27</v>
      </c>
      <c r="C32" s="8">
        <f>'Estado de Resultados'!K14</f>
        <v>0</v>
      </c>
      <c r="D32" s="8">
        <f>'Estado de Resultados'!K33</f>
        <v>0</v>
      </c>
      <c r="E32" s="8">
        <f>'Flujo de Efectivo'!K25</f>
        <v>2200</v>
      </c>
      <c r="F32" s="8">
        <f>'Flujo de Efectivo'!K20</f>
        <v>0</v>
      </c>
      <c r="G32" s="1"/>
      <c r="H32" s="1"/>
      <c r="I32" s="1"/>
      <c r="J32" s="1"/>
      <c r="K32" s="1"/>
      <c r="L32" s="1"/>
      <c r="M32" s="1"/>
      <c r="N32" s="1"/>
    </row>
    <row r="33" spans="1:14" ht="22" customHeight="1">
      <c r="A33" s="1"/>
      <c r="B33" s="1" t="s">
        <v>28</v>
      </c>
      <c r="C33" s="8">
        <f>'Estado de Resultados'!L14</f>
        <v>0</v>
      </c>
      <c r="D33" s="8">
        <f>'Estado de Resultados'!L33</f>
        <v>0</v>
      </c>
      <c r="E33" s="8">
        <f>'Flujo de Efectivo'!L25</f>
        <v>2200</v>
      </c>
      <c r="F33" s="8">
        <f>'Flujo de Efectivo'!L20</f>
        <v>0</v>
      </c>
      <c r="G33" s="1"/>
      <c r="H33" s="1"/>
      <c r="I33" s="1"/>
      <c r="J33" s="1"/>
      <c r="K33" s="1"/>
      <c r="L33" s="1"/>
      <c r="M33" s="1"/>
      <c r="N33" s="1"/>
    </row>
    <row r="34" spans="1:14" ht="22" customHeight="1">
      <c r="A34" s="1"/>
      <c r="B34" s="1" t="s">
        <v>29</v>
      </c>
      <c r="C34" s="8">
        <f>'Estado de Resultados'!M14</f>
        <v>0</v>
      </c>
      <c r="D34" s="8">
        <f>'Estado de Resultados'!M33</f>
        <v>0</v>
      </c>
      <c r="E34" s="8">
        <f>'Flujo de Efectivo'!M25</f>
        <v>2200</v>
      </c>
      <c r="F34" s="8">
        <f>'Flujo de Efectivo'!M20</f>
        <v>0</v>
      </c>
      <c r="G34" s="1"/>
      <c r="H34" s="1"/>
      <c r="I34" s="1"/>
      <c r="J34" s="1"/>
      <c r="K34" s="1"/>
      <c r="L34" s="1"/>
      <c r="M34" s="1"/>
      <c r="N34" s="1"/>
    </row>
    <row r="35" spans="1:14" ht="22" customHeight="1">
      <c r="A35" s="1"/>
      <c r="B35" s="1" t="s">
        <v>30</v>
      </c>
      <c r="C35" s="8">
        <f>'Estado de Resultados'!N14</f>
        <v>0</v>
      </c>
      <c r="D35" s="8">
        <f>'Estado de Resultados'!N33</f>
        <v>0</v>
      </c>
      <c r="E35" s="8">
        <f>'Flujo de Efectivo'!N25</f>
        <v>2200</v>
      </c>
      <c r="F35" s="8">
        <f>'Flujo de Efectivo'!N20</f>
        <v>0</v>
      </c>
      <c r="G35" s="1"/>
      <c r="H35" s="1"/>
      <c r="I35" s="1"/>
      <c r="J35" s="1"/>
      <c r="K35" s="1"/>
      <c r="L35" s="1"/>
      <c r="M35" s="1"/>
      <c r="N35" s="1"/>
    </row>
    <row r="36" spans="1:14" ht="22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ht="22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ht="22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ht="22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ht="22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ht="22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ht="22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ht="22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ht="22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ht="22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ht="22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8364A"/>
  </sheetPr>
  <dimension ref="A1:N34"/>
  <sheetViews>
    <sheetView showGridLines="0" zoomScale="175" workbookViewId="0">
      <selection activeCell="C14" sqref="C14"/>
    </sheetView>
  </sheetViews>
  <sheetFormatPr baseColWidth="10" defaultColWidth="8.83203125" defaultRowHeight="15"/>
  <cols>
    <col min="1" max="1" width="4" customWidth="1"/>
    <col min="2" max="2" width="43" customWidth="1"/>
    <col min="3" max="14" width="16" customWidth="1"/>
  </cols>
  <sheetData>
    <row r="1" spans="1:14" ht="22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22" customHeight="1">
      <c r="A2" s="1"/>
      <c r="B2" s="2" t="s">
        <v>31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22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ht="22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22" customHeight="1">
      <c r="A5" s="1"/>
      <c r="B5" s="1" t="s">
        <v>32</v>
      </c>
      <c r="C5" s="3">
        <v>2026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22" customHeight="1">
      <c r="A6" s="1"/>
      <c r="B6" s="1" t="s">
        <v>33</v>
      </c>
      <c r="C6" s="3">
        <v>1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ht="22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ht="26" customHeight="1">
      <c r="A8" s="1"/>
      <c r="B8" s="5" t="s">
        <v>34</v>
      </c>
      <c r="C8" s="5"/>
      <c r="D8" s="5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ht="22" customHeight="1">
      <c r="A9" s="1"/>
      <c r="B9" s="1" t="s">
        <v>35</v>
      </c>
      <c r="C9" s="4">
        <v>0</v>
      </c>
      <c r="D9" s="1"/>
      <c r="E9" s="1" t="s">
        <v>36</v>
      </c>
      <c r="F9" s="1"/>
      <c r="G9" s="1"/>
      <c r="H9" s="1"/>
      <c r="I9" s="1"/>
      <c r="J9" s="1"/>
      <c r="K9" s="1"/>
      <c r="L9" s="1"/>
      <c r="M9" s="1"/>
      <c r="N9" s="1"/>
    </row>
    <row r="10" spans="1:14" ht="22" customHeight="1">
      <c r="A10" s="1"/>
      <c r="B10" s="1" t="s">
        <v>37</v>
      </c>
      <c r="C10" s="4">
        <v>0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ht="22" customHeight="1">
      <c r="A11" s="1"/>
      <c r="B11" s="1" t="s">
        <v>38</v>
      </c>
      <c r="C11" s="4">
        <v>0</v>
      </c>
      <c r="D11" s="1"/>
      <c r="E11" s="1" t="s">
        <v>39</v>
      </c>
      <c r="F11" s="1"/>
      <c r="G11" s="1"/>
      <c r="H11" s="1"/>
      <c r="I11" s="1"/>
      <c r="J11" s="1"/>
      <c r="K11" s="1"/>
      <c r="L11" s="1"/>
      <c r="M11" s="1"/>
      <c r="N11" s="1"/>
    </row>
    <row r="12" spans="1:14" ht="22" customHeight="1">
      <c r="A12" s="1"/>
      <c r="B12" s="1" t="s">
        <v>40</v>
      </c>
      <c r="C12" s="4">
        <v>0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ht="22" customHeight="1">
      <c r="A13" s="1"/>
      <c r="B13" s="1" t="s">
        <v>41</v>
      </c>
      <c r="C13" s="4">
        <v>0</v>
      </c>
      <c r="D13" s="1"/>
      <c r="E13" s="1" t="s">
        <v>42</v>
      </c>
      <c r="F13" s="1"/>
      <c r="G13" s="1"/>
      <c r="H13" s="1"/>
      <c r="I13" s="1"/>
      <c r="J13" s="1"/>
      <c r="K13" s="1"/>
      <c r="L13" s="1"/>
      <c r="M13" s="1"/>
      <c r="N13" s="1"/>
    </row>
    <row r="14" spans="1:14" ht="22" customHeight="1">
      <c r="A14" s="1"/>
      <c r="B14" s="1" t="s">
        <v>43</v>
      </c>
      <c r="C14" s="4">
        <v>0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ht="22" customHeight="1">
      <c r="A15" s="1"/>
      <c r="B15" s="1" t="s">
        <v>44</v>
      </c>
      <c r="C15" s="4">
        <v>0</v>
      </c>
      <c r="D15" s="1"/>
      <c r="E15" s="1" t="s">
        <v>45</v>
      </c>
      <c r="F15" s="1"/>
      <c r="G15" s="1"/>
      <c r="H15" s="1"/>
      <c r="I15" s="1"/>
      <c r="J15" s="1"/>
      <c r="K15" s="1"/>
      <c r="L15" s="1"/>
      <c r="M15" s="1"/>
      <c r="N15" s="1"/>
    </row>
    <row r="16" spans="1:14" ht="22" customHeight="1">
      <c r="A16" s="1"/>
      <c r="B16" s="1" t="s">
        <v>46</v>
      </c>
      <c r="C16" s="4">
        <v>0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ht="22" customHeight="1">
      <c r="A17" s="1"/>
      <c r="B17" s="1" t="s">
        <v>47</v>
      </c>
      <c r="C17" s="4">
        <v>0</v>
      </c>
      <c r="D17" s="1"/>
      <c r="E17" s="1" t="s">
        <v>48</v>
      </c>
      <c r="F17" s="1"/>
      <c r="G17" s="1"/>
      <c r="H17" s="1"/>
      <c r="I17" s="1"/>
      <c r="J17" s="1"/>
      <c r="K17" s="1"/>
      <c r="L17" s="1"/>
      <c r="M17" s="1"/>
      <c r="N17" s="1"/>
    </row>
    <row r="18" spans="1:14" ht="22" customHeight="1">
      <c r="A18" s="1"/>
      <c r="B18" s="1" t="s">
        <v>49</v>
      </c>
      <c r="C18" s="4">
        <v>0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ht="22" customHeight="1">
      <c r="A19" s="1"/>
      <c r="B19" s="1" t="s">
        <v>50</v>
      </c>
      <c r="C19" s="4">
        <v>0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ht="22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ht="22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ht="22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ht="22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ht="22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ht="22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ht="22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ht="22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ht="22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ht="22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ht="22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ht="22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ht="22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ht="22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ht="22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</sheetData>
  <dataValidations count="2">
    <dataValidation type="whole" sqref="C5" xr:uid="{00000000-0002-0000-0100-000000000000}">
      <formula1>2000</formula1>
      <formula2>2100</formula2>
    </dataValidation>
    <dataValidation type="whole" sqref="C6" xr:uid="{00000000-0002-0000-0100-000001000000}">
      <formula1>1</formula1>
      <formula2>12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8364A"/>
  </sheetPr>
  <dimension ref="A1:O55"/>
  <sheetViews>
    <sheetView showGridLines="0" workbookViewId="0">
      <pane ySplit="6" topLeftCell="A7" activePane="bottomLeft" state="frozen"/>
      <selection pane="bottomLeft"/>
    </sheetView>
  </sheetViews>
  <sheetFormatPr baseColWidth="10" defaultColWidth="8.83203125" defaultRowHeight="15"/>
  <cols>
    <col min="1" max="1" width="4" customWidth="1"/>
    <col min="2" max="2" width="43" customWidth="1"/>
    <col min="3" max="14" width="16" customWidth="1"/>
    <col min="15" max="15" width="18" customWidth="1"/>
  </cols>
  <sheetData>
    <row r="1" spans="1:15" ht="22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5" ht="22" customHeight="1">
      <c r="A2" s="1"/>
      <c r="B2" s="2" t="s">
        <v>51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5" ht="22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5" ht="22" customHeight="1">
      <c r="A4" s="1"/>
      <c r="B4" s="1" t="s">
        <v>52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5" ht="22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5" ht="26" customHeight="1">
      <c r="A6" s="1"/>
      <c r="B6" s="5" t="s">
        <v>53</v>
      </c>
      <c r="C6" s="31">
        <f>DATE(Configuración!$C$5,1,1)</f>
        <v>46023</v>
      </c>
      <c r="D6" s="31">
        <f>DATE(Configuración!$C$5,2,1)</f>
        <v>46054</v>
      </c>
      <c r="E6" s="31">
        <f>DATE(Configuración!$C$5,3,1)</f>
        <v>46082</v>
      </c>
      <c r="F6" s="31">
        <f>DATE(Configuración!$C$5,4,1)</f>
        <v>46113</v>
      </c>
      <c r="G6" s="31">
        <f>DATE(Configuración!$C$5,5,1)</f>
        <v>46143</v>
      </c>
      <c r="H6" s="31">
        <f>DATE(Configuración!$C$5,6,1)</f>
        <v>46174</v>
      </c>
      <c r="I6" s="31">
        <f>DATE(Configuración!$C$5,7,1)</f>
        <v>46204</v>
      </c>
      <c r="J6" s="31">
        <f>DATE(Configuración!$C$5,8,1)</f>
        <v>46235</v>
      </c>
      <c r="K6" s="31">
        <f>DATE(Configuración!$C$5,9,1)</f>
        <v>46266</v>
      </c>
      <c r="L6" s="31">
        <f>DATE(Configuración!$C$5,10,1)</f>
        <v>46296</v>
      </c>
      <c r="M6" s="31">
        <f>DATE(Configuración!$C$5,11,1)</f>
        <v>46327</v>
      </c>
      <c r="N6" s="31">
        <f>DATE(Configuración!$C$5,12,1)</f>
        <v>46357</v>
      </c>
      <c r="O6" s="10" t="s">
        <v>54</v>
      </c>
    </row>
    <row r="7" spans="1:15" ht="22" customHeight="1">
      <c r="A7" s="1"/>
      <c r="B7" s="1" t="s">
        <v>55</v>
      </c>
      <c r="C7" s="8">
        <f>SUMIFS(Ingresos!$G$7:$G$2006,Ingresos!$B$7:$B$2006,"&gt;="&amp;C$6,Ingresos!$B$7:$B$2006,"&lt;"&amp;EDATE(C$6,1),Ingresos!$C$7:$C$2006,"Servicio",Ingresos!$F$7:$F$2006,"TMS")</f>
        <v>2200</v>
      </c>
      <c r="D7" s="8">
        <f>SUMIFS(Ingresos!$G$7:$G$2006,Ingresos!$B$7:$B$2006,"&gt;="&amp;D$6,Ingresos!$B$7:$B$2006,"&lt;"&amp;EDATE(D$6,1),Ingresos!$C$7:$C$2006,"Servicio",Ingresos!$F$7:$F$2006,"TMS")</f>
        <v>0</v>
      </c>
      <c r="E7" s="8">
        <f>SUMIFS(Ingresos!$G$7:$G$2006,Ingresos!$B$7:$B$2006,"&gt;="&amp;E$6,Ingresos!$B$7:$B$2006,"&lt;"&amp;EDATE(E$6,1),Ingresos!$C$7:$C$2006,"Servicio",Ingresos!$F$7:$F$2006,"TMS")</f>
        <v>0</v>
      </c>
      <c r="F7" s="8">
        <f>SUMIFS(Ingresos!$G$7:$G$2006,Ingresos!$B$7:$B$2006,"&gt;="&amp;F$6,Ingresos!$B$7:$B$2006,"&lt;"&amp;EDATE(F$6,1),Ingresos!$C$7:$C$2006,"Servicio",Ingresos!$F$7:$F$2006,"TMS")</f>
        <v>0</v>
      </c>
      <c r="G7" s="8">
        <f>SUMIFS(Ingresos!$G$7:$G$2006,Ingresos!$B$7:$B$2006,"&gt;="&amp;G$6,Ingresos!$B$7:$B$2006,"&lt;"&amp;EDATE(G$6,1),Ingresos!$C$7:$C$2006,"Servicio",Ingresos!$F$7:$F$2006,"TMS")</f>
        <v>0</v>
      </c>
      <c r="H7" s="8">
        <f>SUMIFS(Ingresos!$G$7:$G$2006,Ingresos!$B$7:$B$2006,"&gt;="&amp;H$6,Ingresos!$B$7:$B$2006,"&lt;"&amp;EDATE(H$6,1),Ingresos!$C$7:$C$2006,"Servicio",Ingresos!$F$7:$F$2006,"TMS")</f>
        <v>0</v>
      </c>
      <c r="I7" s="8">
        <f>SUMIFS(Ingresos!$G$7:$G$2006,Ingresos!$B$7:$B$2006,"&gt;="&amp;I$6,Ingresos!$B$7:$B$2006,"&lt;"&amp;EDATE(I$6,1),Ingresos!$C$7:$C$2006,"Servicio",Ingresos!$F$7:$F$2006,"TMS")</f>
        <v>0</v>
      </c>
      <c r="J7" s="8">
        <f>SUMIFS(Ingresos!$G$7:$G$2006,Ingresos!$B$7:$B$2006,"&gt;="&amp;J$6,Ingresos!$B$7:$B$2006,"&lt;"&amp;EDATE(J$6,1),Ingresos!$C$7:$C$2006,"Servicio",Ingresos!$F$7:$F$2006,"TMS")</f>
        <v>0</v>
      </c>
      <c r="K7" s="8">
        <f>SUMIFS(Ingresos!$G$7:$G$2006,Ingresos!$B$7:$B$2006,"&gt;="&amp;K$6,Ingresos!$B$7:$B$2006,"&lt;"&amp;EDATE(K$6,1),Ingresos!$C$7:$C$2006,"Servicio",Ingresos!$F$7:$F$2006,"TMS")</f>
        <v>0</v>
      </c>
      <c r="L7" s="8">
        <f>SUMIFS(Ingresos!$G$7:$G$2006,Ingresos!$B$7:$B$2006,"&gt;="&amp;L$6,Ingresos!$B$7:$B$2006,"&lt;"&amp;EDATE(L$6,1),Ingresos!$C$7:$C$2006,"Servicio",Ingresos!$F$7:$F$2006,"TMS")</f>
        <v>0</v>
      </c>
      <c r="M7" s="8">
        <f>SUMIFS(Ingresos!$G$7:$G$2006,Ingresos!$B$7:$B$2006,"&gt;="&amp;M$6,Ingresos!$B$7:$B$2006,"&lt;"&amp;EDATE(M$6,1),Ingresos!$C$7:$C$2006,"Servicio",Ingresos!$F$7:$F$2006,"TMS")</f>
        <v>0</v>
      </c>
      <c r="N7" s="8">
        <f>SUMIFS(Ingresos!$G$7:$G$2006,Ingresos!$B$7:$B$2006,"&gt;="&amp;N$6,Ingresos!$B$7:$B$2006,"&lt;"&amp;EDATE(N$6,1),Ingresos!$C$7:$C$2006,"Servicio",Ingresos!$F$7:$F$2006,"TMS")</f>
        <v>0</v>
      </c>
      <c r="O7" s="11">
        <f t="shared" ref="O7:O14" si="0">SUM(C7:N7)</f>
        <v>2200</v>
      </c>
    </row>
    <row r="8" spans="1:15" ht="22" customHeight="1">
      <c r="A8" s="1"/>
      <c r="B8" s="1" t="s">
        <v>56</v>
      </c>
      <c r="C8" s="8">
        <f>SUMIFS(Ingresos!$G$7:$G$2006,Ingresos!$B$7:$B$2006,"&gt;="&amp;C$6,Ingresos!$B$7:$B$2006,"&lt;"&amp;EDATE(C$6,1),Ingresos!$C$7:$C$2006,"Servicio",Ingresos!$F$7:$F$2006,"Valoración")</f>
        <v>0</v>
      </c>
      <c r="D8" s="8">
        <f>SUMIFS(Ingresos!$G$7:$G$2006,Ingresos!$B$7:$B$2006,"&gt;="&amp;D$6,Ingresos!$B$7:$B$2006,"&lt;"&amp;EDATE(D$6,1),Ingresos!$C$7:$C$2006,"Servicio",Ingresos!$F$7:$F$2006,"Valoración")</f>
        <v>0</v>
      </c>
      <c r="E8" s="8">
        <f>SUMIFS(Ingresos!$G$7:$G$2006,Ingresos!$B$7:$B$2006,"&gt;="&amp;E$6,Ingresos!$B$7:$B$2006,"&lt;"&amp;EDATE(E$6,1),Ingresos!$C$7:$C$2006,"Servicio",Ingresos!$F$7:$F$2006,"Valoración")</f>
        <v>0</v>
      </c>
      <c r="F8" s="8">
        <f>SUMIFS(Ingresos!$G$7:$G$2006,Ingresos!$B$7:$B$2006,"&gt;="&amp;F$6,Ingresos!$B$7:$B$2006,"&lt;"&amp;EDATE(F$6,1),Ingresos!$C$7:$C$2006,"Servicio",Ingresos!$F$7:$F$2006,"Valoración")</f>
        <v>0</v>
      </c>
      <c r="G8" s="8">
        <f>SUMIFS(Ingresos!$G$7:$G$2006,Ingresos!$B$7:$B$2006,"&gt;="&amp;G$6,Ingresos!$B$7:$B$2006,"&lt;"&amp;EDATE(G$6,1),Ingresos!$C$7:$C$2006,"Servicio",Ingresos!$F$7:$F$2006,"Valoración")</f>
        <v>0</v>
      </c>
      <c r="H8" s="8">
        <f>SUMIFS(Ingresos!$G$7:$G$2006,Ingresos!$B$7:$B$2006,"&gt;="&amp;H$6,Ingresos!$B$7:$B$2006,"&lt;"&amp;EDATE(H$6,1),Ingresos!$C$7:$C$2006,"Servicio",Ingresos!$F$7:$F$2006,"Valoración")</f>
        <v>0</v>
      </c>
      <c r="I8" s="8">
        <f>SUMIFS(Ingresos!$G$7:$G$2006,Ingresos!$B$7:$B$2006,"&gt;="&amp;I$6,Ingresos!$B$7:$B$2006,"&lt;"&amp;EDATE(I$6,1),Ingresos!$C$7:$C$2006,"Servicio",Ingresos!$F$7:$F$2006,"Valoración")</f>
        <v>0</v>
      </c>
      <c r="J8" s="8">
        <f>SUMIFS(Ingresos!$G$7:$G$2006,Ingresos!$B$7:$B$2006,"&gt;="&amp;J$6,Ingresos!$B$7:$B$2006,"&lt;"&amp;EDATE(J$6,1),Ingresos!$C$7:$C$2006,"Servicio",Ingresos!$F$7:$F$2006,"Valoración")</f>
        <v>0</v>
      </c>
      <c r="K8" s="8">
        <f>SUMIFS(Ingresos!$G$7:$G$2006,Ingresos!$B$7:$B$2006,"&gt;="&amp;K$6,Ingresos!$B$7:$B$2006,"&lt;"&amp;EDATE(K$6,1),Ingresos!$C$7:$C$2006,"Servicio",Ingresos!$F$7:$F$2006,"Valoración")</f>
        <v>0</v>
      </c>
      <c r="L8" s="8">
        <f>SUMIFS(Ingresos!$G$7:$G$2006,Ingresos!$B$7:$B$2006,"&gt;="&amp;L$6,Ingresos!$B$7:$B$2006,"&lt;"&amp;EDATE(L$6,1),Ingresos!$C$7:$C$2006,"Servicio",Ingresos!$F$7:$F$2006,"Valoración")</f>
        <v>0</v>
      </c>
      <c r="M8" s="8">
        <f>SUMIFS(Ingresos!$G$7:$G$2006,Ingresos!$B$7:$B$2006,"&gt;="&amp;M$6,Ingresos!$B$7:$B$2006,"&lt;"&amp;EDATE(M$6,1),Ingresos!$C$7:$C$2006,"Servicio",Ingresos!$F$7:$F$2006,"Valoración")</f>
        <v>0</v>
      </c>
      <c r="N8" s="8">
        <f>SUMIFS(Ingresos!$G$7:$G$2006,Ingresos!$B$7:$B$2006,"&gt;="&amp;N$6,Ingresos!$B$7:$B$2006,"&lt;"&amp;EDATE(N$6,1),Ingresos!$C$7:$C$2006,"Servicio",Ingresos!$F$7:$F$2006,"Valoración")</f>
        <v>0</v>
      </c>
      <c r="O8" s="11">
        <f t="shared" si="0"/>
        <v>0</v>
      </c>
    </row>
    <row r="9" spans="1:15" ht="22" customHeight="1">
      <c r="A9" s="1"/>
      <c r="B9" s="1" t="s">
        <v>57</v>
      </c>
      <c r="C9" s="8">
        <f>SUMIFS(Ingresos!$G$7:$G$2006,Ingresos!$B$7:$B$2006,"&gt;="&amp;C$6,Ingresos!$B$7:$B$2006,"&lt;"&amp;EDATE(C$6,1),Ingresos!$C$7:$C$2006,"Servicio",Ingresos!$F$7:$F$2006,"EEG")</f>
        <v>0</v>
      </c>
      <c r="D9" s="8">
        <f>SUMIFS(Ingresos!$G$7:$G$2006,Ingresos!$B$7:$B$2006,"&gt;="&amp;D$6,Ingresos!$B$7:$B$2006,"&lt;"&amp;EDATE(D$6,1),Ingresos!$C$7:$C$2006,"Servicio",Ingresos!$F$7:$F$2006,"EEG")</f>
        <v>0</v>
      </c>
      <c r="E9" s="8">
        <f>SUMIFS(Ingresos!$G$7:$G$2006,Ingresos!$B$7:$B$2006,"&gt;="&amp;E$6,Ingresos!$B$7:$B$2006,"&lt;"&amp;EDATE(E$6,1),Ingresos!$C$7:$C$2006,"Servicio",Ingresos!$F$7:$F$2006,"EEG")</f>
        <v>0</v>
      </c>
      <c r="F9" s="8">
        <f>SUMIFS(Ingresos!$G$7:$G$2006,Ingresos!$B$7:$B$2006,"&gt;="&amp;F$6,Ingresos!$B$7:$B$2006,"&lt;"&amp;EDATE(F$6,1),Ingresos!$C$7:$C$2006,"Servicio",Ingresos!$F$7:$F$2006,"EEG")</f>
        <v>0</v>
      </c>
      <c r="G9" s="8">
        <f>SUMIFS(Ingresos!$G$7:$G$2006,Ingresos!$B$7:$B$2006,"&gt;="&amp;G$6,Ingresos!$B$7:$B$2006,"&lt;"&amp;EDATE(G$6,1),Ingresos!$C$7:$C$2006,"Servicio",Ingresos!$F$7:$F$2006,"EEG")</f>
        <v>0</v>
      </c>
      <c r="H9" s="8">
        <f>SUMIFS(Ingresos!$G$7:$G$2006,Ingresos!$B$7:$B$2006,"&gt;="&amp;H$6,Ingresos!$B$7:$B$2006,"&lt;"&amp;EDATE(H$6,1),Ingresos!$C$7:$C$2006,"Servicio",Ingresos!$F$7:$F$2006,"EEG")</f>
        <v>0</v>
      </c>
      <c r="I9" s="8">
        <f>SUMIFS(Ingresos!$G$7:$G$2006,Ingresos!$B$7:$B$2006,"&gt;="&amp;I$6,Ingresos!$B$7:$B$2006,"&lt;"&amp;EDATE(I$6,1),Ingresos!$C$7:$C$2006,"Servicio",Ingresos!$F$7:$F$2006,"EEG")</f>
        <v>0</v>
      </c>
      <c r="J9" s="8">
        <f>SUMIFS(Ingresos!$G$7:$G$2006,Ingresos!$B$7:$B$2006,"&gt;="&amp;J$6,Ingresos!$B$7:$B$2006,"&lt;"&amp;EDATE(J$6,1),Ingresos!$C$7:$C$2006,"Servicio",Ingresos!$F$7:$F$2006,"EEG")</f>
        <v>0</v>
      </c>
      <c r="K9" s="8">
        <f>SUMIFS(Ingresos!$G$7:$G$2006,Ingresos!$B$7:$B$2006,"&gt;="&amp;K$6,Ingresos!$B$7:$B$2006,"&lt;"&amp;EDATE(K$6,1),Ingresos!$C$7:$C$2006,"Servicio",Ingresos!$F$7:$F$2006,"EEG")</f>
        <v>0</v>
      </c>
      <c r="L9" s="8">
        <f>SUMIFS(Ingresos!$G$7:$G$2006,Ingresos!$B$7:$B$2006,"&gt;="&amp;L$6,Ingresos!$B$7:$B$2006,"&lt;"&amp;EDATE(L$6,1),Ingresos!$C$7:$C$2006,"Servicio",Ingresos!$F$7:$F$2006,"EEG")</f>
        <v>0</v>
      </c>
      <c r="M9" s="8">
        <f>SUMIFS(Ingresos!$G$7:$G$2006,Ingresos!$B$7:$B$2006,"&gt;="&amp;M$6,Ingresos!$B$7:$B$2006,"&lt;"&amp;EDATE(M$6,1),Ingresos!$C$7:$C$2006,"Servicio",Ingresos!$F$7:$F$2006,"EEG")</f>
        <v>0</v>
      </c>
      <c r="N9" s="8">
        <f>SUMIFS(Ingresos!$G$7:$G$2006,Ingresos!$B$7:$B$2006,"&gt;="&amp;N$6,Ingresos!$B$7:$B$2006,"&lt;"&amp;EDATE(N$6,1),Ingresos!$C$7:$C$2006,"Servicio",Ingresos!$F$7:$F$2006,"EEG")</f>
        <v>0</v>
      </c>
      <c r="O9" s="11">
        <f t="shared" si="0"/>
        <v>0</v>
      </c>
    </row>
    <row r="10" spans="1:15" ht="22" customHeight="1">
      <c r="A10" s="1"/>
      <c r="B10" s="1" t="s">
        <v>58</v>
      </c>
      <c r="C10" s="8">
        <f>SUMIFS(Ingresos!$G$7:$G$2006,Ingresos!$B$7:$B$2006,"&gt;="&amp;C$6,Ingresos!$B$7:$B$2006,"&lt;"&amp;EDATE(C$6,1),Ingresos!$C$7:$C$2006,"Servicio",Ingresos!$F$7:$F$2006,"Neurofeedback")</f>
        <v>0</v>
      </c>
      <c r="D10" s="8">
        <f>SUMIFS(Ingresos!$G$7:$G$2006,Ingresos!$B$7:$B$2006,"&gt;="&amp;D$6,Ingresos!$B$7:$B$2006,"&lt;"&amp;EDATE(D$6,1),Ingresos!$C$7:$C$2006,"Servicio",Ingresos!$F$7:$F$2006,"Neurofeedback")</f>
        <v>0</v>
      </c>
      <c r="E10" s="8">
        <f>SUMIFS(Ingresos!$G$7:$G$2006,Ingresos!$B$7:$B$2006,"&gt;="&amp;E$6,Ingresos!$B$7:$B$2006,"&lt;"&amp;EDATE(E$6,1),Ingresos!$C$7:$C$2006,"Servicio",Ingresos!$F$7:$F$2006,"Neurofeedback")</f>
        <v>0</v>
      </c>
      <c r="F10" s="8">
        <f>SUMIFS(Ingresos!$G$7:$G$2006,Ingresos!$B$7:$B$2006,"&gt;="&amp;F$6,Ingresos!$B$7:$B$2006,"&lt;"&amp;EDATE(F$6,1),Ingresos!$C$7:$C$2006,"Servicio",Ingresos!$F$7:$F$2006,"Neurofeedback")</f>
        <v>0</v>
      </c>
      <c r="G10" s="8">
        <f>SUMIFS(Ingresos!$G$7:$G$2006,Ingresos!$B$7:$B$2006,"&gt;="&amp;G$6,Ingresos!$B$7:$B$2006,"&lt;"&amp;EDATE(G$6,1),Ingresos!$C$7:$C$2006,"Servicio",Ingresos!$F$7:$F$2006,"Neurofeedback")</f>
        <v>0</v>
      </c>
      <c r="H10" s="8">
        <f>SUMIFS(Ingresos!$G$7:$G$2006,Ingresos!$B$7:$B$2006,"&gt;="&amp;H$6,Ingresos!$B$7:$B$2006,"&lt;"&amp;EDATE(H$6,1),Ingresos!$C$7:$C$2006,"Servicio",Ingresos!$F$7:$F$2006,"Neurofeedback")</f>
        <v>0</v>
      </c>
      <c r="I10" s="8">
        <f>SUMIFS(Ingresos!$G$7:$G$2006,Ingresos!$B$7:$B$2006,"&gt;="&amp;I$6,Ingresos!$B$7:$B$2006,"&lt;"&amp;EDATE(I$6,1),Ingresos!$C$7:$C$2006,"Servicio",Ingresos!$F$7:$F$2006,"Neurofeedback")</f>
        <v>0</v>
      </c>
      <c r="J10" s="8">
        <f>SUMIFS(Ingresos!$G$7:$G$2006,Ingresos!$B$7:$B$2006,"&gt;="&amp;J$6,Ingresos!$B$7:$B$2006,"&lt;"&amp;EDATE(J$6,1),Ingresos!$C$7:$C$2006,"Servicio",Ingresos!$F$7:$F$2006,"Neurofeedback")</f>
        <v>0</v>
      </c>
      <c r="K10" s="8">
        <f>SUMIFS(Ingresos!$G$7:$G$2006,Ingresos!$B$7:$B$2006,"&gt;="&amp;K$6,Ingresos!$B$7:$B$2006,"&lt;"&amp;EDATE(K$6,1),Ingresos!$C$7:$C$2006,"Servicio",Ingresos!$F$7:$F$2006,"Neurofeedback")</f>
        <v>0</v>
      </c>
      <c r="L10" s="8">
        <f>SUMIFS(Ingresos!$G$7:$G$2006,Ingresos!$B$7:$B$2006,"&gt;="&amp;L$6,Ingresos!$B$7:$B$2006,"&lt;"&amp;EDATE(L$6,1),Ingresos!$C$7:$C$2006,"Servicio",Ingresos!$F$7:$F$2006,"Neurofeedback")</f>
        <v>0</v>
      </c>
      <c r="M10" s="8">
        <f>SUMIFS(Ingresos!$G$7:$G$2006,Ingresos!$B$7:$B$2006,"&gt;="&amp;M$6,Ingresos!$B$7:$B$2006,"&lt;"&amp;EDATE(M$6,1),Ingresos!$C$7:$C$2006,"Servicio",Ingresos!$F$7:$F$2006,"Neurofeedback")</f>
        <v>0</v>
      </c>
      <c r="N10" s="8">
        <f>SUMIFS(Ingresos!$G$7:$G$2006,Ingresos!$B$7:$B$2006,"&gt;="&amp;N$6,Ingresos!$B$7:$B$2006,"&lt;"&amp;EDATE(N$6,1),Ingresos!$C$7:$C$2006,"Servicio",Ingresos!$F$7:$F$2006,"Neurofeedback")</f>
        <v>0</v>
      </c>
      <c r="O10" s="11">
        <f t="shared" si="0"/>
        <v>0</v>
      </c>
    </row>
    <row r="11" spans="1:15" ht="22" customHeight="1">
      <c r="A11" s="1"/>
      <c r="B11" s="1" t="s">
        <v>59</v>
      </c>
      <c r="C11" s="8">
        <f>SUMIFS(Ingresos!$G$7:$G$2006,Ingresos!$B$7:$B$2006,"&gt;="&amp;C$6,Ingresos!$B$7:$B$2006,"&lt;"&amp;EDATE(C$6,1),Ingresos!$C$7:$C$2006,"Servicio",Ingresos!$F$7:$F$2006,"Fotobiomodulación")</f>
        <v>0</v>
      </c>
      <c r="D11" s="8">
        <f>SUMIFS(Ingresos!$G$7:$G$2006,Ingresos!$B$7:$B$2006,"&gt;="&amp;D$6,Ingresos!$B$7:$B$2006,"&lt;"&amp;EDATE(D$6,1),Ingresos!$C$7:$C$2006,"Servicio",Ingresos!$F$7:$F$2006,"Fotobiomodulación")</f>
        <v>0</v>
      </c>
      <c r="E11" s="8">
        <f>SUMIFS(Ingresos!$G$7:$G$2006,Ingresos!$B$7:$B$2006,"&gt;="&amp;E$6,Ingresos!$B$7:$B$2006,"&lt;"&amp;EDATE(E$6,1),Ingresos!$C$7:$C$2006,"Servicio",Ingresos!$F$7:$F$2006,"Fotobiomodulación")</f>
        <v>0</v>
      </c>
      <c r="F11" s="8">
        <f>SUMIFS(Ingresos!$G$7:$G$2006,Ingresos!$B$7:$B$2006,"&gt;="&amp;F$6,Ingresos!$B$7:$B$2006,"&lt;"&amp;EDATE(F$6,1),Ingresos!$C$7:$C$2006,"Servicio",Ingresos!$F$7:$F$2006,"Fotobiomodulación")</f>
        <v>0</v>
      </c>
      <c r="G11" s="8">
        <f>SUMIFS(Ingresos!$G$7:$G$2006,Ingresos!$B$7:$B$2006,"&gt;="&amp;G$6,Ingresos!$B$7:$B$2006,"&lt;"&amp;EDATE(G$6,1),Ingresos!$C$7:$C$2006,"Servicio",Ingresos!$F$7:$F$2006,"Fotobiomodulación")</f>
        <v>0</v>
      </c>
      <c r="H11" s="8">
        <f>SUMIFS(Ingresos!$G$7:$G$2006,Ingresos!$B$7:$B$2006,"&gt;="&amp;H$6,Ingresos!$B$7:$B$2006,"&lt;"&amp;EDATE(H$6,1),Ingresos!$C$7:$C$2006,"Servicio",Ingresos!$F$7:$F$2006,"Fotobiomodulación")</f>
        <v>0</v>
      </c>
      <c r="I11" s="8">
        <f>SUMIFS(Ingresos!$G$7:$G$2006,Ingresos!$B$7:$B$2006,"&gt;="&amp;I$6,Ingresos!$B$7:$B$2006,"&lt;"&amp;EDATE(I$6,1),Ingresos!$C$7:$C$2006,"Servicio",Ingresos!$F$7:$F$2006,"Fotobiomodulación")</f>
        <v>0</v>
      </c>
      <c r="J11" s="8">
        <f>SUMIFS(Ingresos!$G$7:$G$2006,Ingresos!$B$7:$B$2006,"&gt;="&amp;J$6,Ingresos!$B$7:$B$2006,"&lt;"&amp;EDATE(J$6,1),Ingresos!$C$7:$C$2006,"Servicio",Ingresos!$F$7:$F$2006,"Fotobiomodulación")</f>
        <v>0</v>
      </c>
      <c r="K11" s="8">
        <f>SUMIFS(Ingresos!$G$7:$G$2006,Ingresos!$B$7:$B$2006,"&gt;="&amp;K$6,Ingresos!$B$7:$B$2006,"&lt;"&amp;EDATE(K$6,1),Ingresos!$C$7:$C$2006,"Servicio",Ingresos!$F$7:$F$2006,"Fotobiomodulación")</f>
        <v>0</v>
      </c>
      <c r="L11" s="8">
        <f>SUMIFS(Ingresos!$G$7:$G$2006,Ingresos!$B$7:$B$2006,"&gt;="&amp;L$6,Ingresos!$B$7:$B$2006,"&lt;"&amp;EDATE(L$6,1),Ingresos!$C$7:$C$2006,"Servicio",Ingresos!$F$7:$F$2006,"Fotobiomodulación")</f>
        <v>0</v>
      </c>
      <c r="M11" s="8">
        <f>SUMIFS(Ingresos!$G$7:$G$2006,Ingresos!$B$7:$B$2006,"&gt;="&amp;M$6,Ingresos!$B$7:$B$2006,"&lt;"&amp;EDATE(M$6,1),Ingresos!$C$7:$C$2006,"Servicio",Ingresos!$F$7:$F$2006,"Fotobiomodulación")</f>
        <v>0</v>
      </c>
      <c r="N11" s="8">
        <f>SUMIFS(Ingresos!$G$7:$G$2006,Ingresos!$B$7:$B$2006,"&gt;="&amp;N$6,Ingresos!$B$7:$B$2006,"&lt;"&amp;EDATE(N$6,1),Ingresos!$C$7:$C$2006,"Servicio",Ingresos!$F$7:$F$2006,"Fotobiomodulación")</f>
        <v>0</v>
      </c>
      <c r="O11" s="11">
        <f t="shared" si="0"/>
        <v>0</v>
      </c>
    </row>
    <row r="12" spans="1:15" ht="22" customHeight="1">
      <c r="A12" s="1"/>
      <c r="B12" s="1" t="s">
        <v>60</v>
      </c>
      <c r="C12" s="8">
        <f>SUMIFS(Ingresos!$G$7:$G$2006,Ingresos!$B$7:$B$2006,"&gt;="&amp;C$6,Ingresos!$B$7:$B$2006,"&lt;"&amp;EDATE(C$6,1),Ingresos!$C$7:$C$2006,"Servicio",Ingresos!$F$7:$F$2006,"Psicoterapia")</f>
        <v>0</v>
      </c>
      <c r="D12" s="8">
        <f>SUMIFS(Ingresos!$G$7:$G$2006,Ingresos!$B$7:$B$2006,"&gt;="&amp;D$6,Ingresos!$B$7:$B$2006,"&lt;"&amp;EDATE(D$6,1),Ingresos!$C$7:$C$2006,"Servicio",Ingresos!$F$7:$F$2006,"Psicoterapia")</f>
        <v>0</v>
      </c>
      <c r="E12" s="8">
        <f>SUMIFS(Ingresos!$G$7:$G$2006,Ingresos!$B$7:$B$2006,"&gt;="&amp;E$6,Ingresos!$B$7:$B$2006,"&lt;"&amp;EDATE(E$6,1),Ingresos!$C$7:$C$2006,"Servicio",Ingresos!$F$7:$F$2006,"Psicoterapia")</f>
        <v>0</v>
      </c>
      <c r="F12" s="8">
        <f>SUMIFS(Ingresos!$G$7:$G$2006,Ingresos!$B$7:$B$2006,"&gt;="&amp;F$6,Ingresos!$B$7:$B$2006,"&lt;"&amp;EDATE(F$6,1),Ingresos!$C$7:$C$2006,"Servicio",Ingresos!$F$7:$F$2006,"Psicoterapia")</f>
        <v>0</v>
      </c>
      <c r="G12" s="8">
        <f>SUMIFS(Ingresos!$G$7:$G$2006,Ingresos!$B$7:$B$2006,"&gt;="&amp;G$6,Ingresos!$B$7:$B$2006,"&lt;"&amp;EDATE(G$6,1),Ingresos!$C$7:$C$2006,"Servicio",Ingresos!$F$7:$F$2006,"Psicoterapia")</f>
        <v>0</v>
      </c>
      <c r="H12" s="8">
        <f>SUMIFS(Ingresos!$G$7:$G$2006,Ingresos!$B$7:$B$2006,"&gt;="&amp;H$6,Ingresos!$B$7:$B$2006,"&lt;"&amp;EDATE(H$6,1),Ingresos!$C$7:$C$2006,"Servicio",Ingresos!$F$7:$F$2006,"Psicoterapia")</f>
        <v>0</v>
      </c>
      <c r="I12" s="8">
        <f>SUMIFS(Ingresos!$G$7:$G$2006,Ingresos!$B$7:$B$2006,"&gt;="&amp;I$6,Ingresos!$B$7:$B$2006,"&lt;"&amp;EDATE(I$6,1),Ingresos!$C$7:$C$2006,"Servicio",Ingresos!$F$7:$F$2006,"Psicoterapia")</f>
        <v>0</v>
      </c>
      <c r="J12" s="8">
        <f>SUMIFS(Ingresos!$G$7:$G$2006,Ingresos!$B$7:$B$2006,"&gt;="&amp;J$6,Ingresos!$B$7:$B$2006,"&lt;"&amp;EDATE(J$6,1),Ingresos!$C$7:$C$2006,"Servicio",Ingresos!$F$7:$F$2006,"Psicoterapia")</f>
        <v>0</v>
      </c>
      <c r="K12" s="8">
        <f>SUMIFS(Ingresos!$G$7:$G$2006,Ingresos!$B$7:$B$2006,"&gt;="&amp;K$6,Ingresos!$B$7:$B$2006,"&lt;"&amp;EDATE(K$6,1),Ingresos!$C$7:$C$2006,"Servicio",Ingresos!$F$7:$F$2006,"Psicoterapia")</f>
        <v>0</v>
      </c>
      <c r="L12" s="8">
        <f>SUMIFS(Ingresos!$G$7:$G$2006,Ingresos!$B$7:$B$2006,"&gt;="&amp;L$6,Ingresos!$B$7:$B$2006,"&lt;"&amp;EDATE(L$6,1),Ingresos!$C$7:$C$2006,"Servicio",Ingresos!$F$7:$F$2006,"Psicoterapia")</f>
        <v>0</v>
      </c>
      <c r="M12" s="8">
        <f>SUMIFS(Ingresos!$G$7:$G$2006,Ingresos!$B$7:$B$2006,"&gt;="&amp;M$6,Ingresos!$B$7:$B$2006,"&lt;"&amp;EDATE(M$6,1),Ingresos!$C$7:$C$2006,"Servicio",Ingresos!$F$7:$F$2006,"Psicoterapia")</f>
        <v>0</v>
      </c>
      <c r="N12" s="8">
        <f>SUMIFS(Ingresos!$G$7:$G$2006,Ingresos!$B$7:$B$2006,"&gt;="&amp;N$6,Ingresos!$B$7:$B$2006,"&lt;"&amp;EDATE(N$6,1),Ingresos!$C$7:$C$2006,"Servicio",Ingresos!$F$7:$F$2006,"Psicoterapia")</f>
        <v>0</v>
      </c>
      <c r="O12" s="11">
        <f t="shared" si="0"/>
        <v>0</v>
      </c>
    </row>
    <row r="13" spans="1:15" ht="22" customHeight="1">
      <c r="A13" s="1"/>
      <c r="B13" s="1" t="s">
        <v>61</v>
      </c>
      <c r="C13" s="8">
        <f>SUMIFS(Ingresos!$G$7:$G$2006,Ingresos!$B$7:$B$2006,"&gt;="&amp;C$6,Ingresos!$B$7:$B$2006,"&lt;"&amp;EDATE(C$6,1),Ingresos!$C$7:$C$2006,"Servicio",Ingresos!$F$7:$F$2006,"Otros")</f>
        <v>0</v>
      </c>
      <c r="D13" s="8">
        <f>SUMIFS(Ingresos!$G$7:$G$2006,Ingresos!$B$7:$B$2006,"&gt;="&amp;D$6,Ingresos!$B$7:$B$2006,"&lt;"&amp;EDATE(D$6,1),Ingresos!$C$7:$C$2006,"Servicio",Ingresos!$F$7:$F$2006,"Otros")</f>
        <v>0</v>
      </c>
      <c r="E13" s="8">
        <f>SUMIFS(Ingresos!$G$7:$G$2006,Ingresos!$B$7:$B$2006,"&gt;="&amp;E$6,Ingresos!$B$7:$B$2006,"&lt;"&amp;EDATE(E$6,1),Ingresos!$C$7:$C$2006,"Servicio",Ingresos!$F$7:$F$2006,"Otros")</f>
        <v>0</v>
      </c>
      <c r="F13" s="8">
        <f>SUMIFS(Ingresos!$G$7:$G$2006,Ingresos!$B$7:$B$2006,"&gt;="&amp;F$6,Ingresos!$B$7:$B$2006,"&lt;"&amp;EDATE(F$6,1),Ingresos!$C$7:$C$2006,"Servicio",Ingresos!$F$7:$F$2006,"Otros")</f>
        <v>0</v>
      </c>
      <c r="G13" s="8">
        <f>SUMIFS(Ingresos!$G$7:$G$2006,Ingresos!$B$7:$B$2006,"&gt;="&amp;G$6,Ingresos!$B$7:$B$2006,"&lt;"&amp;EDATE(G$6,1),Ingresos!$C$7:$C$2006,"Servicio",Ingresos!$F$7:$F$2006,"Otros")</f>
        <v>0</v>
      </c>
      <c r="H13" s="8">
        <f>SUMIFS(Ingresos!$G$7:$G$2006,Ingresos!$B$7:$B$2006,"&gt;="&amp;H$6,Ingresos!$B$7:$B$2006,"&lt;"&amp;EDATE(H$6,1),Ingresos!$C$7:$C$2006,"Servicio",Ingresos!$F$7:$F$2006,"Otros")</f>
        <v>0</v>
      </c>
      <c r="I13" s="8">
        <f>SUMIFS(Ingresos!$G$7:$G$2006,Ingresos!$B$7:$B$2006,"&gt;="&amp;I$6,Ingresos!$B$7:$B$2006,"&lt;"&amp;EDATE(I$6,1),Ingresos!$C$7:$C$2006,"Servicio",Ingresos!$F$7:$F$2006,"Otros")</f>
        <v>0</v>
      </c>
      <c r="J13" s="8">
        <f>SUMIFS(Ingresos!$G$7:$G$2006,Ingresos!$B$7:$B$2006,"&gt;="&amp;J$6,Ingresos!$B$7:$B$2006,"&lt;"&amp;EDATE(J$6,1),Ingresos!$C$7:$C$2006,"Servicio",Ingresos!$F$7:$F$2006,"Otros")</f>
        <v>0</v>
      </c>
      <c r="K13" s="8">
        <f>SUMIFS(Ingresos!$G$7:$G$2006,Ingresos!$B$7:$B$2006,"&gt;="&amp;K$6,Ingresos!$B$7:$B$2006,"&lt;"&amp;EDATE(K$6,1),Ingresos!$C$7:$C$2006,"Servicio",Ingresos!$F$7:$F$2006,"Otros")</f>
        <v>0</v>
      </c>
      <c r="L13" s="8">
        <f>SUMIFS(Ingresos!$G$7:$G$2006,Ingresos!$B$7:$B$2006,"&gt;="&amp;L$6,Ingresos!$B$7:$B$2006,"&lt;"&amp;EDATE(L$6,1),Ingresos!$C$7:$C$2006,"Servicio",Ingresos!$F$7:$F$2006,"Otros")</f>
        <v>0</v>
      </c>
      <c r="M13" s="8">
        <f>SUMIFS(Ingresos!$G$7:$G$2006,Ingresos!$B$7:$B$2006,"&gt;="&amp;M$6,Ingresos!$B$7:$B$2006,"&lt;"&amp;EDATE(M$6,1),Ingresos!$C$7:$C$2006,"Servicio",Ingresos!$F$7:$F$2006,"Otros")</f>
        <v>0</v>
      </c>
      <c r="N13" s="8">
        <f>SUMIFS(Ingresos!$G$7:$G$2006,Ingresos!$B$7:$B$2006,"&gt;="&amp;N$6,Ingresos!$B$7:$B$2006,"&lt;"&amp;EDATE(N$6,1),Ingresos!$C$7:$C$2006,"Servicio",Ingresos!$F$7:$F$2006,"Otros")</f>
        <v>0</v>
      </c>
      <c r="O13" s="11">
        <f t="shared" si="0"/>
        <v>0</v>
      </c>
    </row>
    <row r="14" spans="1:15" ht="22" customHeight="1">
      <c r="A14" s="1"/>
      <c r="B14" s="12" t="s">
        <v>5</v>
      </c>
      <c r="C14" s="13">
        <f t="shared" ref="C14:N14" si="1">SUM(C7:C13)</f>
        <v>2200</v>
      </c>
      <c r="D14" s="13">
        <f t="shared" si="1"/>
        <v>0</v>
      </c>
      <c r="E14" s="13">
        <f t="shared" si="1"/>
        <v>0</v>
      </c>
      <c r="F14" s="13">
        <f t="shared" si="1"/>
        <v>0</v>
      </c>
      <c r="G14" s="13">
        <f t="shared" si="1"/>
        <v>0</v>
      </c>
      <c r="H14" s="13">
        <f t="shared" si="1"/>
        <v>0</v>
      </c>
      <c r="I14" s="13">
        <f t="shared" si="1"/>
        <v>0</v>
      </c>
      <c r="J14" s="13">
        <f t="shared" si="1"/>
        <v>0</v>
      </c>
      <c r="K14" s="13">
        <f t="shared" si="1"/>
        <v>0</v>
      </c>
      <c r="L14" s="13">
        <f t="shared" si="1"/>
        <v>0</v>
      </c>
      <c r="M14" s="13">
        <f t="shared" si="1"/>
        <v>0</v>
      </c>
      <c r="N14" s="13">
        <f t="shared" si="1"/>
        <v>0</v>
      </c>
      <c r="O14" s="14">
        <f t="shared" si="0"/>
        <v>2200</v>
      </c>
    </row>
    <row r="15" spans="1:15" ht="22" customHeight="1">
      <c r="A15" s="1"/>
      <c r="B15" s="1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11"/>
    </row>
    <row r="16" spans="1:15" ht="22" customHeight="1">
      <c r="A16" s="1"/>
      <c r="B16" s="1" t="s">
        <v>62</v>
      </c>
      <c r="C16" s="8">
        <f>SUMIFS(Gastos!$H$7:$H$2006,Gastos!$B$7:$B$2006,"&gt;="&amp;C$6,Gastos!$B$7:$B$2006,"&lt;"&amp;EDATE(C$6,1),Gastos!$C$7:$C$2006,"Gasto",Gastos!$D$7:$D$2006,"Costos clínicos")</f>
        <v>0</v>
      </c>
      <c r="D16" s="8">
        <f>SUMIFS(Gastos!$H$7:$H$2006,Gastos!$B$7:$B$2006,"&gt;="&amp;D$6,Gastos!$B$7:$B$2006,"&lt;"&amp;EDATE(D$6,1),Gastos!$C$7:$C$2006,"Gasto",Gastos!$D$7:$D$2006,"Costos clínicos")</f>
        <v>0</v>
      </c>
      <c r="E16" s="8">
        <f>SUMIFS(Gastos!$H$7:$H$2006,Gastos!$B$7:$B$2006,"&gt;="&amp;E$6,Gastos!$B$7:$B$2006,"&lt;"&amp;EDATE(E$6,1),Gastos!$C$7:$C$2006,"Gasto",Gastos!$D$7:$D$2006,"Costos clínicos")</f>
        <v>0</v>
      </c>
      <c r="F16" s="8">
        <f>SUMIFS(Gastos!$H$7:$H$2006,Gastos!$B$7:$B$2006,"&gt;="&amp;F$6,Gastos!$B$7:$B$2006,"&lt;"&amp;EDATE(F$6,1),Gastos!$C$7:$C$2006,"Gasto",Gastos!$D$7:$D$2006,"Costos clínicos")</f>
        <v>0</v>
      </c>
      <c r="G16" s="8">
        <f>SUMIFS(Gastos!$H$7:$H$2006,Gastos!$B$7:$B$2006,"&gt;="&amp;G$6,Gastos!$B$7:$B$2006,"&lt;"&amp;EDATE(G$6,1),Gastos!$C$7:$C$2006,"Gasto",Gastos!$D$7:$D$2006,"Costos clínicos")</f>
        <v>0</v>
      </c>
      <c r="H16" s="8">
        <f>SUMIFS(Gastos!$H$7:$H$2006,Gastos!$B$7:$B$2006,"&gt;="&amp;H$6,Gastos!$B$7:$B$2006,"&lt;"&amp;EDATE(H$6,1),Gastos!$C$7:$C$2006,"Gasto",Gastos!$D$7:$D$2006,"Costos clínicos")</f>
        <v>0</v>
      </c>
      <c r="I16" s="8">
        <f>SUMIFS(Gastos!$H$7:$H$2006,Gastos!$B$7:$B$2006,"&gt;="&amp;I$6,Gastos!$B$7:$B$2006,"&lt;"&amp;EDATE(I$6,1),Gastos!$C$7:$C$2006,"Gasto",Gastos!$D$7:$D$2006,"Costos clínicos")</f>
        <v>0</v>
      </c>
      <c r="J16" s="8">
        <f>SUMIFS(Gastos!$H$7:$H$2006,Gastos!$B$7:$B$2006,"&gt;="&amp;J$6,Gastos!$B$7:$B$2006,"&lt;"&amp;EDATE(J$6,1),Gastos!$C$7:$C$2006,"Gasto",Gastos!$D$7:$D$2006,"Costos clínicos")</f>
        <v>0</v>
      </c>
      <c r="K16" s="8">
        <f>SUMIFS(Gastos!$H$7:$H$2006,Gastos!$B$7:$B$2006,"&gt;="&amp;K$6,Gastos!$B$7:$B$2006,"&lt;"&amp;EDATE(K$6,1),Gastos!$C$7:$C$2006,"Gasto",Gastos!$D$7:$D$2006,"Costos clínicos")</f>
        <v>0</v>
      </c>
      <c r="L16" s="8">
        <f>SUMIFS(Gastos!$H$7:$H$2006,Gastos!$B$7:$B$2006,"&gt;="&amp;L$6,Gastos!$B$7:$B$2006,"&lt;"&amp;EDATE(L$6,1),Gastos!$C$7:$C$2006,"Gasto",Gastos!$D$7:$D$2006,"Costos clínicos")</f>
        <v>0</v>
      </c>
      <c r="M16" s="8">
        <f>SUMIFS(Gastos!$H$7:$H$2006,Gastos!$B$7:$B$2006,"&gt;="&amp;M$6,Gastos!$B$7:$B$2006,"&lt;"&amp;EDATE(M$6,1),Gastos!$C$7:$C$2006,"Gasto",Gastos!$D$7:$D$2006,"Costos clínicos")</f>
        <v>0</v>
      </c>
      <c r="N16" s="8">
        <f>SUMIFS(Gastos!$H$7:$H$2006,Gastos!$B$7:$B$2006,"&gt;="&amp;N$6,Gastos!$B$7:$B$2006,"&lt;"&amp;EDATE(N$6,1),Gastos!$C$7:$C$2006,"Gasto",Gastos!$D$7:$D$2006,"Costos clínicos")</f>
        <v>0</v>
      </c>
      <c r="O16" s="11">
        <f>SUM(C16:N16)</f>
        <v>0</v>
      </c>
    </row>
    <row r="17" spans="1:15" ht="22" customHeight="1">
      <c r="A17" s="1"/>
      <c r="B17" s="12" t="s">
        <v>63</v>
      </c>
      <c r="C17" s="13">
        <f t="shared" ref="C17:N17" si="2">C14-C16</f>
        <v>2200</v>
      </c>
      <c r="D17" s="13">
        <f t="shared" si="2"/>
        <v>0</v>
      </c>
      <c r="E17" s="13">
        <f t="shared" si="2"/>
        <v>0</v>
      </c>
      <c r="F17" s="13">
        <f t="shared" si="2"/>
        <v>0</v>
      </c>
      <c r="G17" s="13">
        <f t="shared" si="2"/>
        <v>0</v>
      </c>
      <c r="H17" s="13">
        <f t="shared" si="2"/>
        <v>0</v>
      </c>
      <c r="I17" s="13">
        <f t="shared" si="2"/>
        <v>0</v>
      </c>
      <c r="J17" s="13">
        <f t="shared" si="2"/>
        <v>0</v>
      </c>
      <c r="K17" s="13">
        <f t="shared" si="2"/>
        <v>0</v>
      </c>
      <c r="L17" s="13">
        <f t="shared" si="2"/>
        <v>0</v>
      </c>
      <c r="M17" s="13">
        <f t="shared" si="2"/>
        <v>0</v>
      </c>
      <c r="N17" s="13">
        <f t="shared" si="2"/>
        <v>0</v>
      </c>
      <c r="O17" s="14">
        <f>SUM(C17:N17)</f>
        <v>2200</v>
      </c>
    </row>
    <row r="18" spans="1:15" ht="22" customHeight="1">
      <c r="A18" s="1"/>
      <c r="B18" s="1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11"/>
    </row>
    <row r="19" spans="1:15" ht="22" customHeight="1">
      <c r="A19" s="1"/>
      <c r="B19" s="1" t="s">
        <v>64</v>
      </c>
      <c r="C19" s="8">
        <f>SUMIFS(Gastos!$H$7:$H$2006,Gastos!$B$7:$B$2006,"&gt;="&amp;C$6,Gastos!$B$7:$B$2006,"&lt;"&amp;EDATE(C$6,1),Gastos!$C$7:$C$2006,"Gasto",Gastos!$D$7:$D$2006,"Remuneración familiar")</f>
        <v>0</v>
      </c>
      <c r="D19" s="8">
        <f>SUMIFS(Gastos!$H$7:$H$2006,Gastos!$B$7:$B$2006,"&gt;="&amp;D$6,Gastos!$B$7:$B$2006,"&lt;"&amp;EDATE(D$6,1),Gastos!$C$7:$C$2006,"Gasto",Gastos!$D$7:$D$2006,"Remuneración familiar")</f>
        <v>0</v>
      </c>
      <c r="E19" s="8">
        <f>SUMIFS(Gastos!$H$7:$H$2006,Gastos!$B$7:$B$2006,"&gt;="&amp;E$6,Gastos!$B$7:$B$2006,"&lt;"&amp;EDATE(E$6,1),Gastos!$C$7:$C$2006,"Gasto",Gastos!$D$7:$D$2006,"Remuneración familiar")</f>
        <v>0</v>
      </c>
      <c r="F19" s="8">
        <f>SUMIFS(Gastos!$H$7:$H$2006,Gastos!$B$7:$B$2006,"&gt;="&amp;F$6,Gastos!$B$7:$B$2006,"&lt;"&amp;EDATE(F$6,1),Gastos!$C$7:$C$2006,"Gasto",Gastos!$D$7:$D$2006,"Remuneración familiar")</f>
        <v>0</v>
      </c>
      <c r="G19" s="8">
        <f>SUMIFS(Gastos!$H$7:$H$2006,Gastos!$B$7:$B$2006,"&gt;="&amp;G$6,Gastos!$B$7:$B$2006,"&lt;"&amp;EDATE(G$6,1),Gastos!$C$7:$C$2006,"Gasto",Gastos!$D$7:$D$2006,"Remuneración familiar")</f>
        <v>0</v>
      </c>
      <c r="H19" s="8">
        <f>SUMIFS(Gastos!$H$7:$H$2006,Gastos!$B$7:$B$2006,"&gt;="&amp;H$6,Gastos!$B$7:$B$2006,"&lt;"&amp;EDATE(H$6,1),Gastos!$C$7:$C$2006,"Gasto",Gastos!$D$7:$D$2006,"Remuneración familiar")</f>
        <v>0</v>
      </c>
      <c r="I19" s="8">
        <f>SUMIFS(Gastos!$H$7:$H$2006,Gastos!$B$7:$B$2006,"&gt;="&amp;I$6,Gastos!$B$7:$B$2006,"&lt;"&amp;EDATE(I$6,1),Gastos!$C$7:$C$2006,"Gasto",Gastos!$D$7:$D$2006,"Remuneración familiar")</f>
        <v>0</v>
      </c>
      <c r="J19" s="8">
        <f>SUMIFS(Gastos!$H$7:$H$2006,Gastos!$B$7:$B$2006,"&gt;="&amp;J$6,Gastos!$B$7:$B$2006,"&lt;"&amp;EDATE(J$6,1),Gastos!$C$7:$C$2006,"Gasto",Gastos!$D$7:$D$2006,"Remuneración familiar")</f>
        <v>0</v>
      </c>
      <c r="K19" s="8">
        <f>SUMIFS(Gastos!$H$7:$H$2006,Gastos!$B$7:$B$2006,"&gt;="&amp;K$6,Gastos!$B$7:$B$2006,"&lt;"&amp;EDATE(K$6,1),Gastos!$C$7:$C$2006,"Gasto",Gastos!$D$7:$D$2006,"Remuneración familiar")</f>
        <v>0</v>
      </c>
      <c r="L19" s="8">
        <f>SUMIFS(Gastos!$H$7:$H$2006,Gastos!$B$7:$B$2006,"&gt;="&amp;L$6,Gastos!$B$7:$B$2006,"&lt;"&amp;EDATE(L$6,1),Gastos!$C$7:$C$2006,"Gasto",Gastos!$D$7:$D$2006,"Remuneración familiar")</f>
        <v>0</v>
      </c>
      <c r="M19" s="8">
        <f>SUMIFS(Gastos!$H$7:$H$2006,Gastos!$B$7:$B$2006,"&gt;="&amp;M$6,Gastos!$B$7:$B$2006,"&lt;"&amp;EDATE(M$6,1),Gastos!$C$7:$C$2006,"Gasto",Gastos!$D$7:$D$2006,"Remuneración familiar")</f>
        <v>0</v>
      </c>
      <c r="N19" s="8">
        <f>SUMIFS(Gastos!$H$7:$H$2006,Gastos!$B$7:$B$2006,"&gt;="&amp;N$6,Gastos!$B$7:$B$2006,"&lt;"&amp;EDATE(N$6,1),Gastos!$C$7:$C$2006,"Gasto",Gastos!$D$7:$D$2006,"Remuneración familiar")</f>
        <v>0</v>
      </c>
      <c r="O19" s="11">
        <f t="shared" ref="O19:O33" si="3">SUM(C19:N19)</f>
        <v>0</v>
      </c>
    </row>
    <row r="20" spans="1:15" ht="22" customHeight="1">
      <c r="A20" s="1"/>
      <c r="B20" s="1" t="s">
        <v>65</v>
      </c>
      <c r="C20" s="8">
        <f>SUMIFS(Gastos!$H$7:$H$2006,Gastos!$B$7:$B$2006,"&gt;="&amp;C$6,Gastos!$B$7:$B$2006,"&lt;"&amp;EDATE(C$6,1),Gastos!$C$7:$C$2006,"Gasto",Gastos!$D$7:$D$2006,"Nómina y honorarios")</f>
        <v>0</v>
      </c>
      <c r="D20" s="8">
        <f>SUMIFS(Gastos!$H$7:$H$2006,Gastos!$B$7:$B$2006,"&gt;="&amp;D$6,Gastos!$B$7:$B$2006,"&lt;"&amp;EDATE(D$6,1),Gastos!$C$7:$C$2006,"Gasto",Gastos!$D$7:$D$2006,"Nómina y honorarios")</f>
        <v>0</v>
      </c>
      <c r="E20" s="8">
        <f>SUMIFS(Gastos!$H$7:$H$2006,Gastos!$B$7:$B$2006,"&gt;="&amp;E$6,Gastos!$B$7:$B$2006,"&lt;"&amp;EDATE(E$6,1),Gastos!$C$7:$C$2006,"Gasto",Gastos!$D$7:$D$2006,"Nómina y honorarios")</f>
        <v>0</v>
      </c>
      <c r="F20" s="8">
        <f>SUMIFS(Gastos!$H$7:$H$2006,Gastos!$B$7:$B$2006,"&gt;="&amp;F$6,Gastos!$B$7:$B$2006,"&lt;"&amp;EDATE(F$6,1),Gastos!$C$7:$C$2006,"Gasto",Gastos!$D$7:$D$2006,"Nómina y honorarios")</f>
        <v>0</v>
      </c>
      <c r="G20" s="8">
        <f>SUMIFS(Gastos!$H$7:$H$2006,Gastos!$B$7:$B$2006,"&gt;="&amp;G$6,Gastos!$B$7:$B$2006,"&lt;"&amp;EDATE(G$6,1),Gastos!$C$7:$C$2006,"Gasto",Gastos!$D$7:$D$2006,"Nómina y honorarios")</f>
        <v>0</v>
      </c>
      <c r="H20" s="8">
        <f>SUMIFS(Gastos!$H$7:$H$2006,Gastos!$B$7:$B$2006,"&gt;="&amp;H$6,Gastos!$B$7:$B$2006,"&lt;"&amp;EDATE(H$6,1),Gastos!$C$7:$C$2006,"Gasto",Gastos!$D$7:$D$2006,"Nómina y honorarios")</f>
        <v>0</v>
      </c>
      <c r="I20" s="8">
        <f>SUMIFS(Gastos!$H$7:$H$2006,Gastos!$B$7:$B$2006,"&gt;="&amp;I$6,Gastos!$B$7:$B$2006,"&lt;"&amp;EDATE(I$6,1),Gastos!$C$7:$C$2006,"Gasto",Gastos!$D$7:$D$2006,"Nómina y honorarios")</f>
        <v>0</v>
      </c>
      <c r="J20" s="8">
        <f>SUMIFS(Gastos!$H$7:$H$2006,Gastos!$B$7:$B$2006,"&gt;="&amp;J$6,Gastos!$B$7:$B$2006,"&lt;"&amp;EDATE(J$6,1),Gastos!$C$7:$C$2006,"Gasto",Gastos!$D$7:$D$2006,"Nómina y honorarios")</f>
        <v>0</v>
      </c>
      <c r="K20" s="8">
        <f>SUMIFS(Gastos!$H$7:$H$2006,Gastos!$B$7:$B$2006,"&gt;="&amp;K$6,Gastos!$B$7:$B$2006,"&lt;"&amp;EDATE(K$6,1),Gastos!$C$7:$C$2006,"Gasto",Gastos!$D$7:$D$2006,"Nómina y honorarios")</f>
        <v>0</v>
      </c>
      <c r="L20" s="8">
        <f>SUMIFS(Gastos!$H$7:$H$2006,Gastos!$B$7:$B$2006,"&gt;="&amp;L$6,Gastos!$B$7:$B$2006,"&lt;"&amp;EDATE(L$6,1),Gastos!$C$7:$C$2006,"Gasto",Gastos!$D$7:$D$2006,"Nómina y honorarios")</f>
        <v>0</v>
      </c>
      <c r="M20" s="8">
        <f>SUMIFS(Gastos!$H$7:$H$2006,Gastos!$B$7:$B$2006,"&gt;="&amp;M$6,Gastos!$B$7:$B$2006,"&lt;"&amp;EDATE(M$6,1),Gastos!$C$7:$C$2006,"Gasto",Gastos!$D$7:$D$2006,"Nómina y honorarios")</f>
        <v>0</v>
      </c>
      <c r="N20" s="8">
        <f>SUMIFS(Gastos!$H$7:$H$2006,Gastos!$B$7:$B$2006,"&gt;="&amp;N$6,Gastos!$B$7:$B$2006,"&lt;"&amp;EDATE(N$6,1),Gastos!$C$7:$C$2006,"Gasto",Gastos!$D$7:$D$2006,"Nómina y honorarios")</f>
        <v>0</v>
      </c>
      <c r="O20" s="11">
        <f t="shared" si="3"/>
        <v>0</v>
      </c>
    </row>
    <row r="21" spans="1:15" ht="22" customHeight="1">
      <c r="A21" s="1"/>
      <c r="B21" s="1" t="s">
        <v>66</v>
      </c>
      <c r="C21" s="8">
        <f>SUMIFS(Gastos!$H$7:$H$2006,Gastos!$B$7:$B$2006,"&gt;="&amp;C$6,Gastos!$B$7:$B$2006,"&lt;"&amp;EDATE(C$6,1),Gastos!$C$7:$C$2006,"Gasto",Gastos!$D$7:$D$2006,"Renta")</f>
        <v>0</v>
      </c>
      <c r="D21" s="8">
        <f>SUMIFS(Gastos!$H$7:$H$2006,Gastos!$B$7:$B$2006,"&gt;="&amp;D$6,Gastos!$B$7:$B$2006,"&lt;"&amp;EDATE(D$6,1),Gastos!$C$7:$C$2006,"Gasto",Gastos!$D$7:$D$2006,"Renta")</f>
        <v>0</v>
      </c>
      <c r="E21" s="8">
        <f>SUMIFS(Gastos!$H$7:$H$2006,Gastos!$B$7:$B$2006,"&gt;="&amp;E$6,Gastos!$B$7:$B$2006,"&lt;"&amp;EDATE(E$6,1),Gastos!$C$7:$C$2006,"Gasto",Gastos!$D$7:$D$2006,"Renta")</f>
        <v>0</v>
      </c>
      <c r="F21" s="8">
        <f>SUMIFS(Gastos!$H$7:$H$2006,Gastos!$B$7:$B$2006,"&gt;="&amp;F$6,Gastos!$B$7:$B$2006,"&lt;"&amp;EDATE(F$6,1),Gastos!$C$7:$C$2006,"Gasto",Gastos!$D$7:$D$2006,"Renta")</f>
        <v>0</v>
      </c>
      <c r="G21" s="8">
        <f>SUMIFS(Gastos!$H$7:$H$2006,Gastos!$B$7:$B$2006,"&gt;="&amp;G$6,Gastos!$B$7:$B$2006,"&lt;"&amp;EDATE(G$6,1),Gastos!$C$7:$C$2006,"Gasto",Gastos!$D$7:$D$2006,"Renta")</f>
        <v>0</v>
      </c>
      <c r="H21" s="8">
        <f>SUMIFS(Gastos!$H$7:$H$2006,Gastos!$B$7:$B$2006,"&gt;="&amp;H$6,Gastos!$B$7:$B$2006,"&lt;"&amp;EDATE(H$6,1),Gastos!$C$7:$C$2006,"Gasto",Gastos!$D$7:$D$2006,"Renta")</f>
        <v>0</v>
      </c>
      <c r="I21" s="8">
        <f>SUMIFS(Gastos!$H$7:$H$2006,Gastos!$B$7:$B$2006,"&gt;="&amp;I$6,Gastos!$B$7:$B$2006,"&lt;"&amp;EDATE(I$6,1),Gastos!$C$7:$C$2006,"Gasto",Gastos!$D$7:$D$2006,"Renta")</f>
        <v>0</v>
      </c>
      <c r="J21" s="8">
        <f>SUMIFS(Gastos!$H$7:$H$2006,Gastos!$B$7:$B$2006,"&gt;="&amp;J$6,Gastos!$B$7:$B$2006,"&lt;"&amp;EDATE(J$6,1),Gastos!$C$7:$C$2006,"Gasto",Gastos!$D$7:$D$2006,"Renta")</f>
        <v>0</v>
      </c>
      <c r="K21" s="8">
        <f>SUMIFS(Gastos!$H$7:$H$2006,Gastos!$B$7:$B$2006,"&gt;="&amp;K$6,Gastos!$B$7:$B$2006,"&lt;"&amp;EDATE(K$6,1),Gastos!$C$7:$C$2006,"Gasto",Gastos!$D$7:$D$2006,"Renta")</f>
        <v>0</v>
      </c>
      <c r="L21" s="8">
        <f>SUMIFS(Gastos!$H$7:$H$2006,Gastos!$B$7:$B$2006,"&gt;="&amp;L$6,Gastos!$B$7:$B$2006,"&lt;"&amp;EDATE(L$6,1),Gastos!$C$7:$C$2006,"Gasto",Gastos!$D$7:$D$2006,"Renta")</f>
        <v>0</v>
      </c>
      <c r="M21" s="8">
        <f>SUMIFS(Gastos!$H$7:$H$2006,Gastos!$B$7:$B$2006,"&gt;="&amp;M$6,Gastos!$B$7:$B$2006,"&lt;"&amp;EDATE(M$6,1),Gastos!$C$7:$C$2006,"Gasto",Gastos!$D$7:$D$2006,"Renta")</f>
        <v>0</v>
      </c>
      <c r="N21" s="8">
        <f>SUMIFS(Gastos!$H$7:$H$2006,Gastos!$B$7:$B$2006,"&gt;="&amp;N$6,Gastos!$B$7:$B$2006,"&lt;"&amp;EDATE(N$6,1),Gastos!$C$7:$C$2006,"Gasto",Gastos!$D$7:$D$2006,"Renta")</f>
        <v>0</v>
      </c>
      <c r="O21" s="11">
        <f t="shared" si="3"/>
        <v>0</v>
      </c>
    </row>
    <row r="22" spans="1:15" ht="22" customHeight="1">
      <c r="A22" s="1"/>
      <c r="B22" s="1" t="s">
        <v>67</v>
      </c>
      <c r="C22" s="8">
        <f>SUMIFS(Gastos!$H$7:$H$2006,Gastos!$B$7:$B$2006,"&gt;="&amp;C$6,Gastos!$B$7:$B$2006,"&lt;"&amp;EDATE(C$6,1),Gastos!$C$7:$C$2006,"Gasto",Gastos!$D$7:$D$2006,"Marketing")</f>
        <v>0</v>
      </c>
      <c r="D22" s="8">
        <f>SUMIFS(Gastos!$H$7:$H$2006,Gastos!$B$7:$B$2006,"&gt;="&amp;D$6,Gastos!$B$7:$B$2006,"&lt;"&amp;EDATE(D$6,1),Gastos!$C$7:$C$2006,"Gasto",Gastos!$D$7:$D$2006,"Marketing")</f>
        <v>0</v>
      </c>
      <c r="E22" s="8">
        <f>SUMIFS(Gastos!$H$7:$H$2006,Gastos!$B$7:$B$2006,"&gt;="&amp;E$6,Gastos!$B$7:$B$2006,"&lt;"&amp;EDATE(E$6,1),Gastos!$C$7:$C$2006,"Gasto",Gastos!$D$7:$D$2006,"Marketing")</f>
        <v>0</v>
      </c>
      <c r="F22" s="8">
        <f>SUMIFS(Gastos!$H$7:$H$2006,Gastos!$B$7:$B$2006,"&gt;="&amp;F$6,Gastos!$B$7:$B$2006,"&lt;"&amp;EDATE(F$6,1),Gastos!$C$7:$C$2006,"Gasto",Gastos!$D$7:$D$2006,"Marketing")</f>
        <v>0</v>
      </c>
      <c r="G22" s="8">
        <f>SUMIFS(Gastos!$H$7:$H$2006,Gastos!$B$7:$B$2006,"&gt;="&amp;G$6,Gastos!$B$7:$B$2006,"&lt;"&amp;EDATE(G$6,1),Gastos!$C$7:$C$2006,"Gasto",Gastos!$D$7:$D$2006,"Marketing")</f>
        <v>0</v>
      </c>
      <c r="H22" s="8">
        <f>SUMIFS(Gastos!$H$7:$H$2006,Gastos!$B$7:$B$2006,"&gt;="&amp;H$6,Gastos!$B$7:$B$2006,"&lt;"&amp;EDATE(H$6,1),Gastos!$C$7:$C$2006,"Gasto",Gastos!$D$7:$D$2006,"Marketing")</f>
        <v>0</v>
      </c>
      <c r="I22" s="8">
        <f>SUMIFS(Gastos!$H$7:$H$2006,Gastos!$B$7:$B$2006,"&gt;="&amp;I$6,Gastos!$B$7:$B$2006,"&lt;"&amp;EDATE(I$6,1),Gastos!$C$7:$C$2006,"Gasto",Gastos!$D$7:$D$2006,"Marketing")</f>
        <v>0</v>
      </c>
      <c r="J22" s="8">
        <f>SUMIFS(Gastos!$H$7:$H$2006,Gastos!$B$7:$B$2006,"&gt;="&amp;J$6,Gastos!$B$7:$B$2006,"&lt;"&amp;EDATE(J$6,1),Gastos!$C$7:$C$2006,"Gasto",Gastos!$D$7:$D$2006,"Marketing")</f>
        <v>0</v>
      </c>
      <c r="K22" s="8">
        <f>SUMIFS(Gastos!$H$7:$H$2006,Gastos!$B$7:$B$2006,"&gt;="&amp;K$6,Gastos!$B$7:$B$2006,"&lt;"&amp;EDATE(K$6,1),Gastos!$C$7:$C$2006,"Gasto",Gastos!$D$7:$D$2006,"Marketing")</f>
        <v>0</v>
      </c>
      <c r="L22" s="8">
        <f>SUMIFS(Gastos!$H$7:$H$2006,Gastos!$B$7:$B$2006,"&gt;="&amp;L$6,Gastos!$B$7:$B$2006,"&lt;"&amp;EDATE(L$6,1),Gastos!$C$7:$C$2006,"Gasto",Gastos!$D$7:$D$2006,"Marketing")</f>
        <v>0</v>
      </c>
      <c r="M22" s="8">
        <f>SUMIFS(Gastos!$H$7:$H$2006,Gastos!$B$7:$B$2006,"&gt;="&amp;M$6,Gastos!$B$7:$B$2006,"&lt;"&amp;EDATE(M$6,1),Gastos!$C$7:$C$2006,"Gasto",Gastos!$D$7:$D$2006,"Marketing")</f>
        <v>0</v>
      </c>
      <c r="N22" s="8">
        <f>SUMIFS(Gastos!$H$7:$H$2006,Gastos!$B$7:$B$2006,"&gt;="&amp;N$6,Gastos!$B$7:$B$2006,"&lt;"&amp;EDATE(N$6,1),Gastos!$C$7:$C$2006,"Gasto",Gastos!$D$7:$D$2006,"Marketing")</f>
        <v>0</v>
      </c>
      <c r="O22" s="11">
        <f t="shared" si="3"/>
        <v>0</v>
      </c>
    </row>
    <row r="23" spans="1:15" ht="22" customHeight="1">
      <c r="A23" s="1"/>
      <c r="B23" s="1" t="s">
        <v>68</v>
      </c>
      <c r="C23" s="8">
        <f>SUMIFS(Gastos!$H$7:$H$2006,Gastos!$B$7:$B$2006,"&gt;="&amp;C$6,Gastos!$B$7:$B$2006,"&lt;"&amp;EDATE(C$6,1),Gastos!$C$7:$C$2006,"Gasto",Gastos!$D$7:$D$2006,"Servicios y software")</f>
        <v>0</v>
      </c>
      <c r="D23" s="8">
        <f>SUMIFS(Gastos!$H$7:$H$2006,Gastos!$B$7:$B$2006,"&gt;="&amp;D$6,Gastos!$B$7:$B$2006,"&lt;"&amp;EDATE(D$6,1),Gastos!$C$7:$C$2006,"Gasto",Gastos!$D$7:$D$2006,"Servicios y software")</f>
        <v>0</v>
      </c>
      <c r="E23" s="8">
        <f>SUMIFS(Gastos!$H$7:$H$2006,Gastos!$B$7:$B$2006,"&gt;="&amp;E$6,Gastos!$B$7:$B$2006,"&lt;"&amp;EDATE(E$6,1),Gastos!$C$7:$C$2006,"Gasto",Gastos!$D$7:$D$2006,"Servicios y software")</f>
        <v>0</v>
      </c>
      <c r="F23" s="8">
        <f>SUMIFS(Gastos!$H$7:$H$2006,Gastos!$B$7:$B$2006,"&gt;="&amp;F$6,Gastos!$B$7:$B$2006,"&lt;"&amp;EDATE(F$6,1),Gastos!$C$7:$C$2006,"Gasto",Gastos!$D$7:$D$2006,"Servicios y software")</f>
        <v>0</v>
      </c>
      <c r="G23" s="8">
        <f>SUMIFS(Gastos!$H$7:$H$2006,Gastos!$B$7:$B$2006,"&gt;="&amp;G$6,Gastos!$B$7:$B$2006,"&lt;"&amp;EDATE(G$6,1),Gastos!$C$7:$C$2006,"Gasto",Gastos!$D$7:$D$2006,"Servicios y software")</f>
        <v>0</v>
      </c>
      <c r="H23" s="8">
        <f>SUMIFS(Gastos!$H$7:$H$2006,Gastos!$B$7:$B$2006,"&gt;="&amp;H$6,Gastos!$B$7:$B$2006,"&lt;"&amp;EDATE(H$6,1),Gastos!$C$7:$C$2006,"Gasto",Gastos!$D$7:$D$2006,"Servicios y software")</f>
        <v>0</v>
      </c>
      <c r="I23" s="8">
        <f>SUMIFS(Gastos!$H$7:$H$2006,Gastos!$B$7:$B$2006,"&gt;="&amp;I$6,Gastos!$B$7:$B$2006,"&lt;"&amp;EDATE(I$6,1),Gastos!$C$7:$C$2006,"Gasto",Gastos!$D$7:$D$2006,"Servicios y software")</f>
        <v>0</v>
      </c>
      <c r="J23" s="8">
        <f>SUMIFS(Gastos!$H$7:$H$2006,Gastos!$B$7:$B$2006,"&gt;="&amp;J$6,Gastos!$B$7:$B$2006,"&lt;"&amp;EDATE(J$6,1),Gastos!$C$7:$C$2006,"Gasto",Gastos!$D$7:$D$2006,"Servicios y software")</f>
        <v>0</v>
      </c>
      <c r="K23" s="8">
        <f>SUMIFS(Gastos!$H$7:$H$2006,Gastos!$B$7:$B$2006,"&gt;="&amp;K$6,Gastos!$B$7:$B$2006,"&lt;"&amp;EDATE(K$6,1),Gastos!$C$7:$C$2006,"Gasto",Gastos!$D$7:$D$2006,"Servicios y software")</f>
        <v>0</v>
      </c>
      <c r="L23" s="8">
        <f>SUMIFS(Gastos!$H$7:$H$2006,Gastos!$B$7:$B$2006,"&gt;="&amp;L$6,Gastos!$B$7:$B$2006,"&lt;"&amp;EDATE(L$6,1),Gastos!$C$7:$C$2006,"Gasto",Gastos!$D$7:$D$2006,"Servicios y software")</f>
        <v>0</v>
      </c>
      <c r="M23" s="8">
        <f>SUMIFS(Gastos!$H$7:$H$2006,Gastos!$B$7:$B$2006,"&gt;="&amp;M$6,Gastos!$B$7:$B$2006,"&lt;"&amp;EDATE(M$6,1),Gastos!$C$7:$C$2006,"Gasto",Gastos!$D$7:$D$2006,"Servicios y software")</f>
        <v>0</v>
      </c>
      <c r="N23" s="8">
        <f>SUMIFS(Gastos!$H$7:$H$2006,Gastos!$B$7:$B$2006,"&gt;="&amp;N$6,Gastos!$B$7:$B$2006,"&lt;"&amp;EDATE(N$6,1),Gastos!$C$7:$C$2006,"Gasto",Gastos!$D$7:$D$2006,"Servicios y software")</f>
        <v>0</v>
      </c>
      <c r="O23" s="11">
        <f t="shared" si="3"/>
        <v>0</v>
      </c>
    </row>
    <row r="24" spans="1:15" ht="22" customHeight="1">
      <c r="A24" s="1"/>
      <c r="B24" s="1" t="s">
        <v>69</v>
      </c>
      <c r="C24" s="8">
        <f>SUMIFS(Gastos!$H$7:$H$2006,Gastos!$B$7:$B$2006,"&gt;="&amp;C$6,Gastos!$B$7:$B$2006,"&lt;"&amp;EDATE(C$6,1),Gastos!$C$7:$C$2006,"Gasto",Gastos!$D$7:$D$2006,"Mantenimiento")</f>
        <v>0</v>
      </c>
      <c r="D24" s="8">
        <f>SUMIFS(Gastos!$H$7:$H$2006,Gastos!$B$7:$B$2006,"&gt;="&amp;D$6,Gastos!$B$7:$B$2006,"&lt;"&amp;EDATE(D$6,1),Gastos!$C$7:$C$2006,"Gasto",Gastos!$D$7:$D$2006,"Mantenimiento")</f>
        <v>0</v>
      </c>
      <c r="E24" s="8">
        <f>SUMIFS(Gastos!$H$7:$H$2006,Gastos!$B$7:$B$2006,"&gt;="&amp;E$6,Gastos!$B$7:$B$2006,"&lt;"&amp;EDATE(E$6,1),Gastos!$C$7:$C$2006,"Gasto",Gastos!$D$7:$D$2006,"Mantenimiento")</f>
        <v>0</v>
      </c>
      <c r="F24" s="8">
        <f>SUMIFS(Gastos!$H$7:$H$2006,Gastos!$B$7:$B$2006,"&gt;="&amp;F$6,Gastos!$B$7:$B$2006,"&lt;"&amp;EDATE(F$6,1),Gastos!$C$7:$C$2006,"Gasto",Gastos!$D$7:$D$2006,"Mantenimiento")</f>
        <v>0</v>
      </c>
      <c r="G24" s="8">
        <f>SUMIFS(Gastos!$H$7:$H$2006,Gastos!$B$7:$B$2006,"&gt;="&amp;G$6,Gastos!$B$7:$B$2006,"&lt;"&amp;EDATE(G$6,1),Gastos!$C$7:$C$2006,"Gasto",Gastos!$D$7:$D$2006,"Mantenimiento")</f>
        <v>0</v>
      </c>
      <c r="H24" s="8">
        <f>SUMIFS(Gastos!$H$7:$H$2006,Gastos!$B$7:$B$2006,"&gt;="&amp;H$6,Gastos!$B$7:$B$2006,"&lt;"&amp;EDATE(H$6,1),Gastos!$C$7:$C$2006,"Gasto",Gastos!$D$7:$D$2006,"Mantenimiento")</f>
        <v>0</v>
      </c>
      <c r="I24" s="8">
        <f>SUMIFS(Gastos!$H$7:$H$2006,Gastos!$B$7:$B$2006,"&gt;="&amp;I$6,Gastos!$B$7:$B$2006,"&lt;"&amp;EDATE(I$6,1),Gastos!$C$7:$C$2006,"Gasto",Gastos!$D$7:$D$2006,"Mantenimiento")</f>
        <v>0</v>
      </c>
      <c r="J24" s="8">
        <f>SUMIFS(Gastos!$H$7:$H$2006,Gastos!$B$7:$B$2006,"&gt;="&amp;J$6,Gastos!$B$7:$B$2006,"&lt;"&amp;EDATE(J$6,1),Gastos!$C$7:$C$2006,"Gasto",Gastos!$D$7:$D$2006,"Mantenimiento")</f>
        <v>0</v>
      </c>
      <c r="K24" s="8">
        <f>SUMIFS(Gastos!$H$7:$H$2006,Gastos!$B$7:$B$2006,"&gt;="&amp;K$6,Gastos!$B$7:$B$2006,"&lt;"&amp;EDATE(K$6,1),Gastos!$C$7:$C$2006,"Gasto",Gastos!$D$7:$D$2006,"Mantenimiento")</f>
        <v>0</v>
      </c>
      <c r="L24" s="8">
        <f>SUMIFS(Gastos!$H$7:$H$2006,Gastos!$B$7:$B$2006,"&gt;="&amp;L$6,Gastos!$B$7:$B$2006,"&lt;"&amp;EDATE(L$6,1),Gastos!$C$7:$C$2006,"Gasto",Gastos!$D$7:$D$2006,"Mantenimiento")</f>
        <v>0</v>
      </c>
      <c r="M24" s="8">
        <f>SUMIFS(Gastos!$H$7:$H$2006,Gastos!$B$7:$B$2006,"&gt;="&amp;M$6,Gastos!$B$7:$B$2006,"&lt;"&amp;EDATE(M$6,1),Gastos!$C$7:$C$2006,"Gasto",Gastos!$D$7:$D$2006,"Mantenimiento")</f>
        <v>0</v>
      </c>
      <c r="N24" s="8">
        <f>SUMIFS(Gastos!$H$7:$H$2006,Gastos!$B$7:$B$2006,"&gt;="&amp;N$6,Gastos!$B$7:$B$2006,"&lt;"&amp;EDATE(N$6,1),Gastos!$C$7:$C$2006,"Gasto",Gastos!$D$7:$D$2006,"Mantenimiento")</f>
        <v>0</v>
      </c>
      <c r="O24" s="11">
        <f t="shared" si="3"/>
        <v>0</v>
      </c>
    </row>
    <row r="25" spans="1:15" ht="22" customHeight="1">
      <c r="A25" s="1"/>
      <c r="B25" s="1" t="s">
        <v>70</v>
      </c>
      <c r="C25" s="8">
        <f>SUMIFS(Gastos!$H$7:$H$2006,Gastos!$B$7:$B$2006,"&gt;="&amp;C$6,Gastos!$B$7:$B$2006,"&lt;"&amp;EDATE(C$6,1),Gastos!$C$7:$C$2006,"Gasto",Gastos!$D$7:$D$2006,"Otros")</f>
        <v>0</v>
      </c>
      <c r="D25" s="8">
        <f>SUMIFS(Gastos!$H$7:$H$2006,Gastos!$B$7:$B$2006,"&gt;="&amp;D$6,Gastos!$B$7:$B$2006,"&lt;"&amp;EDATE(D$6,1),Gastos!$C$7:$C$2006,"Gasto",Gastos!$D$7:$D$2006,"Otros")</f>
        <v>0</v>
      </c>
      <c r="E25" s="8">
        <f>SUMIFS(Gastos!$H$7:$H$2006,Gastos!$B$7:$B$2006,"&gt;="&amp;E$6,Gastos!$B$7:$B$2006,"&lt;"&amp;EDATE(E$6,1),Gastos!$C$7:$C$2006,"Gasto",Gastos!$D$7:$D$2006,"Otros")</f>
        <v>0</v>
      </c>
      <c r="F25" s="8">
        <f>SUMIFS(Gastos!$H$7:$H$2006,Gastos!$B$7:$B$2006,"&gt;="&amp;F$6,Gastos!$B$7:$B$2006,"&lt;"&amp;EDATE(F$6,1),Gastos!$C$7:$C$2006,"Gasto",Gastos!$D$7:$D$2006,"Otros")</f>
        <v>0</v>
      </c>
      <c r="G25" s="8">
        <f>SUMIFS(Gastos!$H$7:$H$2006,Gastos!$B$7:$B$2006,"&gt;="&amp;G$6,Gastos!$B$7:$B$2006,"&lt;"&amp;EDATE(G$6,1),Gastos!$C$7:$C$2006,"Gasto",Gastos!$D$7:$D$2006,"Otros")</f>
        <v>0</v>
      </c>
      <c r="H25" s="8">
        <f>SUMIFS(Gastos!$H$7:$H$2006,Gastos!$B$7:$B$2006,"&gt;="&amp;H$6,Gastos!$B$7:$B$2006,"&lt;"&amp;EDATE(H$6,1),Gastos!$C$7:$C$2006,"Gasto",Gastos!$D$7:$D$2006,"Otros")</f>
        <v>0</v>
      </c>
      <c r="I25" s="8">
        <f>SUMIFS(Gastos!$H$7:$H$2006,Gastos!$B$7:$B$2006,"&gt;="&amp;I$6,Gastos!$B$7:$B$2006,"&lt;"&amp;EDATE(I$6,1),Gastos!$C$7:$C$2006,"Gasto",Gastos!$D$7:$D$2006,"Otros")</f>
        <v>0</v>
      </c>
      <c r="J25" s="8">
        <f>SUMIFS(Gastos!$H$7:$H$2006,Gastos!$B$7:$B$2006,"&gt;="&amp;J$6,Gastos!$B$7:$B$2006,"&lt;"&amp;EDATE(J$6,1),Gastos!$C$7:$C$2006,"Gasto",Gastos!$D$7:$D$2006,"Otros")</f>
        <v>0</v>
      </c>
      <c r="K25" s="8">
        <f>SUMIFS(Gastos!$H$7:$H$2006,Gastos!$B$7:$B$2006,"&gt;="&amp;K$6,Gastos!$B$7:$B$2006,"&lt;"&amp;EDATE(K$6,1),Gastos!$C$7:$C$2006,"Gasto",Gastos!$D$7:$D$2006,"Otros")</f>
        <v>0</v>
      </c>
      <c r="L25" s="8">
        <f>SUMIFS(Gastos!$H$7:$H$2006,Gastos!$B$7:$B$2006,"&gt;="&amp;L$6,Gastos!$B$7:$B$2006,"&lt;"&amp;EDATE(L$6,1),Gastos!$C$7:$C$2006,"Gasto",Gastos!$D$7:$D$2006,"Otros")</f>
        <v>0</v>
      </c>
      <c r="M25" s="8">
        <f>SUMIFS(Gastos!$H$7:$H$2006,Gastos!$B$7:$B$2006,"&gt;="&amp;M$6,Gastos!$B$7:$B$2006,"&lt;"&amp;EDATE(M$6,1),Gastos!$C$7:$C$2006,"Gasto",Gastos!$D$7:$D$2006,"Otros")</f>
        <v>0</v>
      </c>
      <c r="N25" s="8">
        <f>SUMIFS(Gastos!$H$7:$H$2006,Gastos!$B$7:$B$2006,"&gt;="&amp;N$6,Gastos!$B$7:$B$2006,"&lt;"&amp;EDATE(N$6,1),Gastos!$C$7:$C$2006,"Gasto",Gastos!$D$7:$D$2006,"Otros")</f>
        <v>0</v>
      </c>
      <c r="O25" s="11">
        <f t="shared" si="3"/>
        <v>0</v>
      </c>
    </row>
    <row r="26" spans="1:15" ht="22" customHeight="1">
      <c r="A26" s="1"/>
      <c r="B26" s="12" t="s">
        <v>71</v>
      </c>
      <c r="C26" s="13">
        <f t="shared" ref="C26:N26" si="4">SUM(C19:C25)</f>
        <v>0</v>
      </c>
      <c r="D26" s="13">
        <f t="shared" si="4"/>
        <v>0</v>
      </c>
      <c r="E26" s="13">
        <f t="shared" si="4"/>
        <v>0</v>
      </c>
      <c r="F26" s="13">
        <f t="shared" si="4"/>
        <v>0</v>
      </c>
      <c r="G26" s="13">
        <f t="shared" si="4"/>
        <v>0</v>
      </c>
      <c r="H26" s="13">
        <f t="shared" si="4"/>
        <v>0</v>
      </c>
      <c r="I26" s="13">
        <f t="shared" si="4"/>
        <v>0</v>
      </c>
      <c r="J26" s="13">
        <f t="shared" si="4"/>
        <v>0</v>
      </c>
      <c r="K26" s="13">
        <f t="shared" si="4"/>
        <v>0</v>
      </c>
      <c r="L26" s="13">
        <f t="shared" si="4"/>
        <v>0</v>
      </c>
      <c r="M26" s="13">
        <f t="shared" si="4"/>
        <v>0</v>
      </c>
      <c r="N26" s="13">
        <f t="shared" si="4"/>
        <v>0</v>
      </c>
      <c r="O26" s="14">
        <f t="shared" si="3"/>
        <v>0</v>
      </c>
    </row>
    <row r="27" spans="1:15" ht="22" customHeight="1">
      <c r="A27" s="1"/>
      <c r="B27" s="12" t="s">
        <v>72</v>
      </c>
      <c r="C27" s="13">
        <f t="shared" ref="C27:N27" si="5">C17-C26</f>
        <v>2200</v>
      </c>
      <c r="D27" s="13">
        <f t="shared" si="5"/>
        <v>0</v>
      </c>
      <c r="E27" s="13">
        <f t="shared" si="5"/>
        <v>0</v>
      </c>
      <c r="F27" s="13">
        <f t="shared" si="5"/>
        <v>0</v>
      </c>
      <c r="G27" s="13">
        <f t="shared" si="5"/>
        <v>0</v>
      </c>
      <c r="H27" s="13">
        <f t="shared" si="5"/>
        <v>0</v>
      </c>
      <c r="I27" s="13">
        <f t="shared" si="5"/>
        <v>0</v>
      </c>
      <c r="J27" s="13">
        <f t="shared" si="5"/>
        <v>0</v>
      </c>
      <c r="K27" s="13">
        <f t="shared" si="5"/>
        <v>0</v>
      </c>
      <c r="L27" s="13">
        <f t="shared" si="5"/>
        <v>0</v>
      </c>
      <c r="M27" s="13">
        <f t="shared" si="5"/>
        <v>0</v>
      </c>
      <c r="N27" s="13">
        <f t="shared" si="5"/>
        <v>0</v>
      </c>
      <c r="O27" s="14">
        <f t="shared" si="3"/>
        <v>2200</v>
      </c>
    </row>
    <row r="28" spans="1:15" ht="22" customHeight="1">
      <c r="A28" s="1"/>
      <c r="B28" s="1" t="s">
        <v>73</v>
      </c>
      <c r="C28" s="8">
        <f>SUM(Activos!M7:M106)</f>
        <v>0</v>
      </c>
      <c r="D28" s="8">
        <f>SUM(Activos!N7:N106)</f>
        <v>0</v>
      </c>
      <c r="E28" s="8">
        <f>SUM(Activos!O7:O106)</f>
        <v>0</v>
      </c>
      <c r="F28" s="8">
        <f>SUM(Activos!P7:P106)</f>
        <v>0</v>
      </c>
      <c r="G28" s="8">
        <f>SUM(Activos!Q7:Q106)</f>
        <v>0</v>
      </c>
      <c r="H28" s="8">
        <f>SUM(Activos!R7:R106)</f>
        <v>0</v>
      </c>
      <c r="I28" s="8">
        <f>SUM(Activos!S7:S106)</f>
        <v>0</v>
      </c>
      <c r="J28" s="8">
        <f>SUM(Activos!T7:T106)</f>
        <v>0</v>
      </c>
      <c r="K28" s="8">
        <f>SUM(Activos!U7:U106)</f>
        <v>0</v>
      </c>
      <c r="L28" s="8">
        <f>SUM(Activos!V7:V106)</f>
        <v>0</v>
      </c>
      <c r="M28" s="8">
        <f>SUM(Activos!W7:W106)</f>
        <v>0</v>
      </c>
      <c r="N28" s="8">
        <f>SUM(Activos!X7:X106)</f>
        <v>0</v>
      </c>
      <c r="O28" s="11">
        <f t="shared" si="3"/>
        <v>0</v>
      </c>
    </row>
    <row r="29" spans="1:15" ht="22" customHeight="1">
      <c r="A29" s="1"/>
      <c r="B29" s="12" t="s">
        <v>74</v>
      </c>
      <c r="C29" s="13">
        <f t="shared" ref="C29:N29" si="6">C27-C28</f>
        <v>2200</v>
      </c>
      <c r="D29" s="13">
        <f t="shared" si="6"/>
        <v>0</v>
      </c>
      <c r="E29" s="13">
        <f t="shared" si="6"/>
        <v>0</v>
      </c>
      <c r="F29" s="13">
        <f t="shared" si="6"/>
        <v>0</v>
      </c>
      <c r="G29" s="13">
        <f t="shared" si="6"/>
        <v>0</v>
      </c>
      <c r="H29" s="13">
        <f t="shared" si="6"/>
        <v>0</v>
      </c>
      <c r="I29" s="13">
        <f t="shared" si="6"/>
        <v>0</v>
      </c>
      <c r="J29" s="13">
        <f t="shared" si="6"/>
        <v>0</v>
      </c>
      <c r="K29" s="13">
        <f t="shared" si="6"/>
        <v>0</v>
      </c>
      <c r="L29" s="13">
        <f t="shared" si="6"/>
        <v>0</v>
      </c>
      <c r="M29" s="13">
        <f t="shared" si="6"/>
        <v>0</v>
      </c>
      <c r="N29" s="13">
        <f t="shared" si="6"/>
        <v>0</v>
      </c>
      <c r="O29" s="14">
        <f t="shared" si="3"/>
        <v>2200</v>
      </c>
    </row>
    <row r="30" spans="1:15" ht="22" customHeight="1">
      <c r="A30" s="1"/>
      <c r="B30" s="1" t="s">
        <v>75</v>
      </c>
      <c r="C30" s="8">
        <f>SUMIFS(Gastos!$H$7:$H$2006,Gastos!$B$7:$B$2006,"&gt;="&amp;C$6,Gastos!$B$7:$B$2006,"&lt;"&amp;EDATE(C$6,1),Gastos!$C$7:$C$2006,"Gasto",Gastos!$D$7:$D$2006,"Intereses")</f>
        <v>0</v>
      </c>
      <c r="D30" s="8">
        <f>SUMIFS(Gastos!$H$7:$H$2006,Gastos!$B$7:$B$2006,"&gt;="&amp;D$6,Gastos!$B$7:$B$2006,"&lt;"&amp;EDATE(D$6,1),Gastos!$C$7:$C$2006,"Gasto",Gastos!$D$7:$D$2006,"Intereses")</f>
        <v>0</v>
      </c>
      <c r="E30" s="8">
        <f>SUMIFS(Gastos!$H$7:$H$2006,Gastos!$B$7:$B$2006,"&gt;="&amp;E$6,Gastos!$B$7:$B$2006,"&lt;"&amp;EDATE(E$6,1),Gastos!$C$7:$C$2006,"Gasto",Gastos!$D$7:$D$2006,"Intereses")</f>
        <v>0</v>
      </c>
      <c r="F30" s="8">
        <f>SUMIFS(Gastos!$H$7:$H$2006,Gastos!$B$7:$B$2006,"&gt;="&amp;F$6,Gastos!$B$7:$B$2006,"&lt;"&amp;EDATE(F$6,1),Gastos!$C$7:$C$2006,"Gasto",Gastos!$D$7:$D$2006,"Intereses")</f>
        <v>0</v>
      </c>
      <c r="G30" s="8">
        <f>SUMIFS(Gastos!$H$7:$H$2006,Gastos!$B$7:$B$2006,"&gt;="&amp;G$6,Gastos!$B$7:$B$2006,"&lt;"&amp;EDATE(G$6,1),Gastos!$C$7:$C$2006,"Gasto",Gastos!$D$7:$D$2006,"Intereses")</f>
        <v>0</v>
      </c>
      <c r="H30" s="8">
        <f>SUMIFS(Gastos!$H$7:$H$2006,Gastos!$B$7:$B$2006,"&gt;="&amp;H$6,Gastos!$B$7:$B$2006,"&lt;"&amp;EDATE(H$6,1),Gastos!$C$7:$C$2006,"Gasto",Gastos!$D$7:$D$2006,"Intereses")</f>
        <v>0</v>
      </c>
      <c r="I30" s="8">
        <f>SUMIFS(Gastos!$H$7:$H$2006,Gastos!$B$7:$B$2006,"&gt;="&amp;I$6,Gastos!$B$7:$B$2006,"&lt;"&amp;EDATE(I$6,1),Gastos!$C$7:$C$2006,"Gasto",Gastos!$D$7:$D$2006,"Intereses")</f>
        <v>0</v>
      </c>
      <c r="J30" s="8">
        <f>SUMIFS(Gastos!$H$7:$H$2006,Gastos!$B$7:$B$2006,"&gt;="&amp;J$6,Gastos!$B$7:$B$2006,"&lt;"&amp;EDATE(J$6,1),Gastos!$C$7:$C$2006,"Gasto",Gastos!$D$7:$D$2006,"Intereses")</f>
        <v>0</v>
      </c>
      <c r="K30" s="8">
        <f>SUMIFS(Gastos!$H$7:$H$2006,Gastos!$B$7:$B$2006,"&gt;="&amp;K$6,Gastos!$B$7:$B$2006,"&lt;"&amp;EDATE(K$6,1),Gastos!$C$7:$C$2006,"Gasto",Gastos!$D$7:$D$2006,"Intereses")</f>
        <v>0</v>
      </c>
      <c r="L30" s="8">
        <f>SUMIFS(Gastos!$H$7:$H$2006,Gastos!$B$7:$B$2006,"&gt;="&amp;L$6,Gastos!$B$7:$B$2006,"&lt;"&amp;EDATE(L$6,1),Gastos!$C$7:$C$2006,"Gasto",Gastos!$D$7:$D$2006,"Intereses")</f>
        <v>0</v>
      </c>
      <c r="M30" s="8">
        <f>SUMIFS(Gastos!$H$7:$H$2006,Gastos!$B$7:$B$2006,"&gt;="&amp;M$6,Gastos!$B$7:$B$2006,"&lt;"&amp;EDATE(M$6,1),Gastos!$C$7:$C$2006,"Gasto",Gastos!$D$7:$D$2006,"Intereses")</f>
        <v>0</v>
      </c>
      <c r="N30" s="8">
        <f>SUMIFS(Gastos!$H$7:$H$2006,Gastos!$B$7:$B$2006,"&gt;="&amp;N$6,Gastos!$B$7:$B$2006,"&lt;"&amp;EDATE(N$6,1),Gastos!$C$7:$C$2006,"Gasto",Gastos!$D$7:$D$2006,"Intereses")</f>
        <v>0</v>
      </c>
      <c r="O30" s="11">
        <f t="shared" si="3"/>
        <v>0</v>
      </c>
    </row>
    <row r="31" spans="1:15" ht="22" customHeight="1">
      <c r="A31" s="1"/>
      <c r="B31" s="1" t="s">
        <v>76</v>
      </c>
      <c r="C31" s="8">
        <f t="shared" ref="C31:N31" si="7">C29-C30</f>
        <v>2200</v>
      </c>
      <c r="D31" s="8">
        <f t="shared" si="7"/>
        <v>0</v>
      </c>
      <c r="E31" s="8">
        <f t="shared" si="7"/>
        <v>0</v>
      </c>
      <c r="F31" s="8">
        <f t="shared" si="7"/>
        <v>0</v>
      </c>
      <c r="G31" s="8">
        <f t="shared" si="7"/>
        <v>0</v>
      </c>
      <c r="H31" s="8">
        <f t="shared" si="7"/>
        <v>0</v>
      </c>
      <c r="I31" s="8">
        <f t="shared" si="7"/>
        <v>0</v>
      </c>
      <c r="J31" s="8">
        <f t="shared" si="7"/>
        <v>0</v>
      </c>
      <c r="K31" s="8">
        <f t="shared" si="7"/>
        <v>0</v>
      </c>
      <c r="L31" s="8">
        <f t="shared" si="7"/>
        <v>0</v>
      </c>
      <c r="M31" s="8">
        <f t="shared" si="7"/>
        <v>0</v>
      </c>
      <c r="N31" s="8">
        <f t="shared" si="7"/>
        <v>0</v>
      </c>
      <c r="O31" s="11">
        <f t="shared" si="3"/>
        <v>2200</v>
      </c>
    </row>
    <row r="32" spans="1:15" ht="22" customHeight="1">
      <c r="A32" s="1"/>
      <c r="B32" s="1" t="s">
        <v>77</v>
      </c>
      <c r="C32" s="8">
        <f>SUMIFS(Gastos!$H$7:$H$2006,Gastos!$B$7:$B$2006,"&gt;="&amp;C$6,Gastos!$B$7:$B$2006,"&lt;"&amp;EDATE(C$6,1),Gastos!$C$7:$C$2006,"ISR devengado")</f>
        <v>0</v>
      </c>
      <c r="D32" s="8">
        <f>SUMIFS(Gastos!$H$7:$H$2006,Gastos!$B$7:$B$2006,"&gt;="&amp;D$6,Gastos!$B$7:$B$2006,"&lt;"&amp;EDATE(D$6,1),Gastos!$C$7:$C$2006,"ISR devengado")</f>
        <v>0</v>
      </c>
      <c r="E32" s="8">
        <f>SUMIFS(Gastos!$H$7:$H$2006,Gastos!$B$7:$B$2006,"&gt;="&amp;E$6,Gastos!$B$7:$B$2006,"&lt;"&amp;EDATE(E$6,1),Gastos!$C$7:$C$2006,"ISR devengado")</f>
        <v>0</v>
      </c>
      <c r="F32" s="8">
        <f>SUMIFS(Gastos!$H$7:$H$2006,Gastos!$B$7:$B$2006,"&gt;="&amp;F$6,Gastos!$B$7:$B$2006,"&lt;"&amp;EDATE(F$6,1),Gastos!$C$7:$C$2006,"ISR devengado")</f>
        <v>0</v>
      </c>
      <c r="G32" s="8">
        <f>SUMIFS(Gastos!$H$7:$H$2006,Gastos!$B$7:$B$2006,"&gt;="&amp;G$6,Gastos!$B$7:$B$2006,"&lt;"&amp;EDATE(G$6,1),Gastos!$C$7:$C$2006,"ISR devengado")</f>
        <v>0</v>
      </c>
      <c r="H32" s="8">
        <f>SUMIFS(Gastos!$H$7:$H$2006,Gastos!$B$7:$B$2006,"&gt;="&amp;H$6,Gastos!$B$7:$B$2006,"&lt;"&amp;EDATE(H$6,1),Gastos!$C$7:$C$2006,"ISR devengado")</f>
        <v>0</v>
      </c>
      <c r="I32" s="8">
        <f>SUMIFS(Gastos!$H$7:$H$2006,Gastos!$B$7:$B$2006,"&gt;="&amp;I$6,Gastos!$B$7:$B$2006,"&lt;"&amp;EDATE(I$6,1),Gastos!$C$7:$C$2006,"ISR devengado")</f>
        <v>0</v>
      </c>
      <c r="J32" s="8">
        <f>SUMIFS(Gastos!$H$7:$H$2006,Gastos!$B$7:$B$2006,"&gt;="&amp;J$6,Gastos!$B$7:$B$2006,"&lt;"&amp;EDATE(J$6,1),Gastos!$C$7:$C$2006,"ISR devengado")</f>
        <v>0</v>
      </c>
      <c r="K32" s="8">
        <f>SUMIFS(Gastos!$H$7:$H$2006,Gastos!$B$7:$B$2006,"&gt;="&amp;K$6,Gastos!$B$7:$B$2006,"&lt;"&amp;EDATE(K$6,1),Gastos!$C$7:$C$2006,"ISR devengado")</f>
        <v>0</v>
      </c>
      <c r="L32" s="8">
        <f>SUMIFS(Gastos!$H$7:$H$2006,Gastos!$B$7:$B$2006,"&gt;="&amp;L$6,Gastos!$B$7:$B$2006,"&lt;"&amp;EDATE(L$6,1),Gastos!$C$7:$C$2006,"ISR devengado")</f>
        <v>0</v>
      </c>
      <c r="M32" s="8">
        <f>SUMIFS(Gastos!$H$7:$H$2006,Gastos!$B$7:$B$2006,"&gt;="&amp;M$6,Gastos!$B$7:$B$2006,"&lt;"&amp;EDATE(M$6,1),Gastos!$C$7:$C$2006,"ISR devengado")</f>
        <v>0</v>
      </c>
      <c r="N32" s="8">
        <f>SUMIFS(Gastos!$H$7:$H$2006,Gastos!$B$7:$B$2006,"&gt;="&amp;N$6,Gastos!$B$7:$B$2006,"&lt;"&amp;EDATE(N$6,1),Gastos!$C$7:$C$2006,"ISR devengado")</f>
        <v>0</v>
      </c>
      <c r="O32" s="11">
        <f t="shared" si="3"/>
        <v>0</v>
      </c>
    </row>
    <row r="33" spans="1:15" ht="22" customHeight="1">
      <c r="A33" s="1"/>
      <c r="B33" s="12" t="s">
        <v>6</v>
      </c>
      <c r="C33" s="13">
        <f t="shared" ref="C33:N33" si="8">C31-C32</f>
        <v>2200</v>
      </c>
      <c r="D33" s="13">
        <f t="shared" si="8"/>
        <v>0</v>
      </c>
      <c r="E33" s="13">
        <f t="shared" si="8"/>
        <v>0</v>
      </c>
      <c r="F33" s="13">
        <f t="shared" si="8"/>
        <v>0</v>
      </c>
      <c r="G33" s="13">
        <f t="shared" si="8"/>
        <v>0</v>
      </c>
      <c r="H33" s="13">
        <f t="shared" si="8"/>
        <v>0</v>
      </c>
      <c r="I33" s="13">
        <f t="shared" si="8"/>
        <v>0</v>
      </c>
      <c r="J33" s="13">
        <f t="shared" si="8"/>
        <v>0</v>
      </c>
      <c r="K33" s="13">
        <f t="shared" si="8"/>
        <v>0</v>
      </c>
      <c r="L33" s="13">
        <f t="shared" si="8"/>
        <v>0</v>
      </c>
      <c r="M33" s="13">
        <f t="shared" si="8"/>
        <v>0</v>
      </c>
      <c r="N33" s="13">
        <f t="shared" si="8"/>
        <v>0</v>
      </c>
      <c r="O33" s="14">
        <f t="shared" si="3"/>
        <v>2200</v>
      </c>
    </row>
    <row r="34" spans="1:15" ht="22" customHeight="1">
      <c r="A34" s="1"/>
      <c r="B34" s="1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11"/>
    </row>
    <row r="35" spans="1:15" ht="22" customHeight="1">
      <c r="A35" s="1"/>
      <c r="B35" s="1" t="s">
        <v>78</v>
      </c>
      <c r="C35" s="8">
        <f>'Flujo de Efectivo'!C20</f>
        <v>0</v>
      </c>
      <c r="D35" s="8">
        <f>'Flujo de Efectivo'!D20</f>
        <v>0</v>
      </c>
      <c r="E35" s="8">
        <f>'Flujo de Efectivo'!E20</f>
        <v>0</v>
      </c>
      <c r="F35" s="8">
        <f>'Flujo de Efectivo'!F20</f>
        <v>0</v>
      </c>
      <c r="G35" s="8">
        <f>'Flujo de Efectivo'!G20</f>
        <v>0</v>
      </c>
      <c r="H35" s="8">
        <f>'Flujo de Efectivo'!H20</f>
        <v>0</v>
      </c>
      <c r="I35" s="8">
        <f>'Flujo de Efectivo'!I20</f>
        <v>0</v>
      </c>
      <c r="J35" s="8">
        <f>'Flujo de Efectivo'!J20</f>
        <v>0</v>
      </c>
      <c r="K35" s="8">
        <f>'Flujo de Efectivo'!K20</f>
        <v>0</v>
      </c>
      <c r="L35" s="8">
        <f>'Flujo de Efectivo'!L20</f>
        <v>0</v>
      </c>
      <c r="M35" s="8">
        <f>'Flujo de Efectivo'!M20</f>
        <v>0</v>
      </c>
      <c r="N35" s="8">
        <f>'Flujo de Efectivo'!N20</f>
        <v>0</v>
      </c>
      <c r="O35" s="11">
        <f>SUM(C35:N35)</f>
        <v>0</v>
      </c>
    </row>
    <row r="36" spans="1:15" ht="22" customHeight="1">
      <c r="A36" s="1"/>
      <c r="B36" s="12" t="s">
        <v>79</v>
      </c>
      <c r="C36" s="13">
        <f t="shared" ref="C36:N36" si="9">C33-C35</f>
        <v>2200</v>
      </c>
      <c r="D36" s="13">
        <f t="shared" si="9"/>
        <v>0</v>
      </c>
      <c r="E36" s="13">
        <f t="shared" si="9"/>
        <v>0</v>
      </c>
      <c r="F36" s="13">
        <f t="shared" si="9"/>
        <v>0</v>
      </c>
      <c r="G36" s="13">
        <f t="shared" si="9"/>
        <v>0</v>
      </c>
      <c r="H36" s="13">
        <f t="shared" si="9"/>
        <v>0</v>
      </c>
      <c r="I36" s="13">
        <f t="shared" si="9"/>
        <v>0</v>
      </c>
      <c r="J36" s="13">
        <f t="shared" si="9"/>
        <v>0</v>
      </c>
      <c r="K36" s="13">
        <f t="shared" si="9"/>
        <v>0</v>
      </c>
      <c r="L36" s="13">
        <f t="shared" si="9"/>
        <v>0</v>
      </c>
      <c r="M36" s="13">
        <f t="shared" si="9"/>
        <v>0</v>
      </c>
      <c r="N36" s="13">
        <f t="shared" si="9"/>
        <v>0</v>
      </c>
      <c r="O36" s="14">
        <f>SUM(C36:N36)</f>
        <v>2200</v>
      </c>
    </row>
    <row r="37" spans="1:15" ht="22" customHeight="1">
      <c r="A37" s="1"/>
      <c r="B37" s="1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11"/>
    </row>
    <row r="38" spans="1:15" ht="22" customHeight="1">
      <c r="A38" s="1"/>
      <c r="B38" s="1" t="s">
        <v>80</v>
      </c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11"/>
    </row>
    <row r="39" spans="1:15" ht="22" customHeight="1">
      <c r="A39" s="1"/>
      <c r="B39" s="1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11"/>
    </row>
    <row r="40" spans="1:15" ht="22" customHeight="1">
      <c r="A40" s="1"/>
      <c r="B40" s="1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11"/>
    </row>
    <row r="41" spans="1:15" ht="22" customHeight="1">
      <c r="A41" s="1"/>
      <c r="B41" s="1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11"/>
    </row>
    <row r="42" spans="1:15" ht="22" customHeight="1">
      <c r="A42" s="1"/>
      <c r="B42" s="1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11"/>
    </row>
    <row r="43" spans="1:15" ht="22" customHeight="1">
      <c r="A43" s="1"/>
      <c r="B43" s="1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11"/>
    </row>
    <row r="44" spans="1:15" ht="22" customHeight="1">
      <c r="A44" s="1"/>
      <c r="B44" s="1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11"/>
    </row>
    <row r="45" spans="1:15" ht="22" customHeight="1">
      <c r="A45" s="1"/>
      <c r="B45" s="1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11"/>
    </row>
    <row r="46" spans="1:15"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</row>
    <row r="47" spans="1:15"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</row>
    <row r="48" spans="1:15"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</row>
    <row r="49" spans="3:15"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</row>
    <row r="50" spans="3:15"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</row>
    <row r="51" spans="3:15"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</row>
    <row r="52" spans="3:15"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</row>
    <row r="53" spans="3:15"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</row>
    <row r="54" spans="3:15"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</row>
    <row r="55" spans="3:15"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8364A"/>
  </sheetPr>
  <dimension ref="A1:O55"/>
  <sheetViews>
    <sheetView showGridLines="0" workbookViewId="0">
      <pane ySplit="6" topLeftCell="A7" activePane="bottomLeft" state="frozen"/>
      <selection pane="bottomLeft"/>
    </sheetView>
  </sheetViews>
  <sheetFormatPr baseColWidth="10" defaultColWidth="8.83203125" defaultRowHeight="15"/>
  <cols>
    <col min="1" max="1" width="4" customWidth="1"/>
    <col min="2" max="2" width="43" customWidth="1"/>
    <col min="3" max="14" width="16" customWidth="1"/>
    <col min="15" max="15" width="18" customWidth="1"/>
  </cols>
  <sheetData>
    <row r="1" spans="1:15" ht="22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5" ht="22" customHeight="1">
      <c r="A2" s="1"/>
      <c r="B2" s="2" t="s">
        <v>81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5" ht="22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5" ht="22" customHeight="1">
      <c r="A4" s="1"/>
      <c r="B4" s="1" t="s">
        <v>52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5" ht="22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5" ht="26" customHeight="1">
      <c r="A6" s="1"/>
      <c r="B6" s="5" t="s">
        <v>53</v>
      </c>
      <c r="C6" s="31">
        <f>DATE(Configuración!$C$5,1,1)</f>
        <v>46023</v>
      </c>
      <c r="D6" s="31">
        <f>DATE(Configuración!$C$5,2,1)</f>
        <v>46054</v>
      </c>
      <c r="E6" s="31">
        <f>DATE(Configuración!$C$5,3,1)</f>
        <v>46082</v>
      </c>
      <c r="F6" s="31">
        <f>DATE(Configuración!$C$5,4,1)</f>
        <v>46113</v>
      </c>
      <c r="G6" s="31">
        <f>DATE(Configuración!$C$5,5,1)</f>
        <v>46143</v>
      </c>
      <c r="H6" s="31">
        <f>DATE(Configuración!$C$5,6,1)</f>
        <v>46174</v>
      </c>
      <c r="I6" s="31">
        <f>DATE(Configuración!$C$5,7,1)</f>
        <v>46204</v>
      </c>
      <c r="J6" s="31">
        <f>DATE(Configuración!$C$5,8,1)</f>
        <v>46235</v>
      </c>
      <c r="K6" s="31">
        <f>DATE(Configuración!$C$5,9,1)</f>
        <v>46266</v>
      </c>
      <c r="L6" s="31">
        <f>DATE(Configuración!$C$5,10,1)</f>
        <v>46296</v>
      </c>
      <c r="M6" s="31">
        <f>DATE(Configuración!$C$5,11,1)</f>
        <v>46327</v>
      </c>
      <c r="N6" s="31">
        <f>DATE(Configuración!$C$5,12,1)</f>
        <v>46357</v>
      </c>
      <c r="O6" s="10" t="s">
        <v>82</v>
      </c>
    </row>
    <row r="7" spans="1:15" ht="22" customHeight="1">
      <c r="A7" s="1"/>
      <c r="B7" s="1" t="s">
        <v>83</v>
      </c>
      <c r="C7" s="8">
        <f>'Flujo de Efectivo'!C25</f>
        <v>2200</v>
      </c>
      <c r="D7" s="8">
        <f>'Flujo de Efectivo'!D25</f>
        <v>2200</v>
      </c>
      <c r="E7" s="8">
        <f>'Flujo de Efectivo'!E25</f>
        <v>2200</v>
      </c>
      <c r="F7" s="8">
        <f>'Flujo de Efectivo'!F25</f>
        <v>2200</v>
      </c>
      <c r="G7" s="8">
        <f>'Flujo de Efectivo'!G25</f>
        <v>2200</v>
      </c>
      <c r="H7" s="8">
        <f>'Flujo de Efectivo'!H25</f>
        <v>2200</v>
      </c>
      <c r="I7" s="8">
        <f>'Flujo de Efectivo'!I25</f>
        <v>2200</v>
      </c>
      <c r="J7" s="8">
        <f>'Flujo de Efectivo'!J25</f>
        <v>2200</v>
      </c>
      <c r="K7" s="8">
        <f>'Flujo de Efectivo'!K25</f>
        <v>2200</v>
      </c>
      <c r="L7" s="8">
        <f>'Flujo de Efectivo'!L25</f>
        <v>2200</v>
      </c>
      <c r="M7" s="8">
        <f>'Flujo de Efectivo'!M25</f>
        <v>2200</v>
      </c>
      <c r="N7" s="8">
        <f>'Flujo de Efectivo'!N25</f>
        <v>2200</v>
      </c>
      <c r="O7" s="11">
        <f t="shared" ref="O7:O12" si="0">N7</f>
        <v>2200</v>
      </c>
    </row>
    <row r="8" spans="1:15" ht="22" customHeight="1">
      <c r="A8" s="1"/>
      <c r="B8" s="1" t="s">
        <v>14</v>
      </c>
      <c r="C8" s="8">
        <f>Configuración!$C$10+SUMIFS(Ingresos!$K$7:$K$2006,Ingresos!$B$7:$B$2006,"&gt;="&amp;C$6,Ingresos!$B$7:$B$2006,"&lt;"&amp;EDATE(C$6,1),Ingresos!$C$7:$C$2006,"Servicio")-'Flujo de Efectivo'!C7-C41-C42-C43</f>
        <v>0</v>
      </c>
      <c r="D8" s="8">
        <f>C8+SUMIFS(Ingresos!$K$7:$K$2006,Ingresos!$B$7:$B$2006,"&gt;="&amp;D$6,Ingresos!$B$7:$B$2006,"&lt;"&amp;EDATE(D$6,1),Ingresos!$C$7:$C$2006,"Servicio")-'Flujo de Efectivo'!D7-D41-D42-D43</f>
        <v>0</v>
      </c>
      <c r="E8" s="8">
        <f>D8+SUMIFS(Ingresos!$K$7:$K$2006,Ingresos!$B$7:$B$2006,"&gt;="&amp;E$6,Ingresos!$B$7:$B$2006,"&lt;"&amp;EDATE(E$6,1),Ingresos!$C$7:$C$2006,"Servicio")-'Flujo de Efectivo'!E7-E41-E42-E43</f>
        <v>0</v>
      </c>
      <c r="F8" s="8">
        <f>E8+SUMIFS(Ingresos!$K$7:$K$2006,Ingresos!$B$7:$B$2006,"&gt;="&amp;F$6,Ingresos!$B$7:$B$2006,"&lt;"&amp;EDATE(F$6,1),Ingresos!$C$7:$C$2006,"Servicio")-'Flujo de Efectivo'!F7-F41-F42-F43</f>
        <v>0</v>
      </c>
      <c r="G8" s="8">
        <f>F8+SUMIFS(Ingresos!$K$7:$K$2006,Ingresos!$B$7:$B$2006,"&gt;="&amp;G$6,Ingresos!$B$7:$B$2006,"&lt;"&amp;EDATE(G$6,1),Ingresos!$C$7:$C$2006,"Servicio")-'Flujo de Efectivo'!G7-G41-G42-G43</f>
        <v>0</v>
      </c>
      <c r="H8" s="8">
        <f>G8+SUMIFS(Ingresos!$K$7:$K$2006,Ingresos!$B$7:$B$2006,"&gt;="&amp;H$6,Ingresos!$B$7:$B$2006,"&lt;"&amp;EDATE(H$6,1),Ingresos!$C$7:$C$2006,"Servicio")-'Flujo de Efectivo'!H7-H41-H42-H43</f>
        <v>0</v>
      </c>
      <c r="I8" s="8">
        <f>H8+SUMIFS(Ingresos!$K$7:$K$2006,Ingresos!$B$7:$B$2006,"&gt;="&amp;I$6,Ingresos!$B$7:$B$2006,"&lt;"&amp;EDATE(I$6,1),Ingresos!$C$7:$C$2006,"Servicio")-'Flujo de Efectivo'!I7-I41-I42-I43</f>
        <v>0</v>
      </c>
      <c r="J8" s="8">
        <f>I8+SUMIFS(Ingresos!$K$7:$K$2006,Ingresos!$B$7:$B$2006,"&gt;="&amp;J$6,Ingresos!$B$7:$B$2006,"&lt;"&amp;EDATE(J$6,1),Ingresos!$C$7:$C$2006,"Servicio")-'Flujo de Efectivo'!J7-J41-J42-J43</f>
        <v>0</v>
      </c>
      <c r="K8" s="8">
        <f>J8+SUMIFS(Ingresos!$K$7:$K$2006,Ingresos!$B$7:$B$2006,"&gt;="&amp;K$6,Ingresos!$B$7:$B$2006,"&lt;"&amp;EDATE(K$6,1),Ingresos!$C$7:$C$2006,"Servicio")-'Flujo de Efectivo'!K7-K41-K42-K43</f>
        <v>0</v>
      </c>
      <c r="L8" s="8">
        <f>K8+SUMIFS(Ingresos!$K$7:$K$2006,Ingresos!$B$7:$B$2006,"&gt;="&amp;L$6,Ingresos!$B$7:$B$2006,"&lt;"&amp;EDATE(L$6,1),Ingresos!$C$7:$C$2006,"Servicio")-'Flujo de Efectivo'!L7-L41-L42-L43</f>
        <v>0</v>
      </c>
      <c r="M8" s="8">
        <f>L8+SUMIFS(Ingresos!$K$7:$K$2006,Ingresos!$B$7:$B$2006,"&gt;="&amp;M$6,Ingresos!$B$7:$B$2006,"&lt;"&amp;EDATE(M$6,1),Ingresos!$C$7:$C$2006,"Servicio")-'Flujo de Efectivo'!M7-M41-M42-M43</f>
        <v>0</v>
      </c>
      <c r="N8" s="8">
        <f>M8+SUMIFS(Ingresos!$K$7:$K$2006,Ingresos!$B$7:$B$2006,"&gt;="&amp;N$6,Ingresos!$B$7:$B$2006,"&lt;"&amp;EDATE(N$6,1),Ingresos!$C$7:$C$2006,"Servicio")-'Flujo de Efectivo'!N7-N41-N42-N43</f>
        <v>0</v>
      </c>
      <c r="O8" s="11">
        <f t="shared" si="0"/>
        <v>0</v>
      </c>
    </row>
    <row r="9" spans="1:15" ht="22" customHeight="1">
      <c r="A9" s="1"/>
      <c r="B9" s="1" t="s">
        <v>84</v>
      </c>
      <c r="C9" s="8">
        <f t="shared" ref="C9:N9" si="1">MAX(0,-C38)</f>
        <v>0</v>
      </c>
      <c r="D9" s="8">
        <f t="shared" si="1"/>
        <v>0</v>
      </c>
      <c r="E9" s="8">
        <f t="shared" si="1"/>
        <v>0</v>
      </c>
      <c r="F9" s="8">
        <f t="shared" si="1"/>
        <v>0</v>
      </c>
      <c r="G9" s="8">
        <f t="shared" si="1"/>
        <v>0</v>
      </c>
      <c r="H9" s="8">
        <f t="shared" si="1"/>
        <v>0</v>
      </c>
      <c r="I9" s="8">
        <f t="shared" si="1"/>
        <v>0</v>
      </c>
      <c r="J9" s="8">
        <f t="shared" si="1"/>
        <v>0</v>
      </c>
      <c r="K9" s="8">
        <f t="shared" si="1"/>
        <v>0</v>
      </c>
      <c r="L9" s="8">
        <f t="shared" si="1"/>
        <v>0</v>
      </c>
      <c r="M9" s="8">
        <f t="shared" si="1"/>
        <v>0</v>
      </c>
      <c r="N9" s="8">
        <f t="shared" si="1"/>
        <v>0</v>
      </c>
      <c r="O9" s="11">
        <f t="shared" si="0"/>
        <v>0</v>
      </c>
    </row>
    <row r="10" spans="1:15" ht="22" customHeight="1">
      <c r="A10" s="1"/>
      <c r="B10" s="1" t="s">
        <v>85</v>
      </c>
      <c r="C10" s="8">
        <f>Configuración!$C$12+C42-C44</f>
        <v>0</v>
      </c>
      <c r="D10" s="8">
        <f t="shared" ref="D10:N10" si="2">C10+D42-D44</f>
        <v>0</v>
      </c>
      <c r="E10" s="8">
        <f t="shared" si="2"/>
        <v>0</v>
      </c>
      <c r="F10" s="8">
        <f t="shared" si="2"/>
        <v>0</v>
      </c>
      <c r="G10" s="8">
        <f t="shared" si="2"/>
        <v>0</v>
      </c>
      <c r="H10" s="8">
        <f t="shared" si="2"/>
        <v>0</v>
      </c>
      <c r="I10" s="8">
        <f t="shared" si="2"/>
        <v>0</v>
      </c>
      <c r="J10" s="8">
        <f t="shared" si="2"/>
        <v>0</v>
      </c>
      <c r="K10" s="8">
        <f t="shared" si="2"/>
        <v>0</v>
      </c>
      <c r="L10" s="8">
        <f t="shared" si="2"/>
        <v>0</v>
      </c>
      <c r="M10" s="8">
        <f t="shared" si="2"/>
        <v>0</v>
      </c>
      <c r="N10" s="8">
        <f t="shared" si="2"/>
        <v>0</v>
      </c>
      <c r="O10" s="11">
        <f t="shared" si="0"/>
        <v>0</v>
      </c>
    </row>
    <row r="11" spans="1:15" ht="22" customHeight="1">
      <c r="A11" s="1"/>
      <c r="B11" s="1" t="s">
        <v>86</v>
      </c>
      <c r="C11" s="8">
        <f>Configuración!$C$13+C43-C45</f>
        <v>0</v>
      </c>
      <c r="D11" s="8">
        <f t="shared" ref="D11:N11" si="3">C11+D43-D45</f>
        <v>0</v>
      </c>
      <c r="E11" s="8">
        <f t="shared" si="3"/>
        <v>0</v>
      </c>
      <c r="F11" s="8">
        <f t="shared" si="3"/>
        <v>0</v>
      </c>
      <c r="G11" s="8">
        <f t="shared" si="3"/>
        <v>0</v>
      </c>
      <c r="H11" s="8">
        <f t="shared" si="3"/>
        <v>0</v>
      </c>
      <c r="I11" s="8">
        <f t="shared" si="3"/>
        <v>0</v>
      </c>
      <c r="J11" s="8">
        <f t="shared" si="3"/>
        <v>0</v>
      </c>
      <c r="K11" s="8">
        <f t="shared" si="3"/>
        <v>0</v>
      </c>
      <c r="L11" s="8">
        <f t="shared" si="3"/>
        <v>0</v>
      </c>
      <c r="M11" s="8">
        <f t="shared" si="3"/>
        <v>0</v>
      </c>
      <c r="N11" s="8">
        <f t="shared" si="3"/>
        <v>0</v>
      </c>
      <c r="O11" s="11">
        <f t="shared" si="0"/>
        <v>0</v>
      </c>
    </row>
    <row r="12" spans="1:15" ht="22" customHeight="1">
      <c r="A12" s="1"/>
      <c r="B12" s="12" t="s">
        <v>87</v>
      </c>
      <c r="C12" s="13">
        <f t="shared" ref="C12:N12" si="4">SUM(C7:C11)</f>
        <v>2200</v>
      </c>
      <c r="D12" s="13">
        <f t="shared" si="4"/>
        <v>2200</v>
      </c>
      <c r="E12" s="13">
        <f t="shared" si="4"/>
        <v>2200</v>
      </c>
      <c r="F12" s="13">
        <f t="shared" si="4"/>
        <v>2200</v>
      </c>
      <c r="G12" s="13">
        <f t="shared" si="4"/>
        <v>2200</v>
      </c>
      <c r="H12" s="13">
        <f t="shared" si="4"/>
        <v>2200</v>
      </c>
      <c r="I12" s="13">
        <f t="shared" si="4"/>
        <v>2200</v>
      </c>
      <c r="J12" s="13">
        <f t="shared" si="4"/>
        <v>2200</v>
      </c>
      <c r="K12" s="13">
        <f t="shared" si="4"/>
        <v>2200</v>
      </c>
      <c r="L12" s="13">
        <f t="shared" si="4"/>
        <v>2200</v>
      </c>
      <c r="M12" s="13">
        <f t="shared" si="4"/>
        <v>2200</v>
      </c>
      <c r="N12" s="13">
        <f t="shared" si="4"/>
        <v>2200</v>
      </c>
      <c r="O12" s="14">
        <f t="shared" si="0"/>
        <v>2200</v>
      </c>
    </row>
    <row r="13" spans="1:15" ht="22" customHeight="1">
      <c r="A13" s="1"/>
      <c r="B13" s="1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11"/>
    </row>
    <row r="14" spans="1:15" ht="22" customHeight="1">
      <c r="A14" s="1"/>
      <c r="B14" s="1" t="s">
        <v>88</v>
      </c>
      <c r="C14" s="8">
        <f>SUMIFS(Activos!$E$7:$E$106,Activos!$C$7:$C$106,"&lt;"&amp;DATE(Configuración!$C$5,1,1),Activos!$C$7:$C$106,"&gt;0")+C39</f>
        <v>0</v>
      </c>
      <c r="D14" s="8">
        <f t="shared" ref="D14:N14" si="5">C14+D39</f>
        <v>0</v>
      </c>
      <c r="E14" s="8">
        <f t="shared" si="5"/>
        <v>0</v>
      </c>
      <c r="F14" s="8">
        <f t="shared" si="5"/>
        <v>0</v>
      </c>
      <c r="G14" s="8">
        <f t="shared" si="5"/>
        <v>0</v>
      </c>
      <c r="H14" s="8">
        <f t="shared" si="5"/>
        <v>0</v>
      </c>
      <c r="I14" s="8">
        <f t="shared" si="5"/>
        <v>0</v>
      </c>
      <c r="J14" s="8">
        <f t="shared" si="5"/>
        <v>0</v>
      </c>
      <c r="K14" s="8">
        <f t="shared" si="5"/>
        <v>0</v>
      </c>
      <c r="L14" s="8">
        <f t="shared" si="5"/>
        <v>0</v>
      </c>
      <c r="M14" s="8">
        <f t="shared" si="5"/>
        <v>0</v>
      </c>
      <c r="N14" s="8">
        <f t="shared" si="5"/>
        <v>0</v>
      </c>
      <c r="O14" s="11">
        <f>N14</f>
        <v>0</v>
      </c>
    </row>
    <row r="15" spans="1:15" ht="22" customHeight="1">
      <c r="A15" s="1"/>
      <c r="B15" s="1" t="s">
        <v>89</v>
      </c>
      <c r="C15" s="8">
        <f>SUMIFS(Activos!$I$7:$I$106,Activos!$C$7:$C$106,"&lt;"&amp;DATE(Configuración!$C$5,1,1),Activos!$C$7:$C$106,"&gt;0")+'Estado de Resultados'!C28</f>
        <v>0</v>
      </c>
      <c r="D15" s="8">
        <f>C15+'Estado de Resultados'!D28</f>
        <v>0</v>
      </c>
      <c r="E15" s="8">
        <f>D15+'Estado de Resultados'!E28</f>
        <v>0</v>
      </c>
      <c r="F15" s="8">
        <f>E15+'Estado de Resultados'!F28</f>
        <v>0</v>
      </c>
      <c r="G15" s="8">
        <f>F15+'Estado de Resultados'!G28</f>
        <v>0</v>
      </c>
      <c r="H15" s="8">
        <f>G15+'Estado de Resultados'!H28</f>
        <v>0</v>
      </c>
      <c r="I15" s="8">
        <f>H15+'Estado de Resultados'!I28</f>
        <v>0</v>
      </c>
      <c r="J15" s="8">
        <f>I15+'Estado de Resultados'!J28</f>
        <v>0</v>
      </c>
      <c r="K15" s="8">
        <f>J15+'Estado de Resultados'!K28</f>
        <v>0</v>
      </c>
      <c r="L15" s="8">
        <f>K15+'Estado de Resultados'!L28</f>
        <v>0</v>
      </c>
      <c r="M15" s="8">
        <f>L15+'Estado de Resultados'!M28</f>
        <v>0</v>
      </c>
      <c r="N15" s="8">
        <f>M15+'Estado de Resultados'!N28</f>
        <v>0</v>
      </c>
      <c r="O15" s="11">
        <f>N15</f>
        <v>0</v>
      </c>
    </row>
    <row r="16" spans="1:15" ht="22" customHeight="1">
      <c r="A16" s="1"/>
      <c r="B16" s="12" t="s">
        <v>90</v>
      </c>
      <c r="C16" s="13">
        <f t="shared" ref="C16:N16" si="6">C14-C15</f>
        <v>0</v>
      </c>
      <c r="D16" s="13">
        <f t="shared" si="6"/>
        <v>0</v>
      </c>
      <c r="E16" s="13">
        <f t="shared" si="6"/>
        <v>0</v>
      </c>
      <c r="F16" s="13">
        <f t="shared" si="6"/>
        <v>0</v>
      </c>
      <c r="G16" s="13">
        <f t="shared" si="6"/>
        <v>0</v>
      </c>
      <c r="H16" s="13">
        <f t="shared" si="6"/>
        <v>0</v>
      </c>
      <c r="I16" s="13">
        <f t="shared" si="6"/>
        <v>0</v>
      </c>
      <c r="J16" s="13">
        <f t="shared" si="6"/>
        <v>0</v>
      </c>
      <c r="K16" s="13">
        <f t="shared" si="6"/>
        <v>0</v>
      </c>
      <c r="L16" s="13">
        <f t="shared" si="6"/>
        <v>0</v>
      </c>
      <c r="M16" s="13">
        <f t="shared" si="6"/>
        <v>0</v>
      </c>
      <c r="N16" s="13">
        <f t="shared" si="6"/>
        <v>0</v>
      </c>
      <c r="O16" s="14">
        <f>N16</f>
        <v>0</v>
      </c>
    </row>
    <row r="17" spans="1:15" ht="22" customHeight="1">
      <c r="A17" s="1"/>
      <c r="B17" s="12" t="s">
        <v>91</v>
      </c>
      <c r="C17" s="13">
        <f t="shared" ref="C17:N17" si="7">C12+C16</f>
        <v>2200</v>
      </c>
      <c r="D17" s="13">
        <f t="shared" si="7"/>
        <v>2200</v>
      </c>
      <c r="E17" s="13">
        <f t="shared" si="7"/>
        <v>2200</v>
      </c>
      <c r="F17" s="13">
        <f t="shared" si="7"/>
        <v>2200</v>
      </c>
      <c r="G17" s="13">
        <f t="shared" si="7"/>
        <v>2200</v>
      </c>
      <c r="H17" s="13">
        <f t="shared" si="7"/>
        <v>2200</v>
      </c>
      <c r="I17" s="13">
        <f t="shared" si="7"/>
        <v>2200</v>
      </c>
      <c r="J17" s="13">
        <f t="shared" si="7"/>
        <v>2200</v>
      </c>
      <c r="K17" s="13">
        <f t="shared" si="7"/>
        <v>2200</v>
      </c>
      <c r="L17" s="13">
        <f t="shared" si="7"/>
        <v>2200</v>
      </c>
      <c r="M17" s="13">
        <f t="shared" si="7"/>
        <v>2200</v>
      </c>
      <c r="N17" s="13">
        <f t="shared" si="7"/>
        <v>2200</v>
      </c>
      <c r="O17" s="14">
        <f>N17</f>
        <v>2200</v>
      </c>
    </row>
    <row r="18" spans="1:15" ht="22" customHeight="1">
      <c r="A18" s="1"/>
      <c r="B18" s="1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11"/>
    </row>
    <row r="19" spans="1:15" ht="22" customHeight="1">
      <c r="A19" s="1"/>
      <c r="B19" s="1" t="s">
        <v>92</v>
      </c>
      <c r="C19" s="8">
        <f>Configuración!$C$14+SUMIFS(Gastos!$K$7:$K$2006,Gastos!$B$7:$B$2006,"&gt;="&amp;C$6,Gastos!$B$7:$B$2006,"&lt;"&amp;EDATE(C$6,1),Gastos!$C$7:$C$2006,"Gasto")+C39+C40-'Flujo de Efectivo'!C9-'Flujo de Efectivo'!C14</f>
        <v>0</v>
      </c>
      <c r="D19" s="8">
        <f>C19+SUMIFS(Gastos!$K$7:$K$2006,Gastos!$B$7:$B$2006,"&gt;="&amp;D$6,Gastos!$B$7:$B$2006,"&lt;"&amp;EDATE(D$6,1),Gastos!$C$7:$C$2006,"Gasto")+D39+D40-'Flujo de Efectivo'!D9-'Flujo de Efectivo'!D14</f>
        <v>0</v>
      </c>
      <c r="E19" s="8">
        <f>D19+SUMIFS(Gastos!$K$7:$K$2006,Gastos!$B$7:$B$2006,"&gt;="&amp;E$6,Gastos!$B$7:$B$2006,"&lt;"&amp;EDATE(E$6,1),Gastos!$C$7:$C$2006,"Gasto")+E39+E40-'Flujo de Efectivo'!E9-'Flujo de Efectivo'!E14</f>
        <v>0</v>
      </c>
      <c r="F19" s="8">
        <f>E19+SUMIFS(Gastos!$K$7:$K$2006,Gastos!$B$7:$B$2006,"&gt;="&amp;F$6,Gastos!$B$7:$B$2006,"&lt;"&amp;EDATE(F$6,1),Gastos!$C$7:$C$2006,"Gasto")+F39+F40-'Flujo de Efectivo'!F9-'Flujo de Efectivo'!F14</f>
        <v>0</v>
      </c>
      <c r="G19" s="8">
        <f>F19+SUMIFS(Gastos!$K$7:$K$2006,Gastos!$B$7:$B$2006,"&gt;="&amp;G$6,Gastos!$B$7:$B$2006,"&lt;"&amp;EDATE(G$6,1),Gastos!$C$7:$C$2006,"Gasto")+G39+G40-'Flujo de Efectivo'!G9-'Flujo de Efectivo'!G14</f>
        <v>0</v>
      </c>
      <c r="H19" s="8">
        <f>G19+SUMIFS(Gastos!$K$7:$K$2006,Gastos!$B$7:$B$2006,"&gt;="&amp;H$6,Gastos!$B$7:$B$2006,"&lt;"&amp;EDATE(H$6,1),Gastos!$C$7:$C$2006,"Gasto")+H39+H40-'Flujo de Efectivo'!H9-'Flujo de Efectivo'!H14</f>
        <v>0</v>
      </c>
      <c r="I19" s="8">
        <f>H19+SUMIFS(Gastos!$K$7:$K$2006,Gastos!$B$7:$B$2006,"&gt;="&amp;I$6,Gastos!$B$7:$B$2006,"&lt;"&amp;EDATE(I$6,1),Gastos!$C$7:$C$2006,"Gasto")+I39+I40-'Flujo de Efectivo'!I9-'Flujo de Efectivo'!I14</f>
        <v>0</v>
      </c>
      <c r="J19" s="8">
        <f>I19+SUMIFS(Gastos!$K$7:$K$2006,Gastos!$B$7:$B$2006,"&gt;="&amp;J$6,Gastos!$B$7:$B$2006,"&lt;"&amp;EDATE(J$6,1),Gastos!$C$7:$C$2006,"Gasto")+J39+J40-'Flujo de Efectivo'!J9-'Flujo de Efectivo'!J14</f>
        <v>0</v>
      </c>
      <c r="K19" s="8">
        <f>J19+SUMIFS(Gastos!$K$7:$K$2006,Gastos!$B$7:$B$2006,"&gt;="&amp;K$6,Gastos!$B$7:$B$2006,"&lt;"&amp;EDATE(K$6,1),Gastos!$C$7:$C$2006,"Gasto")+K39+K40-'Flujo de Efectivo'!K9-'Flujo de Efectivo'!K14</f>
        <v>0</v>
      </c>
      <c r="L19" s="8">
        <f>K19+SUMIFS(Gastos!$K$7:$K$2006,Gastos!$B$7:$B$2006,"&gt;="&amp;L$6,Gastos!$B$7:$B$2006,"&lt;"&amp;EDATE(L$6,1),Gastos!$C$7:$C$2006,"Gasto")+L39+L40-'Flujo de Efectivo'!L9-'Flujo de Efectivo'!L14</f>
        <v>0</v>
      </c>
      <c r="M19" s="8">
        <f>L19+SUMIFS(Gastos!$K$7:$K$2006,Gastos!$B$7:$B$2006,"&gt;="&amp;M$6,Gastos!$B$7:$B$2006,"&lt;"&amp;EDATE(M$6,1),Gastos!$C$7:$C$2006,"Gasto")+M39+M40-'Flujo de Efectivo'!M9-'Flujo de Efectivo'!M14</f>
        <v>0</v>
      </c>
      <c r="N19" s="8">
        <f>M19+SUMIFS(Gastos!$K$7:$K$2006,Gastos!$B$7:$B$2006,"&gt;="&amp;N$6,Gastos!$B$7:$B$2006,"&lt;"&amp;EDATE(N$6,1),Gastos!$C$7:$C$2006,"Gasto")+N39+N40-'Flujo de Efectivo'!N9-'Flujo de Efectivo'!N14</f>
        <v>0</v>
      </c>
      <c r="O19" s="11">
        <f t="shared" ref="O19:O26" si="8">N19</f>
        <v>0</v>
      </c>
    </row>
    <row r="20" spans="1:15" ht="22" customHeight="1">
      <c r="A20" s="1"/>
      <c r="B20" s="1" t="s">
        <v>93</v>
      </c>
      <c r="C20" s="8">
        <f>Configuración!$C$15+'Flujo de Efectivo'!C8-C41</f>
        <v>0</v>
      </c>
      <c r="D20" s="8">
        <f>C20+'Flujo de Efectivo'!D8-D41</f>
        <v>0</v>
      </c>
      <c r="E20" s="8">
        <f>D20+'Flujo de Efectivo'!E8-E41</f>
        <v>0</v>
      </c>
      <c r="F20" s="8">
        <f>E20+'Flujo de Efectivo'!F8-F41</f>
        <v>0</v>
      </c>
      <c r="G20" s="8">
        <f>F20+'Flujo de Efectivo'!G8-G41</f>
        <v>0</v>
      </c>
      <c r="H20" s="8">
        <f>G20+'Flujo de Efectivo'!H8-H41</f>
        <v>0</v>
      </c>
      <c r="I20" s="8">
        <f>H20+'Flujo de Efectivo'!I8-I41</f>
        <v>0</v>
      </c>
      <c r="J20" s="8">
        <f>I20+'Flujo de Efectivo'!J8-J41</f>
        <v>0</v>
      </c>
      <c r="K20" s="8">
        <f>J20+'Flujo de Efectivo'!K8-K41</f>
        <v>0</v>
      </c>
      <c r="L20" s="8">
        <f>K20+'Flujo de Efectivo'!L8-L41</f>
        <v>0</v>
      </c>
      <c r="M20" s="8">
        <f>L20+'Flujo de Efectivo'!M8-M41</f>
        <v>0</v>
      </c>
      <c r="N20" s="8">
        <f>M20+'Flujo de Efectivo'!N8-N41</f>
        <v>0</v>
      </c>
      <c r="O20" s="11">
        <f t="shared" si="8"/>
        <v>0</v>
      </c>
    </row>
    <row r="21" spans="1:15" ht="22" customHeight="1">
      <c r="A21" s="1"/>
      <c r="B21" s="1" t="s">
        <v>94</v>
      </c>
      <c r="C21" s="8">
        <f t="shared" ref="C21:N21" si="9">MAX(0,C38)</f>
        <v>0</v>
      </c>
      <c r="D21" s="8">
        <f t="shared" si="9"/>
        <v>0</v>
      </c>
      <c r="E21" s="8">
        <f t="shared" si="9"/>
        <v>0</v>
      </c>
      <c r="F21" s="8">
        <f t="shared" si="9"/>
        <v>0</v>
      </c>
      <c r="G21" s="8">
        <f t="shared" si="9"/>
        <v>0</v>
      </c>
      <c r="H21" s="8">
        <f t="shared" si="9"/>
        <v>0</v>
      </c>
      <c r="I21" s="8">
        <f t="shared" si="9"/>
        <v>0</v>
      </c>
      <c r="J21" s="8">
        <f t="shared" si="9"/>
        <v>0</v>
      </c>
      <c r="K21" s="8">
        <f t="shared" si="9"/>
        <v>0</v>
      </c>
      <c r="L21" s="8">
        <f t="shared" si="9"/>
        <v>0</v>
      </c>
      <c r="M21" s="8">
        <f t="shared" si="9"/>
        <v>0</v>
      </c>
      <c r="N21" s="8">
        <f t="shared" si="9"/>
        <v>0</v>
      </c>
      <c r="O21" s="11">
        <f t="shared" si="8"/>
        <v>0</v>
      </c>
    </row>
    <row r="22" spans="1:15" ht="22" customHeight="1">
      <c r="A22" s="1"/>
      <c r="B22" s="1" t="s">
        <v>95</v>
      </c>
      <c r="C22" s="8">
        <f>Configuración!$C$17+'Estado de Resultados'!C32-'Flujo de Efectivo'!C10-C44</f>
        <v>0</v>
      </c>
      <c r="D22" s="8">
        <f>C22+'Estado de Resultados'!D32-'Flujo de Efectivo'!D10-D44</f>
        <v>0</v>
      </c>
      <c r="E22" s="8">
        <f>D22+'Estado de Resultados'!E32-'Flujo de Efectivo'!E10-E44</f>
        <v>0</v>
      </c>
      <c r="F22" s="8">
        <f>E22+'Estado de Resultados'!F32-'Flujo de Efectivo'!F10-F44</f>
        <v>0</v>
      </c>
      <c r="G22" s="8">
        <f>F22+'Estado de Resultados'!G32-'Flujo de Efectivo'!G10-G44</f>
        <v>0</v>
      </c>
      <c r="H22" s="8">
        <f>G22+'Estado de Resultados'!H32-'Flujo de Efectivo'!H10-H44</f>
        <v>0</v>
      </c>
      <c r="I22" s="8">
        <f>H22+'Estado de Resultados'!I32-'Flujo de Efectivo'!I10-I44</f>
        <v>0</v>
      </c>
      <c r="J22" s="8">
        <f>I22+'Estado de Resultados'!J32-'Flujo de Efectivo'!J10-J44</f>
        <v>0</v>
      </c>
      <c r="K22" s="8">
        <f>J22+'Estado de Resultados'!K32-'Flujo de Efectivo'!K10-K44</f>
        <v>0</v>
      </c>
      <c r="L22" s="8">
        <f>K22+'Estado de Resultados'!L32-'Flujo de Efectivo'!L10-L44</f>
        <v>0</v>
      </c>
      <c r="M22" s="8">
        <f>L22+'Estado de Resultados'!M32-'Flujo de Efectivo'!M10-M44</f>
        <v>0</v>
      </c>
      <c r="N22" s="8">
        <f>M22+'Estado de Resultados'!N32-'Flujo de Efectivo'!N10-N44</f>
        <v>0</v>
      </c>
      <c r="O22" s="11">
        <f t="shared" si="8"/>
        <v>0</v>
      </c>
    </row>
    <row r="23" spans="1:15" ht="22" customHeight="1">
      <c r="A23" s="1"/>
      <c r="B23" s="1" t="s">
        <v>96</v>
      </c>
      <c r="C23" s="8">
        <f>SUMIFS(Pasivos!$G$7:$G$506,Pasivos!$C$7:$C$506,"Saldo inicial",Pasivos!$F$7:$F$506,"Corto plazo",Pasivos!$B$7:$B$506,DATE(Configuración!$C$5,1,1)-1)+SUMIFS(Pasivos!$G$7:$G$506,Pasivos!$B$7:$B$506,"&gt;="&amp;C$6,Pasivos!$B$7:$B$506,"&lt;"&amp;EDATE(C$6,1),Pasivos!$C$7:$C$506,"Desembolso",Pasivos!$F$7:$F$506,"Corto plazo")-SUMIFS(Pasivos!$G$7:$G$506,Pasivos!$B$7:$B$506,"&gt;="&amp;C$6,Pasivos!$B$7:$B$506,"&lt;"&amp;EDATE(C$6,1),Pasivos!$C$7:$C$506,"Amortización",Pasivos!$F$7:$F$506,"Corto plazo")+1*(SUMIFS(Pasivos!$G$7:$G$506,Pasivos!$B$7:$B$506,"&gt;="&amp;C$6,Pasivos!$B$7:$B$506,"&lt;"&amp;EDATE(C$6,1),Pasivos!$C$7:$C$506,"Reclasificar a CP")-SUMIFS(Pasivos!$G$7:$G$506,Pasivos!$B$7:$B$506,"&gt;="&amp;C$6,Pasivos!$B$7:$B$506,"&lt;"&amp;EDATE(C$6,1),Pasivos!$C$7:$C$506,"Reclasificar a LP"))</f>
        <v>0</v>
      </c>
      <c r="D23" s="8">
        <f>C23+SUMIFS(Pasivos!$G$7:$G$506,Pasivos!$B$7:$B$506,"&gt;="&amp;D$6,Pasivos!$B$7:$B$506,"&lt;"&amp;EDATE(D$6,1),Pasivos!$C$7:$C$506,"Desembolso",Pasivos!$F$7:$F$506,"Corto plazo")-SUMIFS(Pasivos!$G$7:$G$506,Pasivos!$B$7:$B$506,"&gt;="&amp;D$6,Pasivos!$B$7:$B$506,"&lt;"&amp;EDATE(D$6,1),Pasivos!$C$7:$C$506,"Amortización",Pasivos!$F$7:$F$506,"Corto plazo")+1*(SUMIFS(Pasivos!$G$7:$G$506,Pasivos!$B$7:$B$506,"&gt;="&amp;D$6,Pasivos!$B$7:$B$506,"&lt;"&amp;EDATE(D$6,1),Pasivos!$C$7:$C$506,"Reclasificar a CP")-SUMIFS(Pasivos!$G$7:$G$506,Pasivos!$B$7:$B$506,"&gt;="&amp;D$6,Pasivos!$B$7:$B$506,"&lt;"&amp;EDATE(D$6,1),Pasivos!$C$7:$C$506,"Reclasificar a LP"))</f>
        <v>0</v>
      </c>
      <c r="E23" s="8">
        <f>D23+SUMIFS(Pasivos!$G$7:$G$506,Pasivos!$B$7:$B$506,"&gt;="&amp;E$6,Pasivos!$B$7:$B$506,"&lt;"&amp;EDATE(E$6,1),Pasivos!$C$7:$C$506,"Desembolso",Pasivos!$F$7:$F$506,"Corto plazo")-SUMIFS(Pasivos!$G$7:$G$506,Pasivos!$B$7:$B$506,"&gt;="&amp;E$6,Pasivos!$B$7:$B$506,"&lt;"&amp;EDATE(E$6,1),Pasivos!$C$7:$C$506,"Amortización",Pasivos!$F$7:$F$506,"Corto plazo")+1*(SUMIFS(Pasivos!$G$7:$G$506,Pasivos!$B$7:$B$506,"&gt;="&amp;E$6,Pasivos!$B$7:$B$506,"&lt;"&amp;EDATE(E$6,1),Pasivos!$C$7:$C$506,"Reclasificar a CP")-SUMIFS(Pasivos!$G$7:$G$506,Pasivos!$B$7:$B$506,"&gt;="&amp;E$6,Pasivos!$B$7:$B$506,"&lt;"&amp;EDATE(E$6,1),Pasivos!$C$7:$C$506,"Reclasificar a LP"))</f>
        <v>0</v>
      </c>
      <c r="F23" s="8">
        <f>E23+SUMIFS(Pasivos!$G$7:$G$506,Pasivos!$B$7:$B$506,"&gt;="&amp;F$6,Pasivos!$B$7:$B$506,"&lt;"&amp;EDATE(F$6,1),Pasivos!$C$7:$C$506,"Desembolso",Pasivos!$F$7:$F$506,"Corto plazo")-SUMIFS(Pasivos!$G$7:$G$506,Pasivos!$B$7:$B$506,"&gt;="&amp;F$6,Pasivos!$B$7:$B$506,"&lt;"&amp;EDATE(F$6,1),Pasivos!$C$7:$C$506,"Amortización",Pasivos!$F$7:$F$506,"Corto plazo")+1*(SUMIFS(Pasivos!$G$7:$G$506,Pasivos!$B$7:$B$506,"&gt;="&amp;F$6,Pasivos!$B$7:$B$506,"&lt;"&amp;EDATE(F$6,1),Pasivos!$C$7:$C$506,"Reclasificar a CP")-SUMIFS(Pasivos!$G$7:$G$506,Pasivos!$B$7:$B$506,"&gt;="&amp;F$6,Pasivos!$B$7:$B$506,"&lt;"&amp;EDATE(F$6,1),Pasivos!$C$7:$C$506,"Reclasificar a LP"))</f>
        <v>0</v>
      </c>
      <c r="G23" s="8">
        <f>F23+SUMIFS(Pasivos!$G$7:$G$506,Pasivos!$B$7:$B$506,"&gt;="&amp;G$6,Pasivos!$B$7:$B$506,"&lt;"&amp;EDATE(G$6,1),Pasivos!$C$7:$C$506,"Desembolso",Pasivos!$F$7:$F$506,"Corto plazo")-SUMIFS(Pasivos!$G$7:$G$506,Pasivos!$B$7:$B$506,"&gt;="&amp;G$6,Pasivos!$B$7:$B$506,"&lt;"&amp;EDATE(G$6,1),Pasivos!$C$7:$C$506,"Amortización",Pasivos!$F$7:$F$506,"Corto plazo")+1*(SUMIFS(Pasivos!$G$7:$G$506,Pasivos!$B$7:$B$506,"&gt;="&amp;G$6,Pasivos!$B$7:$B$506,"&lt;"&amp;EDATE(G$6,1),Pasivos!$C$7:$C$506,"Reclasificar a CP")-SUMIFS(Pasivos!$G$7:$G$506,Pasivos!$B$7:$B$506,"&gt;="&amp;G$6,Pasivos!$B$7:$B$506,"&lt;"&amp;EDATE(G$6,1),Pasivos!$C$7:$C$506,"Reclasificar a LP"))</f>
        <v>0</v>
      </c>
      <c r="H23" s="8">
        <f>G23+SUMIFS(Pasivos!$G$7:$G$506,Pasivos!$B$7:$B$506,"&gt;="&amp;H$6,Pasivos!$B$7:$B$506,"&lt;"&amp;EDATE(H$6,1),Pasivos!$C$7:$C$506,"Desembolso",Pasivos!$F$7:$F$506,"Corto plazo")-SUMIFS(Pasivos!$G$7:$G$506,Pasivos!$B$7:$B$506,"&gt;="&amp;H$6,Pasivos!$B$7:$B$506,"&lt;"&amp;EDATE(H$6,1),Pasivos!$C$7:$C$506,"Amortización",Pasivos!$F$7:$F$506,"Corto plazo")+1*(SUMIFS(Pasivos!$G$7:$G$506,Pasivos!$B$7:$B$506,"&gt;="&amp;H$6,Pasivos!$B$7:$B$506,"&lt;"&amp;EDATE(H$6,1),Pasivos!$C$7:$C$506,"Reclasificar a CP")-SUMIFS(Pasivos!$G$7:$G$506,Pasivos!$B$7:$B$506,"&gt;="&amp;H$6,Pasivos!$B$7:$B$506,"&lt;"&amp;EDATE(H$6,1),Pasivos!$C$7:$C$506,"Reclasificar a LP"))</f>
        <v>0</v>
      </c>
      <c r="I23" s="8">
        <f>H23+SUMIFS(Pasivos!$G$7:$G$506,Pasivos!$B$7:$B$506,"&gt;="&amp;I$6,Pasivos!$B$7:$B$506,"&lt;"&amp;EDATE(I$6,1),Pasivos!$C$7:$C$506,"Desembolso",Pasivos!$F$7:$F$506,"Corto plazo")-SUMIFS(Pasivos!$G$7:$G$506,Pasivos!$B$7:$B$506,"&gt;="&amp;I$6,Pasivos!$B$7:$B$506,"&lt;"&amp;EDATE(I$6,1),Pasivos!$C$7:$C$506,"Amortización",Pasivos!$F$7:$F$506,"Corto plazo")+1*(SUMIFS(Pasivos!$G$7:$G$506,Pasivos!$B$7:$B$506,"&gt;="&amp;I$6,Pasivos!$B$7:$B$506,"&lt;"&amp;EDATE(I$6,1),Pasivos!$C$7:$C$506,"Reclasificar a CP")-SUMIFS(Pasivos!$G$7:$G$506,Pasivos!$B$7:$B$506,"&gt;="&amp;I$6,Pasivos!$B$7:$B$506,"&lt;"&amp;EDATE(I$6,1),Pasivos!$C$7:$C$506,"Reclasificar a LP"))</f>
        <v>0</v>
      </c>
      <c r="J23" s="8">
        <f>I23+SUMIFS(Pasivos!$G$7:$G$506,Pasivos!$B$7:$B$506,"&gt;="&amp;J$6,Pasivos!$B$7:$B$506,"&lt;"&amp;EDATE(J$6,1),Pasivos!$C$7:$C$506,"Desembolso",Pasivos!$F$7:$F$506,"Corto plazo")-SUMIFS(Pasivos!$G$7:$G$506,Pasivos!$B$7:$B$506,"&gt;="&amp;J$6,Pasivos!$B$7:$B$506,"&lt;"&amp;EDATE(J$6,1),Pasivos!$C$7:$C$506,"Amortización",Pasivos!$F$7:$F$506,"Corto plazo")+1*(SUMIFS(Pasivos!$G$7:$G$506,Pasivos!$B$7:$B$506,"&gt;="&amp;J$6,Pasivos!$B$7:$B$506,"&lt;"&amp;EDATE(J$6,1),Pasivos!$C$7:$C$506,"Reclasificar a CP")-SUMIFS(Pasivos!$G$7:$G$506,Pasivos!$B$7:$B$506,"&gt;="&amp;J$6,Pasivos!$B$7:$B$506,"&lt;"&amp;EDATE(J$6,1),Pasivos!$C$7:$C$506,"Reclasificar a LP"))</f>
        <v>0</v>
      </c>
      <c r="K23" s="8">
        <f>J23+SUMIFS(Pasivos!$G$7:$G$506,Pasivos!$B$7:$B$506,"&gt;="&amp;K$6,Pasivos!$B$7:$B$506,"&lt;"&amp;EDATE(K$6,1),Pasivos!$C$7:$C$506,"Desembolso",Pasivos!$F$7:$F$506,"Corto plazo")-SUMIFS(Pasivos!$G$7:$G$506,Pasivos!$B$7:$B$506,"&gt;="&amp;K$6,Pasivos!$B$7:$B$506,"&lt;"&amp;EDATE(K$6,1),Pasivos!$C$7:$C$506,"Amortización",Pasivos!$F$7:$F$506,"Corto plazo")+1*(SUMIFS(Pasivos!$G$7:$G$506,Pasivos!$B$7:$B$506,"&gt;="&amp;K$6,Pasivos!$B$7:$B$506,"&lt;"&amp;EDATE(K$6,1),Pasivos!$C$7:$C$506,"Reclasificar a CP")-SUMIFS(Pasivos!$G$7:$G$506,Pasivos!$B$7:$B$506,"&gt;="&amp;K$6,Pasivos!$B$7:$B$506,"&lt;"&amp;EDATE(K$6,1),Pasivos!$C$7:$C$506,"Reclasificar a LP"))</f>
        <v>0</v>
      </c>
      <c r="L23" s="8">
        <f>K23+SUMIFS(Pasivos!$G$7:$G$506,Pasivos!$B$7:$B$506,"&gt;="&amp;L$6,Pasivos!$B$7:$B$506,"&lt;"&amp;EDATE(L$6,1),Pasivos!$C$7:$C$506,"Desembolso",Pasivos!$F$7:$F$506,"Corto plazo")-SUMIFS(Pasivos!$G$7:$G$506,Pasivos!$B$7:$B$506,"&gt;="&amp;L$6,Pasivos!$B$7:$B$506,"&lt;"&amp;EDATE(L$6,1),Pasivos!$C$7:$C$506,"Amortización",Pasivos!$F$7:$F$506,"Corto plazo")+1*(SUMIFS(Pasivos!$G$7:$G$506,Pasivos!$B$7:$B$506,"&gt;="&amp;L$6,Pasivos!$B$7:$B$506,"&lt;"&amp;EDATE(L$6,1),Pasivos!$C$7:$C$506,"Reclasificar a CP")-SUMIFS(Pasivos!$G$7:$G$506,Pasivos!$B$7:$B$506,"&gt;="&amp;L$6,Pasivos!$B$7:$B$506,"&lt;"&amp;EDATE(L$6,1),Pasivos!$C$7:$C$506,"Reclasificar a LP"))</f>
        <v>0</v>
      </c>
      <c r="M23" s="8">
        <f>L23+SUMIFS(Pasivos!$G$7:$G$506,Pasivos!$B$7:$B$506,"&gt;="&amp;M$6,Pasivos!$B$7:$B$506,"&lt;"&amp;EDATE(M$6,1),Pasivos!$C$7:$C$506,"Desembolso",Pasivos!$F$7:$F$506,"Corto plazo")-SUMIFS(Pasivos!$G$7:$G$506,Pasivos!$B$7:$B$506,"&gt;="&amp;M$6,Pasivos!$B$7:$B$506,"&lt;"&amp;EDATE(M$6,1),Pasivos!$C$7:$C$506,"Amortización",Pasivos!$F$7:$F$506,"Corto plazo")+1*(SUMIFS(Pasivos!$G$7:$G$506,Pasivos!$B$7:$B$506,"&gt;="&amp;M$6,Pasivos!$B$7:$B$506,"&lt;"&amp;EDATE(M$6,1),Pasivos!$C$7:$C$506,"Reclasificar a CP")-SUMIFS(Pasivos!$G$7:$G$506,Pasivos!$B$7:$B$506,"&gt;="&amp;M$6,Pasivos!$B$7:$B$506,"&lt;"&amp;EDATE(M$6,1),Pasivos!$C$7:$C$506,"Reclasificar a LP"))</f>
        <v>0</v>
      </c>
      <c r="N23" s="8">
        <f>M23+SUMIFS(Pasivos!$G$7:$G$506,Pasivos!$B$7:$B$506,"&gt;="&amp;N$6,Pasivos!$B$7:$B$506,"&lt;"&amp;EDATE(N$6,1),Pasivos!$C$7:$C$506,"Desembolso",Pasivos!$F$7:$F$506,"Corto plazo")-SUMIFS(Pasivos!$G$7:$G$506,Pasivos!$B$7:$B$506,"&gt;="&amp;N$6,Pasivos!$B$7:$B$506,"&lt;"&amp;EDATE(N$6,1),Pasivos!$C$7:$C$506,"Amortización",Pasivos!$F$7:$F$506,"Corto plazo")+1*(SUMIFS(Pasivos!$G$7:$G$506,Pasivos!$B$7:$B$506,"&gt;="&amp;N$6,Pasivos!$B$7:$B$506,"&lt;"&amp;EDATE(N$6,1),Pasivos!$C$7:$C$506,"Reclasificar a CP")-SUMIFS(Pasivos!$G$7:$G$506,Pasivos!$B$7:$B$506,"&gt;="&amp;N$6,Pasivos!$B$7:$B$506,"&lt;"&amp;EDATE(N$6,1),Pasivos!$C$7:$C$506,"Reclasificar a LP"))</f>
        <v>0</v>
      </c>
      <c r="O23" s="11">
        <f t="shared" si="8"/>
        <v>0</v>
      </c>
    </row>
    <row r="24" spans="1:15" ht="22" customHeight="1">
      <c r="A24" s="1"/>
      <c r="B24" s="12" t="s">
        <v>97</v>
      </c>
      <c r="C24" s="13">
        <f t="shared" ref="C24:N24" si="10">SUM(C19:C23)</f>
        <v>0</v>
      </c>
      <c r="D24" s="13">
        <f t="shared" si="10"/>
        <v>0</v>
      </c>
      <c r="E24" s="13">
        <f t="shared" si="10"/>
        <v>0</v>
      </c>
      <c r="F24" s="13">
        <f t="shared" si="10"/>
        <v>0</v>
      </c>
      <c r="G24" s="13">
        <f t="shared" si="10"/>
        <v>0</v>
      </c>
      <c r="H24" s="13">
        <f t="shared" si="10"/>
        <v>0</v>
      </c>
      <c r="I24" s="13">
        <f t="shared" si="10"/>
        <v>0</v>
      </c>
      <c r="J24" s="13">
        <f t="shared" si="10"/>
        <v>0</v>
      </c>
      <c r="K24" s="13">
        <f t="shared" si="10"/>
        <v>0</v>
      </c>
      <c r="L24" s="13">
        <f t="shared" si="10"/>
        <v>0</v>
      </c>
      <c r="M24" s="13">
        <f t="shared" si="10"/>
        <v>0</v>
      </c>
      <c r="N24" s="13">
        <f t="shared" si="10"/>
        <v>0</v>
      </c>
      <c r="O24" s="14">
        <f t="shared" si="8"/>
        <v>0</v>
      </c>
    </row>
    <row r="25" spans="1:15" ht="22" customHeight="1">
      <c r="A25" s="1"/>
      <c r="B25" s="1" t="s">
        <v>98</v>
      </c>
      <c r="C25" s="8">
        <f>SUMIFS(Pasivos!$G$7:$G$506,Pasivos!$C$7:$C$506,"Saldo inicial",Pasivos!$F$7:$F$506,"Largo plazo",Pasivos!$B$7:$B$506,DATE(Configuración!$C$5,1,1)-1)+SUMIFS(Pasivos!$G$7:$G$506,Pasivos!$B$7:$B$506,"&gt;="&amp;C$6,Pasivos!$B$7:$B$506,"&lt;"&amp;EDATE(C$6,1),Pasivos!$C$7:$C$506,"Desembolso",Pasivos!$F$7:$F$506,"Largo plazo")-SUMIFS(Pasivos!$G$7:$G$506,Pasivos!$B$7:$B$506,"&gt;="&amp;C$6,Pasivos!$B$7:$B$506,"&lt;"&amp;EDATE(C$6,1),Pasivos!$C$7:$C$506,"Amortización",Pasivos!$F$7:$F$506,"Largo plazo")+-1*(SUMIFS(Pasivos!$G$7:$G$506,Pasivos!$B$7:$B$506,"&gt;="&amp;C$6,Pasivos!$B$7:$B$506,"&lt;"&amp;EDATE(C$6,1),Pasivos!$C$7:$C$506,"Reclasificar a CP")-SUMIFS(Pasivos!$G$7:$G$506,Pasivos!$B$7:$B$506,"&gt;="&amp;C$6,Pasivos!$B$7:$B$506,"&lt;"&amp;EDATE(C$6,1),Pasivos!$C$7:$C$506,"Reclasificar a LP"))</f>
        <v>0</v>
      </c>
      <c r="D25" s="8">
        <f>C25+SUMIFS(Pasivos!$G$7:$G$506,Pasivos!$B$7:$B$506,"&gt;="&amp;D$6,Pasivos!$B$7:$B$506,"&lt;"&amp;EDATE(D$6,1),Pasivos!$C$7:$C$506,"Desembolso",Pasivos!$F$7:$F$506,"Largo plazo")-SUMIFS(Pasivos!$G$7:$G$506,Pasivos!$B$7:$B$506,"&gt;="&amp;D$6,Pasivos!$B$7:$B$506,"&lt;"&amp;EDATE(D$6,1),Pasivos!$C$7:$C$506,"Amortización",Pasivos!$F$7:$F$506,"Largo plazo")+-1*(SUMIFS(Pasivos!$G$7:$G$506,Pasivos!$B$7:$B$506,"&gt;="&amp;D$6,Pasivos!$B$7:$B$506,"&lt;"&amp;EDATE(D$6,1),Pasivos!$C$7:$C$506,"Reclasificar a CP")-SUMIFS(Pasivos!$G$7:$G$506,Pasivos!$B$7:$B$506,"&gt;="&amp;D$6,Pasivos!$B$7:$B$506,"&lt;"&amp;EDATE(D$6,1),Pasivos!$C$7:$C$506,"Reclasificar a LP"))</f>
        <v>0</v>
      </c>
      <c r="E25" s="8">
        <f>D25+SUMIFS(Pasivos!$G$7:$G$506,Pasivos!$B$7:$B$506,"&gt;="&amp;E$6,Pasivos!$B$7:$B$506,"&lt;"&amp;EDATE(E$6,1),Pasivos!$C$7:$C$506,"Desembolso",Pasivos!$F$7:$F$506,"Largo plazo")-SUMIFS(Pasivos!$G$7:$G$506,Pasivos!$B$7:$B$506,"&gt;="&amp;E$6,Pasivos!$B$7:$B$506,"&lt;"&amp;EDATE(E$6,1),Pasivos!$C$7:$C$506,"Amortización",Pasivos!$F$7:$F$506,"Largo plazo")+-1*(SUMIFS(Pasivos!$G$7:$G$506,Pasivos!$B$7:$B$506,"&gt;="&amp;E$6,Pasivos!$B$7:$B$506,"&lt;"&amp;EDATE(E$6,1),Pasivos!$C$7:$C$506,"Reclasificar a CP")-SUMIFS(Pasivos!$G$7:$G$506,Pasivos!$B$7:$B$506,"&gt;="&amp;E$6,Pasivos!$B$7:$B$506,"&lt;"&amp;EDATE(E$6,1),Pasivos!$C$7:$C$506,"Reclasificar a LP"))</f>
        <v>0</v>
      </c>
      <c r="F25" s="8">
        <f>E25+SUMIFS(Pasivos!$G$7:$G$506,Pasivos!$B$7:$B$506,"&gt;="&amp;F$6,Pasivos!$B$7:$B$506,"&lt;"&amp;EDATE(F$6,1),Pasivos!$C$7:$C$506,"Desembolso",Pasivos!$F$7:$F$506,"Largo plazo")-SUMIFS(Pasivos!$G$7:$G$506,Pasivos!$B$7:$B$506,"&gt;="&amp;F$6,Pasivos!$B$7:$B$506,"&lt;"&amp;EDATE(F$6,1),Pasivos!$C$7:$C$506,"Amortización",Pasivos!$F$7:$F$506,"Largo plazo")+-1*(SUMIFS(Pasivos!$G$7:$G$506,Pasivos!$B$7:$B$506,"&gt;="&amp;F$6,Pasivos!$B$7:$B$506,"&lt;"&amp;EDATE(F$6,1),Pasivos!$C$7:$C$506,"Reclasificar a CP")-SUMIFS(Pasivos!$G$7:$G$506,Pasivos!$B$7:$B$506,"&gt;="&amp;F$6,Pasivos!$B$7:$B$506,"&lt;"&amp;EDATE(F$6,1),Pasivos!$C$7:$C$506,"Reclasificar a LP"))</f>
        <v>0</v>
      </c>
      <c r="G25" s="8">
        <f>F25+SUMIFS(Pasivos!$G$7:$G$506,Pasivos!$B$7:$B$506,"&gt;="&amp;G$6,Pasivos!$B$7:$B$506,"&lt;"&amp;EDATE(G$6,1),Pasivos!$C$7:$C$506,"Desembolso",Pasivos!$F$7:$F$506,"Largo plazo")-SUMIFS(Pasivos!$G$7:$G$506,Pasivos!$B$7:$B$506,"&gt;="&amp;G$6,Pasivos!$B$7:$B$506,"&lt;"&amp;EDATE(G$6,1),Pasivos!$C$7:$C$506,"Amortización",Pasivos!$F$7:$F$506,"Largo plazo")+-1*(SUMIFS(Pasivos!$G$7:$G$506,Pasivos!$B$7:$B$506,"&gt;="&amp;G$6,Pasivos!$B$7:$B$506,"&lt;"&amp;EDATE(G$6,1),Pasivos!$C$7:$C$506,"Reclasificar a CP")-SUMIFS(Pasivos!$G$7:$G$506,Pasivos!$B$7:$B$506,"&gt;="&amp;G$6,Pasivos!$B$7:$B$506,"&lt;"&amp;EDATE(G$6,1),Pasivos!$C$7:$C$506,"Reclasificar a LP"))</f>
        <v>0</v>
      </c>
      <c r="H25" s="8">
        <f>G25+SUMIFS(Pasivos!$G$7:$G$506,Pasivos!$B$7:$B$506,"&gt;="&amp;H$6,Pasivos!$B$7:$B$506,"&lt;"&amp;EDATE(H$6,1),Pasivos!$C$7:$C$506,"Desembolso",Pasivos!$F$7:$F$506,"Largo plazo")-SUMIFS(Pasivos!$G$7:$G$506,Pasivos!$B$7:$B$506,"&gt;="&amp;H$6,Pasivos!$B$7:$B$506,"&lt;"&amp;EDATE(H$6,1),Pasivos!$C$7:$C$506,"Amortización",Pasivos!$F$7:$F$506,"Largo plazo")+-1*(SUMIFS(Pasivos!$G$7:$G$506,Pasivos!$B$7:$B$506,"&gt;="&amp;H$6,Pasivos!$B$7:$B$506,"&lt;"&amp;EDATE(H$6,1),Pasivos!$C$7:$C$506,"Reclasificar a CP")-SUMIFS(Pasivos!$G$7:$G$506,Pasivos!$B$7:$B$506,"&gt;="&amp;H$6,Pasivos!$B$7:$B$506,"&lt;"&amp;EDATE(H$6,1),Pasivos!$C$7:$C$506,"Reclasificar a LP"))</f>
        <v>0</v>
      </c>
      <c r="I25" s="8">
        <f>H25+SUMIFS(Pasivos!$G$7:$G$506,Pasivos!$B$7:$B$506,"&gt;="&amp;I$6,Pasivos!$B$7:$B$506,"&lt;"&amp;EDATE(I$6,1),Pasivos!$C$7:$C$506,"Desembolso",Pasivos!$F$7:$F$506,"Largo plazo")-SUMIFS(Pasivos!$G$7:$G$506,Pasivos!$B$7:$B$506,"&gt;="&amp;I$6,Pasivos!$B$7:$B$506,"&lt;"&amp;EDATE(I$6,1),Pasivos!$C$7:$C$506,"Amortización",Pasivos!$F$7:$F$506,"Largo plazo")+-1*(SUMIFS(Pasivos!$G$7:$G$506,Pasivos!$B$7:$B$506,"&gt;="&amp;I$6,Pasivos!$B$7:$B$506,"&lt;"&amp;EDATE(I$6,1),Pasivos!$C$7:$C$506,"Reclasificar a CP")-SUMIFS(Pasivos!$G$7:$G$506,Pasivos!$B$7:$B$506,"&gt;="&amp;I$6,Pasivos!$B$7:$B$506,"&lt;"&amp;EDATE(I$6,1),Pasivos!$C$7:$C$506,"Reclasificar a LP"))</f>
        <v>0</v>
      </c>
      <c r="J25" s="8">
        <f>I25+SUMIFS(Pasivos!$G$7:$G$506,Pasivos!$B$7:$B$506,"&gt;="&amp;J$6,Pasivos!$B$7:$B$506,"&lt;"&amp;EDATE(J$6,1),Pasivos!$C$7:$C$506,"Desembolso",Pasivos!$F$7:$F$506,"Largo plazo")-SUMIFS(Pasivos!$G$7:$G$506,Pasivos!$B$7:$B$506,"&gt;="&amp;J$6,Pasivos!$B$7:$B$506,"&lt;"&amp;EDATE(J$6,1),Pasivos!$C$7:$C$506,"Amortización",Pasivos!$F$7:$F$506,"Largo plazo")+-1*(SUMIFS(Pasivos!$G$7:$G$506,Pasivos!$B$7:$B$506,"&gt;="&amp;J$6,Pasivos!$B$7:$B$506,"&lt;"&amp;EDATE(J$6,1),Pasivos!$C$7:$C$506,"Reclasificar a CP")-SUMIFS(Pasivos!$G$7:$G$506,Pasivos!$B$7:$B$506,"&gt;="&amp;J$6,Pasivos!$B$7:$B$506,"&lt;"&amp;EDATE(J$6,1),Pasivos!$C$7:$C$506,"Reclasificar a LP"))</f>
        <v>0</v>
      </c>
      <c r="K25" s="8">
        <f>J25+SUMIFS(Pasivos!$G$7:$G$506,Pasivos!$B$7:$B$506,"&gt;="&amp;K$6,Pasivos!$B$7:$B$506,"&lt;"&amp;EDATE(K$6,1),Pasivos!$C$7:$C$506,"Desembolso",Pasivos!$F$7:$F$506,"Largo plazo")-SUMIFS(Pasivos!$G$7:$G$506,Pasivos!$B$7:$B$506,"&gt;="&amp;K$6,Pasivos!$B$7:$B$506,"&lt;"&amp;EDATE(K$6,1),Pasivos!$C$7:$C$506,"Amortización",Pasivos!$F$7:$F$506,"Largo plazo")+-1*(SUMIFS(Pasivos!$G$7:$G$506,Pasivos!$B$7:$B$506,"&gt;="&amp;K$6,Pasivos!$B$7:$B$506,"&lt;"&amp;EDATE(K$6,1),Pasivos!$C$7:$C$506,"Reclasificar a CP")-SUMIFS(Pasivos!$G$7:$G$506,Pasivos!$B$7:$B$506,"&gt;="&amp;K$6,Pasivos!$B$7:$B$506,"&lt;"&amp;EDATE(K$6,1),Pasivos!$C$7:$C$506,"Reclasificar a LP"))</f>
        <v>0</v>
      </c>
      <c r="L25" s="8">
        <f>K25+SUMIFS(Pasivos!$G$7:$G$506,Pasivos!$B$7:$B$506,"&gt;="&amp;L$6,Pasivos!$B$7:$B$506,"&lt;"&amp;EDATE(L$6,1),Pasivos!$C$7:$C$506,"Desembolso",Pasivos!$F$7:$F$506,"Largo plazo")-SUMIFS(Pasivos!$G$7:$G$506,Pasivos!$B$7:$B$506,"&gt;="&amp;L$6,Pasivos!$B$7:$B$506,"&lt;"&amp;EDATE(L$6,1),Pasivos!$C$7:$C$506,"Amortización",Pasivos!$F$7:$F$506,"Largo plazo")+-1*(SUMIFS(Pasivos!$G$7:$G$506,Pasivos!$B$7:$B$506,"&gt;="&amp;L$6,Pasivos!$B$7:$B$506,"&lt;"&amp;EDATE(L$6,1),Pasivos!$C$7:$C$506,"Reclasificar a CP")-SUMIFS(Pasivos!$G$7:$G$506,Pasivos!$B$7:$B$506,"&gt;="&amp;L$6,Pasivos!$B$7:$B$506,"&lt;"&amp;EDATE(L$6,1),Pasivos!$C$7:$C$506,"Reclasificar a LP"))</f>
        <v>0</v>
      </c>
      <c r="M25" s="8">
        <f>L25+SUMIFS(Pasivos!$G$7:$G$506,Pasivos!$B$7:$B$506,"&gt;="&amp;M$6,Pasivos!$B$7:$B$506,"&lt;"&amp;EDATE(M$6,1),Pasivos!$C$7:$C$506,"Desembolso",Pasivos!$F$7:$F$506,"Largo plazo")-SUMIFS(Pasivos!$G$7:$G$506,Pasivos!$B$7:$B$506,"&gt;="&amp;M$6,Pasivos!$B$7:$B$506,"&lt;"&amp;EDATE(M$6,1),Pasivos!$C$7:$C$506,"Amortización",Pasivos!$F$7:$F$506,"Largo plazo")+-1*(SUMIFS(Pasivos!$G$7:$G$506,Pasivos!$B$7:$B$506,"&gt;="&amp;M$6,Pasivos!$B$7:$B$506,"&lt;"&amp;EDATE(M$6,1),Pasivos!$C$7:$C$506,"Reclasificar a CP")-SUMIFS(Pasivos!$G$7:$G$506,Pasivos!$B$7:$B$506,"&gt;="&amp;M$6,Pasivos!$B$7:$B$506,"&lt;"&amp;EDATE(M$6,1),Pasivos!$C$7:$C$506,"Reclasificar a LP"))</f>
        <v>0</v>
      </c>
      <c r="N25" s="8">
        <f>M25+SUMIFS(Pasivos!$G$7:$G$506,Pasivos!$B$7:$B$506,"&gt;="&amp;N$6,Pasivos!$B$7:$B$506,"&lt;"&amp;EDATE(N$6,1),Pasivos!$C$7:$C$506,"Desembolso",Pasivos!$F$7:$F$506,"Largo plazo")-SUMIFS(Pasivos!$G$7:$G$506,Pasivos!$B$7:$B$506,"&gt;="&amp;N$6,Pasivos!$B$7:$B$506,"&lt;"&amp;EDATE(N$6,1),Pasivos!$C$7:$C$506,"Amortización",Pasivos!$F$7:$F$506,"Largo plazo")+-1*(SUMIFS(Pasivos!$G$7:$G$506,Pasivos!$B$7:$B$506,"&gt;="&amp;N$6,Pasivos!$B$7:$B$506,"&lt;"&amp;EDATE(N$6,1),Pasivos!$C$7:$C$506,"Reclasificar a CP")-SUMIFS(Pasivos!$G$7:$G$506,Pasivos!$B$7:$B$506,"&gt;="&amp;N$6,Pasivos!$B$7:$B$506,"&lt;"&amp;EDATE(N$6,1),Pasivos!$C$7:$C$506,"Reclasificar a LP"))</f>
        <v>0</v>
      </c>
      <c r="O25" s="11">
        <f t="shared" si="8"/>
        <v>0</v>
      </c>
    </row>
    <row r="26" spans="1:15" ht="22" customHeight="1">
      <c r="A26" s="1"/>
      <c r="B26" s="12" t="s">
        <v>99</v>
      </c>
      <c r="C26" s="13">
        <f t="shared" ref="C26:N26" si="11">C24+C25</f>
        <v>0</v>
      </c>
      <c r="D26" s="13">
        <f t="shared" si="11"/>
        <v>0</v>
      </c>
      <c r="E26" s="13">
        <f t="shared" si="11"/>
        <v>0</v>
      </c>
      <c r="F26" s="13">
        <f t="shared" si="11"/>
        <v>0</v>
      </c>
      <c r="G26" s="13">
        <f t="shared" si="11"/>
        <v>0</v>
      </c>
      <c r="H26" s="13">
        <f t="shared" si="11"/>
        <v>0</v>
      </c>
      <c r="I26" s="13">
        <f t="shared" si="11"/>
        <v>0</v>
      </c>
      <c r="J26" s="13">
        <f t="shared" si="11"/>
        <v>0</v>
      </c>
      <c r="K26" s="13">
        <f t="shared" si="11"/>
        <v>0</v>
      </c>
      <c r="L26" s="13">
        <f t="shared" si="11"/>
        <v>0</v>
      </c>
      <c r="M26" s="13">
        <f t="shared" si="11"/>
        <v>0</v>
      </c>
      <c r="N26" s="13">
        <f t="shared" si="11"/>
        <v>0</v>
      </c>
      <c r="O26" s="14">
        <f t="shared" si="8"/>
        <v>0</v>
      </c>
    </row>
    <row r="27" spans="1:15" ht="22" customHeight="1">
      <c r="A27" s="1"/>
      <c r="B27" s="1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11"/>
    </row>
    <row r="28" spans="1:15" ht="22" customHeight="1">
      <c r="A28" s="1"/>
      <c r="B28" s="1" t="s">
        <v>100</v>
      </c>
      <c r="C28" s="8">
        <f>Configuración!$C$18+'Flujo de Efectivo'!C19</f>
        <v>0</v>
      </c>
      <c r="D28" s="8">
        <f>C28+'Flujo de Efectivo'!D19</f>
        <v>0</v>
      </c>
      <c r="E28" s="8">
        <f>D28+'Flujo de Efectivo'!E19</f>
        <v>0</v>
      </c>
      <c r="F28" s="8">
        <f>E28+'Flujo de Efectivo'!F19</f>
        <v>0</v>
      </c>
      <c r="G28" s="8">
        <f>F28+'Flujo de Efectivo'!G19</f>
        <v>0</v>
      </c>
      <c r="H28" s="8">
        <f>G28+'Flujo de Efectivo'!H19</f>
        <v>0</v>
      </c>
      <c r="I28" s="8">
        <f>H28+'Flujo de Efectivo'!I19</f>
        <v>0</v>
      </c>
      <c r="J28" s="8">
        <f>I28+'Flujo de Efectivo'!J19</f>
        <v>0</v>
      </c>
      <c r="K28" s="8">
        <f>J28+'Flujo de Efectivo'!K19</f>
        <v>0</v>
      </c>
      <c r="L28" s="8">
        <f>K28+'Flujo de Efectivo'!L19</f>
        <v>0</v>
      </c>
      <c r="M28" s="8">
        <f>L28+'Flujo de Efectivo'!M19</f>
        <v>0</v>
      </c>
      <c r="N28" s="8">
        <f>M28+'Flujo de Efectivo'!N19</f>
        <v>0</v>
      </c>
      <c r="O28" s="11">
        <f t="shared" ref="O28:O33" si="12">N28</f>
        <v>0</v>
      </c>
    </row>
    <row r="29" spans="1:15" ht="22" customHeight="1">
      <c r="A29" s="1"/>
      <c r="B29" s="1" t="s">
        <v>101</v>
      </c>
      <c r="C29" s="8">
        <f>Configuración!$C$19</f>
        <v>0</v>
      </c>
      <c r="D29" s="8">
        <f>Configuración!$C$19</f>
        <v>0</v>
      </c>
      <c r="E29" s="8">
        <f>Configuración!$C$19</f>
        <v>0</v>
      </c>
      <c r="F29" s="8">
        <f>Configuración!$C$19</f>
        <v>0</v>
      </c>
      <c r="G29" s="8">
        <f>Configuración!$C$19</f>
        <v>0</v>
      </c>
      <c r="H29" s="8">
        <f>Configuración!$C$19</f>
        <v>0</v>
      </c>
      <c r="I29" s="8">
        <f>Configuración!$C$19</f>
        <v>0</v>
      </c>
      <c r="J29" s="8">
        <f>Configuración!$C$19</f>
        <v>0</v>
      </c>
      <c r="K29" s="8">
        <f>Configuración!$C$19</f>
        <v>0</v>
      </c>
      <c r="L29" s="8">
        <f>Configuración!$C$19</f>
        <v>0</v>
      </c>
      <c r="M29" s="8">
        <f>Configuración!$C$19</f>
        <v>0</v>
      </c>
      <c r="N29" s="8">
        <f>Configuración!$C$19</f>
        <v>0</v>
      </c>
      <c r="O29" s="11">
        <f t="shared" si="12"/>
        <v>0</v>
      </c>
    </row>
    <row r="30" spans="1:15" ht="22" customHeight="1">
      <c r="A30" s="1"/>
      <c r="B30" s="1" t="s">
        <v>102</v>
      </c>
      <c r="C30" s="8">
        <f>0+'Estado de Resultados'!C33</f>
        <v>2200</v>
      </c>
      <c r="D30" s="8">
        <f>C30+'Estado de Resultados'!D33</f>
        <v>2200</v>
      </c>
      <c r="E30" s="8">
        <f>D30+'Estado de Resultados'!E33</f>
        <v>2200</v>
      </c>
      <c r="F30" s="8">
        <f>E30+'Estado de Resultados'!F33</f>
        <v>2200</v>
      </c>
      <c r="G30" s="8">
        <f>F30+'Estado de Resultados'!G33</f>
        <v>2200</v>
      </c>
      <c r="H30" s="8">
        <f>G30+'Estado de Resultados'!H33</f>
        <v>2200</v>
      </c>
      <c r="I30" s="8">
        <f>H30+'Estado de Resultados'!I33</f>
        <v>2200</v>
      </c>
      <c r="J30" s="8">
        <f>I30+'Estado de Resultados'!J33</f>
        <v>2200</v>
      </c>
      <c r="K30" s="8">
        <f>J30+'Estado de Resultados'!K33</f>
        <v>2200</v>
      </c>
      <c r="L30" s="8">
        <f>K30+'Estado de Resultados'!L33</f>
        <v>2200</v>
      </c>
      <c r="M30" s="8">
        <f>L30+'Estado de Resultados'!M33</f>
        <v>2200</v>
      </c>
      <c r="N30" s="8">
        <f>M30+'Estado de Resultados'!N33</f>
        <v>2200</v>
      </c>
      <c r="O30" s="11">
        <f t="shared" si="12"/>
        <v>2200</v>
      </c>
    </row>
    <row r="31" spans="1:15" ht="22" customHeight="1">
      <c r="A31" s="1"/>
      <c r="B31" s="1" t="s">
        <v>103</v>
      </c>
      <c r="C31" s="8">
        <f>0+'Flujo de Efectivo'!C20</f>
        <v>0</v>
      </c>
      <c r="D31" s="8">
        <f>C31+'Flujo de Efectivo'!D20</f>
        <v>0</v>
      </c>
      <c r="E31" s="8">
        <f>D31+'Flujo de Efectivo'!E20</f>
        <v>0</v>
      </c>
      <c r="F31" s="8">
        <f>E31+'Flujo de Efectivo'!F20</f>
        <v>0</v>
      </c>
      <c r="G31" s="8">
        <f>F31+'Flujo de Efectivo'!G20</f>
        <v>0</v>
      </c>
      <c r="H31" s="8">
        <f>G31+'Flujo de Efectivo'!H20</f>
        <v>0</v>
      </c>
      <c r="I31" s="8">
        <f>H31+'Flujo de Efectivo'!I20</f>
        <v>0</v>
      </c>
      <c r="J31" s="8">
        <f>I31+'Flujo de Efectivo'!J20</f>
        <v>0</v>
      </c>
      <c r="K31" s="8">
        <f>J31+'Flujo de Efectivo'!K20</f>
        <v>0</v>
      </c>
      <c r="L31" s="8">
        <f>K31+'Flujo de Efectivo'!L20</f>
        <v>0</v>
      </c>
      <c r="M31" s="8">
        <f>L31+'Flujo de Efectivo'!M20</f>
        <v>0</v>
      </c>
      <c r="N31" s="8">
        <f>M31+'Flujo de Efectivo'!N20</f>
        <v>0</v>
      </c>
      <c r="O31" s="11">
        <f t="shared" si="12"/>
        <v>0</v>
      </c>
    </row>
    <row r="32" spans="1:15" ht="22" customHeight="1">
      <c r="A32" s="1"/>
      <c r="B32" s="12" t="s">
        <v>104</v>
      </c>
      <c r="C32" s="13">
        <f t="shared" ref="C32:N32" si="13">SUM(C28:C30)-C31</f>
        <v>2200</v>
      </c>
      <c r="D32" s="13">
        <f t="shared" si="13"/>
        <v>2200</v>
      </c>
      <c r="E32" s="13">
        <f t="shared" si="13"/>
        <v>2200</v>
      </c>
      <c r="F32" s="13">
        <f t="shared" si="13"/>
        <v>2200</v>
      </c>
      <c r="G32" s="13">
        <f t="shared" si="13"/>
        <v>2200</v>
      </c>
      <c r="H32" s="13">
        <f t="shared" si="13"/>
        <v>2200</v>
      </c>
      <c r="I32" s="13">
        <f t="shared" si="13"/>
        <v>2200</v>
      </c>
      <c r="J32" s="13">
        <f t="shared" si="13"/>
        <v>2200</v>
      </c>
      <c r="K32" s="13">
        <f t="shared" si="13"/>
        <v>2200</v>
      </c>
      <c r="L32" s="13">
        <f t="shared" si="13"/>
        <v>2200</v>
      </c>
      <c r="M32" s="13">
        <f t="shared" si="13"/>
        <v>2200</v>
      </c>
      <c r="N32" s="13">
        <f t="shared" si="13"/>
        <v>2200</v>
      </c>
      <c r="O32" s="14">
        <f t="shared" si="12"/>
        <v>2200</v>
      </c>
    </row>
    <row r="33" spans="1:15" ht="22" customHeight="1">
      <c r="A33" s="1"/>
      <c r="B33" s="12" t="s">
        <v>105</v>
      </c>
      <c r="C33" s="13">
        <f t="shared" ref="C33:N33" si="14">C26+C32</f>
        <v>2200</v>
      </c>
      <c r="D33" s="13">
        <f t="shared" si="14"/>
        <v>2200</v>
      </c>
      <c r="E33" s="13">
        <f t="shared" si="14"/>
        <v>2200</v>
      </c>
      <c r="F33" s="13">
        <f t="shared" si="14"/>
        <v>2200</v>
      </c>
      <c r="G33" s="13">
        <f t="shared" si="14"/>
        <v>2200</v>
      </c>
      <c r="H33" s="13">
        <f t="shared" si="14"/>
        <v>2200</v>
      </c>
      <c r="I33" s="13">
        <f t="shared" si="14"/>
        <v>2200</v>
      </c>
      <c r="J33" s="13">
        <f t="shared" si="14"/>
        <v>2200</v>
      </c>
      <c r="K33" s="13">
        <f t="shared" si="14"/>
        <v>2200</v>
      </c>
      <c r="L33" s="13">
        <f t="shared" si="14"/>
        <v>2200</v>
      </c>
      <c r="M33" s="13">
        <f t="shared" si="14"/>
        <v>2200</v>
      </c>
      <c r="N33" s="13">
        <f t="shared" si="14"/>
        <v>2200</v>
      </c>
      <c r="O33" s="14">
        <f t="shared" si="12"/>
        <v>2200</v>
      </c>
    </row>
    <row r="34" spans="1:15" ht="22" customHeight="1">
      <c r="A34" s="1"/>
      <c r="B34" s="1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11"/>
    </row>
    <row r="35" spans="1:15" ht="22" customHeight="1">
      <c r="A35" s="1"/>
      <c r="B35" s="12" t="s">
        <v>106</v>
      </c>
      <c r="C35" s="17">
        <f t="shared" ref="C35:N35" si="15">C17-C33</f>
        <v>0</v>
      </c>
      <c r="D35" s="17">
        <f t="shared" si="15"/>
        <v>0</v>
      </c>
      <c r="E35" s="17">
        <f t="shared" si="15"/>
        <v>0</v>
      </c>
      <c r="F35" s="17">
        <f t="shared" si="15"/>
        <v>0</v>
      </c>
      <c r="G35" s="17">
        <f t="shared" si="15"/>
        <v>0</v>
      </c>
      <c r="H35" s="17">
        <f t="shared" si="15"/>
        <v>0</v>
      </c>
      <c r="I35" s="17">
        <f t="shared" si="15"/>
        <v>0</v>
      </c>
      <c r="J35" s="17">
        <f t="shared" si="15"/>
        <v>0</v>
      </c>
      <c r="K35" s="17">
        <f t="shared" si="15"/>
        <v>0</v>
      </c>
      <c r="L35" s="17">
        <f t="shared" si="15"/>
        <v>0</v>
      </c>
      <c r="M35" s="17">
        <f t="shared" si="15"/>
        <v>0</v>
      </c>
      <c r="N35" s="17">
        <f t="shared" si="15"/>
        <v>0</v>
      </c>
      <c r="O35" s="18">
        <f>N35</f>
        <v>0</v>
      </c>
    </row>
    <row r="36" spans="1:15" ht="22" customHeight="1">
      <c r="A36" s="1"/>
      <c r="B36" s="1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11"/>
    </row>
    <row r="37" spans="1:15" ht="26" customHeight="1">
      <c r="A37" s="1"/>
      <c r="B37" s="5" t="s">
        <v>107</v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6"/>
    </row>
    <row r="38" spans="1:15" ht="22" customHeight="1">
      <c r="A38" s="1"/>
      <c r="B38" s="1" t="s">
        <v>108</v>
      </c>
      <c r="C38" s="8">
        <f>Configuración!$C$16-Configuración!$C$11+SUMIFS(Ingresos!$H$7:$H$2006,Ingresos!$B$7:$B$2006,"&gt;="&amp;C$6,Ingresos!$B$7:$B$2006,"&lt;"&amp;EDATE(C$6,1),Ingresos!$C$7:$C$2006,"Servicio")-SUMIFS(Gastos!$I$7:$I$2006,Gastos!$B$7:$B$2006,"&gt;="&amp;C$6,Gastos!$B$7:$B$2006,"&lt;"&amp;EDATE(C$6,1),Gastos!$C$7:$C$2006,"Gasto")-C40-'Flujo de Efectivo'!C11-C45</f>
        <v>0</v>
      </c>
      <c r="D38" s="8">
        <f>C38+SUMIFS(Ingresos!$H$7:$H$2006,Ingresos!$B$7:$B$2006,"&gt;="&amp;D$6,Ingresos!$B$7:$B$2006,"&lt;"&amp;EDATE(D$6,1),Ingresos!$C$7:$C$2006,"Servicio")-SUMIFS(Gastos!$I$7:$I$2006,Gastos!$B$7:$B$2006,"&gt;="&amp;D$6,Gastos!$B$7:$B$2006,"&lt;"&amp;EDATE(D$6,1),Gastos!$C$7:$C$2006,"Gasto")-D40-'Flujo de Efectivo'!D11-D45</f>
        <v>0</v>
      </c>
      <c r="E38" s="8">
        <f>D38+SUMIFS(Ingresos!$H$7:$H$2006,Ingresos!$B$7:$B$2006,"&gt;="&amp;E$6,Ingresos!$B$7:$B$2006,"&lt;"&amp;EDATE(E$6,1),Ingresos!$C$7:$C$2006,"Servicio")-SUMIFS(Gastos!$I$7:$I$2006,Gastos!$B$7:$B$2006,"&gt;="&amp;E$6,Gastos!$B$7:$B$2006,"&lt;"&amp;EDATE(E$6,1),Gastos!$C$7:$C$2006,"Gasto")-E40-'Flujo de Efectivo'!E11-E45</f>
        <v>0</v>
      </c>
      <c r="F38" s="8">
        <f>E38+SUMIFS(Ingresos!$H$7:$H$2006,Ingresos!$B$7:$B$2006,"&gt;="&amp;F$6,Ingresos!$B$7:$B$2006,"&lt;"&amp;EDATE(F$6,1),Ingresos!$C$7:$C$2006,"Servicio")-SUMIFS(Gastos!$I$7:$I$2006,Gastos!$B$7:$B$2006,"&gt;="&amp;F$6,Gastos!$B$7:$B$2006,"&lt;"&amp;EDATE(F$6,1),Gastos!$C$7:$C$2006,"Gasto")-F40-'Flujo de Efectivo'!F11-F45</f>
        <v>0</v>
      </c>
      <c r="G38" s="8">
        <f>F38+SUMIFS(Ingresos!$H$7:$H$2006,Ingresos!$B$7:$B$2006,"&gt;="&amp;G$6,Ingresos!$B$7:$B$2006,"&lt;"&amp;EDATE(G$6,1),Ingresos!$C$7:$C$2006,"Servicio")-SUMIFS(Gastos!$I$7:$I$2006,Gastos!$B$7:$B$2006,"&gt;="&amp;G$6,Gastos!$B$7:$B$2006,"&lt;"&amp;EDATE(G$6,1),Gastos!$C$7:$C$2006,"Gasto")-G40-'Flujo de Efectivo'!G11-G45</f>
        <v>0</v>
      </c>
      <c r="H38" s="8">
        <f>G38+SUMIFS(Ingresos!$H$7:$H$2006,Ingresos!$B$7:$B$2006,"&gt;="&amp;H$6,Ingresos!$B$7:$B$2006,"&lt;"&amp;EDATE(H$6,1),Ingresos!$C$7:$C$2006,"Servicio")-SUMIFS(Gastos!$I$7:$I$2006,Gastos!$B$7:$B$2006,"&gt;="&amp;H$6,Gastos!$B$7:$B$2006,"&lt;"&amp;EDATE(H$6,1),Gastos!$C$7:$C$2006,"Gasto")-H40-'Flujo de Efectivo'!H11-H45</f>
        <v>0</v>
      </c>
      <c r="I38" s="8">
        <f>H38+SUMIFS(Ingresos!$H$7:$H$2006,Ingresos!$B$7:$B$2006,"&gt;="&amp;I$6,Ingresos!$B$7:$B$2006,"&lt;"&amp;EDATE(I$6,1),Ingresos!$C$7:$C$2006,"Servicio")-SUMIFS(Gastos!$I$7:$I$2006,Gastos!$B$7:$B$2006,"&gt;="&amp;I$6,Gastos!$B$7:$B$2006,"&lt;"&amp;EDATE(I$6,1),Gastos!$C$7:$C$2006,"Gasto")-I40-'Flujo de Efectivo'!I11-I45</f>
        <v>0</v>
      </c>
      <c r="J38" s="8">
        <f>I38+SUMIFS(Ingresos!$H$7:$H$2006,Ingresos!$B$7:$B$2006,"&gt;="&amp;J$6,Ingresos!$B$7:$B$2006,"&lt;"&amp;EDATE(J$6,1),Ingresos!$C$7:$C$2006,"Servicio")-SUMIFS(Gastos!$I$7:$I$2006,Gastos!$B$7:$B$2006,"&gt;="&amp;J$6,Gastos!$B$7:$B$2006,"&lt;"&amp;EDATE(J$6,1),Gastos!$C$7:$C$2006,"Gasto")-J40-'Flujo de Efectivo'!J11-J45</f>
        <v>0</v>
      </c>
      <c r="K38" s="8">
        <f>J38+SUMIFS(Ingresos!$H$7:$H$2006,Ingresos!$B$7:$B$2006,"&gt;="&amp;K$6,Ingresos!$B$7:$B$2006,"&lt;"&amp;EDATE(K$6,1),Ingresos!$C$7:$C$2006,"Servicio")-SUMIFS(Gastos!$I$7:$I$2006,Gastos!$B$7:$B$2006,"&gt;="&amp;K$6,Gastos!$B$7:$B$2006,"&lt;"&amp;EDATE(K$6,1),Gastos!$C$7:$C$2006,"Gasto")-K40-'Flujo de Efectivo'!K11-K45</f>
        <v>0</v>
      </c>
      <c r="L38" s="8">
        <f>K38+SUMIFS(Ingresos!$H$7:$H$2006,Ingresos!$B$7:$B$2006,"&gt;="&amp;L$6,Ingresos!$B$7:$B$2006,"&lt;"&amp;EDATE(L$6,1),Ingresos!$C$7:$C$2006,"Servicio")-SUMIFS(Gastos!$I$7:$I$2006,Gastos!$B$7:$B$2006,"&gt;="&amp;L$6,Gastos!$B$7:$B$2006,"&lt;"&amp;EDATE(L$6,1),Gastos!$C$7:$C$2006,"Gasto")-L40-'Flujo de Efectivo'!L11-L45</f>
        <v>0</v>
      </c>
      <c r="M38" s="8">
        <f>L38+SUMIFS(Ingresos!$H$7:$H$2006,Ingresos!$B$7:$B$2006,"&gt;="&amp;M$6,Ingresos!$B$7:$B$2006,"&lt;"&amp;EDATE(M$6,1),Ingresos!$C$7:$C$2006,"Servicio")-SUMIFS(Gastos!$I$7:$I$2006,Gastos!$B$7:$B$2006,"&gt;="&amp;M$6,Gastos!$B$7:$B$2006,"&lt;"&amp;EDATE(M$6,1),Gastos!$C$7:$C$2006,"Gasto")-M40-'Flujo de Efectivo'!M11-M45</f>
        <v>0</v>
      </c>
      <c r="N38" s="8">
        <f>M38+SUMIFS(Ingresos!$H$7:$H$2006,Ingresos!$B$7:$B$2006,"&gt;="&amp;N$6,Ingresos!$B$7:$B$2006,"&lt;"&amp;EDATE(N$6,1),Ingresos!$C$7:$C$2006,"Servicio")-SUMIFS(Gastos!$I$7:$I$2006,Gastos!$B$7:$B$2006,"&gt;="&amp;N$6,Gastos!$B$7:$B$2006,"&lt;"&amp;EDATE(N$6,1),Gastos!$C$7:$C$2006,"Gasto")-N40-'Flujo de Efectivo'!N11-N45</f>
        <v>0</v>
      </c>
      <c r="O38" s="11">
        <f>N38</f>
        <v>0</v>
      </c>
    </row>
    <row r="39" spans="1:15" ht="22" customHeight="1">
      <c r="A39" s="1"/>
      <c r="B39" s="1" t="s">
        <v>109</v>
      </c>
      <c r="C39" s="8">
        <f>SUMIFS(Activos!$E$7:$E$106,Activos!$C$7:$C$106,"&gt;="&amp;C$6,Activos!$C$7:$C$106,"&lt;"&amp;EDATE(C$6,1))</f>
        <v>0</v>
      </c>
      <c r="D39" s="8">
        <f>SUMIFS(Activos!$E$7:$E$106,Activos!$C$7:$C$106,"&gt;="&amp;D$6,Activos!$C$7:$C$106,"&lt;"&amp;EDATE(D$6,1))</f>
        <v>0</v>
      </c>
      <c r="E39" s="8">
        <f>SUMIFS(Activos!$E$7:$E$106,Activos!$C$7:$C$106,"&gt;="&amp;E$6,Activos!$C$7:$C$106,"&lt;"&amp;EDATE(E$6,1))</f>
        <v>0</v>
      </c>
      <c r="F39" s="8">
        <f>SUMIFS(Activos!$E$7:$E$106,Activos!$C$7:$C$106,"&gt;="&amp;F$6,Activos!$C$7:$C$106,"&lt;"&amp;EDATE(F$6,1))</f>
        <v>0</v>
      </c>
      <c r="G39" s="8">
        <f>SUMIFS(Activos!$E$7:$E$106,Activos!$C$7:$C$106,"&gt;="&amp;G$6,Activos!$C$7:$C$106,"&lt;"&amp;EDATE(G$6,1))</f>
        <v>0</v>
      </c>
      <c r="H39" s="8">
        <f>SUMIFS(Activos!$E$7:$E$106,Activos!$C$7:$C$106,"&gt;="&amp;H$6,Activos!$C$7:$C$106,"&lt;"&amp;EDATE(H$6,1))</f>
        <v>0</v>
      </c>
      <c r="I39" s="8">
        <f>SUMIFS(Activos!$E$7:$E$106,Activos!$C$7:$C$106,"&gt;="&amp;I$6,Activos!$C$7:$C$106,"&lt;"&amp;EDATE(I$6,1))</f>
        <v>0</v>
      </c>
      <c r="J39" s="8">
        <f>SUMIFS(Activos!$E$7:$E$106,Activos!$C$7:$C$106,"&gt;="&amp;J$6,Activos!$C$7:$C$106,"&lt;"&amp;EDATE(J$6,1))</f>
        <v>0</v>
      </c>
      <c r="K39" s="8">
        <f>SUMIFS(Activos!$E$7:$E$106,Activos!$C$7:$C$106,"&gt;="&amp;K$6,Activos!$C$7:$C$106,"&lt;"&amp;EDATE(K$6,1))</f>
        <v>0</v>
      </c>
      <c r="L39" s="8">
        <f>SUMIFS(Activos!$E$7:$E$106,Activos!$C$7:$C$106,"&gt;="&amp;L$6,Activos!$C$7:$C$106,"&lt;"&amp;EDATE(L$6,1))</f>
        <v>0</v>
      </c>
      <c r="M39" s="8">
        <f>SUMIFS(Activos!$E$7:$E$106,Activos!$C$7:$C$106,"&gt;="&amp;M$6,Activos!$C$7:$C$106,"&lt;"&amp;EDATE(M$6,1))</f>
        <v>0</v>
      </c>
      <c r="N39" s="8">
        <f>SUMIFS(Activos!$E$7:$E$106,Activos!$C$7:$C$106,"&gt;="&amp;N$6,Activos!$C$7:$C$106,"&lt;"&amp;EDATE(N$6,1))</f>
        <v>0</v>
      </c>
      <c r="O39" s="11">
        <f t="shared" ref="O39:O45" si="16">SUM(C39:N39)</f>
        <v>0</v>
      </c>
    </row>
    <row r="40" spans="1:15" ht="22" customHeight="1">
      <c r="A40" s="1"/>
      <c r="B40" s="1" t="s">
        <v>110</v>
      </c>
      <c r="C40" s="8">
        <f>SUMIFS(Activos!$F$7:$F$106,Activos!$C$7:$C$106,"&gt;="&amp;C$6,Activos!$C$7:$C$106,"&lt;"&amp;EDATE(C$6,1))</f>
        <v>0</v>
      </c>
      <c r="D40" s="8">
        <f>SUMIFS(Activos!$F$7:$F$106,Activos!$C$7:$C$106,"&gt;="&amp;D$6,Activos!$C$7:$C$106,"&lt;"&amp;EDATE(D$6,1))</f>
        <v>0</v>
      </c>
      <c r="E40" s="8">
        <f>SUMIFS(Activos!$F$7:$F$106,Activos!$C$7:$C$106,"&gt;="&amp;E$6,Activos!$C$7:$C$106,"&lt;"&amp;EDATE(E$6,1))</f>
        <v>0</v>
      </c>
      <c r="F40" s="8">
        <f>SUMIFS(Activos!$F$7:$F$106,Activos!$C$7:$C$106,"&gt;="&amp;F$6,Activos!$C$7:$C$106,"&lt;"&amp;EDATE(F$6,1))</f>
        <v>0</v>
      </c>
      <c r="G40" s="8">
        <f>SUMIFS(Activos!$F$7:$F$106,Activos!$C$7:$C$106,"&gt;="&amp;G$6,Activos!$C$7:$C$106,"&lt;"&amp;EDATE(G$6,1))</f>
        <v>0</v>
      </c>
      <c r="H40" s="8">
        <f>SUMIFS(Activos!$F$7:$F$106,Activos!$C$7:$C$106,"&gt;="&amp;H$6,Activos!$C$7:$C$106,"&lt;"&amp;EDATE(H$6,1))</f>
        <v>0</v>
      </c>
      <c r="I40" s="8">
        <f>SUMIFS(Activos!$F$7:$F$106,Activos!$C$7:$C$106,"&gt;="&amp;I$6,Activos!$C$7:$C$106,"&lt;"&amp;EDATE(I$6,1))</f>
        <v>0</v>
      </c>
      <c r="J40" s="8">
        <f>SUMIFS(Activos!$F$7:$F$106,Activos!$C$7:$C$106,"&gt;="&amp;J$6,Activos!$C$7:$C$106,"&lt;"&amp;EDATE(J$6,1))</f>
        <v>0</v>
      </c>
      <c r="K40" s="8">
        <f>SUMIFS(Activos!$F$7:$F$106,Activos!$C$7:$C$106,"&gt;="&amp;K$6,Activos!$C$7:$C$106,"&lt;"&amp;EDATE(K$6,1))</f>
        <v>0</v>
      </c>
      <c r="L40" s="8">
        <f>SUMIFS(Activos!$F$7:$F$106,Activos!$C$7:$C$106,"&gt;="&amp;L$6,Activos!$C$7:$C$106,"&lt;"&amp;EDATE(L$6,1))</f>
        <v>0</v>
      </c>
      <c r="M40" s="8">
        <f>SUMIFS(Activos!$F$7:$F$106,Activos!$C$7:$C$106,"&gt;="&amp;M$6,Activos!$C$7:$C$106,"&lt;"&amp;EDATE(M$6,1))</f>
        <v>0</v>
      </c>
      <c r="N40" s="8">
        <f>SUMIFS(Activos!$F$7:$F$106,Activos!$C$7:$C$106,"&gt;="&amp;N$6,Activos!$C$7:$C$106,"&lt;"&amp;EDATE(N$6,1))</f>
        <v>0</v>
      </c>
      <c r="O40" s="11">
        <f t="shared" si="16"/>
        <v>0</v>
      </c>
    </row>
    <row r="41" spans="1:15" ht="22" customHeight="1">
      <c r="A41" s="1"/>
      <c r="B41" s="1" t="s">
        <v>111</v>
      </c>
      <c r="C41" s="8">
        <f>SUMIFS(Ingresos!$K$7:$K$2006,Ingresos!$B$7:$B$2006,"&gt;="&amp;C$6,Ingresos!$B$7:$B$2006,"&lt;"&amp;EDATE(C$6,1),Ingresos!$C$7:$C$2006,"Aplicación anticipo")</f>
        <v>0</v>
      </c>
      <c r="D41" s="8">
        <f>SUMIFS(Ingresos!$K$7:$K$2006,Ingresos!$B$7:$B$2006,"&gt;="&amp;D$6,Ingresos!$B$7:$B$2006,"&lt;"&amp;EDATE(D$6,1),Ingresos!$C$7:$C$2006,"Aplicación anticipo")</f>
        <v>0</v>
      </c>
      <c r="E41" s="8">
        <f>SUMIFS(Ingresos!$K$7:$K$2006,Ingresos!$B$7:$B$2006,"&gt;="&amp;E$6,Ingresos!$B$7:$B$2006,"&lt;"&amp;EDATE(E$6,1),Ingresos!$C$7:$C$2006,"Aplicación anticipo")</f>
        <v>0</v>
      </c>
      <c r="F41" s="8">
        <f>SUMIFS(Ingresos!$K$7:$K$2006,Ingresos!$B$7:$B$2006,"&gt;="&amp;F$6,Ingresos!$B$7:$B$2006,"&lt;"&amp;EDATE(F$6,1),Ingresos!$C$7:$C$2006,"Aplicación anticipo")</f>
        <v>0</v>
      </c>
      <c r="G41" s="8">
        <f>SUMIFS(Ingresos!$K$7:$K$2006,Ingresos!$B$7:$B$2006,"&gt;="&amp;G$6,Ingresos!$B$7:$B$2006,"&lt;"&amp;EDATE(G$6,1),Ingresos!$C$7:$C$2006,"Aplicación anticipo")</f>
        <v>0</v>
      </c>
      <c r="H41" s="8">
        <f>SUMIFS(Ingresos!$K$7:$K$2006,Ingresos!$B$7:$B$2006,"&gt;="&amp;H$6,Ingresos!$B$7:$B$2006,"&lt;"&amp;EDATE(H$6,1),Ingresos!$C$7:$C$2006,"Aplicación anticipo")</f>
        <v>0</v>
      </c>
      <c r="I41" s="8">
        <f>SUMIFS(Ingresos!$K$7:$K$2006,Ingresos!$B$7:$B$2006,"&gt;="&amp;I$6,Ingresos!$B$7:$B$2006,"&lt;"&amp;EDATE(I$6,1),Ingresos!$C$7:$C$2006,"Aplicación anticipo")</f>
        <v>0</v>
      </c>
      <c r="J41" s="8">
        <f>SUMIFS(Ingresos!$K$7:$K$2006,Ingresos!$B$7:$B$2006,"&gt;="&amp;J$6,Ingresos!$B$7:$B$2006,"&lt;"&amp;EDATE(J$6,1),Ingresos!$C$7:$C$2006,"Aplicación anticipo")</f>
        <v>0</v>
      </c>
      <c r="K41" s="8">
        <f>SUMIFS(Ingresos!$K$7:$K$2006,Ingresos!$B$7:$B$2006,"&gt;="&amp;K$6,Ingresos!$B$7:$B$2006,"&lt;"&amp;EDATE(K$6,1),Ingresos!$C$7:$C$2006,"Aplicación anticipo")</f>
        <v>0</v>
      </c>
      <c r="L41" s="8">
        <f>SUMIFS(Ingresos!$K$7:$K$2006,Ingresos!$B$7:$B$2006,"&gt;="&amp;L$6,Ingresos!$B$7:$B$2006,"&lt;"&amp;EDATE(L$6,1),Ingresos!$C$7:$C$2006,"Aplicación anticipo")</f>
        <v>0</v>
      </c>
      <c r="M41" s="8">
        <f>SUMIFS(Ingresos!$K$7:$K$2006,Ingresos!$B$7:$B$2006,"&gt;="&amp;M$6,Ingresos!$B$7:$B$2006,"&lt;"&amp;EDATE(M$6,1),Ingresos!$C$7:$C$2006,"Aplicación anticipo")</f>
        <v>0</v>
      </c>
      <c r="N41" s="8">
        <f>SUMIFS(Ingresos!$K$7:$K$2006,Ingresos!$B$7:$B$2006,"&gt;="&amp;N$6,Ingresos!$B$7:$B$2006,"&lt;"&amp;EDATE(N$6,1),Ingresos!$C$7:$C$2006,"Aplicación anticipo")</f>
        <v>0</v>
      </c>
      <c r="O41" s="11">
        <f t="shared" si="16"/>
        <v>0</v>
      </c>
    </row>
    <row r="42" spans="1:15" ht="22" customHeight="1">
      <c r="A42" s="1"/>
      <c r="B42" s="1" t="s">
        <v>112</v>
      </c>
      <c r="C42" s="8">
        <f>SUMIFS(Ingresos!$K$7:$K$2006,Ingresos!$B$7:$B$2006,"&gt;="&amp;C$6,Ingresos!$B$7:$B$2006,"&lt;"&amp;EDATE(C$6,1),Ingresos!$C$7:$C$2006,"Retención ISR")</f>
        <v>0</v>
      </c>
      <c r="D42" s="8">
        <f>SUMIFS(Ingresos!$K$7:$K$2006,Ingresos!$B$7:$B$2006,"&gt;="&amp;D$6,Ingresos!$B$7:$B$2006,"&lt;"&amp;EDATE(D$6,1),Ingresos!$C$7:$C$2006,"Retención ISR")</f>
        <v>0</v>
      </c>
      <c r="E42" s="8">
        <f>SUMIFS(Ingresos!$K$7:$K$2006,Ingresos!$B$7:$B$2006,"&gt;="&amp;E$6,Ingresos!$B$7:$B$2006,"&lt;"&amp;EDATE(E$6,1),Ingresos!$C$7:$C$2006,"Retención ISR")</f>
        <v>0</v>
      </c>
      <c r="F42" s="8">
        <f>SUMIFS(Ingresos!$K$7:$K$2006,Ingresos!$B$7:$B$2006,"&gt;="&amp;F$6,Ingresos!$B$7:$B$2006,"&lt;"&amp;EDATE(F$6,1),Ingresos!$C$7:$C$2006,"Retención ISR")</f>
        <v>0</v>
      </c>
      <c r="G42" s="8">
        <f>SUMIFS(Ingresos!$K$7:$K$2006,Ingresos!$B$7:$B$2006,"&gt;="&amp;G$6,Ingresos!$B$7:$B$2006,"&lt;"&amp;EDATE(G$6,1),Ingresos!$C$7:$C$2006,"Retención ISR")</f>
        <v>0</v>
      </c>
      <c r="H42" s="8">
        <f>SUMIFS(Ingresos!$K$7:$K$2006,Ingresos!$B$7:$B$2006,"&gt;="&amp;H$6,Ingresos!$B$7:$B$2006,"&lt;"&amp;EDATE(H$6,1),Ingresos!$C$7:$C$2006,"Retención ISR")</f>
        <v>0</v>
      </c>
      <c r="I42" s="8">
        <f>SUMIFS(Ingresos!$K$7:$K$2006,Ingresos!$B$7:$B$2006,"&gt;="&amp;I$6,Ingresos!$B$7:$B$2006,"&lt;"&amp;EDATE(I$6,1),Ingresos!$C$7:$C$2006,"Retención ISR")</f>
        <v>0</v>
      </c>
      <c r="J42" s="8">
        <f>SUMIFS(Ingresos!$K$7:$K$2006,Ingresos!$B$7:$B$2006,"&gt;="&amp;J$6,Ingresos!$B$7:$B$2006,"&lt;"&amp;EDATE(J$6,1),Ingresos!$C$7:$C$2006,"Retención ISR")</f>
        <v>0</v>
      </c>
      <c r="K42" s="8">
        <f>SUMIFS(Ingresos!$K$7:$K$2006,Ingresos!$B$7:$B$2006,"&gt;="&amp;K$6,Ingresos!$B$7:$B$2006,"&lt;"&amp;EDATE(K$6,1),Ingresos!$C$7:$C$2006,"Retención ISR")</f>
        <v>0</v>
      </c>
      <c r="L42" s="8">
        <f>SUMIFS(Ingresos!$K$7:$K$2006,Ingresos!$B$7:$B$2006,"&gt;="&amp;L$6,Ingresos!$B$7:$B$2006,"&lt;"&amp;EDATE(L$6,1),Ingresos!$C$7:$C$2006,"Retención ISR")</f>
        <v>0</v>
      </c>
      <c r="M42" s="8">
        <f>SUMIFS(Ingresos!$K$7:$K$2006,Ingresos!$B$7:$B$2006,"&gt;="&amp;M$6,Ingresos!$B$7:$B$2006,"&lt;"&amp;EDATE(M$6,1),Ingresos!$C$7:$C$2006,"Retención ISR")</f>
        <v>0</v>
      </c>
      <c r="N42" s="8">
        <f>SUMIFS(Ingresos!$K$7:$K$2006,Ingresos!$B$7:$B$2006,"&gt;="&amp;N$6,Ingresos!$B$7:$B$2006,"&lt;"&amp;EDATE(N$6,1),Ingresos!$C$7:$C$2006,"Retención ISR")</f>
        <v>0</v>
      </c>
      <c r="O42" s="11">
        <f t="shared" si="16"/>
        <v>0</v>
      </c>
    </row>
    <row r="43" spans="1:15" ht="22" customHeight="1">
      <c r="A43" s="1"/>
      <c r="B43" s="1" t="s">
        <v>113</v>
      </c>
      <c r="C43" s="8">
        <f>SUMIFS(Ingresos!$K$7:$K$2006,Ingresos!$B$7:$B$2006,"&gt;="&amp;C$6,Ingresos!$B$7:$B$2006,"&lt;"&amp;EDATE(C$6,1),Ingresos!$C$7:$C$2006,"Retención IVA")</f>
        <v>0</v>
      </c>
      <c r="D43" s="8">
        <f>SUMIFS(Ingresos!$K$7:$K$2006,Ingresos!$B$7:$B$2006,"&gt;="&amp;D$6,Ingresos!$B$7:$B$2006,"&lt;"&amp;EDATE(D$6,1),Ingresos!$C$7:$C$2006,"Retención IVA")</f>
        <v>0</v>
      </c>
      <c r="E43" s="8">
        <f>SUMIFS(Ingresos!$K$7:$K$2006,Ingresos!$B$7:$B$2006,"&gt;="&amp;E$6,Ingresos!$B$7:$B$2006,"&lt;"&amp;EDATE(E$6,1),Ingresos!$C$7:$C$2006,"Retención IVA")</f>
        <v>0</v>
      </c>
      <c r="F43" s="8">
        <f>SUMIFS(Ingresos!$K$7:$K$2006,Ingresos!$B$7:$B$2006,"&gt;="&amp;F$6,Ingresos!$B$7:$B$2006,"&lt;"&amp;EDATE(F$6,1),Ingresos!$C$7:$C$2006,"Retención IVA")</f>
        <v>0</v>
      </c>
      <c r="G43" s="8">
        <f>SUMIFS(Ingresos!$K$7:$K$2006,Ingresos!$B$7:$B$2006,"&gt;="&amp;G$6,Ingresos!$B$7:$B$2006,"&lt;"&amp;EDATE(G$6,1),Ingresos!$C$7:$C$2006,"Retención IVA")</f>
        <v>0</v>
      </c>
      <c r="H43" s="8">
        <f>SUMIFS(Ingresos!$K$7:$K$2006,Ingresos!$B$7:$B$2006,"&gt;="&amp;H$6,Ingresos!$B$7:$B$2006,"&lt;"&amp;EDATE(H$6,1),Ingresos!$C$7:$C$2006,"Retención IVA")</f>
        <v>0</v>
      </c>
      <c r="I43" s="8">
        <f>SUMIFS(Ingresos!$K$7:$K$2006,Ingresos!$B$7:$B$2006,"&gt;="&amp;I$6,Ingresos!$B$7:$B$2006,"&lt;"&amp;EDATE(I$6,1),Ingresos!$C$7:$C$2006,"Retención IVA")</f>
        <v>0</v>
      </c>
      <c r="J43" s="8">
        <f>SUMIFS(Ingresos!$K$7:$K$2006,Ingresos!$B$7:$B$2006,"&gt;="&amp;J$6,Ingresos!$B$7:$B$2006,"&lt;"&amp;EDATE(J$6,1),Ingresos!$C$7:$C$2006,"Retención IVA")</f>
        <v>0</v>
      </c>
      <c r="K43" s="8">
        <f>SUMIFS(Ingresos!$K$7:$K$2006,Ingresos!$B$7:$B$2006,"&gt;="&amp;K$6,Ingresos!$B$7:$B$2006,"&lt;"&amp;EDATE(K$6,1),Ingresos!$C$7:$C$2006,"Retención IVA")</f>
        <v>0</v>
      </c>
      <c r="L43" s="8">
        <f>SUMIFS(Ingresos!$K$7:$K$2006,Ingresos!$B$7:$B$2006,"&gt;="&amp;L$6,Ingresos!$B$7:$B$2006,"&lt;"&amp;EDATE(L$6,1),Ingresos!$C$7:$C$2006,"Retención IVA")</f>
        <v>0</v>
      </c>
      <c r="M43" s="8">
        <f>SUMIFS(Ingresos!$K$7:$K$2006,Ingresos!$B$7:$B$2006,"&gt;="&amp;M$6,Ingresos!$B$7:$B$2006,"&lt;"&amp;EDATE(M$6,1),Ingresos!$C$7:$C$2006,"Retención IVA")</f>
        <v>0</v>
      </c>
      <c r="N43" s="8">
        <f>SUMIFS(Ingresos!$K$7:$K$2006,Ingresos!$B$7:$B$2006,"&gt;="&amp;N$6,Ingresos!$B$7:$B$2006,"&lt;"&amp;EDATE(N$6,1),Ingresos!$C$7:$C$2006,"Retención IVA")</f>
        <v>0</v>
      </c>
      <c r="O43" s="11">
        <f t="shared" si="16"/>
        <v>0</v>
      </c>
    </row>
    <row r="44" spans="1:15" ht="22" customHeight="1">
      <c r="A44" s="1"/>
      <c r="B44" s="1" t="s">
        <v>114</v>
      </c>
      <c r="C44" s="8">
        <f>SUMIFS(Gastos!$K$7:$K$2006,Gastos!$B$7:$B$2006,"&gt;="&amp;C$6,Gastos!$B$7:$B$2006,"&lt;"&amp;EDATE(C$6,1),Gastos!$C$7:$C$2006,"Compensación ISR")</f>
        <v>0</v>
      </c>
      <c r="D44" s="8">
        <f>SUMIFS(Gastos!$K$7:$K$2006,Gastos!$B$7:$B$2006,"&gt;="&amp;D$6,Gastos!$B$7:$B$2006,"&lt;"&amp;EDATE(D$6,1),Gastos!$C$7:$C$2006,"Compensación ISR")</f>
        <v>0</v>
      </c>
      <c r="E44" s="8">
        <f>SUMIFS(Gastos!$K$7:$K$2006,Gastos!$B$7:$B$2006,"&gt;="&amp;E$6,Gastos!$B$7:$B$2006,"&lt;"&amp;EDATE(E$6,1),Gastos!$C$7:$C$2006,"Compensación ISR")</f>
        <v>0</v>
      </c>
      <c r="F44" s="8">
        <f>SUMIFS(Gastos!$K$7:$K$2006,Gastos!$B$7:$B$2006,"&gt;="&amp;F$6,Gastos!$B$7:$B$2006,"&lt;"&amp;EDATE(F$6,1),Gastos!$C$7:$C$2006,"Compensación ISR")</f>
        <v>0</v>
      </c>
      <c r="G44" s="8">
        <f>SUMIFS(Gastos!$K$7:$K$2006,Gastos!$B$7:$B$2006,"&gt;="&amp;G$6,Gastos!$B$7:$B$2006,"&lt;"&amp;EDATE(G$6,1),Gastos!$C$7:$C$2006,"Compensación ISR")</f>
        <v>0</v>
      </c>
      <c r="H44" s="8">
        <f>SUMIFS(Gastos!$K$7:$K$2006,Gastos!$B$7:$B$2006,"&gt;="&amp;H$6,Gastos!$B$7:$B$2006,"&lt;"&amp;EDATE(H$6,1),Gastos!$C$7:$C$2006,"Compensación ISR")</f>
        <v>0</v>
      </c>
      <c r="I44" s="8">
        <f>SUMIFS(Gastos!$K$7:$K$2006,Gastos!$B$7:$B$2006,"&gt;="&amp;I$6,Gastos!$B$7:$B$2006,"&lt;"&amp;EDATE(I$6,1),Gastos!$C$7:$C$2006,"Compensación ISR")</f>
        <v>0</v>
      </c>
      <c r="J44" s="8">
        <f>SUMIFS(Gastos!$K$7:$K$2006,Gastos!$B$7:$B$2006,"&gt;="&amp;J$6,Gastos!$B$7:$B$2006,"&lt;"&amp;EDATE(J$6,1),Gastos!$C$7:$C$2006,"Compensación ISR")</f>
        <v>0</v>
      </c>
      <c r="K44" s="8">
        <f>SUMIFS(Gastos!$K$7:$K$2006,Gastos!$B$7:$B$2006,"&gt;="&amp;K$6,Gastos!$B$7:$B$2006,"&lt;"&amp;EDATE(K$6,1),Gastos!$C$7:$C$2006,"Compensación ISR")</f>
        <v>0</v>
      </c>
      <c r="L44" s="8">
        <f>SUMIFS(Gastos!$K$7:$K$2006,Gastos!$B$7:$B$2006,"&gt;="&amp;L$6,Gastos!$B$7:$B$2006,"&lt;"&amp;EDATE(L$6,1),Gastos!$C$7:$C$2006,"Compensación ISR")</f>
        <v>0</v>
      </c>
      <c r="M44" s="8">
        <f>SUMIFS(Gastos!$K$7:$K$2006,Gastos!$B$7:$B$2006,"&gt;="&amp;M$6,Gastos!$B$7:$B$2006,"&lt;"&amp;EDATE(M$6,1),Gastos!$C$7:$C$2006,"Compensación ISR")</f>
        <v>0</v>
      </c>
      <c r="N44" s="8">
        <f>SUMIFS(Gastos!$K$7:$K$2006,Gastos!$B$7:$B$2006,"&gt;="&amp;N$6,Gastos!$B$7:$B$2006,"&lt;"&amp;EDATE(N$6,1),Gastos!$C$7:$C$2006,"Compensación ISR")</f>
        <v>0</v>
      </c>
      <c r="O44" s="11">
        <f t="shared" si="16"/>
        <v>0</v>
      </c>
    </row>
    <row r="45" spans="1:15" ht="22" customHeight="1">
      <c r="A45" s="1"/>
      <c r="B45" s="1" t="s">
        <v>115</v>
      </c>
      <c r="C45" s="8">
        <f>SUMIFS(Gastos!$K$7:$K$2006,Gastos!$B$7:$B$2006,"&gt;="&amp;C$6,Gastos!$B$7:$B$2006,"&lt;"&amp;EDATE(C$6,1),Gastos!$C$7:$C$2006,"Compensación IVA")</f>
        <v>0</v>
      </c>
      <c r="D45" s="8">
        <f>SUMIFS(Gastos!$K$7:$K$2006,Gastos!$B$7:$B$2006,"&gt;="&amp;D$6,Gastos!$B$7:$B$2006,"&lt;"&amp;EDATE(D$6,1),Gastos!$C$7:$C$2006,"Compensación IVA")</f>
        <v>0</v>
      </c>
      <c r="E45" s="8">
        <f>SUMIFS(Gastos!$K$7:$K$2006,Gastos!$B$7:$B$2006,"&gt;="&amp;E$6,Gastos!$B$7:$B$2006,"&lt;"&amp;EDATE(E$6,1),Gastos!$C$7:$C$2006,"Compensación IVA")</f>
        <v>0</v>
      </c>
      <c r="F45" s="8">
        <f>SUMIFS(Gastos!$K$7:$K$2006,Gastos!$B$7:$B$2006,"&gt;="&amp;F$6,Gastos!$B$7:$B$2006,"&lt;"&amp;EDATE(F$6,1),Gastos!$C$7:$C$2006,"Compensación IVA")</f>
        <v>0</v>
      </c>
      <c r="G45" s="8">
        <f>SUMIFS(Gastos!$K$7:$K$2006,Gastos!$B$7:$B$2006,"&gt;="&amp;G$6,Gastos!$B$7:$B$2006,"&lt;"&amp;EDATE(G$6,1),Gastos!$C$7:$C$2006,"Compensación IVA")</f>
        <v>0</v>
      </c>
      <c r="H45" s="8">
        <f>SUMIFS(Gastos!$K$7:$K$2006,Gastos!$B$7:$B$2006,"&gt;="&amp;H$6,Gastos!$B$7:$B$2006,"&lt;"&amp;EDATE(H$6,1),Gastos!$C$7:$C$2006,"Compensación IVA")</f>
        <v>0</v>
      </c>
      <c r="I45" s="8">
        <f>SUMIFS(Gastos!$K$7:$K$2006,Gastos!$B$7:$B$2006,"&gt;="&amp;I$6,Gastos!$B$7:$B$2006,"&lt;"&amp;EDATE(I$6,1),Gastos!$C$7:$C$2006,"Compensación IVA")</f>
        <v>0</v>
      </c>
      <c r="J45" s="8">
        <f>SUMIFS(Gastos!$K$7:$K$2006,Gastos!$B$7:$B$2006,"&gt;="&amp;J$6,Gastos!$B$7:$B$2006,"&lt;"&amp;EDATE(J$6,1),Gastos!$C$7:$C$2006,"Compensación IVA")</f>
        <v>0</v>
      </c>
      <c r="K45" s="8">
        <f>SUMIFS(Gastos!$K$7:$K$2006,Gastos!$B$7:$B$2006,"&gt;="&amp;K$6,Gastos!$B$7:$B$2006,"&lt;"&amp;EDATE(K$6,1),Gastos!$C$7:$C$2006,"Compensación IVA")</f>
        <v>0</v>
      </c>
      <c r="L45" s="8">
        <f>SUMIFS(Gastos!$K$7:$K$2006,Gastos!$B$7:$B$2006,"&gt;="&amp;L$6,Gastos!$B$7:$B$2006,"&lt;"&amp;EDATE(L$6,1),Gastos!$C$7:$C$2006,"Compensación IVA")</f>
        <v>0</v>
      </c>
      <c r="M45" s="8">
        <f>SUMIFS(Gastos!$K$7:$K$2006,Gastos!$B$7:$B$2006,"&gt;="&amp;M$6,Gastos!$B$7:$B$2006,"&lt;"&amp;EDATE(M$6,1),Gastos!$C$7:$C$2006,"Compensación IVA")</f>
        <v>0</v>
      </c>
      <c r="N45" s="8">
        <f>SUMIFS(Gastos!$K$7:$K$2006,Gastos!$B$7:$B$2006,"&gt;="&amp;N$6,Gastos!$B$7:$B$2006,"&lt;"&amp;EDATE(N$6,1),Gastos!$C$7:$C$2006,"Compensación IVA")</f>
        <v>0</v>
      </c>
      <c r="O45" s="11">
        <f t="shared" si="16"/>
        <v>0</v>
      </c>
    </row>
    <row r="46" spans="1:15"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</row>
    <row r="47" spans="1:15"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</row>
    <row r="48" spans="1:15"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</row>
    <row r="49" spans="3:15"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</row>
    <row r="50" spans="3:15"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</row>
    <row r="51" spans="3:15"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</row>
    <row r="52" spans="3:15"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</row>
    <row r="53" spans="3:15"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</row>
    <row r="54" spans="3:15"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</row>
    <row r="55" spans="3:15"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</row>
  </sheetData>
  <conditionalFormatting sqref="C35:O35">
    <cfRule type="expression" dxfId="5" priority="1">
      <formula>ABS(C35)&gt;0.01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8364A"/>
  </sheetPr>
  <dimension ref="A1:O55"/>
  <sheetViews>
    <sheetView showGridLines="0" workbookViewId="0">
      <pane ySplit="6" topLeftCell="A7" activePane="bottomLeft" state="frozen"/>
      <selection pane="bottomLeft"/>
    </sheetView>
  </sheetViews>
  <sheetFormatPr baseColWidth="10" defaultColWidth="8.83203125" defaultRowHeight="15"/>
  <cols>
    <col min="1" max="1" width="4" customWidth="1"/>
    <col min="2" max="2" width="43" customWidth="1"/>
    <col min="3" max="14" width="16" customWidth="1"/>
    <col min="15" max="15" width="18" customWidth="1"/>
  </cols>
  <sheetData>
    <row r="1" spans="1:15" ht="22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5" ht="22" customHeight="1">
      <c r="A2" s="1"/>
      <c r="B2" s="2" t="s">
        <v>116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5" ht="22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5" ht="22" customHeight="1">
      <c r="A4" s="1"/>
      <c r="B4" s="1" t="s">
        <v>52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5" ht="22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5" ht="26" customHeight="1">
      <c r="A6" s="1"/>
      <c r="B6" s="5" t="s">
        <v>53</v>
      </c>
      <c r="C6" s="31">
        <f>DATE(Configuración!$C$5,1,1)</f>
        <v>46023</v>
      </c>
      <c r="D6" s="31">
        <f>DATE(Configuración!$C$5,2,1)</f>
        <v>46054</v>
      </c>
      <c r="E6" s="31">
        <f>DATE(Configuración!$C$5,3,1)</f>
        <v>46082</v>
      </c>
      <c r="F6" s="31">
        <f>DATE(Configuración!$C$5,4,1)</f>
        <v>46113</v>
      </c>
      <c r="G6" s="31">
        <f>DATE(Configuración!$C$5,5,1)</f>
        <v>46143</v>
      </c>
      <c r="H6" s="31">
        <f>DATE(Configuración!$C$5,6,1)</f>
        <v>46174</v>
      </c>
      <c r="I6" s="31">
        <f>DATE(Configuración!$C$5,7,1)</f>
        <v>46204</v>
      </c>
      <c r="J6" s="31">
        <f>DATE(Configuración!$C$5,8,1)</f>
        <v>46235</v>
      </c>
      <c r="K6" s="31">
        <f>DATE(Configuración!$C$5,9,1)</f>
        <v>46266</v>
      </c>
      <c r="L6" s="31">
        <f>DATE(Configuración!$C$5,10,1)</f>
        <v>46296</v>
      </c>
      <c r="M6" s="31">
        <f>DATE(Configuración!$C$5,11,1)</f>
        <v>46327</v>
      </c>
      <c r="N6" s="31">
        <f>DATE(Configuración!$C$5,12,1)</f>
        <v>46357</v>
      </c>
      <c r="O6" s="10" t="s">
        <v>54</v>
      </c>
    </row>
    <row r="7" spans="1:15" ht="22" customHeight="1">
      <c r="A7" s="1"/>
      <c r="B7" s="1" t="s">
        <v>117</v>
      </c>
      <c r="C7" s="8">
        <f>SUMIFS(Ingresos!$K$7:$K$2006,Ingresos!$B$7:$B$2006,"&gt;="&amp;C$6,Ingresos!$B$7:$B$2006,"&lt;"&amp;EDATE(C$6,1),Ingresos!$C$7:$C$2006,"Cobro")</f>
        <v>2200</v>
      </c>
      <c r="D7" s="8">
        <f>SUMIFS(Ingresos!$K$7:$K$2006,Ingresos!$B$7:$B$2006,"&gt;="&amp;D$6,Ingresos!$B$7:$B$2006,"&lt;"&amp;EDATE(D$6,1),Ingresos!$C$7:$C$2006,"Cobro")</f>
        <v>0</v>
      </c>
      <c r="E7" s="8">
        <f>SUMIFS(Ingresos!$K$7:$K$2006,Ingresos!$B$7:$B$2006,"&gt;="&amp;E$6,Ingresos!$B$7:$B$2006,"&lt;"&amp;EDATE(E$6,1),Ingresos!$C$7:$C$2006,"Cobro")</f>
        <v>0</v>
      </c>
      <c r="F7" s="8">
        <f>SUMIFS(Ingresos!$K$7:$K$2006,Ingresos!$B$7:$B$2006,"&gt;="&amp;F$6,Ingresos!$B$7:$B$2006,"&lt;"&amp;EDATE(F$6,1),Ingresos!$C$7:$C$2006,"Cobro")</f>
        <v>0</v>
      </c>
      <c r="G7" s="8">
        <f>SUMIFS(Ingresos!$K$7:$K$2006,Ingresos!$B$7:$B$2006,"&gt;="&amp;G$6,Ingresos!$B$7:$B$2006,"&lt;"&amp;EDATE(G$6,1),Ingresos!$C$7:$C$2006,"Cobro")</f>
        <v>0</v>
      </c>
      <c r="H7" s="8">
        <f>SUMIFS(Ingresos!$K$7:$K$2006,Ingresos!$B$7:$B$2006,"&gt;="&amp;H$6,Ingresos!$B$7:$B$2006,"&lt;"&amp;EDATE(H$6,1),Ingresos!$C$7:$C$2006,"Cobro")</f>
        <v>0</v>
      </c>
      <c r="I7" s="8">
        <f>SUMIFS(Ingresos!$K$7:$K$2006,Ingresos!$B$7:$B$2006,"&gt;="&amp;I$6,Ingresos!$B$7:$B$2006,"&lt;"&amp;EDATE(I$6,1),Ingresos!$C$7:$C$2006,"Cobro")</f>
        <v>0</v>
      </c>
      <c r="J7" s="8">
        <f>SUMIFS(Ingresos!$K$7:$K$2006,Ingresos!$B$7:$B$2006,"&gt;="&amp;J$6,Ingresos!$B$7:$B$2006,"&lt;"&amp;EDATE(J$6,1),Ingresos!$C$7:$C$2006,"Cobro")</f>
        <v>0</v>
      </c>
      <c r="K7" s="8">
        <f>SUMIFS(Ingresos!$K$7:$K$2006,Ingresos!$B$7:$B$2006,"&gt;="&amp;K$6,Ingresos!$B$7:$B$2006,"&lt;"&amp;EDATE(K$6,1),Ingresos!$C$7:$C$2006,"Cobro")</f>
        <v>0</v>
      </c>
      <c r="L7" s="8">
        <f>SUMIFS(Ingresos!$K$7:$K$2006,Ingresos!$B$7:$B$2006,"&gt;="&amp;L$6,Ingresos!$B$7:$B$2006,"&lt;"&amp;EDATE(L$6,1),Ingresos!$C$7:$C$2006,"Cobro")</f>
        <v>0</v>
      </c>
      <c r="M7" s="8">
        <f>SUMIFS(Ingresos!$K$7:$K$2006,Ingresos!$B$7:$B$2006,"&gt;="&amp;M$6,Ingresos!$B$7:$B$2006,"&lt;"&amp;EDATE(M$6,1),Ingresos!$C$7:$C$2006,"Cobro")</f>
        <v>0</v>
      </c>
      <c r="N7" s="8">
        <f>SUMIFS(Ingresos!$K$7:$K$2006,Ingresos!$B$7:$B$2006,"&gt;="&amp;N$6,Ingresos!$B$7:$B$2006,"&lt;"&amp;EDATE(N$6,1),Ingresos!$C$7:$C$2006,"Cobro")</f>
        <v>0</v>
      </c>
      <c r="O7" s="11">
        <f t="shared" ref="O7:O12" si="0">SUM(C7:N7)</f>
        <v>2200</v>
      </c>
    </row>
    <row r="8" spans="1:15" ht="22" customHeight="1">
      <c r="A8" s="1"/>
      <c r="B8" s="1" t="s">
        <v>118</v>
      </c>
      <c r="C8" s="8">
        <f>SUMIFS(Ingresos!$K$7:$K$2006,Ingresos!$B$7:$B$2006,"&gt;="&amp;C$6,Ingresos!$B$7:$B$2006,"&lt;"&amp;EDATE(C$6,1),Ingresos!$C$7:$C$2006,"Anticipo")</f>
        <v>0</v>
      </c>
      <c r="D8" s="8">
        <f>SUMIFS(Ingresos!$K$7:$K$2006,Ingresos!$B$7:$B$2006,"&gt;="&amp;D$6,Ingresos!$B$7:$B$2006,"&lt;"&amp;EDATE(D$6,1),Ingresos!$C$7:$C$2006,"Anticipo")</f>
        <v>0</v>
      </c>
      <c r="E8" s="8">
        <f>SUMIFS(Ingresos!$K$7:$K$2006,Ingresos!$B$7:$B$2006,"&gt;="&amp;E$6,Ingresos!$B$7:$B$2006,"&lt;"&amp;EDATE(E$6,1),Ingresos!$C$7:$C$2006,"Anticipo")</f>
        <v>0</v>
      </c>
      <c r="F8" s="8">
        <f>SUMIFS(Ingresos!$K$7:$K$2006,Ingresos!$B$7:$B$2006,"&gt;="&amp;F$6,Ingresos!$B$7:$B$2006,"&lt;"&amp;EDATE(F$6,1),Ingresos!$C$7:$C$2006,"Anticipo")</f>
        <v>0</v>
      </c>
      <c r="G8" s="8">
        <f>SUMIFS(Ingresos!$K$7:$K$2006,Ingresos!$B$7:$B$2006,"&gt;="&amp;G$6,Ingresos!$B$7:$B$2006,"&lt;"&amp;EDATE(G$6,1),Ingresos!$C$7:$C$2006,"Anticipo")</f>
        <v>0</v>
      </c>
      <c r="H8" s="8">
        <f>SUMIFS(Ingresos!$K$7:$K$2006,Ingresos!$B$7:$B$2006,"&gt;="&amp;H$6,Ingresos!$B$7:$B$2006,"&lt;"&amp;EDATE(H$6,1),Ingresos!$C$7:$C$2006,"Anticipo")</f>
        <v>0</v>
      </c>
      <c r="I8" s="8">
        <f>SUMIFS(Ingresos!$K$7:$K$2006,Ingresos!$B$7:$B$2006,"&gt;="&amp;I$6,Ingresos!$B$7:$B$2006,"&lt;"&amp;EDATE(I$6,1),Ingresos!$C$7:$C$2006,"Anticipo")</f>
        <v>0</v>
      </c>
      <c r="J8" s="8">
        <f>SUMIFS(Ingresos!$K$7:$K$2006,Ingresos!$B$7:$B$2006,"&gt;="&amp;J$6,Ingresos!$B$7:$B$2006,"&lt;"&amp;EDATE(J$6,1),Ingresos!$C$7:$C$2006,"Anticipo")</f>
        <v>0</v>
      </c>
      <c r="K8" s="8">
        <f>SUMIFS(Ingresos!$K$7:$K$2006,Ingresos!$B$7:$B$2006,"&gt;="&amp;K$6,Ingresos!$B$7:$B$2006,"&lt;"&amp;EDATE(K$6,1),Ingresos!$C$7:$C$2006,"Anticipo")</f>
        <v>0</v>
      </c>
      <c r="L8" s="8">
        <f>SUMIFS(Ingresos!$K$7:$K$2006,Ingresos!$B$7:$B$2006,"&gt;="&amp;L$6,Ingresos!$B$7:$B$2006,"&lt;"&amp;EDATE(L$6,1),Ingresos!$C$7:$C$2006,"Anticipo")</f>
        <v>0</v>
      </c>
      <c r="M8" s="8">
        <f>SUMIFS(Ingresos!$K$7:$K$2006,Ingresos!$B$7:$B$2006,"&gt;="&amp;M$6,Ingresos!$B$7:$B$2006,"&lt;"&amp;EDATE(M$6,1),Ingresos!$C$7:$C$2006,"Anticipo")</f>
        <v>0</v>
      </c>
      <c r="N8" s="8">
        <f>SUMIFS(Ingresos!$K$7:$K$2006,Ingresos!$B$7:$B$2006,"&gt;="&amp;N$6,Ingresos!$B$7:$B$2006,"&lt;"&amp;EDATE(N$6,1),Ingresos!$C$7:$C$2006,"Anticipo")</f>
        <v>0</v>
      </c>
      <c r="O8" s="11">
        <f t="shared" si="0"/>
        <v>0</v>
      </c>
    </row>
    <row r="9" spans="1:15" ht="22" customHeight="1">
      <c r="A9" s="1"/>
      <c r="B9" s="1" t="s">
        <v>119</v>
      </c>
      <c r="C9" s="8">
        <f>SUMIFS(Gastos!$K$7:$K$2006,Gastos!$B$7:$B$2006,"&gt;="&amp;C$6,Gastos!$B$7:$B$2006,"&lt;"&amp;EDATE(C$6,1),Gastos!$C$7:$C$2006,"Pago proveedor")</f>
        <v>0</v>
      </c>
      <c r="D9" s="8">
        <f>SUMIFS(Gastos!$K$7:$K$2006,Gastos!$B$7:$B$2006,"&gt;="&amp;D$6,Gastos!$B$7:$B$2006,"&lt;"&amp;EDATE(D$6,1),Gastos!$C$7:$C$2006,"Pago proveedor")</f>
        <v>0</v>
      </c>
      <c r="E9" s="8">
        <f>SUMIFS(Gastos!$K$7:$K$2006,Gastos!$B$7:$B$2006,"&gt;="&amp;E$6,Gastos!$B$7:$B$2006,"&lt;"&amp;EDATE(E$6,1),Gastos!$C$7:$C$2006,"Pago proveedor")</f>
        <v>0</v>
      </c>
      <c r="F9" s="8">
        <f>SUMIFS(Gastos!$K$7:$K$2006,Gastos!$B$7:$B$2006,"&gt;="&amp;F$6,Gastos!$B$7:$B$2006,"&lt;"&amp;EDATE(F$6,1),Gastos!$C$7:$C$2006,"Pago proveedor")</f>
        <v>0</v>
      </c>
      <c r="G9" s="8">
        <f>SUMIFS(Gastos!$K$7:$K$2006,Gastos!$B$7:$B$2006,"&gt;="&amp;G$6,Gastos!$B$7:$B$2006,"&lt;"&amp;EDATE(G$6,1),Gastos!$C$7:$C$2006,"Pago proveedor")</f>
        <v>0</v>
      </c>
      <c r="H9" s="8">
        <f>SUMIFS(Gastos!$K$7:$K$2006,Gastos!$B$7:$B$2006,"&gt;="&amp;H$6,Gastos!$B$7:$B$2006,"&lt;"&amp;EDATE(H$6,1),Gastos!$C$7:$C$2006,"Pago proveedor")</f>
        <v>0</v>
      </c>
      <c r="I9" s="8">
        <f>SUMIFS(Gastos!$K$7:$K$2006,Gastos!$B$7:$B$2006,"&gt;="&amp;I$6,Gastos!$B$7:$B$2006,"&lt;"&amp;EDATE(I$6,1),Gastos!$C$7:$C$2006,"Pago proveedor")</f>
        <v>0</v>
      </c>
      <c r="J9" s="8">
        <f>SUMIFS(Gastos!$K$7:$K$2006,Gastos!$B$7:$B$2006,"&gt;="&amp;J$6,Gastos!$B$7:$B$2006,"&lt;"&amp;EDATE(J$6,1),Gastos!$C$7:$C$2006,"Pago proveedor")</f>
        <v>0</v>
      </c>
      <c r="K9" s="8">
        <f>SUMIFS(Gastos!$K$7:$K$2006,Gastos!$B$7:$B$2006,"&gt;="&amp;K$6,Gastos!$B$7:$B$2006,"&lt;"&amp;EDATE(K$6,1),Gastos!$C$7:$C$2006,"Pago proveedor")</f>
        <v>0</v>
      </c>
      <c r="L9" s="8">
        <f>SUMIFS(Gastos!$K$7:$K$2006,Gastos!$B$7:$B$2006,"&gt;="&amp;L$6,Gastos!$B$7:$B$2006,"&lt;"&amp;EDATE(L$6,1),Gastos!$C$7:$C$2006,"Pago proveedor")</f>
        <v>0</v>
      </c>
      <c r="M9" s="8">
        <f>SUMIFS(Gastos!$K$7:$K$2006,Gastos!$B$7:$B$2006,"&gt;="&amp;M$6,Gastos!$B$7:$B$2006,"&lt;"&amp;EDATE(M$6,1),Gastos!$C$7:$C$2006,"Pago proveedor")</f>
        <v>0</v>
      </c>
      <c r="N9" s="8">
        <f>SUMIFS(Gastos!$K$7:$K$2006,Gastos!$B$7:$B$2006,"&gt;="&amp;N$6,Gastos!$B$7:$B$2006,"&lt;"&amp;EDATE(N$6,1),Gastos!$C$7:$C$2006,"Pago proveedor")</f>
        <v>0</v>
      </c>
      <c r="O9" s="11">
        <f t="shared" si="0"/>
        <v>0</v>
      </c>
    </row>
    <row r="10" spans="1:15" ht="22" customHeight="1">
      <c r="A10" s="1"/>
      <c r="B10" s="1" t="s">
        <v>120</v>
      </c>
      <c r="C10" s="8">
        <f>SUMIFS(Gastos!$K$7:$K$2006,Gastos!$B$7:$B$2006,"&gt;="&amp;C$6,Gastos!$B$7:$B$2006,"&lt;"&amp;EDATE(C$6,1),Gastos!$C$7:$C$2006,"Pago ISR")</f>
        <v>0</v>
      </c>
      <c r="D10" s="8">
        <f>SUMIFS(Gastos!$K$7:$K$2006,Gastos!$B$7:$B$2006,"&gt;="&amp;D$6,Gastos!$B$7:$B$2006,"&lt;"&amp;EDATE(D$6,1),Gastos!$C$7:$C$2006,"Pago ISR")</f>
        <v>0</v>
      </c>
      <c r="E10" s="8">
        <f>SUMIFS(Gastos!$K$7:$K$2006,Gastos!$B$7:$B$2006,"&gt;="&amp;E$6,Gastos!$B$7:$B$2006,"&lt;"&amp;EDATE(E$6,1),Gastos!$C$7:$C$2006,"Pago ISR")</f>
        <v>0</v>
      </c>
      <c r="F10" s="8">
        <f>SUMIFS(Gastos!$K$7:$K$2006,Gastos!$B$7:$B$2006,"&gt;="&amp;F$6,Gastos!$B$7:$B$2006,"&lt;"&amp;EDATE(F$6,1),Gastos!$C$7:$C$2006,"Pago ISR")</f>
        <v>0</v>
      </c>
      <c r="G10" s="8">
        <f>SUMIFS(Gastos!$K$7:$K$2006,Gastos!$B$7:$B$2006,"&gt;="&amp;G$6,Gastos!$B$7:$B$2006,"&lt;"&amp;EDATE(G$6,1),Gastos!$C$7:$C$2006,"Pago ISR")</f>
        <v>0</v>
      </c>
      <c r="H10" s="8">
        <f>SUMIFS(Gastos!$K$7:$K$2006,Gastos!$B$7:$B$2006,"&gt;="&amp;H$6,Gastos!$B$7:$B$2006,"&lt;"&amp;EDATE(H$6,1),Gastos!$C$7:$C$2006,"Pago ISR")</f>
        <v>0</v>
      </c>
      <c r="I10" s="8">
        <f>SUMIFS(Gastos!$K$7:$K$2006,Gastos!$B$7:$B$2006,"&gt;="&amp;I$6,Gastos!$B$7:$B$2006,"&lt;"&amp;EDATE(I$6,1),Gastos!$C$7:$C$2006,"Pago ISR")</f>
        <v>0</v>
      </c>
      <c r="J10" s="8">
        <f>SUMIFS(Gastos!$K$7:$K$2006,Gastos!$B$7:$B$2006,"&gt;="&amp;J$6,Gastos!$B$7:$B$2006,"&lt;"&amp;EDATE(J$6,1),Gastos!$C$7:$C$2006,"Pago ISR")</f>
        <v>0</v>
      </c>
      <c r="K10" s="8">
        <f>SUMIFS(Gastos!$K$7:$K$2006,Gastos!$B$7:$B$2006,"&gt;="&amp;K$6,Gastos!$B$7:$B$2006,"&lt;"&amp;EDATE(K$6,1),Gastos!$C$7:$C$2006,"Pago ISR")</f>
        <v>0</v>
      </c>
      <c r="L10" s="8">
        <f>SUMIFS(Gastos!$K$7:$K$2006,Gastos!$B$7:$B$2006,"&gt;="&amp;L$6,Gastos!$B$7:$B$2006,"&lt;"&amp;EDATE(L$6,1),Gastos!$C$7:$C$2006,"Pago ISR")</f>
        <v>0</v>
      </c>
      <c r="M10" s="8">
        <f>SUMIFS(Gastos!$K$7:$K$2006,Gastos!$B$7:$B$2006,"&gt;="&amp;M$6,Gastos!$B$7:$B$2006,"&lt;"&amp;EDATE(M$6,1),Gastos!$C$7:$C$2006,"Pago ISR")</f>
        <v>0</v>
      </c>
      <c r="N10" s="8">
        <f>SUMIFS(Gastos!$K$7:$K$2006,Gastos!$B$7:$B$2006,"&gt;="&amp;N$6,Gastos!$B$7:$B$2006,"&lt;"&amp;EDATE(N$6,1),Gastos!$C$7:$C$2006,"Pago ISR")</f>
        <v>0</v>
      </c>
      <c r="O10" s="11">
        <f t="shared" si="0"/>
        <v>0</v>
      </c>
    </row>
    <row r="11" spans="1:15" ht="22" customHeight="1">
      <c r="A11" s="1"/>
      <c r="B11" s="1" t="s">
        <v>121</v>
      </c>
      <c r="C11" s="8">
        <f>SUMIFS(Gastos!$K$7:$K$2006,Gastos!$B$7:$B$2006,"&gt;="&amp;C$6,Gastos!$B$7:$B$2006,"&lt;"&amp;EDATE(C$6,1),Gastos!$C$7:$C$2006,"Pago IVA")</f>
        <v>0</v>
      </c>
      <c r="D11" s="8">
        <f>SUMIFS(Gastos!$K$7:$K$2006,Gastos!$B$7:$B$2006,"&gt;="&amp;D$6,Gastos!$B$7:$B$2006,"&lt;"&amp;EDATE(D$6,1),Gastos!$C$7:$C$2006,"Pago IVA")</f>
        <v>0</v>
      </c>
      <c r="E11" s="8">
        <f>SUMIFS(Gastos!$K$7:$K$2006,Gastos!$B$7:$B$2006,"&gt;="&amp;E$6,Gastos!$B$7:$B$2006,"&lt;"&amp;EDATE(E$6,1),Gastos!$C$7:$C$2006,"Pago IVA")</f>
        <v>0</v>
      </c>
      <c r="F11" s="8">
        <f>SUMIFS(Gastos!$K$7:$K$2006,Gastos!$B$7:$B$2006,"&gt;="&amp;F$6,Gastos!$B$7:$B$2006,"&lt;"&amp;EDATE(F$6,1),Gastos!$C$7:$C$2006,"Pago IVA")</f>
        <v>0</v>
      </c>
      <c r="G11" s="8">
        <f>SUMIFS(Gastos!$K$7:$K$2006,Gastos!$B$7:$B$2006,"&gt;="&amp;G$6,Gastos!$B$7:$B$2006,"&lt;"&amp;EDATE(G$6,1),Gastos!$C$7:$C$2006,"Pago IVA")</f>
        <v>0</v>
      </c>
      <c r="H11" s="8">
        <f>SUMIFS(Gastos!$K$7:$K$2006,Gastos!$B$7:$B$2006,"&gt;="&amp;H$6,Gastos!$B$7:$B$2006,"&lt;"&amp;EDATE(H$6,1),Gastos!$C$7:$C$2006,"Pago IVA")</f>
        <v>0</v>
      </c>
      <c r="I11" s="8">
        <f>SUMIFS(Gastos!$K$7:$K$2006,Gastos!$B$7:$B$2006,"&gt;="&amp;I$6,Gastos!$B$7:$B$2006,"&lt;"&amp;EDATE(I$6,1),Gastos!$C$7:$C$2006,"Pago IVA")</f>
        <v>0</v>
      </c>
      <c r="J11" s="8">
        <f>SUMIFS(Gastos!$K$7:$K$2006,Gastos!$B$7:$B$2006,"&gt;="&amp;J$6,Gastos!$B$7:$B$2006,"&lt;"&amp;EDATE(J$6,1),Gastos!$C$7:$C$2006,"Pago IVA")</f>
        <v>0</v>
      </c>
      <c r="K11" s="8">
        <f>SUMIFS(Gastos!$K$7:$K$2006,Gastos!$B$7:$B$2006,"&gt;="&amp;K$6,Gastos!$B$7:$B$2006,"&lt;"&amp;EDATE(K$6,1),Gastos!$C$7:$C$2006,"Pago IVA")</f>
        <v>0</v>
      </c>
      <c r="L11" s="8">
        <f>SUMIFS(Gastos!$K$7:$K$2006,Gastos!$B$7:$B$2006,"&gt;="&amp;L$6,Gastos!$B$7:$B$2006,"&lt;"&amp;EDATE(L$6,1),Gastos!$C$7:$C$2006,"Pago IVA")</f>
        <v>0</v>
      </c>
      <c r="M11" s="8">
        <f>SUMIFS(Gastos!$K$7:$K$2006,Gastos!$B$7:$B$2006,"&gt;="&amp;M$6,Gastos!$B$7:$B$2006,"&lt;"&amp;EDATE(M$6,1),Gastos!$C$7:$C$2006,"Pago IVA")</f>
        <v>0</v>
      </c>
      <c r="N11" s="8">
        <f>SUMIFS(Gastos!$K$7:$K$2006,Gastos!$B$7:$B$2006,"&gt;="&amp;N$6,Gastos!$B$7:$B$2006,"&lt;"&amp;EDATE(N$6,1),Gastos!$C$7:$C$2006,"Pago IVA")</f>
        <v>0</v>
      </c>
      <c r="O11" s="11">
        <f t="shared" si="0"/>
        <v>0</v>
      </c>
    </row>
    <row r="12" spans="1:15" ht="22" customHeight="1">
      <c r="A12" s="1"/>
      <c r="B12" s="12" t="s">
        <v>8</v>
      </c>
      <c r="C12" s="13">
        <f t="shared" ref="C12:N12" si="1">C7+C8-SUM(C9:C11)</f>
        <v>2200</v>
      </c>
      <c r="D12" s="13">
        <f t="shared" si="1"/>
        <v>0</v>
      </c>
      <c r="E12" s="13">
        <f t="shared" si="1"/>
        <v>0</v>
      </c>
      <c r="F12" s="13">
        <f t="shared" si="1"/>
        <v>0</v>
      </c>
      <c r="G12" s="13">
        <f t="shared" si="1"/>
        <v>0</v>
      </c>
      <c r="H12" s="13">
        <f t="shared" si="1"/>
        <v>0</v>
      </c>
      <c r="I12" s="13">
        <f t="shared" si="1"/>
        <v>0</v>
      </c>
      <c r="J12" s="13">
        <f t="shared" si="1"/>
        <v>0</v>
      </c>
      <c r="K12" s="13">
        <f t="shared" si="1"/>
        <v>0</v>
      </c>
      <c r="L12" s="13">
        <f t="shared" si="1"/>
        <v>0</v>
      </c>
      <c r="M12" s="13">
        <f t="shared" si="1"/>
        <v>0</v>
      </c>
      <c r="N12" s="13">
        <f t="shared" si="1"/>
        <v>0</v>
      </c>
      <c r="O12" s="14">
        <f t="shared" si="0"/>
        <v>2200</v>
      </c>
    </row>
    <row r="13" spans="1:15" ht="22" customHeight="1">
      <c r="A13" s="1"/>
      <c r="B13" s="1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11"/>
    </row>
    <row r="14" spans="1:15" ht="22" customHeight="1">
      <c r="A14" s="1"/>
      <c r="B14" s="1" t="s">
        <v>122</v>
      </c>
      <c r="C14" s="8">
        <f>SUMIFS(Gastos!$K$7:$K$2006,Gastos!$B$7:$B$2006,"&gt;="&amp;C$6,Gastos!$B$7:$B$2006,"&lt;"&amp;EDATE(C$6,1),Gastos!$C$7:$C$2006,"Pago activo")</f>
        <v>0</v>
      </c>
      <c r="D14" s="8">
        <f>SUMIFS(Gastos!$K$7:$K$2006,Gastos!$B$7:$B$2006,"&gt;="&amp;D$6,Gastos!$B$7:$B$2006,"&lt;"&amp;EDATE(D$6,1),Gastos!$C$7:$C$2006,"Pago activo")</f>
        <v>0</v>
      </c>
      <c r="E14" s="8">
        <f>SUMIFS(Gastos!$K$7:$K$2006,Gastos!$B$7:$B$2006,"&gt;="&amp;E$6,Gastos!$B$7:$B$2006,"&lt;"&amp;EDATE(E$6,1),Gastos!$C$7:$C$2006,"Pago activo")</f>
        <v>0</v>
      </c>
      <c r="F14" s="8">
        <f>SUMIFS(Gastos!$K$7:$K$2006,Gastos!$B$7:$B$2006,"&gt;="&amp;F$6,Gastos!$B$7:$B$2006,"&lt;"&amp;EDATE(F$6,1),Gastos!$C$7:$C$2006,"Pago activo")</f>
        <v>0</v>
      </c>
      <c r="G14" s="8">
        <f>SUMIFS(Gastos!$K$7:$K$2006,Gastos!$B$7:$B$2006,"&gt;="&amp;G$6,Gastos!$B$7:$B$2006,"&lt;"&amp;EDATE(G$6,1),Gastos!$C$7:$C$2006,"Pago activo")</f>
        <v>0</v>
      </c>
      <c r="H14" s="8">
        <f>SUMIFS(Gastos!$K$7:$K$2006,Gastos!$B$7:$B$2006,"&gt;="&amp;H$6,Gastos!$B$7:$B$2006,"&lt;"&amp;EDATE(H$6,1),Gastos!$C$7:$C$2006,"Pago activo")</f>
        <v>0</v>
      </c>
      <c r="I14" s="8">
        <f>SUMIFS(Gastos!$K$7:$K$2006,Gastos!$B$7:$B$2006,"&gt;="&amp;I$6,Gastos!$B$7:$B$2006,"&lt;"&amp;EDATE(I$6,1),Gastos!$C$7:$C$2006,"Pago activo")</f>
        <v>0</v>
      </c>
      <c r="J14" s="8">
        <f>SUMIFS(Gastos!$K$7:$K$2006,Gastos!$B$7:$B$2006,"&gt;="&amp;J$6,Gastos!$B$7:$B$2006,"&lt;"&amp;EDATE(J$6,1),Gastos!$C$7:$C$2006,"Pago activo")</f>
        <v>0</v>
      </c>
      <c r="K14" s="8">
        <f>SUMIFS(Gastos!$K$7:$K$2006,Gastos!$B$7:$B$2006,"&gt;="&amp;K$6,Gastos!$B$7:$B$2006,"&lt;"&amp;EDATE(K$6,1),Gastos!$C$7:$C$2006,"Pago activo")</f>
        <v>0</v>
      </c>
      <c r="L14" s="8">
        <f>SUMIFS(Gastos!$K$7:$K$2006,Gastos!$B$7:$B$2006,"&gt;="&amp;L$6,Gastos!$B$7:$B$2006,"&lt;"&amp;EDATE(L$6,1),Gastos!$C$7:$C$2006,"Pago activo")</f>
        <v>0</v>
      </c>
      <c r="M14" s="8">
        <f>SUMIFS(Gastos!$K$7:$K$2006,Gastos!$B$7:$B$2006,"&gt;="&amp;M$6,Gastos!$B$7:$B$2006,"&lt;"&amp;EDATE(M$6,1),Gastos!$C$7:$C$2006,"Pago activo")</f>
        <v>0</v>
      </c>
      <c r="N14" s="8">
        <f>SUMIFS(Gastos!$K$7:$K$2006,Gastos!$B$7:$B$2006,"&gt;="&amp;N$6,Gastos!$B$7:$B$2006,"&lt;"&amp;EDATE(N$6,1),Gastos!$C$7:$C$2006,"Pago activo")</f>
        <v>0</v>
      </c>
      <c r="O14" s="11">
        <f>SUM(C14:N14)</f>
        <v>0</v>
      </c>
    </row>
    <row r="15" spans="1:15" ht="22" customHeight="1">
      <c r="A15" s="1"/>
      <c r="B15" s="12" t="s">
        <v>123</v>
      </c>
      <c r="C15" s="13">
        <f t="shared" ref="C15:N15" si="2">-C14</f>
        <v>0</v>
      </c>
      <c r="D15" s="13">
        <f t="shared" si="2"/>
        <v>0</v>
      </c>
      <c r="E15" s="13">
        <f t="shared" si="2"/>
        <v>0</v>
      </c>
      <c r="F15" s="13">
        <f t="shared" si="2"/>
        <v>0</v>
      </c>
      <c r="G15" s="13">
        <f t="shared" si="2"/>
        <v>0</v>
      </c>
      <c r="H15" s="13">
        <f t="shared" si="2"/>
        <v>0</v>
      </c>
      <c r="I15" s="13">
        <f t="shared" si="2"/>
        <v>0</v>
      </c>
      <c r="J15" s="13">
        <f t="shared" si="2"/>
        <v>0</v>
      </c>
      <c r="K15" s="13">
        <f t="shared" si="2"/>
        <v>0</v>
      </c>
      <c r="L15" s="13">
        <f t="shared" si="2"/>
        <v>0</v>
      </c>
      <c r="M15" s="13">
        <f t="shared" si="2"/>
        <v>0</v>
      </c>
      <c r="N15" s="13">
        <f t="shared" si="2"/>
        <v>0</v>
      </c>
      <c r="O15" s="14">
        <f>SUM(C15:N15)</f>
        <v>0</v>
      </c>
    </row>
    <row r="16" spans="1:15" ht="22" customHeight="1">
      <c r="A16" s="1"/>
      <c r="B16" s="1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11"/>
    </row>
    <row r="17" spans="1:15" ht="22" customHeight="1">
      <c r="A17" s="1"/>
      <c r="B17" s="1" t="s">
        <v>124</v>
      </c>
      <c r="C17" s="8">
        <f>SUMIFS(Pasivos!$G$7:$G$506,Pasivos!$B$7:$B$506,"&gt;="&amp;C$6,Pasivos!$B$7:$B$506,"&lt;"&amp;EDATE(C$6,1),Pasivos!$C$7:$C$506,"Desembolso")</f>
        <v>0</v>
      </c>
      <c r="D17" s="8">
        <f>SUMIFS(Pasivos!$G$7:$G$506,Pasivos!$B$7:$B$506,"&gt;="&amp;D$6,Pasivos!$B$7:$B$506,"&lt;"&amp;EDATE(D$6,1),Pasivos!$C$7:$C$506,"Desembolso")</f>
        <v>0</v>
      </c>
      <c r="E17" s="8">
        <f>SUMIFS(Pasivos!$G$7:$G$506,Pasivos!$B$7:$B$506,"&gt;="&amp;E$6,Pasivos!$B$7:$B$506,"&lt;"&amp;EDATE(E$6,1),Pasivos!$C$7:$C$506,"Desembolso")</f>
        <v>0</v>
      </c>
      <c r="F17" s="8">
        <f>SUMIFS(Pasivos!$G$7:$G$506,Pasivos!$B$7:$B$506,"&gt;="&amp;F$6,Pasivos!$B$7:$B$506,"&lt;"&amp;EDATE(F$6,1),Pasivos!$C$7:$C$506,"Desembolso")</f>
        <v>0</v>
      </c>
      <c r="G17" s="8">
        <f>SUMIFS(Pasivos!$G$7:$G$506,Pasivos!$B$7:$B$506,"&gt;="&amp;G$6,Pasivos!$B$7:$B$506,"&lt;"&amp;EDATE(G$6,1),Pasivos!$C$7:$C$506,"Desembolso")</f>
        <v>0</v>
      </c>
      <c r="H17" s="8">
        <f>SUMIFS(Pasivos!$G$7:$G$506,Pasivos!$B$7:$B$506,"&gt;="&amp;H$6,Pasivos!$B$7:$B$506,"&lt;"&amp;EDATE(H$6,1),Pasivos!$C$7:$C$506,"Desembolso")</f>
        <v>0</v>
      </c>
      <c r="I17" s="8">
        <f>SUMIFS(Pasivos!$G$7:$G$506,Pasivos!$B$7:$B$506,"&gt;="&amp;I$6,Pasivos!$B$7:$B$506,"&lt;"&amp;EDATE(I$6,1),Pasivos!$C$7:$C$506,"Desembolso")</f>
        <v>0</v>
      </c>
      <c r="J17" s="8">
        <f>SUMIFS(Pasivos!$G$7:$G$506,Pasivos!$B$7:$B$506,"&gt;="&amp;J$6,Pasivos!$B$7:$B$506,"&lt;"&amp;EDATE(J$6,1),Pasivos!$C$7:$C$506,"Desembolso")</f>
        <v>0</v>
      </c>
      <c r="K17" s="8">
        <f>SUMIFS(Pasivos!$G$7:$G$506,Pasivos!$B$7:$B$506,"&gt;="&amp;K$6,Pasivos!$B$7:$B$506,"&lt;"&amp;EDATE(K$6,1),Pasivos!$C$7:$C$506,"Desembolso")</f>
        <v>0</v>
      </c>
      <c r="L17" s="8">
        <f>SUMIFS(Pasivos!$G$7:$G$506,Pasivos!$B$7:$B$506,"&gt;="&amp;L$6,Pasivos!$B$7:$B$506,"&lt;"&amp;EDATE(L$6,1),Pasivos!$C$7:$C$506,"Desembolso")</f>
        <v>0</v>
      </c>
      <c r="M17" s="8">
        <f>SUMIFS(Pasivos!$G$7:$G$506,Pasivos!$B$7:$B$506,"&gt;="&amp;M$6,Pasivos!$B$7:$B$506,"&lt;"&amp;EDATE(M$6,1),Pasivos!$C$7:$C$506,"Desembolso")</f>
        <v>0</v>
      </c>
      <c r="N17" s="8">
        <f>SUMIFS(Pasivos!$G$7:$G$506,Pasivos!$B$7:$B$506,"&gt;="&amp;N$6,Pasivos!$B$7:$B$506,"&lt;"&amp;EDATE(N$6,1),Pasivos!$C$7:$C$506,"Desembolso")</f>
        <v>0</v>
      </c>
      <c r="O17" s="11">
        <f>SUM(C17:N17)</f>
        <v>0</v>
      </c>
    </row>
    <row r="18" spans="1:15" ht="22" customHeight="1">
      <c r="A18" s="1"/>
      <c r="B18" s="1" t="s">
        <v>125</v>
      </c>
      <c r="C18" s="8">
        <f>SUMIFS(Pasivos!$G$7:$G$506,Pasivos!$B$7:$B$506,"&gt;="&amp;C$6,Pasivos!$B$7:$B$506,"&lt;"&amp;EDATE(C$6,1),Pasivos!$C$7:$C$506,"Amortización")</f>
        <v>0</v>
      </c>
      <c r="D18" s="8">
        <f>SUMIFS(Pasivos!$G$7:$G$506,Pasivos!$B$7:$B$506,"&gt;="&amp;D$6,Pasivos!$B$7:$B$506,"&lt;"&amp;EDATE(D$6,1),Pasivos!$C$7:$C$506,"Amortización")</f>
        <v>0</v>
      </c>
      <c r="E18" s="8">
        <f>SUMIFS(Pasivos!$G$7:$G$506,Pasivos!$B$7:$B$506,"&gt;="&amp;E$6,Pasivos!$B$7:$B$506,"&lt;"&amp;EDATE(E$6,1),Pasivos!$C$7:$C$506,"Amortización")</f>
        <v>0</v>
      </c>
      <c r="F18" s="8">
        <f>SUMIFS(Pasivos!$G$7:$G$506,Pasivos!$B$7:$B$506,"&gt;="&amp;F$6,Pasivos!$B$7:$B$506,"&lt;"&amp;EDATE(F$6,1),Pasivos!$C$7:$C$506,"Amortización")</f>
        <v>0</v>
      </c>
      <c r="G18" s="8">
        <f>SUMIFS(Pasivos!$G$7:$G$506,Pasivos!$B$7:$B$506,"&gt;="&amp;G$6,Pasivos!$B$7:$B$506,"&lt;"&amp;EDATE(G$6,1),Pasivos!$C$7:$C$506,"Amortización")</f>
        <v>0</v>
      </c>
      <c r="H18" s="8">
        <f>SUMIFS(Pasivos!$G$7:$G$506,Pasivos!$B$7:$B$506,"&gt;="&amp;H$6,Pasivos!$B$7:$B$506,"&lt;"&amp;EDATE(H$6,1),Pasivos!$C$7:$C$506,"Amortización")</f>
        <v>0</v>
      </c>
      <c r="I18" s="8">
        <f>SUMIFS(Pasivos!$G$7:$G$506,Pasivos!$B$7:$B$506,"&gt;="&amp;I$6,Pasivos!$B$7:$B$506,"&lt;"&amp;EDATE(I$6,1),Pasivos!$C$7:$C$506,"Amortización")</f>
        <v>0</v>
      </c>
      <c r="J18" s="8">
        <f>SUMIFS(Pasivos!$G$7:$G$506,Pasivos!$B$7:$B$506,"&gt;="&amp;J$6,Pasivos!$B$7:$B$506,"&lt;"&amp;EDATE(J$6,1),Pasivos!$C$7:$C$506,"Amortización")</f>
        <v>0</v>
      </c>
      <c r="K18" s="8">
        <f>SUMIFS(Pasivos!$G$7:$G$506,Pasivos!$B$7:$B$506,"&gt;="&amp;K$6,Pasivos!$B$7:$B$506,"&lt;"&amp;EDATE(K$6,1),Pasivos!$C$7:$C$506,"Amortización")</f>
        <v>0</v>
      </c>
      <c r="L18" s="8">
        <f>SUMIFS(Pasivos!$G$7:$G$506,Pasivos!$B$7:$B$506,"&gt;="&amp;L$6,Pasivos!$B$7:$B$506,"&lt;"&amp;EDATE(L$6,1),Pasivos!$C$7:$C$506,"Amortización")</f>
        <v>0</v>
      </c>
      <c r="M18" s="8">
        <f>SUMIFS(Pasivos!$G$7:$G$506,Pasivos!$B$7:$B$506,"&gt;="&amp;M$6,Pasivos!$B$7:$B$506,"&lt;"&amp;EDATE(M$6,1),Pasivos!$C$7:$C$506,"Amortización")</f>
        <v>0</v>
      </c>
      <c r="N18" s="8">
        <f>SUMIFS(Pasivos!$G$7:$G$506,Pasivos!$B$7:$B$506,"&gt;="&amp;N$6,Pasivos!$B$7:$B$506,"&lt;"&amp;EDATE(N$6,1),Pasivos!$C$7:$C$506,"Amortización")</f>
        <v>0</v>
      </c>
      <c r="O18" s="11">
        <f>SUM(C18:N18)</f>
        <v>0</v>
      </c>
    </row>
    <row r="19" spans="1:15" ht="22" customHeight="1">
      <c r="A19" s="1"/>
      <c r="B19" s="1" t="s">
        <v>126</v>
      </c>
      <c r="C19" s="8">
        <f>SUMIFS(Gastos!$K$7:$K$2006,Gastos!$B$7:$B$2006,"&gt;="&amp;C$6,Gastos!$B$7:$B$2006,"&lt;"&amp;EDATE(C$6,1),Gastos!$C$7:$C$2006,"Aportación")</f>
        <v>0</v>
      </c>
      <c r="D19" s="8">
        <f>SUMIFS(Gastos!$K$7:$K$2006,Gastos!$B$7:$B$2006,"&gt;="&amp;D$6,Gastos!$B$7:$B$2006,"&lt;"&amp;EDATE(D$6,1),Gastos!$C$7:$C$2006,"Aportación")</f>
        <v>0</v>
      </c>
      <c r="E19" s="8">
        <f>SUMIFS(Gastos!$K$7:$K$2006,Gastos!$B$7:$B$2006,"&gt;="&amp;E$6,Gastos!$B$7:$B$2006,"&lt;"&amp;EDATE(E$6,1),Gastos!$C$7:$C$2006,"Aportación")</f>
        <v>0</v>
      </c>
      <c r="F19" s="8">
        <f>SUMIFS(Gastos!$K$7:$K$2006,Gastos!$B$7:$B$2006,"&gt;="&amp;F$6,Gastos!$B$7:$B$2006,"&lt;"&amp;EDATE(F$6,1),Gastos!$C$7:$C$2006,"Aportación")</f>
        <v>0</v>
      </c>
      <c r="G19" s="8">
        <f>SUMIFS(Gastos!$K$7:$K$2006,Gastos!$B$7:$B$2006,"&gt;="&amp;G$6,Gastos!$B$7:$B$2006,"&lt;"&amp;EDATE(G$6,1),Gastos!$C$7:$C$2006,"Aportación")</f>
        <v>0</v>
      </c>
      <c r="H19" s="8">
        <f>SUMIFS(Gastos!$K$7:$K$2006,Gastos!$B$7:$B$2006,"&gt;="&amp;H$6,Gastos!$B$7:$B$2006,"&lt;"&amp;EDATE(H$6,1),Gastos!$C$7:$C$2006,"Aportación")</f>
        <v>0</v>
      </c>
      <c r="I19" s="8">
        <f>SUMIFS(Gastos!$K$7:$K$2006,Gastos!$B$7:$B$2006,"&gt;="&amp;I$6,Gastos!$B$7:$B$2006,"&lt;"&amp;EDATE(I$6,1),Gastos!$C$7:$C$2006,"Aportación")</f>
        <v>0</v>
      </c>
      <c r="J19" s="8">
        <f>SUMIFS(Gastos!$K$7:$K$2006,Gastos!$B$7:$B$2006,"&gt;="&amp;J$6,Gastos!$B$7:$B$2006,"&lt;"&amp;EDATE(J$6,1),Gastos!$C$7:$C$2006,"Aportación")</f>
        <v>0</v>
      </c>
      <c r="K19" s="8">
        <f>SUMIFS(Gastos!$K$7:$K$2006,Gastos!$B$7:$B$2006,"&gt;="&amp;K$6,Gastos!$B$7:$B$2006,"&lt;"&amp;EDATE(K$6,1),Gastos!$C$7:$C$2006,"Aportación")</f>
        <v>0</v>
      </c>
      <c r="L19" s="8">
        <f>SUMIFS(Gastos!$K$7:$K$2006,Gastos!$B$7:$B$2006,"&gt;="&amp;L$6,Gastos!$B$7:$B$2006,"&lt;"&amp;EDATE(L$6,1),Gastos!$C$7:$C$2006,"Aportación")</f>
        <v>0</v>
      </c>
      <c r="M19" s="8">
        <f>SUMIFS(Gastos!$K$7:$K$2006,Gastos!$B$7:$B$2006,"&gt;="&amp;M$6,Gastos!$B$7:$B$2006,"&lt;"&amp;EDATE(M$6,1),Gastos!$C$7:$C$2006,"Aportación")</f>
        <v>0</v>
      </c>
      <c r="N19" s="8">
        <f>SUMIFS(Gastos!$K$7:$K$2006,Gastos!$B$7:$B$2006,"&gt;="&amp;N$6,Gastos!$B$7:$B$2006,"&lt;"&amp;EDATE(N$6,1),Gastos!$C$7:$C$2006,"Aportación")</f>
        <v>0</v>
      </c>
      <c r="O19" s="11">
        <f>SUM(C19:N19)</f>
        <v>0</v>
      </c>
    </row>
    <row r="20" spans="1:15" ht="22" customHeight="1">
      <c r="A20" s="1"/>
      <c r="B20" s="1" t="s">
        <v>127</v>
      </c>
      <c r="C20" s="8">
        <f>SUMIFS(Gastos!$K$7:$K$2006,Gastos!$B$7:$B$2006,"&gt;="&amp;C$6,Gastos!$B$7:$B$2006,"&lt;"&amp;EDATE(C$6,1),Gastos!$C$7:$C$2006,"Retiro familiar")</f>
        <v>0</v>
      </c>
      <c r="D20" s="8">
        <f>SUMIFS(Gastos!$K$7:$K$2006,Gastos!$B$7:$B$2006,"&gt;="&amp;D$6,Gastos!$B$7:$B$2006,"&lt;"&amp;EDATE(D$6,1),Gastos!$C$7:$C$2006,"Retiro familiar")</f>
        <v>0</v>
      </c>
      <c r="E20" s="8">
        <f>SUMIFS(Gastos!$K$7:$K$2006,Gastos!$B$7:$B$2006,"&gt;="&amp;E$6,Gastos!$B$7:$B$2006,"&lt;"&amp;EDATE(E$6,1),Gastos!$C$7:$C$2006,"Retiro familiar")</f>
        <v>0</v>
      </c>
      <c r="F20" s="8">
        <f>SUMIFS(Gastos!$K$7:$K$2006,Gastos!$B$7:$B$2006,"&gt;="&amp;F$6,Gastos!$B$7:$B$2006,"&lt;"&amp;EDATE(F$6,1),Gastos!$C$7:$C$2006,"Retiro familiar")</f>
        <v>0</v>
      </c>
      <c r="G20" s="8">
        <f>SUMIFS(Gastos!$K$7:$K$2006,Gastos!$B$7:$B$2006,"&gt;="&amp;G$6,Gastos!$B$7:$B$2006,"&lt;"&amp;EDATE(G$6,1),Gastos!$C$7:$C$2006,"Retiro familiar")</f>
        <v>0</v>
      </c>
      <c r="H20" s="8">
        <f>SUMIFS(Gastos!$K$7:$K$2006,Gastos!$B$7:$B$2006,"&gt;="&amp;H$6,Gastos!$B$7:$B$2006,"&lt;"&amp;EDATE(H$6,1),Gastos!$C$7:$C$2006,"Retiro familiar")</f>
        <v>0</v>
      </c>
      <c r="I20" s="8">
        <f>SUMIFS(Gastos!$K$7:$K$2006,Gastos!$B$7:$B$2006,"&gt;="&amp;I$6,Gastos!$B$7:$B$2006,"&lt;"&amp;EDATE(I$6,1),Gastos!$C$7:$C$2006,"Retiro familiar")</f>
        <v>0</v>
      </c>
      <c r="J20" s="8">
        <f>SUMIFS(Gastos!$K$7:$K$2006,Gastos!$B$7:$B$2006,"&gt;="&amp;J$6,Gastos!$B$7:$B$2006,"&lt;"&amp;EDATE(J$6,1),Gastos!$C$7:$C$2006,"Retiro familiar")</f>
        <v>0</v>
      </c>
      <c r="K20" s="8">
        <f>SUMIFS(Gastos!$K$7:$K$2006,Gastos!$B$7:$B$2006,"&gt;="&amp;K$6,Gastos!$B$7:$B$2006,"&lt;"&amp;EDATE(K$6,1),Gastos!$C$7:$C$2006,"Retiro familiar")</f>
        <v>0</v>
      </c>
      <c r="L20" s="8">
        <f>SUMIFS(Gastos!$K$7:$K$2006,Gastos!$B$7:$B$2006,"&gt;="&amp;L$6,Gastos!$B$7:$B$2006,"&lt;"&amp;EDATE(L$6,1),Gastos!$C$7:$C$2006,"Retiro familiar")</f>
        <v>0</v>
      </c>
      <c r="M20" s="8">
        <f>SUMIFS(Gastos!$K$7:$K$2006,Gastos!$B$7:$B$2006,"&gt;="&amp;M$6,Gastos!$B$7:$B$2006,"&lt;"&amp;EDATE(M$6,1),Gastos!$C$7:$C$2006,"Retiro familiar")</f>
        <v>0</v>
      </c>
      <c r="N20" s="8">
        <f>SUMIFS(Gastos!$K$7:$K$2006,Gastos!$B$7:$B$2006,"&gt;="&amp;N$6,Gastos!$B$7:$B$2006,"&lt;"&amp;EDATE(N$6,1),Gastos!$C$7:$C$2006,"Retiro familiar")</f>
        <v>0</v>
      </c>
      <c r="O20" s="11">
        <f>SUM(C20:N20)</f>
        <v>0</v>
      </c>
    </row>
    <row r="21" spans="1:15" ht="22" customHeight="1">
      <c r="A21" s="1"/>
      <c r="B21" s="12" t="s">
        <v>128</v>
      </c>
      <c r="C21" s="13">
        <f t="shared" ref="C21:N21" si="3">C17-C18+C19-C20</f>
        <v>0</v>
      </c>
      <c r="D21" s="13">
        <f t="shared" si="3"/>
        <v>0</v>
      </c>
      <c r="E21" s="13">
        <f t="shared" si="3"/>
        <v>0</v>
      </c>
      <c r="F21" s="13">
        <f t="shared" si="3"/>
        <v>0</v>
      </c>
      <c r="G21" s="13">
        <f t="shared" si="3"/>
        <v>0</v>
      </c>
      <c r="H21" s="13">
        <f t="shared" si="3"/>
        <v>0</v>
      </c>
      <c r="I21" s="13">
        <f t="shared" si="3"/>
        <v>0</v>
      </c>
      <c r="J21" s="13">
        <f t="shared" si="3"/>
        <v>0</v>
      </c>
      <c r="K21" s="13">
        <f t="shared" si="3"/>
        <v>0</v>
      </c>
      <c r="L21" s="13">
        <f t="shared" si="3"/>
        <v>0</v>
      </c>
      <c r="M21" s="13">
        <f t="shared" si="3"/>
        <v>0</v>
      </c>
      <c r="N21" s="13">
        <f t="shared" si="3"/>
        <v>0</v>
      </c>
      <c r="O21" s="14">
        <f>SUM(C21:N21)</f>
        <v>0</v>
      </c>
    </row>
    <row r="22" spans="1:15" ht="22" customHeight="1">
      <c r="A22" s="1"/>
      <c r="B22" s="1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11"/>
    </row>
    <row r="23" spans="1:15" ht="22" customHeight="1">
      <c r="A23" s="1"/>
      <c r="B23" s="12" t="s">
        <v>129</v>
      </c>
      <c r="C23" s="13">
        <f t="shared" ref="C23:N23" si="4">C12+C15+C21</f>
        <v>2200</v>
      </c>
      <c r="D23" s="13">
        <f t="shared" si="4"/>
        <v>0</v>
      </c>
      <c r="E23" s="13">
        <f t="shared" si="4"/>
        <v>0</v>
      </c>
      <c r="F23" s="13">
        <f t="shared" si="4"/>
        <v>0</v>
      </c>
      <c r="G23" s="13">
        <f t="shared" si="4"/>
        <v>0</v>
      </c>
      <c r="H23" s="13">
        <f t="shared" si="4"/>
        <v>0</v>
      </c>
      <c r="I23" s="13">
        <f t="shared" si="4"/>
        <v>0</v>
      </c>
      <c r="J23" s="13">
        <f t="shared" si="4"/>
        <v>0</v>
      </c>
      <c r="K23" s="13">
        <f t="shared" si="4"/>
        <v>0</v>
      </c>
      <c r="L23" s="13">
        <f t="shared" si="4"/>
        <v>0</v>
      </c>
      <c r="M23" s="13">
        <f t="shared" si="4"/>
        <v>0</v>
      </c>
      <c r="N23" s="13">
        <f t="shared" si="4"/>
        <v>0</v>
      </c>
      <c r="O23" s="14">
        <f>SUM(C23:N23)</f>
        <v>2200</v>
      </c>
    </row>
    <row r="24" spans="1:15" ht="22" customHeight="1">
      <c r="A24" s="1"/>
      <c r="B24" s="1" t="s">
        <v>130</v>
      </c>
      <c r="C24" s="8">
        <f>Configuración!$C$9</f>
        <v>0</v>
      </c>
      <c r="D24" s="8">
        <f t="shared" ref="D24:N24" si="5">C25</f>
        <v>2200</v>
      </c>
      <c r="E24" s="8">
        <f t="shared" si="5"/>
        <v>2200</v>
      </c>
      <c r="F24" s="8">
        <f t="shared" si="5"/>
        <v>2200</v>
      </c>
      <c r="G24" s="8">
        <f t="shared" si="5"/>
        <v>2200</v>
      </c>
      <c r="H24" s="8">
        <f t="shared" si="5"/>
        <v>2200</v>
      </c>
      <c r="I24" s="8">
        <f t="shared" si="5"/>
        <v>2200</v>
      </c>
      <c r="J24" s="8">
        <f t="shared" si="5"/>
        <v>2200</v>
      </c>
      <c r="K24" s="8">
        <f t="shared" si="5"/>
        <v>2200</v>
      </c>
      <c r="L24" s="8">
        <f t="shared" si="5"/>
        <v>2200</v>
      </c>
      <c r="M24" s="8">
        <f t="shared" si="5"/>
        <v>2200</v>
      </c>
      <c r="N24" s="8">
        <f t="shared" si="5"/>
        <v>2200</v>
      </c>
      <c r="O24" s="11">
        <f>C24</f>
        <v>0</v>
      </c>
    </row>
    <row r="25" spans="1:15" ht="22" customHeight="1">
      <c r="A25" s="1"/>
      <c r="B25" s="12" t="s">
        <v>18</v>
      </c>
      <c r="C25" s="13">
        <f t="shared" ref="C25:N25" si="6">C24+C23</f>
        <v>2200</v>
      </c>
      <c r="D25" s="13">
        <f t="shared" si="6"/>
        <v>2200</v>
      </c>
      <c r="E25" s="13">
        <f t="shared" si="6"/>
        <v>2200</v>
      </c>
      <c r="F25" s="13">
        <f t="shared" si="6"/>
        <v>2200</v>
      </c>
      <c r="G25" s="13">
        <f t="shared" si="6"/>
        <v>2200</v>
      </c>
      <c r="H25" s="13">
        <f t="shared" si="6"/>
        <v>2200</v>
      </c>
      <c r="I25" s="13">
        <f t="shared" si="6"/>
        <v>2200</v>
      </c>
      <c r="J25" s="13">
        <f t="shared" si="6"/>
        <v>2200</v>
      </c>
      <c r="K25" s="13">
        <f t="shared" si="6"/>
        <v>2200</v>
      </c>
      <c r="L25" s="13">
        <f t="shared" si="6"/>
        <v>2200</v>
      </c>
      <c r="M25" s="13">
        <f t="shared" si="6"/>
        <v>2200</v>
      </c>
      <c r="N25" s="13">
        <f t="shared" si="6"/>
        <v>2200</v>
      </c>
      <c r="O25" s="14">
        <f>N25</f>
        <v>2200</v>
      </c>
    </row>
    <row r="26" spans="1:15" ht="22" customHeight="1">
      <c r="A26" s="1"/>
      <c r="B26" s="1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11"/>
    </row>
    <row r="27" spans="1:15" ht="22" customHeight="1">
      <c r="A27" s="1"/>
      <c r="B27" s="1" t="s">
        <v>131</v>
      </c>
      <c r="C27" s="8">
        <f>SUMIFS(Gastos!$K$7:$K$2006,Gastos!$B$7:$B$2006,"&gt;="&amp;C$6,Gastos!$B$7:$B$2006,"&lt;"&amp;EDATE(C$6,1),Gastos!$C$7:$C$2006,"Pago proveedor",Gastos!$F$7:$F$2006,"Sí")</f>
        <v>0</v>
      </c>
      <c r="D27" s="8">
        <f>SUMIFS(Gastos!$K$7:$K$2006,Gastos!$B$7:$B$2006,"&gt;="&amp;D$6,Gastos!$B$7:$B$2006,"&lt;"&amp;EDATE(D$6,1),Gastos!$C$7:$C$2006,"Pago proveedor",Gastos!$F$7:$F$2006,"Sí")</f>
        <v>0</v>
      </c>
      <c r="E27" s="8">
        <f>SUMIFS(Gastos!$K$7:$K$2006,Gastos!$B$7:$B$2006,"&gt;="&amp;E$6,Gastos!$B$7:$B$2006,"&lt;"&amp;EDATE(E$6,1),Gastos!$C$7:$C$2006,"Pago proveedor",Gastos!$F$7:$F$2006,"Sí")</f>
        <v>0</v>
      </c>
      <c r="F27" s="8">
        <f>SUMIFS(Gastos!$K$7:$K$2006,Gastos!$B$7:$B$2006,"&gt;="&amp;F$6,Gastos!$B$7:$B$2006,"&lt;"&amp;EDATE(F$6,1),Gastos!$C$7:$C$2006,"Pago proveedor",Gastos!$F$7:$F$2006,"Sí")</f>
        <v>0</v>
      </c>
      <c r="G27" s="8">
        <f>SUMIFS(Gastos!$K$7:$K$2006,Gastos!$B$7:$B$2006,"&gt;="&amp;G$6,Gastos!$B$7:$B$2006,"&lt;"&amp;EDATE(G$6,1),Gastos!$C$7:$C$2006,"Pago proveedor",Gastos!$F$7:$F$2006,"Sí")</f>
        <v>0</v>
      </c>
      <c r="H27" s="8">
        <f>SUMIFS(Gastos!$K$7:$K$2006,Gastos!$B$7:$B$2006,"&gt;="&amp;H$6,Gastos!$B$7:$B$2006,"&lt;"&amp;EDATE(H$6,1),Gastos!$C$7:$C$2006,"Pago proveedor",Gastos!$F$7:$F$2006,"Sí")</f>
        <v>0</v>
      </c>
      <c r="I27" s="8">
        <f>SUMIFS(Gastos!$K$7:$K$2006,Gastos!$B$7:$B$2006,"&gt;="&amp;I$6,Gastos!$B$7:$B$2006,"&lt;"&amp;EDATE(I$6,1),Gastos!$C$7:$C$2006,"Pago proveedor",Gastos!$F$7:$F$2006,"Sí")</f>
        <v>0</v>
      </c>
      <c r="J27" s="8">
        <f>SUMIFS(Gastos!$K$7:$K$2006,Gastos!$B$7:$B$2006,"&gt;="&amp;J$6,Gastos!$B$7:$B$2006,"&lt;"&amp;EDATE(J$6,1),Gastos!$C$7:$C$2006,"Pago proveedor",Gastos!$F$7:$F$2006,"Sí")</f>
        <v>0</v>
      </c>
      <c r="K27" s="8">
        <f>SUMIFS(Gastos!$K$7:$K$2006,Gastos!$B$7:$B$2006,"&gt;="&amp;K$6,Gastos!$B$7:$B$2006,"&lt;"&amp;EDATE(K$6,1),Gastos!$C$7:$C$2006,"Pago proveedor",Gastos!$F$7:$F$2006,"Sí")</f>
        <v>0</v>
      </c>
      <c r="L27" s="8">
        <f>SUMIFS(Gastos!$K$7:$K$2006,Gastos!$B$7:$B$2006,"&gt;="&amp;L$6,Gastos!$B$7:$B$2006,"&lt;"&amp;EDATE(L$6,1),Gastos!$C$7:$C$2006,"Pago proveedor",Gastos!$F$7:$F$2006,"Sí")</f>
        <v>0</v>
      </c>
      <c r="M27" s="8">
        <f>SUMIFS(Gastos!$K$7:$K$2006,Gastos!$B$7:$B$2006,"&gt;="&amp;M$6,Gastos!$B$7:$B$2006,"&lt;"&amp;EDATE(M$6,1),Gastos!$C$7:$C$2006,"Pago proveedor",Gastos!$F$7:$F$2006,"Sí")</f>
        <v>0</v>
      </c>
      <c r="N27" s="8">
        <f>SUMIFS(Gastos!$K$7:$K$2006,Gastos!$B$7:$B$2006,"&gt;="&amp;N$6,Gastos!$B$7:$B$2006,"&lt;"&amp;EDATE(N$6,1),Gastos!$C$7:$C$2006,"Pago proveedor",Gastos!$F$7:$F$2006,"Sí")</f>
        <v>0</v>
      </c>
      <c r="O27" s="11">
        <f>SUM(C27:N27)</f>
        <v>0</v>
      </c>
    </row>
    <row r="28" spans="1:15" ht="22" customHeight="1">
      <c r="A28" s="1"/>
      <c r="B28" s="1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11"/>
    </row>
    <row r="29" spans="1:15" ht="22" customHeight="1">
      <c r="A29" s="1"/>
      <c r="B29" s="1" t="s">
        <v>132</v>
      </c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11"/>
    </row>
    <row r="30" spans="1:15" ht="22" customHeight="1">
      <c r="A30" s="1"/>
      <c r="B30" s="1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11"/>
    </row>
    <row r="31" spans="1:15" ht="22" customHeight="1">
      <c r="A31" s="1"/>
      <c r="B31" s="1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11"/>
    </row>
    <row r="32" spans="1:15" ht="22" customHeight="1">
      <c r="A32" s="1"/>
      <c r="B32" s="1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11"/>
    </row>
    <row r="33" spans="1:15" ht="22" customHeight="1">
      <c r="A33" s="1"/>
      <c r="B33" s="1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11"/>
    </row>
    <row r="34" spans="1:15" ht="22" customHeight="1">
      <c r="A34" s="1"/>
      <c r="B34" s="1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11"/>
    </row>
    <row r="35" spans="1:15" ht="22" customHeight="1">
      <c r="A35" s="1"/>
      <c r="B35" s="1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11"/>
    </row>
    <row r="36" spans="1:15" ht="22" customHeight="1">
      <c r="A36" s="1"/>
      <c r="B36" s="1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11"/>
    </row>
    <row r="37" spans="1:15" ht="22" customHeight="1">
      <c r="A37" s="1"/>
      <c r="B37" s="1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11"/>
    </row>
    <row r="38" spans="1:15" ht="22" customHeight="1">
      <c r="A38" s="1"/>
      <c r="B38" s="1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11"/>
    </row>
    <row r="39" spans="1:15" ht="22" customHeight="1">
      <c r="A39" s="1"/>
      <c r="B39" s="1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11"/>
    </row>
    <row r="40" spans="1:15" ht="22" customHeight="1">
      <c r="A40" s="1"/>
      <c r="B40" s="1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11"/>
    </row>
    <row r="41" spans="1:15" ht="22" customHeight="1">
      <c r="A41" s="1"/>
      <c r="B41" s="1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11"/>
    </row>
    <row r="42" spans="1:15" ht="22" customHeight="1">
      <c r="A42" s="1"/>
      <c r="B42" s="1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11"/>
    </row>
    <row r="43" spans="1:15" ht="22" customHeight="1">
      <c r="A43" s="1"/>
      <c r="B43" s="1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11"/>
    </row>
    <row r="44" spans="1:15" ht="22" customHeight="1">
      <c r="A44" s="1"/>
      <c r="B44" s="1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11"/>
    </row>
    <row r="45" spans="1:15" ht="22" customHeight="1">
      <c r="A45" s="1"/>
      <c r="B45" s="1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11"/>
    </row>
    <row r="46" spans="1:15"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</row>
    <row r="47" spans="1:15"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</row>
    <row r="48" spans="1:15"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</row>
    <row r="49" spans="3:15"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</row>
    <row r="50" spans="3:15"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</row>
    <row r="51" spans="3:15"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</row>
    <row r="52" spans="3:15"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</row>
    <row r="53" spans="3:15"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</row>
    <row r="54" spans="3:15"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</row>
    <row r="55" spans="3:15"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8364A"/>
  </sheetPr>
  <dimension ref="A1:O55"/>
  <sheetViews>
    <sheetView showGridLines="0" workbookViewId="0">
      <pane ySplit="6" topLeftCell="A7" activePane="bottomLeft" state="frozen"/>
      <selection pane="bottomLeft"/>
    </sheetView>
  </sheetViews>
  <sheetFormatPr baseColWidth="10" defaultColWidth="8.83203125" defaultRowHeight="15"/>
  <cols>
    <col min="1" max="1" width="4" customWidth="1"/>
    <col min="2" max="2" width="43" customWidth="1"/>
    <col min="3" max="14" width="16" customWidth="1"/>
    <col min="15" max="15" width="18" customWidth="1"/>
  </cols>
  <sheetData>
    <row r="1" spans="1:15" ht="22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5" ht="22" customHeight="1">
      <c r="A2" s="1"/>
      <c r="B2" s="2" t="s">
        <v>133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5" ht="22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5" ht="22" customHeight="1">
      <c r="A4" s="1"/>
      <c r="B4" s="1" t="s">
        <v>52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5" ht="22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5" ht="26" customHeight="1">
      <c r="A6" s="1"/>
      <c r="B6" s="5" t="s">
        <v>53</v>
      </c>
      <c r="C6" s="31">
        <f>DATE(Configuración!$C$5,1,1)</f>
        <v>46023</v>
      </c>
      <c r="D6" s="31">
        <f>DATE(Configuración!$C$5,2,1)</f>
        <v>46054</v>
      </c>
      <c r="E6" s="31">
        <f>DATE(Configuración!$C$5,3,1)</f>
        <v>46082</v>
      </c>
      <c r="F6" s="31">
        <f>DATE(Configuración!$C$5,4,1)</f>
        <v>46113</v>
      </c>
      <c r="G6" s="31">
        <f>DATE(Configuración!$C$5,5,1)</f>
        <v>46143</v>
      </c>
      <c r="H6" s="31">
        <f>DATE(Configuración!$C$5,6,1)</f>
        <v>46174</v>
      </c>
      <c r="I6" s="31">
        <f>DATE(Configuración!$C$5,7,1)</f>
        <v>46204</v>
      </c>
      <c r="J6" s="31">
        <f>DATE(Configuración!$C$5,8,1)</f>
        <v>46235</v>
      </c>
      <c r="K6" s="31">
        <f>DATE(Configuración!$C$5,9,1)</f>
        <v>46266</v>
      </c>
      <c r="L6" s="31">
        <f>DATE(Configuración!$C$5,10,1)</f>
        <v>46296</v>
      </c>
      <c r="M6" s="31">
        <f>DATE(Configuración!$C$5,11,1)</f>
        <v>46327</v>
      </c>
      <c r="N6" s="31">
        <f>DATE(Configuración!$C$5,12,1)</f>
        <v>46357</v>
      </c>
      <c r="O6" s="10" t="s">
        <v>54</v>
      </c>
    </row>
    <row r="7" spans="1:15" ht="22" customHeight="1">
      <c r="A7" s="1"/>
      <c r="B7" s="1" t="s">
        <v>5</v>
      </c>
      <c r="C7" s="8">
        <f>'Estado de Resultados'!C14</f>
        <v>2200</v>
      </c>
      <c r="D7" s="8">
        <f>'Estado de Resultados'!D14</f>
        <v>0</v>
      </c>
      <c r="E7" s="8">
        <f>'Estado de Resultados'!E14</f>
        <v>0</v>
      </c>
      <c r="F7" s="8">
        <f>'Estado de Resultados'!F14</f>
        <v>0</v>
      </c>
      <c r="G7" s="8">
        <f>'Estado de Resultados'!G14</f>
        <v>0</v>
      </c>
      <c r="H7" s="8">
        <f>'Estado de Resultados'!H14</f>
        <v>0</v>
      </c>
      <c r="I7" s="8">
        <f>'Estado de Resultados'!I14</f>
        <v>0</v>
      </c>
      <c r="J7" s="8">
        <f>'Estado de Resultados'!J14</f>
        <v>0</v>
      </c>
      <c r="K7" s="8">
        <f>'Estado de Resultados'!K14</f>
        <v>0</v>
      </c>
      <c r="L7" s="8">
        <f>'Estado de Resultados'!L14</f>
        <v>0</v>
      </c>
      <c r="M7" s="8">
        <f>'Estado de Resultados'!M14</f>
        <v>0</v>
      </c>
      <c r="N7" s="8">
        <f>'Estado de Resultados'!N14</f>
        <v>0</v>
      </c>
      <c r="O7" s="11">
        <f>'Estado de Resultados'!O14</f>
        <v>2200</v>
      </c>
    </row>
    <row r="8" spans="1:15" ht="22" customHeight="1">
      <c r="A8" s="1"/>
      <c r="B8" s="1" t="s">
        <v>6</v>
      </c>
      <c r="C8" s="8">
        <f>'Estado de Resultados'!C33</f>
        <v>2200</v>
      </c>
      <c r="D8" s="8">
        <f>'Estado de Resultados'!D33</f>
        <v>0</v>
      </c>
      <c r="E8" s="8">
        <f>'Estado de Resultados'!E33</f>
        <v>0</v>
      </c>
      <c r="F8" s="8">
        <f>'Estado de Resultados'!F33</f>
        <v>0</v>
      </c>
      <c r="G8" s="8">
        <f>'Estado de Resultados'!G33</f>
        <v>0</v>
      </c>
      <c r="H8" s="8">
        <f>'Estado de Resultados'!H33</f>
        <v>0</v>
      </c>
      <c r="I8" s="8">
        <f>'Estado de Resultados'!I33</f>
        <v>0</v>
      </c>
      <c r="J8" s="8">
        <f>'Estado de Resultados'!J33</f>
        <v>0</v>
      </c>
      <c r="K8" s="8">
        <f>'Estado de Resultados'!K33</f>
        <v>0</v>
      </c>
      <c r="L8" s="8">
        <f>'Estado de Resultados'!L33</f>
        <v>0</v>
      </c>
      <c r="M8" s="8">
        <f>'Estado de Resultados'!M33</f>
        <v>0</v>
      </c>
      <c r="N8" s="8">
        <f>'Estado de Resultados'!N33</f>
        <v>0</v>
      </c>
      <c r="O8" s="11">
        <f>'Estado de Resultados'!O33</f>
        <v>2200</v>
      </c>
    </row>
    <row r="9" spans="1:15" ht="22" customHeight="1">
      <c r="A9" s="1"/>
      <c r="B9" s="1" t="s">
        <v>134</v>
      </c>
      <c r="C9" s="19">
        <f>IF(C7=0,"n.d.",'Estado de Resultados'!C17/C7)</f>
        <v>1</v>
      </c>
      <c r="D9" s="19" t="str">
        <f>IF(D7=0,"n.d.",'Estado de Resultados'!D17/D7)</f>
        <v>n.d.</v>
      </c>
      <c r="E9" s="19" t="str">
        <f>IF(E7=0,"n.d.",'Estado de Resultados'!E17/E7)</f>
        <v>n.d.</v>
      </c>
      <c r="F9" s="19" t="str">
        <f>IF(F7=0,"n.d.",'Estado de Resultados'!F17/F7)</f>
        <v>n.d.</v>
      </c>
      <c r="G9" s="19" t="str">
        <f>IF(G7=0,"n.d.",'Estado de Resultados'!G17/G7)</f>
        <v>n.d.</v>
      </c>
      <c r="H9" s="19" t="str">
        <f>IF(H7=0,"n.d.",'Estado de Resultados'!H17/H7)</f>
        <v>n.d.</v>
      </c>
      <c r="I9" s="19" t="str">
        <f>IF(I7=0,"n.d.",'Estado de Resultados'!I17/I7)</f>
        <v>n.d.</v>
      </c>
      <c r="J9" s="19" t="str">
        <f>IF(J7=0,"n.d.",'Estado de Resultados'!J17/J7)</f>
        <v>n.d.</v>
      </c>
      <c r="K9" s="19" t="str">
        <f>IF(K7=0,"n.d.",'Estado de Resultados'!K17/K7)</f>
        <v>n.d.</v>
      </c>
      <c r="L9" s="19" t="str">
        <f>IF(L7=0,"n.d.",'Estado de Resultados'!L17/L7)</f>
        <v>n.d.</v>
      </c>
      <c r="M9" s="19" t="str">
        <f>IF(M7=0,"n.d.",'Estado de Resultados'!M17/M7)</f>
        <v>n.d.</v>
      </c>
      <c r="N9" s="19" t="str">
        <f>IF(N7=0,"n.d.",'Estado de Resultados'!N17/N7)</f>
        <v>n.d.</v>
      </c>
      <c r="O9" s="20">
        <f>IF(O7=0,"n.d.",'Estado de Resultados'!O17/O7)</f>
        <v>1</v>
      </c>
    </row>
    <row r="10" spans="1:15" ht="22" customHeight="1">
      <c r="A10" s="1"/>
      <c r="B10" s="1" t="s">
        <v>135</v>
      </c>
      <c r="C10" s="19">
        <f>IF(C7=0,"n.d.",'Estado de Resultados'!C29/C7)</f>
        <v>1</v>
      </c>
      <c r="D10" s="19" t="str">
        <f>IF(D7=0,"n.d.",'Estado de Resultados'!D29/D7)</f>
        <v>n.d.</v>
      </c>
      <c r="E10" s="19" t="str">
        <f>IF(E7=0,"n.d.",'Estado de Resultados'!E29/E7)</f>
        <v>n.d.</v>
      </c>
      <c r="F10" s="19" t="str">
        <f>IF(F7=0,"n.d.",'Estado de Resultados'!F29/F7)</f>
        <v>n.d.</v>
      </c>
      <c r="G10" s="19" t="str">
        <f>IF(G7=0,"n.d.",'Estado de Resultados'!G29/G7)</f>
        <v>n.d.</v>
      </c>
      <c r="H10" s="19" t="str">
        <f>IF(H7=0,"n.d.",'Estado de Resultados'!H29/H7)</f>
        <v>n.d.</v>
      </c>
      <c r="I10" s="19" t="str">
        <f>IF(I7=0,"n.d.",'Estado de Resultados'!I29/I7)</f>
        <v>n.d.</v>
      </c>
      <c r="J10" s="19" t="str">
        <f>IF(J7=0,"n.d.",'Estado de Resultados'!J29/J7)</f>
        <v>n.d.</v>
      </c>
      <c r="K10" s="19" t="str">
        <f>IF(K7=0,"n.d.",'Estado de Resultados'!K29/K7)</f>
        <v>n.d.</v>
      </c>
      <c r="L10" s="19" t="str">
        <f>IF(L7=0,"n.d.",'Estado de Resultados'!L29/L7)</f>
        <v>n.d.</v>
      </c>
      <c r="M10" s="19" t="str">
        <f>IF(M7=0,"n.d.",'Estado de Resultados'!M29/M7)</f>
        <v>n.d.</v>
      </c>
      <c r="N10" s="19" t="str">
        <f>IF(N7=0,"n.d.",'Estado de Resultados'!N29/N7)</f>
        <v>n.d.</v>
      </c>
      <c r="O10" s="20">
        <f>IF(O7=0,"n.d.",'Estado de Resultados'!O29/O7)</f>
        <v>1</v>
      </c>
    </row>
    <row r="11" spans="1:15" ht="22" customHeight="1">
      <c r="A11" s="1"/>
      <c r="B11" s="1" t="s">
        <v>7</v>
      </c>
      <c r="C11" s="19">
        <f t="shared" ref="C11:O11" si="0">IF(C7=0,"n.d.",C8/C7)</f>
        <v>1</v>
      </c>
      <c r="D11" s="19" t="str">
        <f t="shared" si="0"/>
        <v>n.d.</v>
      </c>
      <c r="E11" s="19" t="str">
        <f t="shared" si="0"/>
        <v>n.d.</v>
      </c>
      <c r="F11" s="19" t="str">
        <f t="shared" si="0"/>
        <v>n.d.</v>
      </c>
      <c r="G11" s="19" t="str">
        <f t="shared" si="0"/>
        <v>n.d.</v>
      </c>
      <c r="H11" s="19" t="str">
        <f t="shared" si="0"/>
        <v>n.d.</v>
      </c>
      <c r="I11" s="19" t="str">
        <f t="shared" si="0"/>
        <v>n.d.</v>
      </c>
      <c r="J11" s="19" t="str">
        <f t="shared" si="0"/>
        <v>n.d.</v>
      </c>
      <c r="K11" s="19" t="str">
        <f t="shared" si="0"/>
        <v>n.d.</v>
      </c>
      <c r="L11" s="19" t="str">
        <f t="shared" si="0"/>
        <v>n.d.</v>
      </c>
      <c r="M11" s="19" t="str">
        <f t="shared" si="0"/>
        <v>n.d.</v>
      </c>
      <c r="N11" s="19" t="str">
        <f t="shared" si="0"/>
        <v>n.d.</v>
      </c>
      <c r="O11" s="20">
        <f t="shared" si="0"/>
        <v>1</v>
      </c>
    </row>
    <row r="12" spans="1:15" ht="22" customHeight="1">
      <c r="A12" s="1"/>
      <c r="B12" s="1" t="s">
        <v>136</v>
      </c>
      <c r="C12" s="21">
        <f>SUMIFS(Ingresos!$I$7:$I$2006,Ingresos!$B$7:$B$2006,"&gt;="&amp;C$6,Ingresos!$B$7:$B$2006,"&lt;"&amp;EDATE(C$6,1),Ingresos!$C$7:$C$2006,"Servicio")</f>
        <v>2</v>
      </c>
      <c r="D12" s="21">
        <f>SUMIFS(Ingresos!$I$7:$I$2006,Ingresos!$B$7:$B$2006,"&gt;="&amp;D$6,Ingresos!$B$7:$B$2006,"&lt;"&amp;EDATE(D$6,1),Ingresos!$C$7:$C$2006,"Servicio")</f>
        <v>0</v>
      </c>
      <c r="E12" s="21">
        <f>SUMIFS(Ingresos!$I$7:$I$2006,Ingresos!$B$7:$B$2006,"&gt;="&amp;E$6,Ingresos!$B$7:$B$2006,"&lt;"&amp;EDATE(E$6,1),Ingresos!$C$7:$C$2006,"Servicio")</f>
        <v>0</v>
      </c>
      <c r="F12" s="21">
        <f>SUMIFS(Ingresos!$I$7:$I$2006,Ingresos!$B$7:$B$2006,"&gt;="&amp;F$6,Ingresos!$B$7:$B$2006,"&lt;"&amp;EDATE(F$6,1),Ingresos!$C$7:$C$2006,"Servicio")</f>
        <v>0</v>
      </c>
      <c r="G12" s="21">
        <f>SUMIFS(Ingresos!$I$7:$I$2006,Ingresos!$B$7:$B$2006,"&gt;="&amp;G$6,Ingresos!$B$7:$B$2006,"&lt;"&amp;EDATE(G$6,1),Ingresos!$C$7:$C$2006,"Servicio")</f>
        <v>0</v>
      </c>
      <c r="H12" s="21">
        <f>SUMIFS(Ingresos!$I$7:$I$2006,Ingresos!$B$7:$B$2006,"&gt;="&amp;H$6,Ingresos!$B$7:$B$2006,"&lt;"&amp;EDATE(H$6,1),Ingresos!$C$7:$C$2006,"Servicio")</f>
        <v>0</v>
      </c>
      <c r="I12" s="21">
        <f>SUMIFS(Ingresos!$I$7:$I$2006,Ingresos!$B$7:$B$2006,"&gt;="&amp;I$6,Ingresos!$B$7:$B$2006,"&lt;"&amp;EDATE(I$6,1),Ingresos!$C$7:$C$2006,"Servicio")</f>
        <v>0</v>
      </c>
      <c r="J12" s="21">
        <f>SUMIFS(Ingresos!$I$7:$I$2006,Ingresos!$B$7:$B$2006,"&gt;="&amp;J$6,Ingresos!$B$7:$B$2006,"&lt;"&amp;EDATE(J$6,1),Ingresos!$C$7:$C$2006,"Servicio")</f>
        <v>0</v>
      </c>
      <c r="K12" s="21">
        <f>SUMIFS(Ingresos!$I$7:$I$2006,Ingresos!$B$7:$B$2006,"&gt;="&amp;K$6,Ingresos!$B$7:$B$2006,"&lt;"&amp;EDATE(K$6,1),Ingresos!$C$7:$C$2006,"Servicio")</f>
        <v>0</v>
      </c>
      <c r="L12" s="21">
        <f>SUMIFS(Ingresos!$I$7:$I$2006,Ingresos!$B$7:$B$2006,"&gt;="&amp;L$6,Ingresos!$B$7:$B$2006,"&lt;"&amp;EDATE(L$6,1),Ingresos!$C$7:$C$2006,"Servicio")</f>
        <v>0</v>
      </c>
      <c r="M12" s="21">
        <f>SUMIFS(Ingresos!$I$7:$I$2006,Ingresos!$B$7:$B$2006,"&gt;="&amp;M$6,Ingresos!$B$7:$B$2006,"&lt;"&amp;EDATE(M$6,1),Ingresos!$C$7:$C$2006,"Servicio")</f>
        <v>0</v>
      </c>
      <c r="N12" s="21">
        <f>SUMIFS(Ingresos!$I$7:$I$2006,Ingresos!$B$7:$B$2006,"&gt;="&amp;N$6,Ingresos!$B$7:$B$2006,"&lt;"&amp;EDATE(N$6,1),Ingresos!$C$7:$C$2006,"Servicio")</f>
        <v>0</v>
      </c>
      <c r="O12" s="22">
        <f>SUM(C12:N12)</f>
        <v>2</v>
      </c>
    </row>
    <row r="13" spans="1:15" ht="22" customHeight="1">
      <c r="A13" s="1"/>
      <c r="B13" s="1" t="s">
        <v>137</v>
      </c>
      <c r="C13" s="8">
        <f t="shared" ref="C13:O13" si="1">IF(C12=0,"n.d.",C7/C12)</f>
        <v>1100</v>
      </c>
      <c r="D13" s="8" t="str">
        <f t="shared" si="1"/>
        <v>n.d.</v>
      </c>
      <c r="E13" s="8" t="str">
        <f t="shared" si="1"/>
        <v>n.d.</v>
      </c>
      <c r="F13" s="8" t="str">
        <f t="shared" si="1"/>
        <v>n.d.</v>
      </c>
      <c r="G13" s="8" t="str">
        <f t="shared" si="1"/>
        <v>n.d.</v>
      </c>
      <c r="H13" s="8" t="str">
        <f t="shared" si="1"/>
        <v>n.d.</v>
      </c>
      <c r="I13" s="8" t="str">
        <f t="shared" si="1"/>
        <v>n.d.</v>
      </c>
      <c r="J13" s="8" t="str">
        <f t="shared" si="1"/>
        <v>n.d.</v>
      </c>
      <c r="K13" s="8" t="str">
        <f t="shared" si="1"/>
        <v>n.d.</v>
      </c>
      <c r="L13" s="8" t="str">
        <f t="shared" si="1"/>
        <v>n.d.</v>
      </c>
      <c r="M13" s="8" t="str">
        <f t="shared" si="1"/>
        <v>n.d.</v>
      </c>
      <c r="N13" s="8" t="str">
        <f t="shared" si="1"/>
        <v>n.d.</v>
      </c>
      <c r="O13" s="11">
        <f t="shared" si="1"/>
        <v>1100</v>
      </c>
    </row>
    <row r="14" spans="1:15" ht="22" customHeight="1">
      <c r="A14" s="1"/>
      <c r="B14" s="1" t="s">
        <v>8</v>
      </c>
      <c r="C14" s="8">
        <f>'Flujo de Efectivo'!C12</f>
        <v>2200</v>
      </c>
      <c r="D14" s="8">
        <f>'Flujo de Efectivo'!D12</f>
        <v>0</v>
      </c>
      <c r="E14" s="8">
        <f>'Flujo de Efectivo'!E12</f>
        <v>0</v>
      </c>
      <c r="F14" s="8">
        <f>'Flujo de Efectivo'!F12</f>
        <v>0</v>
      </c>
      <c r="G14" s="8">
        <f>'Flujo de Efectivo'!G12</f>
        <v>0</v>
      </c>
      <c r="H14" s="8">
        <f>'Flujo de Efectivo'!H12</f>
        <v>0</v>
      </c>
      <c r="I14" s="8">
        <f>'Flujo de Efectivo'!I12</f>
        <v>0</v>
      </c>
      <c r="J14" s="8">
        <f>'Flujo de Efectivo'!J12</f>
        <v>0</v>
      </c>
      <c r="K14" s="8">
        <f>'Flujo de Efectivo'!K12</f>
        <v>0</v>
      </c>
      <c r="L14" s="8">
        <f>'Flujo de Efectivo'!L12</f>
        <v>0</v>
      </c>
      <c r="M14" s="8">
        <f>'Flujo de Efectivo'!M12</f>
        <v>0</v>
      </c>
      <c r="N14" s="8">
        <f>'Flujo de Efectivo'!N12</f>
        <v>0</v>
      </c>
      <c r="O14" s="11">
        <f>'Flujo de Efectivo'!O12</f>
        <v>2200</v>
      </c>
    </row>
    <row r="15" spans="1:15" ht="22" customHeight="1">
      <c r="A15" s="1"/>
      <c r="B15" s="1" t="s">
        <v>9</v>
      </c>
      <c r="C15" s="8">
        <f>'Balance General'!C7</f>
        <v>2200</v>
      </c>
      <c r="D15" s="8">
        <f>'Balance General'!D7</f>
        <v>2200</v>
      </c>
      <c r="E15" s="8">
        <f>'Balance General'!E7</f>
        <v>2200</v>
      </c>
      <c r="F15" s="8">
        <f>'Balance General'!F7</f>
        <v>2200</v>
      </c>
      <c r="G15" s="8">
        <f>'Balance General'!G7</f>
        <v>2200</v>
      </c>
      <c r="H15" s="8">
        <f>'Balance General'!H7</f>
        <v>2200</v>
      </c>
      <c r="I15" s="8">
        <f>'Balance General'!I7</f>
        <v>2200</v>
      </c>
      <c r="J15" s="8">
        <f>'Balance General'!J7</f>
        <v>2200</v>
      </c>
      <c r="K15" s="8">
        <f>'Balance General'!K7</f>
        <v>2200</v>
      </c>
      <c r="L15" s="8">
        <f>'Balance General'!L7</f>
        <v>2200</v>
      </c>
      <c r="M15" s="8">
        <f>'Balance General'!M7</f>
        <v>2200</v>
      </c>
      <c r="N15" s="8">
        <f>'Balance General'!N7</f>
        <v>2200</v>
      </c>
      <c r="O15" s="11">
        <f>'Balance General'!N7</f>
        <v>2200</v>
      </c>
    </row>
    <row r="16" spans="1:15" ht="22" customHeight="1">
      <c r="A16" s="1"/>
      <c r="B16" s="1" t="s">
        <v>138</v>
      </c>
      <c r="C16" s="8">
        <f>'Balance General'!C12-'Balance General'!C24</f>
        <v>2200</v>
      </c>
      <c r="D16" s="8">
        <f>'Balance General'!D12-'Balance General'!D24</f>
        <v>2200</v>
      </c>
      <c r="E16" s="8">
        <f>'Balance General'!E12-'Balance General'!E24</f>
        <v>2200</v>
      </c>
      <c r="F16" s="8">
        <f>'Balance General'!F12-'Balance General'!F24</f>
        <v>2200</v>
      </c>
      <c r="G16" s="8">
        <f>'Balance General'!G12-'Balance General'!G24</f>
        <v>2200</v>
      </c>
      <c r="H16" s="8">
        <f>'Balance General'!H12-'Balance General'!H24</f>
        <v>2200</v>
      </c>
      <c r="I16" s="8">
        <f>'Balance General'!I12-'Balance General'!I24</f>
        <v>2200</v>
      </c>
      <c r="J16" s="8">
        <f>'Balance General'!J12-'Balance General'!J24</f>
        <v>2200</v>
      </c>
      <c r="K16" s="8">
        <f>'Balance General'!K12-'Balance General'!K24</f>
        <v>2200</v>
      </c>
      <c r="L16" s="8">
        <f>'Balance General'!L12-'Balance General'!L24</f>
        <v>2200</v>
      </c>
      <c r="M16" s="8">
        <f>'Balance General'!M12-'Balance General'!M24</f>
        <v>2200</v>
      </c>
      <c r="N16" s="8">
        <f>'Balance General'!N12-'Balance General'!N24</f>
        <v>2200</v>
      </c>
      <c r="O16" s="11">
        <f>'Balance General'!N12-'Balance General'!N24</f>
        <v>2200</v>
      </c>
    </row>
    <row r="17" spans="1:15" ht="22" customHeight="1">
      <c r="A17" s="1"/>
      <c r="B17" s="1" t="s">
        <v>139</v>
      </c>
      <c r="C17" s="23" t="str">
        <f>IF('Balance General'!C24=0,"n.d.",'Balance General'!C12/'Balance General'!C24)</f>
        <v>n.d.</v>
      </c>
      <c r="D17" s="23" t="str">
        <f>IF('Balance General'!D24=0,"n.d.",'Balance General'!D12/'Balance General'!D24)</f>
        <v>n.d.</v>
      </c>
      <c r="E17" s="23" t="str">
        <f>IF('Balance General'!E24=0,"n.d.",'Balance General'!E12/'Balance General'!E24)</f>
        <v>n.d.</v>
      </c>
      <c r="F17" s="23" t="str">
        <f>IF('Balance General'!F24=0,"n.d.",'Balance General'!F12/'Balance General'!F24)</f>
        <v>n.d.</v>
      </c>
      <c r="G17" s="23" t="str">
        <f>IF('Balance General'!G24=0,"n.d.",'Balance General'!G12/'Balance General'!G24)</f>
        <v>n.d.</v>
      </c>
      <c r="H17" s="23" t="str">
        <f>IF('Balance General'!H24=0,"n.d.",'Balance General'!H12/'Balance General'!H24)</f>
        <v>n.d.</v>
      </c>
      <c r="I17" s="23" t="str">
        <f>IF('Balance General'!I24=0,"n.d.",'Balance General'!I12/'Balance General'!I24)</f>
        <v>n.d.</v>
      </c>
      <c r="J17" s="23" t="str">
        <f>IF('Balance General'!J24=0,"n.d.",'Balance General'!J12/'Balance General'!J24)</f>
        <v>n.d.</v>
      </c>
      <c r="K17" s="23" t="str">
        <f>IF('Balance General'!K24=0,"n.d.",'Balance General'!K12/'Balance General'!K24)</f>
        <v>n.d.</v>
      </c>
      <c r="L17" s="23" t="str">
        <f>IF('Balance General'!L24=0,"n.d.",'Balance General'!L12/'Balance General'!L24)</f>
        <v>n.d.</v>
      </c>
      <c r="M17" s="23" t="str">
        <f>IF('Balance General'!M24=0,"n.d.",'Balance General'!M12/'Balance General'!M24)</f>
        <v>n.d.</v>
      </c>
      <c r="N17" s="23" t="str">
        <f>IF('Balance General'!N24=0,"n.d.",'Balance General'!N12/'Balance General'!N24)</f>
        <v>n.d.</v>
      </c>
      <c r="O17" s="24" t="str">
        <f>IF('Balance General'!N24=0,"n.d.",'Balance General'!N12/'Balance General'!N24)</f>
        <v>n.d.</v>
      </c>
    </row>
    <row r="18" spans="1:15" ht="22" customHeight="1">
      <c r="A18" s="1"/>
      <c r="B18" s="1" t="s">
        <v>13</v>
      </c>
      <c r="C18" s="8">
        <f>'Balance General'!C23+'Balance General'!C25</f>
        <v>0</v>
      </c>
      <c r="D18" s="8">
        <f>'Balance General'!D23+'Balance General'!D25</f>
        <v>0</v>
      </c>
      <c r="E18" s="8">
        <f>'Balance General'!E23+'Balance General'!E25</f>
        <v>0</v>
      </c>
      <c r="F18" s="8">
        <f>'Balance General'!F23+'Balance General'!F25</f>
        <v>0</v>
      </c>
      <c r="G18" s="8">
        <f>'Balance General'!G23+'Balance General'!G25</f>
        <v>0</v>
      </c>
      <c r="H18" s="8">
        <f>'Balance General'!H23+'Balance General'!H25</f>
        <v>0</v>
      </c>
      <c r="I18" s="8">
        <f>'Balance General'!I23+'Balance General'!I25</f>
        <v>0</v>
      </c>
      <c r="J18" s="8">
        <f>'Balance General'!J23+'Balance General'!J25</f>
        <v>0</v>
      </c>
      <c r="K18" s="8">
        <f>'Balance General'!K23+'Balance General'!K25</f>
        <v>0</v>
      </c>
      <c r="L18" s="8">
        <f>'Balance General'!L23+'Balance General'!L25</f>
        <v>0</v>
      </c>
      <c r="M18" s="8">
        <f>'Balance General'!M23+'Balance General'!M25</f>
        <v>0</v>
      </c>
      <c r="N18" s="8">
        <f>'Balance General'!N23+'Balance General'!N25</f>
        <v>0</v>
      </c>
      <c r="O18" s="11">
        <f>'Balance General'!N23+'Balance General'!N25</f>
        <v>0</v>
      </c>
    </row>
    <row r="19" spans="1:15" ht="22" customHeight="1">
      <c r="A19" s="1"/>
      <c r="B19" s="1" t="s">
        <v>10</v>
      </c>
      <c r="C19" s="8">
        <f>'Flujo de Efectivo'!C20</f>
        <v>0</v>
      </c>
      <c r="D19" s="8">
        <f>'Flujo de Efectivo'!D20</f>
        <v>0</v>
      </c>
      <c r="E19" s="8">
        <f>'Flujo de Efectivo'!E20</f>
        <v>0</v>
      </c>
      <c r="F19" s="8">
        <f>'Flujo de Efectivo'!F20</f>
        <v>0</v>
      </c>
      <c r="G19" s="8">
        <f>'Flujo de Efectivo'!G20</f>
        <v>0</v>
      </c>
      <c r="H19" s="8">
        <f>'Flujo de Efectivo'!H20</f>
        <v>0</v>
      </c>
      <c r="I19" s="8">
        <f>'Flujo de Efectivo'!I20</f>
        <v>0</v>
      </c>
      <c r="J19" s="8">
        <f>'Flujo de Efectivo'!J20</f>
        <v>0</v>
      </c>
      <c r="K19" s="8">
        <f>'Flujo de Efectivo'!K20</f>
        <v>0</v>
      </c>
      <c r="L19" s="8">
        <f>'Flujo de Efectivo'!L20</f>
        <v>0</v>
      </c>
      <c r="M19" s="8">
        <f>'Flujo de Efectivo'!M20</f>
        <v>0</v>
      </c>
      <c r="N19" s="8">
        <f>'Flujo de Efectivo'!N20</f>
        <v>0</v>
      </c>
      <c r="O19" s="11">
        <f>'Flujo de Efectivo'!O20</f>
        <v>0</v>
      </c>
    </row>
    <row r="20" spans="1:15" ht="22" customHeight="1">
      <c r="A20" s="1"/>
      <c r="B20" s="1" t="s">
        <v>11</v>
      </c>
      <c r="C20" s="8">
        <f>'Flujo de Efectivo'!C27</f>
        <v>0</v>
      </c>
      <c r="D20" s="8">
        <f>'Flujo de Efectivo'!D27</f>
        <v>0</v>
      </c>
      <c r="E20" s="8">
        <f>'Flujo de Efectivo'!E27</f>
        <v>0</v>
      </c>
      <c r="F20" s="8">
        <f>'Flujo de Efectivo'!F27</f>
        <v>0</v>
      </c>
      <c r="G20" s="8">
        <f>'Flujo de Efectivo'!G27</f>
        <v>0</v>
      </c>
      <c r="H20" s="8">
        <f>'Flujo de Efectivo'!H27</f>
        <v>0</v>
      </c>
      <c r="I20" s="8">
        <f>'Flujo de Efectivo'!I27</f>
        <v>0</v>
      </c>
      <c r="J20" s="8">
        <f>'Flujo de Efectivo'!J27</f>
        <v>0</v>
      </c>
      <c r="K20" s="8">
        <f>'Flujo de Efectivo'!K27</f>
        <v>0</v>
      </c>
      <c r="L20" s="8">
        <f>'Flujo de Efectivo'!L27</f>
        <v>0</v>
      </c>
      <c r="M20" s="8">
        <f>'Flujo de Efectivo'!M27</f>
        <v>0</v>
      </c>
      <c r="N20" s="8">
        <f>'Flujo de Efectivo'!N27</f>
        <v>0</v>
      </c>
      <c r="O20" s="11">
        <f>'Flujo de Efectivo'!O27</f>
        <v>0</v>
      </c>
    </row>
    <row r="21" spans="1:15" ht="22" customHeight="1">
      <c r="A21" s="1"/>
      <c r="B21" s="1" t="s">
        <v>12</v>
      </c>
      <c r="C21" s="8">
        <f t="shared" ref="C21:O21" si="2">SUM(C19:C20)</f>
        <v>0</v>
      </c>
      <c r="D21" s="8">
        <f t="shared" si="2"/>
        <v>0</v>
      </c>
      <c r="E21" s="8">
        <f t="shared" si="2"/>
        <v>0</v>
      </c>
      <c r="F21" s="8">
        <f t="shared" si="2"/>
        <v>0</v>
      </c>
      <c r="G21" s="8">
        <f t="shared" si="2"/>
        <v>0</v>
      </c>
      <c r="H21" s="8">
        <f t="shared" si="2"/>
        <v>0</v>
      </c>
      <c r="I21" s="8">
        <f t="shared" si="2"/>
        <v>0</v>
      </c>
      <c r="J21" s="8">
        <f t="shared" si="2"/>
        <v>0</v>
      </c>
      <c r="K21" s="8">
        <f t="shared" si="2"/>
        <v>0</v>
      </c>
      <c r="L21" s="8">
        <f t="shared" si="2"/>
        <v>0</v>
      </c>
      <c r="M21" s="8">
        <f t="shared" si="2"/>
        <v>0</v>
      </c>
      <c r="N21" s="8">
        <f t="shared" si="2"/>
        <v>0</v>
      </c>
      <c r="O21" s="11">
        <f t="shared" si="2"/>
        <v>0</v>
      </c>
    </row>
    <row r="22" spans="1:15" ht="22" customHeight="1">
      <c r="A22" s="1"/>
      <c r="B22" s="1" t="s">
        <v>140</v>
      </c>
      <c r="C22" s="19">
        <f t="shared" ref="C22:O22" si="3">IF(C8&lt;=0,"n.d.",C19/C8)</f>
        <v>0</v>
      </c>
      <c r="D22" s="19" t="str">
        <f t="shared" si="3"/>
        <v>n.d.</v>
      </c>
      <c r="E22" s="19" t="str">
        <f t="shared" si="3"/>
        <v>n.d.</v>
      </c>
      <c r="F22" s="19" t="str">
        <f t="shared" si="3"/>
        <v>n.d.</v>
      </c>
      <c r="G22" s="19" t="str">
        <f t="shared" si="3"/>
        <v>n.d.</v>
      </c>
      <c r="H22" s="19" t="str">
        <f t="shared" si="3"/>
        <v>n.d.</v>
      </c>
      <c r="I22" s="19" t="str">
        <f t="shared" si="3"/>
        <v>n.d.</v>
      </c>
      <c r="J22" s="19" t="str">
        <f t="shared" si="3"/>
        <v>n.d.</v>
      </c>
      <c r="K22" s="19" t="str">
        <f t="shared" si="3"/>
        <v>n.d.</v>
      </c>
      <c r="L22" s="19" t="str">
        <f t="shared" si="3"/>
        <v>n.d.</v>
      </c>
      <c r="M22" s="19" t="str">
        <f t="shared" si="3"/>
        <v>n.d.</v>
      </c>
      <c r="N22" s="19" t="str">
        <f t="shared" si="3"/>
        <v>n.d.</v>
      </c>
      <c r="O22" s="20">
        <f t="shared" si="3"/>
        <v>0</v>
      </c>
    </row>
    <row r="23" spans="1:15" ht="22" customHeight="1">
      <c r="A23" s="1"/>
      <c r="B23" s="1" t="s">
        <v>141</v>
      </c>
      <c r="C23" s="8">
        <f>'Balance General'!C8</f>
        <v>0</v>
      </c>
      <c r="D23" s="8">
        <f>'Balance General'!D8</f>
        <v>0</v>
      </c>
      <c r="E23" s="8">
        <f>'Balance General'!E8</f>
        <v>0</v>
      </c>
      <c r="F23" s="8">
        <f>'Balance General'!F8</f>
        <v>0</v>
      </c>
      <c r="G23" s="8">
        <f>'Balance General'!G8</f>
        <v>0</v>
      </c>
      <c r="H23" s="8">
        <f>'Balance General'!H8</f>
        <v>0</v>
      </c>
      <c r="I23" s="8">
        <f>'Balance General'!I8</f>
        <v>0</v>
      </c>
      <c r="J23" s="8">
        <f>'Balance General'!J8</f>
        <v>0</v>
      </c>
      <c r="K23" s="8">
        <f>'Balance General'!K8</f>
        <v>0</v>
      </c>
      <c r="L23" s="8">
        <f>'Balance General'!L8</f>
        <v>0</v>
      </c>
      <c r="M23" s="8">
        <f>'Balance General'!M8</f>
        <v>0</v>
      </c>
      <c r="N23" s="8">
        <f>'Balance General'!N8</f>
        <v>0</v>
      </c>
      <c r="O23" s="11">
        <f>'Balance General'!N8</f>
        <v>0</v>
      </c>
    </row>
    <row r="24" spans="1:15" ht="22" customHeight="1">
      <c r="A24" s="1"/>
      <c r="B24" s="1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11"/>
    </row>
    <row r="25" spans="1:15" ht="22" customHeight="1">
      <c r="A25" s="1"/>
      <c r="B25" s="1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11"/>
    </row>
    <row r="26" spans="1:15" ht="22" customHeight="1">
      <c r="A26" s="1"/>
      <c r="B26" s="1" t="s">
        <v>142</v>
      </c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11"/>
    </row>
    <row r="27" spans="1:15" ht="22" customHeight="1">
      <c r="A27" s="1"/>
      <c r="B27" s="1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11"/>
    </row>
    <row r="28" spans="1:15" ht="22" customHeight="1">
      <c r="A28" s="1"/>
      <c r="B28" s="1" t="s">
        <v>143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11"/>
    </row>
    <row r="29" spans="1:15" ht="22" customHeight="1">
      <c r="A29" s="1"/>
      <c r="B29" s="1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11"/>
    </row>
    <row r="30" spans="1:15" ht="22" customHeight="1">
      <c r="A30" s="1"/>
      <c r="B30" s="1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11"/>
    </row>
    <row r="31" spans="1:15" ht="22" customHeight="1">
      <c r="A31" s="1"/>
      <c r="B31" s="1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11"/>
    </row>
    <row r="32" spans="1:15" ht="22" customHeight="1">
      <c r="A32" s="1"/>
      <c r="B32" s="1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11"/>
    </row>
    <row r="33" spans="1:15" ht="22" customHeight="1">
      <c r="A33" s="1"/>
      <c r="B33" s="1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11"/>
    </row>
    <row r="34" spans="1:15" ht="22" customHeight="1">
      <c r="A34" s="1"/>
      <c r="B34" s="1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11"/>
    </row>
    <row r="35" spans="1:15" ht="22" customHeight="1">
      <c r="A35" s="1"/>
      <c r="B35" s="1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11"/>
    </row>
    <row r="36" spans="1:15" ht="22" customHeight="1">
      <c r="A36" s="1"/>
      <c r="B36" s="1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11"/>
    </row>
    <row r="37" spans="1:15" ht="22" customHeight="1">
      <c r="A37" s="1"/>
      <c r="B37" s="1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11"/>
    </row>
    <row r="38" spans="1:15" ht="22" customHeight="1">
      <c r="A38" s="1"/>
      <c r="B38" s="1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11"/>
    </row>
    <row r="39" spans="1:15" ht="22" customHeight="1">
      <c r="A39" s="1"/>
      <c r="B39" s="1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11"/>
    </row>
    <row r="40" spans="1:15" ht="22" customHeight="1">
      <c r="A40" s="1"/>
      <c r="B40" s="1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11"/>
    </row>
    <row r="41" spans="1:15" ht="22" customHeight="1">
      <c r="A41" s="1"/>
      <c r="B41" s="1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11"/>
    </row>
    <row r="42" spans="1:15" ht="22" customHeight="1">
      <c r="A42" s="1"/>
      <c r="B42" s="1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11"/>
    </row>
    <row r="43" spans="1:15" ht="22" customHeight="1">
      <c r="A43" s="1"/>
      <c r="B43" s="1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11"/>
    </row>
    <row r="44" spans="1:15" ht="22" customHeight="1">
      <c r="A44" s="1"/>
      <c r="B44" s="1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11"/>
    </row>
    <row r="45" spans="1:15" ht="22" customHeight="1">
      <c r="A45" s="1"/>
      <c r="B45" s="1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11"/>
    </row>
    <row r="46" spans="1:15"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</row>
    <row r="47" spans="1:15"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</row>
    <row r="48" spans="1:15"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</row>
    <row r="49" spans="3:15"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</row>
    <row r="50" spans="3:15"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</row>
    <row r="51" spans="3:15"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</row>
    <row r="52" spans="3:15"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</row>
    <row r="53" spans="3:15"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</row>
    <row r="54" spans="3:15"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</row>
    <row r="55" spans="3:15"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C7B78F"/>
  </sheetPr>
  <dimension ref="A1:L2006"/>
  <sheetViews>
    <sheetView showGridLines="0" zoomScale="125" workbookViewId="0">
      <pane ySplit="6" topLeftCell="A7" activePane="bottomLeft" state="frozen"/>
      <selection pane="bottomLeft" activeCell="A7" sqref="A7:L10"/>
    </sheetView>
  </sheetViews>
  <sheetFormatPr baseColWidth="10" defaultColWidth="8.83203125" defaultRowHeight="15"/>
  <cols>
    <col min="1" max="1" width="19" customWidth="1"/>
    <col min="2" max="2" width="14" customWidth="1"/>
    <col min="3" max="3" width="25" customWidth="1"/>
    <col min="4" max="6" width="23" customWidth="1"/>
    <col min="7" max="7" width="19" customWidth="1"/>
    <col min="8" max="9" width="18" customWidth="1"/>
    <col min="10" max="10" width="30" customWidth="1"/>
    <col min="11" max="11" width="19" customWidth="1"/>
    <col min="12" max="12" width="30" customWidth="1"/>
    <col min="13" max="14" width="16" customWidth="1"/>
  </cols>
  <sheetData>
    <row r="1" spans="1:12" ht="22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22" customHeight="1">
      <c r="A2" s="2" t="s">
        <v>17</v>
      </c>
      <c r="B2" s="2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22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22" customHeight="1">
      <c r="A4" s="1" t="s">
        <v>144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22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ht="40" customHeight="1">
      <c r="A6" s="6" t="s">
        <v>145</v>
      </c>
      <c r="B6" s="6" t="s">
        <v>146</v>
      </c>
      <c r="C6" s="6" t="s">
        <v>147</v>
      </c>
      <c r="D6" s="6" t="s">
        <v>148</v>
      </c>
      <c r="E6" s="6" t="s">
        <v>149</v>
      </c>
      <c r="F6" s="6" t="s">
        <v>150</v>
      </c>
      <c r="G6" s="6" t="s">
        <v>151</v>
      </c>
      <c r="H6" s="6" t="s">
        <v>152</v>
      </c>
      <c r="I6" s="6" t="s">
        <v>136</v>
      </c>
      <c r="J6" s="6" t="s">
        <v>153</v>
      </c>
      <c r="K6" s="6" t="s">
        <v>154</v>
      </c>
      <c r="L6" s="6" t="s">
        <v>155</v>
      </c>
    </row>
    <row r="7" spans="1:12" ht="22" customHeight="1">
      <c r="A7" s="33" t="s">
        <v>279</v>
      </c>
      <c r="B7" s="7">
        <v>46023</v>
      </c>
      <c r="C7" s="3" t="s">
        <v>150</v>
      </c>
      <c r="D7" s="33" t="s">
        <v>276</v>
      </c>
      <c r="E7" s="33" t="s">
        <v>277</v>
      </c>
      <c r="F7" s="3" t="s">
        <v>55</v>
      </c>
      <c r="G7" s="4">
        <v>1100</v>
      </c>
      <c r="H7" s="4">
        <v>0</v>
      </c>
      <c r="I7" s="3">
        <v>1</v>
      </c>
      <c r="J7" s="33" t="s">
        <v>278</v>
      </c>
      <c r="K7" s="8">
        <f t="shared" ref="K7:K70" si="0">IF(A7="","",G7+H7)</f>
        <v>1100</v>
      </c>
      <c r="L7" s="1" t="str">
        <f>IF(COUNTA(A7:J7)=0,"",IF(OR(AND(C7&lt;&gt;"Servicio",C7&lt;&gt;"Cobro",C7&lt;&gt;"Anticipo",C7&lt;&gt;"Aplicación anticipo",C7&lt;&gt;"Retención ISR",C7&lt;&gt;"Retención IVA"),AND(C7="Servicio",F7&lt;&gt;"TMS",F7&lt;&gt;"Valoración",F7&lt;&gt;"EEG",F7&lt;&gt;"Neurofeedback",F7&lt;&gt;"Fotobiomodulación",F7&lt;&gt;"Psicoterapia",F7&lt;&gt;"Otros")),"Tipo o categoría inválido",IF(COUNTA(A7:J7)=0,"",IF(OR(A7="",B7="",C7="",G7=""),"Faltan datos",IF(COUNTIF($A$7:$A$2006,A7)&gt;1,"ID duplicado",IF(OR(B7&lt;DATE(Configuración!$C$5,1,1),B7&gt;=DATE(Configuración!$C$5+1,1,1)),"Fecha fuera del año",IF(OR(G7&lt;0,H7&lt;0),"Revisar signo",IF(AND(C7&lt;&gt;"Servicio",H7&lt;&gt;0),"IVA solo en Servicio",IF(AND(C7="Servicio",F7=""),"Falta servicio","OK")))))))))</f>
        <v>OK</v>
      </c>
    </row>
    <row r="8" spans="1:12" ht="22" customHeight="1">
      <c r="A8" s="33" t="s">
        <v>280</v>
      </c>
      <c r="B8" s="7">
        <v>46023</v>
      </c>
      <c r="C8" s="3" t="s">
        <v>281</v>
      </c>
      <c r="D8" s="33" t="s">
        <v>276</v>
      </c>
      <c r="E8" s="33" t="s">
        <v>277</v>
      </c>
      <c r="F8" s="3" t="s">
        <v>55</v>
      </c>
      <c r="G8" s="4">
        <v>1100</v>
      </c>
      <c r="H8" s="4">
        <v>0</v>
      </c>
      <c r="I8" s="3">
        <v>0</v>
      </c>
      <c r="J8" s="3"/>
      <c r="K8" s="8">
        <f t="shared" si="0"/>
        <v>1100</v>
      </c>
      <c r="L8" s="1" t="str">
        <f>IF(COUNTA(A8:J8)=0,"",IF(OR(AND(C8&lt;&gt;"Servicio",C8&lt;&gt;"Cobro",C8&lt;&gt;"Anticipo",C8&lt;&gt;"Aplicación anticipo",C8&lt;&gt;"Retención ISR",C8&lt;&gt;"Retención IVA"),AND(C8="Servicio",F8&lt;&gt;"TMS",F8&lt;&gt;"Valoración",F8&lt;&gt;"EEG",F8&lt;&gt;"Neurofeedback",F8&lt;&gt;"Fotobiomodulación",F8&lt;&gt;"Psicoterapia",F8&lt;&gt;"Otros")),"Tipo o categoría inválido",IF(COUNTA(A8:J8)=0,"",IF(OR(A8="",B8="",C8="",G8=""),"Faltan datos",IF(COUNTIF($A$7:$A$2006,A8)&gt;1,"ID duplicado",IF(OR(B8&lt;DATE(Configuración!$C$5,1,1),B8&gt;=DATE(Configuración!$C$5+1,1,1)),"Fecha fuera del año",IF(OR(G8&lt;0,H8&lt;0),"Revisar signo",IF(AND(C8&lt;&gt;"Servicio",H8&lt;&gt;0),"IVA solo en Servicio",IF(AND(C8="Servicio",F8=""),"Falta servicio","OK")))))))))</f>
        <v>OK</v>
      </c>
    </row>
    <row r="9" spans="1:12" ht="22" customHeight="1">
      <c r="A9" s="33" t="s">
        <v>282</v>
      </c>
      <c r="B9" s="7">
        <v>46024</v>
      </c>
      <c r="C9" s="3" t="s">
        <v>150</v>
      </c>
      <c r="D9" s="33" t="s">
        <v>283</v>
      </c>
      <c r="E9" s="33" t="s">
        <v>284</v>
      </c>
      <c r="F9" s="3" t="s">
        <v>55</v>
      </c>
      <c r="G9" s="4">
        <v>1100</v>
      </c>
      <c r="H9" s="4">
        <v>0</v>
      </c>
      <c r="I9" s="3">
        <v>1</v>
      </c>
      <c r="J9" s="3"/>
      <c r="K9" s="8">
        <f t="shared" si="0"/>
        <v>1100</v>
      </c>
      <c r="L9" s="1" t="str">
        <f>IF(COUNTA(A9:J9)=0,"",IF(OR(AND(C9&lt;&gt;"Servicio",C9&lt;&gt;"Cobro",C9&lt;&gt;"Anticipo",C9&lt;&gt;"Aplicación anticipo",C9&lt;&gt;"Retención ISR",C9&lt;&gt;"Retención IVA"),AND(C9="Servicio",F9&lt;&gt;"TMS",F9&lt;&gt;"Valoración",F9&lt;&gt;"EEG",F9&lt;&gt;"Neurofeedback",F9&lt;&gt;"Fotobiomodulación",F9&lt;&gt;"Psicoterapia",F9&lt;&gt;"Otros")),"Tipo o categoría inválido",IF(COUNTA(A9:J9)=0,"",IF(OR(A9="",B9="",C9="",G9=""),"Faltan datos",IF(COUNTIF($A$7:$A$2006,A9)&gt;1,"ID duplicado",IF(OR(B9&lt;DATE(Configuración!$C$5,1,1),B9&gt;=DATE(Configuración!$C$5+1,1,1)),"Fecha fuera del año",IF(OR(G9&lt;0,H9&lt;0),"Revisar signo",IF(AND(C9&lt;&gt;"Servicio",H9&lt;&gt;0),"IVA solo en Servicio",IF(AND(C9="Servicio",F9=""),"Falta servicio","OK")))))))))</f>
        <v>OK</v>
      </c>
    </row>
    <row r="10" spans="1:12" ht="22" customHeight="1">
      <c r="A10" s="33" t="s">
        <v>285</v>
      </c>
      <c r="B10" s="7">
        <v>46024</v>
      </c>
      <c r="C10" s="3" t="s">
        <v>281</v>
      </c>
      <c r="D10" s="33" t="s">
        <v>286</v>
      </c>
      <c r="E10" s="33" t="s">
        <v>284</v>
      </c>
      <c r="F10" s="3" t="s">
        <v>55</v>
      </c>
      <c r="G10" s="4">
        <v>1100</v>
      </c>
      <c r="H10" s="4">
        <v>0</v>
      </c>
      <c r="I10" s="3">
        <v>0</v>
      </c>
      <c r="J10" s="3"/>
      <c r="K10" s="8">
        <f t="shared" si="0"/>
        <v>1100</v>
      </c>
      <c r="L10" s="1" t="str">
        <f>IF(COUNTA(A10:J10)=0,"",IF(OR(AND(C10&lt;&gt;"Servicio",C10&lt;&gt;"Cobro",C10&lt;&gt;"Anticipo",C10&lt;&gt;"Aplicación anticipo",C10&lt;&gt;"Retención ISR",C10&lt;&gt;"Retención IVA"),AND(C10="Servicio",F10&lt;&gt;"TMS",F10&lt;&gt;"Valoración",F10&lt;&gt;"EEG",F10&lt;&gt;"Neurofeedback",F10&lt;&gt;"Fotobiomodulación",F10&lt;&gt;"Psicoterapia",F10&lt;&gt;"Otros")),"Tipo o categoría inválido",IF(COUNTA(A10:J10)=0,"",IF(OR(A10="",B10="",C10="",G10=""),"Faltan datos",IF(COUNTIF($A$7:$A$2006,A10)&gt;1,"ID duplicado",IF(OR(B10&lt;DATE(Configuración!$C$5,1,1),B10&gt;=DATE(Configuración!$C$5+1,1,1)),"Fecha fuera del año",IF(OR(G10&lt;0,H10&lt;0),"Revisar signo",IF(AND(C10&lt;&gt;"Servicio",H10&lt;&gt;0),"IVA solo en Servicio",IF(AND(C10="Servicio",F10=""),"Falta servicio","OK")))))))))</f>
        <v>OK</v>
      </c>
    </row>
    <row r="11" spans="1:12" ht="22" customHeight="1">
      <c r="A11" s="3"/>
      <c r="B11" s="7"/>
      <c r="C11" s="3"/>
      <c r="D11" s="3"/>
      <c r="E11" s="3"/>
      <c r="F11" s="3"/>
      <c r="G11" s="4"/>
      <c r="H11" s="4"/>
      <c r="I11" s="3"/>
      <c r="J11" s="3"/>
      <c r="K11" s="8" t="str">
        <f t="shared" si="0"/>
        <v/>
      </c>
      <c r="L11" s="1" t="str">
        <f>IF(COUNTA(A11:J11)=0,"",IF(OR(AND(C11&lt;&gt;"Servicio",C11&lt;&gt;"Cobro",C11&lt;&gt;"Anticipo",C11&lt;&gt;"Aplicación anticipo",C11&lt;&gt;"Retención ISR",C11&lt;&gt;"Retención IVA"),AND(C11="Servicio",F11&lt;&gt;"TMS",F11&lt;&gt;"Valoración",F11&lt;&gt;"EEG",F11&lt;&gt;"Neurofeedback",F11&lt;&gt;"Fotobiomodulación",F11&lt;&gt;"Psicoterapia",F11&lt;&gt;"Otros")),"Tipo o categoría inválido",IF(COUNTA(A11:J11)=0,"",IF(OR(A11="",B11="",C11="",G11=""),"Faltan datos",IF(COUNTIF($A$7:$A$2006,A11)&gt;1,"ID duplicado",IF(OR(B11&lt;DATE(Configuración!$C$5,1,1),B11&gt;=DATE(Configuración!$C$5+1,1,1)),"Fecha fuera del año",IF(OR(G11&lt;0,H11&lt;0),"Revisar signo",IF(AND(C11&lt;&gt;"Servicio",H11&lt;&gt;0),"IVA solo en Servicio",IF(AND(C11="Servicio",F11=""),"Falta servicio","OK")))))))))</f>
        <v/>
      </c>
    </row>
    <row r="12" spans="1:12" ht="22" customHeight="1">
      <c r="A12" s="3"/>
      <c r="B12" s="7"/>
      <c r="C12" s="3"/>
      <c r="D12" s="3"/>
      <c r="E12" s="3"/>
      <c r="F12" s="3"/>
      <c r="G12" s="4"/>
      <c r="H12" s="4"/>
      <c r="I12" s="3"/>
      <c r="J12" s="3"/>
      <c r="K12" s="8" t="str">
        <f t="shared" si="0"/>
        <v/>
      </c>
      <c r="L12" s="1" t="str">
        <f>IF(COUNTA(A12:J12)=0,"",IF(OR(AND(C12&lt;&gt;"Servicio",C12&lt;&gt;"Cobro",C12&lt;&gt;"Anticipo",C12&lt;&gt;"Aplicación anticipo",C12&lt;&gt;"Retención ISR",C12&lt;&gt;"Retención IVA"),AND(C12="Servicio",F12&lt;&gt;"TMS",F12&lt;&gt;"Valoración",F12&lt;&gt;"EEG",F12&lt;&gt;"Neurofeedback",F12&lt;&gt;"Fotobiomodulación",F12&lt;&gt;"Psicoterapia",F12&lt;&gt;"Otros")),"Tipo o categoría inválido",IF(COUNTA(A12:J12)=0,"",IF(OR(A12="",B12="",C12="",G12=""),"Faltan datos",IF(COUNTIF($A$7:$A$2006,A12)&gt;1,"ID duplicado",IF(OR(B12&lt;DATE(Configuración!$C$5,1,1),B12&gt;=DATE(Configuración!$C$5+1,1,1)),"Fecha fuera del año",IF(OR(G12&lt;0,H12&lt;0),"Revisar signo",IF(AND(C12&lt;&gt;"Servicio",H12&lt;&gt;0),"IVA solo en Servicio",IF(AND(C12="Servicio",F12=""),"Falta servicio","OK")))))))))</f>
        <v/>
      </c>
    </row>
    <row r="13" spans="1:12" ht="22" customHeight="1">
      <c r="A13" s="3"/>
      <c r="B13" s="7"/>
      <c r="C13" s="3"/>
      <c r="D13" s="3"/>
      <c r="E13" s="3"/>
      <c r="F13" s="3"/>
      <c r="G13" s="4"/>
      <c r="H13" s="4"/>
      <c r="I13" s="3"/>
      <c r="J13" s="3"/>
      <c r="K13" s="8" t="str">
        <f t="shared" si="0"/>
        <v/>
      </c>
      <c r="L13" s="1" t="str">
        <f>IF(COUNTA(A13:J13)=0,"",IF(OR(AND(C13&lt;&gt;"Servicio",C13&lt;&gt;"Cobro",C13&lt;&gt;"Anticipo",C13&lt;&gt;"Aplicación anticipo",C13&lt;&gt;"Retención ISR",C13&lt;&gt;"Retención IVA"),AND(C13="Servicio",F13&lt;&gt;"TMS",F13&lt;&gt;"Valoración",F13&lt;&gt;"EEG",F13&lt;&gt;"Neurofeedback",F13&lt;&gt;"Fotobiomodulación",F13&lt;&gt;"Psicoterapia",F13&lt;&gt;"Otros")),"Tipo o categoría inválido",IF(COUNTA(A13:J13)=0,"",IF(OR(A13="",B13="",C13="",G13=""),"Faltan datos",IF(COUNTIF($A$7:$A$2006,A13)&gt;1,"ID duplicado",IF(OR(B13&lt;DATE(Configuración!$C$5,1,1),B13&gt;=DATE(Configuración!$C$5+1,1,1)),"Fecha fuera del año",IF(OR(G13&lt;0,H13&lt;0),"Revisar signo",IF(AND(C13&lt;&gt;"Servicio",H13&lt;&gt;0),"IVA solo en Servicio",IF(AND(C13="Servicio",F13=""),"Falta servicio","OK")))))))))</f>
        <v/>
      </c>
    </row>
    <row r="14" spans="1:12" ht="22" customHeight="1">
      <c r="A14" s="3"/>
      <c r="B14" s="7"/>
      <c r="C14" s="3"/>
      <c r="D14" s="3"/>
      <c r="E14" s="3"/>
      <c r="F14" s="3"/>
      <c r="G14" s="4"/>
      <c r="H14" s="4"/>
      <c r="I14" s="3"/>
      <c r="J14" s="3"/>
      <c r="K14" s="8" t="str">
        <f t="shared" si="0"/>
        <v/>
      </c>
      <c r="L14" s="1" t="str">
        <f>IF(COUNTA(A14:J14)=0,"",IF(OR(AND(C14&lt;&gt;"Servicio",C14&lt;&gt;"Cobro",C14&lt;&gt;"Anticipo",C14&lt;&gt;"Aplicación anticipo",C14&lt;&gt;"Retención ISR",C14&lt;&gt;"Retención IVA"),AND(C14="Servicio",F14&lt;&gt;"TMS",F14&lt;&gt;"Valoración",F14&lt;&gt;"EEG",F14&lt;&gt;"Neurofeedback",F14&lt;&gt;"Fotobiomodulación",F14&lt;&gt;"Psicoterapia",F14&lt;&gt;"Otros")),"Tipo o categoría inválido",IF(COUNTA(A14:J14)=0,"",IF(OR(A14="",B14="",C14="",G14=""),"Faltan datos",IF(COUNTIF($A$7:$A$2006,A14)&gt;1,"ID duplicado",IF(OR(B14&lt;DATE(Configuración!$C$5,1,1),B14&gt;=DATE(Configuración!$C$5+1,1,1)),"Fecha fuera del año",IF(OR(G14&lt;0,H14&lt;0),"Revisar signo",IF(AND(C14&lt;&gt;"Servicio",H14&lt;&gt;0),"IVA solo en Servicio",IF(AND(C14="Servicio",F14=""),"Falta servicio","OK")))))))))</f>
        <v/>
      </c>
    </row>
    <row r="15" spans="1:12" ht="22" customHeight="1">
      <c r="A15" s="3"/>
      <c r="B15" s="7"/>
      <c r="C15" s="3"/>
      <c r="D15" s="3"/>
      <c r="E15" s="3"/>
      <c r="F15" s="3"/>
      <c r="G15" s="4"/>
      <c r="H15" s="4"/>
      <c r="I15" s="3"/>
      <c r="J15" s="3"/>
      <c r="K15" s="8" t="str">
        <f t="shared" si="0"/>
        <v/>
      </c>
      <c r="L15" s="1" t="str">
        <f>IF(COUNTA(A15:J15)=0,"",IF(OR(AND(C15&lt;&gt;"Servicio",C15&lt;&gt;"Cobro",C15&lt;&gt;"Anticipo",C15&lt;&gt;"Aplicación anticipo",C15&lt;&gt;"Retención ISR",C15&lt;&gt;"Retención IVA"),AND(C15="Servicio",F15&lt;&gt;"TMS",F15&lt;&gt;"Valoración",F15&lt;&gt;"EEG",F15&lt;&gt;"Neurofeedback",F15&lt;&gt;"Fotobiomodulación",F15&lt;&gt;"Psicoterapia",F15&lt;&gt;"Otros")),"Tipo o categoría inválido",IF(COUNTA(A15:J15)=0,"",IF(OR(A15="",B15="",C15="",G15=""),"Faltan datos",IF(COUNTIF($A$7:$A$2006,A15)&gt;1,"ID duplicado",IF(OR(B15&lt;DATE(Configuración!$C$5,1,1),B15&gt;=DATE(Configuración!$C$5+1,1,1)),"Fecha fuera del año",IF(OR(G15&lt;0,H15&lt;0),"Revisar signo",IF(AND(C15&lt;&gt;"Servicio",H15&lt;&gt;0),"IVA solo en Servicio",IF(AND(C15="Servicio",F15=""),"Falta servicio","OK")))))))))</f>
        <v/>
      </c>
    </row>
    <row r="16" spans="1:12" ht="22" customHeight="1">
      <c r="A16" s="3"/>
      <c r="B16" s="7"/>
      <c r="C16" s="3"/>
      <c r="D16" s="3"/>
      <c r="E16" s="3"/>
      <c r="F16" s="3"/>
      <c r="G16" s="4"/>
      <c r="H16" s="4"/>
      <c r="I16" s="3"/>
      <c r="J16" s="3"/>
      <c r="K16" s="8" t="str">
        <f t="shared" si="0"/>
        <v/>
      </c>
      <c r="L16" s="1" t="str">
        <f>IF(COUNTA(A16:J16)=0,"",IF(OR(AND(C16&lt;&gt;"Servicio",C16&lt;&gt;"Cobro",C16&lt;&gt;"Anticipo",C16&lt;&gt;"Aplicación anticipo",C16&lt;&gt;"Retención ISR",C16&lt;&gt;"Retención IVA"),AND(C16="Servicio",F16&lt;&gt;"TMS",F16&lt;&gt;"Valoración",F16&lt;&gt;"EEG",F16&lt;&gt;"Neurofeedback",F16&lt;&gt;"Fotobiomodulación",F16&lt;&gt;"Psicoterapia",F16&lt;&gt;"Otros")),"Tipo o categoría inválido",IF(COUNTA(A16:J16)=0,"",IF(OR(A16="",B16="",C16="",G16=""),"Faltan datos",IF(COUNTIF($A$7:$A$2006,A16)&gt;1,"ID duplicado",IF(OR(B16&lt;DATE(Configuración!$C$5,1,1),B16&gt;=DATE(Configuración!$C$5+1,1,1)),"Fecha fuera del año",IF(OR(G16&lt;0,H16&lt;0),"Revisar signo",IF(AND(C16&lt;&gt;"Servicio",H16&lt;&gt;0),"IVA solo en Servicio",IF(AND(C16="Servicio",F16=""),"Falta servicio","OK")))))))))</f>
        <v/>
      </c>
    </row>
    <row r="17" spans="1:12" ht="22" customHeight="1">
      <c r="A17" s="3"/>
      <c r="B17" s="7"/>
      <c r="C17" s="3"/>
      <c r="D17" s="3"/>
      <c r="E17" s="3"/>
      <c r="F17" s="3"/>
      <c r="G17" s="4"/>
      <c r="H17" s="4"/>
      <c r="I17" s="3"/>
      <c r="J17" s="3"/>
      <c r="K17" s="8" t="str">
        <f t="shared" si="0"/>
        <v/>
      </c>
      <c r="L17" s="1" t="str">
        <f>IF(COUNTA(A17:J17)=0,"",IF(OR(AND(C17&lt;&gt;"Servicio",C17&lt;&gt;"Cobro",C17&lt;&gt;"Anticipo",C17&lt;&gt;"Aplicación anticipo",C17&lt;&gt;"Retención ISR",C17&lt;&gt;"Retención IVA"),AND(C17="Servicio",F17&lt;&gt;"TMS",F17&lt;&gt;"Valoración",F17&lt;&gt;"EEG",F17&lt;&gt;"Neurofeedback",F17&lt;&gt;"Fotobiomodulación",F17&lt;&gt;"Psicoterapia",F17&lt;&gt;"Otros")),"Tipo o categoría inválido",IF(COUNTA(A17:J17)=0,"",IF(OR(A17="",B17="",C17="",G17=""),"Faltan datos",IF(COUNTIF($A$7:$A$2006,A17)&gt;1,"ID duplicado",IF(OR(B17&lt;DATE(Configuración!$C$5,1,1),B17&gt;=DATE(Configuración!$C$5+1,1,1)),"Fecha fuera del año",IF(OR(G17&lt;0,H17&lt;0),"Revisar signo",IF(AND(C17&lt;&gt;"Servicio",H17&lt;&gt;0),"IVA solo en Servicio",IF(AND(C17="Servicio",F17=""),"Falta servicio","OK")))))))))</f>
        <v/>
      </c>
    </row>
    <row r="18" spans="1:12" ht="22" customHeight="1">
      <c r="A18" s="3"/>
      <c r="B18" s="7"/>
      <c r="C18" s="3"/>
      <c r="D18" s="3"/>
      <c r="E18" s="3"/>
      <c r="F18" s="3"/>
      <c r="G18" s="4"/>
      <c r="H18" s="4"/>
      <c r="I18" s="3"/>
      <c r="J18" s="3"/>
      <c r="K18" s="8" t="str">
        <f t="shared" si="0"/>
        <v/>
      </c>
      <c r="L18" s="1" t="str">
        <f>IF(COUNTA(A18:J18)=0,"",IF(OR(AND(C18&lt;&gt;"Servicio",C18&lt;&gt;"Cobro",C18&lt;&gt;"Anticipo",C18&lt;&gt;"Aplicación anticipo",C18&lt;&gt;"Retención ISR",C18&lt;&gt;"Retención IVA"),AND(C18="Servicio",F18&lt;&gt;"TMS",F18&lt;&gt;"Valoración",F18&lt;&gt;"EEG",F18&lt;&gt;"Neurofeedback",F18&lt;&gt;"Fotobiomodulación",F18&lt;&gt;"Psicoterapia",F18&lt;&gt;"Otros")),"Tipo o categoría inválido",IF(COUNTA(A18:J18)=0,"",IF(OR(A18="",B18="",C18="",G18=""),"Faltan datos",IF(COUNTIF($A$7:$A$2006,A18)&gt;1,"ID duplicado",IF(OR(B18&lt;DATE(Configuración!$C$5,1,1),B18&gt;=DATE(Configuración!$C$5+1,1,1)),"Fecha fuera del año",IF(OR(G18&lt;0,H18&lt;0),"Revisar signo",IF(AND(C18&lt;&gt;"Servicio",H18&lt;&gt;0),"IVA solo en Servicio",IF(AND(C18="Servicio",F18=""),"Falta servicio","OK")))))))))</f>
        <v/>
      </c>
    </row>
    <row r="19" spans="1:12" ht="22" customHeight="1">
      <c r="A19" s="3"/>
      <c r="B19" s="7"/>
      <c r="C19" s="3"/>
      <c r="D19" s="3"/>
      <c r="E19" s="3"/>
      <c r="F19" s="3"/>
      <c r="G19" s="4"/>
      <c r="H19" s="4"/>
      <c r="I19" s="3"/>
      <c r="J19" s="3"/>
      <c r="K19" s="8" t="str">
        <f t="shared" si="0"/>
        <v/>
      </c>
      <c r="L19" s="1" t="str">
        <f>IF(COUNTA(A19:J19)=0,"",IF(OR(AND(C19&lt;&gt;"Servicio",C19&lt;&gt;"Cobro",C19&lt;&gt;"Anticipo",C19&lt;&gt;"Aplicación anticipo",C19&lt;&gt;"Retención ISR",C19&lt;&gt;"Retención IVA"),AND(C19="Servicio",F19&lt;&gt;"TMS",F19&lt;&gt;"Valoración",F19&lt;&gt;"EEG",F19&lt;&gt;"Neurofeedback",F19&lt;&gt;"Fotobiomodulación",F19&lt;&gt;"Psicoterapia",F19&lt;&gt;"Otros")),"Tipo o categoría inválido",IF(COUNTA(A19:J19)=0,"",IF(OR(A19="",B19="",C19="",G19=""),"Faltan datos",IF(COUNTIF($A$7:$A$2006,A19)&gt;1,"ID duplicado",IF(OR(B19&lt;DATE(Configuración!$C$5,1,1),B19&gt;=DATE(Configuración!$C$5+1,1,1)),"Fecha fuera del año",IF(OR(G19&lt;0,H19&lt;0),"Revisar signo",IF(AND(C19&lt;&gt;"Servicio",H19&lt;&gt;0),"IVA solo en Servicio",IF(AND(C19="Servicio",F19=""),"Falta servicio","OK")))))))))</f>
        <v/>
      </c>
    </row>
    <row r="20" spans="1:12" ht="22" customHeight="1">
      <c r="A20" s="3"/>
      <c r="B20" s="7"/>
      <c r="C20" s="3"/>
      <c r="D20" s="3"/>
      <c r="E20" s="3"/>
      <c r="F20" s="3"/>
      <c r="G20" s="4"/>
      <c r="H20" s="4"/>
      <c r="I20" s="3"/>
      <c r="J20" s="3"/>
      <c r="K20" s="8" t="str">
        <f t="shared" si="0"/>
        <v/>
      </c>
      <c r="L20" s="1" t="str">
        <f>IF(COUNTA(A20:J20)=0,"",IF(OR(AND(C20&lt;&gt;"Servicio",C20&lt;&gt;"Cobro",C20&lt;&gt;"Anticipo",C20&lt;&gt;"Aplicación anticipo",C20&lt;&gt;"Retención ISR",C20&lt;&gt;"Retención IVA"),AND(C20="Servicio",F20&lt;&gt;"TMS",F20&lt;&gt;"Valoración",F20&lt;&gt;"EEG",F20&lt;&gt;"Neurofeedback",F20&lt;&gt;"Fotobiomodulación",F20&lt;&gt;"Psicoterapia",F20&lt;&gt;"Otros")),"Tipo o categoría inválido",IF(COUNTA(A20:J20)=0,"",IF(OR(A20="",B20="",C20="",G20=""),"Faltan datos",IF(COUNTIF($A$7:$A$2006,A20)&gt;1,"ID duplicado",IF(OR(B20&lt;DATE(Configuración!$C$5,1,1),B20&gt;=DATE(Configuración!$C$5+1,1,1)),"Fecha fuera del año",IF(OR(G20&lt;0,H20&lt;0),"Revisar signo",IF(AND(C20&lt;&gt;"Servicio",H20&lt;&gt;0),"IVA solo en Servicio",IF(AND(C20="Servicio",F20=""),"Falta servicio","OK")))))))))</f>
        <v/>
      </c>
    </row>
    <row r="21" spans="1:12" ht="22" customHeight="1">
      <c r="A21" s="3"/>
      <c r="B21" s="7"/>
      <c r="C21" s="3"/>
      <c r="D21" s="3"/>
      <c r="E21" s="3"/>
      <c r="F21" s="3"/>
      <c r="G21" s="4"/>
      <c r="H21" s="4"/>
      <c r="I21" s="3"/>
      <c r="J21" s="3"/>
      <c r="K21" s="8" t="str">
        <f t="shared" si="0"/>
        <v/>
      </c>
      <c r="L21" s="1" t="str">
        <f>IF(COUNTA(A21:J21)=0,"",IF(OR(AND(C21&lt;&gt;"Servicio",C21&lt;&gt;"Cobro",C21&lt;&gt;"Anticipo",C21&lt;&gt;"Aplicación anticipo",C21&lt;&gt;"Retención ISR",C21&lt;&gt;"Retención IVA"),AND(C21="Servicio",F21&lt;&gt;"TMS",F21&lt;&gt;"Valoración",F21&lt;&gt;"EEG",F21&lt;&gt;"Neurofeedback",F21&lt;&gt;"Fotobiomodulación",F21&lt;&gt;"Psicoterapia",F21&lt;&gt;"Otros")),"Tipo o categoría inválido",IF(COUNTA(A21:J21)=0,"",IF(OR(A21="",B21="",C21="",G21=""),"Faltan datos",IF(COUNTIF($A$7:$A$2006,A21)&gt;1,"ID duplicado",IF(OR(B21&lt;DATE(Configuración!$C$5,1,1),B21&gt;=DATE(Configuración!$C$5+1,1,1)),"Fecha fuera del año",IF(OR(G21&lt;0,H21&lt;0),"Revisar signo",IF(AND(C21&lt;&gt;"Servicio",H21&lt;&gt;0),"IVA solo en Servicio",IF(AND(C21="Servicio",F21=""),"Falta servicio","OK")))))))))</f>
        <v/>
      </c>
    </row>
    <row r="22" spans="1:12" ht="22" customHeight="1">
      <c r="A22" s="3"/>
      <c r="B22" s="7"/>
      <c r="C22" s="3"/>
      <c r="D22" s="3"/>
      <c r="E22" s="3"/>
      <c r="F22" s="3"/>
      <c r="G22" s="4"/>
      <c r="H22" s="4"/>
      <c r="I22" s="3"/>
      <c r="J22" s="3"/>
      <c r="K22" s="8" t="str">
        <f t="shared" si="0"/>
        <v/>
      </c>
      <c r="L22" s="1" t="str">
        <f>IF(COUNTA(A22:J22)=0,"",IF(OR(AND(C22&lt;&gt;"Servicio",C22&lt;&gt;"Cobro",C22&lt;&gt;"Anticipo",C22&lt;&gt;"Aplicación anticipo",C22&lt;&gt;"Retención ISR",C22&lt;&gt;"Retención IVA"),AND(C22="Servicio",F22&lt;&gt;"TMS",F22&lt;&gt;"Valoración",F22&lt;&gt;"EEG",F22&lt;&gt;"Neurofeedback",F22&lt;&gt;"Fotobiomodulación",F22&lt;&gt;"Psicoterapia",F22&lt;&gt;"Otros")),"Tipo o categoría inválido",IF(COUNTA(A22:J22)=0,"",IF(OR(A22="",B22="",C22="",G22=""),"Faltan datos",IF(COUNTIF($A$7:$A$2006,A22)&gt;1,"ID duplicado",IF(OR(B22&lt;DATE(Configuración!$C$5,1,1),B22&gt;=DATE(Configuración!$C$5+1,1,1)),"Fecha fuera del año",IF(OR(G22&lt;0,H22&lt;0),"Revisar signo",IF(AND(C22&lt;&gt;"Servicio",H22&lt;&gt;0),"IVA solo en Servicio",IF(AND(C22="Servicio",F22=""),"Falta servicio","OK")))))))))</f>
        <v/>
      </c>
    </row>
    <row r="23" spans="1:12" ht="22" customHeight="1">
      <c r="A23" s="3"/>
      <c r="B23" s="7"/>
      <c r="C23" s="3"/>
      <c r="D23" s="3"/>
      <c r="E23" s="3"/>
      <c r="F23" s="3"/>
      <c r="G23" s="4"/>
      <c r="H23" s="4"/>
      <c r="I23" s="3"/>
      <c r="J23" s="3"/>
      <c r="K23" s="8" t="str">
        <f t="shared" si="0"/>
        <v/>
      </c>
      <c r="L23" s="1" t="str">
        <f>IF(COUNTA(A23:J23)=0,"",IF(OR(AND(C23&lt;&gt;"Servicio",C23&lt;&gt;"Cobro",C23&lt;&gt;"Anticipo",C23&lt;&gt;"Aplicación anticipo",C23&lt;&gt;"Retención ISR",C23&lt;&gt;"Retención IVA"),AND(C23="Servicio",F23&lt;&gt;"TMS",F23&lt;&gt;"Valoración",F23&lt;&gt;"EEG",F23&lt;&gt;"Neurofeedback",F23&lt;&gt;"Fotobiomodulación",F23&lt;&gt;"Psicoterapia",F23&lt;&gt;"Otros")),"Tipo o categoría inválido",IF(COUNTA(A23:J23)=0,"",IF(OR(A23="",B23="",C23="",G23=""),"Faltan datos",IF(COUNTIF($A$7:$A$2006,A23)&gt;1,"ID duplicado",IF(OR(B23&lt;DATE(Configuración!$C$5,1,1),B23&gt;=DATE(Configuración!$C$5+1,1,1)),"Fecha fuera del año",IF(OR(G23&lt;0,H23&lt;0),"Revisar signo",IF(AND(C23&lt;&gt;"Servicio",H23&lt;&gt;0),"IVA solo en Servicio",IF(AND(C23="Servicio",F23=""),"Falta servicio","OK")))))))))</f>
        <v/>
      </c>
    </row>
    <row r="24" spans="1:12" ht="22" customHeight="1">
      <c r="A24" s="3"/>
      <c r="B24" s="7"/>
      <c r="C24" s="3"/>
      <c r="D24" s="3"/>
      <c r="E24" s="3"/>
      <c r="F24" s="3"/>
      <c r="G24" s="4"/>
      <c r="H24" s="4"/>
      <c r="I24" s="3"/>
      <c r="J24" s="3"/>
      <c r="K24" s="8" t="str">
        <f t="shared" si="0"/>
        <v/>
      </c>
      <c r="L24" s="1" t="str">
        <f>IF(COUNTA(A24:J24)=0,"",IF(OR(AND(C24&lt;&gt;"Servicio",C24&lt;&gt;"Cobro",C24&lt;&gt;"Anticipo",C24&lt;&gt;"Aplicación anticipo",C24&lt;&gt;"Retención ISR",C24&lt;&gt;"Retención IVA"),AND(C24="Servicio",F24&lt;&gt;"TMS",F24&lt;&gt;"Valoración",F24&lt;&gt;"EEG",F24&lt;&gt;"Neurofeedback",F24&lt;&gt;"Fotobiomodulación",F24&lt;&gt;"Psicoterapia",F24&lt;&gt;"Otros")),"Tipo o categoría inválido",IF(COUNTA(A24:J24)=0,"",IF(OR(A24="",B24="",C24="",G24=""),"Faltan datos",IF(COUNTIF($A$7:$A$2006,A24)&gt;1,"ID duplicado",IF(OR(B24&lt;DATE(Configuración!$C$5,1,1),B24&gt;=DATE(Configuración!$C$5+1,1,1)),"Fecha fuera del año",IF(OR(G24&lt;0,H24&lt;0),"Revisar signo",IF(AND(C24&lt;&gt;"Servicio",H24&lt;&gt;0),"IVA solo en Servicio",IF(AND(C24="Servicio",F24=""),"Falta servicio","OK")))))))))</f>
        <v/>
      </c>
    </row>
    <row r="25" spans="1:12" ht="22" customHeight="1">
      <c r="A25" s="3"/>
      <c r="B25" s="7"/>
      <c r="C25" s="3"/>
      <c r="D25" s="3"/>
      <c r="E25" s="3"/>
      <c r="F25" s="3"/>
      <c r="G25" s="4"/>
      <c r="H25" s="4"/>
      <c r="I25" s="3"/>
      <c r="J25" s="3"/>
      <c r="K25" s="8" t="str">
        <f t="shared" si="0"/>
        <v/>
      </c>
      <c r="L25" s="1" t="str">
        <f>IF(COUNTA(A25:J25)=0,"",IF(OR(AND(C25&lt;&gt;"Servicio",C25&lt;&gt;"Cobro",C25&lt;&gt;"Anticipo",C25&lt;&gt;"Aplicación anticipo",C25&lt;&gt;"Retención ISR",C25&lt;&gt;"Retención IVA"),AND(C25="Servicio",F25&lt;&gt;"TMS",F25&lt;&gt;"Valoración",F25&lt;&gt;"EEG",F25&lt;&gt;"Neurofeedback",F25&lt;&gt;"Fotobiomodulación",F25&lt;&gt;"Psicoterapia",F25&lt;&gt;"Otros")),"Tipo o categoría inválido",IF(COUNTA(A25:J25)=0,"",IF(OR(A25="",B25="",C25="",G25=""),"Faltan datos",IF(COUNTIF($A$7:$A$2006,A25)&gt;1,"ID duplicado",IF(OR(B25&lt;DATE(Configuración!$C$5,1,1),B25&gt;=DATE(Configuración!$C$5+1,1,1)),"Fecha fuera del año",IF(OR(G25&lt;0,H25&lt;0),"Revisar signo",IF(AND(C25&lt;&gt;"Servicio",H25&lt;&gt;0),"IVA solo en Servicio",IF(AND(C25="Servicio",F25=""),"Falta servicio","OK")))))))))</f>
        <v/>
      </c>
    </row>
    <row r="26" spans="1:12" ht="22" customHeight="1">
      <c r="A26" s="3"/>
      <c r="B26" s="7"/>
      <c r="C26" s="3"/>
      <c r="D26" s="3"/>
      <c r="E26" s="3"/>
      <c r="F26" s="3"/>
      <c r="G26" s="4"/>
      <c r="H26" s="4"/>
      <c r="I26" s="3"/>
      <c r="J26" s="3"/>
      <c r="K26" s="8" t="str">
        <f t="shared" si="0"/>
        <v/>
      </c>
      <c r="L26" s="1" t="str">
        <f>IF(COUNTA(A26:J26)=0,"",IF(OR(AND(C26&lt;&gt;"Servicio",C26&lt;&gt;"Cobro",C26&lt;&gt;"Anticipo",C26&lt;&gt;"Aplicación anticipo",C26&lt;&gt;"Retención ISR",C26&lt;&gt;"Retención IVA"),AND(C26="Servicio",F26&lt;&gt;"TMS",F26&lt;&gt;"Valoración",F26&lt;&gt;"EEG",F26&lt;&gt;"Neurofeedback",F26&lt;&gt;"Fotobiomodulación",F26&lt;&gt;"Psicoterapia",F26&lt;&gt;"Otros")),"Tipo o categoría inválido",IF(COUNTA(A26:J26)=0,"",IF(OR(A26="",B26="",C26="",G26=""),"Faltan datos",IF(COUNTIF($A$7:$A$2006,A26)&gt;1,"ID duplicado",IF(OR(B26&lt;DATE(Configuración!$C$5,1,1),B26&gt;=DATE(Configuración!$C$5+1,1,1)),"Fecha fuera del año",IF(OR(G26&lt;0,H26&lt;0),"Revisar signo",IF(AND(C26&lt;&gt;"Servicio",H26&lt;&gt;0),"IVA solo en Servicio",IF(AND(C26="Servicio",F26=""),"Falta servicio","OK")))))))))</f>
        <v/>
      </c>
    </row>
    <row r="27" spans="1:12" ht="22" customHeight="1">
      <c r="A27" s="3"/>
      <c r="B27" s="7"/>
      <c r="C27" s="3"/>
      <c r="D27" s="3"/>
      <c r="E27" s="3"/>
      <c r="F27" s="3"/>
      <c r="G27" s="4"/>
      <c r="H27" s="4"/>
      <c r="I27" s="3"/>
      <c r="J27" s="3"/>
      <c r="K27" s="8" t="str">
        <f t="shared" si="0"/>
        <v/>
      </c>
      <c r="L27" s="1" t="str">
        <f>IF(COUNTA(A27:J27)=0,"",IF(OR(AND(C27&lt;&gt;"Servicio",C27&lt;&gt;"Cobro",C27&lt;&gt;"Anticipo",C27&lt;&gt;"Aplicación anticipo",C27&lt;&gt;"Retención ISR",C27&lt;&gt;"Retención IVA"),AND(C27="Servicio",F27&lt;&gt;"TMS",F27&lt;&gt;"Valoración",F27&lt;&gt;"EEG",F27&lt;&gt;"Neurofeedback",F27&lt;&gt;"Fotobiomodulación",F27&lt;&gt;"Psicoterapia",F27&lt;&gt;"Otros")),"Tipo o categoría inválido",IF(COUNTA(A27:J27)=0,"",IF(OR(A27="",B27="",C27="",G27=""),"Faltan datos",IF(COUNTIF($A$7:$A$2006,A27)&gt;1,"ID duplicado",IF(OR(B27&lt;DATE(Configuración!$C$5,1,1),B27&gt;=DATE(Configuración!$C$5+1,1,1)),"Fecha fuera del año",IF(OR(G27&lt;0,H27&lt;0),"Revisar signo",IF(AND(C27&lt;&gt;"Servicio",H27&lt;&gt;0),"IVA solo en Servicio",IF(AND(C27="Servicio",F27=""),"Falta servicio","OK")))))))))</f>
        <v/>
      </c>
    </row>
    <row r="28" spans="1:12" ht="22" customHeight="1">
      <c r="A28" s="3"/>
      <c r="B28" s="7"/>
      <c r="C28" s="3"/>
      <c r="D28" s="3"/>
      <c r="E28" s="3"/>
      <c r="F28" s="3"/>
      <c r="G28" s="4"/>
      <c r="H28" s="4"/>
      <c r="I28" s="3"/>
      <c r="J28" s="3"/>
      <c r="K28" s="8" t="str">
        <f t="shared" si="0"/>
        <v/>
      </c>
      <c r="L28" s="1" t="str">
        <f>IF(COUNTA(A28:J28)=0,"",IF(OR(AND(C28&lt;&gt;"Servicio",C28&lt;&gt;"Cobro",C28&lt;&gt;"Anticipo",C28&lt;&gt;"Aplicación anticipo",C28&lt;&gt;"Retención ISR",C28&lt;&gt;"Retención IVA"),AND(C28="Servicio",F28&lt;&gt;"TMS",F28&lt;&gt;"Valoración",F28&lt;&gt;"EEG",F28&lt;&gt;"Neurofeedback",F28&lt;&gt;"Fotobiomodulación",F28&lt;&gt;"Psicoterapia",F28&lt;&gt;"Otros")),"Tipo o categoría inválido",IF(COUNTA(A28:J28)=0,"",IF(OR(A28="",B28="",C28="",G28=""),"Faltan datos",IF(COUNTIF($A$7:$A$2006,A28)&gt;1,"ID duplicado",IF(OR(B28&lt;DATE(Configuración!$C$5,1,1),B28&gt;=DATE(Configuración!$C$5+1,1,1)),"Fecha fuera del año",IF(OR(G28&lt;0,H28&lt;0),"Revisar signo",IF(AND(C28&lt;&gt;"Servicio",H28&lt;&gt;0),"IVA solo en Servicio",IF(AND(C28="Servicio",F28=""),"Falta servicio","OK")))))))))</f>
        <v/>
      </c>
    </row>
    <row r="29" spans="1:12" ht="22" customHeight="1">
      <c r="A29" s="3"/>
      <c r="B29" s="7"/>
      <c r="C29" s="3"/>
      <c r="D29" s="3"/>
      <c r="E29" s="3"/>
      <c r="F29" s="3"/>
      <c r="G29" s="4"/>
      <c r="H29" s="4"/>
      <c r="I29" s="3"/>
      <c r="J29" s="3"/>
      <c r="K29" s="8" t="str">
        <f t="shared" si="0"/>
        <v/>
      </c>
      <c r="L29" s="1" t="str">
        <f>IF(COUNTA(A29:J29)=0,"",IF(OR(AND(C29&lt;&gt;"Servicio",C29&lt;&gt;"Cobro",C29&lt;&gt;"Anticipo",C29&lt;&gt;"Aplicación anticipo",C29&lt;&gt;"Retención ISR",C29&lt;&gt;"Retención IVA"),AND(C29="Servicio",F29&lt;&gt;"TMS",F29&lt;&gt;"Valoración",F29&lt;&gt;"EEG",F29&lt;&gt;"Neurofeedback",F29&lt;&gt;"Fotobiomodulación",F29&lt;&gt;"Psicoterapia",F29&lt;&gt;"Otros")),"Tipo o categoría inválido",IF(COUNTA(A29:J29)=0,"",IF(OR(A29="",B29="",C29="",G29=""),"Faltan datos",IF(COUNTIF($A$7:$A$2006,A29)&gt;1,"ID duplicado",IF(OR(B29&lt;DATE(Configuración!$C$5,1,1),B29&gt;=DATE(Configuración!$C$5+1,1,1)),"Fecha fuera del año",IF(OR(G29&lt;0,H29&lt;0),"Revisar signo",IF(AND(C29&lt;&gt;"Servicio",H29&lt;&gt;0),"IVA solo en Servicio",IF(AND(C29="Servicio",F29=""),"Falta servicio","OK")))))))))</f>
        <v/>
      </c>
    </row>
    <row r="30" spans="1:12" ht="22" customHeight="1">
      <c r="A30" s="3"/>
      <c r="B30" s="7"/>
      <c r="C30" s="3"/>
      <c r="D30" s="3"/>
      <c r="E30" s="3"/>
      <c r="F30" s="3"/>
      <c r="G30" s="4"/>
      <c r="H30" s="4"/>
      <c r="I30" s="3"/>
      <c r="J30" s="3"/>
      <c r="K30" s="8" t="str">
        <f t="shared" si="0"/>
        <v/>
      </c>
      <c r="L30" s="1" t="str">
        <f>IF(COUNTA(A30:J30)=0,"",IF(OR(AND(C30&lt;&gt;"Servicio",C30&lt;&gt;"Cobro",C30&lt;&gt;"Anticipo",C30&lt;&gt;"Aplicación anticipo",C30&lt;&gt;"Retención ISR",C30&lt;&gt;"Retención IVA"),AND(C30="Servicio",F30&lt;&gt;"TMS",F30&lt;&gt;"Valoración",F30&lt;&gt;"EEG",F30&lt;&gt;"Neurofeedback",F30&lt;&gt;"Fotobiomodulación",F30&lt;&gt;"Psicoterapia",F30&lt;&gt;"Otros")),"Tipo o categoría inválido",IF(COUNTA(A30:J30)=0,"",IF(OR(A30="",B30="",C30="",G30=""),"Faltan datos",IF(COUNTIF($A$7:$A$2006,A30)&gt;1,"ID duplicado",IF(OR(B30&lt;DATE(Configuración!$C$5,1,1),B30&gt;=DATE(Configuración!$C$5+1,1,1)),"Fecha fuera del año",IF(OR(G30&lt;0,H30&lt;0),"Revisar signo",IF(AND(C30&lt;&gt;"Servicio",H30&lt;&gt;0),"IVA solo en Servicio",IF(AND(C30="Servicio",F30=""),"Falta servicio","OK")))))))))</f>
        <v/>
      </c>
    </row>
    <row r="31" spans="1:12" ht="22" customHeight="1">
      <c r="A31" s="3"/>
      <c r="B31" s="7"/>
      <c r="C31" s="3"/>
      <c r="D31" s="3"/>
      <c r="E31" s="3"/>
      <c r="F31" s="3"/>
      <c r="G31" s="4"/>
      <c r="H31" s="4"/>
      <c r="I31" s="3"/>
      <c r="J31" s="3"/>
      <c r="K31" s="8" t="str">
        <f t="shared" si="0"/>
        <v/>
      </c>
      <c r="L31" s="1" t="str">
        <f>IF(COUNTA(A31:J31)=0,"",IF(OR(AND(C31&lt;&gt;"Servicio",C31&lt;&gt;"Cobro",C31&lt;&gt;"Anticipo",C31&lt;&gt;"Aplicación anticipo",C31&lt;&gt;"Retención ISR",C31&lt;&gt;"Retención IVA"),AND(C31="Servicio",F31&lt;&gt;"TMS",F31&lt;&gt;"Valoración",F31&lt;&gt;"EEG",F31&lt;&gt;"Neurofeedback",F31&lt;&gt;"Fotobiomodulación",F31&lt;&gt;"Psicoterapia",F31&lt;&gt;"Otros")),"Tipo o categoría inválido",IF(COUNTA(A31:J31)=0,"",IF(OR(A31="",B31="",C31="",G31=""),"Faltan datos",IF(COUNTIF($A$7:$A$2006,A31)&gt;1,"ID duplicado",IF(OR(B31&lt;DATE(Configuración!$C$5,1,1),B31&gt;=DATE(Configuración!$C$5+1,1,1)),"Fecha fuera del año",IF(OR(G31&lt;0,H31&lt;0),"Revisar signo",IF(AND(C31&lt;&gt;"Servicio",H31&lt;&gt;0),"IVA solo en Servicio",IF(AND(C31="Servicio",F31=""),"Falta servicio","OK")))))))))</f>
        <v/>
      </c>
    </row>
    <row r="32" spans="1:12" ht="22" customHeight="1">
      <c r="A32" s="3"/>
      <c r="B32" s="7"/>
      <c r="C32" s="3"/>
      <c r="D32" s="3"/>
      <c r="E32" s="3"/>
      <c r="F32" s="3"/>
      <c r="G32" s="4"/>
      <c r="H32" s="4"/>
      <c r="I32" s="3"/>
      <c r="J32" s="3"/>
      <c r="K32" s="8" t="str">
        <f t="shared" si="0"/>
        <v/>
      </c>
      <c r="L32" s="1" t="str">
        <f>IF(COUNTA(A32:J32)=0,"",IF(OR(AND(C32&lt;&gt;"Servicio",C32&lt;&gt;"Cobro",C32&lt;&gt;"Anticipo",C32&lt;&gt;"Aplicación anticipo",C32&lt;&gt;"Retención ISR",C32&lt;&gt;"Retención IVA"),AND(C32="Servicio",F32&lt;&gt;"TMS",F32&lt;&gt;"Valoración",F32&lt;&gt;"EEG",F32&lt;&gt;"Neurofeedback",F32&lt;&gt;"Fotobiomodulación",F32&lt;&gt;"Psicoterapia",F32&lt;&gt;"Otros")),"Tipo o categoría inválido",IF(COUNTA(A32:J32)=0,"",IF(OR(A32="",B32="",C32="",G32=""),"Faltan datos",IF(COUNTIF($A$7:$A$2006,A32)&gt;1,"ID duplicado",IF(OR(B32&lt;DATE(Configuración!$C$5,1,1),B32&gt;=DATE(Configuración!$C$5+1,1,1)),"Fecha fuera del año",IF(OR(G32&lt;0,H32&lt;0),"Revisar signo",IF(AND(C32&lt;&gt;"Servicio",H32&lt;&gt;0),"IVA solo en Servicio",IF(AND(C32="Servicio",F32=""),"Falta servicio","OK")))))))))</f>
        <v/>
      </c>
    </row>
    <row r="33" spans="1:12" ht="22" customHeight="1">
      <c r="A33" s="3"/>
      <c r="B33" s="7"/>
      <c r="C33" s="3"/>
      <c r="D33" s="3"/>
      <c r="E33" s="3"/>
      <c r="F33" s="3"/>
      <c r="G33" s="4"/>
      <c r="H33" s="4"/>
      <c r="I33" s="3"/>
      <c r="J33" s="3"/>
      <c r="K33" s="8" t="str">
        <f t="shared" si="0"/>
        <v/>
      </c>
      <c r="L33" s="1" t="str">
        <f>IF(COUNTA(A33:J33)=0,"",IF(OR(AND(C33&lt;&gt;"Servicio",C33&lt;&gt;"Cobro",C33&lt;&gt;"Anticipo",C33&lt;&gt;"Aplicación anticipo",C33&lt;&gt;"Retención ISR",C33&lt;&gt;"Retención IVA"),AND(C33="Servicio",F33&lt;&gt;"TMS",F33&lt;&gt;"Valoración",F33&lt;&gt;"EEG",F33&lt;&gt;"Neurofeedback",F33&lt;&gt;"Fotobiomodulación",F33&lt;&gt;"Psicoterapia",F33&lt;&gt;"Otros")),"Tipo o categoría inválido",IF(COUNTA(A33:J33)=0,"",IF(OR(A33="",B33="",C33="",G33=""),"Faltan datos",IF(COUNTIF($A$7:$A$2006,A33)&gt;1,"ID duplicado",IF(OR(B33&lt;DATE(Configuración!$C$5,1,1),B33&gt;=DATE(Configuración!$C$5+1,1,1)),"Fecha fuera del año",IF(OR(G33&lt;0,H33&lt;0),"Revisar signo",IF(AND(C33&lt;&gt;"Servicio",H33&lt;&gt;0),"IVA solo en Servicio",IF(AND(C33="Servicio",F33=""),"Falta servicio","OK")))))))))</f>
        <v/>
      </c>
    </row>
    <row r="34" spans="1:12" ht="22" customHeight="1">
      <c r="A34" s="3"/>
      <c r="B34" s="7"/>
      <c r="C34" s="3"/>
      <c r="D34" s="3"/>
      <c r="E34" s="3"/>
      <c r="F34" s="3"/>
      <c r="G34" s="4"/>
      <c r="H34" s="4"/>
      <c r="I34" s="3"/>
      <c r="J34" s="3"/>
      <c r="K34" s="8" t="str">
        <f t="shared" si="0"/>
        <v/>
      </c>
      <c r="L34" s="1" t="str">
        <f>IF(COUNTA(A34:J34)=0,"",IF(OR(AND(C34&lt;&gt;"Servicio",C34&lt;&gt;"Cobro",C34&lt;&gt;"Anticipo",C34&lt;&gt;"Aplicación anticipo",C34&lt;&gt;"Retención ISR",C34&lt;&gt;"Retención IVA"),AND(C34="Servicio",F34&lt;&gt;"TMS",F34&lt;&gt;"Valoración",F34&lt;&gt;"EEG",F34&lt;&gt;"Neurofeedback",F34&lt;&gt;"Fotobiomodulación",F34&lt;&gt;"Psicoterapia",F34&lt;&gt;"Otros")),"Tipo o categoría inválido",IF(COUNTA(A34:J34)=0,"",IF(OR(A34="",B34="",C34="",G34=""),"Faltan datos",IF(COUNTIF($A$7:$A$2006,A34)&gt;1,"ID duplicado",IF(OR(B34&lt;DATE(Configuración!$C$5,1,1),B34&gt;=DATE(Configuración!$C$5+1,1,1)),"Fecha fuera del año",IF(OR(G34&lt;0,H34&lt;0),"Revisar signo",IF(AND(C34&lt;&gt;"Servicio",H34&lt;&gt;0),"IVA solo en Servicio",IF(AND(C34="Servicio",F34=""),"Falta servicio","OK")))))))))</f>
        <v/>
      </c>
    </row>
    <row r="35" spans="1:12" ht="22" customHeight="1">
      <c r="A35" s="3"/>
      <c r="B35" s="7"/>
      <c r="C35" s="3"/>
      <c r="D35" s="3"/>
      <c r="E35" s="3"/>
      <c r="F35" s="3"/>
      <c r="G35" s="4"/>
      <c r="H35" s="4"/>
      <c r="I35" s="3"/>
      <c r="J35" s="3"/>
      <c r="K35" s="8" t="str">
        <f t="shared" si="0"/>
        <v/>
      </c>
      <c r="L35" s="1" t="str">
        <f>IF(COUNTA(A35:J35)=0,"",IF(OR(AND(C35&lt;&gt;"Servicio",C35&lt;&gt;"Cobro",C35&lt;&gt;"Anticipo",C35&lt;&gt;"Aplicación anticipo",C35&lt;&gt;"Retención ISR",C35&lt;&gt;"Retención IVA"),AND(C35="Servicio",F35&lt;&gt;"TMS",F35&lt;&gt;"Valoración",F35&lt;&gt;"EEG",F35&lt;&gt;"Neurofeedback",F35&lt;&gt;"Fotobiomodulación",F35&lt;&gt;"Psicoterapia",F35&lt;&gt;"Otros")),"Tipo o categoría inválido",IF(COUNTA(A35:J35)=0,"",IF(OR(A35="",B35="",C35="",G35=""),"Faltan datos",IF(COUNTIF($A$7:$A$2006,A35)&gt;1,"ID duplicado",IF(OR(B35&lt;DATE(Configuración!$C$5,1,1),B35&gt;=DATE(Configuración!$C$5+1,1,1)),"Fecha fuera del año",IF(OR(G35&lt;0,H35&lt;0),"Revisar signo",IF(AND(C35&lt;&gt;"Servicio",H35&lt;&gt;0),"IVA solo en Servicio",IF(AND(C35="Servicio",F35=""),"Falta servicio","OK")))))))))</f>
        <v/>
      </c>
    </row>
    <row r="36" spans="1:12" ht="22" customHeight="1">
      <c r="A36" s="3"/>
      <c r="B36" s="7"/>
      <c r="C36" s="3"/>
      <c r="D36" s="3"/>
      <c r="E36" s="3"/>
      <c r="F36" s="3"/>
      <c r="G36" s="4"/>
      <c r="H36" s="4"/>
      <c r="I36" s="3"/>
      <c r="J36" s="3"/>
      <c r="K36" s="8" t="str">
        <f t="shared" si="0"/>
        <v/>
      </c>
      <c r="L36" s="1" t="str">
        <f>IF(COUNTA(A36:J36)=0,"",IF(OR(AND(C36&lt;&gt;"Servicio",C36&lt;&gt;"Cobro",C36&lt;&gt;"Anticipo",C36&lt;&gt;"Aplicación anticipo",C36&lt;&gt;"Retención ISR",C36&lt;&gt;"Retención IVA"),AND(C36="Servicio",F36&lt;&gt;"TMS",F36&lt;&gt;"Valoración",F36&lt;&gt;"EEG",F36&lt;&gt;"Neurofeedback",F36&lt;&gt;"Fotobiomodulación",F36&lt;&gt;"Psicoterapia",F36&lt;&gt;"Otros")),"Tipo o categoría inválido",IF(COUNTA(A36:J36)=0,"",IF(OR(A36="",B36="",C36="",G36=""),"Faltan datos",IF(COUNTIF($A$7:$A$2006,A36)&gt;1,"ID duplicado",IF(OR(B36&lt;DATE(Configuración!$C$5,1,1),B36&gt;=DATE(Configuración!$C$5+1,1,1)),"Fecha fuera del año",IF(OR(G36&lt;0,H36&lt;0),"Revisar signo",IF(AND(C36&lt;&gt;"Servicio",H36&lt;&gt;0),"IVA solo en Servicio",IF(AND(C36="Servicio",F36=""),"Falta servicio","OK")))))))))</f>
        <v/>
      </c>
    </row>
    <row r="37" spans="1:12" ht="22" customHeight="1">
      <c r="A37" s="3"/>
      <c r="B37" s="7"/>
      <c r="C37" s="3"/>
      <c r="D37" s="3"/>
      <c r="E37" s="3"/>
      <c r="F37" s="3"/>
      <c r="G37" s="4"/>
      <c r="H37" s="4"/>
      <c r="I37" s="3"/>
      <c r="J37" s="3"/>
      <c r="K37" s="8" t="str">
        <f t="shared" si="0"/>
        <v/>
      </c>
      <c r="L37" s="1" t="str">
        <f>IF(COUNTA(A37:J37)=0,"",IF(OR(AND(C37&lt;&gt;"Servicio",C37&lt;&gt;"Cobro",C37&lt;&gt;"Anticipo",C37&lt;&gt;"Aplicación anticipo",C37&lt;&gt;"Retención ISR",C37&lt;&gt;"Retención IVA"),AND(C37="Servicio",F37&lt;&gt;"TMS",F37&lt;&gt;"Valoración",F37&lt;&gt;"EEG",F37&lt;&gt;"Neurofeedback",F37&lt;&gt;"Fotobiomodulación",F37&lt;&gt;"Psicoterapia",F37&lt;&gt;"Otros")),"Tipo o categoría inválido",IF(COUNTA(A37:J37)=0,"",IF(OR(A37="",B37="",C37="",G37=""),"Faltan datos",IF(COUNTIF($A$7:$A$2006,A37)&gt;1,"ID duplicado",IF(OR(B37&lt;DATE(Configuración!$C$5,1,1),B37&gt;=DATE(Configuración!$C$5+1,1,1)),"Fecha fuera del año",IF(OR(G37&lt;0,H37&lt;0),"Revisar signo",IF(AND(C37&lt;&gt;"Servicio",H37&lt;&gt;0),"IVA solo en Servicio",IF(AND(C37="Servicio",F37=""),"Falta servicio","OK")))))))))</f>
        <v/>
      </c>
    </row>
    <row r="38" spans="1:12" ht="22" customHeight="1">
      <c r="A38" s="3"/>
      <c r="B38" s="7"/>
      <c r="C38" s="3"/>
      <c r="D38" s="3"/>
      <c r="E38" s="3"/>
      <c r="F38" s="3"/>
      <c r="G38" s="4"/>
      <c r="H38" s="4"/>
      <c r="I38" s="3"/>
      <c r="J38" s="3"/>
      <c r="K38" s="8" t="str">
        <f t="shared" si="0"/>
        <v/>
      </c>
      <c r="L38" s="1" t="str">
        <f>IF(COUNTA(A38:J38)=0,"",IF(OR(AND(C38&lt;&gt;"Servicio",C38&lt;&gt;"Cobro",C38&lt;&gt;"Anticipo",C38&lt;&gt;"Aplicación anticipo",C38&lt;&gt;"Retención ISR",C38&lt;&gt;"Retención IVA"),AND(C38="Servicio",F38&lt;&gt;"TMS",F38&lt;&gt;"Valoración",F38&lt;&gt;"EEG",F38&lt;&gt;"Neurofeedback",F38&lt;&gt;"Fotobiomodulación",F38&lt;&gt;"Psicoterapia",F38&lt;&gt;"Otros")),"Tipo o categoría inválido",IF(COUNTA(A38:J38)=0,"",IF(OR(A38="",B38="",C38="",G38=""),"Faltan datos",IF(COUNTIF($A$7:$A$2006,A38)&gt;1,"ID duplicado",IF(OR(B38&lt;DATE(Configuración!$C$5,1,1),B38&gt;=DATE(Configuración!$C$5+1,1,1)),"Fecha fuera del año",IF(OR(G38&lt;0,H38&lt;0),"Revisar signo",IF(AND(C38&lt;&gt;"Servicio",H38&lt;&gt;0),"IVA solo en Servicio",IF(AND(C38="Servicio",F38=""),"Falta servicio","OK")))))))))</f>
        <v/>
      </c>
    </row>
    <row r="39" spans="1:12" ht="22" customHeight="1">
      <c r="A39" s="3"/>
      <c r="B39" s="7"/>
      <c r="C39" s="3"/>
      <c r="D39" s="3"/>
      <c r="E39" s="3"/>
      <c r="F39" s="3"/>
      <c r="G39" s="4"/>
      <c r="H39" s="4"/>
      <c r="I39" s="3"/>
      <c r="J39" s="3"/>
      <c r="K39" s="8" t="str">
        <f t="shared" si="0"/>
        <v/>
      </c>
      <c r="L39" s="1" t="str">
        <f>IF(COUNTA(A39:J39)=0,"",IF(OR(AND(C39&lt;&gt;"Servicio",C39&lt;&gt;"Cobro",C39&lt;&gt;"Anticipo",C39&lt;&gt;"Aplicación anticipo",C39&lt;&gt;"Retención ISR",C39&lt;&gt;"Retención IVA"),AND(C39="Servicio",F39&lt;&gt;"TMS",F39&lt;&gt;"Valoración",F39&lt;&gt;"EEG",F39&lt;&gt;"Neurofeedback",F39&lt;&gt;"Fotobiomodulación",F39&lt;&gt;"Psicoterapia",F39&lt;&gt;"Otros")),"Tipo o categoría inválido",IF(COUNTA(A39:J39)=0,"",IF(OR(A39="",B39="",C39="",G39=""),"Faltan datos",IF(COUNTIF($A$7:$A$2006,A39)&gt;1,"ID duplicado",IF(OR(B39&lt;DATE(Configuración!$C$5,1,1),B39&gt;=DATE(Configuración!$C$5+1,1,1)),"Fecha fuera del año",IF(OR(G39&lt;0,H39&lt;0),"Revisar signo",IF(AND(C39&lt;&gt;"Servicio",H39&lt;&gt;0),"IVA solo en Servicio",IF(AND(C39="Servicio",F39=""),"Falta servicio","OK")))))))))</f>
        <v/>
      </c>
    </row>
    <row r="40" spans="1:12" ht="22" customHeight="1">
      <c r="A40" s="3"/>
      <c r="B40" s="7"/>
      <c r="C40" s="3"/>
      <c r="D40" s="3"/>
      <c r="E40" s="3"/>
      <c r="F40" s="3"/>
      <c r="G40" s="4"/>
      <c r="H40" s="4"/>
      <c r="I40" s="3"/>
      <c r="J40" s="3"/>
      <c r="K40" s="8" t="str">
        <f t="shared" si="0"/>
        <v/>
      </c>
      <c r="L40" s="1" t="str">
        <f>IF(COUNTA(A40:J40)=0,"",IF(OR(AND(C40&lt;&gt;"Servicio",C40&lt;&gt;"Cobro",C40&lt;&gt;"Anticipo",C40&lt;&gt;"Aplicación anticipo",C40&lt;&gt;"Retención ISR",C40&lt;&gt;"Retención IVA"),AND(C40="Servicio",F40&lt;&gt;"TMS",F40&lt;&gt;"Valoración",F40&lt;&gt;"EEG",F40&lt;&gt;"Neurofeedback",F40&lt;&gt;"Fotobiomodulación",F40&lt;&gt;"Psicoterapia",F40&lt;&gt;"Otros")),"Tipo o categoría inválido",IF(COUNTA(A40:J40)=0,"",IF(OR(A40="",B40="",C40="",G40=""),"Faltan datos",IF(COUNTIF($A$7:$A$2006,A40)&gt;1,"ID duplicado",IF(OR(B40&lt;DATE(Configuración!$C$5,1,1),B40&gt;=DATE(Configuración!$C$5+1,1,1)),"Fecha fuera del año",IF(OR(G40&lt;0,H40&lt;0),"Revisar signo",IF(AND(C40&lt;&gt;"Servicio",H40&lt;&gt;0),"IVA solo en Servicio",IF(AND(C40="Servicio",F40=""),"Falta servicio","OK")))))))))</f>
        <v/>
      </c>
    </row>
    <row r="41" spans="1:12" ht="22" customHeight="1">
      <c r="A41" s="3"/>
      <c r="B41" s="7"/>
      <c r="C41" s="3"/>
      <c r="D41" s="3"/>
      <c r="E41" s="3"/>
      <c r="F41" s="3"/>
      <c r="G41" s="4"/>
      <c r="H41" s="4"/>
      <c r="I41" s="3"/>
      <c r="J41" s="3"/>
      <c r="K41" s="8" t="str">
        <f t="shared" si="0"/>
        <v/>
      </c>
      <c r="L41" s="1" t="str">
        <f>IF(COUNTA(A41:J41)=0,"",IF(OR(AND(C41&lt;&gt;"Servicio",C41&lt;&gt;"Cobro",C41&lt;&gt;"Anticipo",C41&lt;&gt;"Aplicación anticipo",C41&lt;&gt;"Retención ISR",C41&lt;&gt;"Retención IVA"),AND(C41="Servicio",F41&lt;&gt;"TMS",F41&lt;&gt;"Valoración",F41&lt;&gt;"EEG",F41&lt;&gt;"Neurofeedback",F41&lt;&gt;"Fotobiomodulación",F41&lt;&gt;"Psicoterapia",F41&lt;&gt;"Otros")),"Tipo o categoría inválido",IF(COUNTA(A41:J41)=0,"",IF(OR(A41="",B41="",C41="",G41=""),"Faltan datos",IF(COUNTIF($A$7:$A$2006,A41)&gt;1,"ID duplicado",IF(OR(B41&lt;DATE(Configuración!$C$5,1,1),B41&gt;=DATE(Configuración!$C$5+1,1,1)),"Fecha fuera del año",IF(OR(G41&lt;0,H41&lt;0),"Revisar signo",IF(AND(C41&lt;&gt;"Servicio",H41&lt;&gt;0),"IVA solo en Servicio",IF(AND(C41="Servicio",F41=""),"Falta servicio","OK")))))))))</f>
        <v/>
      </c>
    </row>
    <row r="42" spans="1:12" ht="22" customHeight="1">
      <c r="A42" s="3"/>
      <c r="B42" s="7"/>
      <c r="C42" s="3"/>
      <c r="D42" s="3"/>
      <c r="E42" s="3"/>
      <c r="F42" s="3"/>
      <c r="G42" s="4"/>
      <c r="H42" s="4"/>
      <c r="I42" s="3"/>
      <c r="J42" s="3"/>
      <c r="K42" s="8" t="str">
        <f t="shared" si="0"/>
        <v/>
      </c>
      <c r="L42" s="1" t="str">
        <f>IF(COUNTA(A42:J42)=0,"",IF(OR(AND(C42&lt;&gt;"Servicio",C42&lt;&gt;"Cobro",C42&lt;&gt;"Anticipo",C42&lt;&gt;"Aplicación anticipo",C42&lt;&gt;"Retención ISR",C42&lt;&gt;"Retención IVA"),AND(C42="Servicio",F42&lt;&gt;"TMS",F42&lt;&gt;"Valoración",F42&lt;&gt;"EEG",F42&lt;&gt;"Neurofeedback",F42&lt;&gt;"Fotobiomodulación",F42&lt;&gt;"Psicoterapia",F42&lt;&gt;"Otros")),"Tipo o categoría inválido",IF(COUNTA(A42:J42)=0,"",IF(OR(A42="",B42="",C42="",G42=""),"Faltan datos",IF(COUNTIF($A$7:$A$2006,A42)&gt;1,"ID duplicado",IF(OR(B42&lt;DATE(Configuración!$C$5,1,1),B42&gt;=DATE(Configuración!$C$5+1,1,1)),"Fecha fuera del año",IF(OR(G42&lt;0,H42&lt;0),"Revisar signo",IF(AND(C42&lt;&gt;"Servicio",H42&lt;&gt;0),"IVA solo en Servicio",IF(AND(C42="Servicio",F42=""),"Falta servicio","OK")))))))))</f>
        <v/>
      </c>
    </row>
    <row r="43" spans="1:12" ht="22" customHeight="1">
      <c r="A43" s="3"/>
      <c r="B43" s="7"/>
      <c r="C43" s="3"/>
      <c r="D43" s="3"/>
      <c r="E43" s="3"/>
      <c r="F43" s="3"/>
      <c r="G43" s="4"/>
      <c r="H43" s="4"/>
      <c r="I43" s="3"/>
      <c r="J43" s="3"/>
      <c r="K43" s="8" t="str">
        <f t="shared" si="0"/>
        <v/>
      </c>
      <c r="L43" s="1" t="str">
        <f>IF(COUNTA(A43:J43)=0,"",IF(OR(AND(C43&lt;&gt;"Servicio",C43&lt;&gt;"Cobro",C43&lt;&gt;"Anticipo",C43&lt;&gt;"Aplicación anticipo",C43&lt;&gt;"Retención ISR",C43&lt;&gt;"Retención IVA"),AND(C43="Servicio",F43&lt;&gt;"TMS",F43&lt;&gt;"Valoración",F43&lt;&gt;"EEG",F43&lt;&gt;"Neurofeedback",F43&lt;&gt;"Fotobiomodulación",F43&lt;&gt;"Psicoterapia",F43&lt;&gt;"Otros")),"Tipo o categoría inválido",IF(COUNTA(A43:J43)=0,"",IF(OR(A43="",B43="",C43="",G43=""),"Faltan datos",IF(COUNTIF($A$7:$A$2006,A43)&gt;1,"ID duplicado",IF(OR(B43&lt;DATE(Configuración!$C$5,1,1),B43&gt;=DATE(Configuración!$C$5+1,1,1)),"Fecha fuera del año",IF(OR(G43&lt;0,H43&lt;0),"Revisar signo",IF(AND(C43&lt;&gt;"Servicio",H43&lt;&gt;0),"IVA solo en Servicio",IF(AND(C43="Servicio",F43=""),"Falta servicio","OK")))))))))</f>
        <v/>
      </c>
    </row>
    <row r="44" spans="1:12" ht="22" customHeight="1">
      <c r="A44" s="3"/>
      <c r="B44" s="7"/>
      <c r="C44" s="3"/>
      <c r="D44" s="3"/>
      <c r="E44" s="3"/>
      <c r="F44" s="3"/>
      <c r="G44" s="4"/>
      <c r="H44" s="4"/>
      <c r="I44" s="3"/>
      <c r="J44" s="3"/>
      <c r="K44" s="8" t="str">
        <f t="shared" si="0"/>
        <v/>
      </c>
      <c r="L44" s="1" t="str">
        <f>IF(COUNTA(A44:J44)=0,"",IF(OR(AND(C44&lt;&gt;"Servicio",C44&lt;&gt;"Cobro",C44&lt;&gt;"Anticipo",C44&lt;&gt;"Aplicación anticipo",C44&lt;&gt;"Retención ISR",C44&lt;&gt;"Retención IVA"),AND(C44="Servicio",F44&lt;&gt;"TMS",F44&lt;&gt;"Valoración",F44&lt;&gt;"EEG",F44&lt;&gt;"Neurofeedback",F44&lt;&gt;"Fotobiomodulación",F44&lt;&gt;"Psicoterapia",F44&lt;&gt;"Otros")),"Tipo o categoría inválido",IF(COUNTA(A44:J44)=0,"",IF(OR(A44="",B44="",C44="",G44=""),"Faltan datos",IF(COUNTIF($A$7:$A$2006,A44)&gt;1,"ID duplicado",IF(OR(B44&lt;DATE(Configuración!$C$5,1,1),B44&gt;=DATE(Configuración!$C$5+1,1,1)),"Fecha fuera del año",IF(OR(G44&lt;0,H44&lt;0),"Revisar signo",IF(AND(C44&lt;&gt;"Servicio",H44&lt;&gt;0),"IVA solo en Servicio",IF(AND(C44="Servicio",F44=""),"Falta servicio","OK")))))))))</f>
        <v/>
      </c>
    </row>
    <row r="45" spans="1:12" ht="22" customHeight="1">
      <c r="A45" s="3"/>
      <c r="B45" s="7"/>
      <c r="C45" s="3"/>
      <c r="D45" s="3"/>
      <c r="E45" s="3"/>
      <c r="F45" s="3"/>
      <c r="G45" s="4"/>
      <c r="H45" s="4"/>
      <c r="I45" s="3"/>
      <c r="J45" s="3"/>
      <c r="K45" s="8" t="str">
        <f t="shared" si="0"/>
        <v/>
      </c>
      <c r="L45" s="1" t="str">
        <f>IF(COUNTA(A45:J45)=0,"",IF(OR(AND(C45&lt;&gt;"Servicio",C45&lt;&gt;"Cobro",C45&lt;&gt;"Anticipo",C45&lt;&gt;"Aplicación anticipo",C45&lt;&gt;"Retención ISR",C45&lt;&gt;"Retención IVA"),AND(C45="Servicio",F45&lt;&gt;"TMS",F45&lt;&gt;"Valoración",F45&lt;&gt;"EEG",F45&lt;&gt;"Neurofeedback",F45&lt;&gt;"Fotobiomodulación",F45&lt;&gt;"Psicoterapia",F45&lt;&gt;"Otros")),"Tipo o categoría inválido",IF(COUNTA(A45:J45)=0,"",IF(OR(A45="",B45="",C45="",G45=""),"Faltan datos",IF(COUNTIF($A$7:$A$2006,A45)&gt;1,"ID duplicado",IF(OR(B45&lt;DATE(Configuración!$C$5,1,1),B45&gt;=DATE(Configuración!$C$5+1,1,1)),"Fecha fuera del año",IF(OR(G45&lt;0,H45&lt;0),"Revisar signo",IF(AND(C45&lt;&gt;"Servicio",H45&lt;&gt;0),"IVA solo en Servicio",IF(AND(C45="Servicio",F45=""),"Falta servicio","OK")))))))))</f>
        <v/>
      </c>
    </row>
    <row r="46" spans="1:12" ht="22" customHeight="1">
      <c r="A46" s="3"/>
      <c r="B46" s="7"/>
      <c r="C46" s="3"/>
      <c r="D46" s="3"/>
      <c r="E46" s="3"/>
      <c r="F46" s="3"/>
      <c r="G46" s="4"/>
      <c r="H46" s="4"/>
      <c r="I46" s="3"/>
      <c r="J46" s="3"/>
      <c r="K46" s="8" t="str">
        <f t="shared" si="0"/>
        <v/>
      </c>
      <c r="L46" s="1" t="str">
        <f>IF(COUNTA(A46:J46)=0,"",IF(OR(AND(C46&lt;&gt;"Servicio",C46&lt;&gt;"Cobro",C46&lt;&gt;"Anticipo",C46&lt;&gt;"Aplicación anticipo",C46&lt;&gt;"Retención ISR",C46&lt;&gt;"Retención IVA"),AND(C46="Servicio",F46&lt;&gt;"TMS",F46&lt;&gt;"Valoración",F46&lt;&gt;"EEG",F46&lt;&gt;"Neurofeedback",F46&lt;&gt;"Fotobiomodulación",F46&lt;&gt;"Psicoterapia",F46&lt;&gt;"Otros")),"Tipo o categoría inválido",IF(COUNTA(A46:J46)=0,"",IF(OR(A46="",B46="",C46="",G46=""),"Faltan datos",IF(COUNTIF($A$7:$A$2006,A46)&gt;1,"ID duplicado",IF(OR(B46&lt;DATE(Configuración!$C$5,1,1),B46&gt;=DATE(Configuración!$C$5+1,1,1)),"Fecha fuera del año",IF(OR(G46&lt;0,H46&lt;0),"Revisar signo",IF(AND(C46&lt;&gt;"Servicio",H46&lt;&gt;0),"IVA solo en Servicio",IF(AND(C46="Servicio",F46=""),"Falta servicio","OK")))))))))</f>
        <v/>
      </c>
    </row>
    <row r="47" spans="1:12" ht="22" customHeight="1">
      <c r="A47" s="3"/>
      <c r="B47" s="7"/>
      <c r="C47" s="3"/>
      <c r="D47" s="3"/>
      <c r="E47" s="3"/>
      <c r="F47" s="3"/>
      <c r="G47" s="4"/>
      <c r="H47" s="4"/>
      <c r="I47" s="3"/>
      <c r="J47" s="3"/>
      <c r="K47" s="8" t="str">
        <f t="shared" si="0"/>
        <v/>
      </c>
      <c r="L47" s="1" t="str">
        <f>IF(COUNTA(A47:J47)=0,"",IF(OR(AND(C47&lt;&gt;"Servicio",C47&lt;&gt;"Cobro",C47&lt;&gt;"Anticipo",C47&lt;&gt;"Aplicación anticipo",C47&lt;&gt;"Retención ISR",C47&lt;&gt;"Retención IVA"),AND(C47="Servicio",F47&lt;&gt;"TMS",F47&lt;&gt;"Valoración",F47&lt;&gt;"EEG",F47&lt;&gt;"Neurofeedback",F47&lt;&gt;"Fotobiomodulación",F47&lt;&gt;"Psicoterapia",F47&lt;&gt;"Otros")),"Tipo o categoría inválido",IF(COUNTA(A47:J47)=0,"",IF(OR(A47="",B47="",C47="",G47=""),"Faltan datos",IF(COUNTIF($A$7:$A$2006,A47)&gt;1,"ID duplicado",IF(OR(B47&lt;DATE(Configuración!$C$5,1,1),B47&gt;=DATE(Configuración!$C$5+1,1,1)),"Fecha fuera del año",IF(OR(G47&lt;0,H47&lt;0),"Revisar signo",IF(AND(C47&lt;&gt;"Servicio",H47&lt;&gt;0),"IVA solo en Servicio",IF(AND(C47="Servicio",F47=""),"Falta servicio","OK")))))))))</f>
        <v/>
      </c>
    </row>
    <row r="48" spans="1:12" ht="22" customHeight="1">
      <c r="A48" s="3"/>
      <c r="B48" s="7"/>
      <c r="C48" s="3"/>
      <c r="D48" s="3"/>
      <c r="E48" s="3"/>
      <c r="F48" s="3"/>
      <c r="G48" s="4"/>
      <c r="H48" s="4"/>
      <c r="I48" s="3"/>
      <c r="J48" s="3"/>
      <c r="K48" s="8" t="str">
        <f t="shared" si="0"/>
        <v/>
      </c>
      <c r="L48" s="1" t="str">
        <f>IF(COUNTA(A48:J48)=0,"",IF(OR(AND(C48&lt;&gt;"Servicio",C48&lt;&gt;"Cobro",C48&lt;&gt;"Anticipo",C48&lt;&gt;"Aplicación anticipo",C48&lt;&gt;"Retención ISR",C48&lt;&gt;"Retención IVA"),AND(C48="Servicio",F48&lt;&gt;"TMS",F48&lt;&gt;"Valoración",F48&lt;&gt;"EEG",F48&lt;&gt;"Neurofeedback",F48&lt;&gt;"Fotobiomodulación",F48&lt;&gt;"Psicoterapia",F48&lt;&gt;"Otros")),"Tipo o categoría inválido",IF(COUNTA(A48:J48)=0,"",IF(OR(A48="",B48="",C48="",G48=""),"Faltan datos",IF(COUNTIF($A$7:$A$2006,A48)&gt;1,"ID duplicado",IF(OR(B48&lt;DATE(Configuración!$C$5,1,1),B48&gt;=DATE(Configuración!$C$5+1,1,1)),"Fecha fuera del año",IF(OR(G48&lt;0,H48&lt;0),"Revisar signo",IF(AND(C48&lt;&gt;"Servicio",H48&lt;&gt;0),"IVA solo en Servicio",IF(AND(C48="Servicio",F48=""),"Falta servicio","OK")))))))))</f>
        <v/>
      </c>
    </row>
    <row r="49" spans="1:12" ht="22" customHeight="1">
      <c r="A49" s="3"/>
      <c r="B49" s="7"/>
      <c r="C49" s="3"/>
      <c r="D49" s="3"/>
      <c r="E49" s="3"/>
      <c r="F49" s="3"/>
      <c r="G49" s="4"/>
      <c r="H49" s="4"/>
      <c r="I49" s="3"/>
      <c r="J49" s="3"/>
      <c r="K49" s="8" t="str">
        <f t="shared" si="0"/>
        <v/>
      </c>
      <c r="L49" s="1" t="str">
        <f>IF(COUNTA(A49:J49)=0,"",IF(OR(AND(C49&lt;&gt;"Servicio",C49&lt;&gt;"Cobro",C49&lt;&gt;"Anticipo",C49&lt;&gt;"Aplicación anticipo",C49&lt;&gt;"Retención ISR",C49&lt;&gt;"Retención IVA"),AND(C49="Servicio",F49&lt;&gt;"TMS",F49&lt;&gt;"Valoración",F49&lt;&gt;"EEG",F49&lt;&gt;"Neurofeedback",F49&lt;&gt;"Fotobiomodulación",F49&lt;&gt;"Psicoterapia",F49&lt;&gt;"Otros")),"Tipo o categoría inválido",IF(COUNTA(A49:J49)=0,"",IF(OR(A49="",B49="",C49="",G49=""),"Faltan datos",IF(COUNTIF($A$7:$A$2006,A49)&gt;1,"ID duplicado",IF(OR(B49&lt;DATE(Configuración!$C$5,1,1),B49&gt;=DATE(Configuración!$C$5+1,1,1)),"Fecha fuera del año",IF(OR(G49&lt;0,H49&lt;0),"Revisar signo",IF(AND(C49&lt;&gt;"Servicio",H49&lt;&gt;0),"IVA solo en Servicio",IF(AND(C49="Servicio",F49=""),"Falta servicio","OK")))))))))</f>
        <v/>
      </c>
    </row>
    <row r="50" spans="1:12" ht="22" customHeight="1">
      <c r="A50" s="3"/>
      <c r="B50" s="7"/>
      <c r="C50" s="3"/>
      <c r="D50" s="3"/>
      <c r="E50" s="3"/>
      <c r="F50" s="3"/>
      <c r="G50" s="4"/>
      <c r="H50" s="4"/>
      <c r="I50" s="3"/>
      <c r="J50" s="3"/>
      <c r="K50" s="8" t="str">
        <f t="shared" si="0"/>
        <v/>
      </c>
      <c r="L50" s="1" t="str">
        <f>IF(COUNTA(A50:J50)=0,"",IF(OR(AND(C50&lt;&gt;"Servicio",C50&lt;&gt;"Cobro",C50&lt;&gt;"Anticipo",C50&lt;&gt;"Aplicación anticipo",C50&lt;&gt;"Retención ISR",C50&lt;&gt;"Retención IVA"),AND(C50="Servicio",F50&lt;&gt;"TMS",F50&lt;&gt;"Valoración",F50&lt;&gt;"EEG",F50&lt;&gt;"Neurofeedback",F50&lt;&gt;"Fotobiomodulación",F50&lt;&gt;"Psicoterapia",F50&lt;&gt;"Otros")),"Tipo o categoría inválido",IF(COUNTA(A50:J50)=0,"",IF(OR(A50="",B50="",C50="",G50=""),"Faltan datos",IF(COUNTIF($A$7:$A$2006,A50)&gt;1,"ID duplicado",IF(OR(B50&lt;DATE(Configuración!$C$5,1,1),B50&gt;=DATE(Configuración!$C$5+1,1,1)),"Fecha fuera del año",IF(OR(G50&lt;0,H50&lt;0),"Revisar signo",IF(AND(C50&lt;&gt;"Servicio",H50&lt;&gt;0),"IVA solo en Servicio",IF(AND(C50="Servicio",F50=""),"Falta servicio","OK")))))))))</f>
        <v/>
      </c>
    </row>
    <row r="51" spans="1:12" ht="22" customHeight="1">
      <c r="A51" s="3"/>
      <c r="B51" s="7"/>
      <c r="C51" s="3"/>
      <c r="D51" s="3"/>
      <c r="E51" s="3"/>
      <c r="F51" s="3"/>
      <c r="G51" s="4"/>
      <c r="H51" s="4"/>
      <c r="I51" s="3"/>
      <c r="J51" s="3"/>
      <c r="K51" s="8" t="str">
        <f t="shared" si="0"/>
        <v/>
      </c>
      <c r="L51" s="1" t="str">
        <f>IF(COUNTA(A51:J51)=0,"",IF(OR(AND(C51&lt;&gt;"Servicio",C51&lt;&gt;"Cobro",C51&lt;&gt;"Anticipo",C51&lt;&gt;"Aplicación anticipo",C51&lt;&gt;"Retención ISR",C51&lt;&gt;"Retención IVA"),AND(C51="Servicio",F51&lt;&gt;"TMS",F51&lt;&gt;"Valoración",F51&lt;&gt;"EEG",F51&lt;&gt;"Neurofeedback",F51&lt;&gt;"Fotobiomodulación",F51&lt;&gt;"Psicoterapia",F51&lt;&gt;"Otros")),"Tipo o categoría inválido",IF(COUNTA(A51:J51)=0,"",IF(OR(A51="",B51="",C51="",G51=""),"Faltan datos",IF(COUNTIF($A$7:$A$2006,A51)&gt;1,"ID duplicado",IF(OR(B51&lt;DATE(Configuración!$C$5,1,1),B51&gt;=DATE(Configuración!$C$5+1,1,1)),"Fecha fuera del año",IF(OR(G51&lt;0,H51&lt;0),"Revisar signo",IF(AND(C51&lt;&gt;"Servicio",H51&lt;&gt;0),"IVA solo en Servicio",IF(AND(C51="Servicio",F51=""),"Falta servicio","OK")))))))))</f>
        <v/>
      </c>
    </row>
    <row r="52" spans="1:12" ht="22" customHeight="1">
      <c r="A52" s="3"/>
      <c r="B52" s="7"/>
      <c r="C52" s="3"/>
      <c r="D52" s="3"/>
      <c r="E52" s="3"/>
      <c r="F52" s="3"/>
      <c r="G52" s="4"/>
      <c r="H52" s="4"/>
      <c r="I52" s="3"/>
      <c r="J52" s="3"/>
      <c r="K52" s="8" t="str">
        <f t="shared" si="0"/>
        <v/>
      </c>
      <c r="L52" s="1" t="str">
        <f>IF(COUNTA(A52:J52)=0,"",IF(OR(AND(C52&lt;&gt;"Servicio",C52&lt;&gt;"Cobro",C52&lt;&gt;"Anticipo",C52&lt;&gt;"Aplicación anticipo",C52&lt;&gt;"Retención ISR",C52&lt;&gt;"Retención IVA"),AND(C52="Servicio",F52&lt;&gt;"TMS",F52&lt;&gt;"Valoración",F52&lt;&gt;"EEG",F52&lt;&gt;"Neurofeedback",F52&lt;&gt;"Fotobiomodulación",F52&lt;&gt;"Psicoterapia",F52&lt;&gt;"Otros")),"Tipo o categoría inválido",IF(COUNTA(A52:J52)=0,"",IF(OR(A52="",B52="",C52="",G52=""),"Faltan datos",IF(COUNTIF($A$7:$A$2006,A52)&gt;1,"ID duplicado",IF(OR(B52&lt;DATE(Configuración!$C$5,1,1),B52&gt;=DATE(Configuración!$C$5+1,1,1)),"Fecha fuera del año",IF(OR(G52&lt;0,H52&lt;0),"Revisar signo",IF(AND(C52&lt;&gt;"Servicio",H52&lt;&gt;0),"IVA solo en Servicio",IF(AND(C52="Servicio",F52=""),"Falta servicio","OK")))))))))</f>
        <v/>
      </c>
    </row>
    <row r="53" spans="1:12" ht="22" customHeight="1">
      <c r="A53" s="3"/>
      <c r="B53" s="7"/>
      <c r="C53" s="3"/>
      <c r="D53" s="3"/>
      <c r="E53" s="3"/>
      <c r="F53" s="3"/>
      <c r="G53" s="4"/>
      <c r="H53" s="4"/>
      <c r="I53" s="3"/>
      <c r="J53" s="3"/>
      <c r="K53" s="8" t="str">
        <f t="shared" si="0"/>
        <v/>
      </c>
      <c r="L53" s="1" t="str">
        <f>IF(COUNTA(A53:J53)=0,"",IF(OR(AND(C53&lt;&gt;"Servicio",C53&lt;&gt;"Cobro",C53&lt;&gt;"Anticipo",C53&lt;&gt;"Aplicación anticipo",C53&lt;&gt;"Retención ISR",C53&lt;&gt;"Retención IVA"),AND(C53="Servicio",F53&lt;&gt;"TMS",F53&lt;&gt;"Valoración",F53&lt;&gt;"EEG",F53&lt;&gt;"Neurofeedback",F53&lt;&gt;"Fotobiomodulación",F53&lt;&gt;"Psicoterapia",F53&lt;&gt;"Otros")),"Tipo o categoría inválido",IF(COUNTA(A53:J53)=0,"",IF(OR(A53="",B53="",C53="",G53=""),"Faltan datos",IF(COUNTIF($A$7:$A$2006,A53)&gt;1,"ID duplicado",IF(OR(B53&lt;DATE(Configuración!$C$5,1,1),B53&gt;=DATE(Configuración!$C$5+1,1,1)),"Fecha fuera del año",IF(OR(G53&lt;0,H53&lt;0),"Revisar signo",IF(AND(C53&lt;&gt;"Servicio",H53&lt;&gt;0),"IVA solo en Servicio",IF(AND(C53="Servicio",F53=""),"Falta servicio","OK")))))))))</f>
        <v/>
      </c>
    </row>
    <row r="54" spans="1:12" ht="22" customHeight="1">
      <c r="A54" s="3"/>
      <c r="B54" s="7"/>
      <c r="C54" s="3"/>
      <c r="D54" s="3"/>
      <c r="E54" s="3"/>
      <c r="F54" s="3"/>
      <c r="G54" s="4"/>
      <c r="H54" s="4"/>
      <c r="I54" s="3"/>
      <c r="J54" s="3"/>
      <c r="K54" s="8" t="str">
        <f t="shared" si="0"/>
        <v/>
      </c>
      <c r="L54" s="1" t="str">
        <f>IF(COUNTA(A54:J54)=0,"",IF(OR(AND(C54&lt;&gt;"Servicio",C54&lt;&gt;"Cobro",C54&lt;&gt;"Anticipo",C54&lt;&gt;"Aplicación anticipo",C54&lt;&gt;"Retención ISR",C54&lt;&gt;"Retención IVA"),AND(C54="Servicio",F54&lt;&gt;"TMS",F54&lt;&gt;"Valoración",F54&lt;&gt;"EEG",F54&lt;&gt;"Neurofeedback",F54&lt;&gt;"Fotobiomodulación",F54&lt;&gt;"Psicoterapia",F54&lt;&gt;"Otros")),"Tipo o categoría inválido",IF(COUNTA(A54:J54)=0,"",IF(OR(A54="",B54="",C54="",G54=""),"Faltan datos",IF(COUNTIF($A$7:$A$2006,A54)&gt;1,"ID duplicado",IF(OR(B54&lt;DATE(Configuración!$C$5,1,1),B54&gt;=DATE(Configuración!$C$5+1,1,1)),"Fecha fuera del año",IF(OR(G54&lt;0,H54&lt;0),"Revisar signo",IF(AND(C54&lt;&gt;"Servicio",H54&lt;&gt;0),"IVA solo en Servicio",IF(AND(C54="Servicio",F54=""),"Falta servicio","OK")))))))))</f>
        <v/>
      </c>
    </row>
    <row r="55" spans="1:12" ht="22" customHeight="1">
      <c r="A55" s="3"/>
      <c r="B55" s="7"/>
      <c r="C55" s="3"/>
      <c r="D55" s="3"/>
      <c r="E55" s="3"/>
      <c r="F55" s="3"/>
      <c r="G55" s="4"/>
      <c r="H55" s="4"/>
      <c r="I55" s="3"/>
      <c r="J55" s="3"/>
      <c r="K55" s="8" t="str">
        <f t="shared" si="0"/>
        <v/>
      </c>
      <c r="L55" s="1" t="str">
        <f>IF(COUNTA(A55:J55)=0,"",IF(OR(AND(C55&lt;&gt;"Servicio",C55&lt;&gt;"Cobro",C55&lt;&gt;"Anticipo",C55&lt;&gt;"Aplicación anticipo",C55&lt;&gt;"Retención ISR",C55&lt;&gt;"Retención IVA"),AND(C55="Servicio",F55&lt;&gt;"TMS",F55&lt;&gt;"Valoración",F55&lt;&gt;"EEG",F55&lt;&gt;"Neurofeedback",F55&lt;&gt;"Fotobiomodulación",F55&lt;&gt;"Psicoterapia",F55&lt;&gt;"Otros")),"Tipo o categoría inválido",IF(COUNTA(A55:J55)=0,"",IF(OR(A55="",B55="",C55="",G55=""),"Faltan datos",IF(COUNTIF($A$7:$A$2006,A55)&gt;1,"ID duplicado",IF(OR(B55&lt;DATE(Configuración!$C$5,1,1),B55&gt;=DATE(Configuración!$C$5+1,1,1)),"Fecha fuera del año",IF(OR(G55&lt;0,H55&lt;0),"Revisar signo",IF(AND(C55&lt;&gt;"Servicio",H55&lt;&gt;0),"IVA solo en Servicio",IF(AND(C55="Servicio",F55=""),"Falta servicio","OK")))))))))</f>
        <v/>
      </c>
    </row>
    <row r="56" spans="1:12" ht="22" customHeight="1">
      <c r="A56" s="3"/>
      <c r="B56" s="7"/>
      <c r="C56" s="3"/>
      <c r="D56" s="3"/>
      <c r="E56" s="3"/>
      <c r="F56" s="3"/>
      <c r="G56" s="4"/>
      <c r="H56" s="4"/>
      <c r="I56" s="3"/>
      <c r="J56" s="3"/>
      <c r="K56" s="8" t="str">
        <f t="shared" si="0"/>
        <v/>
      </c>
      <c r="L56" s="1" t="str">
        <f>IF(COUNTA(A56:J56)=0,"",IF(OR(AND(C56&lt;&gt;"Servicio",C56&lt;&gt;"Cobro",C56&lt;&gt;"Anticipo",C56&lt;&gt;"Aplicación anticipo",C56&lt;&gt;"Retención ISR",C56&lt;&gt;"Retención IVA"),AND(C56="Servicio",F56&lt;&gt;"TMS",F56&lt;&gt;"Valoración",F56&lt;&gt;"EEG",F56&lt;&gt;"Neurofeedback",F56&lt;&gt;"Fotobiomodulación",F56&lt;&gt;"Psicoterapia",F56&lt;&gt;"Otros")),"Tipo o categoría inválido",IF(COUNTA(A56:J56)=0,"",IF(OR(A56="",B56="",C56="",G56=""),"Faltan datos",IF(COUNTIF($A$7:$A$2006,A56)&gt;1,"ID duplicado",IF(OR(B56&lt;DATE(Configuración!$C$5,1,1),B56&gt;=DATE(Configuración!$C$5+1,1,1)),"Fecha fuera del año",IF(OR(G56&lt;0,H56&lt;0),"Revisar signo",IF(AND(C56&lt;&gt;"Servicio",H56&lt;&gt;0),"IVA solo en Servicio",IF(AND(C56="Servicio",F56=""),"Falta servicio","OK")))))))))</f>
        <v/>
      </c>
    </row>
    <row r="57" spans="1:12" ht="22" customHeight="1">
      <c r="A57" s="3"/>
      <c r="B57" s="7"/>
      <c r="C57" s="3"/>
      <c r="D57" s="3"/>
      <c r="E57" s="3"/>
      <c r="F57" s="3"/>
      <c r="G57" s="4"/>
      <c r="H57" s="4"/>
      <c r="I57" s="3"/>
      <c r="J57" s="3"/>
      <c r="K57" s="8" t="str">
        <f t="shared" si="0"/>
        <v/>
      </c>
      <c r="L57" s="1" t="str">
        <f>IF(COUNTA(A57:J57)=0,"",IF(OR(AND(C57&lt;&gt;"Servicio",C57&lt;&gt;"Cobro",C57&lt;&gt;"Anticipo",C57&lt;&gt;"Aplicación anticipo",C57&lt;&gt;"Retención ISR",C57&lt;&gt;"Retención IVA"),AND(C57="Servicio",F57&lt;&gt;"TMS",F57&lt;&gt;"Valoración",F57&lt;&gt;"EEG",F57&lt;&gt;"Neurofeedback",F57&lt;&gt;"Fotobiomodulación",F57&lt;&gt;"Psicoterapia",F57&lt;&gt;"Otros")),"Tipo o categoría inválido",IF(COUNTA(A57:J57)=0,"",IF(OR(A57="",B57="",C57="",G57=""),"Faltan datos",IF(COUNTIF($A$7:$A$2006,A57)&gt;1,"ID duplicado",IF(OR(B57&lt;DATE(Configuración!$C$5,1,1),B57&gt;=DATE(Configuración!$C$5+1,1,1)),"Fecha fuera del año",IF(OR(G57&lt;0,H57&lt;0),"Revisar signo",IF(AND(C57&lt;&gt;"Servicio",H57&lt;&gt;0),"IVA solo en Servicio",IF(AND(C57="Servicio",F57=""),"Falta servicio","OK")))))))))</f>
        <v/>
      </c>
    </row>
    <row r="58" spans="1:12" ht="22" customHeight="1">
      <c r="A58" s="3"/>
      <c r="B58" s="7"/>
      <c r="C58" s="3"/>
      <c r="D58" s="3"/>
      <c r="E58" s="3"/>
      <c r="F58" s="3"/>
      <c r="G58" s="4"/>
      <c r="H58" s="4"/>
      <c r="I58" s="3"/>
      <c r="J58" s="3"/>
      <c r="K58" s="8" t="str">
        <f t="shared" si="0"/>
        <v/>
      </c>
      <c r="L58" s="1" t="str">
        <f>IF(COUNTA(A58:J58)=0,"",IF(OR(AND(C58&lt;&gt;"Servicio",C58&lt;&gt;"Cobro",C58&lt;&gt;"Anticipo",C58&lt;&gt;"Aplicación anticipo",C58&lt;&gt;"Retención ISR",C58&lt;&gt;"Retención IVA"),AND(C58="Servicio",F58&lt;&gt;"TMS",F58&lt;&gt;"Valoración",F58&lt;&gt;"EEG",F58&lt;&gt;"Neurofeedback",F58&lt;&gt;"Fotobiomodulación",F58&lt;&gt;"Psicoterapia",F58&lt;&gt;"Otros")),"Tipo o categoría inválido",IF(COUNTA(A58:J58)=0,"",IF(OR(A58="",B58="",C58="",G58=""),"Faltan datos",IF(COUNTIF($A$7:$A$2006,A58)&gt;1,"ID duplicado",IF(OR(B58&lt;DATE(Configuración!$C$5,1,1),B58&gt;=DATE(Configuración!$C$5+1,1,1)),"Fecha fuera del año",IF(OR(G58&lt;0,H58&lt;0),"Revisar signo",IF(AND(C58&lt;&gt;"Servicio",H58&lt;&gt;0),"IVA solo en Servicio",IF(AND(C58="Servicio",F58=""),"Falta servicio","OK")))))))))</f>
        <v/>
      </c>
    </row>
    <row r="59" spans="1:12" ht="22" customHeight="1">
      <c r="A59" s="3"/>
      <c r="B59" s="7"/>
      <c r="C59" s="3"/>
      <c r="D59" s="3"/>
      <c r="E59" s="3"/>
      <c r="F59" s="3"/>
      <c r="G59" s="4"/>
      <c r="H59" s="4"/>
      <c r="I59" s="3"/>
      <c r="J59" s="3"/>
      <c r="K59" s="8" t="str">
        <f t="shared" si="0"/>
        <v/>
      </c>
      <c r="L59" s="1" t="str">
        <f>IF(COUNTA(A59:J59)=0,"",IF(OR(AND(C59&lt;&gt;"Servicio",C59&lt;&gt;"Cobro",C59&lt;&gt;"Anticipo",C59&lt;&gt;"Aplicación anticipo",C59&lt;&gt;"Retención ISR",C59&lt;&gt;"Retención IVA"),AND(C59="Servicio",F59&lt;&gt;"TMS",F59&lt;&gt;"Valoración",F59&lt;&gt;"EEG",F59&lt;&gt;"Neurofeedback",F59&lt;&gt;"Fotobiomodulación",F59&lt;&gt;"Psicoterapia",F59&lt;&gt;"Otros")),"Tipo o categoría inválido",IF(COUNTA(A59:J59)=0,"",IF(OR(A59="",B59="",C59="",G59=""),"Faltan datos",IF(COUNTIF($A$7:$A$2006,A59)&gt;1,"ID duplicado",IF(OR(B59&lt;DATE(Configuración!$C$5,1,1),B59&gt;=DATE(Configuración!$C$5+1,1,1)),"Fecha fuera del año",IF(OR(G59&lt;0,H59&lt;0),"Revisar signo",IF(AND(C59&lt;&gt;"Servicio",H59&lt;&gt;0),"IVA solo en Servicio",IF(AND(C59="Servicio",F59=""),"Falta servicio","OK")))))))))</f>
        <v/>
      </c>
    </row>
    <row r="60" spans="1:12" ht="22" customHeight="1">
      <c r="A60" s="3"/>
      <c r="B60" s="7"/>
      <c r="C60" s="3"/>
      <c r="D60" s="3"/>
      <c r="E60" s="3"/>
      <c r="F60" s="3"/>
      <c r="G60" s="4"/>
      <c r="H60" s="4"/>
      <c r="I60" s="3"/>
      <c r="J60" s="3"/>
      <c r="K60" s="8" t="str">
        <f t="shared" si="0"/>
        <v/>
      </c>
      <c r="L60" s="1" t="str">
        <f>IF(COUNTA(A60:J60)=0,"",IF(OR(AND(C60&lt;&gt;"Servicio",C60&lt;&gt;"Cobro",C60&lt;&gt;"Anticipo",C60&lt;&gt;"Aplicación anticipo",C60&lt;&gt;"Retención ISR",C60&lt;&gt;"Retención IVA"),AND(C60="Servicio",F60&lt;&gt;"TMS",F60&lt;&gt;"Valoración",F60&lt;&gt;"EEG",F60&lt;&gt;"Neurofeedback",F60&lt;&gt;"Fotobiomodulación",F60&lt;&gt;"Psicoterapia",F60&lt;&gt;"Otros")),"Tipo o categoría inválido",IF(COUNTA(A60:J60)=0,"",IF(OR(A60="",B60="",C60="",G60=""),"Faltan datos",IF(COUNTIF($A$7:$A$2006,A60)&gt;1,"ID duplicado",IF(OR(B60&lt;DATE(Configuración!$C$5,1,1),B60&gt;=DATE(Configuración!$C$5+1,1,1)),"Fecha fuera del año",IF(OR(G60&lt;0,H60&lt;0),"Revisar signo",IF(AND(C60&lt;&gt;"Servicio",H60&lt;&gt;0),"IVA solo en Servicio",IF(AND(C60="Servicio",F60=""),"Falta servicio","OK")))))))))</f>
        <v/>
      </c>
    </row>
    <row r="61" spans="1:12" ht="22" customHeight="1">
      <c r="A61" s="3"/>
      <c r="B61" s="7"/>
      <c r="C61" s="3"/>
      <c r="D61" s="3"/>
      <c r="E61" s="3"/>
      <c r="F61" s="3"/>
      <c r="G61" s="4"/>
      <c r="H61" s="4"/>
      <c r="I61" s="3"/>
      <c r="J61" s="3"/>
      <c r="K61" s="8" t="str">
        <f t="shared" si="0"/>
        <v/>
      </c>
      <c r="L61" s="1" t="str">
        <f>IF(COUNTA(A61:J61)=0,"",IF(OR(AND(C61&lt;&gt;"Servicio",C61&lt;&gt;"Cobro",C61&lt;&gt;"Anticipo",C61&lt;&gt;"Aplicación anticipo",C61&lt;&gt;"Retención ISR",C61&lt;&gt;"Retención IVA"),AND(C61="Servicio",F61&lt;&gt;"TMS",F61&lt;&gt;"Valoración",F61&lt;&gt;"EEG",F61&lt;&gt;"Neurofeedback",F61&lt;&gt;"Fotobiomodulación",F61&lt;&gt;"Psicoterapia",F61&lt;&gt;"Otros")),"Tipo o categoría inválido",IF(COUNTA(A61:J61)=0,"",IF(OR(A61="",B61="",C61="",G61=""),"Faltan datos",IF(COUNTIF($A$7:$A$2006,A61)&gt;1,"ID duplicado",IF(OR(B61&lt;DATE(Configuración!$C$5,1,1),B61&gt;=DATE(Configuración!$C$5+1,1,1)),"Fecha fuera del año",IF(OR(G61&lt;0,H61&lt;0),"Revisar signo",IF(AND(C61&lt;&gt;"Servicio",H61&lt;&gt;0),"IVA solo en Servicio",IF(AND(C61="Servicio",F61=""),"Falta servicio","OK")))))))))</f>
        <v/>
      </c>
    </row>
    <row r="62" spans="1:12" ht="22" customHeight="1">
      <c r="A62" s="3"/>
      <c r="B62" s="7"/>
      <c r="C62" s="3"/>
      <c r="D62" s="3"/>
      <c r="E62" s="3"/>
      <c r="F62" s="3"/>
      <c r="G62" s="4"/>
      <c r="H62" s="4"/>
      <c r="I62" s="3"/>
      <c r="J62" s="3"/>
      <c r="K62" s="8" t="str">
        <f t="shared" si="0"/>
        <v/>
      </c>
      <c r="L62" s="1" t="str">
        <f>IF(COUNTA(A62:J62)=0,"",IF(OR(AND(C62&lt;&gt;"Servicio",C62&lt;&gt;"Cobro",C62&lt;&gt;"Anticipo",C62&lt;&gt;"Aplicación anticipo",C62&lt;&gt;"Retención ISR",C62&lt;&gt;"Retención IVA"),AND(C62="Servicio",F62&lt;&gt;"TMS",F62&lt;&gt;"Valoración",F62&lt;&gt;"EEG",F62&lt;&gt;"Neurofeedback",F62&lt;&gt;"Fotobiomodulación",F62&lt;&gt;"Psicoterapia",F62&lt;&gt;"Otros")),"Tipo o categoría inválido",IF(COUNTA(A62:J62)=0,"",IF(OR(A62="",B62="",C62="",G62=""),"Faltan datos",IF(COUNTIF($A$7:$A$2006,A62)&gt;1,"ID duplicado",IF(OR(B62&lt;DATE(Configuración!$C$5,1,1),B62&gt;=DATE(Configuración!$C$5+1,1,1)),"Fecha fuera del año",IF(OR(G62&lt;0,H62&lt;0),"Revisar signo",IF(AND(C62&lt;&gt;"Servicio",H62&lt;&gt;0),"IVA solo en Servicio",IF(AND(C62="Servicio",F62=""),"Falta servicio","OK")))))))))</f>
        <v/>
      </c>
    </row>
    <row r="63" spans="1:12" ht="22" customHeight="1">
      <c r="A63" s="3"/>
      <c r="B63" s="7"/>
      <c r="C63" s="3"/>
      <c r="D63" s="3"/>
      <c r="E63" s="3"/>
      <c r="F63" s="3"/>
      <c r="G63" s="4"/>
      <c r="H63" s="4"/>
      <c r="I63" s="3"/>
      <c r="J63" s="3"/>
      <c r="K63" s="8" t="str">
        <f t="shared" si="0"/>
        <v/>
      </c>
      <c r="L63" s="1" t="str">
        <f>IF(COUNTA(A63:J63)=0,"",IF(OR(AND(C63&lt;&gt;"Servicio",C63&lt;&gt;"Cobro",C63&lt;&gt;"Anticipo",C63&lt;&gt;"Aplicación anticipo",C63&lt;&gt;"Retención ISR",C63&lt;&gt;"Retención IVA"),AND(C63="Servicio",F63&lt;&gt;"TMS",F63&lt;&gt;"Valoración",F63&lt;&gt;"EEG",F63&lt;&gt;"Neurofeedback",F63&lt;&gt;"Fotobiomodulación",F63&lt;&gt;"Psicoterapia",F63&lt;&gt;"Otros")),"Tipo o categoría inválido",IF(COUNTA(A63:J63)=0,"",IF(OR(A63="",B63="",C63="",G63=""),"Faltan datos",IF(COUNTIF($A$7:$A$2006,A63)&gt;1,"ID duplicado",IF(OR(B63&lt;DATE(Configuración!$C$5,1,1),B63&gt;=DATE(Configuración!$C$5+1,1,1)),"Fecha fuera del año",IF(OR(G63&lt;0,H63&lt;0),"Revisar signo",IF(AND(C63&lt;&gt;"Servicio",H63&lt;&gt;0),"IVA solo en Servicio",IF(AND(C63="Servicio",F63=""),"Falta servicio","OK")))))))))</f>
        <v/>
      </c>
    </row>
    <row r="64" spans="1:12" ht="22" customHeight="1">
      <c r="A64" s="3"/>
      <c r="B64" s="7"/>
      <c r="C64" s="3"/>
      <c r="D64" s="3"/>
      <c r="E64" s="3"/>
      <c r="F64" s="3"/>
      <c r="G64" s="4"/>
      <c r="H64" s="4"/>
      <c r="I64" s="3"/>
      <c r="J64" s="3"/>
      <c r="K64" s="8" t="str">
        <f t="shared" si="0"/>
        <v/>
      </c>
      <c r="L64" s="1" t="str">
        <f>IF(COUNTA(A64:J64)=0,"",IF(OR(AND(C64&lt;&gt;"Servicio",C64&lt;&gt;"Cobro",C64&lt;&gt;"Anticipo",C64&lt;&gt;"Aplicación anticipo",C64&lt;&gt;"Retención ISR",C64&lt;&gt;"Retención IVA"),AND(C64="Servicio",F64&lt;&gt;"TMS",F64&lt;&gt;"Valoración",F64&lt;&gt;"EEG",F64&lt;&gt;"Neurofeedback",F64&lt;&gt;"Fotobiomodulación",F64&lt;&gt;"Psicoterapia",F64&lt;&gt;"Otros")),"Tipo o categoría inválido",IF(COUNTA(A64:J64)=0,"",IF(OR(A64="",B64="",C64="",G64=""),"Faltan datos",IF(COUNTIF($A$7:$A$2006,A64)&gt;1,"ID duplicado",IF(OR(B64&lt;DATE(Configuración!$C$5,1,1),B64&gt;=DATE(Configuración!$C$5+1,1,1)),"Fecha fuera del año",IF(OR(G64&lt;0,H64&lt;0),"Revisar signo",IF(AND(C64&lt;&gt;"Servicio",H64&lt;&gt;0),"IVA solo en Servicio",IF(AND(C64="Servicio",F64=""),"Falta servicio","OK")))))))))</f>
        <v/>
      </c>
    </row>
    <row r="65" spans="1:12" ht="22" customHeight="1">
      <c r="A65" s="3"/>
      <c r="B65" s="7"/>
      <c r="C65" s="3"/>
      <c r="D65" s="3"/>
      <c r="E65" s="3"/>
      <c r="F65" s="3"/>
      <c r="G65" s="4"/>
      <c r="H65" s="4"/>
      <c r="I65" s="3"/>
      <c r="J65" s="3"/>
      <c r="K65" s="8" t="str">
        <f t="shared" si="0"/>
        <v/>
      </c>
      <c r="L65" s="1" t="str">
        <f>IF(COUNTA(A65:J65)=0,"",IF(OR(AND(C65&lt;&gt;"Servicio",C65&lt;&gt;"Cobro",C65&lt;&gt;"Anticipo",C65&lt;&gt;"Aplicación anticipo",C65&lt;&gt;"Retención ISR",C65&lt;&gt;"Retención IVA"),AND(C65="Servicio",F65&lt;&gt;"TMS",F65&lt;&gt;"Valoración",F65&lt;&gt;"EEG",F65&lt;&gt;"Neurofeedback",F65&lt;&gt;"Fotobiomodulación",F65&lt;&gt;"Psicoterapia",F65&lt;&gt;"Otros")),"Tipo o categoría inválido",IF(COUNTA(A65:J65)=0,"",IF(OR(A65="",B65="",C65="",G65=""),"Faltan datos",IF(COUNTIF($A$7:$A$2006,A65)&gt;1,"ID duplicado",IF(OR(B65&lt;DATE(Configuración!$C$5,1,1),B65&gt;=DATE(Configuración!$C$5+1,1,1)),"Fecha fuera del año",IF(OR(G65&lt;0,H65&lt;0),"Revisar signo",IF(AND(C65&lt;&gt;"Servicio",H65&lt;&gt;0),"IVA solo en Servicio",IF(AND(C65="Servicio",F65=""),"Falta servicio","OK")))))))))</f>
        <v/>
      </c>
    </row>
    <row r="66" spans="1:12" ht="22" customHeight="1">
      <c r="A66" s="3"/>
      <c r="B66" s="7"/>
      <c r="C66" s="3"/>
      <c r="D66" s="3"/>
      <c r="E66" s="3"/>
      <c r="F66" s="3"/>
      <c r="G66" s="4"/>
      <c r="H66" s="4"/>
      <c r="I66" s="3"/>
      <c r="J66" s="3"/>
      <c r="K66" s="8" t="str">
        <f t="shared" si="0"/>
        <v/>
      </c>
      <c r="L66" s="1" t="str">
        <f>IF(COUNTA(A66:J66)=0,"",IF(OR(AND(C66&lt;&gt;"Servicio",C66&lt;&gt;"Cobro",C66&lt;&gt;"Anticipo",C66&lt;&gt;"Aplicación anticipo",C66&lt;&gt;"Retención ISR",C66&lt;&gt;"Retención IVA"),AND(C66="Servicio",F66&lt;&gt;"TMS",F66&lt;&gt;"Valoración",F66&lt;&gt;"EEG",F66&lt;&gt;"Neurofeedback",F66&lt;&gt;"Fotobiomodulación",F66&lt;&gt;"Psicoterapia",F66&lt;&gt;"Otros")),"Tipo o categoría inválido",IF(COUNTA(A66:J66)=0,"",IF(OR(A66="",B66="",C66="",G66=""),"Faltan datos",IF(COUNTIF($A$7:$A$2006,A66)&gt;1,"ID duplicado",IF(OR(B66&lt;DATE(Configuración!$C$5,1,1),B66&gt;=DATE(Configuración!$C$5+1,1,1)),"Fecha fuera del año",IF(OR(G66&lt;0,H66&lt;0),"Revisar signo",IF(AND(C66&lt;&gt;"Servicio",H66&lt;&gt;0),"IVA solo en Servicio",IF(AND(C66="Servicio",F66=""),"Falta servicio","OK")))))))))</f>
        <v/>
      </c>
    </row>
    <row r="67" spans="1:12" ht="22" customHeight="1">
      <c r="A67" s="3"/>
      <c r="B67" s="7"/>
      <c r="C67" s="3"/>
      <c r="D67" s="3"/>
      <c r="E67" s="3"/>
      <c r="F67" s="3"/>
      <c r="G67" s="4"/>
      <c r="H67" s="4"/>
      <c r="I67" s="3"/>
      <c r="J67" s="3"/>
      <c r="K67" s="8" t="str">
        <f t="shared" si="0"/>
        <v/>
      </c>
      <c r="L67" s="1" t="str">
        <f>IF(COUNTA(A67:J67)=0,"",IF(OR(AND(C67&lt;&gt;"Servicio",C67&lt;&gt;"Cobro",C67&lt;&gt;"Anticipo",C67&lt;&gt;"Aplicación anticipo",C67&lt;&gt;"Retención ISR",C67&lt;&gt;"Retención IVA"),AND(C67="Servicio",F67&lt;&gt;"TMS",F67&lt;&gt;"Valoración",F67&lt;&gt;"EEG",F67&lt;&gt;"Neurofeedback",F67&lt;&gt;"Fotobiomodulación",F67&lt;&gt;"Psicoterapia",F67&lt;&gt;"Otros")),"Tipo o categoría inválido",IF(COUNTA(A67:J67)=0,"",IF(OR(A67="",B67="",C67="",G67=""),"Faltan datos",IF(COUNTIF($A$7:$A$2006,A67)&gt;1,"ID duplicado",IF(OR(B67&lt;DATE(Configuración!$C$5,1,1),B67&gt;=DATE(Configuración!$C$5+1,1,1)),"Fecha fuera del año",IF(OR(G67&lt;0,H67&lt;0),"Revisar signo",IF(AND(C67&lt;&gt;"Servicio",H67&lt;&gt;0),"IVA solo en Servicio",IF(AND(C67="Servicio",F67=""),"Falta servicio","OK")))))))))</f>
        <v/>
      </c>
    </row>
    <row r="68" spans="1:12" ht="22" customHeight="1">
      <c r="A68" s="3"/>
      <c r="B68" s="7"/>
      <c r="C68" s="3"/>
      <c r="D68" s="3"/>
      <c r="E68" s="3"/>
      <c r="F68" s="3"/>
      <c r="G68" s="4"/>
      <c r="H68" s="4"/>
      <c r="I68" s="3"/>
      <c r="J68" s="3"/>
      <c r="K68" s="8" t="str">
        <f t="shared" si="0"/>
        <v/>
      </c>
      <c r="L68" s="1" t="str">
        <f>IF(COUNTA(A68:J68)=0,"",IF(OR(AND(C68&lt;&gt;"Servicio",C68&lt;&gt;"Cobro",C68&lt;&gt;"Anticipo",C68&lt;&gt;"Aplicación anticipo",C68&lt;&gt;"Retención ISR",C68&lt;&gt;"Retención IVA"),AND(C68="Servicio",F68&lt;&gt;"TMS",F68&lt;&gt;"Valoración",F68&lt;&gt;"EEG",F68&lt;&gt;"Neurofeedback",F68&lt;&gt;"Fotobiomodulación",F68&lt;&gt;"Psicoterapia",F68&lt;&gt;"Otros")),"Tipo o categoría inválido",IF(COUNTA(A68:J68)=0,"",IF(OR(A68="",B68="",C68="",G68=""),"Faltan datos",IF(COUNTIF($A$7:$A$2006,A68)&gt;1,"ID duplicado",IF(OR(B68&lt;DATE(Configuración!$C$5,1,1),B68&gt;=DATE(Configuración!$C$5+1,1,1)),"Fecha fuera del año",IF(OR(G68&lt;0,H68&lt;0),"Revisar signo",IF(AND(C68&lt;&gt;"Servicio",H68&lt;&gt;0),"IVA solo en Servicio",IF(AND(C68="Servicio",F68=""),"Falta servicio","OK")))))))))</f>
        <v/>
      </c>
    </row>
    <row r="69" spans="1:12" ht="22" customHeight="1">
      <c r="A69" s="3"/>
      <c r="B69" s="7"/>
      <c r="C69" s="3"/>
      <c r="D69" s="3"/>
      <c r="E69" s="3"/>
      <c r="F69" s="3"/>
      <c r="G69" s="4"/>
      <c r="H69" s="4"/>
      <c r="I69" s="3"/>
      <c r="J69" s="3"/>
      <c r="K69" s="8" t="str">
        <f t="shared" si="0"/>
        <v/>
      </c>
      <c r="L69" s="1" t="str">
        <f>IF(COUNTA(A69:J69)=0,"",IF(OR(AND(C69&lt;&gt;"Servicio",C69&lt;&gt;"Cobro",C69&lt;&gt;"Anticipo",C69&lt;&gt;"Aplicación anticipo",C69&lt;&gt;"Retención ISR",C69&lt;&gt;"Retención IVA"),AND(C69="Servicio",F69&lt;&gt;"TMS",F69&lt;&gt;"Valoración",F69&lt;&gt;"EEG",F69&lt;&gt;"Neurofeedback",F69&lt;&gt;"Fotobiomodulación",F69&lt;&gt;"Psicoterapia",F69&lt;&gt;"Otros")),"Tipo o categoría inválido",IF(COUNTA(A69:J69)=0,"",IF(OR(A69="",B69="",C69="",G69=""),"Faltan datos",IF(COUNTIF($A$7:$A$2006,A69)&gt;1,"ID duplicado",IF(OR(B69&lt;DATE(Configuración!$C$5,1,1),B69&gt;=DATE(Configuración!$C$5+1,1,1)),"Fecha fuera del año",IF(OR(G69&lt;0,H69&lt;0),"Revisar signo",IF(AND(C69&lt;&gt;"Servicio",H69&lt;&gt;0),"IVA solo en Servicio",IF(AND(C69="Servicio",F69=""),"Falta servicio","OK")))))))))</f>
        <v/>
      </c>
    </row>
    <row r="70" spans="1:12" ht="22" customHeight="1">
      <c r="A70" s="3"/>
      <c r="B70" s="7"/>
      <c r="C70" s="3"/>
      <c r="D70" s="3"/>
      <c r="E70" s="3"/>
      <c r="F70" s="3"/>
      <c r="G70" s="4"/>
      <c r="H70" s="4"/>
      <c r="I70" s="3"/>
      <c r="J70" s="3"/>
      <c r="K70" s="8" t="str">
        <f t="shared" si="0"/>
        <v/>
      </c>
      <c r="L70" s="1" t="str">
        <f>IF(COUNTA(A70:J70)=0,"",IF(OR(AND(C70&lt;&gt;"Servicio",C70&lt;&gt;"Cobro",C70&lt;&gt;"Anticipo",C70&lt;&gt;"Aplicación anticipo",C70&lt;&gt;"Retención ISR",C70&lt;&gt;"Retención IVA"),AND(C70="Servicio",F70&lt;&gt;"TMS",F70&lt;&gt;"Valoración",F70&lt;&gt;"EEG",F70&lt;&gt;"Neurofeedback",F70&lt;&gt;"Fotobiomodulación",F70&lt;&gt;"Psicoterapia",F70&lt;&gt;"Otros")),"Tipo o categoría inválido",IF(COUNTA(A70:J70)=0,"",IF(OR(A70="",B70="",C70="",G70=""),"Faltan datos",IF(COUNTIF($A$7:$A$2006,A70)&gt;1,"ID duplicado",IF(OR(B70&lt;DATE(Configuración!$C$5,1,1),B70&gt;=DATE(Configuración!$C$5+1,1,1)),"Fecha fuera del año",IF(OR(G70&lt;0,H70&lt;0),"Revisar signo",IF(AND(C70&lt;&gt;"Servicio",H70&lt;&gt;0),"IVA solo en Servicio",IF(AND(C70="Servicio",F70=""),"Falta servicio","OK")))))))))</f>
        <v/>
      </c>
    </row>
    <row r="71" spans="1:12" ht="22" customHeight="1">
      <c r="A71" s="3"/>
      <c r="B71" s="7"/>
      <c r="C71" s="3"/>
      <c r="D71" s="3"/>
      <c r="E71" s="3"/>
      <c r="F71" s="3"/>
      <c r="G71" s="4"/>
      <c r="H71" s="4"/>
      <c r="I71" s="3"/>
      <c r="J71" s="3"/>
      <c r="K71" s="8" t="str">
        <f t="shared" ref="K71:K134" si="1">IF(A71="","",G71+H71)</f>
        <v/>
      </c>
      <c r="L71" s="1" t="str">
        <f>IF(COUNTA(A71:J71)=0,"",IF(OR(AND(C71&lt;&gt;"Servicio",C71&lt;&gt;"Cobro",C71&lt;&gt;"Anticipo",C71&lt;&gt;"Aplicación anticipo",C71&lt;&gt;"Retención ISR",C71&lt;&gt;"Retención IVA"),AND(C71="Servicio",F71&lt;&gt;"TMS",F71&lt;&gt;"Valoración",F71&lt;&gt;"EEG",F71&lt;&gt;"Neurofeedback",F71&lt;&gt;"Fotobiomodulación",F71&lt;&gt;"Psicoterapia",F71&lt;&gt;"Otros")),"Tipo o categoría inválido",IF(COUNTA(A71:J71)=0,"",IF(OR(A71="",B71="",C71="",G71=""),"Faltan datos",IF(COUNTIF($A$7:$A$2006,A71)&gt;1,"ID duplicado",IF(OR(B71&lt;DATE(Configuración!$C$5,1,1),B71&gt;=DATE(Configuración!$C$5+1,1,1)),"Fecha fuera del año",IF(OR(G71&lt;0,H71&lt;0),"Revisar signo",IF(AND(C71&lt;&gt;"Servicio",H71&lt;&gt;0),"IVA solo en Servicio",IF(AND(C71="Servicio",F71=""),"Falta servicio","OK")))))))))</f>
        <v/>
      </c>
    </row>
    <row r="72" spans="1:12" ht="22" customHeight="1">
      <c r="A72" s="3"/>
      <c r="B72" s="7"/>
      <c r="C72" s="3"/>
      <c r="D72" s="3"/>
      <c r="E72" s="3"/>
      <c r="F72" s="3"/>
      <c r="G72" s="4"/>
      <c r="H72" s="4"/>
      <c r="I72" s="3"/>
      <c r="J72" s="3"/>
      <c r="K72" s="8" t="str">
        <f t="shared" si="1"/>
        <v/>
      </c>
      <c r="L72" s="1" t="str">
        <f>IF(COUNTA(A72:J72)=0,"",IF(OR(AND(C72&lt;&gt;"Servicio",C72&lt;&gt;"Cobro",C72&lt;&gt;"Anticipo",C72&lt;&gt;"Aplicación anticipo",C72&lt;&gt;"Retención ISR",C72&lt;&gt;"Retención IVA"),AND(C72="Servicio",F72&lt;&gt;"TMS",F72&lt;&gt;"Valoración",F72&lt;&gt;"EEG",F72&lt;&gt;"Neurofeedback",F72&lt;&gt;"Fotobiomodulación",F72&lt;&gt;"Psicoterapia",F72&lt;&gt;"Otros")),"Tipo o categoría inválido",IF(COUNTA(A72:J72)=0,"",IF(OR(A72="",B72="",C72="",G72=""),"Faltan datos",IF(COUNTIF($A$7:$A$2006,A72)&gt;1,"ID duplicado",IF(OR(B72&lt;DATE(Configuración!$C$5,1,1),B72&gt;=DATE(Configuración!$C$5+1,1,1)),"Fecha fuera del año",IF(OR(G72&lt;0,H72&lt;0),"Revisar signo",IF(AND(C72&lt;&gt;"Servicio",H72&lt;&gt;0),"IVA solo en Servicio",IF(AND(C72="Servicio",F72=""),"Falta servicio","OK")))))))))</f>
        <v/>
      </c>
    </row>
    <row r="73" spans="1:12" ht="22" customHeight="1">
      <c r="A73" s="3"/>
      <c r="B73" s="7"/>
      <c r="C73" s="3"/>
      <c r="D73" s="3"/>
      <c r="E73" s="3"/>
      <c r="F73" s="3"/>
      <c r="G73" s="4"/>
      <c r="H73" s="4"/>
      <c r="I73" s="3"/>
      <c r="J73" s="3"/>
      <c r="K73" s="8" t="str">
        <f t="shared" si="1"/>
        <v/>
      </c>
      <c r="L73" s="1" t="str">
        <f>IF(COUNTA(A73:J73)=0,"",IF(OR(AND(C73&lt;&gt;"Servicio",C73&lt;&gt;"Cobro",C73&lt;&gt;"Anticipo",C73&lt;&gt;"Aplicación anticipo",C73&lt;&gt;"Retención ISR",C73&lt;&gt;"Retención IVA"),AND(C73="Servicio",F73&lt;&gt;"TMS",F73&lt;&gt;"Valoración",F73&lt;&gt;"EEG",F73&lt;&gt;"Neurofeedback",F73&lt;&gt;"Fotobiomodulación",F73&lt;&gt;"Psicoterapia",F73&lt;&gt;"Otros")),"Tipo o categoría inválido",IF(COUNTA(A73:J73)=0,"",IF(OR(A73="",B73="",C73="",G73=""),"Faltan datos",IF(COUNTIF($A$7:$A$2006,A73)&gt;1,"ID duplicado",IF(OR(B73&lt;DATE(Configuración!$C$5,1,1),B73&gt;=DATE(Configuración!$C$5+1,1,1)),"Fecha fuera del año",IF(OR(G73&lt;0,H73&lt;0),"Revisar signo",IF(AND(C73&lt;&gt;"Servicio",H73&lt;&gt;0),"IVA solo en Servicio",IF(AND(C73="Servicio",F73=""),"Falta servicio","OK")))))))))</f>
        <v/>
      </c>
    </row>
    <row r="74" spans="1:12" ht="22" customHeight="1">
      <c r="A74" s="3"/>
      <c r="B74" s="7"/>
      <c r="C74" s="3"/>
      <c r="D74" s="3"/>
      <c r="E74" s="3"/>
      <c r="F74" s="3"/>
      <c r="G74" s="4"/>
      <c r="H74" s="4"/>
      <c r="I74" s="3"/>
      <c r="J74" s="3"/>
      <c r="K74" s="8" t="str">
        <f t="shared" si="1"/>
        <v/>
      </c>
      <c r="L74" s="1" t="str">
        <f>IF(COUNTA(A74:J74)=0,"",IF(OR(AND(C74&lt;&gt;"Servicio",C74&lt;&gt;"Cobro",C74&lt;&gt;"Anticipo",C74&lt;&gt;"Aplicación anticipo",C74&lt;&gt;"Retención ISR",C74&lt;&gt;"Retención IVA"),AND(C74="Servicio",F74&lt;&gt;"TMS",F74&lt;&gt;"Valoración",F74&lt;&gt;"EEG",F74&lt;&gt;"Neurofeedback",F74&lt;&gt;"Fotobiomodulación",F74&lt;&gt;"Psicoterapia",F74&lt;&gt;"Otros")),"Tipo o categoría inválido",IF(COUNTA(A74:J74)=0,"",IF(OR(A74="",B74="",C74="",G74=""),"Faltan datos",IF(COUNTIF($A$7:$A$2006,A74)&gt;1,"ID duplicado",IF(OR(B74&lt;DATE(Configuración!$C$5,1,1),B74&gt;=DATE(Configuración!$C$5+1,1,1)),"Fecha fuera del año",IF(OR(G74&lt;0,H74&lt;0),"Revisar signo",IF(AND(C74&lt;&gt;"Servicio",H74&lt;&gt;0),"IVA solo en Servicio",IF(AND(C74="Servicio",F74=""),"Falta servicio","OK")))))))))</f>
        <v/>
      </c>
    </row>
    <row r="75" spans="1:12" ht="22" customHeight="1">
      <c r="A75" s="3"/>
      <c r="B75" s="7"/>
      <c r="C75" s="3"/>
      <c r="D75" s="3"/>
      <c r="E75" s="3"/>
      <c r="F75" s="3"/>
      <c r="G75" s="4"/>
      <c r="H75" s="4"/>
      <c r="I75" s="3"/>
      <c r="J75" s="3"/>
      <c r="K75" s="8" t="str">
        <f t="shared" si="1"/>
        <v/>
      </c>
      <c r="L75" s="1" t="str">
        <f>IF(COUNTA(A75:J75)=0,"",IF(OR(AND(C75&lt;&gt;"Servicio",C75&lt;&gt;"Cobro",C75&lt;&gt;"Anticipo",C75&lt;&gt;"Aplicación anticipo",C75&lt;&gt;"Retención ISR",C75&lt;&gt;"Retención IVA"),AND(C75="Servicio",F75&lt;&gt;"TMS",F75&lt;&gt;"Valoración",F75&lt;&gt;"EEG",F75&lt;&gt;"Neurofeedback",F75&lt;&gt;"Fotobiomodulación",F75&lt;&gt;"Psicoterapia",F75&lt;&gt;"Otros")),"Tipo o categoría inválido",IF(COUNTA(A75:J75)=0,"",IF(OR(A75="",B75="",C75="",G75=""),"Faltan datos",IF(COUNTIF($A$7:$A$2006,A75)&gt;1,"ID duplicado",IF(OR(B75&lt;DATE(Configuración!$C$5,1,1),B75&gt;=DATE(Configuración!$C$5+1,1,1)),"Fecha fuera del año",IF(OR(G75&lt;0,H75&lt;0),"Revisar signo",IF(AND(C75&lt;&gt;"Servicio",H75&lt;&gt;0),"IVA solo en Servicio",IF(AND(C75="Servicio",F75=""),"Falta servicio","OK")))))))))</f>
        <v/>
      </c>
    </row>
    <row r="76" spans="1:12" ht="22" customHeight="1">
      <c r="A76" s="3"/>
      <c r="B76" s="7"/>
      <c r="C76" s="3"/>
      <c r="D76" s="3"/>
      <c r="E76" s="3"/>
      <c r="F76" s="3"/>
      <c r="G76" s="4"/>
      <c r="H76" s="4"/>
      <c r="I76" s="3"/>
      <c r="J76" s="3"/>
      <c r="K76" s="8" t="str">
        <f t="shared" si="1"/>
        <v/>
      </c>
      <c r="L76" s="1" t="str">
        <f>IF(COUNTA(A76:J76)=0,"",IF(OR(AND(C76&lt;&gt;"Servicio",C76&lt;&gt;"Cobro",C76&lt;&gt;"Anticipo",C76&lt;&gt;"Aplicación anticipo",C76&lt;&gt;"Retención ISR",C76&lt;&gt;"Retención IVA"),AND(C76="Servicio",F76&lt;&gt;"TMS",F76&lt;&gt;"Valoración",F76&lt;&gt;"EEG",F76&lt;&gt;"Neurofeedback",F76&lt;&gt;"Fotobiomodulación",F76&lt;&gt;"Psicoterapia",F76&lt;&gt;"Otros")),"Tipo o categoría inválido",IF(COUNTA(A76:J76)=0,"",IF(OR(A76="",B76="",C76="",G76=""),"Faltan datos",IF(COUNTIF($A$7:$A$2006,A76)&gt;1,"ID duplicado",IF(OR(B76&lt;DATE(Configuración!$C$5,1,1),B76&gt;=DATE(Configuración!$C$5+1,1,1)),"Fecha fuera del año",IF(OR(G76&lt;0,H76&lt;0),"Revisar signo",IF(AND(C76&lt;&gt;"Servicio",H76&lt;&gt;0),"IVA solo en Servicio",IF(AND(C76="Servicio",F76=""),"Falta servicio","OK")))))))))</f>
        <v/>
      </c>
    </row>
    <row r="77" spans="1:12" ht="22" customHeight="1">
      <c r="A77" s="3"/>
      <c r="B77" s="7"/>
      <c r="C77" s="3"/>
      <c r="D77" s="3"/>
      <c r="E77" s="3"/>
      <c r="F77" s="3"/>
      <c r="G77" s="4"/>
      <c r="H77" s="4"/>
      <c r="I77" s="3"/>
      <c r="J77" s="3"/>
      <c r="K77" s="8" t="str">
        <f t="shared" si="1"/>
        <v/>
      </c>
      <c r="L77" s="1" t="str">
        <f>IF(COUNTA(A77:J77)=0,"",IF(OR(AND(C77&lt;&gt;"Servicio",C77&lt;&gt;"Cobro",C77&lt;&gt;"Anticipo",C77&lt;&gt;"Aplicación anticipo",C77&lt;&gt;"Retención ISR",C77&lt;&gt;"Retención IVA"),AND(C77="Servicio",F77&lt;&gt;"TMS",F77&lt;&gt;"Valoración",F77&lt;&gt;"EEG",F77&lt;&gt;"Neurofeedback",F77&lt;&gt;"Fotobiomodulación",F77&lt;&gt;"Psicoterapia",F77&lt;&gt;"Otros")),"Tipo o categoría inválido",IF(COUNTA(A77:J77)=0,"",IF(OR(A77="",B77="",C77="",G77=""),"Faltan datos",IF(COUNTIF($A$7:$A$2006,A77)&gt;1,"ID duplicado",IF(OR(B77&lt;DATE(Configuración!$C$5,1,1),B77&gt;=DATE(Configuración!$C$5+1,1,1)),"Fecha fuera del año",IF(OR(G77&lt;0,H77&lt;0),"Revisar signo",IF(AND(C77&lt;&gt;"Servicio",H77&lt;&gt;0),"IVA solo en Servicio",IF(AND(C77="Servicio",F77=""),"Falta servicio","OK")))))))))</f>
        <v/>
      </c>
    </row>
    <row r="78" spans="1:12" ht="22" customHeight="1">
      <c r="A78" s="3"/>
      <c r="B78" s="7"/>
      <c r="C78" s="3"/>
      <c r="D78" s="3"/>
      <c r="E78" s="3"/>
      <c r="F78" s="3"/>
      <c r="G78" s="4"/>
      <c r="H78" s="4"/>
      <c r="I78" s="3"/>
      <c r="J78" s="3"/>
      <c r="K78" s="8" t="str">
        <f t="shared" si="1"/>
        <v/>
      </c>
      <c r="L78" s="1" t="str">
        <f>IF(COUNTA(A78:J78)=0,"",IF(OR(AND(C78&lt;&gt;"Servicio",C78&lt;&gt;"Cobro",C78&lt;&gt;"Anticipo",C78&lt;&gt;"Aplicación anticipo",C78&lt;&gt;"Retención ISR",C78&lt;&gt;"Retención IVA"),AND(C78="Servicio",F78&lt;&gt;"TMS",F78&lt;&gt;"Valoración",F78&lt;&gt;"EEG",F78&lt;&gt;"Neurofeedback",F78&lt;&gt;"Fotobiomodulación",F78&lt;&gt;"Psicoterapia",F78&lt;&gt;"Otros")),"Tipo o categoría inválido",IF(COUNTA(A78:J78)=0,"",IF(OR(A78="",B78="",C78="",G78=""),"Faltan datos",IF(COUNTIF($A$7:$A$2006,A78)&gt;1,"ID duplicado",IF(OR(B78&lt;DATE(Configuración!$C$5,1,1),B78&gt;=DATE(Configuración!$C$5+1,1,1)),"Fecha fuera del año",IF(OR(G78&lt;0,H78&lt;0),"Revisar signo",IF(AND(C78&lt;&gt;"Servicio",H78&lt;&gt;0),"IVA solo en Servicio",IF(AND(C78="Servicio",F78=""),"Falta servicio","OK")))))))))</f>
        <v/>
      </c>
    </row>
    <row r="79" spans="1:12" ht="22" customHeight="1">
      <c r="A79" s="3"/>
      <c r="B79" s="7"/>
      <c r="C79" s="3"/>
      <c r="D79" s="3"/>
      <c r="E79" s="3"/>
      <c r="F79" s="3"/>
      <c r="G79" s="4"/>
      <c r="H79" s="4"/>
      <c r="I79" s="3"/>
      <c r="J79" s="3"/>
      <c r="K79" s="8" t="str">
        <f t="shared" si="1"/>
        <v/>
      </c>
      <c r="L79" s="1" t="str">
        <f>IF(COUNTA(A79:J79)=0,"",IF(OR(AND(C79&lt;&gt;"Servicio",C79&lt;&gt;"Cobro",C79&lt;&gt;"Anticipo",C79&lt;&gt;"Aplicación anticipo",C79&lt;&gt;"Retención ISR",C79&lt;&gt;"Retención IVA"),AND(C79="Servicio",F79&lt;&gt;"TMS",F79&lt;&gt;"Valoración",F79&lt;&gt;"EEG",F79&lt;&gt;"Neurofeedback",F79&lt;&gt;"Fotobiomodulación",F79&lt;&gt;"Psicoterapia",F79&lt;&gt;"Otros")),"Tipo o categoría inválido",IF(COUNTA(A79:J79)=0,"",IF(OR(A79="",B79="",C79="",G79=""),"Faltan datos",IF(COUNTIF($A$7:$A$2006,A79)&gt;1,"ID duplicado",IF(OR(B79&lt;DATE(Configuración!$C$5,1,1),B79&gt;=DATE(Configuración!$C$5+1,1,1)),"Fecha fuera del año",IF(OR(G79&lt;0,H79&lt;0),"Revisar signo",IF(AND(C79&lt;&gt;"Servicio",H79&lt;&gt;0),"IVA solo en Servicio",IF(AND(C79="Servicio",F79=""),"Falta servicio","OK")))))))))</f>
        <v/>
      </c>
    </row>
    <row r="80" spans="1:12" ht="22" customHeight="1">
      <c r="A80" s="3"/>
      <c r="B80" s="7"/>
      <c r="C80" s="3"/>
      <c r="D80" s="3"/>
      <c r="E80" s="3"/>
      <c r="F80" s="3"/>
      <c r="G80" s="4"/>
      <c r="H80" s="4"/>
      <c r="I80" s="3"/>
      <c r="J80" s="3"/>
      <c r="K80" s="8" t="str">
        <f t="shared" si="1"/>
        <v/>
      </c>
      <c r="L80" s="1" t="str">
        <f>IF(COUNTA(A80:J80)=0,"",IF(OR(AND(C80&lt;&gt;"Servicio",C80&lt;&gt;"Cobro",C80&lt;&gt;"Anticipo",C80&lt;&gt;"Aplicación anticipo",C80&lt;&gt;"Retención ISR",C80&lt;&gt;"Retención IVA"),AND(C80="Servicio",F80&lt;&gt;"TMS",F80&lt;&gt;"Valoración",F80&lt;&gt;"EEG",F80&lt;&gt;"Neurofeedback",F80&lt;&gt;"Fotobiomodulación",F80&lt;&gt;"Psicoterapia",F80&lt;&gt;"Otros")),"Tipo o categoría inválido",IF(COUNTA(A80:J80)=0,"",IF(OR(A80="",B80="",C80="",G80=""),"Faltan datos",IF(COUNTIF($A$7:$A$2006,A80)&gt;1,"ID duplicado",IF(OR(B80&lt;DATE(Configuración!$C$5,1,1),B80&gt;=DATE(Configuración!$C$5+1,1,1)),"Fecha fuera del año",IF(OR(G80&lt;0,H80&lt;0),"Revisar signo",IF(AND(C80&lt;&gt;"Servicio",H80&lt;&gt;0),"IVA solo en Servicio",IF(AND(C80="Servicio",F80=""),"Falta servicio","OK")))))))))</f>
        <v/>
      </c>
    </row>
    <row r="81" spans="1:12" ht="22" customHeight="1">
      <c r="A81" s="3"/>
      <c r="B81" s="7"/>
      <c r="C81" s="3"/>
      <c r="D81" s="3"/>
      <c r="E81" s="3"/>
      <c r="F81" s="3"/>
      <c r="G81" s="4"/>
      <c r="H81" s="4"/>
      <c r="I81" s="3"/>
      <c r="J81" s="3"/>
      <c r="K81" s="8" t="str">
        <f t="shared" si="1"/>
        <v/>
      </c>
      <c r="L81" s="1" t="str">
        <f>IF(COUNTA(A81:J81)=0,"",IF(OR(AND(C81&lt;&gt;"Servicio",C81&lt;&gt;"Cobro",C81&lt;&gt;"Anticipo",C81&lt;&gt;"Aplicación anticipo",C81&lt;&gt;"Retención ISR",C81&lt;&gt;"Retención IVA"),AND(C81="Servicio",F81&lt;&gt;"TMS",F81&lt;&gt;"Valoración",F81&lt;&gt;"EEG",F81&lt;&gt;"Neurofeedback",F81&lt;&gt;"Fotobiomodulación",F81&lt;&gt;"Psicoterapia",F81&lt;&gt;"Otros")),"Tipo o categoría inválido",IF(COUNTA(A81:J81)=0,"",IF(OR(A81="",B81="",C81="",G81=""),"Faltan datos",IF(COUNTIF($A$7:$A$2006,A81)&gt;1,"ID duplicado",IF(OR(B81&lt;DATE(Configuración!$C$5,1,1),B81&gt;=DATE(Configuración!$C$5+1,1,1)),"Fecha fuera del año",IF(OR(G81&lt;0,H81&lt;0),"Revisar signo",IF(AND(C81&lt;&gt;"Servicio",H81&lt;&gt;0),"IVA solo en Servicio",IF(AND(C81="Servicio",F81=""),"Falta servicio","OK")))))))))</f>
        <v/>
      </c>
    </row>
    <row r="82" spans="1:12" ht="22" customHeight="1">
      <c r="A82" s="3"/>
      <c r="B82" s="7"/>
      <c r="C82" s="3"/>
      <c r="D82" s="3"/>
      <c r="E82" s="3"/>
      <c r="F82" s="3"/>
      <c r="G82" s="4"/>
      <c r="H82" s="4"/>
      <c r="I82" s="3"/>
      <c r="J82" s="3"/>
      <c r="K82" s="8" t="str">
        <f t="shared" si="1"/>
        <v/>
      </c>
      <c r="L82" s="1" t="str">
        <f>IF(COUNTA(A82:J82)=0,"",IF(OR(AND(C82&lt;&gt;"Servicio",C82&lt;&gt;"Cobro",C82&lt;&gt;"Anticipo",C82&lt;&gt;"Aplicación anticipo",C82&lt;&gt;"Retención ISR",C82&lt;&gt;"Retención IVA"),AND(C82="Servicio",F82&lt;&gt;"TMS",F82&lt;&gt;"Valoración",F82&lt;&gt;"EEG",F82&lt;&gt;"Neurofeedback",F82&lt;&gt;"Fotobiomodulación",F82&lt;&gt;"Psicoterapia",F82&lt;&gt;"Otros")),"Tipo o categoría inválido",IF(COUNTA(A82:J82)=0,"",IF(OR(A82="",B82="",C82="",G82=""),"Faltan datos",IF(COUNTIF($A$7:$A$2006,A82)&gt;1,"ID duplicado",IF(OR(B82&lt;DATE(Configuración!$C$5,1,1),B82&gt;=DATE(Configuración!$C$5+1,1,1)),"Fecha fuera del año",IF(OR(G82&lt;0,H82&lt;0),"Revisar signo",IF(AND(C82&lt;&gt;"Servicio",H82&lt;&gt;0),"IVA solo en Servicio",IF(AND(C82="Servicio",F82=""),"Falta servicio","OK")))))))))</f>
        <v/>
      </c>
    </row>
    <row r="83" spans="1:12" ht="22" customHeight="1">
      <c r="A83" s="3"/>
      <c r="B83" s="7"/>
      <c r="C83" s="3"/>
      <c r="D83" s="3"/>
      <c r="E83" s="3"/>
      <c r="F83" s="3"/>
      <c r="G83" s="4"/>
      <c r="H83" s="4"/>
      <c r="I83" s="3"/>
      <c r="J83" s="3"/>
      <c r="K83" s="8" t="str">
        <f t="shared" si="1"/>
        <v/>
      </c>
      <c r="L83" s="1" t="str">
        <f>IF(COUNTA(A83:J83)=0,"",IF(OR(AND(C83&lt;&gt;"Servicio",C83&lt;&gt;"Cobro",C83&lt;&gt;"Anticipo",C83&lt;&gt;"Aplicación anticipo",C83&lt;&gt;"Retención ISR",C83&lt;&gt;"Retención IVA"),AND(C83="Servicio",F83&lt;&gt;"TMS",F83&lt;&gt;"Valoración",F83&lt;&gt;"EEG",F83&lt;&gt;"Neurofeedback",F83&lt;&gt;"Fotobiomodulación",F83&lt;&gt;"Psicoterapia",F83&lt;&gt;"Otros")),"Tipo o categoría inválido",IF(COUNTA(A83:J83)=0,"",IF(OR(A83="",B83="",C83="",G83=""),"Faltan datos",IF(COUNTIF($A$7:$A$2006,A83)&gt;1,"ID duplicado",IF(OR(B83&lt;DATE(Configuración!$C$5,1,1),B83&gt;=DATE(Configuración!$C$5+1,1,1)),"Fecha fuera del año",IF(OR(G83&lt;0,H83&lt;0),"Revisar signo",IF(AND(C83&lt;&gt;"Servicio",H83&lt;&gt;0),"IVA solo en Servicio",IF(AND(C83="Servicio",F83=""),"Falta servicio","OK")))))))))</f>
        <v/>
      </c>
    </row>
    <row r="84" spans="1:12" ht="22" customHeight="1">
      <c r="A84" s="3"/>
      <c r="B84" s="7"/>
      <c r="C84" s="3"/>
      <c r="D84" s="3"/>
      <c r="E84" s="3"/>
      <c r="F84" s="3"/>
      <c r="G84" s="4"/>
      <c r="H84" s="4"/>
      <c r="I84" s="3"/>
      <c r="J84" s="3"/>
      <c r="K84" s="8" t="str">
        <f t="shared" si="1"/>
        <v/>
      </c>
      <c r="L84" s="1" t="str">
        <f>IF(COUNTA(A84:J84)=0,"",IF(OR(AND(C84&lt;&gt;"Servicio",C84&lt;&gt;"Cobro",C84&lt;&gt;"Anticipo",C84&lt;&gt;"Aplicación anticipo",C84&lt;&gt;"Retención ISR",C84&lt;&gt;"Retención IVA"),AND(C84="Servicio",F84&lt;&gt;"TMS",F84&lt;&gt;"Valoración",F84&lt;&gt;"EEG",F84&lt;&gt;"Neurofeedback",F84&lt;&gt;"Fotobiomodulación",F84&lt;&gt;"Psicoterapia",F84&lt;&gt;"Otros")),"Tipo o categoría inválido",IF(COUNTA(A84:J84)=0,"",IF(OR(A84="",B84="",C84="",G84=""),"Faltan datos",IF(COUNTIF($A$7:$A$2006,A84)&gt;1,"ID duplicado",IF(OR(B84&lt;DATE(Configuración!$C$5,1,1),B84&gt;=DATE(Configuración!$C$5+1,1,1)),"Fecha fuera del año",IF(OR(G84&lt;0,H84&lt;0),"Revisar signo",IF(AND(C84&lt;&gt;"Servicio",H84&lt;&gt;0),"IVA solo en Servicio",IF(AND(C84="Servicio",F84=""),"Falta servicio","OK")))))))))</f>
        <v/>
      </c>
    </row>
    <row r="85" spans="1:12" ht="22" customHeight="1">
      <c r="A85" s="3"/>
      <c r="B85" s="7"/>
      <c r="C85" s="3"/>
      <c r="D85" s="3"/>
      <c r="E85" s="3"/>
      <c r="F85" s="3"/>
      <c r="G85" s="4"/>
      <c r="H85" s="4"/>
      <c r="I85" s="3"/>
      <c r="J85" s="3"/>
      <c r="K85" s="8" t="str">
        <f t="shared" si="1"/>
        <v/>
      </c>
      <c r="L85" s="1" t="str">
        <f>IF(COUNTA(A85:J85)=0,"",IF(OR(AND(C85&lt;&gt;"Servicio",C85&lt;&gt;"Cobro",C85&lt;&gt;"Anticipo",C85&lt;&gt;"Aplicación anticipo",C85&lt;&gt;"Retención ISR",C85&lt;&gt;"Retención IVA"),AND(C85="Servicio",F85&lt;&gt;"TMS",F85&lt;&gt;"Valoración",F85&lt;&gt;"EEG",F85&lt;&gt;"Neurofeedback",F85&lt;&gt;"Fotobiomodulación",F85&lt;&gt;"Psicoterapia",F85&lt;&gt;"Otros")),"Tipo o categoría inválido",IF(COUNTA(A85:J85)=0,"",IF(OR(A85="",B85="",C85="",G85=""),"Faltan datos",IF(COUNTIF($A$7:$A$2006,A85)&gt;1,"ID duplicado",IF(OR(B85&lt;DATE(Configuración!$C$5,1,1),B85&gt;=DATE(Configuración!$C$5+1,1,1)),"Fecha fuera del año",IF(OR(G85&lt;0,H85&lt;0),"Revisar signo",IF(AND(C85&lt;&gt;"Servicio",H85&lt;&gt;0),"IVA solo en Servicio",IF(AND(C85="Servicio",F85=""),"Falta servicio","OK")))))))))</f>
        <v/>
      </c>
    </row>
    <row r="86" spans="1:12" ht="22" customHeight="1">
      <c r="A86" s="3"/>
      <c r="B86" s="7"/>
      <c r="C86" s="3"/>
      <c r="D86" s="3"/>
      <c r="E86" s="3"/>
      <c r="F86" s="3"/>
      <c r="G86" s="4"/>
      <c r="H86" s="4"/>
      <c r="I86" s="3"/>
      <c r="J86" s="3"/>
      <c r="K86" s="8" t="str">
        <f t="shared" si="1"/>
        <v/>
      </c>
      <c r="L86" s="1" t="str">
        <f>IF(COUNTA(A86:J86)=0,"",IF(OR(AND(C86&lt;&gt;"Servicio",C86&lt;&gt;"Cobro",C86&lt;&gt;"Anticipo",C86&lt;&gt;"Aplicación anticipo",C86&lt;&gt;"Retención ISR",C86&lt;&gt;"Retención IVA"),AND(C86="Servicio",F86&lt;&gt;"TMS",F86&lt;&gt;"Valoración",F86&lt;&gt;"EEG",F86&lt;&gt;"Neurofeedback",F86&lt;&gt;"Fotobiomodulación",F86&lt;&gt;"Psicoterapia",F86&lt;&gt;"Otros")),"Tipo o categoría inválido",IF(COUNTA(A86:J86)=0,"",IF(OR(A86="",B86="",C86="",G86=""),"Faltan datos",IF(COUNTIF($A$7:$A$2006,A86)&gt;1,"ID duplicado",IF(OR(B86&lt;DATE(Configuración!$C$5,1,1),B86&gt;=DATE(Configuración!$C$5+1,1,1)),"Fecha fuera del año",IF(OR(G86&lt;0,H86&lt;0),"Revisar signo",IF(AND(C86&lt;&gt;"Servicio",H86&lt;&gt;0),"IVA solo en Servicio",IF(AND(C86="Servicio",F86=""),"Falta servicio","OK")))))))))</f>
        <v/>
      </c>
    </row>
    <row r="87" spans="1:12" ht="22" customHeight="1">
      <c r="A87" s="3"/>
      <c r="B87" s="7"/>
      <c r="C87" s="3"/>
      <c r="D87" s="3"/>
      <c r="E87" s="3"/>
      <c r="F87" s="3"/>
      <c r="G87" s="4"/>
      <c r="H87" s="4"/>
      <c r="I87" s="3"/>
      <c r="J87" s="3"/>
      <c r="K87" s="8" t="str">
        <f t="shared" si="1"/>
        <v/>
      </c>
      <c r="L87" s="1" t="str">
        <f>IF(COUNTA(A87:J87)=0,"",IF(OR(AND(C87&lt;&gt;"Servicio",C87&lt;&gt;"Cobro",C87&lt;&gt;"Anticipo",C87&lt;&gt;"Aplicación anticipo",C87&lt;&gt;"Retención ISR",C87&lt;&gt;"Retención IVA"),AND(C87="Servicio",F87&lt;&gt;"TMS",F87&lt;&gt;"Valoración",F87&lt;&gt;"EEG",F87&lt;&gt;"Neurofeedback",F87&lt;&gt;"Fotobiomodulación",F87&lt;&gt;"Psicoterapia",F87&lt;&gt;"Otros")),"Tipo o categoría inválido",IF(COUNTA(A87:J87)=0,"",IF(OR(A87="",B87="",C87="",G87=""),"Faltan datos",IF(COUNTIF($A$7:$A$2006,A87)&gt;1,"ID duplicado",IF(OR(B87&lt;DATE(Configuración!$C$5,1,1),B87&gt;=DATE(Configuración!$C$5+1,1,1)),"Fecha fuera del año",IF(OR(G87&lt;0,H87&lt;0),"Revisar signo",IF(AND(C87&lt;&gt;"Servicio",H87&lt;&gt;0),"IVA solo en Servicio",IF(AND(C87="Servicio",F87=""),"Falta servicio","OK")))))))))</f>
        <v/>
      </c>
    </row>
    <row r="88" spans="1:12" ht="22" customHeight="1">
      <c r="A88" s="3"/>
      <c r="B88" s="7"/>
      <c r="C88" s="3"/>
      <c r="D88" s="3"/>
      <c r="E88" s="3"/>
      <c r="F88" s="3"/>
      <c r="G88" s="4"/>
      <c r="H88" s="4"/>
      <c r="I88" s="3"/>
      <c r="J88" s="3"/>
      <c r="K88" s="8" t="str">
        <f t="shared" si="1"/>
        <v/>
      </c>
      <c r="L88" s="1" t="str">
        <f>IF(COUNTA(A88:J88)=0,"",IF(OR(AND(C88&lt;&gt;"Servicio",C88&lt;&gt;"Cobro",C88&lt;&gt;"Anticipo",C88&lt;&gt;"Aplicación anticipo",C88&lt;&gt;"Retención ISR",C88&lt;&gt;"Retención IVA"),AND(C88="Servicio",F88&lt;&gt;"TMS",F88&lt;&gt;"Valoración",F88&lt;&gt;"EEG",F88&lt;&gt;"Neurofeedback",F88&lt;&gt;"Fotobiomodulación",F88&lt;&gt;"Psicoterapia",F88&lt;&gt;"Otros")),"Tipo o categoría inválido",IF(COUNTA(A88:J88)=0,"",IF(OR(A88="",B88="",C88="",G88=""),"Faltan datos",IF(COUNTIF($A$7:$A$2006,A88)&gt;1,"ID duplicado",IF(OR(B88&lt;DATE(Configuración!$C$5,1,1),B88&gt;=DATE(Configuración!$C$5+1,1,1)),"Fecha fuera del año",IF(OR(G88&lt;0,H88&lt;0),"Revisar signo",IF(AND(C88&lt;&gt;"Servicio",H88&lt;&gt;0),"IVA solo en Servicio",IF(AND(C88="Servicio",F88=""),"Falta servicio","OK")))))))))</f>
        <v/>
      </c>
    </row>
    <row r="89" spans="1:12" ht="22" customHeight="1">
      <c r="A89" s="3"/>
      <c r="B89" s="7"/>
      <c r="C89" s="3"/>
      <c r="D89" s="3"/>
      <c r="E89" s="3"/>
      <c r="F89" s="3"/>
      <c r="G89" s="4"/>
      <c r="H89" s="4"/>
      <c r="I89" s="3"/>
      <c r="J89" s="3"/>
      <c r="K89" s="8" t="str">
        <f t="shared" si="1"/>
        <v/>
      </c>
      <c r="L89" s="1" t="str">
        <f>IF(COUNTA(A89:J89)=0,"",IF(OR(AND(C89&lt;&gt;"Servicio",C89&lt;&gt;"Cobro",C89&lt;&gt;"Anticipo",C89&lt;&gt;"Aplicación anticipo",C89&lt;&gt;"Retención ISR",C89&lt;&gt;"Retención IVA"),AND(C89="Servicio",F89&lt;&gt;"TMS",F89&lt;&gt;"Valoración",F89&lt;&gt;"EEG",F89&lt;&gt;"Neurofeedback",F89&lt;&gt;"Fotobiomodulación",F89&lt;&gt;"Psicoterapia",F89&lt;&gt;"Otros")),"Tipo o categoría inválido",IF(COUNTA(A89:J89)=0,"",IF(OR(A89="",B89="",C89="",G89=""),"Faltan datos",IF(COUNTIF($A$7:$A$2006,A89)&gt;1,"ID duplicado",IF(OR(B89&lt;DATE(Configuración!$C$5,1,1),B89&gt;=DATE(Configuración!$C$5+1,1,1)),"Fecha fuera del año",IF(OR(G89&lt;0,H89&lt;0),"Revisar signo",IF(AND(C89&lt;&gt;"Servicio",H89&lt;&gt;0),"IVA solo en Servicio",IF(AND(C89="Servicio",F89=""),"Falta servicio","OK")))))))))</f>
        <v/>
      </c>
    </row>
    <row r="90" spans="1:12" ht="22" customHeight="1">
      <c r="A90" s="3"/>
      <c r="B90" s="7"/>
      <c r="C90" s="3"/>
      <c r="D90" s="3"/>
      <c r="E90" s="3"/>
      <c r="F90" s="3"/>
      <c r="G90" s="4"/>
      <c r="H90" s="4"/>
      <c r="I90" s="3"/>
      <c r="J90" s="3"/>
      <c r="K90" s="8" t="str">
        <f t="shared" si="1"/>
        <v/>
      </c>
      <c r="L90" s="1" t="str">
        <f>IF(COUNTA(A90:J90)=0,"",IF(OR(AND(C90&lt;&gt;"Servicio",C90&lt;&gt;"Cobro",C90&lt;&gt;"Anticipo",C90&lt;&gt;"Aplicación anticipo",C90&lt;&gt;"Retención ISR",C90&lt;&gt;"Retención IVA"),AND(C90="Servicio",F90&lt;&gt;"TMS",F90&lt;&gt;"Valoración",F90&lt;&gt;"EEG",F90&lt;&gt;"Neurofeedback",F90&lt;&gt;"Fotobiomodulación",F90&lt;&gt;"Psicoterapia",F90&lt;&gt;"Otros")),"Tipo o categoría inválido",IF(COUNTA(A90:J90)=0,"",IF(OR(A90="",B90="",C90="",G90=""),"Faltan datos",IF(COUNTIF($A$7:$A$2006,A90)&gt;1,"ID duplicado",IF(OR(B90&lt;DATE(Configuración!$C$5,1,1),B90&gt;=DATE(Configuración!$C$5+1,1,1)),"Fecha fuera del año",IF(OR(G90&lt;0,H90&lt;0),"Revisar signo",IF(AND(C90&lt;&gt;"Servicio",H90&lt;&gt;0),"IVA solo en Servicio",IF(AND(C90="Servicio",F90=""),"Falta servicio","OK")))))))))</f>
        <v/>
      </c>
    </row>
    <row r="91" spans="1:12" ht="22" customHeight="1">
      <c r="A91" s="3"/>
      <c r="B91" s="7"/>
      <c r="C91" s="3"/>
      <c r="D91" s="3"/>
      <c r="E91" s="3"/>
      <c r="F91" s="3"/>
      <c r="G91" s="4"/>
      <c r="H91" s="4"/>
      <c r="I91" s="3"/>
      <c r="J91" s="3"/>
      <c r="K91" s="8" t="str">
        <f t="shared" si="1"/>
        <v/>
      </c>
      <c r="L91" s="1" t="str">
        <f>IF(COUNTA(A91:J91)=0,"",IF(OR(AND(C91&lt;&gt;"Servicio",C91&lt;&gt;"Cobro",C91&lt;&gt;"Anticipo",C91&lt;&gt;"Aplicación anticipo",C91&lt;&gt;"Retención ISR",C91&lt;&gt;"Retención IVA"),AND(C91="Servicio",F91&lt;&gt;"TMS",F91&lt;&gt;"Valoración",F91&lt;&gt;"EEG",F91&lt;&gt;"Neurofeedback",F91&lt;&gt;"Fotobiomodulación",F91&lt;&gt;"Psicoterapia",F91&lt;&gt;"Otros")),"Tipo o categoría inválido",IF(COUNTA(A91:J91)=0,"",IF(OR(A91="",B91="",C91="",G91=""),"Faltan datos",IF(COUNTIF($A$7:$A$2006,A91)&gt;1,"ID duplicado",IF(OR(B91&lt;DATE(Configuración!$C$5,1,1),B91&gt;=DATE(Configuración!$C$5+1,1,1)),"Fecha fuera del año",IF(OR(G91&lt;0,H91&lt;0),"Revisar signo",IF(AND(C91&lt;&gt;"Servicio",H91&lt;&gt;0),"IVA solo en Servicio",IF(AND(C91="Servicio",F91=""),"Falta servicio","OK")))))))))</f>
        <v/>
      </c>
    </row>
    <row r="92" spans="1:12" ht="22" customHeight="1">
      <c r="A92" s="3"/>
      <c r="B92" s="7"/>
      <c r="C92" s="3"/>
      <c r="D92" s="3"/>
      <c r="E92" s="3"/>
      <c r="F92" s="3"/>
      <c r="G92" s="4"/>
      <c r="H92" s="4"/>
      <c r="I92" s="3"/>
      <c r="J92" s="3"/>
      <c r="K92" s="8" t="str">
        <f t="shared" si="1"/>
        <v/>
      </c>
      <c r="L92" s="1" t="str">
        <f>IF(COUNTA(A92:J92)=0,"",IF(OR(AND(C92&lt;&gt;"Servicio",C92&lt;&gt;"Cobro",C92&lt;&gt;"Anticipo",C92&lt;&gt;"Aplicación anticipo",C92&lt;&gt;"Retención ISR",C92&lt;&gt;"Retención IVA"),AND(C92="Servicio",F92&lt;&gt;"TMS",F92&lt;&gt;"Valoración",F92&lt;&gt;"EEG",F92&lt;&gt;"Neurofeedback",F92&lt;&gt;"Fotobiomodulación",F92&lt;&gt;"Psicoterapia",F92&lt;&gt;"Otros")),"Tipo o categoría inválido",IF(COUNTA(A92:J92)=0,"",IF(OR(A92="",B92="",C92="",G92=""),"Faltan datos",IF(COUNTIF($A$7:$A$2006,A92)&gt;1,"ID duplicado",IF(OR(B92&lt;DATE(Configuración!$C$5,1,1),B92&gt;=DATE(Configuración!$C$5+1,1,1)),"Fecha fuera del año",IF(OR(G92&lt;0,H92&lt;0),"Revisar signo",IF(AND(C92&lt;&gt;"Servicio",H92&lt;&gt;0),"IVA solo en Servicio",IF(AND(C92="Servicio",F92=""),"Falta servicio","OK")))))))))</f>
        <v/>
      </c>
    </row>
    <row r="93" spans="1:12" ht="22" customHeight="1">
      <c r="A93" s="3"/>
      <c r="B93" s="7"/>
      <c r="C93" s="3"/>
      <c r="D93" s="3"/>
      <c r="E93" s="3"/>
      <c r="F93" s="3"/>
      <c r="G93" s="4"/>
      <c r="H93" s="4"/>
      <c r="I93" s="3"/>
      <c r="J93" s="3"/>
      <c r="K93" s="8" t="str">
        <f t="shared" si="1"/>
        <v/>
      </c>
      <c r="L93" s="1" t="str">
        <f>IF(COUNTA(A93:J93)=0,"",IF(OR(AND(C93&lt;&gt;"Servicio",C93&lt;&gt;"Cobro",C93&lt;&gt;"Anticipo",C93&lt;&gt;"Aplicación anticipo",C93&lt;&gt;"Retención ISR",C93&lt;&gt;"Retención IVA"),AND(C93="Servicio",F93&lt;&gt;"TMS",F93&lt;&gt;"Valoración",F93&lt;&gt;"EEG",F93&lt;&gt;"Neurofeedback",F93&lt;&gt;"Fotobiomodulación",F93&lt;&gt;"Psicoterapia",F93&lt;&gt;"Otros")),"Tipo o categoría inválido",IF(COUNTA(A93:J93)=0,"",IF(OR(A93="",B93="",C93="",G93=""),"Faltan datos",IF(COUNTIF($A$7:$A$2006,A93)&gt;1,"ID duplicado",IF(OR(B93&lt;DATE(Configuración!$C$5,1,1),B93&gt;=DATE(Configuración!$C$5+1,1,1)),"Fecha fuera del año",IF(OR(G93&lt;0,H93&lt;0),"Revisar signo",IF(AND(C93&lt;&gt;"Servicio",H93&lt;&gt;0),"IVA solo en Servicio",IF(AND(C93="Servicio",F93=""),"Falta servicio","OK")))))))))</f>
        <v/>
      </c>
    </row>
    <row r="94" spans="1:12" ht="22" customHeight="1">
      <c r="A94" s="3"/>
      <c r="B94" s="7"/>
      <c r="C94" s="3"/>
      <c r="D94" s="3"/>
      <c r="E94" s="3"/>
      <c r="F94" s="3"/>
      <c r="G94" s="4"/>
      <c r="H94" s="4"/>
      <c r="I94" s="3"/>
      <c r="J94" s="3"/>
      <c r="K94" s="8" t="str">
        <f t="shared" si="1"/>
        <v/>
      </c>
      <c r="L94" s="1" t="str">
        <f>IF(COUNTA(A94:J94)=0,"",IF(OR(AND(C94&lt;&gt;"Servicio",C94&lt;&gt;"Cobro",C94&lt;&gt;"Anticipo",C94&lt;&gt;"Aplicación anticipo",C94&lt;&gt;"Retención ISR",C94&lt;&gt;"Retención IVA"),AND(C94="Servicio",F94&lt;&gt;"TMS",F94&lt;&gt;"Valoración",F94&lt;&gt;"EEG",F94&lt;&gt;"Neurofeedback",F94&lt;&gt;"Fotobiomodulación",F94&lt;&gt;"Psicoterapia",F94&lt;&gt;"Otros")),"Tipo o categoría inválido",IF(COUNTA(A94:J94)=0,"",IF(OR(A94="",B94="",C94="",G94=""),"Faltan datos",IF(COUNTIF($A$7:$A$2006,A94)&gt;1,"ID duplicado",IF(OR(B94&lt;DATE(Configuración!$C$5,1,1),B94&gt;=DATE(Configuración!$C$5+1,1,1)),"Fecha fuera del año",IF(OR(G94&lt;0,H94&lt;0),"Revisar signo",IF(AND(C94&lt;&gt;"Servicio",H94&lt;&gt;0),"IVA solo en Servicio",IF(AND(C94="Servicio",F94=""),"Falta servicio","OK")))))))))</f>
        <v/>
      </c>
    </row>
    <row r="95" spans="1:12" ht="22" customHeight="1">
      <c r="A95" s="3"/>
      <c r="B95" s="7"/>
      <c r="C95" s="3"/>
      <c r="D95" s="3"/>
      <c r="E95" s="3"/>
      <c r="F95" s="3"/>
      <c r="G95" s="4"/>
      <c r="H95" s="4"/>
      <c r="I95" s="3"/>
      <c r="J95" s="3"/>
      <c r="K95" s="8" t="str">
        <f t="shared" si="1"/>
        <v/>
      </c>
      <c r="L95" s="1" t="str">
        <f>IF(COUNTA(A95:J95)=0,"",IF(OR(AND(C95&lt;&gt;"Servicio",C95&lt;&gt;"Cobro",C95&lt;&gt;"Anticipo",C95&lt;&gt;"Aplicación anticipo",C95&lt;&gt;"Retención ISR",C95&lt;&gt;"Retención IVA"),AND(C95="Servicio",F95&lt;&gt;"TMS",F95&lt;&gt;"Valoración",F95&lt;&gt;"EEG",F95&lt;&gt;"Neurofeedback",F95&lt;&gt;"Fotobiomodulación",F95&lt;&gt;"Psicoterapia",F95&lt;&gt;"Otros")),"Tipo o categoría inválido",IF(COUNTA(A95:J95)=0,"",IF(OR(A95="",B95="",C95="",G95=""),"Faltan datos",IF(COUNTIF($A$7:$A$2006,A95)&gt;1,"ID duplicado",IF(OR(B95&lt;DATE(Configuración!$C$5,1,1),B95&gt;=DATE(Configuración!$C$5+1,1,1)),"Fecha fuera del año",IF(OR(G95&lt;0,H95&lt;0),"Revisar signo",IF(AND(C95&lt;&gt;"Servicio",H95&lt;&gt;0),"IVA solo en Servicio",IF(AND(C95="Servicio",F95=""),"Falta servicio","OK")))))))))</f>
        <v/>
      </c>
    </row>
    <row r="96" spans="1:12" ht="22" customHeight="1">
      <c r="A96" s="3"/>
      <c r="B96" s="7"/>
      <c r="C96" s="3"/>
      <c r="D96" s="3"/>
      <c r="E96" s="3"/>
      <c r="F96" s="3"/>
      <c r="G96" s="4"/>
      <c r="H96" s="4"/>
      <c r="I96" s="3"/>
      <c r="J96" s="3"/>
      <c r="K96" s="8" t="str">
        <f t="shared" si="1"/>
        <v/>
      </c>
      <c r="L96" s="1" t="str">
        <f>IF(COUNTA(A96:J96)=0,"",IF(OR(AND(C96&lt;&gt;"Servicio",C96&lt;&gt;"Cobro",C96&lt;&gt;"Anticipo",C96&lt;&gt;"Aplicación anticipo",C96&lt;&gt;"Retención ISR",C96&lt;&gt;"Retención IVA"),AND(C96="Servicio",F96&lt;&gt;"TMS",F96&lt;&gt;"Valoración",F96&lt;&gt;"EEG",F96&lt;&gt;"Neurofeedback",F96&lt;&gt;"Fotobiomodulación",F96&lt;&gt;"Psicoterapia",F96&lt;&gt;"Otros")),"Tipo o categoría inválido",IF(COUNTA(A96:J96)=0,"",IF(OR(A96="",B96="",C96="",G96=""),"Faltan datos",IF(COUNTIF($A$7:$A$2006,A96)&gt;1,"ID duplicado",IF(OR(B96&lt;DATE(Configuración!$C$5,1,1),B96&gt;=DATE(Configuración!$C$5+1,1,1)),"Fecha fuera del año",IF(OR(G96&lt;0,H96&lt;0),"Revisar signo",IF(AND(C96&lt;&gt;"Servicio",H96&lt;&gt;0),"IVA solo en Servicio",IF(AND(C96="Servicio",F96=""),"Falta servicio","OK")))))))))</f>
        <v/>
      </c>
    </row>
    <row r="97" spans="1:12" ht="22" customHeight="1">
      <c r="A97" s="3"/>
      <c r="B97" s="7"/>
      <c r="C97" s="3"/>
      <c r="D97" s="3"/>
      <c r="E97" s="3"/>
      <c r="F97" s="3"/>
      <c r="G97" s="4"/>
      <c r="H97" s="4"/>
      <c r="I97" s="3"/>
      <c r="J97" s="3"/>
      <c r="K97" s="8" t="str">
        <f t="shared" si="1"/>
        <v/>
      </c>
      <c r="L97" s="1" t="str">
        <f>IF(COUNTA(A97:J97)=0,"",IF(OR(AND(C97&lt;&gt;"Servicio",C97&lt;&gt;"Cobro",C97&lt;&gt;"Anticipo",C97&lt;&gt;"Aplicación anticipo",C97&lt;&gt;"Retención ISR",C97&lt;&gt;"Retención IVA"),AND(C97="Servicio",F97&lt;&gt;"TMS",F97&lt;&gt;"Valoración",F97&lt;&gt;"EEG",F97&lt;&gt;"Neurofeedback",F97&lt;&gt;"Fotobiomodulación",F97&lt;&gt;"Psicoterapia",F97&lt;&gt;"Otros")),"Tipo o categoría inválido",IF(COUNTA(A97:J97)=0,"",IF(OR(A97="",B97="",C97="",G97=""),"Faltan datos",IF(COUNTIF($A$7:$A$2006,A97)&gt;1,"ID duplicado",IF(OR(B97&lt;DATE(Configuración!$C$5,1,1),B97&gt;=DATE(Configuración!$C$5+1,1,1)),"Fecha fuera del año",IF(OR(G97&lt;0,H97&lt;0),"Revisar signo",IF(AND(C97&lt;&gt;"Servicio",H97&lt;&gt;0),"IVA solo en Servicio",IF(AND(C97="Servicio",F97=""),"Falta servicio","OK")))))))))</f>
        <v/>
      </c>
    </row>
    <row r="98" spans="1:12" ht="22" customHeight="1">
      <c r="A98" s="3"/>
      <c r="B98" s="7"/>
      <c r="C98" s="3"/>
      <c r="D98" s="3"/>
      <c r="E98" s="3"/>
      <c r="F98" s="3"/>
      <c r="G98" s="4"/>
      <c r="H98" s="4"/>
      <c r="I98" s="3"/>
      <c r="J98" s="3"/>
      <c r="K98" s="8" t="str">
        <f t="shared" si="1"/>
        <v/>
      </c>
      <c r="L98" s="1" t="str">
        <f>IF(COUNTA(A98:J98)=0,"",IF(OR(AND(C98&lt;&gt;"Servicio",C98&lt;&gt;"Cobro",C98&lt;&gt;"Anticipo",C98&lt;&gt;"Aplicación anticipo",C98&lt;&gt;"Retención ISR",C98&lt;&gt;"Retención IVA"),AND(C98="Servicio",F98&lt;&gt;"TMS",F98&lt;&gt;"Valoración",F98&lt;&gt;"EEG",F98&lt;&gt;"Neurofeedback",F98&lt;&gt;"Fotobiomodulación",F98&lt;&gt;"Psicoterapia",F98&lt;&gt;"Otros")),"Tipo o categoría inválido",IF(COUNTA(A98:J98)=0,"",IF(OR(A98="",B98="",C98="",G98=""),"Faltan datos",IF(COUNTIF($A$7:$A$2006,A98)&gt;1,"ID duplicado",IF(OR(B98&lt;DATE(Configuración!$C$5,1,1),B98&gt;=DATE(Configuración!$C$5+1,1,1)),"Fecha fuera del año",IF(OR(G98&lt;0,H98&lt;0),"Revisar signo",IF(AND(C98&lt;&gt;"Servicio",H98&lt;&gt;0),"IVA solo en Servicio",IF(AND(C98="Servicio",F98=""),"Falta servicio","OK")))))))))</f>
        <v/>
      </c>
    </row>
    <row r="99" spans="1:12" ht="22" customHeight="1">
      <c r="A99" s="3"/>
      <c r="B99" s="7"/>
      <c r="C99" s="3"/>
      <c r="D99" s="3"/>
      <c r="E99" s="3"/>
      <c r="F99" s="3"/>
      <c r="G99" s="4"/>
      <c r="H99" s="4"/>
      <c r="I99" s="3"/>
      <c r="J99" s="3"/>
      <c r="K99" s="8" t="str">
        <f t="shared" si="1"/>
        <v/>
      </c>
      <c r="L99" s="1" t="str">
        <f>IF(COUNTA(A99:J99)=0,"",IF(OR(AND(C99&lt;&gt;"Servicio",C99&lt;&gt;"Cobro",C99&lt;&gt;"Anticipo",C99&lt;&gt;"Aplicación anticipo",C99&lt;&gt;"Retención ISR",C99&lt;&gt;"Retención IVA"),AND(C99="Servicio",F99&lt;&gt;"TMS",F99&lt;&gt;"Valoración",F99&lt;&gt;"EEG",F99&lt;&gt;"Neurofeedback",F99&lt;&gt;"Fotobiomodulación",F99&lt;&gt;"Psicoterapia",F99&lt;&gt;"Otros")),"Tipo o categoría inválido",IF(COUNTA(A99:J99)=0,"",IF(OR(A99="",B99="",C99="",G99=""),"Faltan datos",IF(COUNTIF($A$7:$A$2006,A99)&gt;1,"ID duplicado",IF(OR(B99&lt;DATE(Configuración!$C$5,1,1),B99&gt;=DATE(Configuración!$C$5+1,1,1)),"Fecha fuera del año",IF(OR(G99&lt;0,H99&lt;0),"Revisar signo",IF(AND(C99&lt;&gt;"Servicio",H99&lt;&gt;0),"IVA solo en Servicio",IF(AND(C99="Servicio",F99=""),"Falta servicio","OK")))))))))</f>
        <v/>
      </c>
    </row>
    <row r="100" spans="1:12" ht="22" customHeight="1">
      <c r="A100" s="3"/>
      <c r="B100" s="7"/>
      <c r="C100" s="3"/>
      <c r="D100" s="3"/>
      <c r="E100" s="3"/>
      <c r="F100" s="3"/>
      <c r="G100" s="4"/>
      <c r="H100" s="4"/>
      <c r="I100" s="3"/>
      <c r="J100" s="3"/>
      <c r="K100" s="8" t="str">
        <f t="shared" si="1"/>
        <v/>
      </c>
      <c r="L100" s="1" t="str">
        <f>IF(COUNTA(A100:J100)=0,"",IF(OR(AND(C100&lt;&gt;"Servicio",C100&lt;&gt;"Cobro",C100&lt;&gt;"Anticipo",C100&lt;&gt;"Aplicación anticipo",C100&lt;&gt;"Retención ISR",C100&lt;&gt;"Retención IVA"),AND(C100="Servicio",F100&lt;&gt;"TMS",F100&lt;&gt;"Valoración",F100&lt;&gt;"EEG",F100&lt;&gt;"Neurofeedback",F100&lt;&gt;"Fotobiomodulación",F100&lt;&gt;"Psicoterapia",F100&lt;&gt;"Otros")),"Tipo o categoría inválido",IF(COUNTA(A100:J100)=0,"",IF(OR(A100="",B100="",C100="",G100=""),"Faltan datos",IF(COUNTIF($A$7:$A$2006,A100)&gt;1,"ID duplicado",IF(OR(B100&lt;DATE(Configuración!$C$5,1,1),B100&gt;=DATE(Configuración!$C$5+1,1,1)),"Fecha fuera del año",IF(OR(G100&lt;0,H100&lt;0),"Revisar signo",IF(AND(C100&lt;&gt;"Servicio",H100&lt;&gt;0),"IVA solo en Servicio",IF(AND(C100="Servicio",F100=""),"Falta servicio","OK")))))))))</f>
        <v/>
      </c>
    </row>
    <row r="101" spans="1:12" ht="22" customHeight="1">
      <c r="A101" s="3"/>
      <c r="B101" s="7"/>
      <c r="C101" s="3"/>
      <c r="D101" s="3"/>
      <c r="E101" s="3"/>
      <c r="F101" s="3"/>
      <c r="G101" s="4"/>
      <c r="H101" s="4"/>
      <c r="I101" s="3"/>
      <c r="J101" s="3"/>
      <c r="K101" s="8" t="str">
        <f t="shared" si="1"/>
        <v/>
      </c>
      <c r="L101" s="1" t="str">
        <f>IF(COUNTA(A101:J101)=0,"",IF(OR(AND(C101&lt;&gt;"Servicio",C101&lt;&gt;"Cobro",C101&lt;&gt;"Anticipo",C101&lt;&gt;"Aplicación anticipo",C101&lt;&gt;"Retención ISR",C101&lt;&gt;"Retención IVA"),AND(C101="Servicio",F101&lt;&gt;"TMS",F101&lt;&gt;"Valoración",F101&lt;&gt;"EEG",F101&lt;&gt;"Neurofeedback",F101&lt;&gt;"Fotobiomodulación",F101&lt;&gt;"Psicoterapia",F101&lt;&gt;"Otros")),"Tipo o categoría inválido",IF(COUNTA(A101:J101)=0,"",IF(OR(A101="",B101="",C101="",G101=""),"Faltan datos",IF(COUNTIF($A$7:$A$2006,A101)&gt;1,"ID duplicado",IF(OR(B101&lt;DATE(Configuración!$C$5,1,1),B101&gt;=DATE(Configuración!$C$5+1,1,1)),"Fecha fuera del año",IF(OR(G101&lt;0,H101&lt;0),"Revisar signo",IF(AND(C101&lt;&gt;"Servicio",H101&lt;&gt;0),"IVA solo en Servicio",IF(AND(C101="Servicio",F101=""),"Falta servicio","OK")))))))))</f>
        <v/>
      </c>
    </row>
    <row r="102" spans="1:12" ht="22" customHeight="1">
      <c r="A102" s="3"/>
      <c r="B102" s="7"/>
      <c r="C102" s="3"/>
      <c r="D102" s="3"/>
      <c r="E102" s="3"/>
      <c r="F102" s="3"/>
      <c r="G102" s="4"/>
      <c r="H102" s="4"/>
      <c r="I102" s="3"/>
      <c r="J102" s="3"/>
      <c r="K102" s="8" t="str">
        <f t="shared" si="1"/>
        <v/>
      </c>
      <c r="L102" s="1" t="str">
        <f>IF(COUNTA(A102:J102)=0,"",IF(OR(AND(C102&lt;&gt;"Servicio",C102&lt;&gt;"Cobro",C102&lt;&gt;"Anticipo",C102&lt;&gt;"Aplicación anticipo",C102&lt;&gt;"Retención ISR",C102&lt;&gt;"Retención IVA"),AND(C102="Servicio",F102&lt;&gt;"TMS",F102&lt;&gt;"Valoración",F102&lt;&gt;"EEG",F102&lt;&gt;"Neurofeedback",F102&lt;&gt;"Fotobiomodulación",F102&lt;&gt;"Psicoterapia",F102&lt;&gt;"Otros")),"Tipo o categoría inválido",IF(COUNTA(A102:J102)=0,"",IF(OR(A102="",B102="",C102="",G102=""),"Faltan datos",IF(COUNTIF($A$7:$A$2006,A102)&gt;1,"ID duplicado",IF(OR(B102&lt;DATE(Configuración!$C$5,1,1),B102&gt;=DATE(Configuración!$C$5+1,1,1)),"Fecha fuera del año",IF(OR(G102&lt;0,H102&lt;0),"Revisar signo",IF(AND(C102&lt;&gt;"Servicio",H102&lt;&gt;0),"IVA solo en Servicio",IF(AND(C102="Servicio",F102=""),"Falta servicio","OK")))))))))</f>
        <v/>
      </c>
    </row>
    <row r="103" spans="1:12" ht="22" customHeight="1">
      <c r="A103" s="3"/>
      <c r="B103" s="7"/>
      <c r="C103" s="3"/>
      <c r="D103" s="3"/>
      <c r="E103" s="3"/>
      <c r="F103" s="3"/>
      <c r="G103" s="4"/>
      <c r="H103" s="4"/>
      <c r="I103" s="3"/>
      <c r="J103" s="3"/>
      <c r="K103" s="8" t="str">
        <f t="shared" si="1"/>
        <v/>
      </c>
      <c r="L103" s="1" t="str">
        <f>IF(COUNTA(A103:J103)=0,"",IF(OR(AND(C103&lt;&gt;"Servicio",C103&lt;&gt;"Cobro",C103&lt;&gt;"Anticipo",C103&lt;&gt;"Aplicación anticipo",C103&lt;&gt;"Retención ISR",C103&lt;&gt;"Retención IVA"),AND(C103="Servicio",F103&lt;&gt;"TMS",F103&lt;&gt;"Valoración",F103&lt;&gt;"EEG",F103&lt;&gt;"Neurofeedback",F103&lt;&gt;"Fotobiomodulación",F103&lt;&gt;"Psicoterapia",F103&lt;&gt;"Otros")),"Tipo o categoría inválido",IF(COUNTA(A103:J103)=0,"",IF(OR(A103="",B103="",C103="",G103=""),"Faltan datos",IF(COUNTIF($A$7:$A$2006,A103)&gt;1,"ID duplicado",IF(OR(B103&lt;DATE(Configuración!$C$5,1,1),B103&gt;=DATE(Configuración!$C$5+1,1,1)),"Fecha fuera del año",IF(OR(G103&lt;0,H103&lt;0),"Revisar signo",IF(AND(C103&lt;&gt;"Servicio",H103&lt;&gt;0),"IVA solo en Servicio",IF(AND(C103="Servicio",F103=""),"Falta servicio","OK")))))))))</f>
        <v/>
      </c>
    </row>
    <row r="104" spans="1:12" ht="22" customHeight="1">
      <c r="A104" s="3"/>
      <c r="B104" s="7"/>
      <c r="C104" s="3"/>
      <c r="D104" s="3"/>
      <c r="E104" s="3"/>
      <c r="F104" s="3"/>
      <c r="G104" s="4"/>
      <c r="H104" s="4"/>
      <c r="I104" s="3"/>
      <c r="J104" s="3"/>
      <c r="K104" s="8" t="str">
        <f t="shared" si="1"/>
        <v/>
      </c>
      <c r="L104" s="1" t="str">
        <f>IF(COUNTA(A104:J104)=0,"",IF(OR(AND(C104&lt;&gt;"Servicio",C104&lt;&gt;"Cobro",C104&lt;&gt;"Anticipo",C104&lt;&gt;"Aplicación anticipo",C104&lt;&gt;"Retención ISR",C104&lt;&gt;"Retención IVA"),AND(C104="Servicio",F104&lt;&gt;"TMS",F104&lt;&gt;"Valoración",F104&lt;&gt;"EEG",F104&lt;&gt;"Neurofeedback",F104&lt;&gt;"Fotobiomodulación",F104&lt;&gt;"Psicoterapia",F104&lt;&gt;"Otros")),"Tipo o categoría inválido",IF(COUNTA(A104:J104)=0,"",IF(OR(A104="",B104="",C104="",G104=""),"Faltan datos",IF(COUNTIF($A$7:$A$2006,A104)&gt;1,"ID duplicado",IF(OR(B104&lt;DATE(Configuración!$C$5,1,1),B104&gt;=DATE(Configuración!$C$5+1,1,1)),"Fecha fuera del año",IF(OR(G104&lt;0,H104&lt;0),"Revisar signo",IF(AND(C104&lt;&gt;"Servicio",H104&lt;&gt;0),"IVA solo en Servicio",IF(AND(C104="Servicio",F104=""),"Falta servicio","OK")))))))))</f>
        <v/>
      </c>
    </row>
    <row r="105" spans="1:12" ht="22" customHeight="1">
      <c r="A105" s="3"/>
      <c r="B105" s="7"/>
      <c r="C105" s="3"/>
      <c r="D105" s="3"/>
      <c r="E105" s="3"/>
      <c r="F105" s="3"/>
      <c r="G105" s="4"/>
      <c r="H105" s="4"/>
      <c r="I105" s="3"/>
      <c r="J105" s="3"/>
      <c r="K105" s="8" t="str">
        <f t="shared" si="1"/>
        <v/>
      </c>
      <c r="L105" s="1" t="str">
        <f>IF(COUNTA(A105:J105)=0,"",IF(OR(AND(C105&lt;&gt;"Servicio",C105&lt;&gt;"Cobro",C105&lt;&gt;"Anticipo",C105&lt;&gt;"Aplicación anticipo",C105&lt;&gt;"Retención ISR",C105&lt;&gt;"Retención IVA"),AND(C105="Servicio",F105&lt;&gt;"TMS",F105&lt;&gt;"Valoración",F105&lt;&gt;"EEG",F105&lt;&gt;"Neurofeedback",F105&lt;&gt;"Fotobiomodulación",F105&lt;&gt;"Psicoterapia",F105&lt;&gt;"Otros")),"Tipo o categoría inválido",IF(COUNTA(A105:J105)=0,"",IF(OR(A105="",B105="",C105="",G105=""),"Faltan datos",IF(COUNTIF($A$7:$A$2006,A105)&gt;1,"ID duplicado",IF(OR(B105&lt;DATE(Configuración!$C$5,1,1),B105&gt;=DATE(Configuración!$C$5+1,1,1)),"Fecha fuera del año",IF(OR(G105&lt;0,H105&lt;0),"Revisar signo",IF(AND(C105&lt;&gt;"Servicio",H105&lt;&gt;0),"IVA solo en Servicio",IF(AND(C105="Servicio",F105=""),"Falta servicio","OK")))))))))</f>
        <v/>
      </c>
    </row>
    <row r="106" spans="1:12" ht="22" customHeight="1">
      <c r="A106" s="3"/>
      <c r="B106" s="7"/>
      <c r="C106" s="3"/>
      <c r="D106" s="3"/>
      <c r="E106" s="3"/>
      <c r="F106" s="3"/>
      <c r="G106" s="4"/>
      <c r="H106" s="4"/>
      <c r="I106" s="3"/>
      <c r="J106" s="3"/>
      <c r="K106" s="8" t="str">
        <f t="shared" si="1"/>
        <v/>
      </c>
      <c r="L106" s="1" t="str">
        <f>IF(COUNTA(A106:J106)=0,"",IF(OR(AND(C106&lt;&gt;"Servicio",C106&lt;&gt;"Cobro",C106&lt;&gt;"Anticipo",C106&lt;&gt;"Aplicación anticipo",C106&lt;&gt;"Retención ISR",C106&lt;&gt;"Retención IVA"),AND(C106="Servicio",F106&lt;&gt;"TMS",F106&lt;&gt;"Valoración",F106&lt;&gt;"EEG",F106&lt;&gt;"Neurofeedback",F106&lt;&gt;"Fotobiomodulación",F106&lt;&gt;"Psicoterapia",F106&lt;&gt;"Otros")),"Tipo o categoría inválido",IF(COUNTA(A106:J106)=0,"",IF(OR(A106="",B106="",C106="",G106=""),"Faltan datos",IF(COUNTIF($A$7:$A$2006,A106)&gt;1,"ID duplicado",IF(OR(B106&lt;DATE(Configuración!$C$5,1,1),B106&gt;=DATE(Configuración!$C$5+1,1,1)),"Fecha fuera del año",IF(OR(G106&lt;0,H106&lt;0),"Revisar signo",IF(AND(C106&lt;&gt;"Servicio",H106&lt;&gt;0),"IVA solo en Servicio",IF(AND(C106="Servicio",F106=""),"Falta servicio","OK")))))))))</f>
        <v/>
      </c>
    </row>
    <row r="107" spans="1:12" ht="22" customHeight="1">
      <c r="A107" s="3"/>
      <c r="B107" s="7"/>
      <c r="C107" s="3"/>
      <c r="D107" s="3"/>
      <c r="E107" s="3"/>
      <c r="F107" s="3"/>
      <c r="G107" s="4"/>
      <c r="H107" s="4"/>
      <c r="I107" s="3"/>
      <c r="J107" s="3"/>
      <c r="K107" s="8" t="str">
        <f t="shared" si="1"/>
        <v/>
      </c>
      <c r="L107" s="1" t="str">
        <f>IF(COUNTA(A107:J107)=0,"",IF(OR(AND(C107&lt;&gt;"Servicio",C107&lt;&gt;"Cobro",C107&lt;&gt;"Anticipo",C107&lt;&gt;"Aplicación anticipo",C107&lt;&gt;"Retención ISR",C107&lt;&gt;"Retención IVA"),AND(C107="Servicio",F107&lt;&gt;"TMS",F107&lt;&gt;"Valoración",F107&lt;&gt;"EEG",F107&lt;&gt;"Neurofeedback",F107&lt;&gt;"Fotobiomodulación",F107&lt;&gt;"Psicoterapia",F107&lt;&gt;"Otros")),"Tipo o categoría inválido",IF(COUNTA(A107:J107)=0,"",IF(OR(A107="",B107="",C107="",G107=""),"Faltan datos",IF(COUNTIF($A$7:$A$2006,A107)&gt;1,"ID duplicado",IF(OR(B107&lt;DATE(Configuración!$C$5,1,1),B107&gt;=DATE(Configuración!$C$5+1,1,1)),"Fecha fuera del año",IF(OR(G107&lt;0,H107&lt;0),"Revisar signo",IF(AND(C107&lt;&gt;"Servicio",H107&lt;&gt;0),"IVA solo en Servicio",IF(AND(C107="Servicio",F107=""),"Falta servicio","OK")))))))))</f>
        <v/>
      </c>
    </row>
    <row r="108" spans="1:12" ht="22" customHeight="1">
      <c r="A108" s="3"/>
      <c r="B108" s="7"/>
      <c r="C108" s="3"/>
      <c r="D108" s="3"/>
      <c r="E108" s="3"/>
      <c r="F108" s="3"/>
      <c r="G108" s="4"/>
      <c r="H108" s="4"/>
      <c r="I108" s="3"/>
      <c r="J108" s="3"/>
      <c r="K108" s="8" t="str">
        <f t="shared" si="1"/>
        <v/>
      </c>
      <c r="L108" s="1" t="str">
        <f>IF(COUNTA(A108:J108)=0,"",IF(OR(AND(C108&lt;&gt;"Servicio",C108&lt;&gt;"Cobro",C108&lt;&gt;"Anticipo",C108&lt;&gt;"Aplicación anticipo",C108&lt;&gt;"Retención ISR",C108&lt;&gt;"Retención IVA"),AND(C108="Servicio",F108&lt;&gt;"TMS",F108&lt;&gt;"Valoración",F108&lt;&gt;"EEG",F108&lt;&gt;"Neurofeedback",F108&lt;&gt;"Fotobiomodulación",F108&lt;&gt;"Psicoterapia",F108&lt;&gt;"Otros")),"Tipo o categoría inválido",IF(COUNTA(A108:J108)=0,"",IF(OR(A108="",B108="",C108="",G108=""),"Faltan datos",IF(COUNTIF($A$7:$A$2006,A108)&gt;1,"ID duplicado",IF(OR(B108&lt;DATE(Configuración!$C$5,1,1),B108&gt;=DATE(Configuración!$C$5+1,1,1)),"Fecha fuera del año",IF(OR(G108&lt;0,H108&lt;0),"Revisar signo",IF(AND(C108&lt;&gt;"Servicio",H108&lt;&gt;0),"IVA solo en Servicio",IF(AND(C108="Servicio",F108=""),"Falta servicio","OK")))))))))</f>
        <v/>
      </c>
    </row>
    <row r="109" spans="1:12" ht="22" customHeight="1">
      <c r="A109" s="3"/>
      <c r="B109" s="7"/>
      <c r="C109" s="3"/>
      <c r="D109" s="3"/>
      <c r="E109" s="3"/>
      <c r="F109" s="3"/>
      <c r="G109" s="4"/>
      <c r="H109" s="4"/>
      <c r="I109" s="3"/>
      <c r="J109" s="3"/>
      <c r="K109" s="8" t="str">
        <f t="shared" si="1"/>
        <v/>
      </c>
      <c r="L109" s="1" t="str">
        <f>IF(COUNTA(A109:J109)=0,"",IF(OR(AND(C109&lt;&gt;"Servicio",C109&lt;&gt;"Cobro",C109&lt;&gt;"Anticipo",C109&lt;&gt;"Aplicación anticipo",C109&lt;&gt;"Retención ISR",C109&lt;&gt;"Retención IVA"),AND(C109="Servicio",F109&lt;&gt;"TMS",F109&lt;&gt;"Valoración",F109&lt;&gt;"EEG",F109&lt;&gt;"Neurofeedback",F109&lt;&gt;"Fotobiomodulación",F109&lt;&gt;"Psicoterapia",F109&lt;&gt;"Otros")),"Tipo o categoría inválido",IF(COUNTA(A109:J109)=0,"",IF(OR(A109="",B109="",C109="",G109=""),"Faltan datos",IF(COUNTIF($A$7:$A$2006,A109)&gt;1,"ID duplicado",IF(OR(B109&lt;DATE(Configuración!$C$5,1,1),B109&gt;=DATE(Configuración!$C$5+1,1,1)),"Fecha fuera del año",IF(OR(G109&lt;0,H109&lt;0),"Revisar signo",IF(AND(C109&lt;&gt;"Servicio",H109&lt;&gt;0),"IVA solo en Servicio",IF(AND(C109="Servicio",F109=""),"Falta servicio","OK")))))))))</f>
        <v/>
      </c>
    </row>
    <row r="110" spans="1:12" ht="22" customHeight="1">
      <c r="A110" s="3"/>
      <c r="B110" s="7"/>
      <c r="C110" s="3"/>
      <c r="D110" s="3"/>
      <c r="E110" s="3"/>
      <c r="F110" s="3"/>
      <c r="G110" s="4"/>
      <c r="H110" s="4"/>
      <c r="I110" s="3"/>
      <c r="J110" s="3"/>
      <c r="K110" s="8" t="str">
        <f t="shared" si="1"/>
        <v/>
      </c>
      <c r="L110" s="1" t="str">
        <f>IF(COUNTA(A110:J110)=0,"",IF(OR(AND(C110&lt;&gt;"Servicio",C110&lt;&gt;"Cobro",C110&lt;&gt;"Anticipo",C110&lt;&gt;"Aplicación anticipo",C110&lt;&gt;"Retención ISR",C110&lt;&gt;"Retención IVA"),AND(C110="Servicio",F110&lt;&gt;"TMS",F110&lt;&gt;"Valoración",F110&lt;&gt;"EEG",F110&lt;&gt;"Neurofeedback",F110&lt;&gt;"Fotobiomodulación",F110&lt;&gt;"Psicoterapia",F110&lt;&gt;"Otros")),"Tipo o categoría inválido",IF(COUNTA(A110:J110)=0,"",IF(OR(A110="",B110="",C110="",G110=""),"Faltan datos",IF(COUNTIF($A$7:$A$2006,A110)&gt;1,"ID duplicado",IF(OR(B110&lt;DATE(Configuración!$C$5,1,1),B110&gt;=DATE(Configuración!$C$5+1,1,1)),"Fecha fuera del año",IF(OR(G110&lt;0,H110&lt;0),"Revisar signo",IF(AND(C110&lt;&gt;"Servicio",H110&lt;&gt;0),"IVA solo en Servicio",IF(AND(C110="Servicio",F110=""),"Falta servicio","OK")))))))))</f>
        <v/>
      </c>
    </row>
    <row r="111" spans="1:12" ht="22" customHeight="1">
      <c r="A111" s="3"/>
      <c r="B111" s="7"/>
      <c r="C111" s="3"/>
      <c r="D111" s="3"/>
      <c r="E111" s="3"/>
      <c r="F111" s="3"/>
      <c r="G111" s="4"/>
      <c r="H111" s="4"/>
      <c r="I111" s="3"/>
      <c r="J111" s="3"/>
      <c r="K111" s="8" t="str">
        <f t="shared" si="1"/>
        <v/>
      </c>
      <c r="L111" s="1" t="str">
        <f>IF(COUNTA(A111:J111)=0,"",IF(OR(AND(C111&lt;&gt;"Servicio",C111&lt;&gt;"Cobro",C111&lt;&gt;"Anticipo",C111&lt;&gt;"Aplicación anticipo",C111&lt;&gt;"Retención ISR",C111&lt;&gt;"Retención IVA"),AND(C111="Servicio",F111&lt;&gt;"TMS",F111&lt;&gt;"Valoración",F111&lt;&gt;"EEG",F111&lt;&gt;"Neurofeedback",F111&lt;&gt;"Fotobiomodulación",F111&lt;&gt;"Psicoterapia",F111&lt;&gt;"Otros")),"Tipo o categoría inválido",IF(COUNTA(A111:J111)=0,"",IF(OR(A111="",B111="",C111="",G111=""),"Faltan datos",IF(COUNTIF($A$7:$A$2006,A111)&gt;1,"ID duplicado",IF(OR(B111&lt;DATE(Configuración!$C$5,1,1),B111&gt;=DATE(Configuración!$C$5+1,1,1)),"Fecha fuera del año",IF(OR(G111&lt;0,H111&lt;0),"Revisar signo",IF(AND(C111&lt;&gt;"Servicio",H111&lt;&gt;0),"IVA solo en Servicio",IF(AND(C111="Servicio",F111=""),"Falta servicio","OK")))))))))</f>
        <v/>
      </c>
    </row>
    <row r="112" spans="1:12" ht="22" customHeight="1">
      <c r="A112" s="3"/>
      <c r="B112" s="7"/>
      <c r="C112" s="3"/>
      <c r="D112" s="3"/>
      <c r="E112" s="3"/>
      <c r="F112" s="3"/>
      <c r="G112" s="4"/>
      <c r="H112" s="4"/>
      <c r="I112" s="3"/>
      <c r="J112" s="3"/>
      <c r="K112" s="8" t="str">
        <f t="shared" si="1"/>
        <v/>
      </c>
      <c r="L112" s="1" t="str">
        <f>IF(COUNTA(A112:J112)=0,"",IF(OR(AND(C112&lt;&gt;"Servicio",C112&lt;&gt;"Cobro",C112&lt;&gt;"Anticipo",C112&lt;&gt;"Aplicación anticipo",C112&lt;&gt;"Retención ISR",C112&lt;&gt;"Retención IVA"),AND(C112="Servicio",F112&lt;&gt;"TMS",F112&lt;&gt;"Valoración",F112&lt;&gt;"EEG",F112&lt;&gt;"Neurofeedback",F112&lt;&gt;"Fotobiomodulación",F112&lt;&gt;"Psicoterapia",F112&lt;&gt;"Otros")),"Tipo o categoría inválido",IF(COUNTA(A112:J112)=0,"",IF(OR(A112="",B112="",C112="",G112=""),"Faltan datos",IF(COUNTIF($A$7:$A$2006,A112)&gt;1,"ID duplicado",IF(OR(B112&lt;DATE(Configuración!$C$5,1,1),B112&gt;=DATE(Configuración!$C$5+1,1,1)),"Fecha fuera del año",IF(OR(G112&lt;0,H112&lt;0),"Revisar signo",IF(AND(C112&lt;&gt;"Servicio",H112&lt;&gt;0),"IVA solo en Servicio",IF(AND(C112="Servicio",F112=""),"Falta servicio","OK")))))))))</f>
        <v/>
      </c>
    </row>
    <row r="113" spans="1:12" ht="22" customHeight="1">
      <c r="A113" s="3"/>
      <c r="B113" s="7"/>
      <c r="C113" s="3"/>
      <c r="D113" s="3"/>
      <c r="E113" s="3"/>
      <c r="F113" s="3"/>
      <c r="G113" s="4"/>
      <c r="H113" s="4"/>
      <c r="I113" s="3"/>
      <c r="J113" s="3"/>
      <c r="K113" s="8" t="str">
        <f t="shared" si="1"/>
        <v/>
      </c>
      <c r="L113" s="1" t="str">
        <f>IF(COUNTA(A113:J113)=0,"",IF(OR(AND(C113&lt;&gt;"Servicio",C113&lt;&gt;"Cobro",C113&lt;&gt;"Anticipo",C113&lt;&gt;"Aplicación anticipo",C113&lt;&gt;"Retención ISR",C113&lt;&gt;"Retención IVA"),AND(C113="Servicio",F113&lt;&gt;"TMS",F113&lt;&gt;"Valoración",F113&lt;&gt;"EEG",F113&lt;&gt;"Neurofeedback",F113&lt;&gt;"Fotobiomodulación",F113&lt;&gt;"Psicoterapia",F113&lt;&gt;"Otros")),"Tipo o categoría inválido",IF(COUNTA(A113:J113)=0,"",IF(OR(A113="",B113="",C113="",G113=""),"Faltan datos",IF(COUNTIF($A$7:$A$2006,A113)&gt;1,"ID duplicado",IF(OR(B113&lt;DATE(Configuración!$C$5,1,1),B113&gt;=DATE(Configuración!$C$5+1,1,1)),"Fecha fuera del año",IF(OR(G113&lt;0,H113&lt;0),"Revisar signo",IF(AND(C113&lt;&gt;"Servicio",H113&lt;&gt;0),"IVA solo en Servicio",IF(AND(C113="Servicio",F113=""),"Falta servicio","OK")))))))))</f>
        <v/>
      </c>
    </row>
    <row r="114" spans="1:12" ht="22" customHeight="1">
      <c r="A114" s="3"/>
      <c r="B114" s="7"/>
      <c r="C114" s="3"/>
      <c r="D114" s="3"/>
      <c r="E114" s="3"/>
      <c r="F114" s="3"/>
      <c r="G114" s="4"/>
      <c r="H114" s="4"/>
      <c r="I114" s="3"/>
      <c r="J114" s="3"/>
      <c r="K114" s="8" t="str">
        <f t="shared" si="1"/>
        <v/>
      </c>
      <c r="L114" s="1" t="str">
        <f>IF(COUNTA(A114:J114)=0,"",IF(OR(AND(C114&lt;&gt;"Servicio",C114&lt;&gt;"Cobro",C114&lt;&gt;"Anticipo",C114&lt;&gt;"Aplicación anticipo",C114&lt;&gt;"Retención ISR",C114&lt;&gt;"Retención IVA"),AND(C114="Servicio",F114&lt;&gt;"TMS",F114&lt;&gt;"Valoración",F114&lt;&gt;"EEG",F114&lt;&gt;"Neurofeedback",F114&lt;&gt;"Fotobiomodulación",F114&lt;&gt;"Psicoterapia",F114&lt;&gt;"Otros")),"Tipo o categoría inválido",IF(COUNTA(A114:J114)=0,"",IF(OR(A114="",B114="",C114="",G114=""),"Faltan datos",IF(COUNTIF($A$7:$A$2006,A114)&gt;1,"ID duplicado",IF(OR(B114&lt;DATE(Configuración!$C$5,1,1),B114&gt;=DATE(Configuración!$C$5+1,1,1)),"Fecha fuera del año",IF(OR(G114&lt;0,H114&lt;0),"Revisar signo",IF(AND(C114&lt;&gt;"Servicio",H114&lt;&gt;0),"IVA solo en Servicio",IF(AND(C114="Servicio",F114=""),"Falta servicio","OK")))))))))</f>
        <v/>
      </c>
    </row>
    <row r="115" spans="1:12" ht="22" customHeight="1">
      <c r="A115" s="3"/>
      <c r="B115" s="7"/>
      <c r="C115" s="3"/>
      <c r="D115" s="3"/>
      <c r="E115" s="3"/>
      <c r="F115" s="3"/>
      <c r="G115" s="4"/>
      <c r="H115" s="4"/>
      <c r="I115" s="3"/>
      <c r="J115" s="3"/>
      <c r="K115" s="8" t="str">
        <f t="shared" si="1"/>
        <v/>
      </c>
      <c r="L115" s="1" t="str">
        <f>IF(COUNTA(A115:J115)=0,"",IF(OR(AND(C115&lt;&gt;"Servicio",C115&lt;&gt;"Cobro",C115&lt;&gt;"Anticipo",C115&lt;&gt;"Aplicación anticipo",C115&lt;&gt;"Retención ISR",C115&lt;&gt;"Retención IVA"),AND(C115="Servicio",F115&lt;&gt;"TMS",F115&lt;&gt;"Valoración",F115&lt;&gt;"EEG",F115&lt;&gt;"Neurofeedback",F115&lt;&gt;"Fotobiomodulación",F115&lt;&gt;"Psicoterapia",F115&lt;&gt;"Otros")),"Tipo o categoría inválido",IF(COUNTA(A115:J115)=0,"",IF(OR(A115="",B115="",C115="",G115=""),"Faltan datos",IF(COUNTIF($A$7:$A$2006,A115)&gt;1,"ID duplicado",IF(OR(B115&lt;DATE(Configuración!$C$5,1,1),B115&gt;=DATE(Configuración!$C$5+1,1,1)),"Fecha fuera del año",IF(OR(G115&lt;0,H115&lt;0),"Revisar signo",IF(AND(C115&lt;&gt;"Servicio",H115&lt;&gt;0),"IVA solo en Servicio",IF(AND(C115="Servicio",F115=""),"Falta servicio","OK")))))))))</f>
        <v/>
      </c>
    </row>
    <row r="116" spans="1:12" ht="22" customHeight="1">
      <c r="A116" s="3"/>
      <c r="B116" s="7"/>
      <c r="C116" s="3"/>
      <c r="D116" s="3"/>
      <c r="E116" s="3"/>
      <c r="F116" s="3"/>
      <c r="G116" s="4"/>
      <c r="H116" s="4"/>
      <c r="I116" s="3"/>
      <c r="J116" s="3"/>
      <c r="K116" s="8" t="str">
        <f t="shared" si="1"/>
        <v/>
      </c>
      <c r="L116" s="1" t="str">
        <f>IF(COUNTA(A116:J116)=0,"",IF(OR(AND(C116&lt;&gt;"Servicio",C116&lt;&gt;"Cobro",C116&lt;&gt;"Anticipo",C116&lt;&gt;"Aplicación anticipo",C116&lt;&gt;"Retención ISR",C116&lt;&gt;"Retención IVA"),AND(C116="Servicio",F116&lt;&gt;"TMS",F116&lt;&gt;"Valoración",F116&lt;&gt;"EEG",F116&lt;&gt;"Neurofeedback",F116&lt;&gt;"Fotobiomodulación",F116&lt;&gt;"Psicoterapia",F116&lt;&gt;"Otros")),"Tipo o categoría inválido",IF(COUNTA(A116:J116)=0,"",IF(OR(A116="",B116="",C116="",G116=""),"Faltan datos",IF(COUNTIF($A$7:$A$2006,A116)&gt;1,"ID duplicado",IF(OR(B116&lt;DATE(Configuración!$C$5,1,1),B116&gt;=DATE(Configuración!$C$5+1,1,1)),"Fecha fuera del año",IF(OR(G116&lt;0,H116&lt;0),"Revisar signo",IF(AND(C116&lt;&gt;"Servicio",H116&lt;&gt;0),"IVA solo en Servicio",IF(AND(C116="Servicio",F116=""),"Falta servicio","OK")))))))))</f>
        <v/>
      </c>
    </row>
    <row r="117" spans="1:12" ht="22" customHeight="1">
      <c r="A117" s="3"/>
      <c r="B117" s="7"/>
      <c r="C117" s="3"/>
      <c r="D117" s="3"/>
      <c r="E117" s="3"/>
      <c r="F117" s="3"/>
      <c r="G117" s="4"/>
      <c r="H117" s="4"/>
      <c r="I117" s="3"/>
      <c r="J117" s="3"/>
      <c r="K117" s="8" t="str">
        <f t="shared" si="1"/>
        <v/>
      </c>
      <c r="L117" s="1" t="str">
        <f>IF(COUNTA(A117:J117)=0,"",IF(OR(AND(C117&lt;&gt;"Servicio",C117&lt;&gt;"Cobro",C117&lt;&gt;"Anticipo",C117&lt;&gt;"Aplicación anticipo",C117&lt;&gt;"Retención ISR",C117&lt;&gt;"Retención IVA"),AND(C117="Servicio",F117&lt;&gt;"TMS",F117&lt;&gt;"Valoración",F117&lt;&gt;"EEG",F117&lt;&gt;"Neurofeedback",F117&lt;&gt;"Fotobiomodulación",F117&lt;&gt;"Psicoterapia",F117&lt;&gt;"Otros")),"Tipo o categoría inválido",IF(COUNTA(A117:J117)=0,"",IF(OR(A117="",B117="",C117="",G117=""),"Faltan datos",IF(COUNTIF($A$7:$A$2006,A117)&gt;1,"ID duplicado",IF(OR(B117&lt;DATE(Configuración!$C$5,1,1),B117&gt;=DATE(Configuración!$C$5+1,1,1)),"Fecha fuera del año",IF(OR(G117&lt;0,H117&lt;0),"Revisar signo",IF(AND(C117&lt;&gt;"Servicio",H117&lt;&gt;0),"IVA solo en Servicio",IF(AND(C117="Servicio",F117=""),"Falta servicio","OK")))))))))</f>
        <v/>
      </c>
    </row>
    <row r="118" spans="1:12" ht="22" customHeight="1">
      <c r="A118" s="3"/>
      <c r="B118" s="7"/>
      <c r="C118" s="3"/>
      <c r="D118" s="3"/>
      <c r="E118" s="3"/>
      <c r="F118" s="3"/>
      <c r="G118" s="4"/>
      <c r="H118" s="4"/>
      <c r="I118" s="3"/>
      <c r="J118" s="3"/>
      <c r="K118" s="8" t="str">
        <f t="shared" si="1"/>
        <v/>
      </c>
      <c r="L118" s="1" t="str">
        <f>IF(COUNTA(A118:J118)=0,"",IF(OR(AND(C118&lt;&gt;"Servicio",C118&lt;&gt;"Cobro",C118&lt;&gt;"Anticipo",C118&lt;&gt;"Aplicación anticipo",C118&lt;&gt;"Retención ISR",C118&lt;&gt;"Retención IVA"),AND(C118="Servicio",F118&lt;&gt;"TMS",F118&lt;&gt;"Valoración",F118&lt;&gt;"EEG",F118&lt;&gt;"Neurofeedback",F118&lt;&gt;"Fotobiomodulación",F118&lt;&gt;"Psicoterapia",F118&lt;&gt;"Otros")),"Tipo o categoría inválido",IF(COUNTA(A118:J118)=0,"",IF(OR(A118="",B118="",C118="",G118=""),"Faltan datos",IF(COUNTIF($A$7:$A$2006,A118)&gt;1,"ID duplicado",IF(OR(B118&lt;DATE(Configuración!$C$5,1,1),B118&gt;=DATE(Configuración!$C$5+1,1,1)),"Fecha fuera del año",IF(OR(G118&lt;0,H118&lt;0),"Revisar signo",IF(AND(C118&lt;&gt;"Servicio",H118&lt;&gt;0),"IVA solo en Servicio",IF(AND(C118="Servicio",F118=""),"Falta servicio","OK")))))))))</f>
        <v/>
      </c>
    </row>
    <row r="119" spans="1:12" ht="22" customHeight="1">
      <c r="A119" s="3"/>
      <c r="B119" s="7"/>
      <c r="C119" s="3"/>
      <c r="D119" s="3"/>
      <c r="E119" s="3"/>
      <c r="F119" s="3"/>
      <c r="G119" s="4"/>
      <c r="H119" s="4"/>
      <c r="I119" s="3"/>
      <c r="J119" s="3"/>
      <c r="K119" s="8" t="str">
        <f t="shared" si="1"/>
        <v/>
      </c>
      <c r="L119" s="1" t="str">
        <f>IF(COUNTA(A119:J119)=0,"",IF(OR(AND(C119&lt;&gt;"Servicio",C119&lt;&gt;"Cobro",C119&lt;&gt;"Anticipo",C119&lt;&gt;"Aplicación anticipo",C119&lt;&gt;"Retención ISR",C119&lt;&gt;"Retención IVA"),AND(C119="Servicio",F119&lt;&gt;"TMS",F119&lt;&gt;"Valoración",F119&lt;&gt;"EEG",F119&lt;&gt;"Neurofeedback",F119&lt;&gt;"Fotobiomodulación",F119&lt;&gt;"Psicoterapia",F119&lt;&gt;"Otros")),"Tipo o categoría inválido",IF(COUNTA(A119:J119)=0,"",IF(OR(A119="",B119="",C119="",G119=""),"Faltan datos",IF(COUNTIF($A$7:$A$2006,A119)&gt;1,"ID duplicado",IF(OR(B119&lt;DATE(Configuración!$C$5,1,1),B119&gt;=DATE(Configuración!$C$5+1,1,1)),"Fecha fuera del año",IF(OR(G119&lt;0,H119&lt;0),"Revisar signo",IF(AND(C119&lt;&gt;"Servicio",H119&lt;&gt;0),"IVA solo en Servicio",IF(AND(C119="Servicio",F119=""),"Falta servicio","OK")))))))))</f>
        <v/>
      </c>
    </row>
    <row r="120" spans="1:12" ht="22" customHeight="1">
      <c r="A120" s="3"/>
      <c r="B120" s="7"/>
      <c r="C120" s="3"/>
      <c r="D120" s="3"/>
      <c r="E120" s="3"/>
      <c r="F120" s="3"/>
      <c r="G120" s="4"/>
      <c r="H120" s="4"/>
      <c r="I120" s="3"/>
      <c r="J120" s="3"/>
      <c r="K120" s="8" t="str">
        <f t="shared" si="1"/>
        <v/>
      </c>
      <c r="L120" s="1" t="str">
        <f>IF(COUNTA(A120:J120)=0,"",IF(OR(AND(C120&lt;&gt;"Servicio",C120&lt;&gt;"Cobro",C120&lt;&gt;"Anticipo",C120&lt;&gt;"Aplicación anticipo",C120&lt;&gt;"Retención ISR",C120&lt;&gt;"Retención IVA"),AND(C120="Servicio",F120&lt;&gt;"TMS",F120&lt;&gt;"Valoración",F120&lt;&gt;"EEG",F120&lt;&gt;"Neurofeedback",F120&lt;&gt;"Fotobiomodulación",F120&lt;&gt;"Psicoterapia",F120&lt;&gt;"Otros")),"Tipo o categoría inválido",IF(COUNTA(A120:J120)=0,"",IF(OR(A120="",B120="",C120="",G120=""),"Faltan datos",IF(COUNTIF($A$7:$A$2006,A120)&gt;1,"ID duplicado",IF(OR(B120&lt;DATE(Configuración!$C$5,1,1),B120&gt;=DATE(Configuración!$C$5+1,1,1)),"Fecha fuera del año",IF(OR(G120&lt;0,H120&lt;0),"Revisar signo",IF(AND(C120&lt;&gt;"Servicio",H120&lt;&gt;0),"IVA solo en Servicio",IF(AND(C120="Servicio",F120=""),"Falta servicio","OK")))))))))</f>
        <v/>
      </c>
    </row>
    <row r="121" spans="1:12" ht="22" customHeight="1">
      <c r="A121" s="3"/>
      <c r="B121" s="7"/>
      <c r="C121" s="3"/>
      <c r="D121" s="3"/>
      <c r="E121" s="3"/>
      <c r="F121" s="3"/>
      <c r="G121" s="4"/>
      <c r="H121" s="4"/>
      <c r="I121" s="3"/>
      <c r="J121" s="3"/>
      <c r="K121" s="8" t="str">
        <f t="shared" si="1"/>
        <v/>
      </c>
      <c r="L121" s="1" t="str">
        <f>IF(COUNTA(A121:J121)=0,"",IF(OR(AND(C121&lt;&gt;"Servicio",C121&lt;&gt;"Cobro",C121&lt;&gt;"Anticipo",C121&lt;&gt;"Aplicación anticipo",C121&lt;&gt;"Retención ISR",C121&lt;&gt;"Retención IVA"),AND(C121="Servicio",F121&lt;&gt;"TMS",F121&lt;&gt;"Valoración",F121&lt;&gt;"EEG",F121&lt;&gt;"Neurofeedback",F121&lt;&gt;"Fotobiomodulación",F121&lt;&gt;"Psicoterapia",F121&lt;&gt;"Otros")),"Tipo o categoría inválido",IF(COUNTA(A121:J121)=0,"",IF(OR(A121="",B121="",C121="",G121=""),"Faltan datos",IF(COUNTIF($A$7:$A$2006,A121)&gt;1,"ID duplicado",IF(OR(B121&lt;DATE(Configuración!$C$5,1,1),B121&gt;=DATE(Configuración!$C$5+1,1,1)),"Fecha fuera del año",IF(OR(G121&lt;0,H121&lt;0),"Revisar signo",IF(AND(C121&lt;&gt;"Servicio",H121&lt;&gt;0),"IVA solo en Servicio",IF(AND(C121="Servicio",F121=""),"Falta servicio","OK")))))))))</f>
        <v/>
      </c>
    </row>
    <row r="122" spans="1:12" ht="22" customHeight="1">
      <c r="A122" s="3"/>
      <c r="B122" s="7"/>
      <c r="C122" s="3"/>
      <c r="D122" s="3"/>
      <c r="E122" s="3"/>
      <c r="F122" s="3"/>
      <c r="G122" s="4"/>
      <c r="H122" s="4"/>
      <c r="I122" s="3"/>
      <c r="J122" s="3"/>
      <c r="K122" s="8" t="str">
        <f t="shared" si="1"/>
        <v/>
      </c>
      <c r="L122" s="1" t="str">
        <f>IF(COUNTA(A122:J122)=0,"",IF(OR(AND(C122&lt;&gt;"Servicio",C122&lt;&gt;"Cobro",C122&lt;&gt;"Anticipo",C122&lt;&gt;"Aplicación anticipo",C122&lt;&gt;"Retención ISR",C122&lt;&gt;"Retención IVA"),AND(C122="Servicio",F122&lt;&gt;"TMS",F122&lt;&gt;"Valoración",F122&lt;&gt;"EEG",F122&lt;&gt;"Neurofeedback",F122&lt;&gt;"Fotobiomodulación",F122&lt;&gt;"Psicoterapia",F122&lt;&gt;"Otros")),"Tipo o categoría inválido",IF(COUNTA(A122:J122)=0,"",IF(OR(A122="",B122="",C122="",G122=""),"Faltan datos",IF(COUNTIF($A$7:$A$2006,A122)&gt;1,"ID duplicado",IF(OR(B122&lt;DATE(Configuración!$C$5,1,1),B122&gt;=DATE(Configuración!$C$5+1,1,1)),"Fecha fuera del año",IF(OR(G122&lt;0,H122&lt;0),"Revisar signo",IF(AND(C122&lt;&gt;"Servicio",H122&lt;&gt;0),"IVA solo en Servicio",IF(AND(C122="Servicio",F122=""),"Falta servicio","OK")))))))))</f>
        <v/>
      </c>
    </row>
    <row r="123" spans="1:12" ht="22" customHeight="1">
      <c r="A123" s="3"/>
      <c r="B123" s="7"/>
      <c r="C123" s="3"/>
      <c r="D123" s="3"/>
      <c r="E123" s="3"/>
      <c r="F123" s="3"/>
      <c r="G123" s="4"/>
      <c r="H123" s="4"/>
      <c r="I123" s="3"/>
      <c r="J123" s="3"/>
      <c r="K123" s="8" t="str">
        <f t="shared" si="1"/>
        <v/>
      </c>
      <c r="L123" s="1" t="str">
        <f>IF(COUNTA(A123:J123)=0,"",IF(OR(AND(C123&lt;&gt;"Servicio",C123&lt;&gt;"Cobro",C123&lt;&gt;"Anticipo",C123&lt;&gt;"Aplicación anticipo",C123&lt;&gt;"Retención ISR",C123&lt;&gt;"Retención IVA"),AND(C123="Servicio",F123&lt;&gt;"TMS",F123&lt;&gt;"Valoración",F123&lt;&gt;"EEG",F123&lt;&gt;"Neurofeedback",F123&lt;&gt;"Fotobiomodulación",F123&lt;&gt;"Psicoterapia",F123&lt;&gt;"Otros")),"Tipo o categoría inválido",IF(COUNTA(A123:J123)=0,"",IF(OR(A123="",B123="",C123="",G123=""),"Faltan datos",IF(COUNTIF($A$7:$A$2006,A123)&gt;1,"ID duplicado",IF(OR(B123&lt;DATE(Configuración!$C$5,1,1),B123&gt;=DATE(Configuración!$C$5+1,1,1)),"Fecha fuera del año",IF(OR(G123&lt;0,H123&lt;0),"Revisar signo",IF(AND(C123&lt;&gt;"Servicio",H123&lt;&gt;0),"IVA solo en Servicio",IF(AND(C123="Servicio",F123=""),"Falta servicio","OK")))))))))</f>
        <v/>
      </c>
    </row>
    <row r="124" spans="1:12" ht="22" customHeight="1">
      <c r="A124" s="3"/>
      <c r="B124" s="7"/>
      <c r="C124" s="3"/>
      <c r="D124" s="3"/>
      <c r="E124" s="3"/>
      <c r="F124" s="3"/>
      <c r="G124" s="4"/>
      <c r="H124" s="4"/>
      <c r="I124" s="3"/>
      <c r="J124" s="3"/>
      <c r="K124" s="8" t="str">
        <f t="shared" si="1"/>
        <v/>
      </c>
      <c r="L124" s="1" t="str">
        <f>IF(COUNTA(A124:J124)=0,"",IF(OR(AND(C124&lt;&gt;"Servicio",C124&lt;&gt;"Cobro",C124&lt;&gt;"Anticipo",C124&lt;&gt;"Aplicación anticipo",C124&lt;&gt;"Retención ISR",C124&lt;&gt;"Retención IVA"),AND(C124="Servicio",F124&lt;&gt;"TMS",F124&lt;&gt;"Valoración",F124&lt;&gt;"EEG",F124&lt;&gt;"Neurofeedback",F124&lt;&gt;"Fotobiomodulación",F124&lt;&gt;"Psicoterapia",F124&lt;&gt;"Otros")),"Tipo o categoría inválido",IF(COUNTA(A124:J124)=0,"",IF(OR(A124="",B124="",C124="",G124=""),"Faltan datos",IF(COUNTIF($A$7:$A$2006,A124)&gt;1,"ID duplicado",IF(OR(B124&lt;DATE(Configuración!$C$5,1,1),B124&gt;=DATE(Configuración!$C$5+1,1,1)),"Fecha fuera del año",IF(OR(G124&lt;0,H124&lt;0),"Revisar signo",IF(AND(C124&lt;&gt;"Servicio",H124&lt;&gt;0),"IVA solo en Servicio",IF(AND(C124="Servicio",F124=""),"Falta servicio","OK")))))))))</f>
        <v/>
      </c>
    </row>
    <row r="125" spans="1:12" ht="22" customHeight="1">
      <c r="A125" s="3"/>
      <c r="B125" s="7"/>
      <c r="C125" s="3"/>
      <c r="D125" s="3"/>
      <c r="E125" s="3"/>
      <c r="F125" s="3"/>
      <c r="G125" s="4"/>
      <c r="H125" s="4"/>
      <c r="I125" s="3"/>
      <c r="J125" s="3"/>
      <c r="K125" s="8" t="str">
        <f t="shared" si="1"/>
        <v/>
      </c>
      <c r="L125" s="1" t="str">
        <f>IF(COUNTA(A125:J125)=0,"",IF(OR(AND(C125&lt;&gt;"Servicio",C125&lt;&gt;"Cobro",C125&lt;&gt;"Anticipo",C125&lt;&gt;"Aplicación anticipo",C125&lt;&gt;"Retención ISR",C125&lt;&gt;"Retención IVA"),AND(C125="Servicio",F125&lt;&gt;"TMS",F125&lt;&gt;"Valoración",F125&lt;&gt;"EEG",F125&lt;&gt;"Neurofeedback",F125&lt;&gt;"Fotobiomodulación",F125&lt;&gt;"Psicoterapia",F125&lt;&gt;"Otros")),"Tipo o categoría inválido",IF(COUNTA(A125:J125)=0,"",IF(OR(A125="",B125="",C125="",G125=""),"Faltan datos",IF(COUNTIF($A$7:$A$2006,A125)&gt;1,"ID duplicado",IF(OR(B125&lt;DATE(Configuración!$C$5,1,1),B125&gt;=DATE(Configuración!$C$5+1,1,1)),"Fecha fuera del año",IF(OR(G125&lt;0,H125&lt;0),"Revisar signo",IF(AND(C125&lt;&gt;"Servicio",H125&lt;&gt;0),"IVA solo en Servicio",IF(AND(C125="Servicio",F125=""),"Falta servicio","OK")))))))))</f>
        <v/>
      </c>
    </row>
    <row r="126" spans="1:12" ht="22" customHeight="1">
      <c r="A126" s="3"/>
      <c r="B126" s="7"/>
      <c r="C126" s="3"/>
      <c r="D126" s="3"/>
      <c r="E126" s="3"/>
      <c r="F126" s="3"/>
      <c r="G126" s="4"/>
      <c r="H126" s="4"/>
      <c r="I126" s="3"/>
      <c r="J126" s="3"/>
      <c r="K126" s="8" t="str">
        <f t="shared" si="1"/>
        <v/>
      </c>
      <c r="L126" s="1" t="str">
        <f>IF(COUNTA(A126:J126)=0,"",IF(OR(AND(C126&lt;&gt;"Servicio",C126&lt;&gt;"Cobro",C126&lt;&gt;"Anticipo",C126&lt;&gt;"Aplicación anticipo",C126&lt;&gt;"Retención ISR",C126&lt;&gt;"Retención IVA"),AND(C126="Servicio",F126&lt;&gt;"TMS",F126&lt;&gt;"Valoración",F126&lt;&gt;"EEG",F126&lt;&gt;"Neurofeedback",F126&lt;&gt;"Fotobiomodulación",F126&lt;&gt;"Psicoterapia",F126&lt;&gt;"Otros")),"Tipo o categoría inválido",IF(COUNTA(A126:J126)=0,"",IF(OR(A126="",B126="",C126="",G126=""),"Faltan datos",IF(COUNTIF($A$7:$A$2006,A126)&gt;1,"ID duplicado",IF(OR(B126&lt;DATE(Configuración!$C$5,1,1),B126&gt;=DATE(Configuración!$C$5+1,1,1)),"Fecha fuera del año",IF(OR(G126&lt;0,H126&lt;0),"Revisar signo",IF(AND(C126&lt;&gt;"Servicio",H126&lt;&gt;0),"IVA solo en Servicio",IF(AND(C126="Servicio",F126=""),"Falta servicio","OK")))))))))</f>
        <v/>
      </c>
    </row>
    <row r="127" spans="1:12" ht="22" customHeight="1">
      <c r="A127" s="3"/>
      <c r="B127" s="7"/>
      <c r="C127" s="3"/>
      <c r="D127" s="3"/>
      <c r="E127" s="3"/>
      <c r="F127" s="3"/>
      <c r="G127" s="4"/>
      <c r="H127" s="4"/>
      <c r="I127" s="3"/>
      <c r="J127" s="3"/>
      <c r="K127" s="8" t="str">
        <f t="shared" si="1"/>
        <v/>
      </c>
      <c r="L127" s="1" t="str">
        <f>IF(COUNTA(A127:J127)=0,"",IF(OR(AND(C127&lt;&gt;"Servicio",C127&lt;&gt;"Cobro",C127&lt;&gt;"Anticipo",C127&lt;&gt;"Aplicación anticipo",C127&lt;&gt;"Retención ISR",C127&lt;&gt;"Retención IVA"),AND(C127="Servicio",F127&lt;&gt;"TMS",F127&lt;&gt;"Valoración",F127&lt;&gt;"EEG",F127&lt;&gt;"Neurofeedback",F127&lt;&gt;"Fotobiomodulación",F127&lt;&gt;"Psicoterapia",F127&lt;&gt;"Otros")),"Tipo o categoría inválido",IF(COUNTA(A127:J127)=0,"",IF(OR(A127="",B127="",C127="",G127=""),"Faltan datos",IF(COUNTIF($A$7:$A$2006,A127)&gt;1,"ID duplicado",IF(OR(B127&lt;DATE(Configuración!$C$5,1,1),B127&gt;=DATE(Configuración!$C$5+1,1,1)),"Fecha fuera del año",IF(OR(G127&lt;0,H127&lt;0),"Revisar signo",IF(AND(C127&lt;&gt;"Servicio",H127&lt;&gt;0),"IVA solo en Servicio",IF(AND(C127="Servicio",F127=""),"Falta servicio","OK")))))))))</f>
        <v/>
      </c>
    </row>
    <row r="128" spans="1:12" ht="22" customHeight="1">
      <c r="A128" s="3"/>
      <c r="B128" s="7"/>
      <c r="C128" s="3"/>
      <c r="D128" s="3"/>
      <c r="E128" s="3"/>
      <c r="F128" s="3"/>
      <c r="G128" s="4"/>
      <c r="H128" s="4"/>
      <c r="I128" s="3"/>
      <c r="J128" s="3"/>
      <c r="K128" s="8" t="str">
        <f t="shared" si="1"/>
        <v/>
      </c>
      <c r="L128" s="1" t="str">
        <f>IF(COUNTA(A128:J128)=0,"",IF(OR(AND(C128&lt;&gt;"Servicio",C128&lt;&gt;"Cobro",C128&lt;&gt;"Anticipo",C128&lt;&gt;"Aplicación anticipo",C128&lt;&gt;"Retención ISR",C128&lt;&gt;"Retención IVA"),AND(C128="Servicio",F128&lt;&gt;"TMS",F128&lt;&gt;"Valoración",F128&lt;&gt;"EEG",F128&lt;&gt;"Neurofeedback",F128&lt;&gt;"Fotobiomodulación",F128&lt;&gt;"Psicoterapia",F128&lt;&gt;"Otros")),"Tipo o categoría inválido",IF(COUNTA(A128:J128)=0,"",IF(OR(A128="",B128="",C128="",G128=""),"Faltan datos",IF(COUNTIF($A$7:$A$2006,A128)&gt;1,"ID duplicado",IF(OR(B128&lt;DATE(Configuración!$C$5,1,1),B128&gt;=DATE(Configuración!$C$5+1,1,1)),"Fecha fuera del año",IF(OR(G128&lt;0,H128&lt;0),"Revisar signo",IF(AND(C128&lt;&gt;"Servicio",H128&lt;&gt;0),"IVA solo en Servicio",IF(AND(C128="Servicio",F128=""),"Falta servicio","OK")))))))))</f>
        <v/>
      </c>
    </row>
    <row r="129" spans="1:12" ht="22" customHeight="1">
      <c r="A129" s="3"/>
      <c r="B129" s="7"/>
      <c r="C129" s="3"/>
      <c r="D129" s="3"/>
      <c r="E129" s="3"/>
      <c r="F129" s="3"/>
      <c r="G129" s="4"/>
      <c r="H129" s="4"/>
      <c r="I129" s="3"/>
      <c r="J129" s="3"/>
      <c r="K129" s="8" t="str">
        <f t="shared" si="1"/>
        <v/>
      </c>
      <c r="L129" s="1" t="str">
        <f>IF(COUNTA(A129:J129)=0,"",IF(OR(AND(C129&lt;&gt;"Servicio",C129&lt;&gt;"Cobro",C129&lt;&gt;"Anticipo",C129&lt;&gt;"Aplicación anticipo",C129&lt;&gt;"Retención ISR",C129&lt;&gt;"Retención IVA"),AND(C129="Servicio",F129&lt;&gt;"TMS",F129&lt;&gt;"Valoración",F129&lt;&gt;"EEG",F129&lt;&gt;"Neurofeedback",F129&lt;&gt;"Fotobiomodulación",F129&lt;&gt;"Psicoterapia",F129&lt;&gt;"Otros")),"Tipo o categoría inválido",IF(COUNTA(A129:J129)=0,"",IF(OR(A129="",B129="",C129="",G129=""),"Faltan datos",IF(COUNTIF($A$7:$A$2006,A129)&gt;1,"ID duplicado",IF(OR(B129&lt;DATE(Configuración!$C$5,1,1),B129&gt;=DATE(Configuración!$C$5+1,1,1)),"Fecha fuera del año",IF(OR(G129&lt;0,H129&lt;0),"Revisar signo",IF(AND(C129&lt;&gt;"Servicio",H129&lt;&gt;0),"IVA solo en Servicio",IF(AND(C129="Servicio",F129=""),"Falta servicio","OK")))))))))</f>
        <v/>
      </c>
    </row>
    <row r="130" spans="1:12" ht="22" customHeight="1">
      <c r="A130" s="3"/>
      <c r="B130" s="7"/>
      <c r="C130" s="3"/>
      <c r="D130" s="3"/>
      <c r="E130" s="3"/>
      <c r="F130" s="3"/>
      <c r="G130" s="4"/>
      <c r="H130" s="4"/>
      <c r="I130" s="3"/>
      <c r="J130" s="3"/>
      <c r="K130" s="8" t="str">
        <f t="shared" si="1"/>
        <v/>
      </c>
      <c r="L130" s="1" t="str">
        <f>IF(COUNTA(A130:J130)=0,"",IF(OR(AND(C130&lt;&gt;"Servicio",C130&lt;&gt;"Cobro",C130&lt;&gt;"Anticipo",C130&lt;&gt;"Aplicación anticipo",C130&lt;&gt;"Retención ISR",C130&lt;&gt;"Retención IVA"),AND(C130="Servicio",F130&lt;&gt;"TMS",F130&lt;&gt;"Valoración",F130&lt;&gt;"EEG",F130&lt;&gt;"Neurofeedback",F130&lt;&gt;"Fotobiomodulación",F130&lt;&gt;"Psicoterapia",F130&lt;&gt;"Otros")),"Tipo o categoría inválido",IF(COUNTA(A130:J130)=0,"",IF(OR(A130="",B130="",C130="",G130=""),"Faltan datos",IF(COUNTIF($A$7:$A$2006,A130)&gt;1,"ID duplicado",IF(OR(B130&lt;DATE(Configuración!$C$5,1,1),B130&gt;=DATE(Configuración!$C$5+1,1,1)),"Fecha fuera del año",IF(OR(G130&lt;0,H130&lt;0),"Revisar signo",IF(AND(C130&lt;&gt;"Servicio",H130&lt;&gt;0),"IVA solo en Servicio",IF(AND(C130="Servicio",F130=""),"Falta servicio","OK")))))))))</f>
        <v/>
      </c>
    </row>
    <row r="131" spans="1:12" ht="22" customHeight="1">
      <c r="A131" s="3"/>
      <c r="B131" s="7"/>
      <c r="C131" s="3"/>
      <c r="D131" s="3"/>
      <c r="E131" s="3"/>
      <c r="F131" s="3"/>
      <c r="G131" s="4"/>
      <c r="H131" s="4"/>
      <c r="I131" s="3"/>
      <c r="J131" s="3"/>
      <c r="K131" s="8" t="str">
        <f t="shared" si="1"/>
        <v/>
      </c>
      <c r="L131" s="1" t="str">
        <f>IF(COUNTA(A131:J131)=0,"",IF(OR(AND(C131&lt;&gt;"Servicio",C131&lt;&gt;"Cobro",C131&lt;&gt;"Anticipo",C131&lt;&gt;"Aplicación anticipo",C131&lt;&gt;"Retención ISR",C131&lt;&gt;"Retención IVA"),AND(C131="Servicio",F131&lt;&gt;"TMS",F131&lt;&gt;"Valoración",F131&lt;&gt;"EEG",F131&lt;&gt;"Neurofeedback",F131&lt;&gt;"Fotobiomodulación",F131&lt;&gt;"Psicoterapia",F131&lt;&gt;"Otros")),"Tipo o categoría inválido",IF(COUNTA(A131:J131)=0,"",IF(OR(A131="",B131="",C131="",G131=""),"Faltan datos",IF(COUNTIF($A$7:$A$2006,A131)&gt;1,"ID duplicado",IF(OR(B131&lt;DATE(Configuración!$C$5,1,1),B131&gt;=DATE(Configuración!$C$5+1,1,1)),"Fecha fuera del año",IF(OR(G131&lt;0,H131&lt;0),"Revisar signo",IF(AND(C131&lt;&gt;"Servicio",H131&lt;&gt;0),"IVA solo en Servicio",IF(AND(C131="Servicio",F131=""),"Falta servicio","OK")))))))))</f>
        <v/>
      </c>
    </row>
    <row r="132" spans="1:12" ht="22" customHeight="1">
      <c r="A132" s="3"/>
      <c r="B132" s="7"/>
      <c r="C132" s="3"/>
      <c r="D132" s="3"/>
      <c r="E132" s="3"/>
      <c r="F132" s="3"/>
      <c r="G132" s="4"/>
      <c r="H132" s="4"/>
      <c r="I132" s="3"/>
      <c r="J132" s="3"/>
      <c r="K132" s="8" t="str">
        <f t="shared" si="1"/>
        <v/>
      </c>
      <c r="L132" s="1" t="str">
        <f>IF(COUNTA(A132:J132)=0,"",IF(OR(AND(C132&lt;&gt;"Servicio",C132&lt;&gt;"Cobro",C132&lt;&gt;"Anticipo",C132&lt;&gt;"Aplicación anticipo",C132&lt;&gt;"Retención ISR",C132&lt;&gt;"Retención IVA"),AND(C132="Servicio",F132&lt;&gt;"TMS",F132&lt;&gt;"Valoración",F132&lt;&gt;"EEG",F132&lt;&gt;"Neurofeedback",F132&lt;&gt;"Fotobiomodulación",F132&lt;&gt;"Psicoterapia",F132&lt;&gt;"Otros")),"Tipo o categoría inválido",IF(COUNTA(A132:J132)=0,"",IF(OR(A132="",B132="",C132="",G132=""),"Faltan datos",IF(COUNTIF($A$7:$A$2006,A132)&gt;1,"ID duplicado",IF(OR(B132&lt;DATE(Configuración!$C$5,1,1),B132&gt;=DATE(Configuración!$C$5+1,1,1)),"Fecha fuera del año",IF(OR(G132&lt;0,H132&lt;0),"Revisar signo",IF(AND(C132&lt;&gt;"Servicio",H132&lt;&gt;0),"IVA solo en Servicio",IF(AND(C132="Servicio",F132=""),"Falta servicio","OK")))))))))</f>
        <v/>
      </c>
    </row>
    <row r="133" spans="1:12" ht="22" customHeight="1">
      <c r="A133" s="3"/>
      <c r="B133" s="7"/>
      <c r="C133" s="3"/>
      <c r="D133" s="3"/>
      <c r="E133" s="3"/>
      <c r="F133" s="3"/>
      <c r="G133" s="4"/>
      <c r="H133" s="4"/>
      <c r="I133" s="3"/>
      <c r="J133" s="3"/>
      <c r="K133" s="8" t="str">
        <f t="shared" si="1"/>
        <v/>
      </c>
      <c r="L133" s="1" t="str">
        <f>IF(COUNTA(A133:J133)=0,"",IF(OR(AND(C133&lt;&gt;"Servicio",C133&lt;&gt;"Cobro",C133&lt;&gt;"Anticipo",C133&lt;&gt;"Aplicación anticipo",C133&lt;&gt;"Retención ISR",C133&lt;&gt;"Retención IVA"),AND(C133="Servicio",F133&lt;&gt;"TMS",F133&lt;&gt;"Valoración",F133&lt;&gt;"EEG",F133&lt;&gt;"Neurofeedback",F133&lt;&gt;"Fotobiomodulación",F133&lt;&gt;"Psicoterapia",F133&lt;&gt;"Otros")),"Tipo o categoría inválido",IF(COUNTA(A133:J133)=0,"",IF(OR(A133="",B133="",C133="",G133=""),"Faltan datos",IF(COUNTIF($A$7:$A$2006,A133)&gt;1,"ID duplicado",IF(OR(B133&lt;DATE(Configuración!$C$5,1,1),B133&gt;=DATE(Configuración!$C$5+1,1,1)),"Fecha fuera del año",IF(OR(G133&lt;0,H133&lt;0),"Revisar signo",IF(AND(C133&lt;&gt;"Servicio",H133&lt;&gt;0),"IVA solo en Servicio",IF(AND(C133="Servicio",F133=""),"Falta servicio","OK")))))))))</f>
        <v/>
      </c>
    </row>
    <row r="134" spans="1:12" ht="22" customHeight="1">
      <c r="A134" s="3"/>
      <c r="B134" s="7"/>
      <c r="C134" s="3"/>
      <c r="D134" s="3"/>
      <c r="E134" s="3"/>
      <c r="F134" s="3"/>
      <c r="G134" s="4"/>
      <c r="H134" s="4"/>
      <c r="I134" s="3"/>
      <c r="J134" s="3"/>
      <c r="K134" s="8" t="str">
        <f t="shared" si="1"/>
        <v/>
      </c>
      <c r="L134" s="1" t="str">
        <f>IF(COUNTA(A134:J134)=0,"",IF(OR(AND(C134&lt;&gt;"Servicio",C134&lt;&gt;"Cobro",C134&lt;&gt;"Anticipo",C134&lt;&gt;"Aplicación anticipo",C134&lt;&gt;"Retención ISR",C134&lt;&gt;"Retención IVA"),AND(C134="Servicio",F134&lt;&gt;"TMS",F134&lt;&gt;"Valoración",F134&lt;&gt;"EEG",F134&lt;&gt;"Neurofeedback",F134&lt;&gt;"Fotobiomodulación",F134&lt;&gt;"Psicoterapia",F134&lt;&gt;"Otros")),"Tipo o categoría inválido",IF(COUNTA(A134:J134)=0,"",IF(OR(A134="",B134="",C134="",G134=""),"Faltan datos",IF(COUNTIF($A$7:$A$2006,A134)&gt;1,"ID duplicado",IF(OR(B134&lt;DATE(Configuración!$C$5,1,1),B134&gt;=DATE(Configuración!$C$5+1,1,1)),"Fecha fuera del año",IF(OR(G134&lt;0,H134&lt;0),"Revisar signo",IF(AND(C134&lt;&gt;"Servicio",H134&lt;&gt;0),"IVA solo en Servicio",IF(AND(C134="Servicio",F134=""),"Falta servicio","OK")))))))))</f>
        <v/>
      </c>
    </row>
    <row r="135" spans="1:12" ht="22" customHeight="1">
      <c r="A135" s="3"/>
      <c r="B135" s="7"/>
      <c r="C135" s="3"/>
      <c r="D135" s="3"/>
      <c r="E135" s="3"/>
      <c r="F135" s="3"/>
      <c r="G135" s="4"/>
      <c r="H135" s="4"/>
      <c r="I135" s="3"/>
      <c r="J135" s="3"/>
      <c r="K135" s="8" t="str">
        <f t="shared" ref="K135:K198" si="2">IF(A135="","",G135+H135)</f>
        <v/>
      </c>
      <c r="L135" s="1" t="str">
        <f>IF(COUNTA(A135:J135)=0,"",IF(OR(AND(C135&lt;&gt;"Servicio",C135&lt;&gt;"Cobro",C135&lt;&gt;"Anticipo",C135&lt;&gt;"Aplicación anticipo",C135&lt;&gt;"Retención ISR",C135&lt;&gt;"Retención IVA"),AND(C135="Servicio",F135&lt;&gt;"TMS",F135&lt;&gt;"Valoración",F135&lt;&gt;"EEG",F135&lt;&gt;"Neurofeedback",F135&lt;&gt;"Fotobiomodulación",F135&lt;&gt;"Psicoterapia",F135&lt;&gt;"Otros")),"Tipo o categoría inválido",IF(COUNTA(A135:J135)=0,"",IF(OR(A135="",B135="",C135="",G135=""),"Faltan datos",IF(COUNTIF($A$7:$A$2006,A135)&gt;1,"ID duplicado",IF(OR(B135&lt;DATE(Configuración!$C$5,1,1),B135&gt;=DATE(Configuración!$C$5+1,1,1)),"Fecha fuera del año",IF(OR(G135&lt;0,H135&lt;0),"Revisar signo",IF(AND(C135&lt;&gt;"Servicio",H135&lt;&gt;0),"IVA solo en Servicio",IF(AND(C135="Servicio",F135=""),"Falta servicio","OK")))))))))</f>
        <v/>
      </c>
    </row>
    <row r="136" spans="1:12" ht="22" customHeight="1">
      <c r="A136" s="3"/>
      <c r="B136" s="7"/>
      <c r="C136" s="3"/>
      <c r="D136" s="3"/>
      <c r="E136" s="3"/>
      <c r="F136" s="3"/>
      <c r="G136" s="4"/>
      <c r="H136" s="4"/>
      <c r="I136" s="3"/>
      <c r="J136" s="3"/>
      <c r="K136" s="8" t="str">
        <f t="shared" si="2"/>
        <v/>
      </c>
      <c r="L136" s="1" t="str">
        <f>IF(COUNTA(A136:J136)=0,"",IF(OR(AND(C136&lt;&gt;"Servicio",C136&lt;&gt;"Cobro",C136&lt;&gt;"Anticipo",C136&lt;&gt;"Aplicación anticipo",C136&lt;&gt;"Retención ISR",C136&lt;&gt;"Retención IVA"),AND(C136="Servicio",F136&lt;&gt;"TMS",F136&lt;&gt;"Valoración",F136&lt;&gt;"EEG",F136&lt;&gt;"Neurofeedback",F136&lt;&gt;"Fotobiomodulación",F136&lt;&gt;"Psicoterapia",F136&lt;&gt;"Otros")),"Tipo o categoría inválido",IF(COUNTA(A136:J136)=0,"",IF(OR(A136="",B136="",C136="",G136=""),"Faltan datos",IF(COUNTIF($A$7:$A$2006,A136)&gt;1,"ID duplicado",IF(OR(B136&lt;DATE(Configuración!$C$5,1,1),B136&gt;=DATE(Configuración!$C$5+1,1,1)),"Fecha fuera del año",IF(OR(G136&lt;0,H136&lt;0),"Revisar signo",IF(AND(C136&lt;&gt;"Servicio",H136&lt;&gt;0),"IVA solo en Servicio",IF(AND(C136="Servicio",F136=""),"Falta servicio","OK")))))))))</f>
        <v/>
      </c>
    </row>
    <row r="137" spans="1:12" ht="22" customHeight="1">
      <c r="A137" s="3"/>
      <c r="B137" s="7"/>
      <c r="C137" s="3"/>
      <c r="D137" s="3"/>
      <c r="E137" s="3"/>
      <c r="F137" s="3"/>
      <c r="G137" s="4"/>
      <c r="H137" s="4"/>
      <c r="I137" s="3"/>
      <c r="J137" s="3"/>
      <c r="K137" s="8" t="str">
        <f t="shared" si="2"/>
        <v/>
      </c>
      <c r="L137" s="1" t="str">
        <f>IF(COUNTA(A137:J137)=0,"",IF(OR(AND(C137&lt;&gt;"Servicio",C137&lt;&gt;"Cobro",C137&lt;&gt;"Anticipo",C137&lt;&gt;"Aplicación anticipo",C137&lt;&gt;"Retención ISR",C137&lt;&gt;"Retención IVA"),AND(C137="Servicio",F137&lt;&gt;"TMS",F137&lt;&gt;"Valoración",F137&lt;&gt;"EEG",F137&lt;&gt;"Neurofeedback",F137&lt;&gt;"Fotobiomodulación",F137&lt;&gt;"Psicoterapia",F137&lt;&gt;"Otros")),"Tipo o categoría inválido",IF(COUNTA(A137:J137)=0,"",IF(OR(A137="",B137="",C137="",G137=""),"Faltan datos",IF(COUNTIF($A$7:$A$2006,A137)&gt;1,"ID duplicado",IF(OR(B137&lt;DATE(Configuración!$C$5,1,1),B137&gt;=DATE(Configuración!$C$5+1,1,1)),"Fecha fuera del año",IF(OR(G137&lt;0,H137&lt;0),"Revisar signo",IF(AND(C137&lt;&gt;"Servicio",H137&lt;&gt;0),"IVA solo en Servicio",IF(AND(C137="Servicio",F137=""),"Falta servicio","OK")))))))))</f>
        <v/>
      </c>
    </row>
    <row r="138" spans="1:12" ht="22" customHeight="1">
      <c r="A138" s="3"/>
      <c r="B138" s="7"/>
      <c r="C138" s="3"/>
      <c r="D138" s="3"/>
      <c r="E138" s="3"/>
      <c r="F138" s="3"/>
      <c r="G138" s="4"/>
      <c r="H138" s="4"/>
      <c r="I138" s="3"/>
      <c r="J138" s="3"/>
      <c r="K138" s="8" t="str">
        <f t="shared" si="2"/>
        <v/>
      </c>
      <c r="L138" s="1" t="str">
        <f>IF(COUNTA(A138:J138)=0,"",IF(OR(AND(C138&lt;&gt;"Servicio",C138&lt;&gt;"Cobro",C138&lt;&gt;"Anticipo",C138&lt;&gt;"Aplicación anticipo",C138&lt;&gt;"Retención ISR",C138&lt;&gt;"Retención IVA"),AND(C138="Servicio",F138&lt;&gt;"TMS",F138&lt;&gt;"Valoración",F138&lt;&gt;"EEG",F138&lt;&gt;"Neurofeedback",F138&lt;&gt;"Fotobiomodulación",F138&lt;&gt;"Psicoterapia",F138&lt;&gt;"Otros")),"Tipo o categoría inválido",IF(COUNTA(A138:J138)=0,"",IF(OR(A138="",B138="",C138="",G138=""),"Faltan datos",IF(COUNTIF($A$7:$A$2006,A138)&gt;1,"ID duplicado",IF(OR(B138&lt;DATE(Configuración!$C$5,1,1),B138&gt;=DATE(Configuración!$C$5+1,1,1)),"Fecha fuera del año",IF(OR(G138&lt;0,H138&lt;0),"Revisar signo",IF(AND(C138&lt;&gt;"Servicio",H138&lt;&gt;0),"IVA solo en Servicio",IF(AND(C138="Servicio",F138=""),"Falta servicio","OK")))))))))</f>
        <v/>
      </c>
    </row>
    <row r="139" spans="1:12" ht="22" customHeight="1">
      <c r="A139" s="3"/>
      <c r="B139" s="7"/>
      <c r="C139" s="3"/>
      <c r="D139" s="3"/>
      <c r="E139" s="3"/>
      <c r="F139" s="3"/>
      <c r="G139" s="4"/>
      <c r="H139" s="4"/>
      <c r="I139" s="3"/>
      <c r="J139" s="3"/>
      <c r="K139" s="8" t="str">
        <f t="shared" si="2"/>
        <v/>
      </c>
      <c r="L139" s="1" t="str">
        <f>IF(COUNTA(A139:J139)=0,"",IF(OR(AND(C139&lt;&gt;"Servicio",C139&lt;&gt;"Cobro",C139&lt;&gt;"Anticipo",C139&lt;&gt;"Aplicación anticipo",C139&lt;&gt;"Retención ISR",C139&lt;&gt;"Retención IVA"),AND(C139="Servicio",F139&lt;&gt;"TMS",F139&lt;&gt;"Valoración",F139&lt;&gt;"EEG",F139&lt;&gt;"Neurofeedback",F139&lt;&gt;"Fotobiomodulación",F139&lt;&gt;"Psicoterapia",F139&lt;&gt;"Otros")),"Tipo o categoría inválido",IF(COUNTA(A139:J139)=0,"",IF(OR(A139="",B139="",C139="",G139=""),"Faltan datos",IF(COUNTIF($A$7:$A$2006,A139)&gt;1,"ID duplicado",IF(OR(B139&lt;DATE(Configuración!$C$5,1,1),B139&gt;=DATE(Configuración!$C$5+1,1,1)),"Fecha fuera del año",IF(OR(G139&lt;0,H139&lt;0),"Revisar signo",IF(AND(C139&lt;&gt;"Servicio",H139&lt;&gt;0),"IVA solo en Servicio",IF(AND(C139="Servicio",F139=""),"Falta servicio","OK")))))))))</f>
        <v/>
      </c>
    </row>
    <row r="140" spans="1:12" ht="22" customHeight="1">
      <c r="A140" s="3"/>
      <c r="B140" s="7"/>
      <c r="C140" s="3"/>
      <c r="D140" s="3"/>
      <c r="E140" s="3"/>
      <c r="F140" s="3"/>
      <c r="G140" s="4"/>
      <c r="H140" s="4"/>
      <c r="I140" s="3"/>
      <c r="J140" s="3"/>
      <c r="K140" s="8" t="str">
        <f t="shared" si="2"/>
        <v/>
      </c>
      <c r="L140" s="1" t="str">
        <f>IF(COUNTA(A140:J140)=0,"",IF(OR(AND(C140&lt;&gt;"Servicio",C140&lt;&gt;"Cobro",C140&lt;&gt;"Anticipo",C140&lt;&gt;"Aplicación anticipo",C140&lt;&gt;"Retención ISR",C140&lt;&gt;"Retención IVA"),AND(C140="Servicio",F140&lt;&gt;"TMS",F140&lt;&gt;"Valoración",F140&lt;&gt;"EEG",F140&lt;&gt;"Neurofeedback",F140&lt;&gt;"Fotobiomodulación",F140&lt;&gt;"Psicoterapia",F140&lt;&gt;"Otros")),"Tipo o categoría inválido",IF(COUNTA(A140:J140)=0,"",IF(OR(A140="",B140="",C140="",G140=""),"Faltan datos",IF(COUNTIF($A$7:$A$2006,A140)&gt;1,"ID duplicado",IF(OR(B140&lt;DATE(Configuración!$C$5,1,1),B140&gt;=DATE(Configuración!$C$5+1,1,1)),"Fecha fuera del año",IF(OR(G140&lt;0,H140&lt;0),"Revisar signo",IF(AND(C140&lt;&gt;"Servicio",H140&lt;&gt;0),"IVA solo en Servicio",IF(AND(C140="Servicio",F140=""),"Falta servicio","OK")))))))))</f>
        <v/>
      </c>
    </row>
    <row r="141" spans="1:12" ht="22" customHeight="1">
      <c r="A141" s="3"/>
      <c r="B141" s="7"/>
      <c r="C141" s="3"/>
      <c r="D141" s="3"/>
      <c r="E141" s="3"/>
      <c r="F141" s="3"/>
      <c r="G141" s="4"/>
      <c r="H141" s="4"/>
      <c r="I141" s="3"/>
      <c r="J141" s="3"/>
      <c r="K141" s="8" t="str">
        <f t="shared" si="2"/>
        <v/>
      </c>
      <c r="L141" s="1" t="str">
        <f>IF(COUNTA(A141:J141)=0,"",IF(OR(AND(C141&lt;&gt;"Servicio",C141&lt;&gt;"Cobro",C141&lt;&gt;"Anticipo",C141&lt;&gt;"Aplicación anticipo",C141&lt;&gt;"Retención ISR",C141&lt;&gt;"Retención IVA"),AND(C141="Servicio",F141&lt;&gt;"TMS",F141&lt;&gt;"Valoración",F141&lt;&gt;"EEG",F141&lt;&gt;"Neurofeedback",F141&lt;&gt;"Fotobiomodulación",F141&lt;&gt;"Psicoterapia",F141&lt;&gt;"Otros")),"Tipo o categoría inválido",IF(COUNTA(A141:J141)=0,"",IF(OR(A141="",B141="",C141="",G141=""),"Faltan datos",IF(COUNTIF($A$7:$A$2006,A141)&gt;1,"ID duplicado",IF(OR(B141&lt;DATE(Configuración!$C$5,1,1),B141&gt;=DATE(Configuración!$C$5+1,1,1)),"Fecha fuera del año",IF(OR(G141&lt;0,H141&lt;0),"Revisar signo",IF(AND(C141&lt;&gt;"Servicio",H141&lt;&gt;0),"IVA solo en Servicio",IF(AND(C141="Servicio",F141=""),"Falta servicio","OK")))))))))</f>
        <v/>
      </c>
    </row>
    <row r="142" spans="1:12" ht="22" customHeight="1">
      <c r="A142" s="3"/>
      <c r="B142" s="7"/>
      <c r="C142" s="3"/>
      <c r="D142" s="3"/>
      <c r="E142" s="3"/>
      <c r="F142" s="3"/>
      <c r="G142" s="4"/>
      <c r="H142" s="4"/>
      <c r="I142" s="3"/>
      <c r="J142" s="3"/>
      <c r="K142" s="8" t="str">
        <f t="shared" si="2"/>
        <v/>
      </c>
      <c r="L142" s="1" t="str">
        <f>IF(COUNTA(A142:J142)=0,"",IF(OR(AND(C142&lt;&gt;"Servicio",C142&lt;&gt;"Cobro",C142&lt;&gt;"Anticipo",C142&lt;&gt;"Aplicación anticipo",C142&lt;&gt;"Retención ISR",C142&lt;&gt;"Retención IVA"),AND(C142="Servicio",F142&lt;&gt;"TMS",F142&lt;&gt;"Valoración",F142&lt;&gt;"EEG",F142&lt;&gt;"Neurofeedback",F142&lt;&gt;"Fotobiomodulación",F142&lt;&gt;"Psicoterapia",F142&lt;&gt;"Otros")),"Tipo o categoría inválido",IF(COUNTA(A142:J142)=0,"",IF(OR(A142="",B142="",C142="",G142=""),"Faltan datos",IF(COUNTIF($A$7:$A$2006,A142)&gt;1,"ID duplicado",IF(OR(B142&lt;DATE(Configuración!$C$5,1,1),B142&gt;=DATE(Configuración!$C$5+1,1,1)),"Fecha fuera del año",IF(OR(G142&lt;0,H142&lt;0),"Revisar signo",IF(AND(C142&lt;&gt;"Servicio",H142&lt;&gt;0),"IVA solo en Servicio",IF(AND(C142="Servicio",F142=""),"Falta servicio","OK")))))))))</f>
        <v/>
      </c>
    </row>
    <row r="143" spans="1:12" ht="22" customHeight="1">
      <c r="A143" s="3"/>
      <c r="B143" s="7"/>
      <c r="C143" s="3"/>
      <c r="D143" s="3"/>
      <c r="E143" s="3"/>
      <c r="F143" s="3"/>
      <c r="G143" s="4"/>
      <c r="H143" s="4"/>
      <c r="I143" s="3"/>
      <c r="J143" s="3"/>
      <c r="K143" s="8" t="str">
        <f t="shared" si="2"/>
        <v/>
      </c>
      <c r="L143" s="1" t="str">
        <f>IF(COUNTA(A143:J143)=0,"",IF(OR(AND(C143&lt;&gt;"Servicio",C143&lt;&gt;"Cobro",C143&lt;&gt;"Anticipo",C143&lt;&gt;"Aplicación anticipo",C143&lt;&gt;"Retención ISR",C143&lt;&gt;"Retención IVA"),AND(C143="Servicio",F143&lt;&gt;"TMS",F143&lt;&gt;"Valoración",F143&lt;&gt;"EEG",F143&lt;&gt;"Neurofeedback",F143&lt;&gt;"Fotobiomodulación",F143&lt;&gt;"Psicoterapia",F143&lt;&gt;"Otros")),"Tipo o categoría inválido",IF(COUNTA(A143:J143)=0,"",IF(OR(A143="",B143="",C143="",G143=""),"Faltan datos",IF(COUNTIF($A$7:$A$2006,A143)&gt;1,"ID duplicado",IF(OR(B143&lt;DATE(Configuración!$C$5,1,1),B143&gt;=DATE(Configuración!$C$5+1,1,1)),"Fecha fuera del año",IF(OR(G143&lt;0,H143&lt;0),"Revisar signo",IF(AND(C143&lt;&gt;"Servicio",H143&lt;&gt;0),"IVA solo en Servicio",IF(AND(C143="Servicio",F143=""),"Falta servicio","OK")))))))))</f>
        <v/>
      </c>
    </row>
    <row r="144" spans="1:12" ht="22" customHeight="1">
      <c r="A144" s="3"/>
      <c r="B144" s="7"/>
      <c r="C144" s="3"/>
      <c r="D144" s="3"/>
      <c r="E144" s="3"/>
      <c r="F144" s="3"/>
      <c r="G144" s="4"/>
      <c r="H144" s="4"/>
      <c r="I144" s="3"/>
      <c r="J144" s="3"/>
      <c r="K144" s="8" t="str">
        <f t="shared" si="2"/>
        <v/>
      </c>
      <c r="L144" s="1" t="str">
        <f>IF(COUNTA(A144:J144)=0,"",IF(OR(AND(C144&lt;&gt;"Servicio",C144&lt;&gt;"Cobro",C144&lt;&gt;"Anticipo",C144&lt;&gt;"Aplicación anticipo",C144&lt;&gt;"Retención ISR",C144&lt;&gt;"Retención IVA"),AND(C144="Servicio",F144&lt;&gt;"TMS",F144&lt;&gt;"Valoración",F144&lt;&gt;"EEG",F144&lt;&gt;"Neurofeedback",F144&lt;&gt;"Fotobiomodulación",F144&lt;&gt;"Psicoterapia",F144&lt;&gt;"Otros")),"Tipo o categoría inválido",IF(COUNTA(A144:J144)=0,"",IF(OR(A144="",B144="",C144="",G144=""),"Faltan datos",IF(COUNTIF($A$7:$A$2006,A144)&gt;1,"ID duplicado",IF(OR(B144&lt;DATE(Configuración!$C$5,1,1),B144&gt;=DATE(Configuración!$C$5+1,1,1)),"Fecha fuera del año",IF(OR(G144&lt;0,H144&lt;0),"Revisar signo",IF(AND(C144&lt;&gt;"Servicio",H144&lt;&gt;0),"IVA solo en Servicio",IF(AND(C144="Servicio",F144=""),"Falta servicio","OK")))))))))</f>
        <v/>
      </c>
    </row>
    <row r="145" spans="1:12" ht="22" customHeight="1">
      <c r="A145" s="3"/>
      <c r="B145" s="7"/>
      <c r="C145" s="3"/>
      <c r="D145" s="3"/>
      <c r="E145" s="3"/>
      <c r="F145" s="3"/>
      <c r="G145" s="4"/>
      <c r="H145" s="4"/>
      <c r="I145" s="3"/>
      <c r="J145" s="3"/>
      <c r="K145" s="8" t="str">
        <f t="shared" si="2"/>
        <v/>
      </c>
      <c r="L145" s="1" t="str">
        <f>IF(COUNTA(A145:J145)=0,"",IF(OR(AND(C145&lt;&gt;"Servicio",C145&lt;&gt;"Cobro",C145&lt;&gt;"Anticipo",C145&lt;&gt;"Aplicación anticipo",C145&lt;&gt;"Retención ISR",C145&lt;&gt;"Retención IVA"),AND(C145="Servicio",F145&lt;&gt;"TMS",F145&lt;&gt;"Valoración",F145&lt;&gt;"EEG",F145&lt;&gt;"Neurofeedback",F145&lt;&gt;"Fotobiomodulación",F145&lt;&gt;"Psicoterapia",F145&lt;&gt;"Otros")),"Tipo o categoría inválido",IF(COUNTA(A145:J145)=0,"",IF(OR(A145="",B145="",C145="",G145=""),"Faltan datos",IF(COUNTIF($A$7:$A$2006,A145)&gt;1,"ID duplicado",IF(OR(B145&lt;DATE(Configuración!$C$5,1,1),B145&gt;=DATE(Configuración!$C$5+1,1,1)),"Fecha fuera del año",IF(OR(G145&lt;0,H145&lt;0),"Revisar signo",IF(AND(C145&lt;&gt;"Servicio",H145&lt;&gt;0),"IVA solo en Servicio",IF(AND(C145="Servicio",F145=""),"Falta servicio","OK")))))))))</f>
        <v/>
      </c>
    </row>
    <row r="146" spans="1:12" ht="22" customHeight="1">
      <c r="A146" s="3"/>
      <c r="B146" s="7"/>
      <c r="C146" s="3"/>
      <c r="D146" s="3"/>
      <c r="E146" s="3"/>
      <c r="F146" s="3"/>
      <c r="G146" s="4"/>
      <c r="H146" s="4"/>
      <c r="I146" s="3"/>
      <c r="J146" s="3"/>
      <c r="K146" s="8" t="str">
        <f t="shared" si="2"/>
        <v/>
      </c>
      <c r="L146" s="1" t="str">
        <f>IF(COUNTA(A146:J146)=0,"",IF(OR(AND(C146&lt;&gt;"Servicio",C146&lt;&gt;"Cobro",C146&lt;&gt;"Anticipo",C146&lt;&gt;"Aplicación anticipo",C146&lt;&gt;"Retención ISR",C146&lt;&gt;"Retención IVA"),AND(C146="Servicio",F146&lt;&gt;"TMS",F146&lt;&gt;"Valoración",F146&lt;&gt;"EEG",F146&lt;&gt;"Neurofeedback",F146&lt;&gt;"Fotobiomodulación",F146&lt;&gt;"Psicoterapia",F146&lt;&gt;"Otros")),"Tipo o categoría inválido",IF(COUNTA(A146:J146)=0,"",IF(OR(A146="",B146="",C146="",G146=""),"Faltan datos",IF(COUNTIF($A$7:$A$2006,A146)&gt;1,"ID duplicado",IF(OR(B146&lt;DATE(Configuración!$C$5,1,1),B146&gt;=DATE(Configuración!$C$5+1,1,1)),"Fecha fuera del año",IF(OR(G146&lt;0,H146&lt;0),"Revisar signo",IF(AND(C146&lt;&gt;"Servicio",H146&lt;&gt;0),"IVA solo en Servicio",IF(AND(C146="Servicio",F146=""),"Falta servicio","OK")))))))))</f>
        <v/>
      </c>
    </row>
    <row r="147" spans="1:12" ht="22" customHeight="1">
      <c r="A147" s="3"/>
      <c r="B147" s="7"/>
      <c r="C147" s="3"/>
      <c r="D147" s="3"/>
      <c r="E147" s="3"/>
      <c r="F147" s="3"/>
      <c r="G147" s="4"/>
      <c r="H147" s="4"/>
      <c r="I147" s="3"/>
      <c r="J147" s="3"/>
      <c r="K147" s="8" t="str">
        <f t="shared" si="2"/>
        <v/>
      </c>
      <c r="L147" s="1" t="str">
        <f>IF(COUNTA(A147:J147)=0,"",IF(OR(AND(C147&lt;&gt;"Servicio",C147&lt;&gt;"Cobro",C147&lt;&gt;"Anticipo",C147&lt;&gt;"Aplicación anticipo",C147&lt;&gt;"Retención ISR",C147&lt;&gt;"Retención IVA"),AND(C147="Servicio",F147&lt;&gt;"TMS",F147&lt;&gt;"Valoración",F147&lt;&gt;"EEG",F147&lt;&gt;"Neurofeedback",F147&lt;&gt;"Fotobiomodulación",F147&lt;&gt;"Psicoterapia",F147&lt;&gt;"Otros")),"Tipo o categoría inválido",IF(COUNTA(A147:J147)=0,"",IF(OR(A147="",B147="",C147="",G147=""),"Faltan datos",IF(COUNTIF($A$7:$A$2006,A147)&gt;1,"ID duplicado",IF(OR(B147&lt;DATE(Configuración!$C$5,1,1),B147&gt;=DATE(Configuración!$C$5+1,1,1)),"Fecha fuera del año",IF(OR(G147&lt;0,H147&lt;0),"Revisar signo",IF(AND(C147&lt;&gt;"Servicio",H147&lt;&gt;0),"IVA solo en Servicio",IF(AND(C147="Servicio",F147=""),"Falta servicio","OK")))))))))</f>
        <v/>
      </c>
    </row>
    <row r="148" spans="1:12" ht="22" customHeight="1">
      <c r="A148" s="3"/>
      <c r="B148" s="7"/>
      <c r="C148" s="3"/>
      <c r="D148" s="3"/>
      <c r="E148" s="3"/>
      <c r="F148" s="3"/>
      <c r="G148" s="4"/>
      <c r="H148" s="4"/>
      <c r="I148" s="3"/>
      <c r="J148" s="3"/>
      <c r="K148" s="8" t="str">
        <f t="shared" si="2"/>
        <v/>
      </c>
      <c r="L148" s="1" t="str">
        <f>IF(COUNTA(A148:J148)=0,"",IF(OR(AND(C148&lt;&gt;"Servicio",C148&lt;&gt;"Cobro",C148&lt;&gt;"Anticipo",C148&lt;&gt;"Aplicación anticipo",C148&lt;&gt;"Retención ISR",C148&lt;&gt;"Retención IVA"),AND(C148="Servicio",F148&lt;&gt;"TMS",F148&lt;&gt;"Valoración",F148&lt;&gt;"EEG",F148&lt;&gt;"Neurofeedback",F148&lt;&gt;"Fotobiomodulación",F148&lt;&gt;"Psicoterapia",F148&lt;&gt;"Otros")),"Tipo o categoría inválido",IF(COUNTA(A148:J148)=0,"",IF(OR(A148="",B148="",C148="",G148=""),"Faltan datos",IF(COUNTIF($A$7:$A$2006,A148)&gt;1,"ID duplicado",IF(OR(B148&lt;DATE(Configuración!$C$5,1,1),B148&gt;=DATE(Configuración!$C$5+1,1,1)),"Fecha fuera del año",IF(OR(G148&lt;0,H148&lt;0),"Revisar signo",IF(AND(C148&lt;&gt;"Servicio",H148&lt;&gt;0),"IVA solo en Servicio",IF(AND(C148="Servicio",F148=""),"Falta servicio","OK")))))))))</f>
        <v/>
      </c>
    </row>
    <row r="149" spans="1:12" ht="22" customHeight="1">
      <c r="A149" s="3"/>
      <c r="B149" s="7"/>
      <c r="C149" s="3"/>
      <c r="D149" s="3"/>
      <c r="E149" s="3"/>
      <c r="F149" s="3"/>
      <c r="G149" s="4"/>
      <c r="H149" s="4"/>
      <c r="I149" s="3"/>
      <c r="J149" s="3"/>
      <c r="K149" s="8" t="str">
        <f t="shared" si="2"/>
        <v/>
      </c>
      <c r="L149" s="1" t="str">
        <f>IF(COUNTA(A149:J149)=0,"",IF(OR(AND(C149&lt;&gt;"Servicio",C149&lt;&gt;"Cobro",C149&lt;&gt;"Anticipo",C149&lt;&gt;"Aplicación anticipo",C149&lt;&gt;"Retención ISR",C149&lt;&gt;"Retención IVA"),AND(C149="Servicio",F149&lt;&gt;"TMS",F149&lt;&gt;"Valoración",F149&lt;&gt;"EEG",F149&lt;&gt;"Neurofeedback",F149&lt;&gt;"Fotobiomodulación",F149&lt;&gt;"Psicoterapia",F149&lt;&gt;"Otros")),"Tipo o categoría inválido",IF(COUNTA(A149:J149)=0,"",IF(OR(A149="",B149="",C149="",G149=""),"Faltan datos",IF(COUNTIF($A$7:$A$2006,A149)&gt;1,"ID duplicado",IF(OR(B149&lt;DATE(Configuración!$C$5,1,1),B149&gt;=DATE(Configuración!$C$5+1,1,1)),"Fecha fuera del año",IF(OR(G149&lt;0,H149&lt;0),"Revisar signo",IF(AND(C149&lt;&gt;"Servicio",H149&lt;&gt;0),"IVA solo en Servicio",IF(AND(C149="Servicio",F149=""),"Falta servicio","OK")))))))))</f>
        <v/>
      </c>
    </row>
    <row r="150" spans="1:12" ht="22" customHeight="1">
      <c r="A150" s="3"/>
      <c r="B150" s="7"/>
      <c r="C150" s="3"/>
      <c r="D150" s="3"/>
      <c r="E150" s="3"/>
      <c r="F150" s="3"/>
      <c r="G150" s="4"/>
      <c r="H150" s="4"/>
      <c r="I150" s="3"/>
      <c r="J150" s="3"/>
      <c r="K150" s="8" t="str">
        <f t="shared" si="2"/>
        <v/>
      </c>
      <c r="L150" s="1" t="str">
        <f>IF(COUNTA(A150:J150)=0,"",IF(OR(AND(C150&lt;&gt;"Servicio",C150&lt;&gt;"Cobro",C150&lt;&gt;"Anticipo",C150&lt;&gt;"Aplicación anticipo",C150&lt;&gt;"Retención ISR",C150&lt;&gt;"Retención IVA"),AND(C150="Servicio",F150&lt;&gt;"TMS",F150&lt;&gt;"Valoración",F150&lt;&gt;"EEG",F150&lt;&gt;"Neurofeedback",F150&lt;&gt;"Fotobiomodulación",F150&lt;&gt;"Psicoterapia",F150&lt;&gt;"Otros")),"Tipo o categoría inválido",IF(COUNTA(A150:J150)=0,"",IF(OR(A150="",B150="",C150="",G150=""),"Faltan datos",IF(COUNTIF($A$7:$A$2006,A150)&gt;1,"ID duplicado",IF(OR(B150&lt;DATE(Configuración!$C$5,1,1),B150&gt;=DATE(Configuración!$C$5+1,1,1)),"Fecha fuera del año",IF(OR(G150&lt;0,H150&lt;0),"Revisar signo",IF(AND(C150&lt;&gt;"Servicio",H150&lt;&gt;0),"IVA solo en Servicio",IF(AND(C150="Servicio",F150=""),"Falta servicio","OK")))))))))</f>
        <v/>
      </c>
    </row>
    <row r="151" spans="1:12" ht="22" customHeight="1">
      <c r="A151" s="3"/>
      <c r="B151" s="7"/>
      <c r="C151" s="3"/>
      <c r="D151" s="3"/>
      <c r="E151" s="3"/>
      <c r="F151" s="3"/>
      <c r="G151" s="4"/>
      <c r="H151" s="4"/>
      <c r="I151" s="3"/>
      <c r="J151" s="3"/>
      <c r="K151" s="8" t="str">
        <f t="shared" si="2"/>
        <v/>
      </c>
      <c r="L151" s="1" t="str">
        <f>IF(COUNTA(A151:J151)=0,"",IF(OR(AND(C151&lt;&gt;"Servicio",C151&lt;&gt;"Cobro",C151&lt;&gt;"Anticipo",C151&lt;&gt;"Aplicación anticipo",C151&lt;&gt;"Retención ISR",C151&lt;&gt;"Retención IVA"),AND(C151="Servicio",F151&lt;&gt;"TMS",F151&lt;&gt;"Valoración",F151&lt;&gt;"EEG",F151&lt;&gt;"Neurofeedback",F151&lt;&gt;"Fotobiomodulación",F151&lt;&gt;"Psicoterapia",F151&lt;&gt;"Otros")),"Tipo o categoría inválido",IF(COUNTA(A151:J151)=0,"",IF(OR(A151="",B151="",C151="",G151=""),"Faltan datos",IF(COUNTIF($A$7:$A$2006,A151)&gt;1,"ID duplicado",IF(OR(B151&lt;DATE(Configuración!$C$5,1,1),B151&gt;=DATE(Configuración!$C$5+1,1,1)),"Fecha fuera del año",IF(OR(G151&lt;0,H151&lt;0),"Revisar signo",IF(AND(C151&lt;&gt;"Servicio",H151&lt;&gt;0),"IVA solo en Servicio",IF(AND(C151="Servicio",F151=""),"Falta servicio","OK")))))))))</f>
        <v/>
      </c>
    </row>
    <row r="152" spans="1:12" ht="22" customHeight="1">
      <c r="A152" s="3"/>
      <c r="B152" s="7"/>
      <c r="C152" s="3"/>
      <c r="D152" s="3"/>
      <c r="E152" s="3"/>
      <c r="F152" s="3"/>
      <c r="G152" s="4"/>
      <c r="H152" s="4"/>
      <c r="I152" s="3"/>
      <c r="J152" s="3"/>
      <c r="K152" s="8" t="str">
        <f t="shared" si="2"/>
        <v/>
      </c>
      <c r="L152" s="1" t="str">
        <f>IF(COUNTA(A152:J152)=0,"",IF(OR(AND(C152&lt;&gt;"Servicio",C152&lt;&gt;"Cobro",C152&lt;&gt;"Anticipo",C152&lt;&gt;"Aplicación anticipo",C152&lt;&gt;"Retención ISR",C152&lt;&gt;"Retención IVA"),AND(C152="Servicio",F152&lt;&gt;"TMS",F152&lt;&gt;"Valoración",F152&lt;&gt;"EEG",F152&lt;&gt;"Neurofeedback",F152&lt;&gt;"Fotobiomodulación",F152&lt;&gt;"Psicoterapia",F152&lt;&gt;"Otros")),"Tipo o categoría inválido",IF(COUNTA(A152:J152)=0,"",IF(OR(A152="",B152="",C152="",G152=""),"Faltan datos",IF(COUNTIF($A$7:$A$2006,A152)&gt;1,"ID duplicado",IF(OR(B152&lt;DATE(Configuración!$C$5,1,1),B152&gt;=DATE(Configuración!$C$5+1,1,1)),"Fecha fuera del año",IF(OR(G152&lt;0,H152&lt;0),"Revisar signo",IF(AND(C152&lt;&gt;"Servicio",H152&lt;&gt;0),"IVA solo en Servicio",IF(AND(C152="Servicio",F152=""),"Falta servicio","OK")))))))))</f>
        <v/>
      </c>
    </row>
    <row r="153" spans="1:12" ht="22" customHeight="1">
      <c r="A153" s="3"/>
      <c r="B153" s="7"/>
      <c r="C153" s="3"/>
      <c r="D153" s="3"/>
      <c r="E153" s="3"/>
      <c r="F153" s="3"/>
      <c r="G153" s="4"/>
      <c r="H153" s="4"/>
      <c r="I153" s="3"/>
      <c r="J153" s="3"/>
      <c r="K153" s="8" t="str">
        <f t="shared" si="2"/>
        <v/>
      </c>
      <c r="L153" s="1" t="str">
        <f>IF(COUNTA(A153:J153)=0,"",IF(OR(AND(C153&lt;&gt;"Servicio",C153&lt;&gt;"Cobro",C153&lt;&gt;"Anticipo",C153&lt;&gt;"Aplicación anticipo",C153&lt;&gt;"Retención ISR",C153&lt;&gt;"Retención IVA"),AND(C153="Servicio",F153&lt;&gt;"TMS",F153&lt;&gt;"Valoración",F153&lt;&gt;"EEG",F153&lt;&gt;"Neurofeedback",F153&lt;&gt;"Fotobiomodulación",F153&lt;&gt;"Psicoterapia",F153&lt;&gt;"Otros")),"Tipo o categoría inválido",IF(COUNTA(A153:J153)=0,"",IF(OR(A153="",B153="",C153="",G153=""),"Faltan datos",IF(COUNTIF($A$7:$A$2006,A153)&gt;1,"ID duplicado",IF(OR(B153&lt;DATE(Configuración!$C$5,1,1),B153&gt;=DATE(Configuración!$C$5+1,1,1)),"Fecha fuera del año",IF(OR(G153&lt;0,H153&lt;0),"Revisar signo",IF(AND(C153&lt;&gt;"Servicio",H153&lt;&gt;0),"IVA solo en Servicio",IF(AND(C153="Servicio",F153=""),"Falta servicio","OK")))))))))</f>
        <v/>
      </c>
    </row>
    <row r="154" spans="1:12" ht="22" customHeight="1">
      <c r="A154" s="3"/>
      <c r="B154" s="7"/>
      <c r="C154" s="3"/>
      <c r="D154" s="3"/>
      <c r="E154" s="3"/>
      <c r="F154" s="3"/>
      <c r="G154" s="4"/>
      <c r="H154" s="4"/>
      <c r="I154" s="3"/>
      <c r="J154" s="3"/>
      <c r="K154" s="8" t="str">
        <f t="shared" si="2"/>
        <v/>
      </c>
      <c r="L154" s="1" t="str">
        <f>IF(COUNTA(A154:J154)=0,"",IF(OR(AND(C154&lt;&gt;"Servicio",C154&lt;&gt;"Cobro",C154&lt;&gt;"Anticipo",C154&lt;&gt;"Aplicación anticipo",C154&lt;&gt;"Retención ISR",C154&lt;&gt;"Retención IVA"),AND(C154="Servicio",F154&lt;&gt;"TMS",F154&lt;&gt;"Valoración",F154&lt;&gt;"EEG",F154&lt;&gt;"Neurofeedback",F154&lt;&gt;"Fotobiomodulación",F154&lt;&gt;"Psicoterapia",F154&lt;&gt;"Otros")),"Tipo o categoría inválido",IF(COUNTA(A154:J154)=0,"",IF(OR(A154="",B154="",C154="",G154=""),"Faltan datos",IF(COUNTIF($A$7:$A$2006,A154)&gt;1,"ID duplicado",IF(OR(B154&lt;DATE(Configuración!$C$5,1,1),B154&gt;=DATE(Configuración!$C$5+1,1,1)),"Fecha fuera del año",IF(OR(G154&lt;0,H154&lt;0),"Revisar signo",IF(AND(C154&lt;&gt;"Servicio",H154&lt;&gt;0),"IVA solo en Servicio",IF(AND(C154="Servicio",F154=""),"Falta servicio","OK")))))))))</f>
        <v/>
      </c>
    </row>
    <row r="155" spans="1:12" ht="22" customHeight="1">
      <c r="A155" s="3"/>
      <c r="B155" s="7"/>
      <c r="C155" s="3"/>
      <c r="D155" s="3"/>
      <c r="E155" s="3"/>
      <c r="F155" s="3"/>
      <c r="G155" s="4"/>
      <c r="H155" s="4"/>
      <c r="I155" s="3"/>
      <c r="J155" s="3"/>
      <c r="K155" s="8" t="str">
        <f t="shared" si="2"/>
        <v/>
      </c>
      <c r="L155" s="1" t="str">
        <f>IF(COUNTA(A155:J155)=0,"",IF(OR(AND(C155&lt;&gt;"Servicio",C155&lt;&gt;"Cobro",C155&lt;&gt;"Anticipo",C155&lt;&gt;"Aplicación anticipo",C155&lt;&gt;"Retención ISR",C155&lt;&gt;"Retención IVA"),AND(C155="Servicio",F155&lt;&gt;"TMS",F155&lt;&gt;"Valoración",F155&lt;&gt;"EEG",F155&lt;&gt;"Neurofeedback",F155&lt;&gt;"Fotobiomodulación",F155&lt;&gt;"Psicoterapia",F155&lt;&gt;"Otros")),"Tipo o categoría inválido",IF(COUNTA(A155:J155)=0,"",IF(OR(A155="",B155="",C155="",G155=""),"Faltan datos",IF(COUNTIF($A$7:$A$2006,A155)&gt;1,"ID duplicado",IF(OR(B155&lt;DATE(Configuración!$C$5,1,1),B155&gt;=DATE(Configuración!$C$5+1,1,1)),"Fecha fuera del año",IF(OR(G155&lt;0,H155&lt;0),"Revisar signo",IF(AND(C155&lt;&gt;"Servicio",H155&lt;&gt;0),"IVA solo en Servicio",IF(AND(C155="Servicio",F155=""),"Falta servicio","OK")))))))))</f>
        <v/>
      </c>
    </row>
    <row r="156" spans="1:12" ht="22" customHeight="1">
      <c r="A156" s="3"/>
      <c r="B156" s="7"/>
      <c r="C156" s="3"/>
      <c r="D156" s="3"/>
      <c r="E156" s="3"/>
      <c r="F156" s="3"/>
      <c r="G156" s="4"/>
      <c r="H156" s="4"/>
      <c r="I156" s="3"/>
      <c r="J156" s="3"/>
      <c r="K156" s="8" t="str">
        <f t="shared" si="2"/>
        <v/>
      </c>
      <c r="L156" s="1" t="str">
        <f>IF(COUNTA(A156:J156)=0,"",IF(OR(AND(C156&lt;&gt;"Servicio",C156&lt;&gt;"Cobro",C156&lt;&gt;"Anticipo",C156&lt;&gt;"Aplicación anticipo",C156&lt;&gt;"Retención ISR",C156&lt;&gt;"Retención IVA"),AND(C156="Servicio",F156&lt;&gt;"TMS",F156&lt;&gt;"Valoración",F156&lt;&gt;"EEG",F156&lt;&gt;"Neurofeedback",F156&lt;&gt;"Fotobiomodulación",F156&lt;&gt;"Psicoterapia",F156&lt;&gt;"Otros")),"Tipo o categoría inválido",IF(COUNTA(A156:J156)=0,"",IF(OR(A156="",B156="",C156="",G156=""),"Faltan datos",IF(COUNTIF($A$7:$A$2006,A156)&gt;1,"ID duplicado",IF(OR(B156&lt;DATE(Configuración!$C$5,1,1),B156&gt;=DATE(Configuración!$C$5+1,1,1)),"Fecha fuera del año",IF(OR(G156&lt;0,H156&lt;0),"Revisar signo",IF(AND(C156&lt;&gt;"Servicio",H156&lt;&gt;0),"IVA solo en Servicio",IF(AND(C156="Servicio",F156=""),"Falta servicio","OK")))))))))</f>
        <v/>
      </c>
    </row>
    <row r="157" spans="1:12" ht="22" customHeight="1">
      <c r="A157" s="3"/>
      <c r="B157" s="7"/>
      <c r="C157" s="3"/>
      <c r="D157" s="3"/>
      <c r="E157" s="3"/>
      <c r="F157" s="3"/>
      <c r="G157" s="4"/>
      <c r="H157" s="4"/>
      <c r="I157" s="3"/>
      <c r="J157" s="3"/>
      <c r="K157" s="8" t="str">
        <f t="shared" si="2"/>
        <v/>
      </c>
      <c r="L157" s="1" t="str">
        <f>IF(COUNTA(A157:J157)=0,"",IF(OR(AND(C157&lt;&gt;"Servicio",C157&lt;&gt;"Cobro",C157&lt;&gt;"Anticipo",C157&lt;&gt;"Aplicación anticipo",C157&lt;&gt;"Retención ISR",C157&lt;&gt;"Retención IVA"),AND(C157="Servicio",F157&lt;&gt;"TMS",F157&lt;&gt;"Valoración",F157&lt;&gt;"EEG",F157&lt;&gt;"Neurofeedback",F157&lt;&gt;"Fotobiomodulación",F157&lt;&gt;"Psicoterapia",F157&lt;&gt;"Otros")),"Tipo o categoría inválido",IF(COUNTA(A157:J157)=0,"",IF(OR(A157="",B157="",C157="",G157=""),"Faltan datos",IF(COUNTIF($A$7:$A$2006,A157)&gt;1,"ID duplicado",IF(OR(B157&lt;DATE(Configuración!$C$5,1,1),B157&gt;=DATE(Configuración!$C$5+1,1,1)),"Fecha fuera del año",IF(OR(G157&lt;0,H157&lt;0),"Revisar signo",IF(AND(C157&lt;&gt;"Servicio",H157&lt;&gt;0),"IVA solo en Servicio",IF(AND(C157="Servicio",F157=""),"Falta servicio","OK")))))))))</f>
        <v/>
      </c>
    </row>
    <row r="158" spans="1:12" ht="22" customHeight="1">
      <c r="A158" s="3"/>
      <c r="B158" s="7"/>
      <c r="C158" s="3"/>
      <c r="D158" s="3"/>
      <c r="E158" s="3"/>
      <c r="F158" s="3"/>
      <c r="G158" s="4"/>
      <c r="H158" s="4"/>
      <c r="I158" s="3"/>
      <c r="J158" s="3"/>
      <c r="K158" s="8" t="str">
        <f t="shared" si="2"/>
        <v/>
      </c>
      <c r="L158" s="1" t="str">
        <f>IF(COUNTA(A158:J158)=0,"",IF(OR(AND(C158&lt;&gt;"Servicio",C158&lt;&gt;"Cobro",C158&lt;&gt;"Anticipo",C158&lt;&gt;"Aplicación anticipo",C158&lt;&gt;"Retención ISR",C158&lt;&gt;"Retención IVA"),AND(C158="Servicio",F158&lt;&gt;"TMS",F158&lt;&gt;"Valoración",F158&lt;&gt;"EEG",F158&lt;&gt;"Neurofeedback",F158&lt;&gt;"Fotobiomodulación",F158&lt;&gt;"Psicoterapia",F158&lt;&gt;"Otros")),"Tipo o categoría inválido",IF(COUNTA(A158:J158)=0,"",IF(OR(A158="",B158="",C158="",G158=""),"Faltan datos",IF(COUNTIF($A$7:$A$2006,A158)&gt;1,"ID duplicado",IF(OR(B158&lt;DATE(Configuración!$C$5,1,1),B158&gt;=DATE(Configuración!$C$5+1,1,1)),"Fecha fuera del año",IF(OR(G158&lt;0,H158&lt;0),"Revisar signo",IF(AND(C158&lt;&gt;"Servicio",H158&lt;&gt;0),"IVA solo en Servicio",IF(AND(C158="Servicio",F158=""),"Falta servicio","OK")))))))))</f>
        <v/>
      </c>
    </row>
    <row r="159" spans="1:12" ht="22" customHeight="1">
      <c r="A159" s="3"/>
      <c r="B159" s="7"/>
      <c r="C159" s="3"/>
      <c r="D159" s="3"/>
      <c r="E159" s="3"/>
      <c r="F159" s="3"/>
      <c r="G159" s="4"/>
      <c r="H159" s="4"/>
      <c r="I159" s="3"/>
      <c r="J159" s="3"/>
      <c r="K159" s="8" t="str">
        <f t="shared" si="2"/>
        <v/>
      </c>
      <c r="L159" s="1" t="str">
        <f>IF(COUNTA(A159:J159)=0,"",IF(OR(AND(C159&lt;&gt;"Servicio",C159&lt;&gt;"Cobro",C159&lt;&gt;"Anticipo",C159&lt;&gt;"Aplicación anticipo",C159&lt;&gt;"Retención ISR",C159&lt;&gt;"Retención IVA"),AND(C159="Servicio",F159&lt;&gt;"TMS",F159&lt;&gt;"Valoración",F159&lt;&gt;"EEG",F159&lt;&gt;"Neurofeedback",F159&lt;&gt;"Fotobiomodulación",F159&lt;&gt;"Psicoterapia",F159&lt;&gt;"Otros")),"Tipo o categoría inválido",IF(COUNTA(A159:J159)=0,"",IF(OR(A159="",B159="",C159="",G159=""),"Faltan datos",IF(COUNTIF($A$7:$A$2006,A159)&gt;1,"ID duplicado",IF(OR(B159&lt;DATE(Configuración!$C$5,1,1),B159&gt;=DATE(Configuración!$C$5+1,1,1)),"Fecha fuera del año",IF(OR(G159&lt;0,H159&lt;0),"Revisar signo",IF(AND(C159&lt;&gt;"Servicio",H159&lt;&gt;0),"IVA solo en Servicio",IF(AND(C159="Servicio",F159=""),"Falta servicio","OK")))))))))</f>
        <v/>
      </c>
    </row>
    <row r="160" spans="1:12" ht="22" customHeight="1">
      <c r="A160" s="3"/>
      <c r="B160" s="7"/>
      <c r="C160" s="3"/>
      <c r="D160" s="3"/>
      <c r="E160" s="3"/>
      <c r="F160" s="3"/>
      <c r="G160" s="4"/>
      <c r="H160" s="4"/>
      <c r="I160" s="3"/>
      <c r="J160" s="3"/>
      <c r="K160" s="8" t="str">
        <f t="shared" si="2"/>
        <v/>
      </c>
      <c r="L160" s="1" t="str">
        <f>IF(COUNTA(A160:J160)=0,"",IF(OR(AND(C160&lt;&gt;"Servicio",C160&lt;&gt;"Cobro",C160&lt;&gt;"Anticipo",C160&lt;&gt;"Aplicación anticipo",C160&lt;&gt;"Retención ISR",C160&lt;&gt;"Retención IVA"),AND(C160="Servicio",F160&lt;&gt;"TMS",F160&lt;&gt;"Valoración",F160&lt;&gt;"EEG",F160&lt;&gt;"Neurofeedback",F160&lt;&gt;"Fotobiomodulación",F160&lt;&gt;"Psicoterapia",F160&lt;&gt;"Otros")),"Tipo o categoría inválido",IF(COUNTA(A160:J160)=0,"",IF(OR(A160="",B160="",C160="",G160=""),"Faltan datos",IF(COUNTIF($A$7:$A$2006,A160)&gt;1,"ID duplicado",IF(OR(B160&lt;DATE(Configuración!$C$5,1,1),B160&gt;=DATE(Configuración!$C$5+1,1,1)),"Fecha fuera del año",IF(OR(G160&lt;0,H160&lt;0),"Revisar signo",IF(AND(C160&lt;&gt;"Servicio",H160&lt;&gt;0),"IVA solo en Servicio",IF(AND(C160="Servicio",F160=""),"Falta servicio","OK")))))))))</f>
        <v/>
      </c>
    </row>
    <row r="161" spans="1:12" ht="22" customHeight="1">
      <c r="A161" s="3"/>
      <c r="B161" s="7"/>
      <c r="C161" s="3"/>
      <c r="D161" s="3"/>
      <c r="E161" s="3"/>
      <c r="F161" s="3"/>
      <c r="G161" s="4"/>
      <c r="H161" s="4"/>
      <c r="I161" s="3"/>
      <c r="J161" s="3"/>
      <c r="K161" s="8" t="str">
        <f t="shared" si="2"/>
        <v/>
      </c>
      <c r="L161" s="1" t="str">
        <f>IF(COUNTA(A161:J161)=0,"",IF(OR(AND(C161&lt;&gt;"Servicio",C161&lt;&gt;"Cobro",C161&lt;&gt;"Anticipo",C161&lt;&gt;"Aplicación anticipo",C161&lt;&gt;"Retención ISR",C161&lt;&gt;"Retención IVA"),AND(C161="Servicio",F161&lt;&gt;"TMS",F161&lt;&gt;"Valoración",F161&lt;&gt;"EEG",F161&lt;&gt;"Neurofeedback",F161&lt;&gt;"Fotobiomodulación",F161&lt;&gt;"Psicoterapia",F161&lt;&gt;"Otros")),"Tipo o categoría inválido",IF(COUNTA(A161:J161)=0,"",IF(OR(A161="",B161="",C161="",G161=""),"Faltan datos",IF(COUNTIF($A$7:$A$2006,A161)&gt;1,"ID duplicado",IF(OR(B161&lt;DATE(Configuración!$C$5,1,1),B161&gt;=DATE(Configuración!$C$5+1,1,1)),"Fecha fuera del año",IF(OR(G161&lt;0,H161&lt;0),"Revisar signo",IF(AND(C161&lt;&gt;"Servicio",H161&lt;&gt;0),"IVA solo en Servicio",IF(AND(C161="Servicio",F161=""),"Falta servicio","OK")))))))))</f>
        <v/>
      </c>
    </row>
    <row r="162" spans="1:12" ht="22" customHeight="1">
      <c r="A162" s="3"/>
      <c r="B162" s="7"/>
      <c r="C162" s="3"/>
      <c r="D162" s="3"/>
      <c r="E162" s="3"/>
      <c r="F162" s="3"/>
      <c r="G162" s="4"/>
      <c r="H162" s="4"/>
      <c r="I162" s="3"/>
      <c r="J162" s="3"/>
      <c r="K162" s="8" t="str">
        <f t="shared" si="2"/>
        <v/>
      </c>
      <c r="L162" s="1" t="str">
        <f>IF(COUNTA(A162:J162)=0,"",IF(OR(AND(C162&lt;&gt;"Servicio",C162&lt;&gt;"Cobro",C162&lt;&gt;"Anticipo",C162&lt;&gt;"Aplicación anticipo",C162&lt;&gt;"Retención ISR",C162&lt;&gt;"Retención IVA"),AND(C162="Servicio",F162&lt;&gt;"TMS",F162&lt;&gt;"Valoración",F162&lt;&gt;"EEG",F162&lt;&gt;"Neurofeedback",F162&lt;&gt;"Fotobiomodulación",F162&lt;&gt;"Psicoterapia",F162&lt;&gt;"Otros")),"Tipo o categoría inválido",IF(COUNTA(A162:J162)=0,"",IF(OR(A162="",B162="",C162="",G162=""),"Faltan datos",IF(COUNTIF($A$7:$A$2006,A162)&gt;1,"ID duplicado",IF(OR(B162&lt;DATE(Configuración!$C$5,1,1),B162&gt;=DATE(Configuración!$C$5+1,1,1)),"Fecha fuera del año",IF(OR(G162&lt;0,H162&lt;0),"Revisar signo",IF(AND(C162&lt;&gt;"Servicio",H162&lt;&gt;0),"IVA solo en Servicio",IF(AND(C162="Servicio",F162=""),"Falta servicio","OK")))))))))</f>
        <v/>
      </c>
    </row>
    <row r="163" spans="1:12" ht="22" customHeight="1">
      <c r="A163" s="3"/>
      <c r="B163" s="7"/>
      <c r="C163" s="3"/>
      <c r="D163" s="3"/>
      <c r="E163" s="3"/>
      <c r="F163" s="3"/>
      <c r="G163" s="4"/>
      <c r="H163" s="4"/>
      <c r="I163" s="3"/>
      <c r="J163" s="3"/>
      <c r="K163" s="8" t="str">
        <f t="shared" si="2"/>
        <v/>
      </c>
      <c r="L163" s="1" t="str">
        <f>IF(COUNTA(A163:J163)=0,"",IF(OR(AND(C163&lt;&gt;"Servicio",C163&lt;&gt;"Cobro",C163&lt;&gt;"Anticipo",C163&lt;&gt;"Aplicación anticipo",C163&lt;&gt;"Retención ISR",C163&lt;&gt;"Retención IVA"),AND(C163="Servicio",F163&lt;&gt;"TMS",F163&lt;&gt;"Valoración",F163&lt;&gt;"EEG",F163&lt;&gt;"Neurofeedback",F163&lt;&gt;"Fotobiomodulación",F163&lt;&gt;"Psicoterapia",F163&lt;&gt;"Otros")),"Tipo o categoría inválido",IF(COUNTA(A163:J163)=0,"",IF(OR(A163="",B163="",C163="",G163=""),"Faltan datos",IF(COUNTIF($A$7:$A$2006,A163)&gt;1,"ID duplicado",IF(OR(B163&lt;DATE(Configuración!$C$5,1,1),B163&gt;=DATE(Configuración!$C$5+1,1,1)),"Fecha fuera del año",IF(OR(G163&lt;0,H163&lt;0),"Revisar signo",IF(AND(C163&lt;&gt;"Servicio",H163&lt;&gt;0),"IVA solo en Servicio",IF(AND(C163="Servicio",F163=""),"Falta servicio","OK")))))))))</f>
        <v/>
      </c>
    </row>
    <row r="164" spans="1:12" ht="22" customHeight="1">
      <c r="A164" s="3"/>
      <c r="B164" s="7"/>
      <c r="C164" s="3"/>
      <c r="D164" s="3"/>
      <c r="E164" s="3"/>
      <c r="F164" s="3"/>
      <c r="G164" s="4"/>
      <c r="H164" s="4"/>
      <c r="I164" s="3"/>
      <c r="J164" s="3"/>
      <c r="K164" s="8" t="str">
        <f t="shared" si="2"/>
        <v/>
      </c>
      <c r="L164" s="1" t="str">
        <f>IF(COUNTA(A164:J164)=0,"",IF(OR(AND(C164&lt;&gt;"Servicio",C164&lt;&gt;"Cobro",C164&lt;&gt;"Anticipo",C164&lt;&gt;"Aplicación anticipo",C164&lt;&gt;"Retención ISR",C164&lt;&gt;"Retención IVA"),AND(C164="Servicio",F164&lt;&gt;"TMS",F164&lt;&gt;"Valoración",F164&lt;&gt;"EEG",F164&lt;&gt;"Neurofeedback",F164&lt;&gt;"Fotobiomodulación",F164&lt;&gt;"Psicoterapia",F164&lt;&gt;"Otros")),"Tipo o categoría inválido",IF(COUNTA(A164:J164)=0,"",IF(OR(A164="",B164="",C164="",G164=""),"Faltan datos",IF(COUNTIF($A$7:$A$2006,A164)&gt;1,"ID duplicado",IF(OR(B164&lt;DATE(Configuración!$C$5,1,1),B164&gt;=DATE(Configuración!$C$5+1,1,1)),"Fecha fuera del año",IF(OR(G164&lt;0,H164&lt;0),"Revisar signo",IF(AND(C164&lt;&gt;"Servicio",H164&lt;&gt;0),"IVA solo en Servicio",IF(AND(C164="Servicio",F164=""),"Falta servicio","OK")))))))))</f>
        <v/>
      </c>
    </row>
    <row r="165" spans="1:12" ht="22" customHeight="1">
      <c r="A165" s="3"/>
      <c r="B165" s="7"/>
      <c r="C165" s="3"/>
      <c r="D165" s="3"/>
      <c r="E165" s="3"/>
      <c r="F165" s="3"/>
      <c r="G165" s="4"/>
      <c r="H165" s="4"/>
      <c r="I165" s="3"/>
      <c r="J165" s="3"/>
      <c r="K165" s="8" t="str">
        <f t="shared" si="2"/>
        <v/>
      </c>
      <c r="L165" s="1" t="str">
        <f>IF(COUNTA(A165:J165)=0,"",IF(OR(AND(C165&lt;&gt;"Servicio",C165&lt;&gt;"Cobro",C165&lt;&gt;"Anticipo",C165&lt;&gt;"Aplicación anticipo",C165&lt;&gt;"Retención ISR",C165&lt;&gt;"Retención IVA"),AND(C165="Servicio",F165&lt;&gt;"TMS",F165&lt;&gt;"Valoración",F165&lt;&gt;"EEG",F165&lt;&gt;"Neurofeedback",F165&lt;&gt;"Fotobiomodulación",F165&lt;&gt;"Psicoterapia",F165&lt;&gt;"Otros")),"Tipo o categoría inválido",IF(COUNTA(A165:J165)=0,"",IF(OR(A165="",B165="",C165="",G165=""),"Faltan datos",IF(COUNTIF($A$7:$A$2006,A165)&gt;1,"ID duplicado",IF(OR(B165&lt;DATE(Configuración!$C$5,1,1),B165&gt;=DATE(Configuración!$C$5+1,1,1)),"Fecha fuera del año",IF(OR(G165&lt;0,H165&lt;0),"Revisar signo",IF(AND(C165&lt;&gt;"Servicio",H165&lt;&gt;0),"IVA solo en Servicio",IF(AND(C165="Servicio",F165=""),"Falta servicio","OK")))))))))</f>
        <v/>
      </c>
    </row>
    <row r="166" spans="1:12" ht="22" customHeight="1">
      <c r="A166" s="3"/>
      <c r="B166" s="7"/>
      <c r="C166" s="3"/>
      <c r="D166" s="3"/>
      <c r="E166" s="3"/>
      <c r="F166" s="3"/>
      <c r="G166" s="4"/>
      <c r="H166" s="4"/>
      <c r="I166" s="3"/>
      <c r="J166" s="3"/>
      <c r="K166" s="8" t="str">
        <f t="shared" si="2"/>
        <v/>
      </c>
      <c r="L166" s="1" t="str">
        <f>IF(COUNTA(A166:J166)=0,"",IF(OR(AND(C166&lt;&gt;"Servicio",C166&lt;&gt;"Cobro",C166&lt;&gt;"Anticipo",C166&lt;&gt;"Aplicación anticipo",C166&lt;&gt;"Retención ISR",C166&lt;&gt;"Retención IVA"),AND(C166="Servicio",F166&lt;&gt;"TMS",F166&lt;&gt;"Valoración",F166&lt;&gt;"EEG",F166&lt;&gt;"Neurofeedback",F166&lt;&gt;"Fotobiomodulación",F166&lt;&gt;"Psicoterapia",F166&lt;&gt;"Otros")),"Tipo o categoría inválido",IF(COUNTA(A166:J166)=0,"",IF(OR(A166="",B166="",C166="",G166=""),"Faltan datos",IF(COUNTIF($A$7:$A$2006,A166)&gt;1,"ID duplicado",IF(OR(B166&lt;DATE(Configuración!$C$5,1,1),B166&gt;=DATE(Configuración!$C$5+1,1,1)),"Fecha fuera del año",IF(OR(G166&lt;0,H166&lt;0),"Revisar signo",IF(AND(C166&lt;&gt;"Servicio",H166&lt;&gt;0),"IVA solo en Servicio",IF(AND(C166="Servicio",F166=""),"Falta servicio","OK")))))))))</f>
        <v/>
      </c>
    </row>
    <row r="167" spans="1:12" ht="22" customHeight="1">
      <c r="A167" s="3"/>
      <c r="B167" s="7"/>
      <c r="C167" s="3"/>
      <c r="D167" s="3"/>
      <c r="E167" s="3"/>
      <c r="F167" s="3"/>
      <c r="G167" s="4"/>
      <c r="H167" s="4"/>
      <c r="I167" s="3"/>
      <c r="J167" s="3"/>
      <c r="K167" s="8" t="str">
        <f t="shared" si="2"/>
        <v/>
      </c>
      <c r="L167" s="1" t="str">
        <f>IF(COUNTA(A167:J167)=0,"",IF(OR(AND(C167&lt;&gt;"Servicio",C167&lt;&gt;"Cobro",C167&lt;&gt;"Anticipo",C167&lt;&gt;"Aplicación anticipo",C167&lt;&gt;"Retención ISR",C167&lt;&gt;"Retención IVA"),AND(C167="Servicio",F167&lt;&gt;"TMS",F167&lt;&gt;"Valoración",F167&lt;&gt;"EEG",F167&lt;&gt;"Neurofeedback",F167&lt;&gt;"Fotobiomodulación",F167&lt;&gt;"Psicoterapia",F167&lt;&gt;"Otros")),"Tipo o categoría inválido",IF(COUNTA(A167:J167)=0,"",IF(OR(A167="",B167="",C167="",G167=""),"Faltan datos",IF(COUNTIF($A$7:$A$2006,A167)&gt;1,"ID duplicado",IF(OR(B167&lt;DATE(Configuración!$C$5,1,1),B167&gt;=DATE(Configuración!$C$5+1,1,1)),"Fecha fuera del año",IF(OR(G167&lt;0,H167&lt;0),"Revisar signo",IF(AND(C167&lt;&gt;"Servicio",H167&lt;&gt;0),"IVA solo en Servicio",IF(AND(C167="Servicio",F167=""),"Falta servicio","OK")))))))))</f>
        <v/>
      </c>
    </row>
    <row r="168" spans="1:12" ht="22" customHeight="1">
      <c r="A168" s="3"/>
      <c r="B168" s="7"/>
      <c r="C168" s="3"/>
      <c r="D168" s="3"/>
      <c r="E168" s="3"/>
      <c r="F168" s="3"/>
      <c r="G168" s="4"/>
      <c r="H168" s="4"/>
      <c r="I168" s="3"/>
      <c r="J168" s="3"/>
      <c r="K168" s="8" t="str">
        <f t="shared" si="2"/>
        <v/>
      </c>
      <c r="L168" s="1" t="str">
        <f>IF(COUNTA(A168:J168)=0,"",IF(OR(AND(C168&lt;&gt;"Servicio",C168&lt;&gt;"Cobro",C168&lt;&gt;"Anticipo",C168&lt;&gt;"Aplicación anticipo",C168&lt;&gt;"Retención ISR",C168&lt;&gt;"Retención IVA"),AND(C168="Servicio",F168&lt;&gt;"TMS",F168&lt;&gt;"Valoración",F168&lt;&gt;"EEG",F168&lt;&gt;"Neurofeedback",F168&lt;&gt;"Fotobiomodulación",F168&lt;&gt;"Psicoterapia",F168&lt;&gt;"Otros")),"Tipo o categoría inválido",IF(COUNTA(A168:J168)=0,"",IF(OR(A168="",B168="",C168="",G168=""),"Faltan datos",IF(COUNTIF($A$7:$A$2006,A168)&gt;1,"ID duplicado",IF(OR(B168&lt;DATE(Configuración!$C$5,1,1),B168&gt;=DATE(Configuración!$C$5+1,1,1)),"Fecha fuera del año",IF(OR(G168&lt;0,H168&lt;0),"Revisar signo",IF(AND(C168&lt;&gt;"Servicio",H168&lt;&gt;0),"IVA solo en Servicio",IF(AND(C168="Servicio",F168=""),"Falta servicio","OK")))))))))</f>
        <v/>
      </c>
    </row>
    <row r="169" spans="1:12" ht="22" customHeight="1">
      <c r="A169" s="3"/>
      <c r="B169" s="7"/>
      <c r="C169" s="3"/>
      <c r="D169" s="3"/>
      <c r="E169" s="3"/>
      <c r="F169" s="3"/>
      <c r="G169" s="4"/>
      <c r="H169" s="4"/>
      <c r="I169" s="3"/>
      <c r="J169" s="3"/>
      <c r="K169" s="8" t="str">
        <f t="shared" si="2"/>
        <v/>
      </c>
      <c r="L169" s="1" t="str">
        <f>IF(COUNTA(A169:J169)=0,"",IF(OR(AND(C169&lt;&gt;"Servicio",C169&lt;&gt;"Cobro",C169&lt;&gt;"Anticipo",C169&lt;&gt;"Aplicación anticipo",C169&lt;&gt;"Retención ISR",C169&lt;&gt;"Retención IVA"),AND(C169="Servicio",F169&lt;&gt;"TMS",F169&lt;&gt;"Valoración",F169&lt;&gt;"EEG",F169&lt;&gt;"Neurofeedback",F169&lt;&gt;"Fotobiomodulación",F169&lt;&gt;"Psicoterapia",F169&lt;&gt;"Otros")),"Tipo o categoría inválido",IF(COUNTA(A169:J169)=0,"",IF(OR(A169="",B169="",C169="",G169=""),"Faltan datos",IF(COUNTIF($A$7:$A$2006,A169)&gt;1,"ID duplicado",IF(OR(B169&lt;DATE(Configuración!$C$5,1,1),B169&gt;=DATE(Configuración!$C$5+1,1,1)),"Fecha fuera del año",IF(OR(G169&lt;0,H169&lt;0),"Revisar signo",IF(AND(C169&lt;&gt;"Servicio",H169&lt;&gt;0),"IVA solo en Servicio",IF(AND(C169="Servicio",F169=""),"Falta servicio","OK")))))))))</f>
        <v/>
      </c>
    </row>
    <row r="170" spans="1:12" ht="22" customHeight="1">
      <c r="A170" s="3"/>
      <c r="B170" s="7"/>
      <c r="C170" s="3"/>
      <c r="D170" s="3"/>
      <c r="E170" s="3"/>
      <c r="F170" s="3"/>
      <c r="G170" s="4"/>
      <c r="H170" s="4"/>
      <c r="I170" s="3"/>
      <c r="J170" s="3"/>
      <c r="K170" s="8" t="str">
        <f t="shared" si="2"/>
        <v/>
      </c>
      <c r="L170" s="1" t="str">
        <f>IF(COUNTA(A170:J170)=0,"",IF(OR(AND(C170&lt;&gt;"Servicio",C170&lt;&gt;"Cobro",C170&lt;&gt;"Anticipo",C170&lt;&gt;"Aplicación anticipo",C170&lt;&gt;"Retención ISR",C170&lt;&gt;"Retención IVA"),AND(C170="Servicio",F170&lt;&gt;"TMS",F170&lt;&gt;"Valoración",F170&lt;&gt;"EEG",F170&lt;&gt;"Neurofeedback",F170&lt;&gt;"Fotobiomodulación",F170&lt;&gt;"Psicoterapia",F170&lt;&gt;"Otros")),"Tipo o categoría inválido",IF(COUNTA(A170:J170)=0,"",IF(OR(A170="",B170="",C170="",G170=""),"Faltan datos",IF(COUNTIF($A$7:$A$2006,A170)&gt;1,"ID duplicado",IF(OR(B170&lt;DATE(Configuración!$C$5,1,1),B170&gt;=DATE(Configuración!$C$5+1,1,1)),"Fecha fuera del año",IF(OR(G170&lt;0,H170&lt;0),"Revisar signo",IF(AND(C170&lt;&gt;"Servicio",H170&lt;&gt;0),"IVA solo en Servicio",IF(AND(C170="Servicio",F170=""),"Falta servicio","OK")))))))))</f>
        <v/>
      </c>
    </row>
    <row r="171" spans="1:12" ht="22" customHeight="1">
      <c r="A171" s="3"/>
      <c r="B171" s="7"/>
      <c r="C171" s="3"/>
      <c r="D171" s="3"/>
      <c r="E171" s="3"/>
      <c r="F171" s="3"/>
      <c r="G171" s="4"/>
      <c r="H171" s="4"/>
      <c r="I171" s="3"/>
      <c r="J171" s="3"/>
      <c r="K171" s="8" t="str">
        <f t="shared" si="2"/>
        <v/>
      </c>
      <c r="L171" s="1" t="str">
        <f>IF(COUNTA(A171:J171)=0,"",IF(OR(AND(C171&lt;&gt;"Servicio",C171&lt;&gt;"Cobro",C171&lt;&gt;"Anticipo",C171&lt;&gt;"Aplicación anticipo",C171&lt;&gt;"Retención ISR",C171&lt;&gt;"Retención IVA"),AND(C171="Servicio",F171&lt;&gt;"TMS",F171&lt;&gt;"Valoración",F171&lt;&gt;"EEG",F171&lt;&gt;"Neurofeedback",F171&lt;&gt;"Fotobiomodulación",F171&lt;&gt;"Psicoterapia",F171&lt;&gt;"Otros")),"Tipo o categoría inválido",IF(COUNTA(A171:J171)=0,"",IF(OR(A171="",B171="",C171="",G171=""),"Faltan datos",IF(COUNTIF($A$7:$A$2006,A171)&gt;1,"ID duplicado",IF(OR(B171&lt;DATE(Configuración!$C$5,1,1),B171&gt;=DATE(Configuración!$C$5+1,1,1)),"Fecha fuera del año",IF(OR(G171&lt;0,H171&lt;0),"Revisar signo",IF(AND(C171&lt;&gt;"Servicio",H171&lt;&gt;0),"IVA solo en Servicio",IF(AND(C171="Servicio",F171=""),"Falta servicio","OK")))))))))</f>
        <v/>
      </c>
    </row>
    <row r="172" spans="1:12" ht="22" customHeight="1">
      <c r="A172" s="3"/>
      <c r="B172" s="7"/>
      <c r="C172" s="3"/>
      <c r="D172" s="3"/>
      <c r="E172" s="3"/>
      <c r="F172" s="3"/>
      <c r="G172" s="4"/>
      <c r="H172" s="4"/>
      <c r="I172" s="3"/>
      <c r="J172" s="3"/>
      <c r="K172" s="8" t="str">
        <f t="shared" si="2"/>
        <v/>
      </c>
      <c r="L172" s="1" t="str">
        <f>IF(COUNTA(A172:J172)=0,"",IF(OR(AND(C172&lt;&gt;"Servicio",C172&lt;&gt;"Cobro",C172&lt;&gt;"Anticipo",C172&lt;&gt;"Aplicación anticipo",C172&lt;&gt;"Retención ISR",C172&lt;&gt;"Retención IVA"),AND(C172="Servicio",F172&lt;&gt;"TMS",F172&lt;&gt;"Valoración",F172&lt;&gt;"EEG",F172&lt;&gt;"Neurofeedback",F172&lt;&gt;"Fotobiomodulación",F172&lt;&gt;"Psicoterapia",F172&lt;&gt;"Otros")),"Tipo o categoría inválido",IF(COUNTA(A172:J172)=0,"",IF(OR(A172="",B172="",C172="",G172=""),"Faltan datos",IF(COUNTIF($A$7:$A$2006,A172)&gt;1,"ID duplicado",IF(OR(B172&lt;DATE(Configuración!$C$5,1,1),B172&gt;=DATE(Configuración!$C$5+1,1,1)),"Fecha fuera del año",IF(OR(G172&lt;0,H172&lt;0),"Revisar signo",IF(AND(C172&lt;&gt;"Servicio",H172&lt;&gt;0),"IVA solo en Servicio",IF(AND(C172="Servicio",F172=""),"Falta servicio","OK")))))))))</f>
        <v/>
      </c>
    </row>
    <row r="173" spans="1:12" ht="22" customHeight="1">
      <c r="A173" s="3"/>
      <c r="B173" s="7"/>
      <c r="C173" s="3"/>
      <c r="D173" s="3"/>
      <c r="E173" s="3"/>
      <c r="F173" s="3"/>
      <c r="G173" s="4"/>
      <c r="H173" s="4"/>
      <c r="I173" s="3"/>
      <c r="J173" s="3"/>
      <c r="K173" s="8" t="str">
        <f t="shared" si="2"/>
        <v/>
      </c>
      <c r="L173" s="1" t="str">
        <f>IF(COUNTA(A173:J173)=0,"",IF(OR(AND(C173&lt;&gt;"Servicio",C173&lt;&gt;"Cobro",C173&lt;&gt;"Anticipo",C173&lt;&gt;"Aplicación anticipo",C173&lt;&gt;"Retención ISR",C173&lt;&gt;"Retención IVA"),AND(C173="Servicio",F173&lt;&gt;"TMS",F173&lt;&gt;"Valoración",F173&lt;&gt;"EEG",F173&lt;&gt;"Neurofeedback",F173&lt;&gt;"Fotobiomodulación",F173&lt;&gt;"Psicoterapia",F173&lt;&gt;"Otros")),"Tipo o categoría inválido",IF(COUNTA(A173:J173)=0,"",IF(OR(A173="",B173="",C173="",G173=""),"Faltan datos",IF(COUNTIF($A$7:$A$2006,A173)&gt;1,"ID duplicado",IF(OR(B173&lt;DATE(Configuración!$C$5,1,1),B173&gt;=DATE(Configuración!$C$5+1,1,1)),"Fecha fuera del año",IF(OR(G173&lt;0,H173&lt;0),"Revisar signo",IF(AND(C173&lt;&gt;"Servicio",H173&lt;&gt;0),"IVA solo en Servicio",IF(AND(C173="Servicio",F173=""),"Falta servicio","OK")))))))))</f>
        <v/>
      </c>
    </row>
    <row r="174" spans="1:12" ht="22" customHeight="1">
      <c r="A174" s="3"/>
      <c r="B174" s="7"/>
      <c r="C174" s="3"/>
      <c r="D174" s="3"/>
      <c r="E174" s="3"/>
      <c r="F174" s="3"/>
      <c r="G174" s="4"/>
      <c r="H174" s="4"/>
      <c r="I174" s="3"/>
      <c r="J174" s="3"/>
      <c r="K174" s="8" t="str">
        <f t="shared" si="2"/>
        <v/>
      </c>
      <c r="L174" s="1" t="str">
        <f>IF(COUNTA(A174:J174)=0,"",IF(OR(AND(C174&lt;&gt;"Servicio",C174&lt;&gt;"Cobro",C174&lt;&gt;"Anticipo",C174&lt;&gt;"Aplicación anticipo",C174&lt;&gt;"Retención ISR",C174&lt;&gt;"Retención IVA"),AND(C174="Servicio",F174&lt;&gt;"TMS",F174&lt;&gt;"Valoración",F174&lt;&gt;"EEG",F174&lt;&gt;"Neurofeedback",F174&lt;&gt;"Fotobiomodulación",F174&lt;&gt;"Psicoterapia",F174&lt;&gt;"Otros")),"Tipo o categoría inválido",IF(COUNTA(A174:J174)=0,"",IF(OR(A174="",B174="",C174="",G174=""),"Faltan datos",IF(COUNTIF($A$7:$A$2006,A174)&gt;1,"ID duplicado",IF(OR(B174&lt;DATE(Configuración!$C$5,1,1),B174&gt;=DATE(Configuración!$C$5+1,1,1)),"Fecha fuera del año",IF(OR(G174&lt;0,H174&lt;0),"Revisar signo",IF(AND(C174&lt;&gt;"Servicio",H174&lt;&gt;0),"IVA solo en Servicio",IF(AND(C174="Servicio",F174=""),"Falta servicio","OK")))))))))</f>
        <v/>
      </c>
    </row>
    <row r="175" spans="1:12" ht="22" customHeight="1">
      <c r="A175" s="3"/>
      <c r="B175" s="7"/>
      <c r="C175" s="3"/>
      <c r="D175" s="3"/>
      <c r="E175" s="3"/>
      <c r="F175" s="3"/>
      <c r="G175" s="4"/>
      <c r="H175" s="4"/>
      <c r="I175" s="3"/>
      <c r="J175" s="3"/>
      <c r="K175" s="8" t="str">
        <f t="shared" si="2"/>
        <v/>
      </c>
      <c r="L175" s="1" t="str">
        <f>IF(COUNTA(A175:J175)=0,"",IF(OR(AND(C175&lt;&gt;"Servicio",C175&lt;&gt;"Cobro",C175&lt;&gt;"Anticipo",C175&lt;&gt;"Aplicación anticipo",C175&lt;&gt;"Retención ISR",C175&lt;&gt;"Retención IVA"),AND(C175="Servicio",F175&lt;&gt;"TMS",F175&lt;&gt;"Valoración",F175&lt;&gt;"EEG",F175&lt;&gt;"Neurofeedback",F175&lt;&gt;"Fotobiomodulación",F175&lt;&gt;"Psicoterapia",F175&lt;&gt;"Otros")),"Tipo o categoría inválido",IF(COUNTA(A175:J175)=0,"",IF(OR(A175="",B175="",C175="",G175=""),"Faltan datos",IF(COUNTIF($A$7:$A$2006,A175)&gt;1,"ID duplicado",IF(OR(B175&lt;DATE(Configuración!$C$5,1,1),B175&gt;=DATE(Configuración!$C$5+1,1,1)),"Fecha fuera del año",IF(OR(G175&lt;0,H175&lt;0),"Revisar signo",IF(AND(C175&lt;&gt;"Servicio",H175&lt;&gt;0),"IVA solo en Servicio",IF(AND(C175="Servicio",F175=""),"Falta servicio","OK")))))))))</f>
        <v/>
      </c>
    </row>
    <row r="176" spans="1:12" ht="22" customHeight="1">
      <c r="A176" s="3"/>
      <c r="B176" s="7"/>
      <c r="C176" s="3"/>
      <c r="D176" s="3"/>
      <c r="E176" s="3"/>
      <c r="F176" s="3"/>
      <c r="G176" s="4"/>
      <c r="H176" s="4"/>
      <c r="I176" s="3"/>
      <c r="J176" s="3"/>
      <c r="K176" s="8" t="str">
        <f t="shared" si="2"/>
        <v/>
      </c>
      <c r="L176" s="1" t="str">
        <f>IF(COUNTA(A176:J176)=0,"",IF(OR(AND(C176&lt;&gt;"Servicio",C176&lt;&gt;"Cobro",C176&lt;&gt;"Anticipo",C176&lt;&gt;"Aplicación anticipo",C176&lt;&gt;"Retención ISR",C176&lt;&gt;"Retención IVA"),AND(C176="Servicio",F176&lt;&gt;"TMS",F176&lt;&gt;"Valoración",F176&lt;&gt;"EEG",F176&lt;&gt;"Neurofeedback",F176&lt;&gt;"Fotobiomodulación",F176&lt;&gt;"Psicoterapia",F176&lt;&gt;"Otros")),"Tipo o categoría inválido",IF(COUNTA(A176:J176)=0,"",IF(OR(A176="",B176="",C176="",G176=""),"Faltan datos",IF(COUNTIF($A$7:$A$2006,A176)&gt;1,"ID duplicado",IF(OR(B176&lt;DATE(Configuración!$C$5,1,1),B176&gt;=DATE(Configuración!$C$5+1,1,1)),"Fecha fuera del año",IF(OR(G176&lt;0,H176&lt;0),"Revisar signo",IF(AND(C176&lt;&gt;"Servicio",H176&lt;&gt;0),"IVA solo en Servicio",IF(AND(C176="Servicio",F176=""),"Falta servicio","OK")))))))))</f>
        <v/>
      </c>
    </row>
    <row r="177" spans="1:12" ht="22" customHeight="1">
      <c r="A177" s="3"/>
      <c r="B177" s="7"/>
      <c r="C177" s="3"/>
      <c r="D177" s="3"/>
      <c r="E177" s="3"/>
      <c r="F177" s="3"/>
      <c r="G177" s="4"/>
      <c r="H177" s="4"/>
      <c r="I177" s="3"/>
      <c r="J177" s="3"/>
      <c r="K177" s="8" t="str">
        <f t="shared" si="2"/>
        <v/>
      </c>
      <c r="L177" s="1" t="str">
        <f>IF(COUNTA(A177:J177)=0,"",IF(OR(AND(C177&lt;&gt;"Servicio",C177&lt;&gt;"Cobro",C177&lt;&gt;"Anticipo",C177&lt;&gt;"Aplicación anticipo",C177&lt;&gt;"Retención ISR",C177&lt;&gt;"Retención IVA"),AND(C177="Servicio",F177&lt;&gt;"TMS",F177&lt;&gt;"Valoración",F177&lt;&gt;"EEG",F177&lt;&gt;"Neurofeedback",F177&lt;&gt;"Fotobiomodulación",F177&lt;&gt;"Psicoterapia",F177&lt;&gt;"Otros")),"Tipo o categoría inválido",IF(COUNTA(A177:J177)=0,"",IF(OR(A177="",B177="",C177="",G177=""),"Faltan datos",IF(COUNTIF($A$7:$A$2006,A177)&gt;1,"ID duplicado",IF(OR(B177&lt;DATE(Configuración!$C$5,1,1),B177&gt;=DATE(Configuración!$C$5+1,1,1)),"Fecha fuera del año",IF(OR(G177&lt;0,H177&lt;0),"Revisar signo",IF(AND(C177&lt;&gt;"Servicio",H177&lt;&gt;0),"IVA solo en Servicio",IF(AND(C177="Servicio",F177=""),"Falta servicio","OK")))))))))</f>
        <v/>
      </c>
    </row>
    <row r="178" spans="1:12" ht="22" customHeight="1">
      <c r="A178" s="3"/>
      <c r="B178" s="7"/>
      <c r="C178" s="3"/>
      <c r="D178" s="3"/>
      <c r="E178" s="3"/>
      <c r="F178" s="3"/>
      <c r="G178" s="4"/>
      <c r="H178" s="4"/>
      <c r="I178" s="3"/>
      <c r="J178" s="3"/>
      <c r="K178" s="8" t="str">
        <f t="shared" si="2"/>
        <v/>
      </c>
      <c r="L178" s="1" t="str">
        <f>IF(COUNTA(A178:J178)=0,"",IF(OR(AND(C178&lt;&gt;"Servicio",C178&lt;&gt;"Cobro",C178&lt;&gt;"Anticipo",C178&lt;&gt;"Aplicación anticipo",C178&lt;&gt;"Retención ISR",C178&lt;&gt;"Retención IVA"),AND(C178="Servicio",F178&lt;&gt;"TMS",F178&lt;&gt;"Valoración",F178&lt;&gt;"EEG",F178&lt;&gt;"Neurofeedback",F178&lt;&gt;"Fotobiomodulación",F178&lt;&gt;"Psicoterapia",F178&lt;&gt;"Otros")),"Tipo o categoría inválido",IF(COUNTA(A178:J178)=0,"",IF(OR(A178="",B178="",C178="",G178=""),"Faltan datos",IF(COUNTIF($A$7:$A$2006,A178)&gt;1,"ID duplicado",IF(OR(B178&lt;DATE(Configuración!$C$5,1,1),B178&gt;=DATE(Configuración!$C$5+1,1,1)),"Fecha fuera del año",IF(OR(G178&lt;0,H178&lt;0),"Revisar signo",IF(AND(C178&lt;&gt;"Servicio",H178&lt;&gt;0),"IVA solo en Servicio",IF(AND(C178="Servicio",F178=""),"Falta servicio","OK")))))))))</f>
        <v/>
      </c>
    </row>
    <row r="179" spans="1:12" ht="22" customHeight="1">
      <c r="A179" s="3"/>
      <c r="B179" s="7"/>
      <c r="C179" s="3"/>
      <c r="D179" s="3"/>
      <c r="E179" s="3"/>
      <c r="F179" s="3"/>
      <c r="G179" s="4"/>
      <c r="H179" s="4"/>
      <c r="I179" s="3"/>
      <c r="J179" s="3"/>
      <c r="K179" s="8" t="str">
        <f t="shared" si="2"/>
        <v/>
      </c>
      <c r="L179" s="1" t="str">
        <f>IF(COUNTA(A179:J179)=0,"",IF(OR(AND(C179&lt;&gt;"Servicio",C179&lt;&gt;"Cobro",C179&lt;&gt;"Anticipo",C179&lt;&gt;"Aplicación anticipo",C179&lt;&gt;"Retención ISR",C179&lt;&gt;"Retención IVA"),AND(C179="Servicio",F179&lt;&gt;"TMS",F179&lt;&gt;"Valoración",F179&lt;&gt;"EEG",F179&lt;&gt;"Neurofeedback",F179&lt;&gt;"Fotobiomodulación",F179&lt;&gt;"Psicoterapia",F179&lt;&gt;"Otros")),"Tipo o categoría inválido",IF(COUNTA(A179:J179)=0,"",IF(OR(A179="",B179="",C179="",G179=""),"Faltan datos",IF(COUNTIF($A$7:$A$2006,A179)&gt;1,"ID duplicado",IF(OR(B179&lt;DATE(Configuración!$C$5,1,1),B179&gt;=DATE(Configuración!$C$5+1,1,1)),"Fecha fuera del año",IF(OR(G179&lt;0,H179&lt;0),"Revisar signo",IF(AND(C179&lt;&gt;"Servicio",H179&lt;&gt;0),"IVA solo en Servicio",IF(AND(C179="Servicio",F179=""),"Falta servicio","OK")))))))))</f>
        <v/>
      </c>
    </row>
    <row r="180" spans="1:12" ht="22" customHeight="1">
      <c r="A180" s="3"/>
      <c r="B180" s="7"/>
      <c r="C180" s="3"/>
      <c r="D180" s="3"/>
      <c r="E180" s="3"/>
      <c r="F180" s="3"/>
      <c r="G180" s="4"/>
      <c r="H180" s="4"/>
      <c r="I180" s="3"/>
      <c r="J180" s="3"/>
      <c r="K180" s="8" t="str">
        <f t="shared" si="2"/>
        <v/>
      </c>
      <c r="L180" s="1" t="str">
        <f>IF(COUNTA(A180:J180)=0,"",IF(OR(AND(C180&lt;&gt;"Servicio",C180&lt;&gt;"Cobro",C180&lt;&gt;"Anticipo",C180&lt;&gt;"Aplicación anticipo",C180&lt;&gt;"Retención ISR",C180&lt;&gt;"Retención IVA"),AND(C180="Servicio",F180&lt;&gt;"TMS",F180&lt;&gt;"Valoración",F180&lt;&gt;"EEG",F180&lt;&gt;"Neurofeedback",F180&lt;&gt;"Fotobiomodulación",F180&lt;&gt;"Psicoterapia",F180&lt;&gt;"Otros")),"Tipo o categoría inválido",IF(COUNTA(A180:J180)=0,"",IF(OR(A180="",B180="",C180="",G180=""),"Faltan datos",IF(COUNTIF($A$7:$A$2006,A180)&gt;1,"ID duplicado",IF(OR(B180&lt;DATE(Configuración!$C$5,1,1),B180&gt;=DATE(Configuración!$C$5+1,1,1)),"Fecha fuera del año",IF(OR(G180&lt;0,H180&lt;0),"Revisar signo",IF(AND(C180&lt;&gt;"Servicio",H180&lt;&gt;0),"IVA solo en Servicio",IF(AND(C180="Servicio",F180=""),"Falta servicio","OK")))))))))</f>
        <v/>
      </c>
    </row>
    <row r="181" spans="1:12" ht="22" customHeight="1">
      <c r="A181" s="3"/>
      <c r="B181" s="7"/>
      <c r="C181" s="3"/>
      <c r="D181" s="3"/>
      <c r="E181" s="3"/>
      <c r="F181" s="3"/>
      <c r="G181" s="4"/>
      <c r="H181" s="4"/>
      <c r="I181" s="3"/>
      <c r="J181" s="3"/>
      <c r="K181" s="8" t="str">
        <f t="shared" si="2"/>
        <v/>
      </c>
      <c r="L181" s="1" t="str">
        <f>IF(COUNTA(A181:J181)=0,"",IF(OR(AND(C181&lt;&gt;"Servicio",C181&lt;&gt;"Cobro",C181&lt;&gt;"Anticipo",C181&lt;&gt;"Aplicación anticipo",C181&lt;&gt;"Retención ISR",C181&lt;&gt;"Retención IVA"),AND(C181="Servicio",F181&lt;&gt;"TMS",F181&lt;&gt;"Valoración",F181&lt;&gt;"EEG",F181&lt;&gt;"Neurofeedback",F181&lt;&gt;"Fotobiomodulación",F181&lt;&gt;"Psicoterapia",F181&lt;&gt;"Otros")),"Tipo o categoría inválido",IF(COUNTA(A181:J181)=0,"",IF(OR(A181="",B181="",C181="",G181=""),"Faltan datos",IF(COUNTIF($A$7:$A$2006,A181)&gt;1,"ID duplicado",IF(OR(B181&lt;DATE(Configuración!$C$5,1,1),B181&gt;=DATE(Configuración!$C$5+1,1,1)),"Fecha fuera del año",IF(OR(G181&lt;0,H181&lt;0),"Revisar signo",IF(AND(C181&lt;&gt;"Servicio",H181&lt;&gt;0),"IVA solo en Servicio",IF(AND(C181="Servicio",F181=""),"Falta servicio","OK")))))))))</f>
        <v/>
      </c>
    </row>
    <row r="182" spans="1:12" ht="22" customHeight="1">
      <c r="A182" s="3"/>
      <c r="B182" s="7"/>
      <c r="C182" s="3"/>
      <c r="D182" s="3"/>
      <c r="E182" s="3"/>
      <c r="F182" s="3"/>
      <c r="G182" s="4"/>
      <c r="H182" s="4"/>
      <c r="I182" s="3"/>
      <c r="J182" s="3"/>
      <c r="K182" s="8" t="str">
        <f t="shared" si="2"/>
        <v/>
      </c>
      <c r="L182" s="1" t="str">
        <f>IF(COUNTA(A182:J182)=0,"",IF(OR(AND(C182&lt;&gt;"Servicio",C182&lt;&gt;"Cobro",C182&lt;&gt;"Anticipo",C182&lt;&gt;"Aplicación anticipo",C182&lt;&gt;"Retención ISR",C182&lt;&gt;"Retención IVA"),AND(C182="Servicio",F182&lt;&gt;"TMS",F182&lt;&gt;"Valoración",F182&lt;&gt;"EEG",F182&lt;&gt;"Neurofeedback",F182&lt;&gt;"Fotobiomodulación",F182&lt;&gt;"Psicoterapia",F182&lt;&gt;"Otros")),"Tipo o categoría inválido",IF(COUNTA(A182:J182)=0,"",IF(OR(A182="",B182="",C182="",G182=""),"Faltan datos",IF(COUNTIF($A$7:$A$2006,A182)&gt;1,"ID duplicado",IF(OR(B182&lt;DATE(Configuración!$C$5,1,1),B182&gt;=DATE(Configuración!$C$5+1,1,1)),"Fecha fuera del año",IF(OR(G182&lt;0,H182&lt;0),"Revisar signo",IF(AND(C182&lt;&gt;"Servicio",H182&lt;&gt;0),"IVA solo en Servicio",IF(AND(C182="Servicio",F182=""),"Falta servicio","OK")))))))))</f>
        <v/>
      </c>
    </row>
    <row r="183" spans="1:12" ht="22" customHeight="1">
      <c r="A183" s="3"/>
      <c r="B183" s="7"/>
      <c r="C183" s="3"/>
      <c r="D183" s="3"/>
      <c r="E183" s="3"/>
      <c r="F183" s="3"/>
      <c r="G183" s="4"/>
      <c r="H183" s="4"/>
      <c r="I183" s="3"/>
      <c r="J183" s="3"/>
      <c r="K183" s="8" t="str">
        <f t="shared" si="2"/>
        <v/>
      </c>
      <c r="L183" s="1" t="str">
        <f>IF(COUNTA(A183:J183)=0,"",IF(OR(AND(C183&lt;&gt;"Servicio",C183&lt;&gt;"Cobro",C183&lt;&gt;"Anticipo",C183&lt;&gt;"Aplicación anticipo",C183&lt;&gt;"Retención ISR",C183&lt;&gt;"Retención IVA"),AND(C183="Servicio",F183&lt;&gt;"TMS",F183&lt;&gt;"Valoración",F183&lt;&gt;"EEG",F183&lt;&gt;"Neurofeedback",F183&lt;&gt;"Fotobiomodulación",F183&lt;&gt;"Psicoterapia",F183&lt;&gt;"Otros")),"Tipo o categoría inválido",IF(COUNTA(A183:J183)=0,"",IF(OR(A183="",B183="",C183="",G183=""),"Faltan datos",IF(COUNTIF($A$7:$A$2006,A183)&gt;1,"ID duplicado",IF(OR(B183&lt;DATE(Configuración!$C$5,1,1),B183&gt;=DATE(Configuración!$C$5+1,1,1)),"Fecha fuera del año",IF(OR(G183&lt;0,H183&lt;0),"Revisar signo",IF(AND(C183&lt;&gt;"Servicio",H183&lt;&gt;0),"IVA solo en Servicio",IF(AND(C183="Servicio",F183=""),"Falta servicio","OK")))))))))</f>
        <v/>
      </c>
    </row>
    <row r="184" spans="1:12" ht="22" customHeight="1">
      <c r="A184" s="3"/>
      <c r="B184" s="7"/>
      <c r="C184" s="3"/>
      <c r="D184" s="3"/>
      <c r="E184" s="3"/>
      <c r="F184" s="3"/>
      <c r="G184" s="4"/>
      <c r="H184" s="4"/>
      <c r="I184" s="3"/>
      <c r="J184" s="3"/>
      <c r="K184" s="8" t="str">
        <f t="shared" si="2"/>
        <v/>
      </c>
      <c r="L184" s="1" t="str">
        <f>IF(COUNTA(A184:J184)=0,"",IF(OR(AND(C184&lt;&gt;"Servicio",C184&lt;&gt;"Cobro",C184&lt;&gt;"Anticipo",C184&lt;&gt;"Aplicación anticipo",C184&lt;&gt;"Retención ISR",C184&lt;&gt;"Retención IVA"),AND(C184="Servicio",F184&lt;&gt;"TMS",F184&lt;&gt;"Valoración",F184&lt;&gt;"EEG",F184&lt;&gt;"Neurofeedback",F184&lt;&gt;"Fotobiomodulación",F184&lt;&gt;"Psicoterapia",F184&lt;&gt;"Otros")),"Tipo o categoría inválido",IF(COUNTA(A184:J184)=0,"",IF(OR(A184="",B184="",C184="",G184=""),"Faltan datos",IF(COUNTIF($A$7:$A$2006,A184)&gt;1,"ID duplicado",IF(OR(B184&lt;DATE(Configuración!$C$5,1,1),B184&gt;=DATE(Configuración!$C$5+1,1,1)),"Fecha fuera del año",IF(OR(G184&lt;0,H184&lt;0),"Revisar signo",IF(AND(C184&lt;&gt;"Servicio",H184&lt;&gt;0),"IVA solo en Servicio",IF(AND(C184="Servicio",F184=""),"Falta servicio","OK")))))))))</f>
        <v/>
      </c>
    </row>
    <row r="185" spans="1:12" ht="22" customHeight="1">
      <c r="A185" s="3"/>
      <c r="B185" s="7"/>
      <c r="C185" s="3"/>
      <c r="D185" s="3"/>
      <c r="E185" s="3"/>
      <c r="F185" s="3"/>
      <c r="G185" s="4"/>
      <c r="H185" s="4"/>
      <c r="I185" s="3"/>
      <c r="J185" s="3"/>
      <c r="K185" s="8" t="str">
        <f t="shared" si="2"/>
        <v/>
      </c>
      <c r="L185" s="1" t="str">
        <f>IF(COUNTA(A185:J185)=0,"",IF(OR(AND(C185&lt;&gt;"Servicio",C185&lt;&gt;"Cobro",C185&lt;&gt;"Anticipo",C185&lt;&gt;"Aplicación anticipo",C185&lt;&gt;"Retención ISR",C185&lt;&gt;"Retención IVA"),AND(C185="Servicio",F185&lt;&gt;"TMS",F185&lt;&gt;"Valoración",F185&lt;&gt;"EEG",F185&lt;&gt;"Neurofeedback",F185&lt;&gt;"Fotobiomodulación",F185&lt;&gt;"Psicoterapia",F185&lt;&gt;"Otros")),"Tipo o categoría inválido",IF(COUNTA(A185:J185)=0,"",IF(OR(A185="",B185="",C185="",G185=""),"Faltan datos",IF(COUNTIF($A$7:$A$2006,A185)&gt;1,"ID duplicado",IF(OR(B185&lt;DATE(Configuración!$C$5,1,1),B185&gt;=DATE(Configuración!$C$5+1,1,1)),"Fecha fuera del año",IF(OR(G185&lt;0,H185&lt;0),"Revisar signo",IF(AND(C185&lt;&gt;"Servicio",H185&lt;&gt;0),"IVA solo en Servicio",IF(AND(C185="Servicio",F185=""),"Falta servicio","OK")))))))))</f>
        <v/>
      </c>
    </row>
    <row r="186" spans="1:12" ht="22" customHeight="1">
      <c r="A186" s="3"/>
      <c r="B186" s="7"/>
      <c r="C186" s="3"/>
      <c r="D186" s="3"/>
      <c r="E186" s="3"/>
      <c r="F186" s="3"/>
      <c r="G186" s="4"/>
      <c r="H186" s="4"/>
      <c r="I186" s="3"/>
      <c r="J186" s="3"/>
      <c r="K186" s="8" t="str">
        <f t="shared" si="2"/>
        <v/>
      </c>
      <c r="L186" s="1" t="str">
        <f>IF(COUNTA(A186:J186)=0,"",IF(OR(AND(C186&lt;&gt;"Servicio",C186&lt;&gt;"Cobro",C186&lt;&gt;"Anticipo",C186&lt;&gt;"Aplicación anticipo",C186&lt;&gt;"Retención ISR",C186&lt;&gt;"Retención IVA"),AND(C186="Servicio",F186&lt;&gt;"TMS",F186&lt;&gt;"Valoración",F186&lt;&gt;"EEG",F186&lt;&gt;"Neurofeedback",F186&lt;&gt;"Fotobiomodulación",F186&lt;&gt;"Psicoterapia",F186&lt;&gt;"Otros")),"Tipo o categoría inválido",IF(COUNTA(A186:J186)=0,"",IF(OR(A186="",B186="",C186="",G186=""),"Faltan datos",IF(COUNTIF($A$7:$A$2006,A186)&gt;1,"ID duplicado",IF(OR(B186&lt;DATE(Configuración!$C$5,1,1),B186&gt;=DATE(Configuración!$C$5+1,1,1)),"Fecha fuera del año",IF(OR(G186&lt;0,H186&lt;0),"Revisar signo",IF(AND(C186&lt;&gt;"Servicio",H186&lt;&gt;0),"IVA solo en Servicio",IF(AND(C186="Servicio",F186=""),"Falta servicio","OK")))))))))</f>
        <v/>
      </c>
    </row>
    <row r="187" spans="1:12" ht="22" customHeight="1">
      <c r="A187" s="3"/>
      <c r="B187" s="7"/>
      <c r="C187" s="3"/>
      <c r="D187" s="3"/>
      <c r="E187" s="3"/>
      <c r="F187" s="3"/>
      <c r="G187" s="4"/>
      <c r="H187" s="4"/>
      <c r="I187" s="3"/>
      <c r="J187" s="3"/>
      <c r="K187" s="8" t="str">
        <f t="shared" si="2"/>
        <v/>
      </c>
      <c r="L187" s="1" t="str">
        <f>IF(COUNTA(A187:J187)=0,"",IF(OR(AND(C187&lt;&gt;"Servicio",C187&lt;&gt;"Cobro",C187&lt;&gt;"Anticipo",C187&lt;&gt;"Aplicación anticipo",C187&lt;&gt;"Retención ISR",C187&lt;&gt;"Retención IVA"),AND(C187="Servicio",F187&lt;&gt;"TMS",F187&lt;&gt;"Valoración",F187&lt;&gt;"EEG",F187&lt;&gt;"Neurofeedback",F187&lt;&gt;"Fotobiomodulación",F187&lt;&gt;"Psicoterapia",F187&lt;&gt;"Otros")),"Tipo o categoría inválido",IF(COUNTA(A187:J187)=0,"",IF(OR(A187="",B187="",C187="",G187=""),"Faltan datos",IF(COUNTIF($A$7:$A$2006,A187)&gt;1,"ID duplicado",IF(OR(B187&lt;DATE(Configuración!$C$5,1,1),B187&gt;=DATE(Configuración!$C$5+1,1,1)),"Fecha fuera del año",IF(OR(G187&lt;0,H187&lt;0),"Revisar signo",IF(AND(C187&lt;&gt;"Servicio",H187&lt;&gt;0),"IVA solo en Servicio",IF(AND(C187="Servicio",F187=""),"Falta servicio","OK")))))))))</f>
        <v/>
      </c>
    </row>
    <row r="188" spans="1:12" ht="22" customHeight="1">
      <c r="A188" s="3"/>
      <c r="B188" s="7"/>
      <c r="C188" s="3"/>
      <c r="D188" s="3"/>
      <c r="E188" s="3"/>
      <c r="F188" s="3"/>
      <c r="G188" s="4"/>
      <c r="H188" s="4"/>
      <c r="I188" s="3"/>
      <c r="J188" s="3"/>
      <c r="K188" s="8" t="str">
        <f t="shared" si="2"/>
        <v/>
      </c>
      <c r="L188" s="1" t="str">
        <f>IF(COUNTA(A188:J188)=0,"",IF(OR(AND(C188&lt;&gt;"Servicio",C188&lt;&gt;"Cobro",C188&lt;&gt;"Anticipo",C188&lt;&gt;"Aplicación anticipo",C188&lt;&gt;"Retención ISR",C188&lt;&gt;"Retención IVA"),AND(C188="Servicio",F188&lt;&gt;"TMS",F188&lt;&gt;"Valoración",F188&lt;&gt;"EEG",F188&lt;&gt;"Neurofeedback",F188&lt;&gt;"Fotobiomodulación",F188&lt;&gt;"Psicoterapia",F188&lt;&gt;"Otros")),"Tipo o categoría inválido",IF(COUNTA(A188:J188)=0,"",IF(OR(A188="",B188="",C188="",G188=""),"Faltan datos",IF(COUNTIF($A$7:$A$2006,A188)&gt;1,"ID duplicado",IF(OR(B188&lt;DATE(Configuración!$C$5,1,1),B188&gt;=DATE(Configuración!$C$5+1,1,1)),"Fecha fuera del año",IF(OR(G188&lt;0,H188&lt;0),"Revisar signo",IF(AND(C188&lt;&gt;"Servicio",H188&lt;&gt;0),"IVA solo en Servicio",IF(AND(C188="Servicio",F188=""),"Falta servicio","OK")))))))))</f>
        <v/>
      </c>
    </row>
    <row r="189" spans="1:12" ht="22" customHeight="1">
      <c r="A189" s="3"/>
      <c r="B189" s="7"/>
      <c r="C189" s="3"/>
      <c r="D189" s="3"/>
      <c r="E189" s="3"/>
      <c r="F189" s="3"/>
      <c r="G189" s="4"/>
      <c r="H189" s="4"/>
      <c r="I189" s="3"/>
      <c r="J189" s="3"/>
      <c r="K189" s="8" t="str">
        <f t="shared" si="2"/>
        <v/>
      </c>
      <c r="L189" s="1" t="str">
        <f>IF(COUNTA(A189:J189)=0,"",IF(OR(AND(C189&lt;&gt;"Servicio",C189&lt;&gt;"Cobro",C189&lt;&gt;"Anticipo",C189&lt;&gt;"Aplicación anticipo",C189&lt;&gt;"Retención ISR",C189&lt;&gt;"Retención IVA"),AND(C189="Servicio",F189&lt;&gt;"TMS",F189&lt;&gt;"Valoración",F189&lt;&gt;"EEG",F189&lt;&gt;"Neurofeedback",F189&lt;&gt;"Fotobiomodulación",F189&lt;&gt;"Psicoterapia",F189&lt;&gt;"Otros")),"Tipo o categoría inválido",IF(COUNTA(A189:J189)=0,"",IF(OR(A189="",B189="",C189="",G189=""),"Faltan datos",IF(COUNTIF($A$7:$A$2006,A189)&gt;1,"ID duplicado",IF(OR(B189&lt;DATE(Configuración!$C$5,1,1),B189&gt;=DATE(Configuración!$C$5+1,1,1)),"Fecha fuera del año",IF(OR(G189&lt;0,H189&lt;0),"Revisar signo",IF(AND(C189&lt;&gt;"Servicio",H189&lt;&gt;0),"IVA solo en Servicio",IF(AND(C189="Servicio",F189=""),"Falta servicio","OK")))))))))</f>
        <v/>
      </c>
    </row>
    <row r="190" spans="1:12" ht="22" customHeight="1">
      <c r="A190" s="3"/>
      <c r="B190" s="7"/>
      <c r="C190" s="3"/>
      <c r="D190" s="3"/>
      <c r="E190" s="3"/>
      <c r="F190" s="3"/>
      <c r="G190" s="4"/>
      <c r="H190" s="4"/>
      <c r="I190" s="3"/>
      <c r="J190" s="3"/>
      <c r="K190" s="8" t="str">
        <f t="shared" si="2"/>
        <v/>
      </c>
      <c r="L190" s="1" t="str">
        <f>IF(COUNTA(A190:J190)=0,"",IF(OR(AND(C190&lt;&gt;"Servicio",C190&lt;&gt;"Cobro",C190&lt;&gt;"Anticipo",C190&lt;&gt;"Aplicación anticipo",C190&lt;&gt;"Retención ISR",C190&lt;&gt;"Retención IVA"),AND(C190="Servicio",F190&lt;&gt;"TMS",F190&lt;&gt;"Valoración",F190&lt;&gt;"EEG",F190&lt;&gt;"Neurofeedback",F190&lt;&gt;"Fotobiomodulación",F190&lt;&gt;"Psicoterapia",F190&lt;&gt;"Otros")),"Tipo o categoría inválido",IF(COUNTA(A190:J190)=0,"",IF(OR(A190="",B190="",C190="",G190=""),"Faltan datos",IF(COUNTIF($A$7:$A$2006,A190)&gt;1,"ID duplicado",IF(OR(B190&lt;DATE(Configuración!$C$5,1,1),B190&gt;=DATE(Configuración!$C$5+1,1,1)),"Fecha fuera del año",IF(OR(G190&lt;0,H190&lt;0),"Revisar signo",IF(AND(C190&lt;&gt;"Servicio",H190&lt;&gt;0),"IVA solo en Servicio",IF(AND(C190="Servicio",F190=""),"Falta servicio","OK")))))))))</f>
        <v/>
      </c>
    </row>
    <row r="191" spans="1:12" ht="22" customHeight="1">
      <c r="A191" s="3"/>
      <c r="B191" s="7"/>
      <c r="C191" s="3"/>
      <c r="D191" s="3"/>
      <c r="E191" s="3"/>
      <c r="F191" s="3"/>
      <c r="G191" s="4"/>
      <c r="H191" s="4"/>
      <c r="I191" s="3"/>
      <c r="J191" s="3"/>
      <c r="K191" s="8" t="str">
        <f t="shared" si="2"/>
        <v/>
      </c>
      <c r="L191" s="1" t="str">
        <f>IF(COUNTA(A191:J191)=0,"",IF(OR(AND(C191&lt;&gt;"Servicio",C191&lt;&gt;"Cobro",C191&lt;&gt;"Anticipo",C191&lt;&gt;"Aplicación anticipo",C191&lt;&gt;"Retención ISR",C191&lt;&gt;"Retención IVA"),AND(C191="Servicio",F191&lt;&gt;"TMS",F191&lt;&gt;"Valoración",F191&lt;&gt;"EEG",F191&lt;&gt;"Neurofeedback",F191&lt;&gt;"Fotobiomodulación",F191&lt;&gt;"Psicoterapia",F191&lt;&gt;"Otros")),"Tipo o categoría inválido",IF(COUNTA(A191:J191)=0,"",IF(OR(A191="",B191="",C191="",G191=""),"Faltan datos",IF(COUNTIF($A$7:$A$2006,A191)&gt;1,"ID duplicado",IF(OR(B191&lt;DATE(Configuración!$C$5,1,1),B191&gt;=DATE(Configuración!$C$5+1,1,1)),"Fecha fuera del año",IF(OR(G191&lt;0,H191&lt;0),"Revisar signo",IF(AND(C191&lt;&gt;"Servicio",H191&lt;&gt;0),"IVA solo en Servicio",IF(AND(C191="Servicio",F191=""),"Falta servicio","OK")))))))))</f>
        <v/>
      </c>
    </row>
    <row r="192" spans="1:12" ht="22" customHeight="1">
      <c r="A192" s="3"/>
      <c r="B192" s="7"/>
      <c r="C192" s="3"/>
      <c r="D192" s="3"/>
      <c r="E192" s="3"/>
      <c r="F192" s="3"/>
      <c r="G192" s="4"/>
      <c r="H192" s="4"/>
      <c r="I192" s="3"/>
      <c r="J192" s="3"/>
      <c r="K192" s="8" t="str">
        <f t="shared" si="2"/>
        <v/>
      </c>
      <c r="L192" s="1" t="str">
        <f>IF(COUNTA(A192:J192)=0,"",IF(OR(AND(C192&lt;&gt;"Servicio",C192&lt;&gt;"Cobro",C192&lt;&gt;"Anticipo",C192&lt;&gt;"Aplicación anticipo",C192&lt;&gt;"Retención ISR",C192&lt;&gt;"Retención IVA"),AND(C192="Servicio",F192&lt;&gt;"TMS",F192&lt;&gt;"Valoración",F192&lt;&gt;"EEG",F192&lt;&gt;"Neurofeedback",F192&lt;&gt;"Fotobiomodulación",F192&lt;&gt;"Psicoterapia",F192&lt;&gt;"Otros")),"Tipo o categoría inválido",IF(COUNTA(A192:J192)=0,"",IF(OR(A192="",B192="",C192="",G192=""),"Faltan datos",IF(COUNTIF($A$7:$A$2006,A192)&gt;1,"ID duplicado",IF(OR(B192&lt;DATE(Configuración!$C$5,1,1),B192&gt;=DATE(Configuración!$C$5+1,1,1)),"Fecha fuera del año",IF(OR(G192&lt;0,H192&lt;0),"Revisar signo",IF(AND(C192&lt;&gt;"Servicio",H192&lt;&gt;0),"IVA solo en Servicio",IF(AND(C192="Servicio",F192=""),"Falta servicio","OK")))))))))</f>
        <v/>
      </c>
    </row>
    <row r="193" spans="1:12" ht="22" customHeight="1">
      <c r="A193" s="3"/>
      <c r="B193" s="7"/>
      <c r="C193" s="3"/>
      <c r="D193" s="3"/>
      <c r="E193" s="3"/>
      <c r="F193" s="3"/>
      <c r="G193" s="4"/>
      <c r="H193" s="4"/>
      <c r="I193" s="3"/>
      <c r="J193" s="3"/>
      <c r="K193" s="8" t="str">
        <f t="shared" si="2"/>
        <v/>
      </c>
      <c r="L193" s="1" t="str">
        <f>IF(COUNTA(A193:J193)=0,"",IF(OR(AND(C193&lt;&gt;"Servicio",C193&lt;&gt;"Cobro",C193&lt;&gt;"Anticipo",C193&lt;&gt;"Aplicación anticipo",C193&lt;&gt;"Retención ISR",C193&lt;&gt;"Retención IVA"),AND(C193="Servicio",F193&lt;&gt;"TMS",F193&lt;&gt;"Valoración",F193&lt;&gt;"EEG",F193&lt;&gt;"Neurofeedback",F193&lt;&gt;"Fotobiomodulación",F193&lt;&gt;"Psicoterapia",F193&lt;&gt;"Otros")),"Tipo o categoría inválido",IF(COUNTA(A193:J193)=0,"",IF(OR(A193="",B193="",C193="",G193=""),"Faltan datos",IF(COUNTIF($A$7:$A$2006,A193)&gt;1,"ID duplicado",IF(OR(B193&lt;DATE(Configuración!$C$5,1,1),B193&gt;=DATE(Configuración!$C$5+1,1,1)),"Fecha fuera del año",IF(OR(G193&lt;0,H193&lt;0),"Revisar signo",IF(AND(C193&lt;&gt;"Servicio",H193&lt;&gt;0),"IVA solo en Servicio",IF(AND(C193="Servicio",F193=""),"Falta servicio","OK")))))))))</f>
        <v/>
      </c>
    </row>
    <row r="194" spans="1:12" ht="22" customHeight="1">
      <c r="A194" s="3"/>
      <c r="B194" s="7"/>
      <c r="C194" s="3"/>
      <c r="D194" s="3"/>
      <c r="E194" s="3"/>
      <c r="F194" s="3"/>
      <c r="G194" s="4"/>
      <c r="H194" s="4"/>
      <c r="I194" s="3"/>
      <c r="J194" s="3"/>
      <c r="K194" s="8" t="str">
        <f t="shared" si="2"/>
        <v/>
      </c>
      <c r="L194" s="1" t="str">
        <f>IF(COUNTA(A194:J194)=0,"",IF(OR(AND(C194&lt;&gt;"Servicio",C194&lt;&gt;"Cobro",C194&lt;&gt;"Anticipo",C194&lt;&gt;"Aplicación anticipo",C194&lt;&gt;"Retención ISR",C194&lt;&gt;"Retención IVA"),AND(C194="Servicio",F194&lt;&gt;"TMS",F194&lt;&gt;"Valoración",F194&lt;&gt;"EEG",F194&lt;&gt;"Neurofeedback",F194&lt;&gt;"Fotobiomodulación",F194&lt;&gt;"Psicoterapia",F194&lt;&gt;"Otros")),"Tipo o categoría inválido",IF(COUNTA(A194:J194)=0,"",IF(OR(A194="",B194="",C194="",G194=""),"Faltan datos",IF(COUNTIF($A$7:$A$2006,A194)&gt;1,"ID duplicado",IF(OR(B194&lt;DATE(Configuración!$C$5,1,1),B194&gt;=DATE(Configuración!$C$5+1,1,1)),"Fecha fuera del año",IF(OR(G194&lt;0,H194&lt;0),"Revisar signo",IF(AND(C194&lt;&gt;"Servicio",H194&lt;&gt;0),"IVA solo en Servicio",IF(AND(C194="Servicio",F194=""),"Falta servicio","OK")))))))))</f>
        <v/>
      </c>
    </row>
    <row r="195" spans="1:12" ht="22" customHeight="1">
      <c r="A195" s="3"/>
      <c r="B195" s="7"/>
      <c r="C195" s="3"/>
      <c r="D195" s="3"/>
      <c r="E195" s="3"/>
      <c r="F195" s="3"/>
      <c r="G195" s="4"/>
      <c r="H195" s="4"/>
      <c r="I195" s="3"/>
      <c r="J195" s="3"/>
      <c r="K195" s="8" t="str">
        <f t="shared" si="2"/>
        <v/>
      </c>
      <c r="L195" s="1" t="str">
        <f>IF(COUNTA(A195:J195)=0,"",IF(OR(AND(C195&lt;&gt;"Servicio",C195&lt;&gt;"Cobro",C195&lt;&gt;"Anticipo",C195&lt;&gt;"Aplicación anticipo",C195&lt;&gt;"Retención ISR",C195&lt;&gt;"Retención IVA"),AND(C195="Servicio",F195&lt;&gt;"TMS",F195&lt;&gt;"Valoración",F195&lt;&gt;"EEG",F195&lt;&gt;"Neurofeedback",F195&lt;&gt;"Fotobiomodulación",F195&lt;&gt;"Psicoterapia",F195&lt;&gt;"Otros")),"Tipo o categoría inválido",IF(COUNTA(A195:J195)=0,"",IF(OR(A195="",B195="",C195="",G195=""),"Faltan datos",IF(COUNTIF($A$7:$A$2006,A195)&gt;1,"ID duplicado",IF(OR(B195&lt;DATE(Configuración!$C$5,1,1),B195&gt;=DATE(Configuración!$C$5+1,1,1)),"Fecha fuera del año",IF(OR(G195&lt;0,H195&lt;0),"Revisar signo",IF(AND(C195&lt;&gt;"Servicio",H195&lt;&gt;0),"IVA solo en Servicio",IF(AND(C195="Servicio",F195=""),"Falta servicio","OK")))))))))</f>
        <v/>
      </c>
    </row>
    <row r="196" spans="1:12" ht="22" customHeight="1">
      <c r="A196" s="3"/>
      <c r="B196" s="7"/>
      <c r="C196" s="3"/>
      <c r="D196" s="3"/>
      <c r="E196" s="3"/>
      <c r="F196" s="3"/>
      <c r="G196" s="4"/>
      <c r="H196" s="4"/>
      <c r="I196" s="3"/>
      <c r="J196" s="3"/>
      <c r="K196" s="8" t="str">
        <f t="shared" si="2"/>
        <v/>
      </c>
      <c r="L196" s="1" t="str">
        <f>IF(COUNTA(A196:J196)=0,"",IF(OR(AND(C196&lt;&gt;"Servicio",C196&lt;&gt;"Cobro",C196&lt;&gt;"Anticipo",C196&lt;&gt;"Aplicación anticipo",C196&lt;&gt;"Retención ISR",C196&lt;&gt;"Retención IVA"),AND(C196="Servicio",F196&lt;&gt;"TMS",F196&lt;&gt;"Valoración",F196&lt;&gt;"EEG",F196&lt;&gt;"Neurofeedback",F196&lt;&gt;"Fotobiomodulación",F196&lt;&gt;"Psicoterapia",F196&lt;&gt;"Otros")),"Tipo o categoría inválido",IF(COUNTA(A196:J196)=0,"",IF(OR(A196="",B196="",C196="",G196=""),"Faltan datos",IF(COUNTIF($A$7:$A$2006,A196)&gt;1,"ID duplicado",IF(OR(B196&lt;DATE(Configuración!$C$5,1,1),B196&gt;=DATE(Configuración!$C$5+1,1,1)),"Fecha fuera del año",IF(OR(G196&lt;0,H196&lt;0),"Revisar signo",IF(AND(C196&lt;&gt;"Servicio",H196&lt;&gt;0),"IVA solo en Servicio",IF(AND(C196="Servicio",F196=""),"Falta servicio","OK")))))))))</f>
        <v/>
      </c>
    </row>
    <row r="197" spans="1:12" ht="22" customHeight="1">
      <c r="A197" s="3"/>
      <c r="B197" s="7"/>
      <c r="C197" s="3"/>
      <c r="D197" s="3"/>
      <c r="E197" s="3"/>
      <c r="F197" s="3"/>
      <c r="G197" s="4"/>
      <c r="H197" s="4"/>
      <c r="I197" s="3"/>
      <c r="J197" s="3"/>
      <c r="K197" s="8" t="str">
        <f t="shared" si="2"/>
        <v/>
      </c>
      <c r="L197" s="1" t="str">
        <f>IF(COUNTA(A197:J197)=0,"",IF(OR(AND(C197&lt;&gt;"Servicio",C197&lt;&gt;"Cobro",C197&lt;&gt;"Anticipo",C197&lt;&gt;"Aplicación anticipo",C197&lt;&gt;"Retención ISR",C197&lt;&gt;"Retención IVA"),AND(C197="Servicio",F197&lt;&gt;"TMS",F197&lt;&gt;"Valoración",F197&lt;&gt;"EEG",F197&lt;&gt;"Neurofeedback",F197&lt;&gt;"Fotobiomodulación",F197&lt;&gt;"Psicoterapia",F197&lt;&gt;"Otros")),"Tipo o categoría inválido",IF(COUNTA(A197:J197)=0,"",IF(OR(A197="",B197="",C197="",G197=""),"Faltan datos",IF(COUNTIF($A$7:$A$2006,A197)&gt;1,"ID duplicado",IF(OR(B197&lt;DATE(Configuración!$C$5,1,1),B197&gt;=DATE(Configuración!$C$5+1,1,1)),"Fecha fuera del año",IF(OR(G197&lt;0,H197&lt;0),"Revisar signo",IF(AND(C197&lt;&gt;"Servicio",H197&lt;&gt;0),"IVA solo en Servicio",IF(AND(C197="Servicio",F197=""),"Falta servicio","OK")))))))))</f>
        <v/>
      </c>
    </row>
    <row r="198" spans="1:12" ht="22" customHeight="1">
      <c r="A198" s="3"/>
      <c r="B198" s="7"/>
      <c r="C198" s="3"/>
      <c r="D198" s="3"/>
      <c r="E198" s="3"/>
      <c r="F198" s="3"/>
      <c r="G198" s="4"/>
      <c r="H198" s="4"/>
      <c r="I198" s="3"/>
      <c r="J198" s="3"/>
      <c r="K198" s="8" t="str">
        <f t="shared" si="2"/>
        <v/>
      </c>
      <c r="L198" s="1" t="str">
        <f>IF(COUNTA(A198:J198)=0,"",IF(OR(AND(C198&lt;&gt;"Servicio",C198&lt;&gt;"Cobro",C198&lt;&gt;"Anticipo",C198&lt;&gt;"Aplicación anticipo",C198&lt;&gt;"Retención ISR",C198&lt;&gt;"Retención IVA"),AND(C198="Servicio",F198&lt;&gt;"TMS",F198&lt;&gt;"Valoración",F198&lt;&gt;"EEG",F198&lt;&gt;"Neurofeedback",F198&lt;&gt;"Fotobiomodulación",F198&lt;&gt;"Psicoterapia",F198&lt;&gt;"Otros")),"Tipo o categoría inválido",IF(COUNTA(A198:J198)=0,"",IF(OR(A198="",B198="",C198="",G198=""),"Faltan datos",IF(COUNTIF($A$7:$A$2006,A198)&gt;1,"ID duplicado",IF(OR(B198&lt;DATE(Configuración!$C$5,1,1),B198&gt;=DATE(Configuración!$C$5+1,1,1)),"Fecha fuera del año",IF(OR(G198&lt;0,H198&lt;0),"Revisar signo",IF(AND(C198&lt;&gt;"Servicio",H198&lt;&gt;0),"IVA solo en Servicio",IF(AND(C198="Servicio",F198=""),"Falta servicio","OK")))))))))</f>
        <v/>
      </c>
    </row>
    <row r="199" spans="1:12" ht="22" customHeight="1">
      <c r="A199" s="3"/>
      <c r="B199" s="7"/>
      <c r="C199" s="3"/>
      <c r="D199" s="3"/>
      <c r="E199" s="3"/>
      <c r="F199" s="3"/>
      <c r="G199" s="4"/>
      <c r="H199" s="4"/>
      <c r="I199" s="3"/>
      <c r="J199" s="3"/>
      <c r="K199" s="8" t="str">
        <f t="shared" ref="K199:K262" si="3">IF(A199="","",G199+H199)</f>
        <v/>
      </c>
      <c r="L199" s="1" t="str">
        <f>IF(COUNTA(A199:J199)=0,"",IF(OR(AND(C199&lt;&gt;"Servicio",C199&lt;&gt;"Cobro",C199&lt;&gt;"Anticipo",C199&lt;&gt;"Aplicación anticipo",C199&lt;&gt;"Retención ISR",C199&lt;&gt;"Retención IVA"),AND(C199="Servicio",F199&lt;&gt;"TMS",F199&lt;&gt;"Valoración",F199&lt;&gt;"EEG",F199&lt;&gt;"Neurofeedback",F199&lt;&gt;"Fotobiomodulación",F199&lt;&gt;"Psicoterapia",F199&lt;&gt;"Otros")),"Tipo o categoría inválido",IF(COUNTA(A199:J199)=0,"",IF(OR(A199="",B199="",C199="",G199=""),"Faltan datos",IF(COUNTIF($A$7:$A$2006,A199)&gt;1,"ID duplicado",IF(OR(B199&lt;DATE(Configuración!$C$5,1,1),B199&gt;=DATE(Configuración!$C$5+1,1,1)),"Fecha fuera del año",IF(OR(G199&lt;0,H199&lt;0),"Revisar signo",IF(AND(C199&lt;&gt;"Servicio",H199&lt;&gt;0),"IVA solo en Servicio",IF(AND(C199="Servicio",F199=""),"Falta servicio","OK")))))))))</f>
        <v/>
      </c>
    </row>
    <row r="200" spans="1:12" ht="22" customHeight="1">
      <c r="A200" s="3"/>
      <c r="B200" s="7"/>
      <c r="C200" s="3"/>
      <c r="D200" s="3"/>
      <c r="E200" s="3"/>
      <c r="F200" s="3"/>
      <c r="G200" s="4"/>
      <c r="H200" s="4"/>
      <c r="I200" s="3"/>
      <c r="J200" s="3"/>
      <c r="K200" s="8" t="str">
        <f t="shared" si="3"/>
        <v/>
      </c>
      <c r="L200" s="1" t="str">
        <f>IF(COUNTA(A200:J200)=0,"",IF(OR(AND(C200&lt;&gt;"Servicio",C200&lt;&gt;"Cobro",C200&lt;&gt;"Anticipo",C200&lt;&gt;"Aplicación anticipo",C200&lt;&gt;"Retención ISR",C200&lt;&gt;"Retención IVA"),AND(C200="Servicio",F200&lt;&gt;"TMS",F200&lt;&gt;"Valoración",F200&lt;&gt;"EEG",F200&lt;&gt;"Neurofeedback",F200&lt;&gt;"Fotobiomodulación",F200&lt;&gt;"Psicoterapia",F200&lt;&gt;"Otros")),"Tipo o categoría inválido",IF(COUNTA(A200:J200)=0,"",IF(OR(A200="",B200="",C200="",G200=""),"Faltan datos",IF(COUNTIF($A$7:$A$2006,A200)&gt;1,"ID duplicado",IF(OR(B200&lt;DATE(Configuración!$C$5,1,1),B200&gt;=DATE(Configuración!$C$5+1,1,1)),"Fecha fuera del año",IF(OR(G200&lt;0,H200&lt;0),"Revisar signo",IF(AND(C200&lt;&gt;"Servicio",H200&lt;&gt;0),"IVA solo en Servicio",IF(AND(C200="Servicio",F200=""),"Falta servicio","OK")))))))))</f>
        <v/>
      </c>
    </row>
    <row r="201" spans="1:12" ht="22" customHeight="1">
      <c r="A201" s="3"/>
      <c r="B201" s="7"/>
      <c r="C201" s="3"/>
      <c r="D201" s="3"/>
      <c r="E201" s="3"/>
      <c r="F201" s="3"/>
      <c r="G201" s="4"/>
      <c r="H201" s="4"/>
      <c r="I201" s="3"/>
      <c r="J201" s="3"/>
      <c r="K201" s="8" t="str">
        <f t="shared" si="3"/>
        <v/>
      </c>
      <c r="L201" s="1" t="str">
        <f>IF(COUNTA(A201:J201)=0,"",IF(OR(AND(C201&lt;&gt;"Servicio",C201&lt;&gt;"Cobro",C201&lt;&gt;"Anticipo",C201&lt;&gt;"Aplicación anticipo",C201&lt;&gt;"Retención ISR",C201&lt;&gt;"Retención IVA"),AND(C201="Servicio",F201&lt;&gt;"TMS",F201&lt;&gt;"Valoración",F201&lt;&gt;"EEG",F201&lt;&gt;"Neurofeedback",F201&lt;&gt;"Fotobiomodulación",F201&lt;&gt;"Psicoterapia",F201&lt;&gt;"Otros")),"Tipo o categoría inválido",IF(COUNTA(A201:J201)=0,"",IF(OR(A201="",B201="",C201="",G201=""),"Faltan datos",IF(COUNTIF($A$7:$A$2006,A201)&gt;1,"ID duplicado",IF(OR(B201&lt;DATE(Configuración!$C$5,1,1),B201&gt;=DATE(Configuración!$C$5+1,1,1)),"Fecha fuera del año",IF(OR(G201&lt;0,H201&lt;0),"Revisar signo",IF(AND(C201&lt;&gt;"Servicio",H201&lt;&gt;0),"IVA solo en Servicio",IF(AND(C201="Servicio",F201=""),"Falta servicio","OK")))))))))</f>
        <v/>
      </c>
    </row>
    <row r="202" spans="1:12" ht="22" customHeight="1">
      <c r="A202" s="3"/>
      <c r="B202" s="7"/>
      <c r="C202" s="3"/>
      <c r="D202" s="3"/>
      <c r="E202" s="3"/>
      <c r="F202" s="3"/>
      <c r="G202" s="4"/>
      <c r="H202" s="4"/>
      <c r="I202" s="3"/>
      <c r="J202" s="3"/>
      <c r="K202" s="8" t="str">
        <f t="shared" si="3"/>
        <v/>
      </c>
      <c r="L202" s="1" t="str">
        <f>IF(COUNTA(A202:J202)=0,"",IF(OR(AND(C202&lt;&gt;"Servicio",C202&lt;&gt;"Cobro",C202&lt;&gt;"Anticipo",C202&lt;&gt;"Aplicación anticipo",C202&lt;&gt;"Retención ISR",C202&lt;&gt;"Retención IVA"),AND(C202="Servicio",F202&lt;&gt;"TMS",F202&lt;&gt;"Valoración",F202&lt;&gt;"EEG",F202&lt;&gt;"Neurofeedback",F202&lt;&gt;"Fotobiomodulación",F202&lt;&gt;"Psicoterapia",F202&lt;&gt;"Otros")),"Tipo o categoría inválido",IF(COUNTA(A202:J202)=0,"",IF(OR(A202="",B202="",C202="",G202=""),"Faltan datos",IF(COUNTIF($A$7:$A$2006,A202)&gt;1,"ID duplicado",IF(OR(B202&lt;DATE(Configuración!$C$5,1,1),B202&gt;=DATE(Configuración!$C$5+1,1,1)),"Fecha fuera del año",IF(OR(G202&lt;0,H202&lt;0),"Revisar signo",IF(AND(C202&lt;&gt;"Servicio",H202&lt;&gt;0),"IVA solo en Servicio",IF(AND(C202="Servicio",F202=""),"Falta servicio","OK")))))))))</f>
        <v/>
      </c>
    </row>
    <row r="203" spans="1:12" ht="22" customHeight="1">
      <c r="A203" s="3"/>
      <c r="B203" s="7"/>
      <c r="C203" s="3"/>
      <c r="D203" s="3"/>
      <c r="E203" s="3"/>
      <c r="F203" s="3"/>
      <c r="G203" s="4"/>
      <c r="H203" s="4"/>
      <c r="I203" s="3"/>
      <c r="J203" s="3"/>
      <c r="K203" s="8" t="str">
        <f t="shared" si="3"/>
        <v/>
      </c>
      <c r="L203" s="1" t="str">
        <f>IF(COUNTA(A203:J203)=0,"",IF(OR(AND(C203&lt;&gt;"Servicio",C203&lt;&gt;"Cobro",C203&lt;&gt;"Anticipo",C203&lt;&gt;"Aplicación anticipo",C203&lt;&gt;"Retención ISR",C203&lt;&gt;"Retención IVA"),AND(C203="Servicio",F203&lt;&gt;"TMS",F203&lt;&gt;"Valoración",F203&lt;&gt;"EEG",F203&lt;&gt;"Neurofeedback",F203&lt;&gt;"Fotobiomodulación",F203&lt;&gt;"Psicoterapia",F203&lt;&gt;"Otros")),"Tipo o categoría inválido",IF(COUNTA(A203:J203)=0,"",IF(OR(A203="",B203="",C203="",G203=""),"Faltan datos",IF(COUNTIF($A$7:$A$2006,A203)&gt;1,"ID duplicado",IF(OR(B203&lt;DATE(Configuración!$C$5,1,1),B203&gt;=DATE(Configuración!$C$5+1,1,1)),"Fecha fuera del año",IF(OR(G203&lt;0,H203&lt;0),"Revisar signo",IF(AND(C203&lt;&gt;"Servicio",H203&lt;&gt;0),"IVA solo en Servicio",IF(AND(C203="Servicio",F203=""),"Falta servicio","OK")))))))))</f>
        <v/>
      </c>
    </row>
    <row r="204" spans="1:12" ht="22" customHeight="1">
      <c r="A204" s="3"/>
      <c r="B204" s="7"/>
      <c r="C204" s="3"/>
      <c r="D204" s="3"/>
      <c r="E204" s="3"/>
      <c r="F204" s="3"/>
      <c r="G204" s="4"/>
      <c r="H204" s="4"/>
      <c r="I204" s="3"/>
      <c r="J204" s="3"/>
      <c r="K204" s="8" t="str">
        <f t="shared" si="3"/>
        <v/>
      </c>
      <c r="L204" s="1" t="str">
        <f>IF(COUNTA(A204:J204)=0,"",IF(OR(AND(C204&lt;&gt;"Servicio",C204&lt;&gt;"Cobro",C204&lt;&gt;"Anticipo",C204&lt;&gt;"Aplicación anticipo",C204&lt;&gt;"Retención ISR",C204&lt;&gt;"Retención IVA"),AND(C204="Servicio",F204&lt;&gt;"TMS",F204&lt;&gt;"Valoración",F204&lt;&gt;"EEG",F204&lt;&gt;"Neurofeedback",F204&lt;&gt;"Fotobiomodulación",F204&lt;&gt;"Psicoterapia",F204&lt;&gt;"Otros")),"Tipo o categoría inválido",IF(COUNTA(A204:J204)=0,"",IF(OR(A204="",B204="",C204="",G204=""),"Faltan datos",IF(COUNTIF($A$7:$A$2006,A204)&gt;1,"ID duplicado",IF(OR(B204&lt;DATE(Configuración!$C$5,1,1),B204&gt;=DATE(Configuración!$C$5+1,1,1)),"Fecha fuera del año",IF(OR(G204&lt;0,H204&lt;0),"Revisar signo",IF(AND(C204&lt;&gt;"Servicio",H204&lt;&gt;0),"IVA solo en Servicio",IF(AND(C204="Servicio",F204=""),"Falta servicio","OK")))))))))</f>
        <v/>
      </c>
    </row>
    <row r="205" spans="1:12" ht="22" customHeight="1">
      <c r="A205" s="3"/>
      <c r="B205" s="7"/>
      <c r="C205" s="3"/>
      <c r="D205" s="3"/>
      <c r="E205" s="3"/>
      <c r="F205" s="3"/>
      <c r="G205" s="4"/>
      <c r="H205" s="4"/>
      <c r="I205" s="3"/>
      <c r="J205" s="3"/>
      <c r="K205" s="8" t="str">
        <f t="shared" si="3"/>
        <v/>
      </c>
      <c r="L205" s="1" t="str">
        <f>IF(COUNTA(A205:J205)=0,"",IF(OR(AND(C205&lt;&gt;"Servicio",C205&lt;&gt;"Cobro",C205&lt;&gt;"Anticipo",C205&lt;&gt;"Aplicación anticipo",C205&lt;&gt;"Retención ISR",C205&lt;&gt;"Retención IVA"),AND(C205="Servicio",F205&lt;&gt;"TMS",F205&lt;&gt;"Valoración",F205&lt;&gt;"EEG",F205&lt;&gt;"Neurofeedback",F205&lt;&gt;"Fotobiomodulación",F205&lt;&gt;"Psicoterapia",F205&lt;&gt;"Otros")),"Tipo o categoría inválido",IF(COUNTA(A205:J205)=0,"",IF(OR(A205="",B205="",C205="",G205=""),"Faltan datos",IF(COUNTIF($A$7:$A$2006,A205)&gt;1,"ID duplicado",IF(OR(B205&lt;DATE(Configuración!$C$5,1,1),B205&gt;=DATE(Configuración!$C$5+1,1,1)),"Fecha fuera del año",IF(OR(G205&lt;0,H205&lt;0),"Revisar signo",IF(AND(C205&lt;&gt;"Servicio",H205&lt;&gt;0),"IVA solo en Servicio",IF(AND(C205="Servicio",F205=""),"Falta servicio","OK")))))))))</f>
        <v/>
      </c>
    </row>
    <row r="206" spans="1:12" ht="22" customHeight="1">
      <c r="A206" s="3"/>
      <c r="B206" s="7"/>
      <c r="C206" s="3"/>
      <c r="D206" s="3"/>
      <c r="E206" s="3"/>
      <c r="F206" s="3"/>
      <c r="G206" s="4"/>
      <c r="H206" s="4"/>
      <c r="I206" s="3"/>
      <c r="J206" s="3"/>
      <c r="K206" s="8" t="str">
        <f t="shared" si="3"/>
        <v/>
      </c>
      <c r="L206" s="1" t="str">
        <f>IF(COUNTA(A206:J206)=0,"",IF(OR(AND(C206&lt;&gt;"Servicio",C206&lt;&gt;"Cobro",C206&lt;&gt;"Anticipo",C206&lt;&gt;"Aplicación anticipo",C206&lt;&gt;"Retención ISR",C206&lt;&gt;"Retención IVA"),AND(C206="Servicio",F206&lt;&gt;"TMS",F206&lt;&gt;"Valoración",F206&lt;&gt;"EEG",F206&lt;&gt;"Neurofeedback",F206&lt;&gt;"Fotobiomodulación",F206&lt;&gt;"Psicoterapia",F206&lt;&gt;"Otros")),"Tipo o categoría inválido",IF(COUNTA(A206:J206)=0,"",IF(OR(A206="",B206="",C206="",G206=""),"Faltan datos",IF(COUNTIF($A$7:$A$2006,A206)&gt;1,"ID duplicado",IF(OR(B206&lt;DATE(Configuración!$C$5,1,1),B206&gt;=DATE(Configuración!$C$5+1,1,1)),"Fecha fuera del año",IF(OR(G206&lt;0,H206&lt;0),"Revisar signo",IF(AND(C206&lt;&gt;"Servicio",H206&lt;&gt;0),"IVA solo en Servicio",IF(AND(C206="Servicio",F206=""),"Falta servicio","OK")))))))))</f>
        <v/>
      </c>
    </row>
    <row r="207" spans="1:12" ht="22" customHeight="1">
      <c r="A207" s="3"/>
      <c r="B207" s="7"/>
      <c r="C207" s="3"/>
      <c r="D207" s="3"/>
      <c r="E207" s="3"/>
      <c r="F207" s="3"/>
      <c r="G207" s="4"/>
      <c r="H207" s="4"/>
      <c r="I207" s="3"/>
      <c r="J207" s="3"/>
      <c r="K207" s="8" t="str">
        <f t="shared" si="3"/>
        <v/>
      </c>
      <c r="L207" s="1" t="str">
        <f>IF(COUNTA(A207:J207)=0,"",IF(OR(AND(C207&lt;&gt;"Servicio",C207&lt;&gt;"Cobro",C207&lt;&gt;"Anticipo",C207&lt;&gt;"Aplicación anticipo",C207&lt;&gt;"Retención ISR",C207&lt;&gt;"Retención IVA"),AND(C207="Servicio",F207&lt;&gt;"TMS",F207&lt;&gt;"Valoración",F207&lt;&gt;"EEG",F207&lt;&gt;"Neurofeedback",F207&lt;&gt;"Fotobiomodulación",F207&lt;&gt;"Psicoterapia",F207&lt;&gt;"Otros")),"Tipo o categoría inválido",IF(COUNTA(A207:J207)=0,"",IF(OR(A207="",B207="",C207="",G207=""),"Faltan datos",IF(COUNTIF($A$7:$A$2006,A207)&gt;1,"ID duplicado",IF(OR(B207&lt;DATE(Configuración!$C$5,1,1),B207&gt;=DATE(Configuración!$C$5+1,1,1)),"Fecha fuera del año",IF(OR(G207&lt;0,H207&lt;0),"Revisar signo",IF(AND(C207&lt;&gt;"Servicio",H207&lt;&gt;0),"IVA solo en Servicio",IF(AND(C207="Servicio",F207=""),"Falta servicio","OK")))))))))</f>
        <v/>
      </c>
    </row>
    <row r="208" spans="1:12" ht="22" customHeight="1">
      <c r="A208" s="3"/>
      <c r="B208" s="7"/>
      <c r="C208" s="3"/>
      <c r="D208" s="3"/>
      <c r="E208" s="3"/>
      <c r="F208" s="3"/>
      <c r="G208" s="4"/>
      <c r="H208" s="4"/>
      <c r="I208" s="3"/>
      <c r="J208" s="3"/>
      <c r="K208" s="8" t="str">
        <f t="shared" si="3"/>
        <v/>
      </c>
      <c r="L208" s="1" t="str">
        <f>IF(COUNTA(A208:J208)=0,"",IF(OR(AND(C208&lt;&gt;"Servicio",C208&lt;&gt;"Cobro",C208&lt;&gt;"Anticipo",C208&lt;&gt;"Aplicación anticipo",C208&lt;&gt;"Retención ISR",C208&lt;&gt;"Retención IVA"),AND(C208="Servicio",F208&lt;&gt;"TMS",F208&lt;&gt;"Valoración",F208&lt;&gt;"EEG",F208&lt;&gt;"Neurofeedback",F208&lt;&gt;"Fotobiomodulación",F208&lt;&gt;"Psicoterapia",F208&lt;&gt;"Otros")),"Tipo o categoría inválido",IF(COUNTA(A208:J208)=0,"",IF(OR(A208="",B208="",C208="",G208=""),"Faltan datos",IF(COUNTIF($A$7:$A$2006,A208)&gt;1,"ID duplicado",IF(OR(B208&lt;DATE(Configuración!$C$5,1,1),B208&gt;=DATE(Configuración!$C$5+1,1,1)),"Fecha fuera del año",IF(OR(G208&lt;0,H208&lt;0),"Revisar signo",IF(AND(C208&lt;&gt;"Servicio",H208&lt;&gt;0),"IVA solo en Servicio",IF(AND(C208="Servicio",F208=""),"Falta servicio","OK")))))))))</f>
        <v/>
      </c>
    </row>
    <row r="209" spans="1:12" ht="22" customHeight="1">
      <c r="A209" s="3"/>
      <c r="B209" s="7"/>
      <c r="C209" s="3"/>
      <c r="D209" s="3"/>
      <c r="E209" s="3"/>
      <c r="F209" s="3"/>
      <c r="G209" s="4"/>
      <c r="H209" s="4"/>
      <c r="I209" s="3"/>
      <c r="J209" s="3"/>
      <c r="K209" s="8" t="str">
        <f t="shared" si="3"/>
        <v/>
      </c>
      <c r="L209" s="1" t="str">
        <f>IF(COUNTA(A209:J209)=0,"",IF(OR(AND(C209&lt;&gt;"Servicio",C209&lt;&gt;"Cobro",C209&lt;&gt;"Anticipo",C209&lt;&gt;"Aplicación anticipo",C209&lt;&gt;"Retención ISR",C209&lt;&gt;"Retención IVA"),AND(C209="Servicio",F209&lt;&gt;"TMS",F209&lt;&gt;"Valoración",F209&lt;&gt;"EEG",F209&lt;&gt;"Neurofeedback",F209&lt;&gt;"Fotobiomodulación",F209&lt;&gt;"Psicoterapia",F209&lt;&gt;"Otros")),"Tipo o categoría inválido",IF(COUNTA(A209:J209)=0,"",IF(OR(A209="",B209="",C209="",G209=""),"Faltan datos",IF(COUNTIF($A$7:$A$2006,A209)&gt;1,"ID duplicado",IF(OR(B209&lt;DATE(Configuración!$C$5,1,1),B209&gt;=DATE(Configuración!$C$5+1,1,1)),"Fecha fuera del año",IF(OR(G209&lt;0,H209&lt;0),"Revisar signo",IF(AND(C209&lt;&gt;"Servicio",H209&lt;&gt;0),"IVA solo en Servicio",IF(AND(C209="Servicio",F209=""),"Falta servicio","OK")))))))))</f>
        <v/>
      </c>
    </row>
    <row r="210" spans="1:12" ht="22" customHeight="1">
      <c r="A210" s="3"/>
      <c r="B210" s="7"/>
      <c r="C210" s="3"/>
      <c r="D210" s="3"/>
      <c r="E210" s="3"/>
      <c r="F210" s="3"/>
      <c r="G210" s="4"/>
      <c r="H210" s="4"/>
      <c r="I210" s="3"/>
      <c r="J210" s="3"/>
      <c r="K210" s="8" t="str">
        <f t="shared" si="3"/>
        <v/>
      </c>
      <c r="L210" s="1" t="str">
        <f>IF(COUNTA(A210:J210)=0,"",IF(OR(AND(C210&lt;&gt;"Servicio",C210&lt;&gt;"Cobro",C210&lt;&gt;"Anticipo",C210&lt;&gt;"Aplicación anticipo",C210&lt;&gt;"Retención ISR",C210&lt;&gt;"Retención IVA"),AND(C210="Servicio",F210&lt;&gt;"TMS",F210&lt;&gt;"Valoración",F210&lt;&gt;"EEG",F210&lt;&gt;"Neurofeedback",F210&lt;&gt;"Fotobiomodulación",F210&lt;&gt;"Psicoterapia",F210&lt;&gt;"Otros")),"Tipo o categoría inválido",IF(COUNTA(A210:J210)=0,"",IF(OR(A210="",B210="",C210="",G210=""),"Faltan datos",IF(COUNTIF($A$7:$A$2006,A210)&gt;1,"ID duplicado",IF(OR(B210&lt;DATE(Configuración!$C$5,1,1),B210&gt;=DATE(Configuración!$C$5+1,1,1)),"Fecha fuera del año",IF(OR(G210&lt;0,H210&lt;0),"Revisar signo",IF(AND(C210&lt;&gt;"Servicio",H210&lt;&gt;0),"IVA solo en Servicio",IF(AND(C210="Servicio",F210=""),"Falta servicio","OK")))))))))</f>
        <v/>
      </c>
    </row>
    <row r="211" spans="1:12" ht="22" customHeight="1">
      <c r="A211" s="3"/>
      <c r="B211" s="7"/>
      <c r="C211" s="3"/>
      <c r="D211" s="3"/>
      <c r="E211" s="3"/>
      <c r="F211" s="3"/>
      <c r="G211" s="4"/>
      <c r="H211" s="4"/>
      <c r="I211" s="3"/>
      <c r="J211" s="3"/>
      <c r="K211" s="8" t="str">
        <f t="shared" si="3"/>
        <v/>
      </c>
      <c r="L211" s="1" t="str">
        <f>IF(COUNTA(A211:J211)=0,"",IF(OR(AND(C211&lt;&gt;"Servicio",C211&lt;&gt;"Cobro",C211&lt;&gt;"Anticipo",C211&lt;&gt;"Aplicación anticipo",C211&lt;&gt;"Retención ISR",C211&lt;&gt;"Retención IVA"),AND(C211="Servicio",F211&lt;&gt;"TMS",F211&lt;&gt;"Valoración",F211&lt;&gt;"EEG",F211&lt;&gt;"Neurofeedback",F211&lt;&gt;"Fotobiomodulación",F211&lt;&gt;"Psicoterapia",F211&lt;&gt;"Otros")),"Tipo o categoría inválido",IF(COUNTA(A211:J211)=0,"",IF(OR(A211="",B211="",C211="",G211=""),"Faltan datos",IF(COUNTIF($A$7:$A$2006,A211)&gt;1,"ID duplicado",IF(OR(B211&lt;DATE(Configuración!$C$5,1,1),B211&gt;=DATE(Configuración!$C$5+1,1,1)),"Fecha fuera del año",IF(OR(G211&lt;0,H211&lt;0),"Revisar signo",IF(AND(C211&lt;&gt;"Servicio",H211&lt;&gt;0),"IVA solo en Servicio",IF(AND(C211="Servicio",F211=""),"Falta servicio","OK")))))))))</f>
        <v/>
      </c>
    </row>
    <row r="212" spans="1:12" ht="22" customHeight="1">
      <c r="A212" s="3"/>
      <c r="B212" s="7"/>
      <c r="C212" s="3"/>
      <c r="D212" s="3"/>
      <c r="E212" s="3"/>
      <c r="F212" s="3"/>
      <c r="G212" s="4"/>
      <c r="H212" s="4"/>
      <c r="I212" s="3"/>
      <c r="J212" s="3"/>
      <c r="K212" s="8" t="str">
        <f t="shared" si="3"/>
        <v/>
      </c>
      <c r="L212" s="1" t="str">
        <f>IF(COUNTA(A212:J212)=0,"",IF(OR(AND(C212&lt;&gt;"Servicio",C212&lt;&gt;"Cobro",C212&lt;&gt;"Anticipo",C212&lt;&gt;"Aplicación anticipo",C212&lt;&gt;"Retención ISR",C212&lt;&gt;"Retención IVA"),AND(C212="Servicio",F212&lt;&gt;"TMS",F212&lt;&gt;"Valoración",F212&lt;&gt;"EEG",F212&lt;&gt;"Neurofeedback",F212&lt;&gt;"Fotobiomodulación",F212&lt;&gt;"Psicoterapia",F212&lt;&gt;"Otros")),"Tipo o categoría inválido",IF(COUNTA(A212:J212)=0,"",IF(OR(A212="",B212="",C212="",G212=""),"Faltan datos",IF(COUNTIF($A$7:$A$2006,A212)&gt;1,"ID duplicado",IF(OR(B212&lt;DATE(Configuración!$C$5,1,1),B212&gt;=DATE(Configuración!$C$5+1,1,1)),"Fecha fuera del año",IF(OR(G212&lt;0,H212&lt;0),"Revisar signo",IF(AND(C212&lt;&gt;"Servicio",H212&lt;&gt;0),"IVA solo en Servicio",IF(AND(C212="Servicio",F212=""),"Falta servicio","OK")))))))))</f>
        <v/>
      </c>
    </row>
    <row r="213" spans="1:12" ht="22" customHeight="1">
      <c r="A213" s="3"/>
      <c r="B213" s="7"/>
      <c r="C213" s="3"/>
      <c r="D213" s="3"/>
      <c r="E213" s="3"/>
      <c r="F213" s="3"/>
      <c r="G213" s="4"/>
      <c r="H213" s="4"/>
      <c r="I213" s="3"/>
      <c r="J213" s="3"/>
      <c r="K213" s="8" t="str">
        <f t="shared" si="3"/>
        <v/>
      </c>
      <c r="L213" s="1" t="str">
        <f>IF(COUNTA(A213:J213)=0,"",IF(OR(AND(C213&lt;&gt;"Servicio",C213&lt;&gt;"Cobro",C213&lt;&gt;"Anticipo",C213&lt;&gt;"Aplicación anticipo",C213&lt;&gt;"Retención ISR",C213&lt;&gt;"Retención IVA"),AND(C213="Servicio",F213&lt;&gt;"TMS",F213&lt;&gt;"Valoración",F213&lt;&gt;"EEG",F213&lt;&gt;"Neurofeedback",F213&lt;&gt;"Fotobiomodulación",F213&lt;&gt;"Psicoterapia",F213&lt;&gt;"Otros")),"Tipo o categoría inválido",IF(COUNTA(A213:J213)=0,"",IF(OR(A213="",B213="",C213="",G213=""),"Faltan datos",IF(COUNTIF($A$7:$A$2006,A213)&gt;1,"ID duplicado",IF(OR(B213&lt;DATE(Configuración!$C$5,1,1),B213&gt;=DATE(Configuración!$C$5+1,1,1)),"Fecha fuera del año",IF(OR(G213&lt;0,H213&lt;0),"Revisar signo",IF(AND(C213&lt;&gt;"Servicio",H213&lt;&gt;0),"IVA solo en Servicio",IF(AND(C213="Servicio",F213=""),"Falta servicio","OK")))))))))</f>
        <v/>
      </c>
    </row>
    <row r="214" spans="1:12" ht="22" customHeight="1">
      <c r="A214" s="3"/>
      <c r="B214" s="7"/>
      <c r="C214" s="3"/>
      <c r="D214" s="3"/>
      <c r="E214" s="3"/>
      <c r="F214" s="3"/>
      <c r="G214" s="4"/>
      <c r="H214" s="4"/>
      <c r="I214" s="3"/>
      <c r="J214" s="3"/>
      <c r="K214" s="8" t="str">
        <f t="shared" si="3"/>
        <v/>
      </c>
      <c r="L214" s="1" t="str">
        <f>IF(COUNTA(A214:J214)=0,"",IF(OR(AND(C214&lt;&gt;"Servicio",C214&lt;&gt;"Cobro",C214&lt;&gt;"Anticipo",C214&lt;&gt;"Aplicación anticipo",C214&lt;&gt;"Retención ISR",C214&lt;&gt;"Retención IVA"),AND(C214="Servicio",F214&lt;&gt;"TMS",F214&lt;&gt;"Valoración",F214&lt;&gt;"EEG",F214&lt;&gt;"Neurofeedback",F214&lt;&gt;"Fotobiomodulación",F214&lt;&gt;"Psicoterapia",F214&lt;&gt;"Otros")),"Tipo o categoría inválido",IF(COUNTA(A214:J214)=0,"",IF(OR(A214="",B214="",C214="",G214=""),"Faltan datos",IF(COUNTIF($A$7:$A$2006,A214)&gt;1,"ID duplicado",IF(OR(B214&lt;DATE(Configuración!$C$5,1,1),B214&gt;=DATE(Configuración!$C$5+1,1,1)),"Fecha fuera del año",IF(OR(G214&lt;0,H214&lt;0),"Revisar signo",IF(AND(C214&lt;&gt;"Servicio",H214&lt;&gt;0),"IVA solo en Servicio",IF(AND(C214="Servicio",F214=""),"Falta servicio","OK")))))))))</f>
        <v/>
      </c>
    </row>
    <row r="215" spans="1:12" ht="22" customHeight="1">
      <c r="A215" s="3"/>
      <c r="B215" s="7"/>
      <c r="C215" s="3"/>
      <c r="D215" s="3"/>
      <c r="E215" s="3"/>
      <c r="F215" s="3"/>
      <c r="G215" s="4"/>
      <c r="H215" s="4"/>
      <c r="I215" s="3"/>
      <c r="J215" s="3"/>
      <c r="K215" s="8" t="str">
        <f t="shared" si="3"/>
        <v/>
      </c>
      <c r="L215" s="1" t="str">
        <f>IF(COUNTA(A215:J215)=0,"",IF(OR(AND(C215&lt;&gt;"Servicio",C215&lt;&gt;"Cobro",C215&lt;&gt;"Anticipo",C215&lt;&gt;"Aplicación anticipo",C215&lt;&gt;"Retención ISR",C215&lt;&gt;"Retención IVA"),AND(C215="Servicio",F215&lt;&gt;"TMS",F215&lt;&gt;"Valoración",F215&lt;&gt;"EEG",F215&lt;&gt;"Neurofeedback",F215&lt;&gt;"Fotobiomodulación",F215&lt;&gt;"Psicoterapia",F215&lt;&gt;"Otros")),"Tipo o categoría inválido",IF(COUNTA(A215:J215)=0,"",IF(OR(A215="",B215="",C215="",G215=""),"Faltan datos",IF(COUNTIF($A$7:$A$2006,A215)&gt;1,"ID duplicado",IF(OR(B215&lt;DATE(Configuración!$C$5,1,1),B215&gt;=DATE(Configuración!$C$5+1,1,1)),"Fecha fuera del año",IF(OR(G215&lt;0,H215&lt;0),"Revisar signo",IF(AND(C215&lt;&gt;"Servicio",H215&lt;&gt;0),"IVA solo en Servicio",IF(AND(C215="Servicio",F215=""),"Falta servicio","OK")))))))))</f>
        <v/>
      </c>
    </row>
    <row r="216" spans="1:12" ht="22" customHeight="1">
      <c r="A216" s="3"/>
      <c r="B216" s="7"/>
      <c r="C216" s="3"/>
      <c r="D216" s="3"/>
      <c r="E216" s="3"/>
      <c r="F216" s="3"/>
      <c r="G216" s="4"/>
      <c r="H216" s="4"/>
      <c r="I216" s="3"/>
      <c r="J216" s="3"/>
      <c r="K216" s="8" t="str">
        <f t="shared" si="3"/>
        <v/>
      </c>
      <c r="L216" s="1" t="str">
        <f>IF(COUNTA(A216:J216)=0,"",IF(OR(AND(C216&lt;&gt;"Servicio",C216&lt;&gt;"Cobro",C216&lt;&gt;"Anticipo",C216&lt;&gt;"Aplicación anticipo",C216&lt;&gt;"Retención ISR",C216&lt;&gt;"Retención IVA"),AND(C216="Servicio",F216&lt;&gt;"TMS",F216&lt;&gt;"Valoración",F216&lt;&gt;"EEG",F216&lt;&gt;"Neurofeedback",F216&lt;&gt;"Fotobiomodulación",F216&lt;&gt;"Psicoterapia",F216&lt;&gt;"Otros")),"Tipo o categoría inválido",IF(COUNTA(A216:J216)=0,"",IF(OR(A216="",B216="",C216="",G216=""),"Faltan datos",IF(COUNTIF($A$7:$A$2006,A216)&gt;1,"ID duplicado",IF(OR(B216&lt;DATE(Configuración!$C$5,1,1),B216&gt;=DATE(Configuración!$C$5+1,1,1)),"Fecha fuera del año",IF(OR(G216&lt;0,H216&lt;0),"Revisar signo",IF(AND(C216&lt;&gt;"Servicio",H216&lt;&gt;0),"IVA solo en Servicio",IF(AND(C216="Servicio",F216=""),"Falta servicio","OK")))))))))</f>
        <v/>
      </c>
    </row>
    <row r="217" spans="1:12" ht="22" customHeight="1">
      <c r="A217" s="3"/>
      <c r="B217" s="7"/>
      <c r="C217" s="3"/>
      <c r="D217" s="3"/>
      <c r="E217" s="3"/>
      <c r="F217" s="3"/>
      <c r="G217" s="4"/>
      <c r="H217" s="4"/>
      <c r="I217" s="3"/>
      <c r="J217" s="3"/>
      <c r="K217" s="8" t="str">
        <f t="shared" si="3"/>
        <v/>
      </c>
      <c r="L217" s="1" t="str">
        <f>IF(COUNTA(A217:J217)=0,"",IF(OR(AND(C217&lt;&gt;"Servicio",C217&lt;&gt;"Cobro",C217&lt;&gt;"Anticipo",C217&lt;&gt;"Aplicación anticipo",C217&lt;&gt;"Retención ISR",C217&lt;&gt;"Retención IVA"),AND(C217="Servicio",F217&lt;&gt;"TMS",F217&lt;&gt;"Valoración",F217&lt;&gt;"EEG",F217&lt;&gt;"Neurofeedback",F217&lt;&gt;"Fotobiomodulación",F217&lt;&gt;"Psicoterapia",F217&lt;&gt;"Otros")),"Tipo o categoría inválido",IF(COUNTA(A217:J217)=0,"",IF(OR(A217="",B217="",C217="",G217=""),"Faltan datos",IF(COUNTIF($A$7:$A$2006,A217)&gt;1,"ID duplicado",IF(OR(B217&lt;DATE(Configuración!$C$5,1,1),B217&gt;=DATE(Configuración!$C$5+1,1,1)),"Fecha fuera del año",IF(OR(G217&lt;0,H217&lt;0),"Revisar signo",IF(AND(C217&lt;&gt;"Servicio",H217&lt;&gt;0),"IVA solo en Servicio",IF(AND(C217="Servicio",F217=""),"Falta servicio","OK")))))))))</f>
        <v/>
      </c>
    </row>
    <row r="218" spans="1:12" ht="22" customHeight="1">
      <c r="A218" s="3"/>
      <c r="B218" s="7"/>
      <c r="C218" s="3"/>
      <c r="D218" s="3"/>
      <c r="E218" s="3"/>
      <c r="F218" s="3"/>
      <c r="G218" s="4"/>
      <c r="H218" s="4"/>
      <c r="I218" s="3"/>
      <c r="J218" s="3"/>
      <c r="K218" s="8" t="str">
        <f t="shared" si="3"/>
        <v/>
      </c>
      <c r="L218" s="1" t="str">
        <f>IF(COUNTA(A218:J218)=0,"",IF(OR(AND(C218&lt;&gt;"Servicio",C218&lt;&gt;"Cobro",C218&lt;&gt;"Anticipo",C218&lt;&gt;"Aplicación anticipo",C218&lt;&gt;"Retención ISR",C218&lt;&gt;"Retención IVA"),AND(C218="Servicio",F218&lt;&gt;"TMS",F218&lt;&gt;"Valoración",F218&lt;&gt;"EEG",F218&lt;&gt;"Neurofeedback",F218&lt;&gt;"Fotobiomodulación",F218&lt;&gt;"Psicoterapia",F218&lt;&gt;"Otros")),"Tipo o categoría inválido",IF(COUNTA(A218:J218)=0,"",IF(OR(A218="",B218="",C218="",G218=""),"Faltan datos",IF(COUNTIF($A$7:$A$2006,A218)&gt;1,"ID duplicado",IF(OR(B218&lt;DATE(Configuración!$C$5,1,1),B218&gt;=DATE(Configuración!$C$5+1,1,1)),"Fecha fuera del año",IF(OR(G218&lt;0,H218&lt;0),"Revisar signo",IF(AND(C218&lt;&gt;"Servicio",H218&lt;&gt;0),"IVA solo en Servicio",IF(AND(C218="Servicio",F218=""),"Falta servicio","OK")))))))))</f>
        <v/>
      </c>
    </row>
    <row r="219" spans="1:12" ht="22" customHeight="1">
      <c r="A219" s="3"/>
      <c r="B219" s="7"/>
      <c r="C219" s="3"/>
      <c r="D219" s="3"/>
      <c r="E219" s="3"/>
      <c r="F219" s="3"/>
      <c r="G219" s="4"/>
      <c r="H219" s="4"/>
      <c r="I219" s="3"/>
      <c r="J219" s="3"/>
      <c r="K219" s="8" t="str">
        <f t="shared" si="3"/>
        <v/>
      </c>
      <c r="L219" s="1" t="str">
        <f>IF(COUNTA(A219:J219)=0,"",IF(OR(AND(C219&lt;&gt;"Servicio",C219&lt;&gt;"Cobro",C219&lt;&gt;"Anticipo",C219&lt;&gt;"Aplicación anticipo",C219&lt;&gt;"Retención ISR",C219&lt;&gt;"Retención IVA"),AND(C219="Servicio",F219&lt;&gt;"TMS",F219&lt;&gt;"Valoración",F219&lt;&gt;"EEG",F219&lt;&gt;"Neurofeedback",F219&lt;&gt;"Fotobiomodulación",F219&lt;&gt;"Psicoterapia",F219&lt;&gt;"Otros")),"Tipo o categoría inválido",IF(COUNTA(A219:J219)=0,"",IF(OR(A219="",B219="",C219="",G219=""),"Faltan datos",IF(COUNTIF($A$7:$A$2006,A219)&gt;1,"ID duplicado",IF(OR(B219&lt;DATE(Configuración!$C$5,1,1),B219&gt;=DATE(Configuración!$C$5+1,1,1)),"Fecha fuera del año",IF(OR(G219&lt;0,H219&lt;0),"Revisar signo",IF(AND(C219&lt;&gt;"Servicio",H219&lt;&gt;0),"IVA solo en Servicio",IF(AND(C219="Servicio",F219=""),"Falta servicio","OK")))))))))</f>
        <v/>
      </c>
    </row>
    <row r="220" spans="1:12" ht="22" customHeight="1">
      <c r="A220" s="3"/>
      <c r="B220" s="7"/>
      <c r="C220" s="3"/>
      <c r="D220" s="3"/>
      <c r="E220" s="3"/>
      <c r="F220" s="3"/>
      <c r="G220" s="4"/>
      <c r="H220" s="4"/>
      <c r="I220" s="3"/>
      <c r="J220" s="3"/>
      <c r="K220" s="8" t="str">
        <f t="shared" si="3"/>
        <v/>
      </c>
      <c r="L220" s="1" t="str">
        <f>IF(COUNTA(A220:J220)=0,"",IF(OR(AND(C220&lt;&gt;"Servicio",C220&lt;&gt;"Cobro",C220&lt;&gt;"Anticipo",C220&lt;&gt;"Aplicación anticipo",C220&lt;&gt;"Retención ISR",C220&lt;&gt;"Retención IVA"),AND(C220="Servicio",F220&lt;&gt;"TMS",F220&lt;&gt;"Valoración",F220&lt;&gt;"EEG",F220&lt;&gt;"Neurofeedback",F220&lt;&gt;"Fotobiomodulación",F220&lt;&gt;"Psicoterapia",F220&lt;&gt;"Otros")),"Tipo o categoría inválido",IF(COUNTA(A220:J220)=0,"",IF(OR(A220="",B220="",C220="",G220=""),"Faltan datos",IF(COUNTIF($A$7:$A$2006,A220)&gt;1,"ID duplicado",IF(OR(B220&lt;DATE(Configuración!$C$5,1,1),B220&gt;=DATE(Configuración!$C$5+1,1,1)),"Fecha fuera del año",IF(OR(G220&lt;0,H220&lt;0),"Revisar signo",IF(AND(C220&lt;&gt;"Servicio",H220&lt;&gt;0),"IVA solo en Servicio",IF(AND(C220="Servicio",F220=""),"Falta servicio","OK")))))))))</f>
        <v/>
      </c>
    </row>
    <row r="221" spans="1:12" ht="22" customHeight="1">
      <c r="A221" s="3"/>
      <c r="B221" s="7"/>
      <c r="C221" s="3"/>
      <c r="D221" s="3"/>
      <c r="E221" s="3"/>
      <c r="F221" s="3"/>
      <c r="G221" s="4"/>
      <c r="H221" s="4"/>
      <c r="I221" s="3"/>
      <c r="J221" s="3"/>
      <c r="K221" s="8" t="str">
        <f t="shared" si="3"/>
        <v/>
      </c>
      <c r="L221" s="1" t="str">
        <f>IF(COUNTA(A221:J221)=0,"",IF(OR(AND(C221&lt;&gt;"Servicio",C221&lt;&gt;"Cobro",C221&lt;&gt;"Anticipo",C221&lt;&gt;"Aplicación anticipo",C221&lt;&gt;"Retención ISR",C221&lt;&gt;"Retención IVA"),AND(C221="Servicio",F221&lt;&gt;"TMS",F221&lt;&gt;"Valoración",F221&lt;&gt;"EEG",F221&lt;&gt;"Neurofeedback",F221&lt;&gt;"Fotobiomodulación",F221&lt;&gt;"Psicoterapia",F221&lt;&gt;"Otros")),"Tipo o categoría inválido",IF(COUNTA(A221:J221)=0,"",IF(OR(A221="",B221="",C221="",G221=""),"Faltan datos",IF(COUNTIF($A$7:$A$2006,A221)&gt;1,"ID duplicado",IF(OR(B221&lt;DATE(Configuración!$C$5,1,1),B221&gt;=DATE(Configuración!$C$5+1,1,1)),"Fecha fuera del año",IF(OR(G221&lt;0,H221&lt;0),"Revisar signo",IF(AND(C221&lt;&gt;"Servicio",H221&lt;&gt;0),"IVA solo en Servicio",IF(AND(C221="Servicio",F221=""),"Falta servicio","OK")))))))))</f>
        <v/>
      </c>
    </row>
    <row r="222" spans="1:12" ht="22" customHeight="1">
      <c r="A222" s="3"/>
      <c r="B222" s="7"/>
      <c r="C222" s="3"/>
      <c r="D222" s="3"/>
      <c r="E222" s="3"/>
      <c r="F222" s="3"/>
      <c r="G222" s="4"/>
      <c r="H222" s="4"/>
      <c r="I222" s="3"/>
      <c r="J222" s="3"/>
      <c r="K222" s="8" t="str">
        <f t="shared" si="3"/>
        <v/>
      </c>
      <c r="L222" s="1" t="str">
        <f>IF(COUNTA(A222:J222)=0,"",IF(OR(AND(C222&lt;&gt;"Servicio",C222&lt;&gt;"Cobro",C222&lt;&gt;"Anticipo",C222&lt;&gt;"Aplicación anticipo",C222&lt;&gt;"Retención ISR",C222&lt;&gt;"Retención IVA"),AND(C222="Servicio",F222&lt;&gt;"TMS",F222&lt;&gt;"Valoración",F222&lt;&gt;"EEG",F222&lt;&gt;"Neurofeedback",F222&lt;&gt;"Fotobiomodulación",F222&lt;&gt;"Psicoterapia",F222&lt;&gt;"Otros")),"Tipo o categoría inválido",IF(COUNTA(A222:J222)=0,"",IF(OR(A222="",B222="",C222="",G222=""),"Faltan datos",IF(COUNTIF($A$7:$A$2006,A222)&gt;1,"ID duplicado",IF(OR(B222&lt;DATE(Configuración!$C$5,1,1),B222&gt;=DATE(Configuración!$C$5+1,1,1)),"Fecha fuera del año",IF(OR(G222&lt;0,H222&lt;0),"Revisar signo",IF(AND(C222&lt;&gt;"Servicio",H222&lt;&gt;0),"IVA solo en Servicio",IF(AND(C222="Servicio",F222=""),"Falta servicio","OK")))))))))</f>
        <v/>
      </c>
    </row>
    <row r="223" spans="1:12" ht="22" customHeight="1">
      <c r="A223" s="3"/>
      <c r="B223" s="7"/>
      <c r="C223" s="3"/>
      <c r="D223" s="3"/>
      <c r="E223" s="3"/>
      <c r="F223" s="3"/>
      <c r="G223" s="4"/>
      <c r="H223" s="4"/>
      <c r="I223" s="3"/>
      <c r="J223" s="3"/>
      <c r="K223" s="8" t="str">
        <f t="shared" si="3"/>
        <v/>
      </c>
      <c r="L223" s="1" t="str">
        <f>IF(COUNTA(A223:J223)=0,"",IF(OR(AND(C223&lt;&gt;"Servicio",C223&lt;&gt;"Cobro",C223&lt;&gt;"Anticipo",C223&lt;&gt;"Aplicación anticipo",C223&lt;&gt;"Retención ISR",C223&lt;&gt;"Retención IVA"),AND(C223="Servicio",F223&lt;&gt;"TMS",F223&lt;&gt;"Valoración",F223&lt;&gt;"EEG",F223&lt;&gt;"Neurofeedback",F223&lt;&gt;"Fotobiomodulación",F223&lt;&gt;"Psicoterapia",F223&lt;&gt;"Otros")),"Tipo o categoría inválido",IF(COUNTA(A223:J223)=0,"",IF(OR(A223="",B223="",C223="",G223=""),"Faltan datos",IF(COUNTIF($A$7:$A$2006,A223)&gt;1,"ID duplicado",IF(OR(B223&lt;DATE(Configuración!$C$5,1,1),B223&gt;=DATE(Configuración!$C$5+1,1,1)),"Fecha fuera del año",IF(OR(G223&lt;0,H223&lt;0),"Revisar signo",IF(AND(C223&lt;&gt;"Servicio",H223&lt;&gt;0),"IVA solo en Servicio",IF(AND(C223="Servicio",F223=""),"Falta servicio","OK")))))))))</f>
        <v/>
      </c>
    </row>
    <row r="224" spans="1:12" ht="22" customHeight="1">
      <c r="A224" s="3"/>
      <c r="B224" s="7"/>
      <c r="C224" s="3"/>
      <c r="D224" s="3"/>
      <c r="E224" s="3"/>
      <c r="F224" s="3"/>
      <c r="G224" s="4"/>
      <c r="H224" s="4"/>
      <c r="I224" s="3"/>
      <c r="J224" s="3"/>
      <c r="K224" s="8" t="str">
        <f t="shared" si="3"/>
        <v/>
      </c>
      <c r="L224" s="1" t="str">
        <f>IF(COUNTA(A224:J224)=0,"",IF(OR(AND(C224&lt;&gt;"Servicio",C224&lt;&gt;"Cobro",C224&lt;&gt;"Anticipo",C224&lt;&gt;"Aplicación anticipo",C224&lt;&gt;"Retención ISR",C224&lt;&gt;"Retención IVA"),AND(C224="Servicio",F224&lt;&gt;"TMS",F224&lt;&gt;"Valoración",F224&lt;&gt;"EEG",F224&lt;&gt;"Neurofeedback",F224&lt;&gt;"Fotobiomodulación",F224&lt;&gt;"Psicoterapia",F224&lt;&gt;"Otros")),"Tipo o categoría inválido",IF(COUNTA(A224:J224)=0,"",IF(OR(A224="",B224="",C224="",G224=""),"Faltan datos",IF(COUNTIF($A$7:$A$2006,A224)&gt;1,"ID duplicado",IF(OR(B224&lt;DATE(Configuración!$C$5,1,1),B224&gt;=DATE(Configuración!$C$5+1,1,1)),"Fecha fuera del año",IF(OR(G224&lt;0,H224&lt;0),"Revisar signo",IF(AND(C224&lt;&gt;"Servicio",H224&lt;&gt;0),"IVA solo en Servicio",IF(AND(C224="Servicio",F224=""),"Falta servicio","OK")))))))))</f>
        <v/>
      </c>
    </row>
    <row r="225" spans="1:12" ht="22" customHeight="1">
      <c r="A225" s="3"/>
      <c r="B225" s="7"/>
      <c r="C225" s="3"/>
      <c r="D225" s="3"/>
      <c r="E225" s="3"/>
      <c r="F225" s="3"/>
      <c r="G225" s="4"/>
      <c r="H225" s="4"/>
      <c r="I225" s="3"/>
      <c r="J225" s="3"/>
      <c r="K225" s="8" t="str">
        <f t="shared" si="3"/>
        <v/>
      </c>
      <c r="L225" s="1" t="str">
        <f>IF(COUNTA(A225:J225)=0,"",IF(OR(AND(C225&lt;&gt;"Servicio",C225&lt;&gt;"Cobro",C225&lt;&gt;"Anticipo",C225&lt;&gt;"Aplicación anticipo",C225&lt;&gt;"Retención ISR",C225&lt;&gt;"Retención IVA"),AND(C225="Servicio",F225&lt;&gt;"TMS",F225&lt;&gt;"Valoración",F225&lt;&gt;"EEG",F225&lt;&gt;"Neurofeedback",F225&lt;&gt;"Fotobiomodulación",F225&lt;&gt;"Psicoterapia",F225&lt;&gt;"Otros")),"Tipo o categoría inválido",IF(COUNTA(A225:J225)=0,"",IF(OR(A225="",B225="",C225="",G225=""),"Faltan datos",IF(COUNTIF($A$7:$A$2006,A225)&gt;1,"ID duplicado",IF(OR(B225&lt;DATE(Configuración!$C$5,1,1),B225&gt;=DATE(Configuración!$C$5+1,1,1)),"Fecha fuera del año",IF(OR(G225&lt;0,H225&lt;0),"Revisar signo",IF(AND(C225&lt;&gt;"Servicio",H225&lt;&gt;0),"IVA solo en Servicio",IF(AND(C225="Servicio",F225=""),"Falta servicio","OK")))))))))</f>
        <v/>
      </c>
    </row>
    <row r="226" spans="1:12" ht="22" customHeight="1">
      <c r="A226" s="3"/>
      <c r="B226" s="7"/>
      <c r="C226" s="3"/>
      <c r="D226" s="3"/>
      <c r="E226" s="3"/>
      <c r="F226" s="3"/>
      <c r="G226" s="4"/>
      <c r="H226" s="4"/>
      <c r="I226" s="3"/>
      <c r="J226" s="3"/>
      <c r="K226" s="8" t="str">
        <f t="shared" si="3"/>
        <v/>
      </c>
      <c r="L226" s="1" t="str">
        <f>IF(COUNTA(A226:J226)=0,"",IF(OR(AND(C226&lt;&gt;"Servicio",C226&lt;&gt;"Cobro",C226&lt;&gt;"Anticipo",C226&lt;&gt;"Aplicación anticipo",C226&lt;&gt;"Retención ISR",C226&lt;&gt;"Retención IVA"),AND(C226="Servicio",F226&lt;&gt;"TMS",F226&lt;&gt;"Valoración",F226&lt;&gt;"EEG",F226&lt;&gt;"Neurofeedback",F226&lt;&gt;"Fotobiomodulación",F226&lt;&gt;"Psicoterapia",F226&lt;&gt;"Otros")),"Tipo o categoría inválido",IF(COUNTA(A226:J226)=0,"",IF(OR(A226="",B226="",C226="",G226=""),"Faltan datos",IF(COUNTIF($A$7:$A$2006,A226)&gt;1,"ID duplicado",IF(OR(B226&lt;DATE(Configuración!$C$5,1,1),B226&gt;=DATE(Configuración!$C$5+1,1,1)),"Fecha fuera del año",IF(OR(G226&lt;0,H226&lt;0),"Revisar signo",IF(AND(C226&lt;&gt;"Servicio",H226&lt;&gt;0),"IVA solo en Servicio",IF(AND(C226="Servicio",F226=""),"Falta servicio","OK")))))))))</f>
        <v/>
      </c>
    </row>
    <row r="227" spans="1:12" ht="22" customHeight="1">
      <c r="A227" s="3"/>
      <c r="B227" s="7"/>
      <c r="C227" s="3"/>
      <c r="D227" s="3"/>
      <c r="E227" s="3"/>
      <c r="F227" s="3"/>
      <c r="G227" s="4"/>
      <c r="H227" s="4"/>
      <c r="I227" s="3"/>
      <c r="J227" s="3"/>
      <c r="K227" s="8" t="str">
        <f t="shared" si="3"/>
        <v/>
      </c>
      <c r="L227" s="1" t="str">
        <f>IF(COUNTA(A227:J227)=0,"",IF(OR(AND(C227&lt;&gt;"Servicio",C227&lt;&gt;"Cobro",C227&lt;&gt;"Anticipo",C227&lt;&gt;"Aplicación anticipo",C227&lt;&gt;"Retención ISR",C227&lt;&gt;"Retención IVA"),AND(C227="Servicio",F227&lt;&gt;"TMS",F227&lt;&gt;"Valoración",F227&lt;&gt;"EEG",F227&lt;&gt;"Neurofeedback",F227&lt;&gt;"Fotobiomodulación",F227&lt;&gt;"Psicoterapia",F227&lt;&gt;"Otros")),"Tipo o categoría inválido",IF(COUNTA(A227:J227)=0,"",IF(OR(A227="",B227="",C227="",G227=""),"Faltan datos",IF(COUNTIF($A$7:$A$2006,A227)&gt;1,"ID duplicado",IF(OR(B227&lt;DATE(Configuración!$C$5,1,1),B227&gt;=DATE(Configuración!$C$5+1,1,1)),"Fecha fuera del año",IF(OR(G227&lt;0,H227&lt;0),"Revisar signo",IF(AND(C227&lt;&gt;"Servicio",H227&lt;&gt;0),"IVA solo en Servicio",IF(AND(C227="Servicio",F227=""),"Falta servicio","OK")))))))))</f>
        <v/>
      </c>
    </row>
    <row r="228" spans="1:12" ht="22" customHeight="1">
      <c r="A228" s="3"/>
      <c r="B228" s="7"/>
      <c r="C228" s="3"/>
      <c r="D228" s="3"/>
      <c r="E228" s="3"/>
      <c r="F228" s="3"/>
      <c r="G228" s="4"/>
      <c r="H228" s="4"/>
      <c r="I228" s="3"/>
      <c r="J228" s="3"/>
      <c r="K228" s="8" t="str">
        <f t="shared" si="3"/>
        <v/>
      </c>
      <c r="L228" s="1" t="str">
        <f>IF(COUNTA(A228:J228)=0,"",IF(OR(AND(C228&lt;&gt;"Servicio",C228&lt;&gt;"Cobro",C228&lt;&gt;"Anticipo",C228&lt;&gt;"Aplicación anticipo",C228&lt;&gt;"Retención ISR",C228&lt;&gt;"Retención IVA"),AND(C228="Servicio",F228&lt;&gt;"TMS",F228&lt;&gt;"Valoración",F228&lt;&gt;"EEG",F228&lt;&gt;"Neurofeedback",F228&lt;&gt;"Fotobiomodulación",F228&lt;&gt;"Psicoterapia",F228&lt;&gt;"Otros")),"Tipo o categoría inválido",IF(COUNTA(A228:J228)=0,"",IF(OR(A228="",B228="",C228="",G228=""),"Faltan datos",IF(COUNTIF($A$7:$A$2006,A228)&gt;1,"ID duplicado",IF(OR(B228&lt;DATE(Configuración!$C$5,1,1),B228&gt;=DATE(Configuración!$C$5+1,1,1)),"Fecha fuera del año",IF(OR(G228&lt;0,H228&lt;0),"Revisar signo",IF(AND(C228&lt;&gt;"Servicio",H228&lt;&gt;0),"IVA solo en Servicio",IF(AND(C228="Servicio",F228=""),"Falta servicio","OK")))))))))</f>
        <v/>
      </c>
    </row>
    <row r="229" spans="1:12" ht="22" customHeight="1">
      <c r="A229" s="3"/>
      <c r="B229" s="7"/>
      <c r="C229" s="3"/>
      <c r="D229" s="3"/>
      <c r="E229" s="3"/>
      <c r="F229" s="3"/>
      <c r="G229" s="4"/>
      <c r="H229" s="4"/>
      <c r="I229" s="3"/>
      <c r="J229" s="3"/>
      <c r="K229" s="8" t="str">
        <f t="shared" si="3"/>
        <v/>
      </c>
      <c r="L229" s="1" t="str">
        <f>IF(COUNTA(A229:J229)=0,"",IF(OR(AND(C229&lt;&gt;"Servicio",C229&lt;&gt;"Cobro",C229&lt;&gt;"Anticipo",C229&lt;&gt;"Aplicación anticipo",C229&lt;&gt;"Retención ISR",C229&lt;&gt;"Retención IVA"),AND(C229="Servicio",F229&lt;&gt;"TMS",F229&lt;&gt;"Valoración",F229&lt;&gt;"EEG",F229&lt;&gt;"Neurofeedback",F229&lt;&gt;"Fotobiomodulación",F229&lt;&gt;"Psicoterapia",F229&lt;&gt;"Otros")),"Tipo o categoría inválido",IF(COUNTA(A229:J229)=0,"",IF(OR(A229="",B229="",C229="",G229=""),"Faltan datos",IF(COUNTIF($A$7:$A$2006,A229)&gt;1,"ID duplicado",IF(OR(B229&lt;DATE(Configuración!$C$5,1,1),B229&gt;=DATE(Configuración!$C$5+1,1,1)),"Fecha fuera del año",IF(OR(G229&lt;0,H229&lt;0),"Revisar signo",IF(AND(C229&lt;&gt;"Servicio",H229&lt;&gt;0),"IVA solo en Servicio",IF(AND(C229="Servicio",F229=""),"Falta servicio","OK")))))))))</f>
        <v/>
      </c>
    </row>
    <row r="230" spans="1:12" ht="22" customHeight="1">
      <c r="A230" s="3"/>
      <c r="B230" s="7"/>
      <c r="C230" s="3"/>
      <c r="D230" s="3"/>
      <c r="E230" s="3"/>
      <c r="F230" s="3"/>
      <c r="G230" s="4"/>
      <c r="H230" s="4"/>
      <c r="I230" s="3"/>
      <c r="J230" s="3"/>
      <c r="K230" s="8" t="str">
        <f t="shared" si="3"/>
        <v/>
      </c>
      <c r="L230" s="1" t="str">
        <f>IF(COUNTA(A230:J230)=0,"",IF(OR(AND(C230&lt;&gt;"Servicio",C230&lt;&gt;"Cobro",C230&lt;&gt;"Anticipo",C230&lt;&gt;"Aplicación anticipo",C230&lt;&gt;"Retención ISR",C230&lt;&gt;"Retención IVA"),AND(C230="Servicio",F230&lt;&gt;"TMS",F230&lt;&gt;"Valoración",F230&lt;&gt;"EEG",F230&lt;&gt;"Neurofeedback",F230&lt;&gt;"Fotobiomodulación",F230&lt;&gt;"Psicoterapia",F230&lt;&gt;"Otros")),"Tipo o categoría inválido",IF(COUNTA(A230:J230)=0,"",IF(OR(A230="",B230="",C230="",G230=""),"Faltan datos",IF(COUNTIF($A$7:$A$2006,A230)&gt;1,"ID duplicado",IF(OR(B230&lt;DATE(Configuración!$C$5,1,1),B230&gt;=DATE(Configuración!$C$5+1,1,1)),"Fecha fuera del año",IF(OR(G230&lt;0,H230&lt;0),"Revisar signo",IF(AND(C230&lt;&gt;"Servicio",H230&lt;&gt;0),"IVA solo en Servicio",IF(AND(C230="Servicio",F230=""),"Falta servicio","OK")))))))))</f>
        <v/>
      </c>
    </row>
    <row r="231" spans="1:12" ht="22" customHeight="1">
      <c r="A231" s="3"/>
      <c r="B231" s="7"/>
      <c r="C231" s="3"/>
      <c r="D231" s="3"/>
      <c r="E231" s="3"/>
      <c r="F231" s="3"/>
      <c r="G231" s="4"/>
      <c r="H231" s="4"/>
      <c r="I231" s="3"/>
      <c r="J231" s="3"/>
      <c r="K231" s="8" t="str">
        <f t="shared" si="3"/>
        <v/>
      </c>
      <c r="L231" s="1" t="str">
        <f>IF(COUNTA(A231:J231)=0,"",IF(OR(AND(C231&lt;&gt;"Servicio",C231&lt;&gt;"Cobro",C231&lt;&gt;"Anticipo",C231&lt;&gt;"Aplicación anticipo",C231&lt;&gt;"Retención ISR",C231&lt;&gt;"Retención IVA"),AND(C231="Servicio",F231&lt;&gt;"TMS",F231&lt;&gt;"Valoración",F231&lt;&gt;"EEG",F231&lt;&gt;"Neurofeedback",F231&lt;&gt;"Fotobiomodulación",F231&lt;&gt;"Psicoterapia",F231&lt;&gt;"Otros")),"Tipo o categoría inválido",IF(COUNTA(A231:J231)=0,"",IF(OR(A231="",B231="",C231="",G231=""),"Faltan datos",IF(COUNTIF($A$7:$A$2006,A231)&gt;1,"ID duplicado",IF(OR(B231&lt;DATE(Configuración!$C$5,1,1),B231&gt;=DATE(Configuración!$C$5+1,1,1)),"Fecha fuera del año",IF(OR(G231&lt;0,H231&lt;0),"Revisar signo",IF(AND(C231&lt;&gt;"Servicio",H231&lt;&gt;0),"IVA solo en Servicio",IF(AND(C231="Servicio",F231=""),"Falta servicio","OK")))))))))</f>
        <v/>
      </c>
    </row>
    <row r="232" spans="1:12" ht="22" customHeight="1">
      <c r="A232" s="3"/>
      <c r="B232" s="7"/>
      <c r="C232" s="3"/>
      <c r="D232" s="3"/>
      <c r="E232" s="3"/>
      <c r="F232" s="3"/>
      <c r="G232" s="4"/>
      <c r="H232" s="4"/>
      <c r="I232" s="3"/>
      <c r="J232" s="3"/>
      <c r="K232" s="8" t="str">
        <f t="shared" si="3"/>
        <v/>
      </c>
      <c r="L232" s="1" t="str">
        <f>IF(COUNTA(A232:J232)=0,"",IF(OR(AND(C232&lt;&gt;"Servicio",C232&lt;&gt;"Cobro",C232&lt;&gt;"Anticipo",C232&lt;&gt;"Aplicación anticipo",C232&lt;&gt;"Retención ISR",C232&lt;&gt;"Retención IVA"),AND(C232="Servicio",F232&lt;&gt;"TMS",F232&lt;&gt;"Valoración",F232&lt;&gt;"EEG",F232&lt;&gt;"Neurofeedback",F232&lt;&gt;"Fotobiomodulación",F232&lt;&gt;"Psicoterapia",F232&lt;&gt;"Otros")),"Tipo o categoría inválido",IF(COUNTA(A232:J232)=0,"",IF(OR(A232="",B232="",C232="",G232=""),"Faltan datos",IF(COUNTIF($A$7:$A$2006,A232)&gt;1,"ID duplicado",IF(OR(B232&lt;DATE(Configuración!$C$5,1,1),B232&gt;=DATE(Configuración!$C$5+1,1,1)),"Fecha fuera del año",IF(OR(G232&lt;0,H232&lt;0),"Revisar signo",IF(AND(C232&lt;&gt;"Servicio",H232&lt;&gt;0),"IVA solo en Servicio",IF(AND(C232="Servicio",F232=""),"Falta servicio","OK")))))))))</f>
        <v/>
      </c>
    </row>
    <row r="233" spans="1:12" ht="22" customHeight="1">
      <c r="A233" s="3"/>
      <c r="B233" s="7"/>
      <c r="C233" s="3"/>
      <c r="D233" s="3"/>
      <c r="E233" s="3"/>
      <c r="F233" s="3"/>
      <c r="G233" s="4"/>
      <c r="H233" s="4"/>
      <c r="I233" s="3"/>
      <c r="J233" s="3"/>
      <c r="K233" s="8" t="str">
        <f t="shared" si="3"/>
        <v/>
      </c>
      <c r="L233" s="1" t="str">
        <f>IF(COUNTA(A233:J233)=0,"",IF(OR(AND(C233&lt;&gt;"Servicio",C233&lt;&gt;"Cobro",C233&lt;&gt;"Anticipo",C233&lt;&gt;"Aplicación anticipo",C233&lt;&gt;"Retención ISR",C233&lt;&gt;"Retención IVA"),AND(C233="Servicio",F233&lt;&gt;"TMS",F233&lt;&gt;"Valoración",F233&lt;&gt;"EEG",F233&lt;&gt;"Neurofeedback",F233&lt;&gt;"Fotobiomodulación",F233&lt;&gt;"Psicoterapia",F233&lt;&gt;"Otros")),"Tipo o categoría inválido",IF(COUNTA(A233:J233)=0,"",IF(OR(A233="",B233="",C233="",G233=""),"Faltan datos",IF(COUNTIF($A$7:$A$2006,A233)&gt;1,"ID duplicado",IF(OR(B233&lt;DATE(Configuración!$C$5,1,1),B233&gt;=DATE(Configuración!$C$5+1,1,1)),"Fecha fuera del año",IF(OR(G233&lt;0,H233&lt;0),"Revisar signo",IF(AND(C233&lt;&gt;"Servicio",H233&lt;&gt;0),"IVA solo en Servicio",IF(AND(C233="Servicio",F233=""),"Falta servicio","OK")))))))))</f>
        <v/>
      </c>
    </row>
    <row r="234" spans="1:12" ht="22" customHeight="1">
      <c r="A234" s="3"/>
      <c r="B234" s="7"/>
      <c r="C234" s="3"/>
      <c r="D234" s="3"/>
      <c r="E234" s="3"/>
      <c r="F234" s="3"/>
      <c r="G234" s="4"/>
      <c r="H234" s="4"/>
      <c r="I234" s="3"/>
      <c r="J234" s="3"/>
      <c r="K234" s="8" t="str">
        <f t="shared" si="3"/>
        <v/>
      </c>
      <c r="L234" s="1" t="str">
        <f>IF(COUNTA(A234:J234)=0,"",IF(OR(AND(C234&lt;&gt;"Servicio",C234&lt;&gt;"Cobro",C234&lt;&gt;"Anticipo",C234&lt;&gt;"Aplicación anticipo",C234&lt;&gt;"Retención ISR",C234&lt;&gt;"Retención IVA"),AND(C234="Servicio",F234&lt;&gt;"TMS",F234&lt;&gt;"Valoración",F234&lt;&gt;"EEG",F234&lt;&gt;"Neurofeedback",F234&lt;&gt;"Fotobiomodulación",F234&lt;&gt;"Psicoterapia",F234&lt;&gt;"Otros")),"Tipo o categoría inválido",IF(COUNTA(A234:J234)=0,"",IF(OR(A234="",B234="",C234="",G234=""),"Faltan datos",IF(COUNTIF($A$7:$A$2006,A234)&gt;1,"ID duplicado",IF(OR(B234&lt;DATE(Configuración!$C$5,1,1),B234&gt;=DATE(Configuración!$C$5+1,1,1)),"Fecha fuera del año",IF(OR(G234&lt;0,H234&lt;0),"Revisar signo",IF(AND(C234&lt;&gt;"Servicio",H234&lt;&gt;0),"IVA solo en Servicio",IF(AND(C234="Servicio",F234=""),"Falta servicio","OK")))))))))</f>
        <v/>
      </c>
    </row>
    <row r="235" spans="1:12" ht="22" customHeight="1">
      <c r="A235" s="3"/>
      <c r="B235" s="7"/>
      <c r="C235" s="3"/>
      <c r="D235" s="3"/>
      <c r="E235" s="3"/>
      <c r="F235" s="3"/>
      <c r="G235" s="4"/>
      <c r="H235" s="4"/>
      <c r="I235" s="3"/>
      <c r="J235" s="3"/>
      <c r="K235" s="8" t="str">
        <f t="shared" si="3"/>
        <v/>
      </c>
      <c r="L235" s="1" t="str">
        <f>IF(COUNTA(A235:J235)=0,"",IF(OR(AND(C235&lt;&gt;"Servicio",C235&lt;&gt;"Cobro",C235&lt;&gt;"Anticipo",C235&lt;&gt;"Aplicación anticipo",C235&lt;&gt;"Retención ISR",C235&lt;&gt;"Retención IVA"),AND(C235="Servicio",F235&lt;&gt;"TMS",F235&lt;&gt;"Valoración",F235&lt;&gt;"EEG",F235&lt;&gt;"Neurofeedback",F235&lt;&gt;"Fotobiomodulación",F235&lt;&gt;"Psicoterapia",F235&lt;&gt;"Otros")),"Tipo o categoría inválido",IF(COUNTA(A235:J235)=0,"",IF(OR(A235="",B235="",C235="",G235=""),"Faltan datos",IF(COUNTIF($A$7:$A$2006,A235)&gt;1,"ID duplicado",IF(OR(B235&lt;DATE(Configuración!$C$5,1,1),B235&gt;=DATE(Configuración!$C$5+1,1,1)),"Fecha fuera del año",IF(OR(G235&lt;0,H235&lt;0),"Revisar signo",IF(AND(C235&lt;&gt;"Servicio",H235&lt;&gt;0),"IVA solo en Servicio",IF(AND(C235="Servicio",F235=""),"Falta servicio","OK")))))))))</f>
        <v/>
      </c>
    </row>
    <row r="236" spans="1:12" ht="22" customHeight="1">
      <c r="A236" s="3"/>
      <c r="B236" s="7"/>
      <c r="C236" s="3"/>
      <c r="D236" s="3"/>
      <c r="E236" s="3"/>
      <c r="F236" s="3"/>
      <c r="G236" s="4"/>
      <c r="H236" s="4"/>
      <c r="I236" s="3"/>
      <c r="J236" s="3"/>
      <c r="K236" s="8" t="str">
        <f t="shared" si="3"/>
        <v/>
      </c>
      <c r="L236" s="1" t="str">
        <f>IF(COUNTA(A236:J236)=0,"",IF(OR(AND(C236&lt;&gt;"Servicio",C236&lt;&gt;"Cobro",C236&lt;&gt;"Anticipo",C236&lt;&gt;"Aplicación anticipo",C236&lt;&gt;"Retención ISR",C236&lt;&gt;"Retención IVA"),AND(C236="Servicio",F236&lt;&gt;"TMS",F236&lt;&gt;"Valoración",F236&lt;&gt;"EEG",F236&lt;&gt;"Neurofeedback",F236&lt;&gt;"Fotobiomodulación",F236&lt;&gt;"Psicoterapia",F236&lt;&gt;"Otros")),"Tipo o categoría inválido",IF(COUNTA(A236:J236)=0,"",IF(OR(A236="",B236="",C236="",G236=""),"Faltan datos",IF(COUNTIF($A$7:$A$2006,A236)&gt;1,"ID duplicado",IF(OR(B236&lt;DATE(Configuración!$C$5,1,1),B236&gt;=DATE(Configuración!$C$5+1,1,1)),"Fecha fuera del año",IF(OR(G236&lt;0,H236&lt;0),"Revisar signo",IF(AND(C236&lt;&gt;"Servicio",H236&lt;&gt;0),"IVA solo en Servicio",IF(AND(C236="Servicio",F236=""),"Falta servicio","OK")))))))))</f>
        <v/>
      </c>
    </row>
    <row r="237" spans="1:12" ht="22" customHeight="1">
      <c r="A237" s="3"/>
      <c r="B237" s="7"/>
      <c r="C237" s="3"/>
      <c r="D237" s="3"/>
      <c r="E237" s="3"/>
      <c r="F237" s="3"/>
      <c r="G237" s="4"/>
      <c r="H237" s="4"/>
      <c r="I237" s="3"/>
      <c r="J237" s="3"/>
      <c r="K237" s="8" t="str">
        <f t="shared" si="3"/>
        <v/>
      </c>
      <c r="L237" s="1" t="str">
        <f>IF(COUNTA(A237:J237)=0,"",IF(OR(AND(C237&lt;&gt;"Servicio",C237&lt;&gt;"Cobro",C237&lt;&gt;"Anticipo",C237&lt;&gt;"Aplicación anticipo",C237&lt;&gt;"Retención ISR",C237&lt;&gt;"Retención IVA"),AND(C237="Servicio",F237&lt;&gt;"TMS",F237&lt;&gt;"Valoración",F237&lt;&gt;"EEG",F237&lt;&gt;"Neurofeedback",F237&lt;&gt;"Fotobiomodulación",F237&lt;&gt;"Psicoterapia",F237&lt;&gt;"Otros")),"Tipo o categoría inválido",IF(COUNTA(A237:J237)=0,"",IF(OR(A237="",B237="",C237="",G237=""),"Faltan datos",IF(COUNTIF($A$7:$A$2006,A237)&gt;1,"ID duplicado",IF(OR(B237&lt;DATE(Configuración!$C$5,1,1),B237&gt;=DATE(Configuración!$C$5+1,1,1)),"Fecha fuera del año",IF(OR(G237&lt;0,H237&lt;0),"Revisar signo",IF(AND(C237&lt;&gt;"Servicio",H237&lt;&gt;0),"IVA solo en Servicio",IF(AND(C237="Servicio",F237=""),"Falta servicio","OK")))))))))</f>
        <v/>
      </c>
    </row>
    <row r="238" spans="1:12" ht="22" customHeight="1">
      <c r="A238" s="3"/>
      <c r="B238" s="7"/>
      <c r="C238" s="3"/>
      <c r="D238" s="3"/>
      <c r="E238" s="3"/>
      <c r="F238" s="3"/>
      <c r="G238" s="4"/>
      <c r="H238" s="4"/>
      <c r="I238" s="3"/>
      <c r="J238" s="3"/>
      <c r="K238" s="8" t="str">
        <f t="shared" si="3"/>
        <v/>
      </c>
      <c r="L238" s="1" t="str">
        <f>IF(COUNTA(A238:J238)=0,"",IF(OR(AND(C238&lt;&gt;"Servicio",C238&lt;&gt;"Cobro",C238&lt;&gt;"Anticipo",C238&lt;&gt;"Aplicación anticipo",C238&lt;&gt;"Retención ISR",C238&lt;&gt;"Retención IVA"),AND(C238="Servicio",F238&lt;&gt;"TMS",F238&lt;&gt;"Valoración",F238&lt;&gt;"EEG",F238&lt;&gt;"Neurofeedback",F238&lt;&gt;"Fotobiomodulación",F238&lt;&gt;"Psicoterapia",F238&lt;&gt;"Otros")),"Tipo o categoría inválido",IF(COUNTA(A238:J238)=0,"",IF(OR(A238="",B238="",C238="",G238=""),"Faltan datos",IF(COUNTIF($A$7:$A$2006,A238)&gt;1,"ID duplicado",IF(OR(B238&lt;DATE(Configuración!$C$5,1,1),B238&gt;=DATE(Configuración!$C$5+1,1,1)),"Fecha fuera del año",IF(OR(G238&lt;0,H238&lt;0),"Revisar signo",IF(AND(C238&lt;&gt;"Servicio",H238&lt;&gt;0),"IVA solo en Servicio",IF(AND(C238="Servicio",F238=""),"Falta servicio","OK")))))))))</f>
        <v/>
      </c>
    </row>
    <row r="239" spans="1:12" ht="22" customHeight="1">
      <c r="A239" s="3"/>
      <c r="B239" s="7"/>
      <c r="C239" s="3"/>
      <c r="D239" s="3"/>
      <c r="E239" s="3"/>
      <c r="F239" s="3"/>
      <c r="G239" s="4"/>
      <c r="H239" s="4"/>
      <c r="I239" s="3"/>
      <c r="J239" s="3"/>
      <c r="K239" s="8" t="str">
        <f t="shared" si="3"/>
        <v/>
      </c>
      <c r="L239" s="1" t="str">
        <f>IF(COUNTA(A239:J239)=0,"",IF(OR(AND(C239&lt;&gt;"Servicio",C239&lt;&gt;"Cobro",C239&lt;&gt;"Anticipo",C239&lt;&gt;"Aplicación anticipo",C239&lt;&gt;"Retención ISR",C239&lt;&gt;"Retención IVA"),AND(C239="Servicio",F239&lt;&gt;"TMS",F239&lt;&gt;"Valoración",F239&lt;&gt;"EEG",F239&lt;&gt;"Neurofeedback",F239&lt;&gt;"Fotobiomodulación",F239&lt;&gt;"Psicoterapia",F239&lt;&gt;"Otros")),"Tipo o categoría inválido",IF(COUNTA(A239:J239)=0,"",IF(OR(A239="",B239="",C239="",G239=""),"Faltan datos",IF(COUNTIF($A$7:$A$2006,A239)&gt;1,"ID duplicado",IF(OR(B239&lt;DATE(Configuración!$C$5,1,1),B239&gt;=DATE(Configuración!$C$5+1,1,1)),"Fecha fuera del año",IF(OR(G239&lt;0,H239&lt;0),"Revisar signo",IF(AND(C239&lt;&gt;"Servicio",H239&lt;&gt;0),"IVA solo en Servicio",IF(AND(C239="Servicio",F239=""),"Falta servicio","OK")))))))))</f>
        <v/>
      </c>
    </row>
    <row r="240" spans="1:12" ht="22" customHeight="1">
      <c r="A240" s="3"/>
      <c r="B240" s="7"/>
      <c r="C240" s="3"/>
      <c r="D240" s="3"/>
      <c r="E240" s="3"/>
      <c r="F240" s="3"/>
      <c r="G240" s="4"/>
      <c r="H240" s="4"/>
      <c r="I240" s="3"/>
      <c r="J240" s="3"/>
      <c r="K240" s="8" t="str">
        <f t="shared" si="3"/>
        <v/>
      </c>
      <c r="L240" s="1" t="str">
        <f>IF(COUNTA(A240:J240)=0,"",IF(OR(AND(C240&lt;&gt;"Servicio",C240&lt;&gt;"Cobro",C240&lt;&gt;"Anticipo",C240&lt;&gt;"Aplicación anticipo",C240&lt;&gt;"Retención ISR",C240&lt;&gt;"Retención IVA"),AND(C240="Servicio",F240&lt;&gt;"TMS",F240&lt;&gt;"Valoración",F240&lt;&gt;"EEG",F240&lt;&gt;"Neurofeedback",F240&lt;&gt;"Fotobiomodulación",F240&lt;&gt;"Psicoterapia",F240&lt;&gt;"Otros")),"Tipo o categoría inválido",IF(COUNTA(A240:J240)=0,"",IF(OR(A240="",B240="",C240="",G240=""),"Faltan datos",IF(COUNTIF($A$7:$A$2006,A240)&gt;1,"ID duplicado",IF(OR(B240&lt;DATE(Configuración!$C$5,1,1),B240&gt;=DATE(Configuración!$C$5+1,1,1)),"Fecha fuera del año",IF(OR(G240&lt;0,H240&lt;0),"Revisar signo",IF(AND(C240&lt;&gt;"Servicio",H240&lt;&gt;0),"IVA solo en Servicio",IF(AND(C240="Servicio",F240=""),"Falta servicio","OK")))))))))</f>
        <v/>
      </c>
    </row>
    <row r="241" spans="1:12" ht="22" customHeight="1">
      <c r="A241" s="3"/>
      <c r="B241" s="7"/>
      <c r="C241" s="3"/>
      <c r="D241" s="3"/>
      <c r="E241" s="3"/>
      <c r="F241" s="3"/>
      <c r="G241" s="4"/>
      <c r="H241" s="4"/>
      <c r="I241" s="3"/>
      <c r="J241" s="3"/>
      <c r="K241" s="8" t="str">
        <f t="shared" si="3"/>
        <v/>
      </c>
      <c r="L241" s="1" t="str">
        <f>IF(COUNTA(A241:J241)=0,"",IF(OR(AND(C241&lt;&gt;"Servicio",C241&lt;&gt;"Cobro",C241&lt;&gt;"Anticipo",C241&lt;&gt;"Aplicación anticipo",C241&lt;&gt;"Retención ISR",C241&lt;&gt;"Retención IVA"),AND(C241="Servicio",F241&lt;&gt;"TMS",F241&lt;&gt;"Valoración",F241&lt;&gt;"EEG",F241&lt;&gt;"Neurofeedback",F241&lt;&gt;"Fotobiomodulación",F241&lt;&gt;"Psicoterapia",F241&lt;&gt;"Otros")),"Tipo o categoría inválido",IF(COUNTA(A241:J241)=0,"",IF(OR(A241="",B241="",C241="",G241=""),"Faltan datos",IF(COUNTIF($A$7:$A$2006,A241)&gt;1,"ID duplicado",IF(OR(B241&lt;DATE(Configuración!$C$5,1,1),B241&gt;=DATE(Configuración!$C$5+1,1,1)),"Fecha fuera del año",IF(OR(G241&lt;0,H241&lt;0),"Revisar signo",IF(AND(C241&lt;&gt;"Servicio",H241&lt;&gt;0),"IVA solo en Servicio",IF(AND(C241="Servicio",F241=""),"Falta servicio","OK")))))))))</f>
        <v/>
      </c>
    </row>
    <row r="242" spans="1:12" ht="22" customHeight="1">
      <c r="A242" s="3"/>
      <c r="B242" s="7"/>
      <c r="C242" s="3"/>
      <c r="D242" s="3"/>
      <c r="E242" s="3"/>
      <c r="F242" s="3"/>
      <c r="G242" s="4"/>
      <c r="H242" s="4"/>
      <c r="I242" s="3"/>
      <c r="J242" s="3"/>
      <c r="K242" s="8" t="str">
        <f t="shared" si="3"/>
        <v/>
      </c>
      <c r="L242" s="1" t="str">
        <f>IF(COUNTA(A242:J242)=0,"",IF(OR(AND(C242&lt;&gt;"Servicio",C242&lt;&gt;"Cobro",C242&lt;&gt;"Anticipo",C242&lt;&gt;"Aplicación anticipo",C242&lt;&gt;"Retención ISR",C242&lt;&gt;"Retención IVA"),AND(C242="Servicio",F242&lt;&gt;"TMS",F242&lt;&gt;"Valoración",F242&lt;&gt;"EEG",F242&lt;&gt;"Neurofeedback",F242&lt;&gt;"Fotobiomodulación",F242&lt;&gt;"Psicoterapia",F242&lt;&gt;"Otros")),"Tipo o categoría inválido",IF(COUNTA(A242:J242)=0,"",IF(OR(A242="",B242="",C242="",G242=""),"Faltan datos",IF(COUNTIF($A$7:$A$2006,A242)&gt;1,"ID duplicado",IF(OR(B242&lt;DATE(Configuración!$C$5,1,1),B242&gt;=DATE(Configuración!$C$5+1,1,1)),"Fecha fuera del año",IF(OR(G242&lt;0,H242&lt;0),"Revisar signo",IF(AND(C242&lt;&gt;"Servicio",H242&lt;&gt;0),"IVA solo en Servicio",IF(AND(C242="Servicio",F242=""),"Falta servicio","OK")))))))))</f>
        <v/>
      </c>
    </row>
    <row r="243" spans="1:12" ht="22" customHeight="1">
      <c r="A243" s="3"/>
      <c r="B243" s="7"/>
      <c r="C243" s="3"/>
      <c r="D243" s="3"/>
      <c r="E243" s="3"/>
      <c r="F243" s="3"/>
      <c r="G243" s="4"/>
      <c r="H243" s="4"/>
      <c r="I243" s="3"/>
      <c r="J243" s="3"/>
      <c r="K243" s="8" t="str">
        <f t="shared" si="3"/>
        <v/>
      </c>
      <c r="L243" s="1" t="str">
        <f>IF(COUNTA(A243:J243)=0,"",IF(OR(AND(C243&lt;&gt;"Servicio",C243&lt;&gt;"Cobro",C243&lt;&gt;"Anticipo",C243&lt;&gt;"Aplicación anticipo",C243&lt;&gt;"Retención ISR",C243&lt;&gt;"Retención IVA"),AND(C243="Servicio",F243&lt;&gt;"TMS",F243&lt;&gt;"Valoración",F243&lt;&gt;"EEG",F243&lt;&gt;"Neurofeedback",F243&lt;&gt;"Fotobiomodulación",F243&lt;&gt;"Psicoterapia",F243&lt;&gt;"Otros")),"Tipo o categoría inválido",IF(COUNTA(A243:J243)=0,"",IF(OR(A243="",B243="",C243="",G243=""),"Faltan datos",IF(COUNTIF($A$7:$A$2006,A243)&gt;1,"ID duplicado",IF(OR(B243&lt;DATE(Configuración!$C$5,1,1),B243&gt;=DATE(Configuración!$C$5+1,1,1)),"Fecha fuera del año",IF(OR(G243&lt;0,H243&lt;0),"Revisar signo",IF(AND(C243&lt;&gt;"Servicio",H243&lt;&gt;0),"IVA solo en Servicio",IF(AND(C243="Servicio",F243=""),"Falta servicio","OK")))))))))</f>
        <v/>
      </c>
    </row>
    <row r="244" spans="1:12" ht="22" customHeight="1">
      <c r="A244" s="3"/>
      <c r="B244" s="7"/>
      <c r="C244" s="3"/>
      <c r="D244" s="3"/>
      <c r="E244" s="3"/>
      <c r="F244" s="3"/>
      <c r="G244" s="4"/>
      <c r="H244" s="4"/>
      <c r="I244" s="3"/>
      <c r="J244" s="3"/>
      <c r="K244" s="8" t="str">
        <f t="shared" si="3"/>
        <v/>
      </c>
      <c r="L244" s="1" t="str">
        <f>IF(COUNTA(A244:J244)=0,"",IF(OR(AND(C244&lt;&gt;"Servicio",C244&lt;&gt;"Cobro",C244&lt;&gt;"Anticipo",C244&lt;&gt;"Aplicación anticipo",C244&lt;&gt;"Retención ISR",C244&lt;&gt;"Retención IVA"),AND(C244="Servicio",F244&lt;&gt;"TMS",F244&lt;&gt;"Valoración",F244&lt;&gt;"EEG",F244&lt;&gt;"Neurofeedback",F244&lt;&gt;"Fotobiomodulación",F244&lt;&gt;"Psicoterapia",F244&lt;&gt;"Otros")),"Tipo o categoría inválido",IF(COUNTA(A244:J244)=0,"",IF(OR(A244="",B244="",C244="",G244=""),"Faltan datos",IF(COUNTIF($A$7:$A$2006,A244)&gt;1,"ID duplicado",IF(OR(B244&lt;DATE(Configuración!$C$5,1,1),B244&gt;=DATE(Configuración!$C$5+1,1,1)),"Fecha fuera del año",IF(OR(G244&lt;0,H244&lt;0),"Revisar signo",IF(AND(C244&lt;&gt;"Servicio",H244&lt;&gt;0),"IVA solo en Servicio",IF(AND(C244="Servicio",F244=""),"Falta servicio","OK")))))))))</f>
        <v/>
      </c>
    </row>
    <row r="245" spans="1:12" ht="22" customHeight="1">
      <c r="A245" s="3"/>
      <c r="B245" s="7"/>
      <c r="C245" s="3"/>
      <c r="D245" s="3"/>
      <c r="E245" s="3"/>
      <c r="F245" s="3"/>
      <c r="G245" s="4"/>
      <c r="H245" s="4"/>
      <c r="I245" s="3"/>
      <c r="J245" s="3"/>
      <c r="K245" s="8" t="str">
        <f t="shared" si="3"/>
        <v/>
      </c>
      <c r="L245" s="1" t="str">
        <f>IF(COUNTA(A245:J245)=0,"",IF(OR(AND(C245&lt;&gt;"Servicio",C245&lt;&gt;"Cobro",C245&lt;&gt;"Anticipo",C245&lt;&gt;"Aplicación anticipo",C245&lt;&gt;"Retención ISR",C245&lt;&gt;"Retención IVA"),AND(C245="Servicio",F245&lt;&gt;"TMS",F245&lt;&gt;"Valoración",F245&lt;&gt;"EEG",F245&lt;&gt;"Neurofeedback",F245&lt;&gt;"Fotobiomodulación",F245&lt;&gt;"Psicoterapia",F245&lt;&gt;"Otros")),"Tipo o categoría inválido",IF(COUNTA(A245:J245)=0,"",IF(OR(A245="",B245="",C245="",G245=""),"Faltan datos",IF(COUNTIF($A$7:$A$2006,A245)&gt;1,"ID duplicado",IF(OR(B245&lt;DATE(Configuración!$C$5,1,1),B245&gt;=DATE(Configuración!$C$5+1,1,1)),"Fecha fuera del año",IF(OR(G245&lt;0,H245&lt;0),"Revisar signo",IF(AND(C245&lt;&gt;"Servicio",H245&lt;&gt;0),"IVA solo en Servicio",IF(AND(C245="Servicio",F245=""),"Falta servicio","OK")))))))))</f>
        <v/>
      </c>
    </row>
    <row r="246" spans="1:12" ht="22" customHeight="1">
      <c r="A246" s="3"/>
      <c r="B246" s="7"/>
      <c r="C246" s="3"/>
      <c r="D246" s="3"/>
      <c r="E246" s="3"/>
      <c r="F246" s="3"/>
      <c r="G246" s="4"/>
      <c r="H246" s="4"/>
      <c r="I246" s="3"/>
      <c r="J246" s="3"/>
      <c r="K246" s="8" t="str">
        <f t="shared" si="3"/>
        <v/>
      </c>
      <c r="L246" s="1" t="str">
        <f>IF(COUNTA(A246:J246)=0,"",IF(OR(AND(C246&lt;&gt;"Servicio",C246&lt;&gt;"Cobro",C246&lt;&gt;"Anticipo",C246&lt;&gt;"Aplicación anticipo",C246&lt;&gt;"Retención ISR",C246&lt;&gt;"Retención IVA"),AND(C246="Servicio",F246&lt;&gt;"TMS",F246&lt;&gt;"Valoración",F246&lt;&gt;"EEG",F246&lt;&gt;"Neurofeedback",F246&lt;&gt;"Fotobiomodulación",F246&lt;&gt;"Psicoterapia",F246&lt;&gt;"Otros")),"Tipo o categoría inválido",IF(COUNTA(A246:J246)=0,"",IF(OR(A246="",B246="",C246="",G246=""),"Faltan datos",IF(COUNTIF($A$7:$A$2006,A246)&gt;1,"ID duplicado",IF(OR(B246&lt;DATE(Configuración!$C$5,1,1),B246&gt;=DATE(Configuración!$C$5+1,1,1)),"Fecha fuera del año",IF(OR(G246&lt;0,H246&lt;0),"Revisar signo",IF(AND(C246&lt;&gt;"Servicio",H246&lt;&gt;0),"IVA solo en Servicio",IF(AND(C246="Servicio",F246=""),"Falta servicio","OK")))))))))</f>
        <v/>
      </c>
    </row>
    <row r="247" spans="1:12" ht="22" customHeight="1">
      <c r="A247" s="3"/>
      <c r="B247" s="7"/>
      <c r="C247" s="3"/>
      <c r="D247" s="3"/>
      <c r="E247" s="3"/>
      <c r="F247" s="3"/>
      <c r="G247" s="4"/>
      <c r="H247" s="4"/>
      <c r="I247" s="3"/>
      <c r="J247" s="3"/>
      <c r="K247" s="8" t="str">
        <f t="shared" si="3"/>
        <v/>
      </c>
      <c r="L247" s="1" t="str">
        <f>IF(COUNTA(A247:J247)=0,"",IF(OR(AND(C247&lt;&gt;"Servicio",C247&lt;&gt;"Cobro",C247&lt;&gt;"Anticipo",C247&lt;&gt;"Aplicación anticipo",C247&lt;&gt;"Retención ISR",C247&lt;&gt;"Retención IVA"),AND(C247="Servicio",F247&lt;&gt;"TMS",F247&lt;&gt;"Valoración",F247&lt;&gt;"EEG",F247&lt;&gt;"Neurofeedback",F247&lt;&gt;"Fotobiomodulación",F247&lt;&gt;"Psicoterapia",F247&lt;&gt;"Otros")),"Tipo o categoría inválido",IF(COUNTA(A247:J247)=0,"",IF(OR(A247="",B247="",C247="",G247=""),"Faltan datos",IF(COUNTIF($A$7:$A$2006,A247)&gt;1,"ID duplicado",IF(OR(B247&lt;DATE(Configuración!$C$5,1,1),B247&gt;=DATE(Configuración!$C$5+1,1,1)),"Fecha fuera del año",IF(OR(G247&lt;0,H247&lt;0),"Revisar signo",IF(AND(C247&lt;&gt;"Servicio",H247&lt;&gt;0),"IVA solo en Servicio",IF(AND(C247="Servicio",F247=""),"Falta servicio","OK")))))))))</f>
        <v/>
      </c>
    </row>
    <row r="248" spans="1:12" ht="22" customHeight="1">
      <c r="A248" s="3"/>
      <c r="B248" s="7"/>
      <c r="C248" s="3"/>
      <c r="D248" s="3"/>
      <c r="E248" s="3"/>
      <c r="F248" s="3"/>
      <c r="G248" s="4"/>
      <c r="H248" s="4"/>
      <c r="I248" s="3"/>
      <c r="J248" s="3"/>
      <c r="K248" s="8" t="str">
        <f t="shared" si="3"/>
        <v/>
      </c>
      <c r="L248" s="1" t="str">
        <f>IF(COUNTA(A248:J248)=0,"",IF(OR(AND(C248&lt;&gt;"Servicio",C248&lt;&gt;"Cobro",C248&lt;&gt;"Anticipo",C248&lt;&gt;"Aplicación anticipo",C248&lt;&gt;"Retención ISR",C248&lt;&gt;"Retención IVA"),AND(C248="Servicio",F248&lt;&gt;"TMS",F248&lt;&gt;"Valoración",F248&lt;&gt;"EEG",F248&lt;&gt;"Neurofeedback",F248&lt;&gt;"Fotobiomodulación",F248&lt;&gt;"Psicoterapia",F248&lt;&gt;"Otros")),"Tipo o categoría inválido",IF(COUNTA(A248:J248)=0,"",IF(OR(A248="",B248="",C248="",G248=""),"Faltan datos",IF(COUNTIF($A$7:$A$2006,A248)&gt;1,"ID duplicado",IF(OR(B248&lt;DATE(Configuración!$C$5,1,1),B248&gt;=DATE(Configuración!$C$5+1,1,1)),"Fecha fuera del año",IF(OR(G248&lt;0,H248&lt;0),"Revisar signo",IF(AND(C248&lt;&gt;"Servicio",H248&lt;&gt;0),"IVA solo en Servicio",IF(AND(C248="Servicio",F248=""),"Falta servicio","OK")))))))))</f>
        <v/>
      </c>
    </row>
    <row r="249" spans="1:12" ht="22" customHeight="1">
      <c r="A249" s="3"/>
      <c r="B249" s="7"/>
      <c r="C249" s="3"/>
      <c r="D249" s="3"/>
      <c r="E249" s="3"/>
      <c r="F249" s="3"/>
      <c r="G249" s="4"/>
      <c r="H249" s="4"/>
      <c r="I249" s="3"/>
      <c r="J249" s="3"/>
      <c r="K249" s="8" t="str">
        <f t="shared" si="3"/>
        <v/>
      </c>
      <c r="L249" s="1" t="str">
        <f>IF(COUNTA(A249:J249)=0,"",IF(OR(AND(C249&lt;&gt;"Servicio",C249&lt;&gt;"Cobro",C249&lt;&gt;"Anticipo",C249&lt;&gt;"Aplicación anticipo",C249&lt;&gt;"Retención ISR",C249&lt;&gt;"Retención IVA"),AND(C249="Servicio",F249&lt;&gt;"TMS",F249&lt;&gt;"Valoración",F249&lt;&gt;"EEG",F249&lt;&gt;"Neurofeedback",F249&lt;&gt;"Fotobiomodulación",F249&lt;&gt;"Psicoterapia",F249&lt;&gt;"Otros")),"Tipo o categoría inválido",IF(COUNTA(A249:J249)=0,"",IF(OR(A249="",B249="",C249="",G249=""),"Faltan datos",IF(COUNTIF($A$7:$A$2006,A249)&gt;1,"ID duplicado",IF(OR(B249&lt;DATE(Configuración!$C$5,1,1),B249&gt;=DATE(Configuración!$C$5+1,1,1)),"Fecha fuera del año",IF(OR(G249&lt;0,H249&lt;0),"Revisar signo",IF(AND(C249&lt;&gt;"Servicio",H249&lt;&gt;0),"IVA solo en Servicio",IF(AND(C249="Servicio",F249=""),"Falta servicio","OK")))))))))</f>
        <v/>
      </c>
    </row>
    <row r="250" spans="1:12" ht="22" customHeight="1">
      <c r="A250" s="3"/>
      <c r="B250" s="7"/>
      <c r="C250" s="3"/>
      <c r="D250" s="3"/>
      <c r="E250" s="3"/>
      <c r="F250" s="3"/>
      <c r="G250" s="4"/>
      <c r="H250" s="4"/>
      <c r="I250" s="3"/>
      <c r="J250" s="3"/>
      <c r="K250" s="8" t="str">
        <f t="shared" si="3"/>
        <v/>
      </c>
      <c r="L250" s="1" t="str">
        <f>IF(COUNTA(A250:J250)=0,"",IF(OR(AND(C250&lt;&gt;"Servicio",C250&lt;&gt;"Cobro",C250&lt;&gt;"Anticipo",C250&lt;&gt;"Aplicación anticipo",C250&lt;&gt;"Retención ISR",C250&lt;&gt;"Retención IVA"),AND(C250="Servicio",F250&lt;&gt;"TMS",F250&lt;&gt;"Valoración",F250&lt;&gt;"EEG",F250&lt;&gt;"Neurofeedback",F250&lt;&gt;"Fotobiomodulación",F250&lt;&gt;"Psicoterapia",F250&lt;&gt;"Otros")),"Tipo o categoría inválido",IF(COUNTA(A250:J250)=0,"",IF(OR(A250="",B250="",C250="",G250=""),"Faltan datos",IF(COUNTIF($A$7:$A$2006,A250)&gt;1,"ID duplicado",IF(OR(B250&lt;DATE(Configuración!$C$5,1,1),B250&gt;=DATE(Configuración!$C$5+1,1,1)),"Fecha fuera del año",IF(OR(G250&lt;0,H250&lt;0),"Revisar signo",IF(AND(C250&lt;&gt;"Servicio",H250&lt;&gt;0),"IVA solo en Servicio",IF(AND(C250="Servicio",F250=""),"Falta servicio","OK")))))))))</f>
        <v/>
      </c>
    </row>
    <row r="251" spans="1:12" ht="22" customHeight="1">
      <c r="A251" s="3"/>
      <c r="B251" s="7"/>
      <c r="C251" s="3"/>
      <c r="D251" s="3"/>
      <c r="E251" s="3"/>
      <c r="F251" s="3"/>
      <c r="G251" s="4"/>
      <c r="H251" s="4"/>
      <c r="I251" s="3"/>
      <c r="J251" s="3"/>
      <c r="K251" s="8" t="str">
        <f t="shared" si="3"/>
        <v/>
      </c>
      <c r="L251" s="1" t="str">
        <f>IF(COUNTA(A251:J251)=0,"",IF(OR(AND(C251&lt;&gt;"Servicio",C251&lt;&gt;"Cobro",C251&lt;&gt;"Anticipo",C251&lt;&gt;"Aplicación anticipo",C251&lt;&gt;"Retención ISR",C251&lt;&gt;"Retención IVA"),AND(C251="Servicio",F251&lt;&gt;"TMS",F251&lt;&gt;"Valoración",F251&lt;&gt;"EEG",F251&lt;&gt;"Neurofeedback",F251&lt;&gt;"Fotobiomodulación",F251&lt;&gt;"Psicoterapia",F251&lt;&gt;"Otros")),"Tipo o categoría inválido",IF(COUNTA(A251:J251)=0,"",IF(OR(A251="",B251="",C251="",G251=""),"Faltan datos",IF(COUNTIF($A$7:$A$2006,A251)&gt;1,"ID duplicado",IF(OR(B251&lt;DATE(Configuración!$C$5,1,1),B251&gt;=DATE(Configuración!$C$5+1,1,1)),"Fecha fuera del año",IF(OR(G251&lt;0,H251&lt;0),"Revisar signo",IF(AND(C251&lt;&gt;"Servicio",H251&lt;&gt;0),"IVA solo en Servicio",IF(AND(C251="Servicio",F251=""),"Falta servicio","OK")))))))))</f>
        <v/>
      </c>
    </row>
    <row r="252" spans="1:12" ht="22" customHeight="1">
      <c r="A252" s="3"/>
      <c r="B252" s="7"/>
      <c r="C252" s="3"/>
      <c r="D252" s="3"/>
      <c r="E252" s="3"/>
      <c r="F252" s="3"/>
      <c r="G252" s="4"/>
      <c r="H252" s="4"/>
      <c r="I252" s="3"/>
      <c r="J252" s="3"/>
      <c r="K252" s="8" t="str">
        <f t="shared" si="3"/>
        <v/>
      </c>
      <c r="L252" s="1" t="str">
        <f>IF(COUNTA(A252:J252)=0,"",IF(OR(AND(C252&lt;&gt;"Servicio",C252&lt;&gt;"Cobro",C252&lt;&gt;"Anticipo",C252&lt;&gt;"Aplicación anticipo",C252&lt;&gt;"Retención ISR",C252&lt;&gt;"Retención IVA"),AND(C252="Servicio",F252&lt;&gt;"TMS",F252&lt;&gt;"Valoración",F252&lt;&gt;"EEG",F252&lt;&gt;"Neurofeedback",F252&lt;&gt;"Fotobiomodulación",F252&lt;&gt;"Psicoterapia",F252&lt;&gt;"Otros")),"Tipo o categoría inválido",IF(COUNTA(A252:J252)=0,"",IF(OR(A252="",B252="",C252="",G252=""),"Faltan datos",IF(COUNTIF($A$7:$A$2006,A252)&gt;1,"ID duplicado",IF(OR(B252&lt;DATE(Configuración!$C$5,1,1),B252&gt;=DATE(Configuración!$C$5+1,1,1)),"Fecha fuera del año",IF(OR(G252&lt;0,H252&lt;0),"Revisar signo",IF(AND(C252&lt;&gt;"Servicio",H252&lt;&gt;0),"IVA solo en Servicio",IF(AND(C252="Servicio",F252=""),"Falta servicio","OK")))))))))</f>
        <v/>
      </c>
    </row>
    <row r="253" spans="1:12" ht="22" customHeight="1">
      <c r="A253" s="3"/>
      <c r="B253" s="7"/>
      <c r="C253" s="3"/>
      <c r="D253" s="3"/>
      <c r="E253" s="3"/>
      <c r="F253" s="3"/>
      <c r="G253" s="4"/>
      <c r="H253" s="4"/>
      <c r="I253" s="3"/>
      <c r="J253" s="3"/>
      <c r="K253" s="8" t="str">
        <f t="shared" si="3"/>
        <v/>
      </c>
      <c r="L253" s="1" t="str">
        <f>IF(COUNTA(A253:J253)=0,"",IF(OR(AND(C253&lt;&gt;"Servicio",C253&lt;&gt;"Cobro",C253&lt;&gt;"Anticipo",C253&lt;&gt;"Aplicación anticipo",C253&lt;&gt;"Retención ISR",C253&lt;&gt;"Retención IVA"),AND(C253="Servicio",F253&lt;&gt;"TMS",F253&lt;&gt;"Valoración",F253&lt;&gt;"EEG",F253&lt;&gt;"Neurofeedback",F253&lt;&gt;"Fotobiomodulación",F253&lt;&gt;"Psicoterapia",F253&lt;&gt;"Otros")),"Tipo o categoría inválido",IF(COUNTA(A253:J253)=0,"",IF(OR(A253="",B253="",C253="",G253=""),"Faltan datos",IF(COUNTIF($A$7:$A$2006,A253)&gt;1,"ID duplicado",IF(OR(B253&lt;DATE(Configuración!$C$5,1,1),B253&gt;=DATE(Configuración!$C$5+1,1,1)),"Fecha fuera del año",IF(OR(G253&lt;0,H253&lt;0),"Revisar signo",IF(AND(C253&lt;&gt;"Servicio",H253&lt;&gt;0),"IVA solo en Servicio",IF(AND(C253="Servicio",F253=""),"Falta servicio","OK")))))))))</f>
        <v/>
      </c>
    </row>
    <row r="254" spans="1:12" ht="22" customHeight="1">
      <c r="A254" s="3"/>
      <c r="B254" s="7"/>
      <c r="C254" s="3"/>
      <c r="D254" s="3"/>
      <c r="E254" s="3"/>
      <c r="F254" s="3"/>
      <c r="G254" s="4"/>
      <c r="H254" s="4"/>
      <c r="I254" s="3"/>
      <c r="J254" s="3"/>
      <c r="K254" s="8" t="str">
        <f t="shared" si="3"/>
        <v/>
      </c>
      <c r="L254" s="1" t="str">
        <f>IF(COUNTA(A254:J254)=0,"",IF(OR(AND(C254&lt;&gt;"Servicio",C254&lt;&gt;"Cobro",C254&lt;&gt;"Anticipo",C254&lt;&gt;"Aplicación anticipo",C254&lt;&gt;"Retención ISR",C254&lt;&gt;"Retención IVA"),AND(C254="Servicio",F254&lt;&gt;"TMS",F254&lt;&gt;"Valoración",F254&lt;&gt;"EEG",F254&lt;&gt;"Neurofeedback",F254&lt;&gt;"Fotobiomodulación",F254&lt;&gt;"Psicoterapia",F254&lt;&gt;"Otros")),"Tipo o categoría inválido",IF(COUNTA(A254:J254)=0,"",IF(OR(A254="",B254="",C254="",G254=""),"Faltan datos",IF(COUNTIF($A$7:$A$2006,A254)&gt;1,"ID duplicado",IF(OR(B254&lt;DATE(Configuración!$C$5,1,1),B254&gt;=DATE(Configuración!$C$5+1,1,1)),"Fecha fuera del año",IF(OR(G254&lt;0,H254&lt;0),"Revisar signo",IF(AND(C254&lt;&gt;"Servicio",H254&lt;&gt;0),"IVA solo en Servicio",IF(AND(C254="Servicio",F254=""),"Falta servicio","OK")))))))))</f>
        <v/>
      </c>
    </row>
    <row r="255" spans="1:12" ht="22" customHeight="1">
      <c r="A255" s="3"/>
      <c r="B255" s="7"/>
      <c r="C255" s="3"/>
      <c r="D255" s="3"/>
      <c r="E255" s="3"/>
      <c r="F255" s="3"/>
      <c r="G255" s="4"/>
      <c r="H255" s="4"/>
      <c r="I255" s="3"/>
      <c r="J255" s="3"/>
      <c r="K255" s="8" t="str">
        <f t="shared" si="3"/>
        <v/>
      </c>
      <c r="L255" s="1" t="str">
        <f>IF(COUNTA(A255:J255)=0,"",IF(OR(AND(C255&lt;&gt;"Servicio",C255&lt;&gt;"Cobro",C255&lt;&gt;"Anticipo",C255&lt;&gt;"Aplicación anticipo",C255&lt;&gt;"Retención ISR",C255&lt;&gt;"Retención IVA"),AND(C255="Servicio",F255&lt;&gt;"TMS",F255&lt;&gt;"Valoración",F255&lt;&gt;"EEG",F255&lt;&gt;"Neurofeedback",F255&lt;&gt;"Fotobiomodulación",F255&lt;&gt;"Psicoterapia",F255&lt;&gt;"Otros")),"Tipo o categoría inválido",IF(COUNTA(A255:J255)=0,"",IF(OR(A255="",B255="",C255="",G255=""),"Faltan datos",IF(COUNTIF($A$7:$A$2006,A255)&gt;1,"ID duplicado",IF(OR(B255&lt;DATE(Configuración!$C$5,1,1),B255&gt;=DATE(Configuración!$C$5+1,1,1)),"Fecha fuera del año",IF(OR(G255&lt;0,H255&lt;0),"Revisar signo",IF(AND(C255&lt;&gt;"Servicio",H255&lt;&gt;0),"IVA solo en Servicio",IF(AND(C255="Servicio",F255=""),"Falta servicio","OK")))))))))</f>
        <v/>
      </c>
    </row>
    <row r="256" spans="1:12" ht="22" customHeight="1">
      <c r="A256" s="3"/>
      <c r="B256" s="7"/>
      <c r="C256" s="3"/>
      <c r="D256" s="3"/>
      <c r="E256" s="3"/>
      <c r="F256" s="3"/>
      <c r="G256" s="4"/>
      <c r="H256" s="4"/>
      <c r="I256" s="3"/>
      <c r="J256" s="3"/>
      <c r="K256" s="8" t="str">
        <f t="shared" si="3"/>
        <v/>
      </c>
      <c r="L256" s="1" t="str">
        <f>IF(COUNTA(A256:J256)=0,"",IF(OR(AND(C256&lt;&gt;"Servicio",C256&lt;&gt;"Cobro",C256&lt;&gt;"Anticipo",C256&lt;&gt;"Aplicación anticipo",C256&lt;&gt;"Retención ISR",C256&lt;&gt;"Retención IVA"),AND(C256="Servicio",F256&lt;&gt;"TMS",F256&lt;&gt;"Valoración",F256&lt;&gt;"EEG",F256&lt;&gt;"Neurofeedback",F256&lt;&gt;"Fotobiomodulación",F256&lt;&gt;"Psicoterapia",F256&lt;&gt;"Otros")),"Tipo o categoría inválido",IF(COUNTA(A256:J256)=0,"",IF(OR(A256="",B256="",C256="",G256=""),"Faltan datos",IF(COUNTIF($A$7:$A$2006,A256)&gt;1,"ID duplicado",IF(OR(B256&lt;DATE(Configuración!$C$5,1,1),B256&gt;=DATE(Configuración!$C$5+1,1,1)),"Fecha fuera del año",IF(OR(G256&lt;0,H256&lt;0),"Revisar signo",IF(AND(C256&lt;&gt;"Servicio",H256&lt;&gt;0),"IVA solo en Servicio",IF(AND(C256="Servicio",F256=""),"Falta servicio","OK")))))))))</f>
        <v/>
      </c>
    </row>
    <row r="257" spans="1:12" ht="22" customHeight="1">
      <c r="A257" s="3"/>
      <c r="B257" s="7"/>
      <c r="C257" s="3"/>
      <c r="D257" s="3"/>
      <c r="E257" s="3"/>
      <c r="F257" s="3"/>
      <c r="G257" s="4"/>
      <c r="H257" s="4"/>
      <c r="I257" s="3"/>
      <c r="J257" s="3"/>
      <c r="K257" s="8" t="str">
        <f t="shared" si="3"/>
        <v/>
      </c>
      <c r="L257" s="1" t="str">
        <f>IF(COUNTA(A257:J257)=0,"",IF(OR(AND(C257&lt;&gt;"Servicio",C257&lt;&gt;"Cobro",C257&lt;&gt;"Anticipo",C257&lt;&gt;"Aplicación anticipo",C257&lt;&gt;"Retención ISR",C257&lt;&gt;"Retención IVA"),AND(C257="Servicio",F257&lt;&gt;"TMS",F257&lt;&gt;"Valoración",F257&lt;&gt;"EEG",F257&lt;&gt;"Neurofeedback",F257&lt;&gt;"Fotobiomodulación",F257&lt;&gt;"Psicoterapia",F257&lt;&gt;"Otros")),"Tipo o categoría inválido",IF(COUNTA(A257:J257)=0,"",IF(OR(A257="",B257="",C257="",G257=""),"Faltan datos",IF(COUNTIF($A$7:$A$2006,A257)&gt;1,"ID duplicado",IF(OR(B257&lt;DATE(Configuración!$C$5,1,1),B257&gt;=DATE(Configuración!$C$5+1,1,1)),"Fecha fuera del año",IF(OR(G257&lt;0,H257&lt;0),"Revisar signo",IF(AND(C257&lt;&gt;"Servicio",H257&lt;&gt;0),"IVA solo en Servicio",IF(AND(C257="Servicio",F257=""),"Falta servicio","OK")))))))))</f>
        <v/>
      </c>
    </row>
    <row r="258" spans="1:12" ht="22" customHeight="1">
      <c r="A258" s="3"/>
      <c r="B258" s="7"/>
      <c r="C258" s="3"/>
      <c r="D258" s="3"/>
      <c r="E258" s="3"/>
      <c r="F258" s="3"/>
      <c r="G258" s="4"/>
      <c r="H258" s="4"/>
      <c r="I258" s="3"/>
      <c r="J258" s="3"/>
      <c r="K258" s="8" t="str">
        <f t="shared" si="3"/>
        <v/>
      </c>
      <c r="L258" s="1" t="str">
        <f>IF(COUNTA(A258:J258)=0,"",IF(OR(AND(C258&lt;&gt;"Servicio",C258&lt;&gt;"Cobro",C258&lt;&gt;"Anticipo",C258&lt;&gt;"Aplicación anticipo",C258&lt;&gt;"Retención ISR",C258&lt;&gt;"Retención IVA"),AND(C258="Servicio",F258&lt;&gt;"TMS",F258&lt;&gt;"Valoración",F258&lt;&gt;"EEG",F258&lt;&gt;"Neurofeedback",F258&lt;&gt;"Fotobiomodulación",F258&lt;&gt;"Psicoterapia",F258&lt;&gt;"Otros")),"Tipo o categoría inválido",IF(COUNTA(A258:J258)=0,"",IF(OR(A258="",B258="",C258="",G258=""),"Faltan datos",IF(COUNTIF($A$7:$A$2006,A258)&gt;1,"ID duplicado",IF(OR(B258&lt;DATE(Configuración!$C$5,1,1),B258&gt;=DATE(Configuración!$C$5+1,1,1)),"Fecha fuera del año",IF(OR(G258&lt;0,H258&lt;0),"Revisar signo",IF(AND(C258&lt;&gt;"Servicio",H258&lt;&gt;0),"IVA solo en Servicio",IF(AND(C258="Servicio",F258=""),"Falta servicio","OK")))))))))</f>
        <v/>
      </c>
    </row>
    <row r="259" spans="1:12" ht="22" customHeight="1">
      <c r="A259" s="3"/>
      <c r="B259" s="7"/>
      <c r="C259" s="3"/>
      <c r="D259" s="3"/>
      <c r="E259" s="3"/>
      <c r="F259" s="3"/>
      <c r="G259" s="4"/>
      <c r="H259" s="4"/>
      <c r="I259" s="3"/>
      <c r="J259" s="3"/>
      <c r="K259" s="8" t="str">
        <f t="shared" si="3"/>
        <v/>
      </c>
      <c r="L259" s="1" t="str">
        <f>IF(COUNTA(A259:J259)=0,"",IF(OR(AND(C259&lt;&gt;"Servicio",C259&lt;&gt;"Cobro",C259&lt;&gt;"Anticipo",C259&lt;&gt;"Aplicación anticipo",C259&lt;&gt;"Retención ISR",C259&lt;&gt;"Retención IVA"),AND(C259="Servicio",F259&lt;&gt;"TMS",F259&lt;&gt;"Valoración",F259&lt;&gt;"EEG",F259&lt;&gt;"Neurofeedback",F259&lt;&gt;"Fotobiomodulación",F259&lt;&gt;"Psicoterapia",F259&lt;&gt;"Otros")),"Tipo o categoría inválido",IF(COUNTA(A259:J259)=0,"",IF(OR(A259="",B259="",C259="",G259=""),"Faltan datos",IF(COUNTIF($A$7:$A$2006,A259)&gt;1,"ID duplicado",IF(OR(B259&lt;DATE(Configuración!$C$5,1,1),B259&gt;=DATE(Configuración!$C$5+1,1,1)),"Fecha fuera del año",IF(OR(G259&lt;0,H259&lt;0),"Revisar signo",IF(AND(C259&lt;&gt;"Servicio",H259&lt;&gt;0),"IVA solo en Servicio",IF(AND(C259="Servicio",F259=""),"Falta servicio","OK")))))))))</f>
        <v/>
      </c>
    </row>
    <row r="260" spans="1:12" ht="22" customHeight="1">
      <c r="A260" s="3"/>
      <c r="B260" s="7"/>
      <c r="C260" s="3"/>
      <c r="D260" s="3"/>
      <c r="E260" s="3"/>
      <c r="F260" s="3"/>
      <c r="G260" s="4"/>
      <c r="H260" s="4"/>
      <c r="I260" s="3"/>
      <c r="J260" s="3"/>
      <c r="K260" s="8" t="str">
        <f t="shared" si="3"/>
        <v/>
      </c>
      <c r="L260" s="1" t="str">
        <f>IF(COUNTA(A260:J260)=0,"",IF(OR(AND(C260&lt;&gt;"Servicio",C260&lt;&gt;"Cobro",C260&lt;&gt;"Anticipo",C260&lt;&gt;"Aplicación anticipo",C260&lt;&gt;"Retención ISR",C260&lt;&gt;"Retención IVA"),AND(C260="Servicio",F260&lt;&gt;"TMS",F260&lt;&gt;"Valoración",F260&lt;&gt;"EEG",F260&lt;&gt;"Neurofeedback",F260&lt;&gt;"Fotobiomodulación",F260&lt;&gt;"Psicoterapia",F260&lt;&gt;"Otros")),"Tipo o categoría inválido",IF(COUNTA(A260:J260)=0,"",IF(OR(A260="",B260="",C260="",G260=""),"Faltan datos",IF(COUNTIF($A$7:$A$2006,A260)&gt;1,"ID duplicado",IF(OR(B260&lt;DATE(Configuración!$C$5,1,1),B260&gt;=DATE(Configuración!$C$5+1,1,1)),"Fecha fuera del año",IF(OR(G260&lt;0,H260&lt;0),"Revisar signo",IF(AND(C260&lt;&gt;"Servicio",H260&lt;&gt;0),"IVA solo en Servicio",IF(AND(C260="Servicio",F260=""),"Falta servicio","OK")))))))))</f>
        <v/>
      </c>
    </row>
    <row r="261" spans="1:12" ht="22" customHeight="1">
      <c r="A261" s="3"/>
      <c r="B261" s="7"/>
      <c r="C261" s="3"/>
      <c r="D261" s="3"/>
      <c r="E261" s="3"/>
      <c r="F261" s="3"/>
      <c r="G261" s="4"/>
      <c r="H261" s="4"/>
      <c r="I261" s="3"/>
      <c r="J261" s="3"/>
      <c r="K261" s="8" t="str">
        <f t="shared" si="3"/>
        <v/>
      </c>
      <c r="L261" s="1" t="str">
        <f>IF(COUNTA(A261:J261)=0,"",IF(OR(AND(C261&lt;&gt;"Servicio",C261&lt;&gt;"Cobro",C261&lt;&gt;"Anticipo",C261&lt;&gt;"Aplicación anticipo",C261&lt;&gt;"Retención ISR",C261&lt;&gt;"Retención IVA"),AND(C261="Servicio",F261&lt;&gt;"TMS",F261&lt;&gt;"Valoración",F261&lt;&gt;"EEG",F261&lt;&gt;"Neurofeedback",F261&lt;&gt;"Fotobiomodulación",F261&lt;&gt;"Psicoterapia",F261&lt;&gt;"Otros")),"Tipo o categoría inválido",IF(COUNTA(A261:J261)=0,"",IF(OR(A261="",B261="",C261="",G261=""),"Faltan datos",IF(COUNTIF($A$7:$A$2006,A261)&gt;1,"ID duplicado",IF(OR(B261&lt;DATE(Configuración!$C$5,1,1),B261&gt;=DATE(Configuración!$C$5+1,1,1)),"Fecha fuera del año",IF(OR(G261&lt;0,H261&lt;0),"Revisar signo",IF(AND(C261&lt;&gt;"Servicio",H261&lt;&gt;0),"IVA solo en Servicio",IF(AND(C261="Servicio",F261=""),"Falta servicio","OK")))))))))</f>
        <v/>
      </c>
    </row>
    <row r="262" spans="1:12" ht="22" customHeight="1">
      <c r="A262" s="3"/>
      <c r="B262" s="7"/>
      <c r="C262" s="3"/>
      <c r="D262" s="3"/>
      <c r="E262" s="3"/>
      <c r="F262" s="3"/>
      <c r="G262" s="4"/>
      <c r="H262" s="4"/>
      <c r="I262" s="3"/>
      <c r="J262" s="3"/>
      <c r="K262" s="8" t="str">
        <f t="shared" si="3"/>
        <v/>
      </c>
      <c r="L262" s="1" t="str">
        <f>IF(COUNTA(A262:J262)=0,"",IF(OR(AND(C262&lt;&gt;"Servicio",C262&lt;&gt;"Cobro",C262&lt;&gt;"Anticipo",C262&lt;&gt;"Aplicación anticipo",C262&lt;&gt;"Retención ISR",C262&lt;&gt;"Retención IVA"),AND(C262="Servicio",F262&lt;&gt;"TMS",F262&lt;&gt;"Valoración",F262&lt;&gt;"EEG",F262&lt;&gt;"Neurofeedback",F262&lt;&gt;"Fotobiomodulación",F262&lt;&gt;"Psicoterapia",F262&lt;&gt;"Otros")),"Tipo o categoría inválido",IF(COUNTA(A262:J262)=0,"",IF(OR(A262="",B262="",C262="",G262=""),"Faltan datos",IF(COUNTIF($A$7:$A$2006,A262)&gt;1,"ID duplicado",IF(OR(B262&lt;DATE(Configuración!$C$5,1,1),B262&gt;=DATE(Configuración!$C$5+1,1,1)),"Fecha fuera del año",IF(OR(G262&lt;0,H262&lt;0),"Revisar signo",IF(AND(C262&lt;&gt;"Servicio",H262&lt;&gt;0),"IVA solo en Servicio",IF(AND(C262="Servicio",F262=""),"Falta servicio","OK")))))))))</f>
        <v/>
      </c>
    </row>
    <row r="263" spans="1:12" ht="22" customHeight="1">
      <c r="A263" s="3"/>
      <c r="B263" s="7"/>
      <c r="C263" s="3"/>
      <c r="D263" s="3"/>
      <c r="E263" s="3"/>
      <c r="F263" s="3"/>
      <c r="G263" s="4"/>
      <c r="H263" s="4"/>
      <c r="I263" s="3"/>
      <c r="J263" s="3"/>
      <c r="K263" s="8" t="str">
        <f t="shared" ref="K263:K326" si="4">IF(A263="","",G263+H263)</f>
        <v/>
      </c>
      <c r="L263" s="1" t="str">
        <f>IF(COUNTA(A263:J263)=0,"",IF(OR(AND(C263&lt;&gt;"Servicio",C263&lt;&gt;"Cobro",C263&lt;&gt;"Anticipo",C263&lt;&gt;"Aplicación anticipo",C263&lt;&gt;"Retención ISR",C263&lt;&gt;"Retención IVA"),AND(C263="Servicio",F263&lt;&gt;"TMS",F263&lt;&gt;"Valoración",F263&lt;&gt;"EEG",F263&lt;&gt;"Neurofeedback",F263&lt;&gt;"Fotobiomodulación",F263&lt;&gt;"Psicoterapia",F263&lt;&gt;"Otros")),"Tipo o categoría inválido",IF(COUNTA(A263:J263)=0,"",IF(OR(A263="",B263="",C263="",G263=""),"Faltan datos",IF(COUNTIF($A$7:$A$2006,A263)&gt;1,"ID duplicado",IF(OR(B263&lt;DATE(Configuración!$C$5,1,1),B263&gt;=DATE(Configuración!$C$5+1,1,1)),"Fecha fuera del año",IF(OR(G263&lt;0,H263&lt;0),"Revisar signo",IF(AND(C263&lt;&gt;"Servicio",H263&lt;&gt;0),"IVA solo en Servicio",IF(AND(C263="Servicio",F263=""),"Falta servicio","OK")))))))))</f>
        <v/>
      </c>
    </row>
    <row r="264" spans="1:12" ht="22" customHeight="1">
      <c r="A264" s="3"/>
      <c r="B264" s="7"/>
      <c r="C264" s="3"/>
      <c r="D264" s="3"/>
      <c r="E264" s="3"/>
      <c r="F264" s="3"/>
      <c r="G264" s="4"/>
      <c r="H264" s="4"/>
      <c r="I264" s="3"/>
      <c r="J264" s="3"/>
      <c r="K264" s="8" t="str">
        <f t="shared" si="4"/>
        <v/>
      </c>
      <c r="L264" s="1" t="str">
        <f>IF(COUNTA(A264:J264)=0,"",IF(OR(AND(C264&lt;&gt;"Servicio",C264&lt;&gt;"Cobro",C264&lt;&gt;"Anticipo",C264&lt;&gt;"Aplicación anticipo",C264&lt;&gt;"Retención ISR",C264&lt;&gt;"Retención IVA"),AND(C264="Servicio",F264&lt;&gt;"TMS",F264&lt;&gt;"Valoración",F264&lt;&gt;"EEG",F264&lt;&gt;"Neurofeedback",F264&lt;&gt;"Fotobiomodulación",F264&lt;&gt;"Psicoterapia",F264&lt;&gt;"Otros")),"Tipo o categoría inválido",IF(COUNTA(A264:J264)=0,"",IF(OR(A264="",B264="",C264="",G264=""),"Faltan datos",IF(COUNTIF($A$7:$A$2006,A264)&gt;1,"ID duplicado",IF(OR(B264&lt;DATE(Configuración!$C$5,1,1),B264&gt;=DATE(Configuración!$C$5+1,1,1)),"Fecha fuera del año",IF(OR(G264&lt;0,H264&lt;0),"Revisar signo",IF(AND(C264&lt;&gt;"Servicio",H264&lt;&gt;0),"IVA solo en Servicio",IF(AND(C264="Servicio",F264=""),"Falta servicio","OK")))))))))</f>
        <v/>
      </c>
    </row>
    <row r="265" spans="1:12" ht="22" customHeight="1">
      <c r="A265" s="3"/>
      <c r="B265" s="7"/>
      <c r="C265" s="3"/>
      <c r="D265" s="3"/>
      <c r="E265" s="3"/>
      <c r="F265" s="3"/>
      <c r="G265" s="4"/>
      <c r="H265" s="4"/>
      <c r="I265" s="3"/>
      <c r="J265" s="3"/>
      <c r="K265" s="8" t="str">
        <f t="shared" si="4"/>
        <v/>
      </c>
      <c r="L265" s="1" t="str">
        <f>IF(COUNTA(A265:J265)=0,"",IF(OR(AND(C265&lt;&gt;"Servicio",C265&lt;&gt;"Cobro",C265&lt;&gt;"Anticipo",C265&lt;&gt;"Aplicación anticipo",C265&lt;&gt;"Retención ISR",C265&lt;&gt;"Retención IVA"),AND(C265="Servicio",F265&lt;&gt;"TMS",F265&lt;&gt;"Valoración",F265&lt;&gt;"EEG",F265&lt;&gt;"Neurofeedback",F265&lt;&gt;"Fotobiomodulación",F265&lt;&gt;"Psicoterapia",F265&lt;&gt;"Otros")),"Tipo o categoría inválido",IF(COUNTA(A265:J265)=0,"",IF(OR(A265="",B265="",C265="",G265=""),"Faltan datos",IF(COUNTIF($A$7:$A$2006,A265)&gt;1,"ID duplicado",IF(OR(B265&lt;DATE(Configuración!$C$5,1,1),B265&gt;=DATE(Configuración!$C$5+1,1,1)),"Fecha fuera del año",IF(OR(G265&lt;0,H265&lt;0),"Revisar signo",IF(AND(C265&lt;&gt;"Servicio",H265&lt;&gt;0),"IVA solo en Servicio",IF(AND(C265="Servicio",F265=""),"Falta servicio","OK")))))))))</f>
        <v/>
      </c>
    </row>
    <row r="266" spans="1:12" ht="22" customHeight="1">
      <c r="A266" s="3"/>
      <c r="B266" s="7"/>
      <c r="C266" s="3"/>
      <c r="D266" s="3"/>
      <c r="E266" s="3"/>
      <c r="F266" s="3"/>
      <c r="G266" s="4"/>
      <c r="H266" s="4"/>
      <c r="I266" s="3"/>
      <c r="J266" s="3"/>
      <c r="K266" s="8" t="str">
        <f t="shared" si="4"/>
        <v/>
      </c>
      <c r="L266" s="1" t="str">
        <f>IF(COUNTA(A266:J266)=0,"",IF(OR(AND(C266&lt;&gt;"Servicio",C266&lt;&gt;"Cobro",C266&lt;&gt;"Anticipo",C266&lt;&gt;"Aplicación anticipo",C266&lt;&gt;"Retención ISR",C266&lt;&gt;"Retención IVA"),AND(C266="Servicio",F266&lt;&gt;"TMS",F266&lt;&gt;"Valoración",F266&lt;&gt;"EEG",F266&lt;&gt;"Neurofeedback",F266&lt;&gt;"Fotobiomodulación",F266&lt;&gt;"Psicoterapia",F266&lt;&gt;"Otros")),"Tipo o categoría inválido",IF(COUNTA(A266:J266)=0,"",IF(OR(A266="",B266="",C266="",G266=""),"Faltan datos",IF(COUNTIF($A$7:$A$2006,A266)&gt;1,"ID duplicado",IF(OR(B266&lt;DATE(Configuración!$C$5,1,1),B266&gt;=DATE(Configuración!$C$5+1,1,1)),"Fecha fuera del año",IF(OR(G266&lt;0,H266&lt;0),"Revisar signo",IF(AND(C266&lt;&gt;"Servicio",H266&lt;&gt;0),"IVA solo en Servicio",IF(AND(C266="Servicio",F266=""),"Falta servicio","OK")))))))))</f>
        <v/>
      </c>
    </row>
    <row r="267" spans="1:12" ht="22" customHeight="1">
      <c r="A267" s="3"/>
      <c r="B267" s="7"/>
      <c r="C267" s="3"/>
      <c r="D267" s="3"/>
      <c r="E267" s="3"/>
      <c r="F267" s="3"/>
      <c r="G267" s="4"/>
      <c r="H267" s="4"/>
      <c r="I267" s="3"/>
      <c r="J267" s="3"/>
      <c r="K267" s="8" t="str">
        <f t="shared" si="4"/>
        <v/>
      </c>
      <c r="L267" s="1" t="str">
        <f>IF(COUNTA(A267:J267)=0,"",IF(OR(AND(C267&lt;&gt;"Servicio",C267&lt;&gt;"Cobro",C267&lt;&gt;"Anticipo",C267&lt;&gt;"Aplicación anticipo",C267&lt;&gt;"Retención ISR",C267&lt;&gt;"Retención IVA"),AND(C267="Servicio",F267&lt;&gt;"TMS",F267&lt;&gt;"Valoración",F267&lt;&gt;"EEG",F267&lt;&gt;"Neurofeedback",F267&lt;&gt;"Fotobiomodulación",F267&lt;&gt;"Psicoterapia",F267&lt;&gt;"Otros")),"Tipo o categoría inválido",IF(COUNTA(A267:J267)=0,"",IF(OR(A267="",B267="",C267="",G267=""),"Faltan datos",IF(COUNTIF($A$7:$A$2006,A267)&gt;1,"ID duplicado",IF(OR(B267&lt;DATE(Configuración!$C$5,1,1),B267&gt;=DATE(Configuración!$C$5+1,1,1)),"Fecha fuera del año",IF(OR(G267&lt;0,H267&lt;0),"Revisar signo",IF(AND(C267&lt;&gt;"Servicio",H267&lt;&gt;0),"IVA solo en Servicio",IF(AND(C267="Servicio",F267=""),"Falta servicio","OK")))))))))</f>
        <v/>
      </c>
    </row>
    <row r="268" spans="1:12" ht="22" customHeight="1">
      <c r="A268" s="3"/>
      <c r="B268" s="7"/>
      <c r="C268" s="3"/>
      <c r="D268" s="3"/>
      <c r="E268" s="3"/>
      <c r="F268" s="3"/>
      <c r="G268" s="4"/>
      <c r="H268" s="4"/>
      <c r="I268" s="3"/>
      <c r="J268" s="3"/>
      <c r="K268" s="8" t="str">
        <f t="shared" si="4"/>
        <v/>
      </c>
      <c r="L268" s="1" t="str">
        <f>IF(COUNTA(A268:J268)=0,"",IF(OR(AND(C268&lt;&gt;"Servicio",C268&lt;&gt;"Cobro",C268&lt;&gt;"Anticipo",C268&lt;&gt;"Aplicación anticipo",C268&lt;&gt;"Retención ISR",C268&lt;&gt;"Retención IVA"),AND(C268="Servicio",F268&lt;&gt;"TMS",F268&lt;&gt;"Valoración",F268&lt;&gt;"EEG",F268&lt;&gt;"Neurofeedback",F268&lt;&gt;"Fotobiomodulación",F268&lt;&gt;"Psicoterapia",F268&lt;&gt;"Otros")),"Tipo o categoría inválido",IF(COUNTA(A268:J268)=0,"",IF(OR(A268="",B268="",C268="",G268=""),"Faltan datos",IF(COUNTIF($A$7:$A$2006,A268)&gt;1,"ID duplicado",IF(OR(B268&lt;DATE(Configuración!$C$5,1,1),B268&gt;=DATE(Configuración!$C$5+1,1,1)),"Fecha fuera del año",IF(OR(G268&lt;0,H268&lt;0),"Revisar signo",IF(AND(C268&lt;&gt;"Servicio",H268&lt;&gt;0),"IVA solo en Servicio",IF(AND(C268="Servicio",F268=""),"Falta servicio","OK")))))))))</f>
        <v/>
      </c>
    </row>
    <row r="269" spans="1:12" ht="22" customHeight="1">
      <c r="A269" s="3"/>
      <c r="B269" s="7"/>
      <c r="C269" s="3"/>
      <c r="D269" s="3"/>
      <c r="E269" s="3"/>
      <c r="F269" s="3"/>
      <c r="G269" s="4"/>
      <c r="H269" s="4"/>
      <c r="I269" s="3"/>
      <c r="J269" s="3"/>
      <c r="K269" s="8" t="str">
        <f t="shared" si="4"/>
        <v/>
      </c>
      <c r="L269" s="1" t="str">
        <f>IF(COUNTA(A269:J269)=0,"",IF(OR(AND(C269&lt;&gt;"Servicio",C269&lt;&gt;"Cobro",C269&lt;&gt;"Anticipo",C269&lt;&gt;"Aplicación anticipo",C269&lt;&gt;"Retención ISR",C269&lt;&gt;"Retención IVA"),AND(C269="Servicio",F269&lt;&gt;"TMS",F269&lt;&gt;"Valoración",F269&lt;&gt;"EEG",F269&lt;&gt;"Neurofeedback",F269&lt;&gt;"Fotobiomodulación",F269&lt;&gt;"Psicoterapia",F269&lt;&gt;"Otros")),"Tipo o categoría inválido",IF(COUNTA(A269:J269)=0,"",IF(OR(A269="",B269="",C269="",G269=""),"Faltan datos",IF(COUNTIF($A$7:$A$2006,A269)&gt;1,"ID duplicado",IF(OR(B269&lt;DATE(Configuración!$C$5,1,1),B269&gt;=DATE(Configuración!$C$5+1,1,1)),"Fecha fuera del año",IF(OR(G269&lt;0,H269&lt;0),"Revisar signo",IF(AND(C269&lt;&gt;"Servicio",H269&lt;&gt;0),"IVA solo en Servicio",IF(AND(C269="Servicio",F269=""),"Falta servicio","OK")))))))))</f>
        <v/>
      </c>
    </row>
    <row r="270" spans="1:12" ht="22" customHeight="1">
      <c r="A270" s="3"/>
      <c r="B270" s="7"/>
      <c r="C270" s="3"/>
      <c r="D270" s="3"/>
      <c r="E270" s="3"/>
      <c r="F270" s="3"/>
      <c r="G270" s="4"/>
      <c r="H270" s="4"/>
      <c r="I270" s="3"/>
      <c r="J270" s="3"/>
      <c r="K270" s="8" t="str">
        <f t="shared" si="4"/>
        <v/>
      </c>
      <c r="L270" s="1" t="str">
        <f>IF(COUNTA(A270:J270)=0,"",IF(OR(AND(C270&lt;&gt;"Servicio",C270&lt;&gt;"Cobro",C270&lt;&gt;"Anticipo",C270&lt;&gt;"Aplicación anticipo",C270&lt;&gt;"Retención ISR",C270&lt;&gt;"Retención IVA"),AND(C270="Servicio",F270&lt;&gt;"TMS",F270&lt;&gt;"Valoración",F270&lt;&gt;"EEG",F270&lt;&gt;"Neurofeedback",F270&lt;&gt;"Fotobiomodulación",F270&lt;&gt;"Psicoterapia",F270&lt;&gt;"Otros")),"Tipo o categoría inválido",IF(COUNTA(A270:J270)=0,"",IF(OR(A270="",B270="",C270="",G270=""),"Faltan datos",IF(COUNTIF($A$7:$A$2006,A270)&gt;1,"ID duplicado",IF(OR(B270&lt;DATE(Configuración!$C$5,1,1),B270&gt;=DATE(Configuración!$C$5+1,1,1)),"Fecha fuera del año",IF(OR(G270&lt;0,H270&lt;0),"Revisar signo",IF(AND(C270&lt;&gt;"Servicio",H270&lt;&gt;0),"IVA solo en Servicio",IF(AND(C270="Servicio",F270=""),"Falta servicio","OK")))))))))</f>
        <v/>
      </c>
    </row>
    <row r="271" spans="1:12" ht="22" customHeight="1">
      <c r="A271" s="3"/>
      <c r="B271" s="7"/>
      <c r="C271" s="3"/>
      <c r="D271" s="3"/>
      <c r="E271" s="3"/>
      <c r="F271" s="3"/>
      <c r="G271" s="4"/>
      <c r="H271" s="4"/>
      <c r="I271" s="3"/>
      <c r="J271" s="3"/>
      <c r="K271" s="8" t="str">
        <f t="shared" si="4"/>
        <v/>
      </c>
      <c r="L271" s="1" t="str">
        <f>IF(COUNTA(A271:J271)=0,"",IF(OR(AND(C271&lt;&gt;"Servicio",C271&lt;&gt;"Cobro",C271&lt;&gt;"Anticipo",C271&lt;&gt;"Aplicación anticipo",C271&lt;&gt;"Retención ISR",C271&lt;&gt;"Retención IVA"),AND(C271="Servicio",F271&lt;&gt;"TMS",F271&lt;&gt;"Valoración",F271&lt;&gt;"EEG",F271&lt;&gt;"Neurofeedback",F271&lt;&gt;"Fotobiomodulación",F271&lt;&gt;"Psicoterapia",F271&lt;&gt;"Otros")),"Tipo o categoría inválido",IF(COUNTA(A271:J271)=0,"",IF(OR(A271="",B271="",C271="",G271=""),"Faltan datos",IF(COUNTIF($A$7:$A$2006,A271)&gt;1,"ID duplicado",IF(OR(B271&lt;DATE(Configuración!$C$5,1,1),B271&gt;=DATE(Configuración!$C$5+1,1,1)),"Fecha fuera del año",IF(OR(G271&lt;0,H271&lt;0),"Revisar signo",IF(AND(C271&lt;&gt;"Servicio",H271&lt;&gt;0),"IVA solo en Servicio",IF(AND(C271="Servicio",F271=""),"Falta servicio","OK")))))))))</f>
        <v/>
      </c>
    </row>
    <row r="272" spans="1:12" ht="22" customHeight="1">
      <c r="A272" s="3"/>
      <c r="B272" s="7"/>
      <c r="C272" s="3"/>
      <c r="D272" s="3"/>
      <c r="E272" s="3"/>
      <c r="F272" s="3"/>
      <c r="G272" s="4"/>
      <c r="H272" s="4"/>
      <c r="I272" s="3"/>
      <c r="J272" s="3"/>
      <c r="K272" s="8" t="str">
        <f t="shared" si="4"/>
        <v/>
      </c>
      <c r="L272" s="1" t="str">
        <f>IF(COUNTA(A272:J272)=0,"",IF(OR(AND(C272&lt;&gt;"Servicio",C272&lt;&gt;"Cobro",C272&lt;&gt;"Anticipo",C272&lt;&gt;"Aplicación anticipo",C272&lt;&gt;"Retención ISR",C272&lt;&gt;"Retención IVA"),AND(C272="Servicio",F272&lt;&gt;"TMS",F272&lt;&gt;"Valoración",F272&lt;&gt;"EEG",F272&lt;&gt;"Neurofeedback",F272&lt;&gt;"Fotobiomodulación",F272&lt;&gt;"Psicoterapia",F272&lt;&gt;"Otros")),"Tipo o categoría inválido",IF(COUNTA(A272:J272)=0,"",IF(OR(A272="",B272="",C272="",G272=""),"Faltan datos",IF(COUNTIF($A$7:$A$2006,A272)&gt;1,"ID duplicado",IF(OR(B272&lt;DATE(Configuración!$C$5,1,1),B272&gt;=DATE(Configuración!$C$5+1,1,1)),"Fecha fuera del año",IF(OR(G272&lt;0,H272&lt;0),"Revisar signo",IF(AND(C272&lt;&gt;"Servicio",H272&lt;&gt;0),"IVA solo en Servicio",IF(AND(C272="Servicio",F272=""),"Falta servicio","OK")))))))))</f>
        <v/>
      </c>
    </row>
    <row r="273" spans="1:12" ht="22" customHeight="1">
      <c r="A273" s="3"/>
      <c r="B273" s="7"/>
      <c r="C273" s="3"/>
      <c r="D273" s="3"/>
      <c r="E273" s="3"/>
      <c r="F273" s="3"/>
      <c r="G273" s="4"/>
      <c r="H273" s="4"/>
      <c r="I273" s="3"/>
      <c r="J273" s="3"/>
      <c r="K273" s="8" t="str">
        <f t="shared" si="4"/>
        <v/>
      </c>
      <c r="L273" s="1" t="str">
        <f>IF(COUNTA(A273:J273)=0,"",IF(OR(AND(C273&lt;&gt;"Servicio",C273&lt;&gt;"Cobro",C273&lt;&gt;"Anticipo",C273&lt;&gt;"Aplicación anticipo",C273&lt;&gt;"Retención ISR",C273&lt;&gt;"Retención IVA"),AND(C273="Servicio",F273&lt;&gt;"TMS",F273&lt;&gt;"Valoración",F273&lt;&gt;"EEG",F273&lt;&gt;"Neurofeedback",F273&lt;&gt;"Fotobiomodulación",F273&lt;&gt;"Psicoterapia",F273&lt;&gt;"Otros")),"Tipo o categoría inválido",IF(COUNTA(A273:J273)=0,"",IF(OR(A273="",B273="",C273="",G273=""),"Faltan datos",IF(COUNTIF($A$7:$A$2006,A273)&gt;1,"ID duplicado",IF(OR(B273&lt;DATE(Configuración!$C$5,1,1),B273&gt;=DATE(Configuración!$C$5+1,1,1)),"Fecha fuera del año",IF(OR(G273&lt;0,H273&lt;0),"Revisar signo",IF(AND(C273&lt;&gt;"Servicio",H273&lt;&gt;0),"IVA solo en Servicio",IF(AND(C273="Servicio",F273=""),"Falta servicio","OK")))))))))</f>
        <v/>
      </c>
    </row>
    <row r="274" spans="1:12" ht="22" customHeight="1">
      <c r="A274" s="3"/>
      <c r="B274" s="7"/>
      <c r="C274" s="3"/>
      <c r="D274" s="3"/>
      <c r="E274" s="3"/>
      <c r="F274" s="3"/>
      <c r="G274" s="4"/>
      <c r="H274" s="4"/>
      <c r="I274" s="3"/>
      <c r="J274" s="3"/>
      <c r="K274" s="8" t="str">
        <f t="shared" si="4"/>
        <v/>
      </c>
      <c r="L274" s="1" t="str">
        <f>IF(COUNTA(A274:J274)=0,"",IF(OR(AND(C274&lt;&gt;"Servicio",C274&lt;&gt;"Cobro",C274&lt;&gt;"Anticipo",C274&lt;&gt;"Aplicación anticipo",C274&lt;&gt;"Retención ISR",C274&lt;&gt;"Retención IVA"),AND(C274="Servicio",F274&lt;&gt;"TMS",F274&lt;&gt;"Valoración",F274&lt;&gt;"EEG",F274&lt;&gt;"Neurofeedback",F274&lt;&gt;"Fotobiomodulación",F274&lt;&gt;"Psicoterapia",F274&lt;&gt;"Otros")),"Tipo o categoría inválido",IF(COUNTA(A274:J274)=0,"",IF(OR(A274="",B274="",C274="",G274=""),"Faltan datos",IF(COUNTIF($A$7:$A$2006,A274)&gt;1,"ID duplicado",IF(OR(B274&lt;DATE(Configuración!$C$5,1,1),B274&gt;=DATE(Configuración!$C$5+1,1,1)),"Fecha fuera del año",IF(OR(G274&lt;0,H274&lt;0),"Revisar signo",IF(AND(C274&lt;&gt;"Servicio",H274&lt;&gt;0),"IVA solo en Servicio",IF(AND(C274="Servicio",F274=""),"Falta servicio","OK")))))))))</f>
        <v/>
      </c>
    </row>
    <row r="275" spans="1:12" ht="22" customHeight="1">
      <c r="A275" s="3"/>
      <c r="B275" s="7"/>
      <c r="C275" s="3"/>
      <c r="D275" s="3"/>
      <c r="E275" s="3"/>
      <c r="F275" s="3"/>
      <c r="G275" s="4"/>
      <c r="H275" s="4"/>
      <c r="I275" s="3"/>
      <c r="J275" s="3"/>
      <c r="K275" s="8" t="str">
        <f t="shared" si="4"/>
        <v/>
      </c>
      <c r="L275" s="1" t="str">
        <f>IF(COUNTA(A275:J275)=0,"",IF(OR(AND(C275&lt;&gt;"Servicio",C275&lt;&gt;"Cobro",C275&lt;&gt;"Anticipo",C275&lt;&gt;"Aplicación anticipo",C275&lt;&gt;"Retención ISR",C275&lt;&gt;"Retención IVA"),AND(C275="Servicio",F275&lt;&gt;"TMS",F275&lt;&gt;"Valoración",F275&lt;&gt;"EEG",F275&lt;&gt;"Neurofeedback",F275&lt;&gt;"Fotobiomodulación",F275&lt;&gt;"Psicoterapia",F275&lt;&gt;"Otros")),"Tipo o categoría inválido",IF(COUNTA(A275:J275)=0,"",IF(OR(A275="",B275="",C275="",G275=""),"Faltan datos",IF(COUNTIF($A$7:$A$2006,A275)&gt;1,"ID duplicado",IF(OR(B275&lt;DATE(Configuración!$C$5,1,1),B275&gt;=DATE(Configuración!$C$5+1,1,1)),"Fecha fuera del año",IF(OR(G275&lt;0,H275&lt;0),"Revisar signo",IF(AND(C275&lt;&gt;"Servicio",H275&lt;&gt;0),"IVA solo en Servicio",IF(AND(C275="Servicio",F275=""),"Falta servicio","OK")))))))))</f>
        <v/>
      </c>
    </row>
    <row r="276" spans="1:12" ht="22" customHeight="1">
      <c r="A276" s="3"/>
      <c r="B276" s="7"/>
      <c r="C276" s="3"/>
      <c r="D276" s="3"/>
      <c r="E276" s="3"/>
      <c r="F276" s="3"/>
      <c r="G276" s="4"/>
      <c r="H276" s="4"/>
      <c r="I276" s="3"/>
      <c r="J276" s="3"/>
      <c r="K276" s="8" t="str">
        <f t="shared" si="4"/>
        <v/>
      </c>
      <c r="L276" s="1" t="str">
        <f>IF(COUNTA(A276:J276)=0,"",IF(OR(AND(C276&lt;&gt;"Servicio",C276&lt;&gt;"Cobro",C276&lt;&gt;"Anticipo",C276&lt;&gt;"Aplicación anticipo",C276&lt;&gt;"Retención ISR",C276&lt;&gt;"Retención IVA"),AND(C276="Servicio",F276&lt;&gt;"TMS",F276&lt;&gt;"Valoración",F276&lt;&gt;"EEG",F276&lt;&gt;"Neurofeedback",F276&lt;&gt;"Fotobiomodulación",F276&lt;&gt;"Psicoterapia",F276&lt;&gt;"Otros")),"Tipo o categoría inválido",IF(COUNTA(A276:J276)=0,"",IF(OR(A276="",B276="",C276="",G276=""),"Faltan datos",IF(COUNTIF($A$7:$A$2006,A276)&gt;1,"ID duplicado",IF(OR(B276&lt;DATE(Configuración!$C$5,1,1),B276&gt;=DATE(Configuración!$C$5+1,1,1)),"Fecha fuera del año",IF(OR(G276&lt;0,H276&lt;0),"Revisar signo",IF(AND(C276&lt;&gt;"Servicio",H276&lt;&gt;0),"IVA solo en Servicio",IF(AND(C276="Servicio",F276=""),"Falta servicio","OK")))))))))</f>
        <v/>
      </c>
    </row>
    <row r="277" spans="1:12" ht="22" customHeight="1">
      <c r="A277" s="3"/>
      <c r="B277" s="7"/>
      <c r="C277" s="3"/>
      <c r="D277" s="3"/>
      <c r="E277" s="3"/>
      <c r="F277" s="3"/>
      <c r="G277" s="4"/>
      <c r="H277" s="4"/>
      <c r="I277" s="3"/>
      <c r="J277" s="3"/>
      <c r="K277" s="8" t="str">
        <f t="shared" si="4"/>
        <v/>
      </c>
      <c r="L277" s="1" t="str">
        <f>IF(COUNTA(A277:J277)=0,"",IF(OR(AND(C277&lt;&gt;"Servicio",C277&lt;&gt;"Cobro",C277&lt;&gt;"Anticipo",C277&lt;&gt;"Aplicación anticipo",C277&lt;&gt;"Retención ISR",C277&lt;&gt;"Retención IVA"),AND(C277="Servicio",F277&lt;&gt;"TMS",F277&lt;&gt;"Valoración",F277&lt;&gt;"EEG",F277&lt;&gt;"Neurofeedback",F277&lt;&gt;"Fotobiomodulación",F277&lt;&gt;"Psicoterapia",F277&lt;&gt;"Otros")),"Tipo o categoría inválido",IF(COUNTA(A277:J277)=0,"",IF(OR(A277="",B277="",C277="",G277=""),"Faltan datos",IF(COUNTIF($A$7:$A$2006,A277)&gt;1,"ID duplicado",IF(OR(B277&lt;DATE(Configuración!$C$5,1,1),B277&gt;=DATE(Configuración!$C$5+1,1,1)),"Fecha fuera del año",IF(OR(G277&lt;0,H277&lt;0),"Revisar signo",IF(AND(C277&lt;&gt;"Servicio",H277&lt;&gt;0),"IVA solo en Servicio",IF(AND(C277="Servicio",F277=""),"Falta servicio","OK")))))))))</f>
        <v/>
      </c>
    </row>
    <row r="278" spans="1:12" ht="22" customHeight="1">
      <c r="A278" s="3"/>
      <c r="B278" s="7"/>
      <c r="C278" s="3"/>
      <c r="D278" s="3"/>
      <c r="E278" s="3"/>
      <c r="F278" s="3"/>
      <c r="G278" s="4"/>
      <c r="H278" s="4"/>
      <c r="I278" s="3"/>
      <c r="J278" s="3"/>
      <c r="K278" s="8" t="str">
        <f t="shared" si="4"/>
        <v/>
      </c>
      <c r="L278" s="1" t="str">
        <f>IF(COUNTA(A278:J278)=0,"",IF(OR(AND(C278&lt;&gt;"Servicio",C278&lt;&gt;"Cobro",C278&lt;&gt;"Anticipo",C278&lt;&gt;"Aplicación anticipo",C278&lt;&gt;"Retención ISR",C278&lt;&gt;"Retención IVA"),AND(C278="Servicio",F278&lt;&gt;"TMS",F278&lt;&gt;"Valoración",F278&lt;&gt;"EEG",F278&lt;&gt;"Neurofeedback",F278&lt;&gt;"Fotobiomodulación",F278&lt;&gt;"Psicoterapia",F278&lt;&gt;"Otros")),"Tipo o categoría inválido",IF(COUNTA(A278:J278)=0,"",IF(OR(A278="",B278="",C278="",G278=""),"Faltan datos",IF(COUNTIF($A$7:$A$2006,A278)&gt;1,"ID duplicado",IF(OR(B278&lt;DATE(Configuración!$C$5,1,1),B278&gt;=DATE(Configuración!$C$5+1,1,1)),"Fecha fuera del año",IF(OR(G278&lt;0,H278&lt;0),"Revisar signo",IF(AND(C278&lt;&gt;"Servicio",H278&lt;&gt;0),"IVA solo en Servicio",IF(AND(C278="Servicio",F278=""),"Falta servicio","OK")))))))))</f>
        <v/>
      </c>
    </row>
    <row r="279" spans="1:12" ht="22" customHeight="1">
      <c r="A279" s="3"/>
      <c r="B279" s="7"/>
      <c r="C279" s="3"/>
      <c r="D279" s="3"/>
      <c r="E279" s="3"/>
      <c r="F279" s="3"/>
      <c r="G279" s="4"/>
      <c r="H279" s="4"/>
      <c r="I279" s="3"/>
      <c r="J279" s="3"/>
      <c r="K279" s="8" t="str">
        <f t="shared" si="4"/>
        <v/>
      </c>
      <c r="L279" s="1" t="str">
        <f>IF(COUNTA(A279:J279)=0,"",IF(OR(AND(C279&lt;&gt;"Servicio",C279&lt;&gt;"Cobro",C279&lt;&gt;"Anticipo",C279&lt;&gt;"Aplicación anticipo",C279&lt;&gt;"Retención ISR",C279&lt;&gt;"Retención IVA"),AND(C279="Servicio",F279&lt;&gt;"TMS",F279&lt;&gt;"Valoración",F279&lt;&gt;"EEG",F279&lt;&gt;"Neurofeedback",F279&lt;&gt;"Fotobiomodulación",F279&lt;&gt;"Psicoterapia",F279&lt;&gt;"Otros")),"Tipo o categoría inválido",IF(COUNTA(A279:J279)=0,"",IF(OR(A279="",B279="",C279="",G279=""),"Faltan datos",IF(COUNTIF($A$7:$A$2006,A279)&gt;1,"ID duplicado",IF(OR(B279&lt;DATE(Configuración!$C$5,1,1),B279&gt;=DATE(Configuración!$C$5+1,1,1)),"Fecha fuera del año",IF(OR(G279&lt;0,H279&lt;0),"Revisar signo",IF(AND(C279&lt;&gt;"Servicio",H279&lt;&gt;0),"IVA solo en Servicio",IF(AND(C279="Servicio",F279=""),"Falta servicio","OK")))))))))</f>
        <v/>
      </c>
    </row>
    <row r="280" spans="1:12" ht="22" customHeight="1">
      <c r="A280" s="3"/>
      <c r="B280" s="7"/>
      <c r="C280" s="3"/>
      <c r="D280" s="3"/>
      <c r="E280" s="3"/>
      <c r="F280" s="3"/>
      <c r="G280" s="4"/>
      <c r="H280" s="4"/>
      <c r="I280" s="3"/>
      <c r="J280" s="3"/>
      <c r="K280" s="8" t="str">
        <f t="shared" si="4"/>
        <v/>
      </c>
      <c r="L280" s="1" t="str">
        <f>IF(COUNTA(A280:J280)=0,"",IF(OR(AND(C280&lt;&gt;"Servicio",C280&lt;&gt;"Cobro",C280&lt;&gt;"Anticipo",C280&lt;&gt;"Aplicación anticipo",C280&lt;&gt;"Retención ISR",C280&lt;&gt;"Retención IVA"),AND(C280="Servicio",F280&lt;&gt;"TMS",F280&lt;&gt;"Valoración",F280&lt;&gt;"EEG",F280&lt;&gt;"Neurofeedback",F280&lt;&gt;"Fotobiomodulación",F280&lt;&gt;"Psicoterapia",F280&lt;&gt;"Otros")),"Tipo o categoría inválido",IF(COUNTA(A280:J280)=0,"",IF(OR(A280="",B280="",C280="",G280=""),"Faltan datos",IF(COUNTIF($A$7:$A$2006,A280)&gt;1,"ID duplicado",IF(OR(B280&lt;DATE(Configuración!$C$5,1,1),B280&gt;=DATE(Configuración!$C$5+1,1,1)),"Fecha fuera del año",IF(OR(G280&lt;0,H280&lt;0),"Revisar signo",IF(AND(C280&lt;&gt;"Servicio",H280&lt;&gt;0),"IVA solo en Servicio",IF(AND(C280="Servicio",F280=""),"Falta servicio","OK")))))))))</f>
        <v/>
      </c>
    </row>
    <row r="281" spans="1:12" ht="22" customHeight="1">
      <c r="A281" s="3"/>
      <c r="B281" s="7"/>
      <c r="C281" s="3"/>
      <c r="D281" s="3"/>
      <c r="E281" s="3"/>
      <c r="F281" s="3"/>
      <c r="G281" s="4"/>
      <c r="H281" s="4"/>
      <c r="I281" s="3"/>
      <c r="J281" s="3"/>
      <c r="K281" s="8" t="str">
        <f t="shared" si="4"/>
        <v/>
      </c>
      <c r="L281" s="1" t="str">
        <f>IF(COUNTA(A281:J281)=0,"",IF(OR(AND(C281&lt;&gt;"Servicio",C281&lt;&gt;"Cobro",C281&lt;&gt;"Anticipo",C281&lt;&gt;"Aplicación anticipo",C281&lt;&gt;"Retención ISR",C281&lt;&gt;"Retención IVA"),AND(C281="Servicio",F281&lt;&gt;"TMS",F281&lt;&gt;"Valoración",F281&lt;&gt;"EEG",F281&lt;&gt;"Neurofeedback",F281&lt;&gt;"Fotobiomodulación",F281&lt;&gt;"Psicoterapia",F281&lt;&gt;"Otros")),"Tipo o categoría inválido",IF(COUNTA(A281:J281)=0,"",IF(OR(A281="",B281="",C281="",G281=""),"Faltan datos",IF(COUNTIF($A$7:$A$2006,A281)&gt;1,"ID duplicado",IF(OR(B281&lt;DATE(Configuración!$C$5,1,1),B281&gt;=DATE(Configuración!$C$5+1,1,1)),"Fecha fuera del año",IF(OR(G281&lt;0,H281&lt;0),"Revisar signo",IF(AND(C281&lt;&gt;"Servicio",H281&lt;&gt;0),"IVA solo en Servicio",IF(AND(C281="Servicio",F281=""),"Falta servicio","OK")))))))))</f>
        <v/>
      </c>
    </row>
    <row r="282" spans="1:12" ht="22" customHeight="1">
      <c r="A282" s="3"/>
      <c r="B282" s="7"/>
      <c r="C282" s="3"/>
      <c r="D282" s="3"/>
      <c r="E282" s="3"/>
      <c r="F282" s="3"/>
      <c r="G282" s="4"/>
      <c r="H282" s="4"/>
      <c r="I282" s="3"/>
      <c r="J282" s="3"/>
      <c r="K282" s="8" t="str">
        <f t="shared" si="4"/>
        <v/>
      </c>
      <c r="L282" s="1" t="str">
        <f>IF(COUNTA(A282:J282)=0,"",IF(OR(AND(C282&lt;&gt;"Servicio",C282&lt;&gt;"Cobro",C282&lt;&gt;"Anticipo",C282&lt;&gt;"Aplicación anticipo",C282&lt;&gt;"Retención ISR",C282&lt;&gt;"Retención IVA"),AND(C282="Servicio",F282&lt;&gt;"TMS",F282&lt;&gt;"Valoración",F282&lt;&gt;"EEG",F282&lt;&gt;"Neurofeedback",F282&lt;&gt;"Fotobiomodulación",F282&lt;&gt;"Psicoterapia",F282&lt;&gt;"Otros")),"Tipo o categoría inválido",IF(COUNTA(A282:J282)=0,"",IF(OR(A282="",B282="",C282="",G282=""),"Faltan datos",IF(COUNTIF($A$7:$A$2006,A282)&gt;1,"ID duplicado",IF(OR(B282&lt;DATE(Configuración!$C$5,1,1),B282&gt;=DATE(Configuración!$C$5+1,1,1)),"Fecha fuera del año",IF(OR(G282&lt;0,H282&lt;0),"Revisar signo",IF(AND(C282&lt;&gt;"Servicio",H282&lt;&gt;0),"IVA solo en Servicio",IF(AND(C282="Servicio",F282=""),"Falta servicio","OK")))))))))</f>
        <v/>
      </c>
    </row>
    <row r="283" spans="1:12" ht="22" customHeight="1">
      <c r="A283" s="3"/>
      <c r="B283" s="7"/>
      <c r="C283" s="3"/>
      <c r="D283" s="3"/>
      <c r="E283" s="3"/>
      <c r="F283" s="3"/>
      <c r="G283" s="4"/>
      <c r="H283" s="4"/>
      <c r="I283" s="3"/>
      <c r="J283" s="3"/>
      <c r="K283" s="8" t="str">
        <f t="shared" si="4"/>
        <v/>
      </c>
      <c r="L283" s="1" t="str">
        <f>IF(COUNTA(A283:J283)=0,"",IF(OR(AND(C283&lt;&gt;"Servicio",C283&lt;&gt;"Cobro",C283&lt;&gt;"Anticipo",C283&lt;&gt;"Aplicación anticipo",C283&lt;&gt;"Retención ISR",C283&lt;&gt;"Retención IVA"),AND(C283="Servicio",F283&lt;&gt;"TMS",F283&lt;&gt;"Valoración",F283&lt;&gt;"EEG",F283&lt;&gt;"Neurofeedback",F283&lt;&gt;"Fotobiomodulación",F283&lt;&gt;"Psicoterapia",F283&lt;&gt;"Otros")),"Tipo o categoría inválido",IF(COUNTA(A283:J283)=0,"",IF(OR(A283="",B283="",C283="",G283=""),"Faltan datos",IF(COUNTIF($A$7:$A$2006,A283)&gt;1,"ID duplicado",IF(OR(B283&lt;DATE(Configuración!$C$5,1,1),B283&gt;=DATE(Configuración!$C$5+1,1,1)),"Fecha fuera del año",IF(OR(G283&lt;0,H283&lt;0),"Revisar signo",IF(AND(C283&lt;&gt;"Servicio",H283&lt;&gt;0),"IVA solo en Servicio",IF(AND(C283="Servicio",F283=""),"Falta servicio","OK")))))))))</f>
        <v/>
      </c>
    </row>
    <row r="284" spans="1:12" ht="22" customHeight="1">
      <c r="A284" s="3"/>
      <c r="B284" s="7"/>
      <c r="C284" s="3"/>
      <c r="D284" s="3"/>
      <c r="E284" s="3"/>
      <c r="F284" s="3"/>
      <c r="G284" s="4"/>
      <c r="H284" s="4"/>
      <c r="I284" s="3"/>
      <c r="J284" s="3"/>
      <c r="K284" s="8" t="str">
        <f t="shared" si="4"/>
        <v/>
      </c>
      <c r="L284" s="1" t="str">
        <f>IF(COUNTA(A284:J284)=0,"",IF(OR(AND(C284&lt;&gt;"Servicio",C284&lt;&gt;"Cobro",C284&lt;&gt;"Anticipo",C284&lt;&gt;"Aplicación anticipo",C284&lt;&gt;"Retención ISR",C284&lt;&gt;"Retención IVA"),AND(C284="Servicio",F284&lt;&gt;"TMS",F284&lt;&gt;"Valoración",F284&lt;&gt;"EEG",F284&lt;&gt;"Neurofeedback",F284&lt;&gt;"Fotobiomodulación",F284&lt;&gt;"Psicoterapia",F284&lt;&gt;"Otros")),"Tipo o categoría inválido",IF(COUNTA(A284:J284)=0,"",IF(OR(A284="",B284="",C284="",G284=""),"Faltan datos",IF(COUNTIF($A$7:$A$2006,A284)&gt;1,"ID duplicado",IF(OR(B284&lt;DATE(Configuración!$C$5,1,1),B284&gt;=DATE(Configuración!$C$5+1,1,1)),"Fecha fuera del año",IF(OR(G284&lt;0,H284&lt;0),"Revisar signo",IF(AND(C284&lt;&gt;"Servicio",H284&lt;&gt;0),"IVA solo en Servicio",IF(AND(C284="Servicio",F284=""),"Falta servicio","OK")))))))))</f>
        <v/>
      </c>
    </row>
    <row r="285" spans="1:12" ht="22" customHeight="1">
      <c r="A285" s="3"/>
      <c r="B285" s="7"/>
      <c r="C285" s="3"/>
      <c r="D285" s="3"/>
      <c r="E285" s="3"/>
      <c r="F285" s="3"/>
      <c r="G285" s="4"/>
      <c r="H285" s="4"/>
      <c r="I285" s="3"/>
      <c r="J285" s="3"/>
      <c r="K285" s="8" t="str">
        <f t="shared" si="4"/>
        <v/>
      </c>
      <c r="L285" s="1" t="str">
        <f>IF(COUNTA(A285:J285)=0,"",IF(OR(AND(C285&lt;&gt;"Servicio",C285&lt;&gt;"Cobro",C285&lt;&gt;"Anticipo",C285&lt;&gt;"Aplicación anticipo",C285&lt;&gt;"Retención ISR",C285&lt;&gt;"Retención IVA"),AND(C285="Servicio",F285&lt;&gt;"TMS",F285&lt;&gt;"Valoración",F285&lt;&gt;"EEG",F285&lt;&gt;"Neurofeedback",F285&lt;&gt;"Fotobiomodulación",F285&lt;&gt;"Psicoterapia",F285&lt;&gt;"Otros")),"Tipo o categoría inválido",IF(COUNTA(A285:J285)=0,"",IF(OR(A285="",B285="",C285="",G285=""),"Faltan datos",IF(COUNTIF($A$7:$A$2006,A285)&gt;1,"ID duplicado",IF(OR(B285&lt;DATE(Configuración!$C$5,1,1),B285&gt;=DATE(Configuración!$C$5+1,1,1)),"Fecha fuera del año",IF(OR(G285&lt;0,H285&lt;0),"Revisar signo",IF(AND(C285&lt;&gt;"Servicio",H285&lt;&gt;0),"IVA solo en Servicio",IF(AND(C285="Servicio",F285=""),"Falta servicio","OK")))))))))</f>
        <v/>
      </c>
    </row>
    <row r="286" spans="1:12" ht="22" customHeight="1">
      <c r="A286" s="3"/>
      <c r="B286" s="7"/>
      <c r="C286" s="3"/>
      <c r="D286" s="3"/>
      <c r="E286" s="3"/>
      <c r="F286" s="3"/>
      <c r="G286" s="4"/>
      <c r="H286" s="4"/>
      <c r="I286" s="3"/>
      <c r="J286" s="3"/>
      <c r="K286" s="8" t="str">
        <f t="shared" si="4"/>
        <v/>
      </c>
      <c r="L286" s="1" t="str">
        <f>IF(COUNTA(A286:J286)=0,"",IF(OR(AND(C286&lt;&gt;"Servicio",C286&lt;&gt;"Cobro",C286&lt;&gt;"Anticipo",C286&lt;&gt;"Aplicación anticipo",C286&lt;&gt;"Retención ISR",C286&lt;&gt;"Retención IVA"),AND(C286="Servicio",F286&lt;&gt;"TMS",F286&lt;&gt;"Valoración",F286&lt;&gt;"EEG",F286&lt;&gt;"Neurofeedback",F286&lt;&gt;"Fotobiomodulación",F286&lt;&gt;"Psicoterapia",F286&lt;&gt;"Otros")),"Tipo o categoría inválido",IF(COUNTA(A286:J286)=0,"",IF(OR(A286="",B286="",C286="",G286=""),"Faltan datos",IF(COUNTIF($A$7:$A$2006,A286)&gt;1,"ID duplicado",IF(OR(B286&lt;DATE(Configuración!$C$5,1,1),B286&gt;=DATE(Configuración!$C$5+1,1,1)),"Fecha fuera del año",IF(OR(G286&lt;0,H286&lt;0),"Revisar signo",IF(AND(C286&lt;&gt;"Servicio",H286&lt;&gt;0),"IVA solo en Servicio",IF(AND(C286="Servicio",F286=""),"Falta servicio","OK")))))))))</f>
        <v/>
      </c>
    </row>
    <row r="287" spans="1:12" ht="22" customHeight="1">
      <c r="A287" s="3"/>
      <c r="B287" s="7"/>
      <c r="C287" s="3"/>
      <c r="D287" s="3"/>
      <c r="E287" s="3"/>
      <c r="F287" s="3"/>
      <c r="G287" s="4"/>
      <c r="H287" s="4"/>
      <c r="I287" s="3"/>
      <c r="J287" s="3"/>
      <c r="K287" s="8" t="str">
        <f t="shared" si="4"/>
        <v/>
      </c>
      <c r="L287" s="1" t="str">
        <f>IF(COUNTA(A287:J287)=0,"",IF(OR(AND(C287&lt;&gt;"Servicio",C287&lt;&gt;"Cobro",C287&lt;&gt;"Anticipo",C287&lt;&gt;"Aplicación anticipo",C287&lt;&gt;"Retención ISR",C287&lt;&gt;"Retención IVA"),AND(C287="Servicio",F287&lt;&gt;"TMS",F287&lt;&gt;"Valoración",F287&lt;&gt;"EEG",F287&lt;&gt;"Neurofeedback",F287&lt;&gt;"Fotobiomodulación",F287&lt;&gt;"Psicoterapia",F287&lt;&gt;"Otros")),"Tipo o categoría inválido",IF(COUNTA(A287:J287)=0,"",IF(OR(A287="",B287="",C287="",G287=""),"Faltan datos",IF(COUNTIF($A$7:$A$2006,A287)&gt;1,"ID duplicado",IF(OR(B287&lt;DATE(Configuración!$C$5,1,1),B287&gt;=DATE(Configuración!$C$5+1,1,1)),"Fecha fuera del año",IF(OR(G287&lt;0,H287&lt;0),"Revisar signo",IF(AND(C287&lt;&gt;"Servicio",H287&lt;&gt;0),"IVA solo en Servicio",IF(AND(C287="Servicio",F287=""),"Falta servicio","OK")))))))))</f>
        <v/>
      </c>
    </row>
    <row r="288" spans="1:12" ht="22" customHeight="1">
      <c r="A288" s="3"/>
      <c r="B288" s="7"/>
      <c r="C288" s="3"/>
      <c r="D288" s="3"/>
      <c r="E288" s="3"/>
      <c r="F288" s="3"/>
      <c r="G288" s="4"/>
      <c r="H288" s="4"/>
      <c r="I288" s="3"/>
      <c r="J288" s="3"/>
      <c r="K288" s="8" t="str">
        <f t="shared" si="4"/>
        <v/>
      </c>
      <c r="L288" s="1" t="str">
        <f>IF(COUNTA(A288:J288)=0,"",IF(OR(AND(C288&lt;&gt;"Servicio",C288&lt;&gt;"Cobro",C288&lt;&gt;"Anticipo",C288&lt;&gt;"Aplicación anticipo",C288&lt;&gt;"Retención ISR",C288&lt;&gt;"Retención IVA"),AND(C288="Servicio",F288&lt;&gt;"TMS",F288&lt;&gt;"Valoración",F288&lt;&gt;"EEG",F288&lt;&gt;"Neurofeedback",F288&lt;&gt;"Fotobiomodulación",F288&lt;&gt;"Psicoterapia",F288&lt;&gt;"Otros")),"Tipo o categoría inválido",IF(COUNTA(A288:J288)=0,"",IF(OR(A288="",B288="",C288="",G288=""),"Faltan datos",IF(COUNTIF($A$7:$A$2006,A288)&gt;1,"ID duplicado",IF(OR(B288&lt;DATE(Configuración!$C$5,1,1),B288&gt;=DATE(Configuración!$C$5+1,1,1)),"Fecha fuera del año",IF(OR(G288&lt;0,H288&lt;0),"Revisar signo",IF(AND(C288&lt;&gt;"Servicio",H288&lt;&gt;0),"IVA solo en Servicio",IF(AND(C288="Servicio",F288=""),"Falta servicio","OK")))))))))</f>
        <v/>
      </c>
    </row>
    <row r="289" spans="1:12" ht="22" customHeight="1">
      <c r="A289" s="3"/>
      <c r="B289" s="7"/>
      <c r="C289" s="3"/>
      <c r="D289" s="3"/>
      <c r="E289" s="3"/>
      <c r="F289" s="3"/>
      <c r="G289" s="4"/>
      <c r="H289" s="4"/>
      <c r="I289" s="3"/>
      <c r="J289" s="3"/>
      <c r="K289" s="8" t="str">
        <f t="shared" si="4"/>
        <v/>
      </c>
      <c r="L289" s="1" t="str">
        <f>IF(COUNTA(A289:J289)=0,"",IF(OR(AND(C289&lt;&gt;"Servicio",C289&lt;&gt;"Cobro",C289&lt;&gt;"Anticipo",C289&lt;&gt;"Aplicación anticipo",C289&lt;&gt;"Retención ISR",C289&lt;&gt;"Retención IVA"),AND(C289="Servicio",F289&lt;&gt;"TMS",F289&lt;&gt;"Valoración",F289&lt;&gt;"EEG",F289&lt;&gt;"Neurofeedback",F289&lt;&gt;"Fotobiomodulación",F289&lt;&gt;"Psicoterapia",F289&lt;&gt;"Otros")),"Tipo o categoría inválido",IF(COUNTA(A289:J289)=0,"",IF(OR(A289="",B289="",C289="",G289=""),"Faltan datos",IF(COUNTIF($A$7:$A$2006,A289)&gt;1,"ID duplicado",IF(OR(B289&lt;DATE(Configuración!$C$5,1,1),B289&gt;=DATE(Configuración!$C$5+1,1,1)),"Fecha fuera del año",IF(OR(G289&lt;0,H289&lt;0),"Revisar signo",IF(AND(C289&lt;&gt;"Servicio",H289&lt;&gt;0),"IVA solo en Servicio",IF(AND(C289="Servicio",F289=""),"Falta servicio","OK")))))))))</f>
        <v/>
      </c>
    </row>
    <row r="290" spans="1:12" ht="22" customHeight="1">
      <c r="A290" s="3"/>
      <c r="B290" s="7"/>
      <c r="C290" s="3"/>
      <c r="D290" s="3"/>
      <c r="E290" s="3"/>
      <c r="F290" s="3"/>
      <c r="G290" s="4"/>
      <c r="H290" s="4"/>
      <c r="I290" s="3"/>
      <c r="J290" s="3"/>
      <c r="K290" s="8" t="str">
        <f t="shared" si="4"/>
        <v/>
      </c>
      <c r="L290" s="1" t="str">
        <f>IF(COUNTA(A290:J290)=0,"",IF(OR(AND(C290&lt;&gt;"Servicio",C290&lt;&gt;"Cobro",C290&lt;&gt;"Anticipo",C290&lt;&gt;"Aplicación anticipo",C290&lt;&gt;"Retención ISR",C290&lt;&gt;"Retención IVA"),AND(C290="Servicio",F290&lt;&gt;"TMS",F290&lt;&gt;"Valoración",F290&lt;&gt;"EEG",F290&lt;&gt;"Neurofeedback",F290&lt;&gt;"Fotobiomodulación",F290&lt;&gt;"Psicoterapia",F290&lt;&gt;"Otros")),"Tipo o categoría inválido",IF(COUNTA(A290:J290)=0,"",IF(OR(A290="",B290="",C290="",G290=""),"Faltan datos",IF(COUNTIF($A$7:$A$2006,A290)&gt;1,"ID duplicado",IF(OR(B290&lt;DATE(Configuración!$C$5,1,1),B290&gt;=DATE(Configuración!$C$5+1,1,1)),"Fecha fuera del año",IF(OR(G290&lt;0,H290&lt;0),"Revisar signo",IF(AND(C290&lt;&gt;"Servicio",H290&lt;&gt;0),"IVA solo en Servicio",IF(AND(C290="Servicio",F290=""),"Falta servicio","OK")))))))))</f>
        <v/>
      </c>
    </row>
    <row r="291" spans="1:12" ht="22" customHeight="1">
      <c r="A291" s="3"/>
      <c r="B291" s="7"/>
      <c r="C291" s="3"/>
      <c r="D291" s="3"/>
      <c r="E291" s="3"/>
      <c r="F291" s="3"/>
      <c r="G291" s="4"/>
      <c r="H291" s="4"/>
      <c r="I291" s="3"/>
      <c r="J291" s="3"/>
      <c r="K291" s="8" t="str">
        <f t="shared" si="4"/>
        <v/>
      </c>
      <c r="L291" s="1" t="str">
        <f>IF(COUNTA(A291:J291)=0,"",IF(OR(AND(C291&lt;&gt;"Servicio",C291&lt;&gt;"Cobro",C291&lt;&gt;"Anticipo",C291&lt;&gt;"Aplicación anticipo",C291&lt;&gt;"Retención ISR",C291&lt;&gt;"Retención IVA"),AND(C291="Servicio",F291&lt;&gt;"TMS",F291&lt;&gt;"Valoración",F291&lt;&gt;"EEG",F291&lt;&gt;"Neurofeedback",F291&lt;&gt;"Fotobiomodulación",F291&lt;&gt;"Psicoterapia",F291&lt;&gt;"Otros")),"Tipo o categoría inválido",IF(COUNTA(A291:J291)=0,"",IF(OR(A291="",B291="",C291="",G291=""),"Faltan datos",IF(COUNTIF($A$7:$A$2006,A291)&gt;1,"ID duplicado",IF(OR(B291&lt;DATE(Configuración!$C$5,1,1),B291&gt;=DATE(Configuración!$C$5+1,1,1)),"Fecha fuera del año",IF(OR(G291&lt;0,H291&lt;0),"Revisar signo",IF(AND(C291&lt;&gt;"Servicio",H291&lt;&gt;0),"IVA solo en Servicio",IF(AND(C291="Servicio",F291=""),"Falta servicio","OK")))))))))</f>
        <v/>
      </c>
    </row>
    <row r="292" spans="1:12" ht="22" customHeight="1">
      <c r="A292" s="3"/>
      <c r="B292" s="7"/>
      <c r="C292" s="3"/>
      <c r="D292" s="3"/>
      <c r="E292" s="3"/>
      <c r="F292" s="3"/>
      <c r="G292" s="4"/>
      <c r="H292" s="4"/>
      <c r="I292" s="3"/>
      <c r="J292" s="3"/>
      <c r="K292" s="8" t="str">
        <f t="shared" si="4"/>
        <v/>
      </c>
      <c r="L292" s="1" t="str">
        <f>IF(COUNTA(A292:J292)=0,"",IF(OR(AND(C292&lt;&gt;"Servicio",C292&lt;&gt;"Cobro",C292&lt;&gt;"Anticipo",C292&lt;&gt;"Aplicación anticipo",C292&lt;&gt;"Retención ISR",C292&lt;&gt;"Retención IVA"),AND(C292="Servicio",F292&lt;&gt;"TMS",F292&lt;&gt;"Valoración",F292&lt;&gt;"EEG",F292&lt;&gt;"Neurofeedback",F292&lt;&gt;"Fotobiomodulación",F292&lt;&gt;"Psicoterapia",F292&lt;&gt;"Otros")),"Tipo o categoría inválido",IF(COUNTA(A292:J292)=0,"",IF(OR(A292="",B292="",C292="",G292=""),"Faltan datos",IF(COUNTIF($A$7:$A$2006,A292)&gt;1,"ID duplicado",IF(OR(B292&lt;DATE(Configuración!$C$5,1,1),B292&gt;=DATE(Configuración!$C$5+1,1,1)),"Fecha fuera del año",IF(OR(G292&lt;0,H292&lt;0),"Revisar signo",IF(AND(C292&lt;&gt;"Servicio",H292&lt;&gt;0),"IVA solo en Servicio",IF(AND(C292="Servicio",F292=""),"Falta servicio","OK")))))))))</f>
        <v/>
      </c>
    </row>
    <row r="293" spans="1:12" ht="22" customHeight="1">
      <c r="A293" s="3"/>
      <c r="B293" s="7"/>
      <c r="C293" s="3"/>
      <c r="D293" s="3"/>
      <c r="E293" s="3"/>
      <c r="F293" s="3"/>
      <c r="G293" s="4"/>
      <c r="H293" s="4"/>
      <c r="I293" s="3"/>
      <c r="J293" s="3"/>
      <c r="K293" s="8" t="str">
        <f t="shared" si="4"/>
        <v/>
      </c>
      <c r="L293" s="1" t="str">
        <f>IF(COUNTA(A293:J293)=0,"",IF(OR(AND(C293&lt;&gt;"Servicio",C293&lt;&gt;"Cobro",C293&lt;&gt;"Anticipo",C293&lt;&gt;"Aplicación anticipo",C293&lt;&gt;"Retención ISR",C293&lt;&gt;"Retención IVA"),AND(C293="Servicio",F293&lt;&gt;"TMS",F293&lt;&gt;"Valoración",F293&lt;&gt;"EEG",F293&lt;&gt;"Neurofeedback",F293&lt;&gt;"Fotobiomodulación",F293&lt;&gt;"Psicoterapia",F293&lt;&gt;"Otros")),"Tipo o categoría inválido",IF(COUNTA(A293:J293)=0,"",IF(OR(A293="",B293="",C293="",G293=""),"Faltan datos",IF(COUNTIF($A$7:$A$2006,A293)&gt;1,"ID duplicado",IF(OR(B293&lt;DATE(Configuración!$C$5,1,1),B293&gt;=DATE(Configuración!$C$5+1,1,1)),"Fecha fuera del año",IF(OR(G293&lt;0,H293&lt;0),"Revisar signo",IF(AND(C293&lt;&gt;"Servicio",H293&lt;&gt;0),"IVA solo en Servicio",IF(AND(C293="Servicio",F293=""),"Falta servicio","OK")))))))))</f>
        <v/>
      </c>
    </row>
    <row r="294" spans="1:12" ht="22" customHeight="1">
      <c r="A294" s="3"/>
      <c r="B294" s="7"/>
      <c r="C294" s="3"/>
      <c r="D294" s="3"/>
      <c r="E294" s="3"/>
      <c r="F294" s="3"/>
      <c r="G294" s="4"/>
      <c r="H294" s="4"/>
      <c r="I294" s="3"/>
      <c r="J294" s="3"/>
      <c r="K294" s="8" t="str">
        <f t="shared" si="4"/>
        <v/>
      </c>
      <c r="L294" s="1" t="str">
        <f>IF(COUNTA(A294:J294)=0,"",IF(OR(AND(C294&lt;&gt;"Servicio",C294&lt;&gt;"Cobro",C294&lt;&gt;"Anticipo",C294&lt;&gt;"Aplicación anticipo",C294&lt;&gt;"Retención ISR",C294&lt;&gt;"Retención IVA"),AND(C294="Servicio",F294&lt;&gt;"TMS",F294&lt;&gt;"Valoración",F294&lt;&gt;"EEG",F294&lt;&gt;"Neurofeedback",F294&lt;&gt;"Fotobiomodulación",F294&lt;&gt;"Psicoterapia",F294&lt;&gt;"Otros")),"Tipo o categoría inválido",IF(COUNTA(A294:J294)=0,"",IF(OR(A294="",B294="",C294="",G294=""),"Faltan datos",IF(COUNTIF($A$7:$A$2006,A294)&gt;1,"ID duplicado",IF(OR(B294&lt;DATE(Configuración!$C$5,1,1),B294&gt;=DATE(Configuración!$C$5+1,1,1)),"Fecha fuera del año",IF(OR(G294&lt;0,H294&lt;0),"Revisar signo",IF(AND(C294&lt;&gt;"Servicio",H294&lt;&gt;0),"IVA solo en Servicio",IF(AND(C294="Servicio",F294=""),"Falta servicio","OK")))))))))</f>
        <v/>
      </c>
    </row>
    <row r="295" spans="1:12" ht="22" customHeight="1">
      <c r="A295" s="3"/>
      <c r="B295" s="7"/>
      <c r="C295" s="3"/>
      <c r="D295" s="3"/>
      <c r="E295" s="3"/>
      <c r="F295" s="3"/>
      <c r="G295" s="4"/>
      <c r="H295" s="4"/>
      <c r="I295" s="3"/>
      <c r="J295" s="3"/>
      <c r="K295" s="8" t="str">
        <f t="shared" si="4"/>
        <v/>
      </c>
      <c r="L295" s="1" t="str">
        <f>IF(COUNTA(A295:J295)=0,"",IF(OR(AND(C295&lt;&gt;"Servicio",C295&lt;&gt;"Cobro",C295&lt;&gt;"Anticipo",C295&lt;&gt;"Aplicación anticipo",C295&lt;&gt;"Retención ISR",C295&lt;&gt;"Retención IVA"),AND(C295="Servicio",F295&lt;&gt;"TMS",F295&lt;&gt;"Valoración",F295&lt;&gt;"EEG",F295&lt;&gt;"Neurofeedback",F295&lt;&gt;"Fotobiomodulación",F295&lt;&gt;"Psicoterapia",F295&lt;&gt;"Otros")),"Tipo o categoría inválido",IF(COUNTA(A295:J295)=0,"",IF(OR(A295="",B295="",C295="",G295=""),"Faltan datos",IF(COUNTIF($A$7:$A$2006,A295)&gt;1,"ID duplicado",IF(OR(B295&lt;DATE(Configuración!$C$5,1,1),B295&gt;=DATE(Configuración!$C$5+1,1,1)),"Fecha fuera del año",IF(OR(G295&lt;0,H295&lt;0),"Revisar signo",IF(AND(C295&lt;&gt;"Servicio",H295&lt;&gt;0),"IVA solo en Servicio",IF(AND(C295="Servicio",F295=""),"Falta servicio","OK")))))))))</f>
        <v/>
      </c>
    </row>
    <row r="296" spans="1:12" ht="22" customHeight="1">
      <c r="A296" s="3"/>
      <c r="B296" s="7"/>
      <c r="C296" s="3"/>
      <c r="D296" s="3"/>
      <c r="E296" s="3"/>
      <c r="F296" s="3"/>
      <c r="G296" s="4"/>
      <c r="H296" s="4"/>
      <c r="I296" s="3"/>
      <c r="J296" s="3"/>
      <c r="K296" s="8" t="str">
        <f t="shared" si="4"/>
        <v/>
      </c>
      <c r="L296" s="1" t="str">
        <f>IF(COUNTA(A296:J296)=0,"",IF(OR(AND(C296&lt;&gt;"Servicio",C296&lt;&gt;"Cobro",C296&lt;&gt;"Anticipo",C296&lt;&gt;"Aplicación anticipo",C296&lt;&gt;"Retención ISR",C296&lt;&gt;"Retención IVA"),AND(C296="Servicio",F296&lt;&gt;"TMS",F296&lt;&gt;"Valoración",F296&lt;&gt;"EEG",F296&lt;&gt;"Neurofeedback",F296&lt;&gt;"Fotobiomodulación",F296&lt;&gt;"Psicoterapia",F296&lt;&gt;"Otros")),"Tipo o categoría inválido",IF(COUNTA(A296:J296)=0,"",IF(OR(A296="",B296="",C296="",G296=""),"Faltan datos",IF(COUNTIF($A$7:$A$2006,A296)&gt;1,"ID duplicado",IF(OR(B296&lt;DATE(Configuración!$C$5,1,1),B296&gt;=DATE(Configuración!$C$5+1,1,1)),"Fecha fuera del año",IF(OR(G296&lt;0,H296&lt;0),"Revisar signo",IF(AND(C296&lt;&gt;"Servicio",H296&lt;&gt;0),"IVA solo en Servicio",IF(AND(C296="Servicio",F296=""),"Falta servicio","OK")))))))))</f>
        <v/>
      </c>
    </row>
    <row r="297" spans="1:12" ht="22" customHeight="1">
      <c r="A297" s="3"/>
      <c r="B297" s="7"/>
      <c r="C297" s="3"/>
      <c r="D297" s="3"/>
      <c r="E297" s="3"/>
      <c r="F297" s="3"/>
      <c r="G297" s="4"/>
      <c r="H297" s="4"/>
      <c r="I297" s="3"/>
      <c r="J297" s="3"/>
      <c r="K297" s="8" t="str">
        <f t="shared" si="4"/>
        <v/>
      </c>
      <c r="L297" s="1" t="str">
        <f>IF(COUNTA(A297:J297)=0,"",IF(OR(AND(C297&lt;&gt;"Servicio",C297&lt;&gt;"Cobro",C297&lt;&gt;"Anticipo",C297&lt;&gt;"Aplicación anticipo",C297&lt;&gt;"Retención ISR",C297&lt;&gt;"Retención IVA"),AND(C297="Servicio",F297&lt;&gt;"TMS",F297&lt;&gt;"Valoración",F297&lt;&gt;"EEG",F297&lt;&gt;"Neurofeedback",F297&lt;&gt;"Fotobiomodulación",F297&lt;&gt;"Psicoterapia",F297&lt;&gt;"Otros")),"Tipo o categoría inválido",IF(COUNTA(A297:J297)=0,"",IF(OR(A297="",B297="",C297="",G297=""),"Faltan datos",IF(COUNTIF($A$7:$A$2006,A297)&gt;1,"ID duplicado",IF(OR(B297&lt;DATE(Configuración!$C$5,1,1),B297&gt;=DATE(Configuración!$C$5+1,1,1)),"Fecha fuera del año",IF(OR(G297&lt;0,H297&lt;0),"Revisar signo",IF(AND(C297&lt;&gt;"Servicio",H297&lt;&gt;0),"IVA solo en Servicio",IF(AND(C297="Servicio",F297=""),"Falta servicio","OK")))))))))</f>
        <v/>
      </c>
    </row>
    <row r="298" spans="1:12" ht="22" customHeight="1">
      <c r="A298" s="3"/>
      <c r="B298" s="7"/>
      <c r="C298" s="3"/>
      <c r="D298" s="3"/>
      <c r="E298" s="3"/>
      <c r="F298" s="3"/>
      <c r="G298" s="4"/>
      <c r="H298" s="4"/>
      <c r="I298" s="3"/>
      <c r="J298" s="3"/>
      <c r="K298" s="8" t="str">
        <f t="shared" si="4"/>
        <v/>
      </c>
      <c r="L298" s="1" t="str">
        <f>IF(COUNTA(A298:J298)=0,"",IF(OR(AND(C298&lt;&gt;"Servicio",C298&lt;&gt;"Cobro",C298&lt;&gt;"Anticipo",C298&lt;&gt;"Aplicación anticipo",C298&lt;&gt;"Retención ISR",C298&lt;&gt;"Retención IVA"),AND(C298="Servicio",F298&lt;&gt;"TMS",F298&lt;&gt;"Valoración",F298&lt;&gt;"EEG",F298&lt;&gt;"Neurofeedback",F298&lt;&gt;"Fotobiomodulación",F298&lt;&gt;"Psicoterapia",F298&lt;&gt;"Otros")),"Tipo o categoría inválido",IF(COUNTA(A298:J298)=0,"",IF(OR(A298="",B298="",C298="",G298=""),"Faltan datos",IF(COUNTIF($A$7:$A$2006,A298)&gt;1,"ID duplicado",IF(OR(B298&lt;DATE(Configuración!$C$5,1,1),B298&gt;=DATE(Configuración!$C$5+1,1,1)),"Fecha fuera del año",IF(OR(G298&lt;0,H298&lt;0),"Revisar signo",IF(AND(C298&lt;&gt;"Servicio",H298&lt;&gt;0),"IVA solo en Servicio",IF(AND(C298="Servicio",F298=""),"Falta servicio","OK")))))))))</f>
        <v/>
      </c>
    </row>
    <row r="299" spans="1:12" ht="22" customHeight="1">
      <c r="A299" s="3"/>
      <c r="B299" s="7"/>
      <c r="C299" s="3"/>
      <c r="D299" s="3"/>
      <c r="E299" s="3"/>
      <c r="F299" s="3"/>
      <c r="G299" s="4"/>
      <c r="H299" s="4"/>
      <c r="I299" s="3"/>
      <c r="J299" s="3"/>
      <c r="K299" s="8" t="str">
        <f t="shared" si="4"/>
        <v/>
      </c>
      <c r="L299" s="1" t="str">
        <f>IF(COUNTA(A299:J299)=0,"",IF(OR(AND(C299&lt;&gt;"Servicio",C299&lt;&gt;"Cobro",C299&lt;&gt;"Anticipo",C299&lt;&gt;"Aplicación anticipo",C299&lt;&gt;"Retención ISR",C299&lt;&gt;"Retención IVA"),AND(C299="Servicio",F299&lt;&gt;"TMS",F299&lt;&gt;"Valoración",F299&lt;&gt;"EEG",F299&lt;&gt;"Neurofeedback",F299&lt;&gt;"Fotobiomodulación",F299&lt;&gt;"Psicoterapia",F299&lt;&gt;"Otros")),"Tipo o categoría inválido",IF(COUNTA(A299:J299)=0,"",IF(OR(A299="",B299="",C299="",G299=""),"Faltan datos",IF(COUNTIF($A$7:$A$2006,A299)&gt;1,"ID duplicado",IF(OR(B299&lt;DATE(Configuración!$C$5,1,1),B299&gt;=DATE(Configuración!$C$5+1,1,1)),"Fecha fuera del año",IF(OR(G299&lt;0,H299&lt;0),"Revisar signo",IF(AND(C299&lt;&gt;"Servicio",H299&lt;&gt;0),"IVA solo en Servicio",IF(AND(C299="Servicio",F299=""),"Falta servicio","OK")))))))))</f>
        <v/>
      </c>
    </row>
    <row r="300" spans="1:12" ht="22" customHeight="1">
      <c r="A300" s="3"/>
      <c r="B300" s="7"/>
      <c r="C300" s="3"/>
      <c r="D300" s="3"/>
      <c r="E300" s="3"/>
      <c r="F300" s="3"/>
      <c r="G300" s="4"/>
      <c r="H300" s="4"/>
      <c r="I300" s="3"/>
      <c r="J300" s="3"/>
      <c r="K300" s="8" t="str">
        <f t="shared" si="4"/>
        <v/>
      </c>
      <c r="L300" s="1" t="str">
        <f>IF(COUNTA(A300:J300)=0,"",IF(OR(AND(C300&lt;&gt;"Servicio",C300&lt;&gt;"Cobro",C300&lt;&gt;"Anticipo",C300&lt;&gt;"Aplicación anticipo",C300&lt;&gt;"Retención ISR",C300&lt;&gt;"Retención IVA"),AND(C300="Servicio",F300&lt;&gt;"TMS",F300&lt;&gt;"Valoración",F300&lt;&gt;"EEG",F300&lt;&gt;"Neurofeedback",F300&lt;&gt;"Fotobiomodulación",F300&lt;&gt;"Psicoterapia",F300&lt;&gt;"Otros")),"Tipo o categoría inválido",IF(COUNTA(A300:J300)=0,"",IF(OR(A300="",B300="",C300="",G300=""),"Faltan datos",IF(COUNTIF($A$7:$A$2006,A300)&gt;1,"ID duplicado",IF(OR(B300&lt;DATE(Configuración!$C$5,1,1),B300&gt;=DATE(Configuración!$C$5+1,1,1)),"Fecha fuera del año",IF(OR(G300&lt;0,H300&lt;0),"Revisar signo",IF(AND(C300&lt;&gt;"Servicio",H300&lt;&gt;0),"IVA solo en Servicio",IF(AND(C300="Servicio",F300=""),"Falta servicio","OK")))))))))</f>
        <v/>
      </c>
    </row>
    <row r="301" spans="1:12" ht="22" customHeight="1">
      <c r="A301" s="3"/>
      <c r="B301" s="7"/>
      <c r="C301" s="3"/>
      <c r="D301" s="3"/>
      <c r="E301" s="3"/>
      <c r="F301" s="3"/>
      <c r="G301" s="4"/>
      <c r="H301" s="4"/>
      <c r="I301" s="3"/>
      <c r="J301" s="3"/>
      <c r="K301" s="8" t="str">
        <f t="shared" si="4"/>
        <v/>
      </c>
      <c r="L301" s="1" t="str">
        <f>IF(COUNTA(A301:J301)=0,"",IF(OR(AND(C301&lt;&gt;"Servicio",C301&lt;&gt;"Cobro",C301&lt;&gt;"Anticipo",C301&lt;&gt;"Aplicación anticipo",C301&lt;&gt;"Retención ISR",C301&lt;&gt;"Retención IVA"),AND(C301="Servicio",F301&lt;&gt;"TMS",F301&lt;&gt;"Valoración",F301&lt;&gt;"EEG",F301&lt;&gt;"Neurofeedback",F301&lt;&gt;"Fotobiomodulación",F301&lt;&gt;"Psicoterapia",F301&lt;&gt;"Otros")),"Tipo o categoría inválido",IF(COUNTA(A301:J301)=0,"",IF(OR(A301="",B301="",C301="",G301=""),"Faltan datos",IF(COUNTIF($A$7:$A$2006,A301)&gt;1,"ID duplicado",IF(OR(B301&lt;DATE(Configuración!$C$5,1,1),B301&gt;=DATE(Configuración!$C$5+1,1,1)),"Fecha fuera del año",IF(OR(G301&lt;0,H301&lt;0),"Revisar signo",IF(AND(C301&lt;&gt;"Servicio",H301&lt;&gt;0),"IVA solo en Servicio",IF(AND(C301="Servicio",F301=""),"Falta servicio","OK")))))))))</f>
        <v/>
      </c>
    </row>
    <row r="302" spans="1:12" ht="22" customHeight="1">
      <c r="A302" s="3"/>
      <c r="B302" s="7"/>
      <c r="C302" s="3"/>
      <c r="D302" s="3"/>
      <c r="E302" s="3"/>
      <c r="F302" s="3"/>
      <c r="G302" s="4"/>
      <c r="H302" s="4"/>
      <c r="I302" s="3"/>
      <c r="J302" s="3"/>
      <c r="K302" s="8" t="str">
        <f t="shared" si="4"/>
        <v/>
      </c>
      <c r="L302" s="1" t="str">
        <f>IF(COUNTA(A302:J302)=0,"",IF(OR(AND(C302&lt;&gt;"Servicio",C302&lt;&gt;"Cobro",C302&lt;&gt;"Anticipo",C302&lt;&gt;"Aplicación anticipo",C302&lt;&gt;"Retención ISR",C302&lt;&gt;"Retención IVA"),AND(C302="Servicio",F302&lt;&gt;"TMS",F302&lt;&gt;"Valoración",F302&lt;&gt;"EEG",F302&lt;&gt;"Neurofeedback",F302&lt;&gt;"Fotobiomodulación",F302&lt;&gt;"Psicoterapia",F302&lt;&gt;"Otros")),"Tipo o categoría inválido",IF(COUNTA(A302:J302)=0,"",IF(OR(A302="",B302="",C302="",G302=""),"Faltan datos",IF(COUNTIF($A$7:$A$2006,A302)&gt;1,"ID duplicado",IF(OR(B302&lt;DATE(Configuración!$C$5,1,1),B302&gt;=DATE(Configuración!$C$5+1,1,1)),"Fecha fuera del año",IF(OR(G302&lt;0,H302&lt;0),"Revisar signo",IF(AND(C302&lt;&gt;"Servicio",H302&lt;&gt;0),"IVA solo en Servicio",IF(AND(C302="Servicio",F302=""),"Falta servicio","OK")))))))))</f>
        <v/>
      </c>
    </row>
    <row r="303" spans="1:12" ht="22" customHeight="1">
      <c r="A303" s="3"/>
      <c r="B303" s="7"/>
      <c r="C303" s="3"/>
      <c r="D303" s="3"/>
      <c r="E303" s="3"/>
      <c r="F303" s="3"/>
      <c r="G303" s="4"/>
      <c r="H303" s="4"/>
      <c r="I303" s="3"/>
      <c r="J303" s="3"/>
      <c r="K303" s="8" t="str">
        <f t="shared" si="4"/>
        <v/>
      </c>
      <c r="L303" s="1" t="str">
        <f>IF(COUNTA(A303:J303)=0,"",IF(OR(AND(C303&lt;&gt;"Servicio",C303&lt;&gt;"Cobro",C303&lt;&gt;"Anticipo",C303&lt;&gt;"Aplicación anticipo",C303&lt;&gt;"Retención ISR",C303&lt;&gt;"Retención IVA"),AND(C303="Servicio",F303&lt;&gt;"TMS",F303&lt;&gt;"Valoración",F303&lt;&gt;"EEG",F303&lt;&gt;"Neurofeedback",F303&lt;&gt;"Fotobiomodulación",F303&lt;&gt;"Psicoterapia",F303&lt;&gt;"Otros")),"Tipo o categoría inválido",IF(COUNTA(A303:J303)=0,"",IF(OR(A303="",B303="",C303="",G303=""),"Faltan datos",IF(COUNTIF($A$7:$A$2006,A303)&gt;1,"ID duplicado",IF(OR(B303&lt;DATE(Configuración!$C$5,1,1),B303&gt;=DATE(Configuración!$C$5+1,1,1)),"Fecha fuera del año",IF(OR(G303&lt;0,H303&lt;0),"Revisar signo",IF(AND(C303&lt;&gt;"Servicio",H303&lt;&gt;0),"IVA solo en Servicio",IF(AND(C303="Servicio",F303=""),"Falta servicio","OK")))))))))</f>
        <v/>
      </c>
    </row>
    <row r="304" spans="1:12" ht="22" customHeight="1">
      <c r="A304" s="3"/>
      <c r="B304" s="7"/>
      <c r="C304" s="3"/>
      <c r="D304" s="3"/>
      <c r="E304" s="3"/>
      <c r="F304" s="3"/>
      <c r="G304" s="4"/>
      <c r="H304" s="4"/>
      <c r="I304" s="3"/>
      <c r="J304" s="3"/>
      <c r="K304" s="8" t="str">
        <f t="shared" si="4"/>
        <v/>
      </c>
      <c r="L304" s="1" t="str">
        <f>IF(COUNTA(A304:J304)=0,"",IF(OR(AND(C304&lt;&gt;"Servicio",C304&lt;&gt;"Cobro",C304&lt;&gt;"Anticipo",C304&lt;&gt;"Aplicación anticipo",C304&lt;&gt;"Retención ISR",C304&lt;&gt;"Retención IVA"),AND(C304="Servicio",F304&lt;&gt;"TMS",F304&lt;&gt;"Valoración",F304&lt;&gt;"EEG",F304&lt;&gt;"Neurofeedback",F304&lt;&gt;"Fotobiomodulación",F304&lt;&gt;"Psicoterapia",F304&lt;&gt;"Otros")),"Tipo o categoría inválido",IF(COUNTA(A304:J304)=0,"",IF(OR(A304="",B304="",C304="",G304=""),"Faltan datos",IF(COUNTIF($A$7:$A$2006,A304)&gt;1,"ID duplicado",IF(OR(B304&lt;DATE(Configuración!$C$5,1,1),B304&gt;=DATE(Configuración!$C$5+1,1,1)),"Fecha fuera del año",IF(OR(G304&lt;0,H304&lt;0),"Revisar signo",IF(AND(C304&lt;&gt;"Servicio",H304&lt;&gt;0),"IVA solo en Servicio",IF(AND(C304="Servicio",F304=""),"Falta servicio","OK")))))))))</f>
        <v/>
      </c>
    </row>
    <row r="305" spans="1:12" ht="22" customHeight="1">
      <c r="A305" s="3"/>
      <c r="B305" s="7"/>
      <c r="C305" s="3"/>
      <c r="D305" s="3"/>
      <c r="E305" s="3"/>
      <c r="F305" s="3"/>
      <c r="G305" s="4"/>
      <c r="H305" s="4"/>
      <c r="I305" s="3"/>
      <c r="J305" s="3"/>
      <c r="K305" s="8" t="str">
        <f t="shared" si="4"/>
        <v/>
      </c>
      <c r="L305" s="1" t="str">
        <f>IF(COUNTA(A305:J305)=0,"",IF(OR(AND(C305&lt;&gt;"Servicio",C305&lt;&gt;"Cobro",C305&lt;&gt;"Anticipo",C305&lt;&gt;"Aplicación anticipo",C305&lt;&gt;"Retención ISR",C305&lt;&gt;"Retención IVA"),AND(C305="Servicio",F305&lt;&gt;"TMS",F305&lt;&gt;"Valoración",F305&lt;&gt;"EEG",F305&lt;&gt;"Neurofeedback",F305&lt;&gt;"Fotobiomodulación",F305&lt;&gt;"Psicoterapia",F305&lt;&gt;"Otros")),"Tipo o categoría inválido",IF(COUNTA(A305:J305)=0,"",IF(OR(A305="",B305="",C305="",G305=""),"Faltan datos",IF(COUNTIF($A$7:$A$2006,A305)&gt;1,"ID duplicado",IF(OR(B305&lt;DATE(Configuración!$C$5,1,1),B305&gt;=DATE(Configuración!$C$5+1,1,1)),"Fecha fuera del año",IF(OR(G305&lt;0,H305&lt;0),"Revisar signo",IF(AND(C305&lt;&gt;"Servicio",H305&lt;&gt;0),"IVA solo en Servicio",IF(AND(C305="Servicio",F305=""),"Falta servicio","OK")))))))))</f>
        <v/>
      </c>
    </row>
    <row r="306" spans="1:12" ht="22" customHeight="1">
      <c r="A306" s="3"/>
      <c r="B306" s="7"/>
      <c r="C306" s="3"/>
      <c r="D306" s="3"/>
      <c r="E306" s="3"/>
      <c r="F306" s="3"/>
      <c r="G306" s="4"/>
      <c r="H306" s="4"/>
      <c r="I306" s="3"/>
      <c r="J306" s="3"/>
      <c r="K306" s="8" t="str">
        <f t="shared" si="4"/>
        <v/>
      </c>
      <c r="L306" s="1" t="str">
        <f>IF(COUNTA(A306:J306)=0,"",IF(OR(AND(C306&lt;&gt;"Servicio",C306&lt;&gt;"Cobro",C306&lt;&gt;"Anticipo",C306&lt;&gt;"Aplicación anticipo",C306&lt;&gt;"Retención ISR",C306&lt;&gt;"Retención IVA"),AND(C306="Servicio",F306&lt;&gt;"TMS",F306&lt;&gt;"Valoración",F306&lt;&gt;"EEG",F306&lt;&gt;"Neurofeedback",F306&lt;&gt;"Fotobiomodulación",F306&lt;&gt;"Psicoterapia",F306&lt;&gt;"Otros")),"Tipo o categoría inválido",IF(COUNTA(A306:J306)=0,"",IF(OR(A306="",B306="",C306="",G306=""),"Faltan datos",IF(COUNTIF($A$7:$A$2006,A306)&gt;1,"ID duplicado",IF(OR(B306&lt;DATE(Configuración!$C$5,1,1),B306&gt;=DATE(Configuración!$C$5+1,1,1)),"Fecha fuera del año",IF(OR(G306&lt;0,H306&lt;0),"Revisar signo",IF(AND(C306&lt;&gt;"Servicio",H306&lt;&gt;0),"IVA solo en Servicio",IF(AND(C306="Servicio",F306=""),"Falta servicio","OK")))))))))</f>
        <v/>
      </c>
    </row>
    <row r="307" spans="1:12" ht="22" customHeight="1">
      <c r="A307" s="3"/>
      <c r="B307" s="7"/>
      <c r="C307" s="3"/>
      <c r="D307" s="3"/>
      <c r="E307" s="3"/>
      <c r="F307" s="3"/>
      <c r="G307" s="4"/>
      <c r="H307" s="4"/>
      <c r="I307" s="3"/>
      <c r="J307" s="3"/>
      <c r="K307" s="8" t="str">
        <f t="shared" si="4"/>
        <v/>
      </c>
      <c r="L307" s="1" t="str">
        <f>IF(COUNTA(A307:J307)=0,"",IF(OR(AND(C307&lt;&gt;"Servicio",C307&lt;&gt;"Cobro",C307&lt;&gt;"Anticipo",C307&lt;&gt;"Aplicación anticipo",C307&lt;&gt;"Retención ISR",C307&lt;&gt;"Retención IVA"),AND(C307="Servicio",F307&lt;&gt;"TMS",F307&lt;&gt;"Valoración",F307&lt;&gt;"EEG",F307&lt;&gt;"Neurofeedback",F307&lt;&gt;"Fotobiomodulación",F307&lt;&gt;"Psicoterapia",F307&lt;&gt;"Otros")),"Tipo o categoría inválido",IF(COUNTA(A307:J307)=0,"",IF(OR(A307="",B307="",C307="",G307=""),"Faltan datos",IF(COUNTIF($A$7:$A$2006,A307)&gt;1,"ID duplicado",IF(OR(B307&lt;DATE(Configuración!$C$5,1,1),B307&gt;=DATE(Configuración!$C$5+1,1,1)),"Fecha fuera del año",IF(OR(G307&lt;0,H307&lt;0),"Revisar signo",IF(AND(C307&lt;&gt;"Servicio",H307&lt;&gt;0),"IVA solo en Servicio",IF(AND(C307="Servicio",F307=""),"Falta servicio","OK")))))))))</f>
        <v/>
      </c>
    </row>
    <row r="308" spans="1:12" ht="22" customHeight="1">
      <c r="A308" s="3"/>
      <c r="B308" s="7"/>
      <c r="C308" s="3"/>
      <c r="D308" s="3"/>
      <c r="E308" s="3"/>
      <c r="F308" s="3"/>
      <c r="G308" s="4"/>
      <c r="H308" s="4"/>
      <c r="I308" s="3"/>
      <c r="J308" s="3"/>
      <c r="K308" s="8" t="str">
        <f t="shared" si="4"/>
        <v/>
      </c>
      <c r="L308" s="1" t="str">
        <f>IF(COUNTA(A308:J308)=0,"",IF(OR(AND(C308&lt;&gt;"Servicio",C308&lt;&gt;"Cobro",C308&lt;&gt;"Anticipo",C308&lt;&gt;"Aplicación anticipo",C308&lt;&gt;"Retención ISR",C308&lt;&gt;"Retención IVA"),AND(C308="Servicio",F308&lt;&gt;"TMS",F308&lt;&gt;"Valoración",F308&lt;&gt;"EEG",F308&lt;&gt;"Neurofeedback",F308&lt;&gt;"Fotobiomodulación",F308&lt;&gt;"Psicoterapia",F308&lt;&gt;"Otros")),"Tipo o categoría inválido",IF(COUNTA(A308:J308)=0,"",IF(OR(A308="",B308="",C308="",G308=""),"Faltan datos",IF(COUNTIF($A$7:$A$2006,A308)&gt;1,"ID duplicado",IF(OR(B308&lt;DATE(Configuración!$C$5,1,1),B308&gt;=DATE(Configuración!$C$5+1,1,1)),"Fecha fuera del año",IF(OR(G308&lt;0,H308&lt;0),"Revisar signo",IF(AND(C308&lt;&gt;"Servicio",H308&lt;&gt;0),"IVA solo en Servicio",IF(AND(C308="Servicio",F308=""),"Falta servicio","OK")))))))))</f>
        <v/>
      </c>
    </row>
    <row r="309" spans="1:12" ht="22" customHeight="1">
      <c r="A309" s="3"/>
      <c r="B309" s="7"/>
      <c r="C309" s="3"/>
      <c r="D309" s="3"/>
      <c r="E309" s="3"/>
      <c r="F309" s="3"/>
      <c r="G309" s="4"/>
      <c r="H309" s="4"/>
      <c r="I309" s="3"/>
      <c r="J309" s="3"/>
      <c r="K309" s="8" t="str">
        <f t="shared" si="4"/>
        <v/>
      </c>
      <c r="L309" s="1" t="str">
        <f>IF(COUNTA(A309:J309)=0,"",IF(OR(AND(C309&lt;&gt;"Servicio",C309&lt;&gt;"Cobro",C309&lt;&gt;"Anticipo",C309&lt;&gt;"Aplicación anticipo",C309&lt;&gt;"Retención ISR",C309&lt;&gt;"Retención IVA"),AND(C309="Servicio",F309&lt;&gt;"TMS",F309&lt;&gt;"Valoración",F309&lt;&gt;"EEG",F309&lt;&gt;"Neurofeedback",F309&lt;&gt;"Fotobiomodulación",F309&lt;&gt;"Psicoterapia",F309&lt;&gt;"Otros")),"Tipo o categoría inválido",IF(COUNTA(A309:J309)=0,"",IF(OR(A309="",B309="",C309="",G309=""),"Faltan datos",IF(COUNTIF($A$7:$A$2006,A309)&gt;1,"ID duplicado",IF(OR(B309&lt;DATE(Configuración!$C$5,1,1),B309&gt;=DATE(Configuración!$C$5+1,1,1)),"Fecha fuera del año",IF(OR(G309&lt;0,H309&lt;0),"Revisar signo",IF(AND(C309&lt;&gt;"Servicio",H309&lt;&gt;0),"IVA solo en Servicio",IF(AND(C309="Servicio",F309=""),"Falta servicio","OK")))))))))</f>
        <v/>
      </c>
    </row>
    <row r="310" spans="1:12" ht="22" customHeight="1">
      <c r="A310" s="3"/>
      <c r="B310" s="7"/>
      <c r="C310" s="3"/>
      <c r="D310" s="3"/>
      <c r="E310" s="3"/>
      <c r="F310" s="3"/>
      <c r="G310" s="4"/>
      <c r="H310" s="4"/>
      <c r="I310" s="3"/>
      <c r="J310" s="3"/>
      <c r="K310" s="8" t="str">
        <f t="shared" si="4"/>
        <v/>
      </c>
      <c r="L310" s="1" t="str">
        <f>IF(COUNTA(A310:J310)=0,"",IF(OR(AND(C310&lt;&gt;"Servicio",C310&lt;&gt;"Cobro",C310&lt;&gt;"Anticipo",C310&lt;&gt;"Aplicación anticipo",C310&lt;&gt;"Retención ISR",C310&lt;&gt;"Retención IVA"),AND(C310="Servicio",F310&lt;&gt;"TMS",F310&lt;&gt;"Valoración",F310&lt;&gt;"EEG",F310&lt;&gt;"Neurofeedback",F310&lt;&gt;"Fotobiomodulación",F310&lt;&gt;"Psicoterapia",F310&lt;&gt;"Otros")),"Tipo o categoría inválido",IF(COUNTA(A310:J310)=0,"",IF(OR(A310="",B310="",C310="",G310=""),"Faltan datos",IF(COUNTIF($A$7:$A$2006,A310)&gt;1,"ID duplicado",IF(OR(B310&lt;DATE(Configuración!$C$5,1,1),B310&gt;=DATE(Configuración!$C$5+1,1,1)),"Fecha fuera del año",IF(OR(G310&lt;0,H310&lt;0),"Revisar signo",IF(AND(C310&lt;&gt;"Servicio",H310&lt;&gt;0),"IVA solo en Servicio",IF(AND(C310="Servicio",F310=""),"Falta servicio","OK")))))))))</f>
        <v/>
      </c>
    </row>
    <row r="311" spans="1:12" ht="22" customHeight="1">
      <c r="A311" s="3"/>
      <c r="B311" s="7"/>
      <c r="C311" s="3"/>
      <c r="D311" s="3"/>
      <c r="E311" s="3"/>
      <c r="F311" s="3"/>
      <c r="G311" s="4"/>
      <c r="H311" s="4"/>
      <c r="I311" s="3"/>
      <c r="J311" s="3"/>
      <c r="K311" s="8" t="str">
        <f t="shared" si="4"/>
        <v/>
      </c>
      <c r="L311" s="1" t="str">
        <f>IF(COUNTA(A311:J311)=0,"",IF(OR(AND(C311&lt;&gt;"Servicio",C311&lt;&gt;"Cobro",C311&lt;&gt;"Anticipo",C311&lt;&gt;"Aplicación anticipo",C311&lt;&gt;"Retención ISR",C311&lt;&gt;"Retención IVA"),AND(C311="Servicio",F311&lt;&gt;"TMS",F311&lt;&gt;"Valoración",F311&lt;&gt;"EEG",F311&lt;&gt;"Neurofeedback",F311&lt;&gt;"Fotobiomodulación",F311&lt;&gt;"Psicoterapia",F311&lt;&gt;"Otros")),"Tipo o categoría inválido",IF(COUNTA(A311:J311)=0,"",IF(OR(A311="",B311="",C311="",G311=""),"Faltan datos",IF(COUNTIF($A$7:$A$2006,A311)&gt;1,"ID duplicado",IF(OR(B311&lt;DATE(Configuración!$C$5,1,1),B311&gt;=DATE(Configuración!$C$5+1,1,1)),"Fecha fuera del año",IF(OR(G311&lt;0,H311&lt;0),"Revisar signo",IF(AND(C311&lt;&gt;"Servicio",H311&lt;&gt;0),"IVA solo en Servicio",IF(AND(C311="Servicio",F311=""),"Falta servicio","OK")))))))))</f>
        <v/>
      </c>
    </row>
    <row r="312" spans="1:12" ht="22" customHeight="1">
      <c r="A312" s="3"/>
      <c r="B312" s="7"/>
      <c r="C312" s="3"/>
      <c r="D312" s="3"/>
      <c r="E312" s="3"/>
      <c r="F312" s="3"/>
      <c r="G312" s="4"/>
      <c r="H312" s="4"/>
      <c r="I312" s="3"/>
      <c r="J312" s="3"/>
      <c r="K312" s="8" t="str">
        <f t="shared" si="4"/>
        <v/>
      </c>
      <c r="L312" s="1" t="str">
        <f>IF(COUNTA(A312:J312)=0,"",IF(OR(AND(C312&lt;&gt;"Servicio",C312&lt;&gt;"Cobro",C312&lt;&gt;"Anticipo",C312&lt;&gt;"Aplicación anticipo",C312&lt;&gt;"Retención ISR",C312&lt;&gt;"Retención IVA"),AND(C312="Servicio",F312&lt;&gt;"TMS",F312&lt;&gt;"Valoración",F312&lt;&gt;"EEG",F312&lt;&gt;"Neurofeedback",F312&lt;&gt;"Fotobiomodulación",F312&lt;&gt;"Psicoterapia",F312&lt;&gt;"Otros")),"Tipo o categoría inválido",IF(COUNTA(A312:J312)=0,"",IF(OR(A312="",B312="",C312="",G312=""),"Faltan datos",IF(COUNTIF($A$7:$A$2006,A312)&gt;1,"ID duplicado",IF(OR(B312&lt;DATE(Configuración!$C$5,1,1),B312&gt;=DATE(Configuración!$C$5+1,1,1)),"Fecha fuera del año",IF(OR(G312&lt;0,H312&lt;0),"Revisar signo",IF(AND(C312&lt;&gt;"Servicio",H312&lt;&gt;0),"IVA solo en Servicio",IF(AND(C312="Servicio",F312=""),"Falta servicio","OK")))))))))</f>
        <v/>
      </c>
    </row>
    <row r="313" spans="1:12" ht="22" customHeight="1">
      <c r="A313" s="3"/>
      <c r="B313" s="7"/>
      <c r="C313" s="3"/>
      <c r="D313" s="3"/>
      <c r="E313" s="3"/>
      <c r="F313" s="3"/>
      <c r="G313" s="4"/>
      <c r="H313" s="4"/>
      <c r="I313" s="3"/>
      <c r="J313" s="3"/>
      <c r="K313" s="8" t="str">
        <f t="shared" si="4"/>
        <v/>
      </c>
      <c r="L313" s="1" t="str">
        <f>IF(COUNTA(A313:J313)=0,"",IF(OR(AND(C313&lt;&gt;"Servicio",C313&lt;&gt;"Cobro",C313&lt;&gt;"Anticipo",C313&lt;&gt;"Aplicación anticipo",C313&lt;&gt;"Retención ISR",C313&lt;&gt;"Retención IVA"),AND(C313="Servicio",F313&lt;&gt;"TMS",F313&lt;&gt;"Valoración",F313&lt;&gt;"EEG",F313&lt;&gt;"Neurofeedback",F313&lt;&gt;"Fotobiomodulación",F313&lt;&gt;"Psicoterapia",F313&lt;&gt;"Otros")),"Tipo o categoría inválido",IF(COUNTA(A313:J313)=0,"",IF(OR(A313="",B313="",C313="",G313=""),"Faltan datos",IF(COUNTIF($A$7:$A$2006,A313)&gt;1,"ID duplicado",IF(OR(B313&lt;DATE(Configuración!$C$5,1,1),B313&gt;=DATE(Configuración!$C$5+1,1,1)),"Fecha fuera del año",IF(OR(G313&lt;0,H313&lt;0),"Revisar signo",IF(AND(C313&lt;&gt;"Servicio",H313&lt;&gt;0),"IVA solo en Servicio",IF(AND(C313="Servicio",F313=""),"Falta servicio","OK")))))))))</f>
        <v/>
      </c>
    </row>
    <row r="314" spans="1:12" ht="22" customHeight="1">
      <c r="A314" s="3"/>
      <c r="B314" s="7"/>
      <c r="C314" s="3"/>
      <c r="D314" s="3"/>
      <c r="E314" s="3"/>
      <c r="F314" s="3"/>
      <c r="G314" s="4"/>
      <c r="H314" s="4"/>
      <c r="I314" s="3"/>
      <c r="J314" s="3"/>
      <c r="K314" s="8" t="str">
        <f t="shared" si="4"/>
        <v/>
      </c>
      <c r="L314" s="1" t="str">
        <f>IF(COUNTA(A314:J314)=0,"",IF(OR(AND(C314&lt;&gt;"Servicio",C314&lt;&gt;"Cobro",C314&lt;&gt;"Anticipo",C314&lt;&gt;"Aplicación anticipo",C314&lt;&gt;"Retención ISR",C314&lt;&gt;"Retención IVA"),AND(C314="Servicio",F314&lt;&gt;"TMS",F314&lt;&gt;"Valoración",F314&lt;&gt;"EEG",F314&lt;&gt;"Neurofeedback",F314&lt;&gt;"Fotobiomodulación",F314&lt;&gt;"Psicoterapia",F314&lt;&gt;"Otros")),"Tipo o categoría inválido",IF(COUNTA(A314:J314)=0,"",IF(OR(A314="",B314="",C314="",G314=""),"Faltan datos",IF(COUNTIF($A$7:$A$2006,A314)&gt;1,"ID duplicado",IF(OR(B314&lt;DATE(Configuración!$C$5,1,1),B314&gt;=DATE(Configuración!$C$5+1,1,1)),"Fecha fuera del año",IF(OR(G314&lt;0,H314&lt;0),"Revisar signo",IF(AND(C314&lt;&gt;"Servicio",H314&lt;&gt;0),"IVA solo en Servicio",IF(AND(C314="Servicio",F314=""),"Falta servicio","OK")))))))))</f>
        <v/>
      </c>
    </row>
    <row r="315" spans="1:12" ht="22" customHeight="1">
      <c r="A315" s="3"/>
      <c r="B315" s="7"/>
      <c r="C315" s="3"/>
      <c r="D315" s="3"/>
      <c r="E315" s="3"/>
      <c r="F315" s="3"/>
      <c r="G315" s="4"/>
      <c r="H315" s="4"/>
      <c r="I315" s="3"/>
      <c r="J315" s="3"/>
      <c r="K315" s="8" t="str">
        <f t="shared" si="4"/>
        <v/>
      </c>
      <c r="L315" s="1" t="str">
        <f>IF(COUNTA(A315:J315)=0,"",IF(OR(AND(C315&lt;&gt;"Servicio",C315&lt;&gt;"Cobro",C315&lt;&gt;"Anticipo",C315&lt;&gt;"Aplicación anticipo",C315&lt;&gt;"Retención ISR",C315&lt;&gt;"Retención IVA"),AND(C315="Servicio",F315&lt;&gt;"TMS",F315&lt;&gt;"Valoración",F315&lt;&gt;"EEG",F315&lt;&gt;"Neurofeedback",F315&lt;&gt;"Fotobiomodulación",F315&lt;&gt;"Psicoterapia",F315&lt;&gt;"Otros")),"Tipo o categoría inválido",IF(COUNTA(A315:J315)=0,"",IF(OR(A315="",B315="",C315="",G315=""),"Faltan datos",IF(COUNTIF($A$7:$A$2006,A315)&gt;1,"ID duplicado",IF(OR(B315&lt;DATE(Configuración!$C$5,1,1),B315&gt;=DATE(Configuración!$C$5+1,1,1)),"Fecha fuera del año",IF(OR(G315&lt;0,H315&lt;0),"Revisar signo",IF(AND(C315&lt;&gt;"Servicio",H315&lt;&gt;0),"IVA solo en Servicio",IF(AND(C315="Servicio",F315=""),"Falta servicio","OK")))))))))</f>
        <v/>
      </c>
    </row>
    <row r="316" spans="1:12" ht="22" customHeight="1">
      <c r="A316" s="3"/>
      <c r="B316" s="7"/>
      <c r="C316" s="3"/>
      <c r="D316" s="3"/>
      <c r="E316" s="3"/>
      <c r="F316" s="3"/>
      <c r="G316" s="4"/>
      <c r="H316" s="4"/>
      <c r="I316" s="3"/>
      <c r="J316" s="3"/>
      <c r="K316" s="8" t="str">
        <f t="shared" si="4"/>
        <v/>
      </c>
      <c r="L316" s="1" t="str">
        <f>IF(COUNTA(A316:J316)=0,"",IF(OR(AND(C316&lt;&gt;"Servicio",C316&lt;&gt;"Cobro",C316&lt;&gt;"Anticipo",C316&lt;&gt;"Aplicación anticipo",C316&lt;&gt;"Retención ISR",C316&lt;&gt;"Retención IVA"),AND(C316="Servicio",F316&lt;&gt;"TMS",F316&lt;&gt;"Valoración",F316&lt;&gt;"EEG",F316&lt;&gt;"Neurofeedback",F316&lt;&gt;"Fotobiomodulación",F316&lt;&gt;"Psicoterapia",F316&lt;&gt;"Otros")),"Tipo o categoría inválido",IF(COUNTA(A316:J316)=0,"",IF(OR(A316="",B316="",C316="",G316=""),"Faltan datos",IF(COUNTIF($A$7:$A$2006,A316)&gt;1,"ID duplicado",IF(OR(B316&lt;DATE(Configuración!$C$5,1,1),B316&gt;=DATE(Configuración!$C$5+1,1,1)),"Fecha fuera del año",IF(OR(G316&lt;0,H316&lt;0),"Revisar signo",IF(AND(C316&lt;&gt;"Servicio",H316&lt;&gt;0),"IVA solo en Servicio",IF(AND(C316="Servicio",F316=""),"Falta servicio","OK")))))))))</f>
        <v/>
      </c>
    </row>
    <row r="317" spans="1:12" ht="22" customHeight="1">
      <c r="A317" s="3"/>
      <c r="B317" s="7"/>
      <c r="C317" s="3"/>
      <c r="D317" s="3"/>
      <c r="E317" s="3"/>
      <c r="F317" s="3"/>
      <c r="G317" s="4"/>
      <c r="H317" s="4"/>
      <c r="I317" s="3"/>
      <c r="J317" s="3"/>
      <c r="K317" s="8" t="str">
        <f t="shared" si="4"/>
        <v/>
      </c>
      <c r="L317" s="1" t="str">
        <f>IF(COUNTA(A317:J317)=0,"",IF(OR(AND(C317&lt;&gt;"Servicio",C317&lt;&gt;"Cobro",C317&lt;&gt;"Anticipo",C317&lt;&gt;"Aplicación anticipo",C317&lt;&gt;"Retención ISR",C317&lt;&gt;"Retención IVA"),AND(C317="Servicio",F317&lt;&gt;"TMS",F317&lt;&gt;"Valoración",F317&lt;&gt;"EEG",F317&lt;&gt;"Neurofeedback",F317&lt;&gt;"Fotobiomodulación",F317&lt;&gt;"Psicoterapia",F317&lt;&gt;"Otros")),"Tipo o categoría inválido",IF(COUNTA(A317:J317)=0,"",IF(OR(A317="",B317="",C317="",G317=""),"Faltan datos",IF(COUNTIF($A$7:$A$2006,A317)&gt;1,"ID duplicado",IF(OR(B317&lt;DATE(Configuración!$C$5,1,1),B317&gt;=DATE(Configuración!$C$5+1,1,1)),"Fecha fuera del año",IF(OR(G317&lt;0,H317&lt;0),"Revisar signo",IF(AND(C317&lt;&gt;"Servicio",H317&lt;&gt;0),"IVA solo en Servicio",IF(AND(C317="Servicio",F317=""),"Falta servicio","OK")))))))))</f>
        <v/>
      </c>
    </row>
    <row r="318" spans="1:12" ht="22" customHeight="1">
      <c r="A318" s="3"/>
      <c r="B318" s="7"/>
      <c r="C318" s="3"/>
      <c r="D318" s="3"/>
      <c r="E318" s="3"/>
      <c r="F318" s="3"/>
      <c r="G318" s="4"/>
      <c r="H318" s="4"/>
      <c r="I318" s="3"/>
      <c r="J318" s="3"/>
      <c r="K318" s="8" t="str">
        <f t="shared" si="4"/>
        <v/>
      </c>
      <c r="L318" s="1" t="str">
        <f>IF(COUNTA(A318:J318)=0,"",IF(OR(AND(C318&lt;&gt;"Servicio",C318&lt;&gt;"Cobro",C318&lt;&gt;"Anticipo",C318&lt;&gt;"Aplicación anticipo",C318&lt;&gt;"Retención ISR",C318&lt;&gt;"Retención IVA"),AND(C318="Servicio",F318&lt;&gt;"TMS",F318&lt;&gt;"Valoración",F318&lt;&gt;"EEG",F318&lt;&gt;"Neurofeedback",F318&lt;&gt;"Fotobiomodulación",F318&lt;&gt;"Psicoterapia",F318&lt;&gt;"Otros")),"Tipo o categoría inválido",IF(COUNTA(A318:J318)=0,"",IF(OR(A318="",B318="",C318="",G318=""),"Faltan datos",IF(COUNTIF($A$7:$A$2006,A318)&gt;1,"ID duplicado",IF(OR(B318&lt;DATE(Configuración!$C$5,1,1),B318&gt;=DATE(Configuración!$C$5+1,1,1)),"Fecha fuera del año",IF(OR(G318&lt;0,H318&lt;0),"Revisar signo",IF(AND(C318&lt;&gt;"Servicio",H318&lt;&gt;0),"IVA solo en Servicio",IF(AND(C318="Servicio",F318=""),"Falta servicio","OK")))))))))</f>
        <v/>
      </c>
    </row>
    <row r="319" spans="1:12" ht="22" customHeight="1">
      <c r="A319" s="3"/>
      <c r="B319" s="7"/>
      <c r="C319" s="3"/>
      <c r="D319" s="3"/>
      <c r="E319" s="3"/>
      <c r="F319" s="3"/>
      <c r="G319" s="4"/>
      <c r="H319" s="4"/>
      <c r="I319" s="3"/>
      <c r="J319" s="3"/>
      <c r="K319" s="8" t="str">
        <f t="shared" si="4"/>
        <v/>
      </c>
      <c r="L319" s="1" t="str">
        <f>IF(COUNTA(A319:J319)=0,"",IF(OR(AND(C319&lt;&gt;"Servicio",C319&lt;&gt;"Cobro",C319&lt;&gt;"Anticipo",C319&lt;&gt;"Aplicación anticipo",C319&lt;&gt;"Retención ISR",C319&lt;&gt;"Retención IVA"),AND(C319="Servicio",F319&lt;&gt;"TMS",F319&lt;&gt;"Valoración",F319&lt;&gt;"EEG",F319&lt;&gt;"Neurofeedback",F319&lt;&gt;"Fotobiomodulación",F319&lt;&gt;"Psicoterapia",F319&lt;&gt;"Otros")),"Tipo o categoría inválido",IF(COUNTA(A319:J319)=0,"",IF(OR(A319="",B319="",C319="",G319=""),"Faltan datos",IF(COUNTIF($A$7:$A$2006,A319)&gt;1,"ID duplicado",IF(OR(B319&lt;DATE(Configuración!$C$5,1,1),B319&gt;=DATE(Configuración!$C$5+1,1,1)),"Fecha fuera del año",IF(OR(G319&lt;0,H319&lt;0),"Revisar signo",IF(AND(C319&lt;&gt;"Servicio",H319&lt;&gt;0),"IVA solo en Servicio",IF(AND(C319="Servicio",F319=""),"Falta servicio","OK")))))))))</f>
        <v/>
      </c>
    </row>
    <row r="320" spans="1:12" ht="22" customHeight="1">
      <c r="A320" s="3"/>
      <c r="B320" s="7"/>
      <c r="C320" s="3"/>
      <c r="D320" s="3"/>
      <c r="E320" s="3"/>
      <c r="F320" s="3"/>
      <c r="G320" s="4"/>
      <c r="H320" s="4"/>
      <c r="I320" s="3"/>
      <c r="J320" s="3"/>
      <c r="K320" s="8" t="str">
        <f t="shared" si="4"/>
        <v/>
      </c>
      <c r="L320" s="1" t="str">
        <f>IF(COUNTA(A320:J320)=0,"",IF(OR(AND(C320&lt;&gt;"Servicio",C320&lt;&gt;"Cobro",C320&lt;&gt;"Anticipo",C320&lt;&gt;"Aplicación anticipo",C320&lt;&gt;"Retención ISR",C320&lt;&gt;"Retención IVA"),AND(C320="Servicio",F320&lt;&gt;"TMS",F320&lt;&gt;"Valoración",F320&lt;&gt;"EEG",F320&lt;&gt;"Neurofeedback",F320&lt;&gt;"Fotobiomodulación",F320&lt;&gt;"Psicoterapia",F320&lt;&gt;"Otros")),"Tipo o categoría inválido",IF(COUNTA(A320:J320)=0,"",IF(OR(A320="",B320="",C320="",G320=""),"Faltan datos",IF(COUNTIF($A$7:$A$2006,A320)&gt;1,"ID duplicado",IF(OR(B320&lt;DATE(Configuración!$C$5,1,1),B320&gt;=DATE(Configuración!$C$5+1,1,1)),"Fecha fuera del año",IF(OR(G320&lt;0,H320&lt;0),"Revisar signo",IF(AND(C320&lt;&gt;"Servicio",H320&lt;&gt;0),"IVA solo en Servicio",IF(AND(C320="Servicio",F320=""),"Falta servicio","OK")))))))))</f>
        <v/>
      </c>
    </row>
    <row r="321" spans="1:12" ht="22" customHeight="1">
      <c r="A321" s="3"/>
      <c r="B321" s="7"/>
      <c r="C321" s="3"/>
      <c r="D321" s="3"/>
      <c r="E321" s="3"/>
      <c r="F321" s="3"/>
      <c r="G321" s="4"/>
      <c r="H321" s="4"/>
      <c r="I321" s="3"/>
      <c r="J321" s="3"/>
      <c r="K321" s="8" t="str">
        <f t="shared" si="4"/>
        <v/>
      </c>
      <c r="L321" s="1" t="str">
        <f>IF(COUNTA(A321:J321)=0,"",IF(OR(AND(C321&lt;&gt;"Servicio",C321&lt;&gt;"Cobro",C321&lt;&gt;"Anticipo",C321&lt;&gt;"Aplicación anticipo",C321&lt;&gt;"Retención ISR",C321&lt;&gt;"Retención IVA"),AND(C321="Servicio",F321&lt;&gt;"TMS",F321&lt;&gt;"Valoración",F321&lt;&gt;"EEG",F321&lt;&gt;"Neurofeedback",F321&lt;&gt;"Fotobiomodulación",F321&lt;&gt;"Psicoterapia",F321&lt;&gt;"Otros")),"Tipo o categoría inválido",IF(COUNTA(A321:J321)=0,"",IF(OR(A321="",B321="",C321="",G321=""),"Faltan datos",IF(COUNTIF($A$7:$A$2006,A321)&gt;1,"ID duplicado",IF(OR(B321&lt;DATE(Configuración!$C$5,1,1),B321&gt;=DATE(Configuración!$C$5+1,1,1)),"Fecha fuera del año",IF(OR(G321&lt;0,H321&lt;0),"Revisar signo",IF(AND(C321&lt;&gt;"Servicio",H321&lt;&gt;0),"IVA solo en Servicio",IF(AND(C321="Servicio",F321=""),"Falta servicio","OK")))))))))</f>
        <v/>
      </c>
    </row>
    <row r="322" spans="1:12" ht="22" customHeight="1">
      <c r="A322" s="3"/>
      <c r="B322" s="7"/>
      <c r="C322" s="3"/>
      <c r="D322" s="3"/>
      <c r="E322" s="3"/>
      <c r="F322" s="3"/>
      <c r="G322" s="4"/>
      <c r="H322" s="4"/>
      <c r="I322" s="3"/>
      <c r="J322" s="3"/>
      <c r="K322" s="8" t="str">
        <f t="shared" si="4"/>
        <v/>
      </c>
      <c r="L322" s="1" t="str">
        <f>IF(COUNTA(A322:J322)=0,"",IF(OR(AND(C322&lt;&gt;"Servicio",C322&lt;&gt;"Cobro",C322&lt;&gt;"Anticipo",C322&lt;&gt;"Aplicación anticipo",C322&lt;&gt;"Retención ISR",C322&lt;&gt;"Retención IVA"),AND(C322="Servicio",F322&lt;&gt;"TMS",F322&lt;&gt;"Valoración",F322&lt;&gt;"EEG",F322&lt;&gt;"Neurofeedback",F322&lt;&gt;"Fotobiomodulación",F322&lt;&gt;"Psicoterapia",F322&lt;&gt;"Otros")),"Tipo o categoría inválido",IF(COUNTA(A322:J322)=0,"",IF(OR(A322="",B322="",C322="",G322=""),"Faltan datos",IF(COUNTIF($A$7:$A$2006,A322)&gt;1,"ID duplicado",IF(OR(B322&lt;DATE(Configuración!$C$5,1,1),B322&gt;=DATE(Configuración!$C$5+1,1,1)),"Fecha fuera del año",IF(OR(G322&lt;0,H322&lt;0),"Revisar signo",IF(AND(C322&lt;&gt;"Servicio",H322&lt;&gt;0),"IVA solo en Servicio",IF(AND(C322="Servicio",F322=""),"Falta servicio","OK")))))))))</f>
        <v/>
      </c>
    </row>
    <row r="323" spans="1:12" ht="22" customHeight="1">
      <c r="A323" s="3"/>
      <c r="B323" s="7"/>
      <c r="C323" s="3"/>
      <c r="D323" s="3"/>
      <c r="E323" s="3"/>
      <c r="F323" s="3"/>
      <c r="G323" s="4"/>
      <c r="H323" s="4"/>
      <c r="I323" s="3"/>
      <c r="J323" s="3"/>
      <c r="K323" s="8" t="str">
        <f t="shared" si="4"/>
        <v/>
      </c>
      <c r="L323" s="1" t="str">
        <f>IF(COUNTA(A323:J323)=0,"",IF(OR(AND(C323&lt;&gt;"Servicio",C323&lt;&gt;"Cobro",C323&lt;&gt;"Anticipo",C323&lt;&gt;"Aplicación anticipo",C323&lt;&gt;"Retención ISR",C323&lt;&gt;"Retención IVA"),AND(C323="Servicio",F323&lt;&gt;"TMS",F323&lt;&gt;"Valoración",F323&lt;&gt;"EEG",F323&lt;&gt;"Neurofeedback",F323&lt;&gt;"Fotobiomodulación",F323&lt;&gt;"Psicoterapia",F323&lt;&gt;"Otros")),"Tipo o categoría inválido",IF(COUNTA(A323:J323)=0,"",IF(OR(A323="",B323="",C323="",G323=""),"Faltan datos",IF(COUNTIF($A$7:$A$2006,A323)&gt;1,"ID duplicado",IF(OR(B323&lt;DATE(Configuración!$C$5,1,1),B323&gt;=DATE(Configuración!$C$5+1,1,1)),"Fecha fuera del año",IF(OR(G323&lt;0,H323&lt;0),"Revisar signo",IF(AND(C323&lt;&gt;"Servicio",H323&lt;&gt;0),"IVA solo en Servicio",IF(AND(C323="Servicio",F323=""),"Falta servicio","OK")))))))))</f>
        <v/>
      </c>
    </row>
    <row r="324" spans="1:12" ht="22" customHeight="1">
      <c r="A324" s="3"/>
      <c r="B324" s="7"/>
      <c r="C324" s="3"/>
      <c r="D324" s="3"/>
      <c r="E324" s="3"/>
      <c r="F324" s="3"/>
      <c r="G324" s="4"/>
      <c r="H324" s="4"/>
      <c r="I324" s="3"/>
      <c r="J324" s="3"/>
      <c r="K324" s="8" t="str">
        <f t="shared" si="4"/>
        <v/>
      </c>
      <c r="L324" s="1" t="str">
        <f>IF(COUNTA(A324:J324)=0,"",IF(OR(AND(C324&lt;&gt;"Servicio",C324&lt;&gt;"Cobro",C324&lt;&gt;"Anticipo",C324&lt;&gt;"Aplicación anticipo",C324&lt;&gt;"Retención ISR",C324&lt;&gt;"Retención IVA"),AND(C324="Servicio",F324&lt;&gt;"TMS",F324&lt;&gt;"Valoración",F324&lt;&gt;"EEG",F324&lt;&gt;"Neurofeedback",F324&lt;&gt;"Fotobiomodulación",F324&lt;&gt;"Psicoterapia",F324&lt;&gt;"Otros")),"Tipo o categoría inválido",IF(COUNTA(A324:J324)=0,"",IF(OR(A324="",B324="",C324="",G324=""),"Faltan datos",IF(COUNTIF($A$7:$A$2006,A324)&gt;1,"ID duplicado",IF(OR(B324&lt;DATE(Configuración!$C$5,1,1),B324&gt;=DATE(Configuración!$C$5+1,1,1)),"Fecha fuera del año",IF(OR(G324&lt;0,H324&lt;0),"Revisar signo",IF(AND(C324&lt;&gt;"Servicio",H324&lt;&gt;0),"IVA solo en Servicio",IF(AND(C324="Servicio",F324=""),"Falta servicio","OK")))))))))</f>
        <v/>
      </c>
    </row>
    <row r="325" spans="1:12" ht="22" customHeight="1">
      <c r="A325" s="3"/>
      <c r="B325" s="7"/>
      <c r="C325" s="3"/>
      <c r="D325" s="3"/>
      <c r="E325" s="3"/>
      <c r="F325" s="3"/>
      <c r="G325" s="4"/>
      <c r="H325" s="4"/>
      <c r="I325" s="3"/>
      <c r="J325" s="3"/>
      <c r="K325" s="8" t="str">
        <f t="shared" si="4"/>
        <v/>
      </c>
      <c r="L325" s="1" t="str">
        <f>IF(COUNTA(A325:J325)=0,"",IF(OR(AND(C325&lt;&gt;"Servicio",C325&lt;&gt;"Cobro",C325&lt;&gt;"Anticipo",C325&lt;&gt;"Aplicación anticipo",C325&lt;&gt;"Retención ISR",C325&lt;&gt;"Retención IVA"),AND(C325="Servicio",F325&lt;&gt;"TMS",F325&lt;&gt;"Valoración",F325&lt;&gt;"EEG",F325&lt;&gt;"Neurofeedback",F325&lt;&gt;"Fotobiomodulación",F325&lt;&gt;"Psicoterapia",F325&lt;&gt;"Otros")),"Tipo o categoría inválido",IF(COUNTA(A325:J325)=0,"",IF(OR(A325="",B325="",C325="",G325=""),"Faltan datos",IF(COUNTIF($A$7:$A$2006,A325)&gt;1,"ID duplicado",IF(OR(B325&lt;DATE(Configuración!$C$5,1,1),B325&gt;=DATE(Configuración!$C$5+1,1,1)),"Fecha fuera del año",IF(OR(G325&lt;0,H325&lt;0),"Revisar signo",IF(AND(C325&lt;&gt;"Servicio",H325&lt;&gt;0),"IVA solo en Servicio",IF(AND(C325="Servicio",F325=""),"Falta servicio","OK")))))))))</f>
        <v/>
      </c>
    </row>
    <row r="326" spans="1:12" ht="22" customHeight="1">
      <c r="A326" s="3"/>
      <c r="B326" s="7"/>
      <c r="C326" s="3"/>
      <c r="D326" s="3"/>
      <c r="E326" s="3"/>
      <c r="F326" s="3"/>
      <c r="G326" s="4"/>
      <c r="H326" s="4"/>
      <c r="I326" s="3"/>
      <c r="J326" s="3"/>
      <c r="K326" s="8" t="str">
        <f t="shared" si="4"/>
        <v/>
      </c>
      <c r="L326" s="1" t="str">
        <f>IF(COUNTA(A326:J326)=0,"",IF(OR(AND(C326&lt;&gt;"Servicio",C326&lt;&gt;"Cobro",C326&lt;&gt;"Anticipo",C326&lt;&gt;"Aplicación anticipo",C326&lt;&gt;"Retención ISR",C326&lt;&gt;"Retención IVA"),AND(C326="Servicio",F326&lt;&gt;"TMS",F326&lt;&gt;"Valoración",F326&lt;&gt;"EEG",F326&lt;&gt;"Neurofeedback",F326&lt;&gt;"Fotobiomodulación",F326&lt;&gt;"Psicoterapia",F326&lt;&gt;"Otros")),"Tipo o categoría inválido",IF(COUNTA(A326:J326)=0,"",IF(OR(A326="",B326="",C326="",G326=""),"Faltan datos",IF(COUNTIF($A$7:$A$2006,A326)&gt;1,"ID duplicado",IF(OR(B326&lt;DATE(Configuración!$C$5,1,1),B326&gt;=DATE(Configuración!$C$5+1,1,1)),"Fecha fuera del año",IF(OR(G326&lt;0,H326&lt;0),"Revisar signo",IF(AND(C326&lt;&gt;"Servicio",H326&lt;&gt;0),"IVA solo en Servicio",IF(AND(C326="Servicio",F326=""),"Falta servicio","OK")))))))))</f>
        <v/>
      </c>
    </row>
    <row r="327" spans="1:12" ht="22" customHeight="1">
      <c r="A327" s="3"/>
      <c r="B327" s="7"/>
      <c r="C327" s="3"/>
      <c r="D327" s="3"/>
      <c r="E327" s="3"/>
      <c r="F327" s="3"/>
      <c r="G327" s="4"/>
      <c r="H327" s="4"/>
      <c r="I327" s="3"/>
      <c r="J327" s="3"/>
      <c r="K327" s="8" t="str">
        <f t="shared" ref="K327:K390" si="5">IF(A327="","",G327+H327)</f>
        <v/>
      </c>
      <c r="L327" s="1" t="str">
        <f>IF(COUNTA(A327:J327)=0,"",IF(OR(AND(C327&lt;&gt;"Servicio",C327&lt;&gt;"Cobro",C327&lt;&gt;"Anticipo",C327&lt;&gt;"Aplicación anticipo",C327&lt;&gt;"Retención ISR",C327&lt;&gt;"Retención IVA"),AND(C327="Servicio",F327&lt;&gt;"TMS",F327&lt;&gt;"Valoración",F327&lt;&gt;"EEG",F327&lt;&gt;"Neurofeedback",F327&lt;&gt;"Fotobiomodulación",F327&lt;&gt;"Psicoterapia",F327&lt;&gt;"Otros")),"Tipo o categoría inválido",IF(COUNTA(A327:J327)=0,"",IF(OR(A327="",B327="",C327="",G327=""),"Faltan datos",IF(COUNTIF($A$7:$A$2006,A327)&gt;1,"ID duplicado",IF(OR(B327&lt;DATE(Configuración!$C$5,1,1),B327&gt;=DATE(Configuración!$C$5+1,1,1)),"Fecha fuera del año",IF(OR(G327&lt;0,H327&lt;0),"Revisar signo",IF(AND(C327&lt;&gt;"Servicio",H327&lt;&gt;0),"IVA solo en Servicio",IF(AND(C327="Servicio",F327=""),"Falta servicio","OK")))))))))</f>
        <v/>
      </c>
    </row>
    <row r="328" spans="1:12" ht="22" customHeight="1">
      <c r="A328" s="3"/>
      <c r="B328" s="7"/>
      <c r="C328" s="3"/>
      <c r="D328" s="3"/>
      <c r="E328" s="3"/>
      <c r="F328" s="3"/>
      <c r="G328" s="4"/>
      <c r="H328" s="4"/>
      <c r="I328" s="3"/>
      <c r="J328" s="3"/>
      <c r="K328" s="8" t="str">
        <f t="shared" si="5"/>
        <v/>
      </c>
      <c r="L328" s="1" t="str">
        <f>IF(COUNTA(A328:J328)=0,"",IF(OR(AND(C328&lt;&gt;"Servicio",C328&lt;&gt;"Cobro",C328&lt;&gt;"Anticipo",C328&lt;&gt;"Aplicación anticipo",C328&lt;&gt;"Retención ISR",C328&lt;&gt;"Retención IVA"),AND(C328="Servicio",F328&lt;&gt;"TMS",F328&lt;&gt;"Valoración",F328&lt;&gt;"EEG",F328&lt;&gt;"Neurofeedback",F328&lt;&gt;"Fotobiomodulación",F328&lt;&gt;"Psicoterapia",F328&lt;&gt;"Otros")),"Tipo o categoría inválido",IF(COUNTA(A328:J328)=0,"",IF(OR(A328="",B328="",C328="",G328=""),"Faltan datos",IF(COUNTIF($A$7:$A$2006,A328)&gt;1,"ID duplicado",IF(OR(B328&lt;DATE(Configuración!$C$5,1,1),B328&gt;=DATE(Configuración!$C$5+1,1,1)),"Fecha fuera del año",IF(OR(G328&lt;0,H328&lt;0),"Revisar signo",IF(AND(C328&lt;&gt;"Servicio",H328&lt;&gt;0),"IVA solo en Servicio",IF(AND(C328="Servicio",F328=""),"Falta servicio","OK")))))))))</f>
        <v/>
      </c>
    </row>
    <row r="329" spans="1:12" ht="22" customHeight="1">
      <c r="A329" s="3"/>
      <c r="B329" s="7"/>
      <c r="C329" s="3"/>
      <c r="D329" s="3"/>
      <c r="E329" s="3"/>
      <c r="F329" s="3"/>
      <c r="G329" s="4"/>
      <c r="H329" s="4"/>
      <c r="I329" s="3"/>
      <c r="J329" s="3"/>
      <c r="K329" s="8" t="str">
        <f t="shared" si="5"/>
        <v/>
      </c>
      <c r="L329" s="1" t="str">
        <f>IF(COUNTA(A329:J329)=0,"",IF(OR(AND(C329&lt;&gt;"Servicio",C329&lt;&gt;"Cobro",C329&lt;&gt;"Anticipo",C329&lt;&gt;"Aplicación anticipo",C329&lt;&gt;"Retención ISR",C329&lt;&gt;"Retención IVA"),AND(C329="Servicio",F329&lt;&gt;"TMS",F329&lt;&gt;"Valoración",F329&lt;&gt;"EEG",F329&lt;&gt;"Neurofeedback",F329&lt;&gt;"Fotobiomodulación",F329&lt;&gt;"Psicoterapia",F329&lt;&gt;"Otros")),"Tipo o categoría inválido",IF(COUNTA(A329:J329)=0,"",IF(OR(A329="",B329="",C329="",G329=""),"Faltan datos",IF(COUNTIF($A$7:$A$2006,A329)&gt;1,"ID duplicado",IF(OR(B329&lt;DATE(Configuración!$C$5,1,1),B329&gt;=DATE(Configuración!$C$5+1,1,1)),"Fecha fuera del año",IF(OR(G329&lt;0,H329&lt;0),"Revisar signo",IF(AND(C329&lt;&gt;"Servicio",H329&lt;&gt;0),"IVA solo en Servicio",IF(AND(C329="Servicio",F329=""),"Falta servicio","OK")))))))))</f>
        <v/>
      </c>
    </row>
    <row r="330" spans="1:12" ht="22" customHeight="1">
      <c r="A330" s="3"/>
      <c r="B330" s="7"/>
      <c r="C330" s="3"/>
      <c r="D330" s="3"/>
      <c r="E330" s="3"/>
      <c r="F330" s="3"/>
      <c r="G330" s="4"/>
      <c r="H330" s="4"/>
      <c r="I330" s="3"/>
      <c r="J330" s="3"/>
      <c r="K330" s="8" t="str">
        <f t="shared" si="5"/>
        <v/>
      </c>
      <c r="L330" s="1" t="str">
        <f>IF(COUNTA(A330:J330)=0,"",IF(OR(AND(C330&lt;&gt;"Servicio",C330&lt;&gt;"Cobro",C330&lt;&gt;"Anticipo",C330&lt;&gt;"Aplicación anticipo",C330&lt;&gt;"Retención ISR",C330&lt;&gt;"Retención IVA"),AND(C330="Servicio",F330&lt;&gt;"TMS",F330&lt;&gt;"Valoración",F330&lt;&gt;"EEG",F330&lt;&gt;"Neurofeedback",F330&lt;&gt;"Fotobiomodulación",F330&lt;&gt;"Psicoterapia",F330&lt;&gt;"Otros")),"Tipo o categoría inválido",IF(COUNTA(A330:J330)=0,"",IF(OR(A330="",B330="",C330="",G330=""),"Faltan datos",IF(COUNTIF($A$7:$A$2006,A330)&gt;1,"ID duplicado",IF(OR(B330&lt;DATE(Configuración!$C$5,1,1),B330&gt;=DATE(Configuración!$C$5+1,1,1)),"Fecha fuera del año",IF(OR(G330&lt;0,H330&lt;0),"Revisar signo",IF(AND(C330&lt;&gt;"Servicio",H330&lt;&gt;0),"IVA solo en Servicio",IF(AND(C330="Servicio",F330=""),"Falta servicio","OK")))))))))</f>
        <v/>
      </c>
    </row>
    <row r="331" spans="1:12" ht="22" customHeight="1">
      <c r="A331" s="3"/>
      <c r="B331" s="7"/>
      <c r="C331" s="3"/>
      <c r="D331" s="3"/>
      <c r="E331" s="3"/>
      <c r="F331" s="3"/>
      <c r="G331" s="4"/>
      <c r="H331" s="4"/>
      <c r="I331" s="3"/>
      <c r="J331" s="3"/>
      <c r="K331" s="8" t="str">
        <f t="shared" si="5"/>
        <v/>
      </c>
      <c r="L331" s="1" t="str">
        <f>IF(COUNTA(A331:J331)=0,"",IF(OR(AND(C331&lt;&gt;"Servicio",C331&lt;&gt;"Cobro",C331&lt;&gt;"Anticipo",C331&lt;&gt;"Aplicación anticipo",C331&lt;&gt;"Retención ISR",C331&lt;&gt;"Retención IVA"),AND(C331="Servicio",F331&lt;&gt;"TMS",F331&lt;&gt;"Valoración",F331&lt;&gt;"EEG",F331&lt;&gt;"Neurofeedback",F331&lt;&gt;"Fotobiomodulación",F331&lt;&gt;"Psicoterapia",F331&lt;&gt;"Otros")),"Tipo o categoría inválido",IF(COUNTA(A331:J331)=0,"",IF(OR(A331="",B331="",C331="",G331=""),"Faltan datos",IF(COUNTIF($A$7:$A$2006,A331)&gt;1,"ID duplicado",IF(OR(B331&lt;DATE(Configuración!$C$5,1,1),B331&gt;=DATE(Configuración!$C$5+1,1,1)),"Fecha fuera del año",IF(OR(G331&lt;0,H331&lt;0),"Revisar signo",IF(AND(C331&lt;&gt;"Servicio",H331&lt;&gt;0),"IVA solo en Servicio",IF(AND(C331="Servicio",F331=""),"Falta servicio","OK")))))))))</f>
        <v/>
      </c>
    </row>
    <row r="332" spans="1:12" ht="22" customHeight="1">
      <c r="A332" s="3"/>
      <c r="B332" s="7"/>
      <c r="C332" s="3"/>
      <c r="D332" s="3"/>
      <c r="E332" s="3"/>
      <c r="F332" s="3"/>
      <c r="G332" s="4"/>
      <c r="H332" s="4"/>
      <c r="I332" s="3"/>
      <c r="J332" s="3"/>
      <c r="K332" s="8" t="str">
        <f t="shared" si="5"/>
        <v/>
      </c>
      <c r="L332" s="1" t="str">
        <f>IF(COUNTA(A332:J332)=0,"",IF(OR(AND(C332&lt;&gt;"Servicio",C332&lt;&gt;"Cobro",C332&lt;&gt;"Anticipo",C332&lt;&gt;"Aplicación anticipo",C332&lt;&gt;"Retención ISR",C332&lt;&gt;"Retención IVA"),AND(C332="Servicio",F332&lt;&gt;"TMS",F332&lt;&gt;"Valoración",F332&lt;&gt;"EEG",F332&lt;&gt;"Neurofeedback",F332&lt;&gt;"Fotobiomodulación",F332&lt;&gt;"Psicoterapia",F332&lt;&gt;"Otros")),"Tipo o categoría inválido",IF(COUNTA(A332:J332)=0,"",IF(OR(A332="",B332="",C332="",G332=""),"Faltan datos",IF(COUNTIF($A$7:$A$2006,A332)&gt;1,"ID duplicado",IF(OR(B332&lt;DATE(Configuración!$C$5,1,1),B332&gt;=DATE(Configuración!$C$5+1,1,1)),"Fecha fuera del año",IF(OR(G332&lt;0,H332&lt;0),"Revisar signo",IF(AND(C332&lt;&gt;"Servicio",H332&lt;&gt;0),"IVA solo en Servicio",IF(AND(C332="Servicio",F332=""),"Falta servicio","OK")))))))))</f>
        <v/>
      </c>
    </row>
    <row r="333" spans="1:12" ht="22" customHeight="1">
      <c r="A333" s="3"/>
      <c r="B333" s="7"/>
      <c r="C333" s="3"/>
      <c r="D333" s="3"/>
      <c r="E333" s="3"/>
      <c r="F333" s="3"/>
      <c r="G333" s="4"/>
      <c r="H333" s="4"/>
      <c r="I333" s="3"/>
      <c r="J333" s="3"/>
      <c r="K333" s="8" t="str">
        <f t="shared" si="5"/>
        <v/>
      </c>
      <c r="L333" s="1" t="str">
        <f>IF(COUNTA(A333:J333)=0,"",IF(OR(AND(C333&lt;&gt;"Servicio",C333&lt;&gt;"Cobro",C333&lt;&gt;"Anticipo",C333&lt;&gt;"Aplicación anticipo",C333&lt;&gt;"Retención ISR",C333&lt;&gt;"Retención IVA"),AND(C333="Servicio",F333&lt;&gt;"TMS",F333&lt;&gt;"Valoración",F333&lt;&gt;"EEG",F333&lt;&gt;"Neurofeedback",F333&lt;&gt;"Fotobiomodulación",F333&lt;&gt;"Psicoterapia",F333&lt;&gt;"Otros")),"Tipo o categoría inválido",IF(COUNTA(A333:J333)=0,"",IF(OR(A333="",B333="",C333="",G333=""),"Faltan datos",IF(COUNTIF($A$7:$A$2006,A333)&gt;1,"ID duplicado",IF(OR(B333&lt;DATE(Configuración!$C$5,1,1),B333&gt;=DATE(Configuración!$C$5+1,1,1)),"Fecha fuera del año",IF(OR(G333&lt;0,H333&lt;0),"Revisar signo",IF(AND(C333&lt;&gt;"Servicio",H333&lt;&gt;0),"IVA solo en Servicio",IF(AND(C333="Servicio",F333=""),"Falta servicio","OK")))))))))</f>
        <v/>
      </c>
    </row>
    <row r="334" spans="1:12" ht="22" customHeight="1">
      <c r="A334" s="3"/>
      <c r="B334" s="7"/>
      <c r="C334" s="3"/>
      <c r="D334" s="3"/>
      <c r="E334" s="3"/>
      <c r="F334" s="3"/>
      <c r="G334" s="4"/>
      <c r="H334" s="4"/>
      <c r="I334" s="3"/>
      <c r="J334" s="3"/>
      <c r="K334" s="8" t="str">
        <f t="shared" si="5"/>
        <v/>
      </c>
      <c r="L334" s="1" t="str">
        <f>IF(COUNTA(A334:J334)=0,"",IF(OR(AND(C334&lt;&gt;"Servicio",C334&lt;&gt;"Cobro",C334&lt;&gt;"Anticipo",C334&lt;&gt;"Aplicación anticipo",C334&lt;&gt;"Retención ISR",C334&lt;&gt;"Retención IVA"),AND(C334="Servicio",F334&lt;&gt;"TMS",F334&lt;&gt;"Valoración",F334&lt;&gt;"EEG",F334&lt;&gt;"Neurofeedback",F334&lt;&gt;"Fotobiomodulación",F334&lt;&gt;"Psicoterapia",F334&lt;&gt;"Otros")),"Tipo o categoría inválido",IF(COUNTA(A334:J334)=0,"",IF(OR(A334="",B334="",C334="",G334=""),"Faltan datos",IF(COUNTIF($A$7:$A$2006,A334)&gt;1,"ID duplicado",IF(OR(B334&lt;DATE(Configuración!$C$5,1,1),B334&gt;=DATE(Configuración!$C$5+1,1,1)),"Fecha fuera del año",IF(OR(G334&lt;0,H334&lt;0),"Revisar signo",IF(AND(C334&lt;&gt;"Servicio",H334&lt;&gt;0),"IVA solo en Servicio",IF(AND(C334="Servicio",F334=""),"Falta servicio","OK")))))))))</f>
        <v/>
      </c>
    </row>
    <row r="335" spans="1:12" ht="22" customHeight="1">
      <c r="A335" s="3"/>
      <c r="B335" s="7"/>
      <c r="C335" s="3"/>
      <c r="D335" s="3"/>
      <c r="E335" s="3"/>
      <c r="F335" s="3"/>
      <c r="G335" s="4"/>
      <c r="H335" s="4"/>
      <c r="I335" s="3"/>
      <c r="J335" s="3"/>
      <c r="K335" s="8" t="str">
        <f t="shared" si="5"/>
        <v/>
      </c>
      <c r="L335" s="1" t="str">
        <f>IF(COUNTA(A335:J335)=0,"",IF(OR(AND(C335&lt;&gt;"Servicio",C335&lt;&gt;"Cobro",C335&lt;&gt;"Anticipo",C335&lt;&gt;"Aplicación anticipo",C335&lt;&gt;"Retención ISR",C335&lt;&gt;"Retención IVA"),AND(C335="Servicio",F335&lt;&gt;"TMS",F335&lt;&gt;"Valoración",F335&lt;&gt;"EEG",F335&lt;&gt;"Neurofeedback",F335&lt;&gt;"Fotobiomodulación",F335&lt;&gt;"Psicoterapia",F335&lt;&gt;"Otros")),"Tipo o categoría inválido",IF(COUNTA(A335:J335)=0,"",IF(OR(A335="",B335="",C335="",G335=""),"Faltan datos",IF(COUNTIF($A$7:$A$2006,A335)&gt;1,"ID duplicado",IF(OR(B335&lt;DATE(Configuración!$C$5,1,1),B335&gt;=DATE(Configuración!$C$5+1,1,1)),"Fecha fuera del año",IF(OR(G335&lt;0,H335&lt;0),"Revisar signo",IF(AND(C335&lt;&gt;"Servicio",H335&lt;&gt;0),"IVA solo en Servicio",IF(AND(C335="Servicio",F335=""),"Falta servicio","OK")))))))))</f>
        <v/>
      </c>
    </row>
    <row r="336" spans="1:12" ht="22" customHeight="1">
      <c r="A336" s="3"/>
      <c r="B336" s="7"/>
      <c r="C336" s="3"/>
      <c r="D336" s="3"/>
      <c r="E336" s="3"/>
      <c r="F336" s="3"/>
      <c r="G336" s="4"/>
      <c r="H336" s="4"/>
      <c r="I336" s="3"/>
      <c r="J336" s="3"/>
      <c r="K336" s="8" t="str">
        <f t="shared" si="5"/>
        <v/>
      </c>
      <c r="L336" s="1" t="str">
        <f>IF(COUNTA(A336:J336)=0,"",IF(OR(AND(C336&lt;&gt;"Servicio",C336&lt;&gt;"Cobro",C336&lt;&gt;"Anticipo",C336&lt;&gt;"Aplicación anticipo",C336&lt;&gt;"Retención ISR",C336&lt;&gt;"Retención IVA"),AND(C336="Servicio",F336&lt;&gt;"TMS",F336&lt;&gt;"Valoración",F336&lt;&gt;"EEG",F336&lt;&gt;"Neurofeedback",F336&lt;&gt;"Fotobiomodulación",F336&lt;&gt;"Psicoterapia",F336&lt;&gt;"Otros")),"Tipo o categoría inválido",IF(COUNTA(A336:J336)=0,"",IF(OR(A336="",B336="",C336="",G336=""),"Faltan datos",IF(COUNTIF($A$7:$A$2006,A336)&gt;1,"ID duplicado",IF(OR(B336&lt;DATE(Configuración!$C$5,1,1),B336&gt;=DATE(Configuración!$C$5+1,1,1)),"Fecha fuera del año",IF(OR(G336&lt;0,H336&lt;0),"Revisar signo",IF(AND(C336&lt;&gt;"Servicio",H336&lt;&gt;0),"IVA solo en Servicio",IF(AND(C336="Servicio",F336=""),"Falta servicio","OK")))))))))</f>
        <v/>
      </c>
    </row>
    <row r="337" spans="1:12" ht="22" customHeight="1">
      <c r="A337" s="3"/>
      <c r="B337" s="7"/>
      <c r="C337" s="3"/>
      <c r="D337" s="3"/>
      <c r="E337" s="3"/>
      <c r="F337" s="3"/>
      <c r="G337" s="4"/>
      <c r="H337" s="4"/>
      <c r="I337" s="3"/>
      <c r="J337" s="3"/>
      <c r="K337" s="8" t="str">
        <f t="shared" si="5"/>
        <v/>
      </c>
      <c r="L337" s="1" t="str">
        <f>IF(COUNTA(A337:J337)=0,"",IF(OR(AND(C337&lt;&gt;"Servicio",C337&lt;&gt;"Cobro",C337&lt;&gt;"Anticipo",C337&lt;&gt;"Aplicación anticipo",C337&lt;&gt;"Retención ISR",C337&lt;&gt;"Retención IVA"),AND(C337="Servicio",F337&lt;&gt;"TMS",F337&lt;&gt;"Valoración",F337&lt;&gt;"EEG",F337&lt;&gt;"Neurofeedback",F337&lt;&gt;"Fotobiomodulación",F337&lt;&gt;"Psicoterapia",F337&lt;&gt;"Otros")),"Tipo o categoría inválido",IF(COUNTA(A337:J337)=0,"",IF(OR(A337="",B337="",C337="",G337=""),"Faltan datos",IF(COUNTIF($A$7:$A$2006,A337)&gt;1,"ID duplicado",IF(OR(B337&lt;DATE(Configuración!$C$5,1,1),B337&gt;=DATE(Configuración!$C$5+1,1,1)),"Fecha fuera del año",IF(OR(G337&lt;0,H337&lt;0),"Revisar signo",IF(AND(C337&lt;&gt;"Servicio",H337&lt;&gt;0),"IVA solo en Servicio",IF(AND(C337="Servicio",F337=""),"Falta servicio","OK")))))))))</f>
        <v/>
      </c>
    </row>
    <row r="338" spans="1:12" ht="22" customHeight="1">
      <c r="A338" s="3"/>
      <c r="B338" s="7"/>
      <c r="C338" s="3"/>
      <c r="D338" s="3"/>
      <c r="E338" s="3"/>
      <c r="F338" s="3"/>
      <c r="G338" s="4"/>
      <c r="H338" s="4"/>
      <c r="I338" s="3"/>
      <c r="J338" s="3"/>
      <c r="K338" s="8" t="str">
        <f t="shared" si="5"/>
        <v/>
      </c>
      <c r="L338" s="1" t="str">
        <f>IF(COUNTA(A338:J338)=0,"",IF(OR(AND(C338&lt;&gt;"Servicio",C338&lt;&gt;"Cobro",C338&lt;&gt;"Anticipo",C338&lt;&gt;"Aplicación anticipo",C338&lt;&gt;"Retención ISR",C338&lt;&gt;"Retención IVA"),AND(C338="Servicio",F338&lt;&gt;"TMS",F338&lt;&gt;"Valoración",F338&lt;&gt;"EEG",F338&lt;&gt;"Neurofeedback",F338&lt;&gt;"Fotobiomodulación",F338&lt;&gt;"Psicoterapia",F338&lt;&gt;"Otros")),"Tipo o categoría inválido",IF(COUNTA(A338:J338)=0,"",IF(OR(A338="",B338="",C338="",G338=""),"Faltan datos",IF(COUNTIF($A$7:$A$2006,A338)&gt;1,"ID duplicado",IF(OR(B338&lt;DATE(Configuración!$C$5,1,1),B338&gt;=DATE(Configuración!$C$5+1,1,1)),"Fecha fuera del año",IF(OR(G338&lt;0,H338&lt;0),"Revisar signo",IF(AND(C338&lt;&gt;"Servicio",H338&lt;&gt;0),"IVA solo en Servicio",IF(AND(C338="Servicio",F338=""),"Falta servicio","OK")))))))))</f>
        <v/>
      </c>
    </row>
    <row r="339" spans="1:12" ht="22" customHeight="1">
      <c r="A339" s="3"/>
      <c r="B339" s="7"/>
      <c r="C339" s="3"/>
      <c r="D339" s="3"/>
      <c r="E339" s="3"/>
      <c r="F339" s="3"/>
      <c r="G339" s="4"/>
      <c r="H339" s="4"/>
      <c r="I339" s="3"/>
      <c r="J339" s="3"/>
      <c r="K339" s="8" t="str">
        <f t="shared" si="5"/>
        <v/>
      </c>
      <c r="L339" s="1" t="str">
        <f>IF(COUNTA(A339:J339)=0,"",IF(OR(AND(C339&lt;&gt;"Servicio",C339&lt;&gt;"Cobro",C339&lt;&gt;"Anticipo",C339&lt;&gt;"Aplicación anticipo",C339&lt;&gt;"Retención ISR",C339&lt;&gt;"Retención IVA"),AND(C339="Servicio",F339&lt;&gt;"TMS",F339&lt;&gt;"Valoración",F339&lt;&gt;"EEG",F339&lt;&gt;"Neurofeedback",F339&lt;&gt;"Fotobiomodulación",F339&lt;&gt;"Psicoterapia",F339&lt;&gt;"Otros")),"Tipo o categoría inválido",IF(COUNTA(A339:J339)=0,"",IF(OR(A339="",B339="",C339="",G339=""),"Faltan datos",IF(COUNTIF($A$7:$A$2006,A339)&gt;1,"ID duplicado",IF(OR(B339&lt;DATE(Configuración!$C$5,1,1),B339&gt;=DATE(Configuración!$C$5+1,1,1)),"Fecha fuera del año",IF(OR(G339&lt;0,H339&lt;0),"Revisar signo",IF(AND(C339&lt;&gt;"Servicio",H339&lt;&gt;0),"IVA solo en Servicio",IF(AND(C339="Servicio",F339=""),"Falta servicio","OK")))))))))</f>
        <v/>
      </c>
    </row>
    <row r="340" spans="1:12" ht="22" customHeight="1">
      <c r="A340" s="3"/>
      <c r="B340" s="7"/>
      <c r="C340" s="3"/>
      <c r="D340" s="3"/>
      <c r="E340" s="3"/>
      <c r="F340" s="3"/>
      <c r="G340" s="4"/>
      <c r="H340" s="4"/>
      <c r="I340" s="3"/>
      <c r="J340" s="3"/>
      <c r="K340" s="8" t="str">
        <f t="shared" si="5"/>
        <v/>
      </c>
      <c r="L340" s="1" t="str">
        <f>IF(COUNTA(A340:J340)=0,"",IF(OR(AND(C340&lt;&gt;"Servicio",C340&lt;&gt;"Cobro",C340&lt;&gt;"Anticipo",C340&lt;&gt;"Aplicación anticipo",C340&lt;&gt;"Retención ISR",C340&lt;&gt;"Retención IVA"),AND(C340="Servicio",F340&lt;&gt;"TMS",F340&lt;&gt;"Valoración",F340&lt;&gt;"EEG",F340&lt;&gt;"Neurofeedback",F340&lt;&gt;"Fotobiomodulación",F340&lt;&gt;"Psicoterapia",F340&lt;&gt;"Otros")),"Tipo o categoría inválido",IF(COUNTA(A340:J340)=0,"",IF(OR(A340="",B340="",C340="",G340=""),"Faltan datos",IF(COUNTIF($A$7:$A$2006,A340)&gt;1,"ID duplicado",IF(OR(B340&lt;DATE(Configuración!$C$5,1,1),B340&gt;=DATE(Configuración!$C$5+1,1,1)),"Fecha fuera del año",IF(OR(G340&lt;0,H340&lt;0),"Revisar signo",IF(AND(C340&lt;&gt;"Servicio",H340&lt;&gt;0),"IVA solo en Servicio",IF(AND(C340="Servicio",F340=""),"Falta servicio","OK")))))))))</f>
        <v/>
      </c>
    </row>
    <row r="341" spans="1:12" ht="22" customHeight="1">
      <c r="A341" s="3"/>
      <c r="B341" s="7"/>
      <c r="C341" s="3"/>
      <c r="D341" s="3"/>
      <c r="E341" s="3"/>
      <c r="F341" s="3"/>
      <c r="G341" s="4"/>
      <c r="H341" s="4"/>
      <c r="I341" s="3"/>
      <c r="J341" s="3"/>
      <c r="K341" s="8" t="str">
        <f t="shared" si="5"/>
        <v/>
      </c>
      <c r="L341" s="1" t="str">
        <f>IF(COUNTA(A341:J341)=0,"",IF(OR(AND(C341&lt;&gt;"Servicio",C341&lt;&gt;"Cobro",C341&lt;&gt;"Anticipo",C341&lt;&gt;"Aplicación anticipo",C341&lt;&gt;"Retención ISR",C341&lt;&gt;"Retención IVA"),AND(C341="Servicio",F341&lt;&gt;"TMS",F341&lt;&gt;"Valoración",F341&lt;&gt;"EEG",F341&lt;&gt;"Neurofeedback",F341&lt;&gt;"Fotobiomodulación",F341&lt;&gt;"Psicoterapia",F341&lt;&gt;"Otros")),"Tipo o categoría inválido",IF(COUNTA(A341:J341)=0,"",IF(OR(A341="",B341="",C341="",G341=""),"Faltan datos",IF(COUNTIF($A$7:$A$2006,A341)&gt;1,"ID duplicado",IF(OR(B341&lt;DATE(Configuración!$C$5,1,1),B341&gt;=DATE(Configuración!$C$5+1,1,1)),"Fecha fuera del año",IF(OR(G341&lt;0,H341&lt;0),"Revisar signo",IF(AND(C341&lt;&gt;"Servicio",H341&lt;&gt;0),"IVA solo en Servicio",IF(AND(C341="Servicio",F341=""),"Falta servicio","OK")))))))))</f>
        <v/>
      </c>
    </row>
    <row r="342" spans="1:12" ht="22" customHeight="1">
      <c r="A342" s="3"/>
      <c r="B342" s="7"/>
      <c r="C342" s="3"/>
      <c r="D342" s="3"/>
      <c r="E342" s="3"/>
      <c r="F342" s="3"/>
      <c r="G342" s="4"/>
      <c r="H342" s="4"/>
      <c r="I342" s="3"/>
      <c r="J342" s="3"/>
      <c r="K342" s="8" t="str">
        <f t="shared" si="5"/>
        <v/>
      </c>
      <c r="L342" s="1" t="str">
        <f>IF(COUNTA(A342:J342)=0,"",IF(OR(AND(C342&lt;&gt;"Servicio",C342&lt;&gt;"Cobro",C342&lt;&gt;"Anticipo",C342&lt;&gt;"Aplicación anticipo",C342&lt;&gt;"Retención ISR",C342&lt;&gt;"Retención IVA"),AND(C342="Servicio",F342&lt;&gt;"TMS",F342&lt;&gt;"Valoración",F342&lt;&gt;"EEG",F342&lt;&gt;"Neurofeedback",F342&lt;&gt;"Fotobiomodulación",F342&lt;&gt;"Psicoterapia",F342&lt;&gt;"Otros")),"Tipo o categoría inválido",IF(COUNTA(A342:J342)=0,"",IF(OR(A342="",B342="",C342="",G342=""),"Faltan datos",IF(COUNTIF($A$7:$A$2006,A342)&gt;1,"ID duplicado",IF(OR(B342&lt;DATE(Configuración!$C$5,1,1),B342&gt;=DATE(Configuración!$C$5+1,1,1)),"Fecha fuera del año",IF(OR(G342&lt;0,H342&lt;0),"Revisar signo",IF(AND(C342&lt;&gt;"Servicio",H342&lt;&gt;0),"IVA solo en Servicio",IF(AND(C342="Servicio",F342=""),"Falta servicio","OK")))))))))</f>
        <v/>
      </c>
    </row>
    <row r="343" spans="1:12" ht="22" customHeight="1">
      <c r="A343" s="3"/>
      <c r="B343" s="7"/>
      <c r="C343" s="3"/>
      <c r="D343" s="3"/>
      <c r="E343" s="3"/>
      <c r="F343" s="3"/>
      <c r="G343" s="4"/>
      <c r="H343" s="4"/>
      <c r="I343" s="3"/>
      <c r="J343" s="3"/>
      <c r="K343" s="8" t="str">
        <f t="shared" si="5"/>
        <v/>
      </c>
      <c r="L343" s="1" t="str">
        <f>IF(COUNTA(A343:J343)=0,"",IF(OR(AND(C343&lt;&gt;"Servicio",C343&lt;&gt;"Cobro",C343&lt;&gt;"Anticipo",C343&lt;&gt;"Aplicación anticipo",C343&lt;&gt;"Retención ISR",C343&lt;&gt;"Retención IVA"),AND(C343="Servicio",F343&lt;&gt;"TMS",F343&lt;&gt;"Valoración",F343&lt;&gt;"EEG",F343&lt;&gt;"Neurofeedback",F343&lt;&gt;"Fotobiomodulación",F343&lt;&gt;"Psicoterapia",F343&lt;&gt;"Otros")),"Tipo o categoría inválido",IF(COUNTA(A343:J343)=0,"",IF(OR(A343="",B343="",C343="",G343=""),"Faltan datos",IF(COUNTIF($A$7:$A$2006,A343)&gt;1,"ID duplicado",IF(OR(B343&lt;DATE(Configuración!$C$5,1,1),B343&gt;=DATE(Configuración!$C$5+1,1,1)),"Fecha fuera del año",IF(OR(G343&lt;0,H343&lt;0),"Revisar signo",IF(AND(C343&lt;&gt;"Servicio",H343&lt;&gt;0),"IVA solo en Servicio",IF(AND(C343="Servicio",F343=""),"Falta servicio","OK")))))))))</f>
        <v/>
      </c>
    </row>
    <row r="344" spans="1:12" ht="22" customHeight="1">
      <c r="A344" s="3"/>
      <c r="B344" s="7"/>
      <c r="C344" s="3"/>
      <c r="D344" s="3"/>
      <c r="E344" s="3"/>
      <c r="F344" s="3"/>
      <c r="G344" s="4"/>
      <c r="H344" s="4"/>
      <c r="I344" s="3"/>
      <c r="J344" s="3"/>
      <c r="K344" s="8" t="str">
        <f t="shared" si="5"/>
        <v/>
      </c>
      <c r="L344" s="1" t="str">
        <f>IF(COUNTA(A344:J344)=0,"",IF(OR(AND(C344&lt;&gt;"Servicio",C344&lt;&gt;"Cobro",C344&lt;&gt;"Anticipo",C344&lt;&gt;"Aplicación anticipo",C344&lt;&gt;"Retención ISR",C344&lt;&gt;"Retención IVA"),AND(C344="Servicio",F344&lt;&gt;"TMS",F344&lt;&gt;"Valoración",F344&lt;&gt;"EEG",F344&lt;&gt;"Neurofeedback",F344&lt;&gt;"Fotobiomodulación",F344&lt;&gt;"Psicoterapia",F344&lt;&gt;"Otros")),"Tipo o categoría inválido",IF(COUNTA(A344:J344)=0,"",IF(OR(A344="",B344="",C344="",G344=""),"Faltan datos",IF(COUNTIF($A$7:$A$2006,A344)&gt;1,"ID duplicado",IF(OR(B344&lt;DATE(Configuración!$C$5,1,1),B344&gt;=DATE(Configuración!$C$5+1,1,1)),"Fecha fuera del año",IF(OR(G344&lt;0,H344&lt;0),"Revisar signo",IF(AND(C344&lt;&gt;"Servicio",H344&lt;&gt;0),"IVA solo en Servicio",IF(AND(C344="Servicio",F344=""),"Falta servicio","OK")))))))))</f>
        <v/>
      </c>
    </row>
    <row r="345" spans="1:12" ht="22" customHeight="1">
      <c r="A345" s="3"/>
      <c r="B345" s="7"/>
      <c r="C345" s="3"/>
      <c r="D345" s="3"/>
      <c r="E345" s="3"/>
      <c r="F345" s="3"/>
      <c r="G345" s="4"/>
      <c r="H345" s="4"/>
      <c r="I345" s="3"/>
      <c r="J345" s="3"/>
      <c r="K345" s="8" t="str">
        <f t="shared" si="5"/>
        <v/>
      </c>
      <c r="L345" s="1" t="str">
        <f>IF(COUNTA(A345:J345)=0,"",IF(OR(AND(C345&lt;&gt;"Servicio",C345&lt;&gt;"Cobro",C345&lt;&gt;"Anticipo",C345&lt;&gt;"Aplicación anticipo",C345&lt;&gt;"Retención ISR",C345&lt;&gt;"Retención IVA"),AND(C345="Servicio",F345&lt;&gt;"TMS",F345&lt;&gt;"Valoración",F345&lt;&gt;"EEG",F345&lt;&gt;"Neurofeedback",F345&lt;&gt;"Fotobiomodulación",F345&lt;&gt;"Psicoterapia",F345&lt;&gt;"Otros")),"Tipo o categoría inválido",IF(COUNTA(A345:J345)=0,"",IF(OR(A345="",B345="",C345="",G345=""),"Faltan datos",IF(COUNTIF($A$7:$A$2006,A345)&gt;1,"ID duplicado",IF(OR(B345&lt;DATE(Configuración!$C$5,1,1),B345&gt;=DATE(Configuración!$C$5+1,1,1)),"Fecha fuera del año",IF(OR(G345&lt;0,H345&lt;0),"Revisar signo",IF(AND(C345&lt;&gt;"Servicio",H345&lt;&gt;0),"IVA solo en Servicio",IF(AND(C345="Servicio",F345=""),"Falta servicio","OK")))))))))</f>
        <v/>
      </c>
    </row>
    <row r="346" spans="1:12" ht="22" customHeight="1">
      <c r="A346" s="3"/>
      <c r="B346" s="7"/>
      <c r="C346" s="3"/>
      <c r="D346" s="3"/>
      <c r="E346" s="3"/>
      <c r="F346" s="3"/>
      <c r="G346" s="4"/>
      <c r="H346" s="4"/>
      <c r="I346" s="3"/>
      <c r="J346" s="3"/>
      <c r="K346" s="8" t="str">
        <f t="shared" si="5"/>
        <v/>
      </c>
      <c r="L346" s="1" t="str">
        <f>IF(COUNTA(A346:J346)=0,"",IF(OR(AND(C346&lt;&gt;"Servicio",C346&lt;&gt;"Cobro",C346&lt;&gt;"Anticipo",C346&lt;&gt;"Aplicación anticipo",C346&lt;&gt;"Retención ISR",C346&lt;&gt;"Retención IVA"),AND(C346="Servicio",F346&lt;&gt;"TMS",F346&lt;&gt;"Valoración",F346&lt;&gt;"EEG",F346&lt;&gt;"Neurofeedback",F346&lt;&gt;"Fotobiomodulación",F346&lt;&gt;"Psicoterapia",F346&lt;&gt;"Otros")),"Tipo o categoría inválido",IF(COUNTA(A346:J346)=0,"",IF(OR(A346="",B346="",C346="",G346=""),"Faltan datos",IF(COUNTIF($A$7:$A$2006,A346)&gt;1,"ID duplicado",IF(OR(B346&lt;DATE(Configuración!$C$5,1,1),B346&gt;=DATE(Configuración!$C$5+1,1,1)),"Fecha fuera del año",IF(OR(G346&lt;0,H346&lt;0),"Revisar signo",IF(AND(C346&lt;&gt;"Servicio",H346&lt;&gt;0),"IVA solo en Servicio",IF(AND(C346="Servicio",F346=""),"Falta servicio","OK")))))))))</f>
        <v/>
      </c>
    </row>
    <row r="347" spans="1:12" ht="22" customHeight="1">
      <c r="A347" s="3"/>
      <c r="B347" s="7"/>
      <c r="C347" s="3"/>
      <c r="D347" s="3"/>
      <c r="E347" s="3"/>
      <c r="F347" s="3"/>
      <c r="G347" s="4"/>
      <c r="H347" s="4"/>
      <c r="I347" s="3"/>
      <c r="J347" s="3"/>
      <c r="K347" s="8" t="str">
        <f t="shared" si="5"/>
        <v/>
      </c>
      <c r="L347" s="1" t="str">
        <f>IF(COUNTA(A347:J347)=0,"",IF(OR(AND(C347&lt;&gt;"Servicio",C347&lt;&gt;"Cobro",C347&lt;&gt;"Anticipo",C347&lt;&gt;"Aplicación anticipo",C347&lt;&gt;"Retención ISR",C347&lt;&gt;"Retención IVA"),AND(C347="Servicio",F347&lt;&gt;"TMS",F347&lt;&gt;"Valoración",F347&lt;&gt;"EEG",F347&lt;&gt;"Neurofeedback",F347&lt;&gt;"Fotobiomodulación",F347&lt;&gt;"Psicoterapia",F347&lt;&gt;"Otros")),"Tipo o categoría inválido",IF(COUNTA(A347:J347)=0,"",IF(OR(A347="",B347="",C347="",G347=""),"Faltan datos",IF(COUNTIF($A$7:$A$2006,A347)&gt;1,"ID duplicado",IF(OR(B347&lt;DATE(Configuración!$C$5,1,1),B347&gt;=DATE(Configuración!$C$5+1,1,1)),"Fecha fuera del año",IF(OR(G347&lt;0,H347&lt;0),"Revisar signo",IF(AND(C347&lt;&gt;"Servicio",H347&lt;&gt;0),"IVA solo en Servicio",IF(AND(C347="Servicio",F347=""),"Falta servicio","OK")))))))))</f>
        <v/>
      </c>
    </row>
    <row r="348" spans="1:12" ht="22" customHeight="1">
      <c r="A348" s="3"/>
      <c r="B348" s="7"/>
      <c r="C348" s="3"/>
      <c r="D348" s="3"/>
      <c r="E348" s="3"/>
      <c r="F348" s="3"/>
      <c r="G348" s="4"/>
      <c r="H348" s="4"/>
      <c r="I348" s="3"/>
      <c r="J348" s="3"/>
      <c r="K348" s="8" t="str">
        <f t="shared" si="5"/>
        <v/>
      </c>
      <c r="L348" s="1" t="str">
        <f>IF(COUNTA(A348:J348)=0,"",IF(OR(AND(C348&lt;&gt;"Servicio",C348&lt;&gt;"Cobro",C348&lt;&gt;"Anticipo",C348&lt;&gt;"Aplicación anticipo",C348&lt;&gt;"Retención ISR",C348&lt;&gt;"Retención IVA"),AND(C348="Servicio",F348&lt;&gt;"TMS",F348&lt;&gt;"Valoración",F348&lt;&gt;"EEG",F348&lt;&gt;"Neurofeedback",F348&lt;&gt;"Fotobiomodulación",F348&lt;&gt;"Psicoterapia",F348&lt;&gt;"Otros")),"Tipo o categoría inválido",IF(COUNTA(A348:J348)=0,"",IF(OR(A348="",B348="",C348="",G348=""),"Faltan datos",IF(COUNTIF($A$7:$A$2006,A348)&gt;1,"ID duplicado",IF(OR(B348&lt;DATE(Configuración!$C$5,1,1),B348&gt;=DATE(Configuración!$C$5+1,1,1)),"Fecha fuera del año",IF(OR(G348&lt;0,H348&lt;0),"Revisar signo",IF(AND(C348&lt;&gt;"Servicio",H348&lt;&gt;0),"IVA solo en Servicio",IF(AND(C348="Servicio",F348=""),"Falta servicio","OK")))))))))</f>
        <v/>
      </c>
    </row>
    <row r="349" spans="1:12" ht="22" customHeight="1">
      <c r="A349" s="3"/>
      <c r="B349" s="7"/>
      <c r="C349" s="3"/>
      <c r="D349" s="3"/>
      <c r="E349" s="3"/>
      <c r="F349" s="3"/>
      <c r="G349" s="4"/>
      <c r="H349" s="4"/>
      <c r="I349" s="3"/>
      <c r="J349" s="3"/>
      <c r="K349" s="8" t="str">
        <f t="shared" si="5"/>
        <v/>
      </c>
      <c r="L349" s="1" t="str">
        <f>IF(COUNTA(A349:J349)=0,"",IF(OR(AND(C349&lt;&gt;"Servicio",C349&lt;&gt;"Cobro",C349&lt;&gt;"Anticipo",C349&lt;&gt;"Aplicación anticipo",C349&lt;&gt;"Retención ISR",C349&lt;&gt;"Retención IVA"),AND(C349="Servicio",F349&lt;&gt;"TMS",F349&lt;&gt;"Valoración",F349&lt;&gt;"EEG",F349&lt;&gt;"Neurofeedback",F349&lt;&gt;"Fotobiomodulación",F349&lt;&gt;"Psicoterapia",F349&lt;&gt;"Otros")),"Tipo o categoría inválido",IF(COUNTA(A349:J349)=0,"",IF(OR(A349="",B349="",C349="",G349=""),"Faltan datos",IF(COUNTIF($A$7:$A$2006,A349)&gt;1,"ID duplicado",IF(OR(B349&lt;DATE(Configuración!$C$5,1,1),B349&gt;=DATE(Configuración!$C$5+1,1,1)),"Fecha fuera del año",IF(OR(G349&lt;0,H349&lt;0),"Revisar signo",IF(AND(C349&lt;&gt;"Servicio",H349&lt;&gt;0),"IVA solo en Servicio",IF(AND(C349="Servicio",F349=""),"Falta servicio","OK")))))))))</f>
        <v/>
      </c>
    </row>
    <row r="350" spans="1:12" ht="22" customHeight="1">
      <c r="A350" s="3"/>
      <c r="B350" s="7"/>
      <c r="C350" s="3"/>
      <c r="D350" s="3"/>
      <c r="E350" s="3"/>
      <c r="F350" s="3"/>
      <c r="G350" s="4"/>
      <c r="H350" s="4"/>
      <c r="I350" s="3"/>
      <c r="J350" s="3"/>
      <c r="K350" s="8" t="str">
        <f t="shared" si="5"/>
        <v/>
      </c>
      <c r="L350" s="1" t="str">
        <f>IF(COUNTA(A350:J350)=0,"",IF(OR(AND(C350&lt;&gt;"Servicio",C350&lt;&gt;"Cobro",C350&lt;&gt;"Anticipo",C350&lt;&gt;"Aplicación anticipo",C350&lt;&gt;"Retención ISR",C350&lt;&gt;"Retención IVA"),AND(C350="Servicio",F350&lt;&gt;"TMS",F350&lt;&gt;"Valoración",F350&lt;&gt;"EEG",F350&lt;&gt;"Neurofeedback",F350&lt;&gt;"Fotobiomodulación",F350&lt;&gt;"Psicoterapia",F350&lt;&gt;"Otros")),"Tipo o categoría inválido",IF(COUNTA(A350:J350)=0,"",IF(OR(A350="",B350="",C350="",G350=""),"Faltan datos",IF(COUNTIF($A$7:$A$2006,A350)&gt;1,"ID duplicado",IF(OR(B350&lt;DATE(Configuración!$C$5,1,1),B350&gt;=DATE(Configuración!$C$5+1,1,1)),"Fecha fuera del año",IF(OR(G350&lt;0,H350&lt;0),"Revisar signo",IF(AND(C350&lt;&gt;"Servicio",H350&lt;&gt;0),"IVA solo en Servicio",IF(AND(C350="Servicio",F350=""),"Falta servicio","OK")))))))))</f>
        <v/>
      </c>
    </row>
    <row r="351" spans="1:12" ht="22" customHeight="1">
      <c r="A351" s="3"/>
      <c r="B351" s="7"/>
      <c r="C351" s="3"/>
      <c r="D351" s="3"/>
      <c r="E351" s="3"/>
      <c r="F351" s="3"/>
      <c r="G351" s="4"/>
      <c r="H351" s="4"/>
      <c r="I351" s="3"/>
      <c r="J351" s="3"/>
      <c r="K351" s="8" t="str">
        <f t="shared" si="5"/>
        <v/>
      </c>
      <c r="L351" s="1" t="str">
        <f>IF(COUNTA(A351:J351)=0,"",IF(OR(AND(C351&lt;&gt;"Servicio",C351&lt;&gt;"Cobro",C351&lt;&gt;"Anticipo",C351&lt;&gt;"Aplicación anticipo",C351&lt;&gt;"Retención ISR",C351&lt;&gt;"Retención IVA"),AND(C351="Servicio",F351&lt;&gt;"TMS",F351&lt;&gt;"Valoración",F351&lt;&gt;"EEG",F351&lt;&gt;"Neurofeedback",F351&lt;&gt;"Fotobiomodulación",F351&lt;&gt;"Psicoterapia",F351&lt;&gt;"Otros")),"Tipo o categoría inválido",IF(COUNTA(A351:J351)=0,"",IF(OR(A351="",B351="",C351="",G351=""),"Faltan datos",IF(COUNTIF($A$7:$A$2006,A351)&gt;1,"ID duplicado",IF(OR(B351&lt;DATE(Configuración!$C$5,1,1),B351&gt;=DATE(Configuración!$C$5+1,1,1)),"Fecha fuera del año",IF(OR(G351&lt;0,H351&lt;0),"Revisar signo",IF(AND(C351&lt;&gt;"Servicio",H351&lt;&gt;0),"IVA solo en Servicio",IF(AND(C351="Servicio",F351=""),"Falta servicio","OK")))))))))</f>
        <v/>
      </c>
    </row>
    <row r="352" spans="1:12" ht="22" customHeight="1">
      <c r="A352" s="3"/>
      <c r="B352" s="7"/>
      <c r="C352" s="3"/>
      <c r="D352" s="3"/>
      <c r="E352" s="3"/>
      <c r="F352" s="3"/>
      <c r="G352" s="4"/>
      <c r="H352" s="4"/>
      <c r="I352" s="3"/>
      <c r="J352" s="3"/>
      <c r="K352" s="8" t="str">
        <f t="shared" si="5"/>
        <v/>
      </c>
      <c r="L352" s="1" t="str">
        <f>IF(COUNTA(A352:J352)=0,"",IF(OR(AND(C352&lt;&gt;"Servicio",C352&lt;&gt;"Cobro",C352&lt;&gt;"Anticipo",C352&lt;&gt;"Aplicación anticipo",C352&lt;&gt;"Retención ISR",C352&lt;&gt;"Retención IVA"),AND(C352="Servicio",F352&lt;&gt;"TMS",F352&lt;&gt;"Valoración",F352&lt;&gt;"EEG",F352&lt;&gt;"Neurofeedback",F352&lt;&gt;"Fotobiomodulación",F352&lt;&gt;"Psicoterapia",F352&lt;&gt;"Otros")),"Tipo o categoría inválido",IF(COUNTA(A352:J352)=0,"",IF(OR(A352="",B352="",C352="",G352=""),"Faltan datos",IF(COUNTIF($A$7:$A$2006,A352)&gt;1,"ID duplicado",IF(OR(B352&lt;DATE(Configuración!$C$5,1,1),B352&gt;=DATE(Configuración!$C$5+1,1,1)),"Fecha fuera del año",IF(OR(G352&lt;0,H352&lt;0),"Revisar signo",IF(AND(C352&lt;&gt;"Servicio",H352&lt;&gt;0),"IVA solo en Servicio",IF(AND(C352="Servicio",F352=""),"Falta servicio","OK")))))))))</f>
        <v/>
      </c>
    </row>
    <row r="353" spans="1:12" ht="22" customHeight="1">
      <c r="A353" s="3"/>
      <c r="B353" s="7"/>
      <c r="C353" s="3"/>
      <c r="D353" s="3"/>
      <c r="E353" s="3"/>
      <c r="F353" s="3"/>
      <c r="G353" s="4"/>
      <c r="H353" s="4"/>
      <c r="I353" s="3"/>
      <c r="J353" s="3"/>
      <c r="K353" s="8" t="str">
        <f t="shared" si="5"/>
        <v/>
      </c>
      <c r="L353" s="1" t="str">
        <f>IF(COUNTA(A353:J353)=0,"",IF(OR(AND(C353&lt;&gt;"Servicio",C353&lt;&gt;"Cobro",C353&lt;&gt;"Anticipo",C353&lt;&gt;"Aplicación anticipo",C353&lt;&gt;"Retención ISR",C353&lt;&gt;"Retención IVA"),AND(C353="Servicio",F353&lt;&gt;"TMS",F353&lt;&gt;"Valoración",F353&lt;&gt;"EEG",F353&lt;&gt;"Neurofeedback",F353&lt;&gt;"Fotobiomodulación",F353&lt;&gt;"Psicoterapia",F353&lt;&gt;"Otros")),"Tipo o categoría inválido",IF(COUNTA(A353:J353)=0,"",IF(OR(A353="",B353="",C353="",G353=""),"Faltan datos",IF(COUNTIF($A$7:$A$2006,A353)&gt;1,"ID duplicado",IF(OR(B353&lt;DATE(Configuración!$C$5,1,1),B353&gt;=DATE(Configuración!$C$5+1,1,1)),"Fecha fuera del año",IF(OR(G353&lt;0,H353&lt;0),"Revisar signo",IF(AND(C353&lt;&gt;"Servicio",H353&lt;&gt;0),"IVA solo en Servicio",IF(AND(C353="Servicio",F353=""),"Falta servicio","OK")))))))))</f>
        <v/>
      </c>
    </row>
    <row r="354" spans="1:12" ht="22" customHeight="1">
      <c r="A354" s="3"/>
      <c r="B354" s="7"/>
      <c r="C354" s="3"/>
      <c r="D354" s="3"/>
      <c r="E354" s="3"/>
      <c r="F354" s="3"/>
      <c r="G354" s="4"/>
      <c r="H354" s="4"/>
      <c r="I354" s="3"/>
      <c r="J354" s="3"/>
      <c r="K354" s="8" t="str">
        <f t="shared" si="5"/>
        <v/>
      </c>
      <c r="L354" s="1" t="str">
        <f>IF(COUNTA(A354:J354)=0,"",IF(OR(AND(C354&lt;&gt;"Servicio",C354&lt;&gt;"Cobro",C354&lt;&gt;"Anticipo",C354&lt;&gt;"Aplicación anticipo",C354&lt;&gt;"Retención ISR",C354&lt;&gt;"Retención IVA"),AND(C354="Servicio",F354&lt;&gt;"TMS",F354&lt;&gt;"Valoración",F354&lt;&gt;"EEG",F354&lt;&gt;"Neurofeedback",F354&lt;&gt;"Fotobiomodulación",F354&lt;&gt;"Psicoterapia",F354&lt;&gt;"Otros")),"Tipo o categoría inválido",IF(COUNTA(A354:J354)=0,"",IF(OR(A354="",B354="",C354="",G354=""),"Faltan datos",IF(COUNTIF($A$7:$A$2006,A354)&gt;1,"ID duplicado",IF(OR(B354&lt;DATE(Configuración!$C$5,1,1),B354&gt;=DATE(Configuración!$C$5+1,1,1)),"Fecha fuera del año",IF(OR(G354&lt;0,H354&lt;0),"Revisar signo",IF(AND(C354&lt;&gt;"Servicio",H354&lt;&gt;0),"IVA solo en Servicio",IF(AND(C354="Servicio",F354=""),"Falta servicio","OK")))))))))</f>
        <v/>
      </c>
    </row>
    <row r="355" spans="1:12" ht="22" customHeight="1">
      <c r="A355" s="3"/>
      <c r="B355" s="7"/>
      <c r="C355" s="3"/>
      <c r="D355" s="3"/>
      <c r="E355" s="3"/>
      <c r="F355" s="3"/>
      <c r="G355" s="4"/>
      <c r="H355" s="4"/>
      <c r="I355" s="3"/>
      <c r="J355" s="3"/>
      <c r="K355" s="8" t="str">
        <f t="shared" si="5"/>
        <v/>
      </c>
      <c r="L355" s="1" t="str">
        <f>IF(COUNTA(A355:J355)=0,"",IF(OR(AND(C355&lt;&gt;"Servicio",C355&lt;&gt;"Cobro",C355&lt;&gt;"Anticipo",C355&lt;&gt;"Aplicación anticipo",C355&lt;&gt;"Retención ISR",C355&lt;&gt;"Retención IVA"),AND(C355="Servicio",F355&lt;&gt;"TMS",F355&lt;&gt;"Valoración",F355&lt;&gt;"EEG",F355&lt;&gt;"Neurofeedback",F355&lt;&gt;"Fotobiomodulación",F355&lt;&gt;"Psicoterapia",F355&lt;&gt;"Otros")),"Tipo o categoría inválido",IF(COUNTA(A355:J355)=0,"",IF(OR(A355="",B355="",C355="",G355=""),"Faltan datos",IF(COUNTIF($A$7:$A$2006,A355)&gt;1,"ID duplicado",IF(OR(B355&lt;DATE(Configuración!$C$5,1,1),B355&gt;=DATE(Configuración!$C$5+1,1,1)),"Fecha fuera del año",IF(OR(G355&lt;0,H355&lt;0),"Revisar signo",IF(AND(C355&lt;&gt;"Servicio",H355&lt;&gt;0),"IVA solo en Servicio",IF(AND(C355="Servicio",F355=""),"Falta servicio","OK")))))))))</f>
        <v/>
      </c>
    </row>
    <row r="356" spans="1:12" ht="22" customHeight="1">
      <c r="A356" s="3"/>
      <c r="B356" s="7"/>
      <c r="C356" s="3"/>
      <c r="D356" s="3"/>
      <c r="E356" s="3"/>
      <c r="F356" s="3"/>
      <c r="G356" s="4"/>
      <c r="H356" s="4"/>
      <c r="I356" s="3"/>
      <c r="J356" s="3"/>
      <c r="K356" s="8" t="str">
        <f t="shared" si="5"/>
        <v/>
      </c>
      <c r="L356" s="1" t="str">
        <f>IF(COUNTA(A356:J356)=0,"",IF(OR(AND(C356&lt;&gt;"Servicio",C356&lt;&gt;"Cobro",C356&lt;&gt;"Anticipo",C356&lt;&gt;"Aplicación anticipo",C356&lt;&gt;"Retención ISR",C356&lt;&gt;"Retención IVA"),AND(C356="Servicio",F356&lt;&gt;"TMS",F356&lt;&gt;"Valoración",F356&lt;&gt;"EEG",F356&lt;&gt;"Neurofeedback",F356&lt;&gt;"Fotobiomodulación",F356&lt;&gt;"Psicoterapia",F356&lt;&gt;"Otros")),"Tipo o categoría inválido",IF(COUNTA(A356:J356)=0,"",IF(OR(A356="",B356="",C356="",G356=""),"Faltan datos",IF(COUNTIF($A$7:$A$2006,A356)&gt;1,"ID duplicado",IF(OR(B356&lt;DATE(Configuración!$C$5,1,1),B356&gt;=DATE(Configuración!$C$5+1,1,1)),"Fecha fuera del año",IF(OR(G356&lt;0,H356&lt;0),"Revisar signo",IF(AND(C356&lt;&gt;"Servicio",H356&lt;&gt;0),"IVA solo en Servicio",IF(AND(C356="Servicio",F356=""),"Falta servicio","OK")))))))))</f>
        <v/>
      </c>
    </row>
    <row r="357" spans="1:12" ht="22" customHeight="1">
      <c r="A357" s="3"/>
      <c r="B357" s="7"/>
      <c r="C357" s="3"/>
      <c r="D357" s="3"/>
      <c r="E357" s="3"/>
      <c r="F357" s="3"/>
      <c r="G357" s="4"/>
      <c r="H357" s="4"/>
      <c r="I357" s="3"/>
      <c r="J357" s="3"/>
      <c r="K357" s="8" t="str">
        <f t="shared" si="5"/>
        <v/>
      </c>
      <c r="L357" s="1" t="str">
        <f>IF(COUNTA(A357:J357)=0,"",IF(OR(AND(C357&lt;&gt;"Servicio",C357&lt;&gt;"Cobro",C357&lt;&gt;"Anticipo",C357&lt;&gt;"Aplicación anticipo",C357&lt;&gt;"Retención ISR",C357&lt;&gt;"Retención IVA"),AND(C357="Servicio",F357&lt;&gt;"TMS",F357&lt;&gt;"Valoración",F357&lt;&gt;"EEG",F357&lt;&gt;"Neurofeedback",F357&lt;&gt;"Fotobiomodulación",F357&lt;&gt;"Psicoterapia",F357&lt;&gt;"Otros")),"Tipo o categoría inválido",IF(COUNTA(A357:J357)=0,"",IF(OR(A357="",B357="",C357="",G357=""),"Faltan datos",IF(COUNTIF($A$7:$A$2006,A357)&gt;1,"ID duplicado",IF(OR(B357&lt;DATE(Configuración!$C$5,1,1),B357&gt;=DATE(Configuración!$C$5+1,1,1)),"Fecha fuera del año",IF(OR(G357&lt;0,H357&lt;0),"Revisar signo",IF(AND(C357&lt;&gt;"Servicio",H357&lt;&gt;0),"IVA solo en Servicio",IF(AND(C357="Servicio",F357=""),"Falta servicio","OK")))))))))</f>
        <v/>
      </c>
    </row>
    <row r="358" spans="1:12" ht="22" customHeight="1">
      <c r="A358" s="3"/>
      <c r="B358" s="7"/>
      <c r="C358" s="3"/>
      <c r="D358" s="3"/>
      <c r="E358" s="3"/>
      <c r="F358" s="3"/>
      <c r="G358" s="4"/>
      <c r="H358" s="4"/>
      <c r="I358" s="3"/>
      <c r="J358" s="3"/>
      <c r="K358" s="8" t="str">
        <f t="shared" si="5"/>
        <v/>
      </c>
      <c r="L358" s="1" t="str">
        <f>IF(COUNTA(A358:J358)=0,"",IF(OR(AND(C358&lt;&gt;"Servicio",C358&lt;&gt;"Cobro",C358&lt;&gt;"Anticipo",C358&lt;&gt;"Aplicación anticipo",C358&lt;&gt;"Retención ISR",C358&lt;&gt;"Retención IVA"),AND(C358="Servicio",F358&lt;&gt;"TMS",F358&lt;&gt;"Valoración",F358&lt;&gt;"EEG",F358&lt;&gt;"Neurofeedback",F358&lt;&gt;"Fotobiomodulación",F358&lt;&gt;"Psicoterapia",F358&lt;&gt;"Otros")),"Tipo o categoría inválido",IF(COUNTA(A358:J358)=0,"",IF(OR(A358="",B358="",C358="",G358=""),"Faltan datos",IF(COUNTIF($A$7:$A$2006,A358)&gt;1,"ID duplicado",IF(OR(B358&lt;DATE(Configuración!$C$5,1,1),B358&gt;=DATE(Configuración!$C$5+1,1,1)),"Fecha fuera del año",IF(OR(G358&lt;0,H358&lt;0),"Revisar signo",IF(AND(C358&lt;&gt;"Servicio",H358&lt;&gt;0),"IVA solo en Servicio",IF(AND(C358="Servicio",F358=""),"Falta servicio","OK")))))))))</f>
        <v/>
      </c>
    </row>
    <row r="359" spans="1:12" ht="22" customHeight="1">
      <c r="A359" s="3"/>
      <c r="B359" s="7"/>
      <c r="C359" s="3"/>
      <c r="D359" s="3"/>
      <c r="E359" s="3"/>
      <c r="F359" s="3"/>
      <c r="G359" s="4"/>
      <c r="H359" s="4"/>
      <c r="I359" s="3"/>
      <c r="J359" s="3"/>
      <c r="K359" s="8" t="str">
        <f t="shared" si="5"/>
        <v/>
      </c>
      <c r="L359" s="1" t="str">
        <f>IF(COUNTA(A359:J359)=0,"",IF(OR(AND(C359&lt;&gt;"Servicio",C359&lt;&gt;"Cobro",C359&lt;&gt;"Anticipo",C359&lt;&gt;"Aplicación anticipo",C359&lt;&gt;"Retención ISR",C359&lt;&gt;"Retención IVA"),AND(C359="Servicio",F359&lt;&gt;"TMS",F359&lt;&gt;"Valoración",F359&lt;&gt;"EEG",F359&lt;&gt;"Neurofeedback",F359&lt;&gt;"Fotobiomodulación",F359&lt;&gt;"Psicoterapia",F359&lt;&gt;"Otros")),"Tipo o categoría inválido",IF(COUNTA(A359:J359)=0,"",IF(OR(A359="",B359="",C359="",G359=""),"Faltan datos",IF(COUNTIF($A$7:$A$2006,A359)&gt;1,"ID duplicado",IF(OR(B359&lt;DATE(Configuración!$C$5,1,1),B359&gt;=DATE(Configuración!$C$5+1,1,1)),"Fecha fuera del año",IF(OR(G359&lt;0,H359&lt;0),"Revisar signo",IF(AND(C359&lt;&gt;"Servicio",H359&lt;&gt;0),"IVA solo en Servicio",IF(AND(C359="Servicio",F359=""),"Falta servicio","OK")))))))))</f>
        <v/>
      </c>
    </row>
    <row r="360" spans="1:12" ht="22" customHeight="1">
      <c r="A360" s="3"/>
      <c r="B360" s="7"/>
      <c r="C360" s="3"/>
      <c r="D360" s="3"/>
      <c r="E360" s="3"/>
      <c r="F360" s="3"/>
      <c r="G360" s="4"/>
      <c r="H360" s="4"/>
      <c r="I360" s="3"/>
      <c r="J360" s="3"/>
      <c r="K360" s="8" t="str">
        <f t="shared" si="5"/>
        <v/>
      </c>
      <c r="L360" s="1" t="str">
        <f>IF(COUNTA(A360:J360)=0,"",IF(OR(AND(C360&lt;&gt;"Servicio",C360&lt;&gt;"Cobro",C360&lt;&gt;"Anticipo",C360&lt;&gt;"Aplicación anticipo",C360&lt;&gt;"Retención ISR",C360&lt;&gt;"Retención IVA"),AND(C360="Servicio",F360&lt;&gt;"TMS",F360&lt;&gt;"Valoración",F360&lt;&gt;"EEG",F360&lt;&gt;"Neurofeedback",F360&lt;&gt;"Fotobiomodulación",F360&lt;&gt;"Psicoterapia",F360&lt;&gt;"Otros")),"Tipo o categoría inválido",IF(COUNTA(A360:J360)=0,"",IF(OR(A360="",B360="",C360="",G360=""),"Faltan datos",IF(COUNTIF($A$7:$A$2006,A360)&gt;1,"ID duplicado",IF(OR(B360&lt;DATE(Configuración!$C$5,1,1),B360&gt;=DATE(Configuración!$C$5+1,1,1)),"Fecha fuera del año",IF(OR(G360&lt;0,H360&lt;0),"Revisar signo",IF(AND(C360&lt;&gt;"Servicio",H360&lt;&gt;0),"IVA solo en Servicio",IF(AND(C360="Servicio",F360=""),"Falta servicio","OK")))))))))</f>
        <v/>
      </c>
    </row>
    <row r="361" spans="1:12" ht="22" customHeight="1">
      <c r="A361" s="3"/>
      <c r="B361" s="7"/>
      <c r="C361" s="3"/>
      <c r="D361" s="3"/>
      <c r="E361" s="3"/>
      <c r="F361" s="3"/>
      <c r="G361" s="4"/>
      <c r="H361" s="4"/>
      <c r="I361" s="3"/>
      <c r="J361" s="3"/>
      <c r="K361" s="8" t="str">
        <f t="shared" si="5"/>
        <v/>
      </c>
      <c r="L361" s="1" t="str">
        <f>IF(COUNTA(A361:J361)=0,"",IF(OR(AND(C361&lt;&gt;"Servicio",C361&lt;&gt;"Cobro",C361&lt;&gt;"Anticipo",C361&lt;&gt;"Aplicación anticipo",C361&lt;&gt;"Retención ISR",C361&lt;&gt;"Retención IVA"),AND(C361="Servicio",F361&lt;&gt;"TMS",F361&lt;&gt;"Valoración",F361&lt;&gt;"EEG",F361&lt;&gt;"Neurofeedback",F361&lt;&gt;"Fotobiomodulación",F361&lt;&gt;"Psicoterapia",F361&lt;&gt;"Otros")),"Tipo o categoría inválido",IF(COUNTA(A361:J361)=0,"",IF(OR(A361="",B361="",C361="",G361=""),"Faltan datos",IF(COUNTIF($A$7:$A$2006,A361)&gt;1,"ID duplicado",IF(OR(B361&lt;DATE(Configuración!$C$5,1,1),B361&gt;=DATE(Configuración!$C$5+1,1,1)),"Fecha fuera del año",IF(OR(G361&lt;0,H361&lt;0),"Revisar signo",IF(AND(C361&lt;&gt;"Servicio",H361&lt;&gt;0),"IVA solo en Servicio",IF(AND(C361="Servicio",F361=""),"Falta servicio","OK")))))))))</f>
        <v/>
      </c>
    </row>
    <row r="362" spans="1:12" ht="22" customHeight="1">
      <c r="A362" s="3"/>
      <c r="B362" s="7"/>
      <c r="C362" s="3"/>
      <c r="D362" s="3"/>
      <c r="E362" s="3"/>
      <c r="F362" s="3"/>
      <c r="G362" s="4"/>
      <c r="H362" s="4"/>
      <c r="I362" s="3"/>
      <c r="J362" s="3"/>
      <c r="K362" s="8" t="str">
        <f t="shared" si="5"/>
        <v/>
      </c>
      <c r="L362" s="1" t="str">
        <f>IF(COUNTA(A362:J362)=0,"",IF(OR(AND(C362&lt;&gt;"Servicio",C362&lt;&gt;"Cobro",C362&lt;&gt;"Anticipo",C362&lt;&gt;"Aplicación anticipo",C362&lt;&gt;"Retención ISR",C362&lt;&gt;"Retención IVA"),AND(C362="Servicio",F362&lt;&gt;"TMS",F362&lt;&gt;"Valoración",F362&lt;&gt;"EEG",F362&lt;&gt;"Neurofeedback",F362&lt;&gt;"Fotobiomodulación",F362&lt;&gt;"Psicoterapia",F362&lt;&gt;"Otros")),"Tipo o categoría inválido",IF(COUNTA(A362:J362)=0,"",IF(OR(A362="",B362="",C362="",G362=""),"Faltan datos",IF(COUNTIF($A$7:$A$2006,A362)&gt;1,"ID duplicado",IF(OR(B362&lt;DATE(Configuración!$C$5,1,1),B362&gt;=DATE(Configuración!$C$5+1,1,1)),"Fecha fuera del año",IF(OR(G362&lt;0,H362&lt;0),"Revisar signo",IF(AND(C362&lt;&gt;"Servicio",H362&lt;&gt;0),"IVA solo en Servicio",IF(AND(C362="Servicio",F362=""),"Falta servicio","OK")))))))))</f>
        <v/>
      </c>
    </row>
    <row r="363" spans="1:12" ht="22" customHeight="1">
      <c r="A363" s="3"/>
      <c r="B363" s="7"/>
      <c r="C363" s="3"/>
      <c r="D363" s="3"/>
      <c r="E363" s="3"/>
      <c r="F363" s="3"/>
      <c r="G363" s="4"/>
      <c r="H363" s="4"/>
      <c r="I363" s="3"/>
      <c r="J363" s="3"/>
      <c r="K363" s="8" t="str">
        <f t="shared" si="5"/>
        <v/>
      </c>
      <c r="L363" s="1" t="str">
        <f>IF(COUNTA(A363:J363)=0,"",IF(OR(AND(C363&lt;&gt;"Servicio",C363&lt;&gt;"Cobro",C363&lt;&gt;"Anticipo",C363&lt;&gt;"Aplicación anticipo",C363&lt;&gt;"Retención ISR",C363&lt;&gt;"Retención IVA"),AND(C363="Servicio",F363&lt;&gt;"TMS",F363&lt;&gt;"Valoración",F363&lt;&gt;"EEG",F363&lt;&gt;"Neurofeedback",F363&lt;&gt;"Fotobiomodulación",F363&lt;&gt;"Psicoterapia",F363&lt;&gt;"Otros")),"Tipo o categoría inválido",IF(COUNTA(A363:J363)=0,"",IF(OR(A363="",B363="",C363="",G363=""),"Faltan datos",IF(COUNTIF($A$7:$A$2006,A363)&gt;1,"ID duplicado",IF(OR(B363&lt;DATE(Configuración!$C$5,1,1),B363&gt;=DATE(Configuración!$C$5+1,1,1)),"Fecha fuera del año",IF(OR(G363&lt;0,H363&lt;0),"Revisar signo",IF(AND(C363&lt;&gt;"Servicio",H363&lt;&gt;0),"IVA solo en Servicio",IF(AND(C363="Servicio",F363=""),"Falta servicio","OK")))))))))</f>
        <v/>
      </c>
    </row>
    <row r="364" spans="1:12" ht="22" customHeight="1">
      <c r="A364" s="3"/>
      <c r="B364" s="7"/>
      <c r="C364" s="3"/>
      <c r="D364" s="3"/>
      <c r="E364" s="3"/>
      <c r="F364" s="3"/>
      <c r="G364" s="4"/>
      <c r="H364" s="4"/>
      <c r="I364" s="3"/>
      <c r="J364" s="3"/>
      <c r="K364" s="8" t="str">
        <f t="shared" si="5"/>
        <v/>
      </c>
      <c r="L364" s="1" t="str">
        <f>IF(COUNTA(A364:J364)=0,"",IF(OR(AND(C364&lt;&gt;"Servicio",C364&lt;&gt;"Cobro",C364&lt;&gt;"Anticipo",C364&lt;&gt;"Aplicación anticipo",C364&lt;&gt;"Retención ISR",C364&lt;&gt;"Retención IVA"),AND(C364="Servicio",F364&lt;&gt;"TMS",F364&lt;&gt;"Valoración",F364&lt;&gt;"EEG",F364&lt;&gt;"Neurofeedback",F364&lt;&gt;"Fotobiomodulación",F364&lt;&gt;"Psicoterapia",F364&lt;&gt;"Otros")),"Tipo o categoría inválido",IF(COUNTA(A364:J364)=0,"",IF(OR(A364="",B364="",C364="",G364=""),"Faltan datos",IF(COUNTIF($A$7:$A$2006,A364)&gt;1,"ID duplicado",IF(OR(B364&lt;DATE(Configuración!$C$5,1,1),B364&gt;=DATE(Configuración!$C$5+1,1,1)),"Fecha fuera del año",IF(OR(G364&lt;0,H364&lt;0),"Revisar signo",IF(AND(C364&lt;&gt;"Servicio",H364&lt;&gt;0),"IVA solo en Servicio",IF(AND(C364="Servicio",F364=""),"Falta servicio","OK")))))))))</f>
        <v/>
      </c>
    </row>
    <row r="365" spans="1:12" ht="22" customHeight="1">
      <c r="A365" s="3"/>
      <c r="B365" s="7"/>
      <c r="C365" s="3"/>
      <c r="D365" s="3"/>
      <c r="E365" s="3"/>
      <c r="F365" s="3"/>
      <c r="G365" s="4"/>
      <c r="H365" s="4"/>
      <c r="I365" s="3"/>
      <c r="J365" s="3"/>
      <c r="K365" s="8" t="str">
        <f t="shared" si="5"/>
        <v/>
      </c>
      <c r="L365" s="1" t="str">
        <f>IF(COUNTA(A365:J365)=0,"",IF(OR(AND(C365&lt;&gt;"Servicio",C365&lt;&gt;"Cobro",C365&lt;&gt;"Anticipo",C365&lt;&gt;"Aplicación anticipo",C365&lt;&gt;"Retención ISR",C365&lt;&gt;"Retención IVA"),AND(C365="Servicio",F365&lt;&gt;"TMS",F365&lt;&gt;"Valoración",F365&lt;&gt;"EEG",F365&lt;&gt;"Neurofeedback",F365&lt;&gt;"Fotobiomodulación",F365&lt;&gt;"Psicoterapia",F365&lt;&gt;"Otros")),"Tipo o categoría inválido",IF(COUNTA(A365:J365)=0,"",IF(OR(A365="",B365="",C365="",G365=""),"Faltan datos",IF(COUNTIF($A$7:$A$2006,A365)&gt;1,"ID duplicado",IF(OR(B365&lt;DATE(Configuración!$C$5,1,1),B365&gt;=DATE(Configuración!$C$5+1,1,1)),"Fecha fuera del año",IF(OR(G365&lt;0,H365&lt;0),"Revisar signo",IF(AND(C365&lt;&gt;"Servicio",H365&lt;&gt;0),"IVA solo en Servicio",IF(AND(C365="Servicio",F365=""),"Falta servicio","OK")))))))))</f>
        <v/>
      </c>
    </row>
    <row r="366" spans="1:12" ht="22" customHeight="1">
      <c r="A366" s="3"/>
      <c r="B366" s="7"/>
      <c r="C366" s="3"/>
      <c r="D366" s="3"/>
      <c r="E366" s="3"/>
      <c r="F366" s="3"/>
      <c r="G366" s="4"/>
      <c r="H366" s="4"/>
      <c r="I366" s="3"/>
      <c r="J366" s="3"/>
      <c r="K366" s="8" t="str">
        <f t="shared" si="5"/>
        <v/>
      </c>
      <c r="L366" s="1" t="str">
        <f>IF(COUNTA(A366:J366)=0,"",IF(OR(AND(C366&lt;&gt;"Servicio",C366&lt;&gt;"Cobro",C366&lt;&gt;"Anticipo",C366&lt;&gt;"Aplicación anticipo",C366&lt;&gt;"Retención ISR",C366&lt;&gt;"Retención IVA"),AND(C366="Servicio",F366&lt;&gt;"TMS",F366&lt;&gt;"Valoración",F366&lt;&gt;"EEG",F366&lt;&gt;"Neurofeedback",F366&lt;&gt;"Fotobiomodulación",F366&lt;&gt;"Psicoterapia",F366&lt;&gt;"Otros")),"Tipo o categoría inválido",IF(COUNTA(A366:J366)=0,"",IF(OR(A366="",B366="",C366="",G366=""),"Faltan datos",IF(COUNTIF($A$7:$A$2006,A366)&gt;1,"ID duplicado",IF(OR(B366&lt;DATE(Configuración!$C$5,1,1),B366&gt;=DATE(Configuración!$C$5+1,1,1)),"Fecha fuera del año",IF(OR(G366&lt;0,H366&lt;0),"Revisar signo",IF(AND(C366&lt;&gt;"Servicio",H366&lt;&gt;0),"IVA solo en Servicio",IF(AND(C366="Servicio",F366=""),"Falta servicio","OK")))))))))</f>
        <v/>
      </c>
    </row>
    <row r="367" spans="1:12" ht="22" customHeight="1">
      <c r="A367" s="3"/>
      <c r="B367" s="7"/>
      <c r="C367" s="3"/>
      <c r="D367" s="3"/>
      <c r="E367" s="3"/>
      <c r="F367" s="3"/>
      <c r="G367" s="4"/>
      <c r="H367" s="4"/>
      <c r="I367" s="3"/>
      <c r="J367" s="3"/>
      <c r="K367" s="8" t="str">
        <f t="shared" si="5"/>
        <v/>
      </c>
      <c r="L367" s="1" t="str">
        <f>IF(COUNTA(A367:J367)=0,"",IF(OR(AND(C367&lt;&gt;"Servicio",C367&lt;&gt;"Cobro",C367&lt;&gt;"Anticipo",C367&lt;&gt;"Aplicación anticipo",C367&lt;&gt;"Retención ISR",C367&lt;&gt;"Retención IVA"),AND(C367="Servicio",F367&lt;&gt;"TMS",F367&lt;&gt;"Valoración",F367&lt;&gt;"EEG",F367&lt;&gt;"Neurofeedback",F367&lt;&gt;"Fotobiomodulación",F367&lt;&gt;"Psicoterapia",F367&lt;&gt;"Otros")),"Tipo o categoría inválido",IF(COUNTA(A367:J367)=0,"",IF(OR(A367="",B367="",C367="",G367=""),"Faltan datos",IF(COUNTIF($A$7:$A$2006,A367)&gt;1,"ID duplicado",IF(OR(B367&lt;DATE(Configuración!$C$5,1,1),B367&gt;=DATE(Configuración!$C$5+1,1,1)),"Fecha fuera del año",IF(OR(G367&lt;0,H367&lt;0),"Revisar signo",IF(AND(C367&lt;&gt;"Servicio",H367&lt;&gt;0),"IVA solo en Servicio",IF(AND(C367="Servicio",F367=""),"Falta servicio","OK")))))))))</f>
        <v/>
      </c>
    </row>
    <row r="368" spans="1:12" ht="22" customHeight="1">
      <c r="A368" s="3"/>
      <c r="B368" s="7"/>
      <c r="C368" s="3"/>
      <c r="D368" s="3"/>
      <c r="E368" s="3"/>
      <c r="F368" s="3"/>
      <c r="G368" s="4"/>
      <c r="H368" s="4"/>
      <c r="I368" s="3"/>
      <c r="J368" s="3"/>
      <c r="K368" s="8" t="str">
        <f t="shared" si="5"/>
        <v/>
      </c>
      <c r="L368" s="1" t="str">
        <f>IF(COUNTA(A368:J368)=0,"",IF(OR(AND(C368&lt;&gt;"Servicio",C368&lt;&gt;"Cobro",C368&lt;&gt;"Anticipo",C368&lt;&gt;"Aplicación anticipo",C368&lt;&gt;"Retención ISR",C368&lt;&gt;"Retención IVA"),AND(C368="Servicio",F368&lt;&gt;"TMS",F368&lt;&gt;"Valoración",F368&lt;&gt;"EEG",F368&lt;&gt;"Neurofeedback",F368&lt;&gt;"Fotobiomodulación",F368&lt;&gt;"Psicoterapia",F368&lt;&gt;"Otros")),"Tipo o categoría inválido",IF(COUNTA(A368:J368)=0,"",IF(OR(A368="",B368="",C368="",G368=""),"Faltan datos",IF(COUNTIF($A$7:$A$2006,A368)&gt;1,"ID duplicado",IF(OR(B368&lt;DATE(Configuración!$C$5,1,1),B368&gt;=DATE(Configuración!$C$5+1,1,1)),"Fecha fuera del año",IF(OR(G368&lt;0,H368&lt;0),"Revisar signo",IF(AND(C368&lt;&gt;"Servicio",H368&lt;&gt;0),"IVA solo en Servicio",IF(AND(C368="Servicio",F368=""),"Falta servicio","OK")))))))))</f>
        <v/>
      </c>
    </row>
    <row r="369" spans="1:12" ht="22" customHeight="1">
      <c r="A369" s="3"/>
      <c r="B369" s="7"/>
      <c r="C369" s="3"/>
      <c r="D369" s="3"/>
      <c r="E369" s="3"/>
      <c r="F369" s="3"/>
      <c r="G369" s="4"/>
      <c r="H369" s="4"/>
      <c r="I369" s="3"/>
      <c r="J369" s="3"/>
      <c r="K369" s="8" t="str">
        <f t="shared" si="5"/>
        <v/>
      </c>
      <c r="L369" s="1" t="str">
        <f>IF(COUNTA(A369:J369)=0,"",IF(OR(AND(C369&lt;&gt;"Servicio",C369&lt;&gt;"Cobro",C369&lt;&gt;"Anticipo",C369&lt;&gt;"Aplicación anticipo",C369&lt;&gt;"Retención ISR",C369&lt;&gt;"Retención IVA"),AND(C369="Servicio",F369&lt;&gt;"TMS",F369&lt;&gt;"Valoración",F369&lt;&gt;"EEG",F369&lt;&gt;"Neurofeedback",F369&lt;&gt;"Fotobiomodulación",F369&lt;&gt;"Psicoterapia",F369&lt;&gt;"Otros")),"Tipo o categoría inválido",IF(COUNTA(A369:J369)=0,"",IF(OR(A369="",B369="",C369="",G369=""),"Faltan datos",IF(COUNTIF($A$7:$A$2006,A369)&gt;1,"ID duplicado",IF(OR(B369&lt;DATE(Configuración!$C$5,1,1),B369&gt;=DATE(Configuración!$C$5+1,1,1)),"Fecha fuera del año",IF(OR(G369&lt;0,H369&lt;0),"Revisar signo",IF(AND(C369&lt;&gt;"Servicio",H369&lt;&gt;0),"IVA solo en Servicio",IF(AND(C369="Servicio",F369=""),"Falta servicio","OK")))))))))</f>
        <v/>
      </c>
    </row>
    <row r="370" spans="1:12" ht="22" customHeight="1">
      <c r="A370" s="3"/>
      <c r="B370" s="7"/>
      <c r="C370" s="3"/>
      <c r="D370" s="3"/>
      <c r="E370" s="3"/>
      <c r="F370" s="3"/>
      <c r="G370" s="4"/>
      <c r="H370" s="4"/>
      <c r="I370" s="3"/>
      <c r="J370" s="3"/>
      <c r="K370" s="8" t="str">
        <f t="shared" si="5"/>
        <v/>
      </c>
      <c r="L370" s="1" t="str">
        <f>IF(COUNTA(A370:J370)=0,"",IF(OR(AND(C370&lt;&gt;"Servicio",C370&lt;&gt;"Cobro",C370&lt;&gt;"Anticipo",C370&lt;&gt;"Aplicación anticipo",C370&lt;&gt;"Retención ISR",C370&lt;&gt;"Retención IVA"),AND(C370="Servicio",F370&lt;&gt;"TMS",F370&lt;&gt;"Valoración",F370&lt;&gt;"EEG",F370&lt;&gt;"Neurofeedback",F370&lt;&gt;"Fotobiomodulación",F370&lt;&gt;"Psicoterapia",F370&lt;&gt;"Otros")),"Tipo o categoría inválido",IF(COUNTA(A370:J370)=0,"",IF(OR(A370="",B370="",C370="",G370=""),"Faltan datos",IF(COUNTIF($A$7:$A$2006,A370)&gt;1,"ID duplicado",IF(OR(B370&lt;DATE(Configuración!$C$5,1,1),B370&gt;=DATE(Configuración!$C$5+1,1,1)),"Fecha fuera del año",IF(OR(G370&lt;0,H370&lt;0),"Revisar signo",IF(AND(C370&lt;&gt;"Servicio",H370&lt;&gt;0),"IVA solo en Servicio",IF(AND(C370="Servicio",F370=""),"Falta servicio","OK")))))))))</f>
        <v/>
      </c>
    </row>
    <row r="371" spans="1:12" ht="22" customHeight="1">
      <c r="A371" s="3"/>
      <c r="B371" s="7"/>
      <c r="C371" s="3"/>
      <c r="D371" s="3"/>
      <c r="E371" s="3"/>
      <c r="F371" s="3"/>
      <c r="G371" s="4"/>
      <c r="H371" s="4"/>
      <c r="I371" s="3"/>
      <c r="J371" s="3"/>
      <c r="K371" s="8" t="str">
        <f t="shared" si="5"/>
        <v/>
      </c>
      <c r="L371" s="1" t="str">
        <f>IF(COUNTA(A371:J371)=0,"",IF(OR(AND(C371&lt;&gt;"Servicio",C371&lt;&gt;"Cobro",C371&lt;&gt;"Anticipo",C371&lt;&gt;"Aplicación anticipo",C371&lt;&gt;"Retención ISR",C371&lt;&gt;"Retención IVA"),AND(C371="Servicio",F371&lt;&gt;"TMS",F371&lt;&gt;"Valoración",F371&lt;&gt;"EEG",F371&lt;&gt;"Neurofeedback",F371&lt;&gt;"Fotobiomodulación",F371&lt;&gt;"Psicoterapia",F371&lt;&gt;"Otros")),"Tipo o categoría inválido",IF(COUNTA(A371:J371)=0,"",IF(OR(A371="",B371="",C371="",G371=""),"Faltan datos",IF(COUNTIF($A$7:$A$2006,A371)&gt;1,"ID duplicado",IF(OR(B371&lt;DATE(Configuración!$C$5,1,1),B371&gt;=DATE(Configuración!$C$5+1,1,1)),"Fecha fuera del año",IF(OR(G371&lt;0,H371&lt;0),"Revisar signo",IF(AND(C371&lt;&gt;"Servicio",H371&lt;&gt;0),"IVA solo en Servicio",IF(AND(C371="Servicio",F371=""),"Falta servicio","OK")))))))))</f>
        <v/>
      </c>
    </row>
    <row r="372" spans="1:12" ht="22" customHeight="1">
      <c r="A372" s="3"/>
      <c r="B372" s="7"/>
      <c r="C372" s="3"/>
      <c r="D372" s="3"/>
      <c r="E372" s="3"/>
      <c r="F372" s="3"/>
      <c r="G372" s="4"/>
      <c r="H372" s="4"/>
      <c r="I372" s="3"/>
      <c r="J372" s="3"/>
      <c r="K372" s="8" t="str">
        <f t="shared" si="5"/>
        <v/>
      </c>
      <c r="L372" s="1" t="str">
        <f>IF(COUNTA(A372:J372)=0,"",IF(OR(AND(C372&lt;&gt;"Servicio",C372&lt;&gt;"Cobro",C372&lt;&gt;"Anticipo",C372&lt;&gt;"Aplicación anticipo",C372&lt;&gt;"Retención ISR",C372&lt;&gt;"Retención IVA"),AND(C372="Servicio",F372&lt;&gt;"TMS",F372&lt;&gt;"Valoración",F372&lt;&gt;"EEG",F372&lt;&gt;"Neurofeedback",F372&lt;&gt;"Fotobiomodulación",F372&lt;&gt;"Psicoterapia",F372&lt;&gt;"Otros")),"Tipo o categoría inválido",IF(COUNTA(A372:J372)=0,"",IF(OR(A372="",B372="",C372="",G372=""),"Faltan datos",IF(COUNTIF($A$7:$A$2006,A372)&gt;1,"ID duplicado",IF(OR(B372&lt;DATE(Configuración!$C$5,1,1),B372&gt;=DATE(Configuración!$C$5+1,1,1)),"Fecha fuera del año",IF(OR(G372&lt;0,H372&lt;0),"Revisar signo",IF(AND(C372&lt;&gt;"Servicio",H372&lt;&gt;0),"IVA solo en Servicio",IF(AND(C372="Servicio",F372=""),"Falta servicio","OK")))))))))</f>
        <v/>
      </c>
    </row>
    <row r="373" spans="1:12" ht="22" customHeight="1">
      <c r="A373" s="3"/>
      <c r="B373" s="7"/>
      <c r="C373" s="3"/>
      <c r="D373" s="3"/>
      <c r="E373" s="3"/>
      <c r="F373" s="3"/>
      <c r="G373" s="4"/>
      <c r="H373" s="4"/>
      <c r="I373" s="3"/>
      <c r="J373" s="3"/>
      <c r="K373" s="8" t="str">
        <f t="shared" si="5"/>
        <v/>
      </c>
      <c r="L373" s="1" t="str">
        <f>IF(COUNTA(A373:J373)=0,"",IF(OR(AND(C373&lt;&gt;"Servicio",C373&lt;&gt;"Cobro",C373&lt;&gt;"Anticipo",C373&lt;&gt;"Aplicación anticipo",C373&lt;&gt;"Retención ISR",C373&lt;&gt;"Retención IVA"),AND(C373="Servicio",F373&lt;&gt;"TMS",F373&lt;&gt;"Valoración",F373&lt;&gt;"EEG",F373&lt;&gt;"Neurofeedback",F373&lt;&gt;"Fotobiomodulación",F373&lt;&gt;"Psicoterapia",F373&lt;&gt;"Otros")),"Tipo o categoría inválido",IF(COUNTA(A373:J373)=0,"",IF(OR(A373="",B373="",C373="",G373=""),"Faltan datos",IF(COUNTIF($A$7:$A$2006,A373)&gt;1,"ID duplicado",IF(OR(B373&lt;DATE(Configuración!$C$5,1,1),B373&gt;=DATE(Configuración!$C$5+1,1,1)),"Fecha fuera del año",IF(OR(G373&lt;0,H373&lt;0),"Revisar signo",IF(AND(C373&lt;&gt;"Servicio",H373&lt;&gt;0),"IVA solo en Servicio",IF(AND(C373="Servicio",F373=""),"Falta servicio","OK")))))))))</f>
        <v/>
      </c>
    </row>
    <row r="374" spans="1:12" ht="22" customHeight="1">
      <c r="A374" s="3"/>
      <c r="B374" s="7"/>
      <c r="C374" s="3"/>
      <c r="D374" s="3"/>
      <c r="E374" s="3"/>
      <c r="F374" s="3"/>
      <c r="G374" s="4"/>
      <c r="H374" s="4"/>
      <c r="I374" s="3"/>
      <c r="J374" s="3"/>
      <c r="K374" s="8" t="str">
        <f t="shared" si="5"/>
        <v/>
      </c>
      <c r="L374" s="1" t="str">
        <f>IF(COUNTA(A374:J374)=0,"",IF(OR(AND(C374&lt;&gt;"Servicio",C374&lt;&gt;"Cobro",C374&lt;&gt;"Anticipo",C374&lt;&gt;"Aplicación anticipo",C374&lt;&gt;"Retención ISR",C374&lt;&gt;"Retención IVA"),AND(C374="Servicio",F374&lt;&gt;"TMS",F374&lt;&gt;"Valoración",F374&lt;&gt;"EEG",F374&lt;&gt;"Neurofeedback",F374&lt;&gt;"Fotobiomodulación",F374&lt;&gt;"Psicoterapia",F374&lt;&gt;"Otros")),"Tipo o categoría inválido",IF(COUNTA(A374:J374)=0,"",IF(OR(A374="",B374="",C374="",G374=""),"Faltan datos",IF(COUNTIF($A$7:$A$2006,A374)&gt;1,"ID duplicado",IF(OR(B374&lt;DATE(Configuración!$C$5,1,1),B374&gt;=DATE(Configuración!$C$5+1,1,1)),"Fecha fuera del año",IF(OR(G374&lt;0,H374&lt;0),"Revisar signo",IF(AND(C374&lt;&gt;"Servicio",H374&lt;&gt;0),"IVA solo en Servicio",IF(AND(C374="Servicio",F374=""),"Falta servicio","OK")))))))))</f>
        <v/>
      </c>
    </row>
    <row r="375" spans="1:12" ht="22" customHeight="1">
      <c r="A375" s="3"/>
      <c r="B375" s="7"/>
      <c r="C375" s="3"/>
      <c r="D375" s="3"/>
      <c r="E375" s="3"/>
      <c r="F375" s="3"/>
      <c r="G375" s="4"/>
      <c r="H375" s="4"/>
      <c r="I375" s="3"/>
      <c r="J375" s="3"/>
      <c r="K375" s="8" t="str">
        <f t="shared" si="5"/>
        <v/>
      </c>
      <c r="L375" s="1" t="str">
        <f>IF(COUNTA(A375:J375)=0,"",IF(OR(AND(C375&lt;&gt;"Servicio",C375&lt;&gt;"Cobro",C375&lt;&gt;"Anticipo",C375&lt;&gt;"Aplicación anticipo",C375&lt;&gt;"Retención ISR",C375&lt;&gt;"Retención IVA"),AND(C375="Servicio",F375&lt;&gt;"TMS",F375&lt;&gt;"Valoración",F375&lt;&gt;"EEG",F375&lt;&gt;"Neurofeedback",F375&lt;&gt;"Fotobiomodulación",F375&lt;&gt;"Psicoterapia",F375&lt;&gt;"Otros")),"Tipo o categoría inválido",IF(COUNTA(A375:J375)=0,"",IF(OR(A375="",B375="",C375="",G375=""),"Faltan datos",IF(COUNTIF($A$7:$A$2006,A375)&gt;1,"ID duplicado",IF(OR(B375&lt;DATE(Configuración!$C$5,1,1),B375&gt;=DATE(Configuración!$C$5+1,1,1)),"Fecha fuera del año",IF(OR(G375&lt;0,H375&lt;0),"Revisar signo",IF(AND(C375&lt;&gt;"Servicio",H375&lt;&gt;0),"IVA solo en Servicio",IF(AND(C375="Servicio",F375=""),"Falta servicio","OK")))))))))</f>
        <v/>
      </c>
    </row>
    <row r="376" spans="1:12" ht="22" customHeight="1">
      <c r="A376" s="3"/>
      <c r="B376" s="7"/>
      <c r="C376" s="3"/>
      <c r="D376" s="3"/>
      <c r="E376" s="3"/>
      <c r="F376" s="3"/>
      <c r="G376" s="4"/>
      <c r="H376" s="4"/>
      <c r="I376" s="3"/>
      <c r="J376" s="3"/>
      <c r="K376" s="8" t="str">
        <f t="shared" si="5"/>
        <v/>
      </c>
      <c r="L376" s="1" t="str">
        <f>IF(COUNTA(A376:J376)=0,"",IF(OR(AND(C376&lt;&gt;"Servicio",C376&lt;&gt;"Cobro",C376&lt;&gt;"Anticipo",C376&lt;&gt;"Aplicación anticipo",C376&lt;&gt;"Retención ISR",C376&lt;&gt;"Retención IVA"),AND(C376="Servicio",F376&lt;&gt;"TMS",F376&lt;&gt;"Valoración",F376&lt;&gt;"EEG",F376&lt;&gt;"Neurofeedback",F376&lt;&gt;"Fotobiomodulación",F376&lt;&gt;"Psicoterapia",F376&lt;&gt;"Otros")),"Tipo o categoría inválido",IF(COUNTA(A376:J376)=0,"",IF(OR(A376="",B376="",C376="",G376=""),"Faltan datos",IF(COUNTIF($A$7:$A$2006,A376)&gt;1,"ID duplicado",IF(OR(B376&lt;DATE(Configuración!$C$5,1,1),B376&gt;=DATE(Configuración!$C$5+1,1,1)),"Fecha fuera del año",IF(OR(G376&lt;0,H376&lt;0),"Revisar signo",IF(AND(C376&lt;&gt;"Servicio",H376&lt;&gt;0),"IVA solo en Servicio",IF(AND(C376="Servicio",F376=""),"Falta servicio","OK")))))))))</f>
        <v/>
      </c>
    </row>
    <row r="377" spans="1:12" ht="22" customHeight="1">
      <c r="A377" s="3"/>
      <c r="B377" s="7"/>
      <c r="C377" s="3"/>
      <c r="D377" s="3"/>
      <c r="E377" s="3"/>
      <c r="F377" s="3"/>
      <c r="G377" s="4"/>
      <c r="H377" s="4"/>
      <c r="I377" s="3"/>
      <c r="J377" s="3"/>
      <c r="K377" s="8" t="str">
        <f t="shared" si="5"/>
        <v/>
      </c>
      <c r="L377" s="1" t="str">
        <f>IF(COUNTA(A377:J377)=0,"",IF(OR(AND(C377&lt;&gt;"Servicio",C377&lt;&gt;"Cobro",C377&lt;&gt;"Anticipo",C377&lt;&gt;"Aplicación anticipo",C377&lt;&gt;"Retención ISR",C377&lt;&gt;"Retención IVA"),AND(C377="Servicio",F377&lt;&gt;"TMS",F377&lt;&gt;"Valoración",F377&lt;&gt;"EEG",F377&lt;&gt;"Neurofeedback",F377&lt;&gt;"Fotobiomodulación",F377&lt;&gt;"Psicoterapia",F377&lt;&gt;"Otros")),"Tipo o categoría inválido",IF(COUNTA(A377:J377)=0,"",IF(OR(A377="",B377="",C377="",G377=""),"Faltan datos",IF(COUNTIF($A$7:$A$2006,A377)&gt;1,"ID duplicado",IF(OR(B377&lt;DATE(Configuración!$C$5,1,1),B377&gt;=DATE(Configuración!$C$5+1,1,1)),"Fecha fuera del año",IF(OR(G377&lt;0,H377&lt;0),"Revisar signo",IF(AND(C377&lt;&gt;"Servicio",H377&lt;&gt;0),"IVA solo en Servicio",IF(AND(C377="Servicio",F377=""),"Falta servicio","OK")))))))))</f>
        <v/>
      </c>
    </row>
    <row r="378" spans="1:12" ht="22" customHeight="1">
      <c r="A378" s="3"/>
      <c r="B378" s="7"/>
      <c r="C378" s="3"/>
      <c r="D378" s="3"/>
      <c r="E378" s="3"/>
      <c r="F378" s="3"/>
      <c r="G378" s="4"/>
      <c r="H378" s="4"/>
      <c r="I378" s="3"/>
      <c r="J378" s="3"/>
      <c r="K378" s="8" t="str">
        <f t="shared" si="5"/>
        <v/>
      </c>
      <c r="L378" s="1" t="str">
        <f>IF(COUNTA(A378:J378)=0,"",IF(OR(AND(C378&lt;&gt;"Servicio",C378&lt;&gt;"Cobro",C378&lt;&gt;"Anticipo",C378&lt;&gt;"Aplicación anticipo",C378&lt;&gt;"Retención ISR",C378&lt;&gt;"Retención IVA"),AND(C378="Servicio",F378&lt;&gt;"TMS",F378&lt;&gt;"Valoración",F378&lt;&gt;"EEG",F378&lt;&gt;"Neurofeedback",F378&lt;&gt;"Fotobiomodulación",F378&lt;&gt;"Psicoterapia",F378&lt;&gt;"Otros")),"Tipo o categoría inválido",IF(COUNTA(A378:J378)=0,"",IF(OR(A378="",B378="",C378="",G378=""),"Faltan datos",IF(COUNTIF($A$7:$A$2006,A378)&gt;1,"ID duplicado",IF(OR(B378&lt;DATE(Configuración!$C$5,1,1),B378&gt;=DATE(Configuración!$C$5+1,1,1)),"Fecha fuera del año",IF(OR(G378&lt;0,H378&lt;0),"Revisar signo",IF(AND(C378&lt;&gt;"Servicio",H378&lt;&gt;0),"IVA solo en Servicio",IF(AND(C378="Servicio",F378=""),"Falta servicio","OK")))))))))</f>
        <v/>
      </c>
    </row>
    <row r="379" spans="1:12" ht="22" customHeight="1">
      <c r="A379" s="3"/>
      <c r="B379" s="7"/>
      <c r="C379" s="3"/>
      <c r="D379" s="3"/>
      <c r="E379" s="3"/>
      <c r="F379" s="3"/>
      <c r="G379" s="4"/>
      <c r="H379" s="4"/>
      <c r="I379" s="3"/>
      <c r="J379" s="3"/>
      <c r="K379" s="8" t="str">
        <f t="shared" si="5"/>
        <v/>
      </c>
      <c r="L379" s="1" t="str">
        <f>IF(COUNTA(A379:J379)=0,"",IF(OR(AND(C379&lt;&gt;"Servicio",C379&lt;&gt;"Cobro",C379&lt;&gt;"Anticipo",C379&lt;&gt;"Aplicación anticipo",C379&lt;&gt;"Retención ISR",C379&lt;&gt;"Retención IVA"),AND(C379="Servicio",F379&lt;&gt;"TMS",F379&lt;&gt;"Valoración",F379&lt;&gt;"EEG",F379&lt;&gt;"Neurofeedback",F379&lt;&gt;"Fotobiomodulación",F379&lt;&gt;"Psicoterapia",F379&lt;&gt;"Otros")),"Tipo o categoría inválido",IF(COUNTA(A379:J379)=0,"",IF(OR(A379="",B379="",C379="",G379=""),"Faltan datos",IF(COUNTIF($A$7:$A$2006,A379)&gt;1,"ID duplicado",IF(OR(B379&lt;DATE(Configuración!$C$5,1,1),B379&gt;=DATE(Configuración!$C$5+1,1,1)),"Fecha fuera del año",IF(OR(G379&lt;0,H379&lt;0),"Revisar signo",IF(AND(C379&lt;&gt;"Servicio",H379&lt;&gt;0),"IVA solo en Servicio",IF(AND(C379="Servicio",F379=""),"Falta servicio","OK")))))))))</f>
        <v/>
      </c>
    </row>
    <row r="380" spans="1:12" ht="22" customHeight="1">
      <c r="A380" s="3"/>
      <c r="B380" s="7"/>
      <c r="C380" s="3"/>
      <c r="D380" s="3"/>
      <c r="E380" s="3"/>
      <c r="F380" s="3"/>
      <c r="G380" s="4"/>
      <c r="H380" s="4"/>
      <c r="I380" s="3"/>
      <c r="J380" s="3"/>
      <c r="K380" s="8" t="str">
        <f t="shared" si="5"/>
        <v/>
      </c>
      <c r="L380" s="1" t="str">
        <f>IF(COUNTA(A380:J380)=0,"",IF(OR(AND(C380&lt;&gt;"Servicio",C380&lt;&gt;"Cobro",C380&lt;&gt;"Anticipo",C380&lt;&gt;"Aplicación anticipo",C380&lt;&gt;"Retención ISR",C380&lt;&gt;"Retención IVA"),AND(C380="Servicio",F380&lt;&gt;"TMS",F380&lt;&gt;"Valoración",F380&lt;&gt;"EEG",F380&lt;&gt;"Neurofeedback",F380&lt;&gt;"Fotobiomodulación",F380&lt;&gt;"Psicoterapia",F380&lt;&gt;"Otros")),"Tipo o categoría inválido",IF(COUNTA(A380:J380)=0,"",IF(OR(A380="",B380="",C380="",G380=""),"Faltan datos",IF(COUNTIF($A$7:$A$2006,A380)&gt;1,"ID duplicado",IF(OR(B380&lt;DATE(Configuración!$C$5,1,1),B380&gt;=DATE(Configuración!$C$5+1,1,1)),"Fecha fuera del año",IF(OR(G380&lt;0,H380&lt;0),"Revisar signo",IF(AND(C380&lt;&gt;"Servicio",H380&lt;&gt;0),"IVA solo en Servicio",IF(AND(C380="Servicio",F380=""),"Falta servicio","OK")))))))))</f>
        <v/>
      </c>
    </row>
    <row r="381" spans="1:12" ht="22" customHeight="1">
      <c r="A381" s="3"/>
      <c r="B381" s="7"/>
      <c r="C381" s="3"/>
      <c r="D381" s="3"/>
      <c r="E381" s="3"/>
      <c r="F381" s="3"/>
      <c r="G381" s="4"/>
      <c r="H381" s="4"/>
      <c r="I381" s="3"/>
      <c r="J381" s="3"/>
      <c r="K381" s="8" t="str">
        <f t="shared" si="5"/>
        <v/>
      </c>
      <c r="L381" s="1" t="str">
        <f>IF(COUNTA(A381:J381)=0,"",IF(OR(AND(C381&lt;&gt;"Servicio",C381&lt;&gt;"Cobro",C381&lt;&gt;"Anticipo",C381&lt;&gt;"Aplicación anticipo",C381&lt;&gt;"Retención ISR",C381&lt;&gt;"Retención IVA"),AND(C381="Servicio",F381&lt;&gt;"TMS",F381&lt;&gt;"Valoración",F381&lt;&gt;"EEG",F381&lt;&gt;"Neurofeedback",F381&lt;&gt;"Fotobiomodulación",F381&lt;&gt;"Psicoterapia",F381&lt;&gt;"Otros")),"Tipo o categoría inválido",IF(COUNTA(A381:J381)=0,"",IF(OR(A381="",B381="",C381="",G381=""),"Faltan datos",IF(COUNTIF($A$7:$A$2006,A381)&gt;1,"ID duplicado",IF(OR(B381&lt;DATE(Configuración!$C$5,1,1),B381&gt;=DATE(Configuración!$C$5+1,1,1)),"Fecha fuera del año",IF(OR(G381&lt;0,H381&lt;0),"Revisar signo",IF(AND(C381&lt;&gt;"Servicio",H381&lt;&gt;0),"IVA solo en Servicio",IF(AND(C381="Servicio",F381=""),"Falta servicio","OK")))))))))</f>
        <v/>
      </c>
    </row>
    <row r="382" spans="1:12" ht="22" customHeight="1">
      <c r="A382" s="3"/>
      <c r="B382" s="7"/>
      <c r="C382" s="3"/>
      <c r="D382" s="3"/>
      <c r="E382" s="3"/>
      <c r="F382" s="3"/>
      <c r="G382" s="4"/>
      <c r="H382" s="4"/>
      <c r="I382" s="3"/>
      <c r="J382" s="3"/>
      <c r="K382" s="8" t="str">
        <f t="shared" si="5"/>
        <v/>
      </c>
      <c r="L382" s="1" t="str">
        <f>IF(COUNTA(A382:J382)=0,"",IF(OR(AND(C382&lt;&gt;"Servicio",C382&lt;&gt;"Cobro",C382&lt;&gt;"Anticipo",C382&lt;&gt;"Aplicación anticipo",C382&lt;&gt;"Retención ISR",C382&lt;&gt;"Retención IVA"),AND(C382="Servicio",F382&lt;&gt;"TMS",F382&lt;&gt;"Valoración",F382&lt;&gt;"EEG",F382&lt;&gt;"Neurofeedback",F382&lt;&gt;"Fotobiomodulación",F382&lt;&gt;"Psicoterapia",F382&lt;&gt;"Otros")),"Tipo o categoría inválido",IF(COUNTA(A382:J382)=0,"",IF(OR(A382="",B382="",C382="",G382=""),"Faltan datos",IF(COUNTIF($A$7:$A$2006,A382)&gt;1,"ID duplicado",IF(OR(B382&lt;DATE(Configuración!$C$5,1,1),B382&gt;=DATE(Configuración!$C$5+1,1,1)),"Fecha fuera del año",IF(OR(G382&lt;0,H382&lt;0),"Revisar signo",IF(AND(C382&lt;&gt;"Servicio",H382&lt;&gt;0),"IVA solo en Servicio",IF(AND(C382="Servicio",F382=""),"Falta servicio","OK")))))))))</f>
        <v/>
      </c>
    </row>
    <row r="383" spans="1:12" ht="22" customHeight="1">
      <c r="A383" s="3"/>
      <c r="B383" s="7"/>
      <c r="C383" s="3"/>
      <c r="D383" s="3"/>
      <c r="E383" s="3"/>
      <c r="F383" s="3"/>
      <c r="G383" s="4"/>
      <c r="H383" s="4"/>
      <c r="I383" s="3"/>
      <c r="J383" s="3"/>
      <c r="K383" s="8" t="str">
        <f t="shared" si="5"/>
        <v/>
      </c>
      <c r="L383" s="1" t="str">
        <f>IF(COUNTA(A383:J383)=0,"",IF(OR(AND(C383&lt;&gt;"Servicio",C383&lt;&gt;"Cobro",C383&lt;&gt;"Anticipo",C383&lt;&gt;"Aplicación anticipo",C383&lt;&gt;"Retención ISR",C383&lt;&gt;"Retención IVA"),AND(C383="Servicio",F383&lt;&gt;"TMS",F383&lt;&gt;"Valoración",F383&lt;&gt;"EEG",F383&lt;&gt;"Neurofeedback",F383&lt;&gt;"Fotobiomodulación",F383&lt;&gt;"Psicoterapia",F383&lt;&gt;"Otros")),"Tipo o categoría inválido",IF(COUNTA(A383:J383)=0,"",IF(OR(A383="",B383="",C383="",G383=""),"Faltan datos",IF(COUNTIF($A$7:$A$2006,A383)&gt;1,"ID duplicado",IF(OR(B383&lt;DATE(Configuración!$C$5,1,1),B383&gt;=DATE(Configuración!$C$5+1,1,1)),"Fecha fuera del año",IF(OR(G383&lt;0,H383&lt;0),"Revisar signo",IF(AND(C383&lt;&gt;"Servicio",H383&lt;&gt;0),"IVA solo en Servicio",IF(AND(C383="Servicio",F383=""),"Falta servicio","OK")))))))))</f>
        <v/>
      </c>
    </row>
    <row r="384" spans="1:12" ht="22" customHeight="1">
      <c r="A384" s="3"/>
      <c r="B384" s="7"/>
      <c r="C384" s="3"/>
      <c r="D384" s="3"/>
      <c r="E384" s="3"/>
      <c r="F384" s="3"/>
      <c r="G384" s="4"/>
      <c r="H384" s="4"/>
      <c r="I384" s="3"/>
      <c r="J384" s="3"/>
      <c r="K384" s="8" t="str">
        <f t="shared" si="5"/>
        <v/>
      </c>
      <c r="L384" s="1" t="str">
        <f>IF(COUNTA(A384:J384)=0,"",IF(OR(AND(C384&lt;&gt;"Servicio",C384&lt;&gt;"Cobro",C384&lt;&gt;"Anticipo",C384&lt;&gt;"Aplicación anticipo",C384&lt;&gt;"Retención ISR",C384&lt;&gt;"Retención IVA"),AND(C384="Servicio",F384&lt;&gt;"TMS",F384&lt;&gt;"Valoración",F384&lt;&gt;"EEG",F384&lt;&gt;"Neurofeedback",F384&lt;&gt;"Fotobiomodulación",F384&lt;&gt;"Psicoterapia",F384&lt;&gt;"Otros")),"Tipo o categoría inválido",IF(COUNTA(A384:J384)=0,"",IF(OR(A384="",B384="",C384="",G384=""),"Faltan datos",IF(COUNTIF($A$7:$A$2006,A384)&gt;1,"ID duplicado",IF(OR(B384&lt;DATE(Configuración!$C$5,1,1),B384&gt;=DATE(Configuración!$C$5+1,1,1)),"Fecha fuera del año",IF(OR(G384&lt;0,H384&lt;0),"Revisar signo",IF(AND(C384&lt;&gt;"Servicio",H384&lt;&gt;0),"IVA solo en Servicio",IF(AND(C384="Servicio",F384=""),"Falta servicio","OK")))))))))</f>
        <v/>
      </c>
    </row>
    <row r="385" spans="1:12" ht="22" customHeight="1">
      <c r="A385" s="3"/>
      <c r="B385" s="7"/>
      <c r="C385" s="3"/>
      <c r="D385" s="3"/>
      <c r="E385" s="3"/>
      <c r="F385" s="3"/>
      <c r="G385" s="4"/>
      <c r="H385" s="4"/>
      <c r="I385" s="3"/>
      <c r="J385" s="3"/>
      <c r="K385" s="8" t="str">
        <f t="shared" si="5"/>
        <v/>
      </c>
      <c r="L385" s="1" t="str">
        <f>IF(COUNTA(A385:J385)=0,"",IF(OR(AND(C385&lt;&gt;"Servicio",C385&lt;&gt;"Cobro",C385&lt;&gt;"Anticipo",C385&lt;&gt;"Aplicación anticipo",C385&lt;&gt;"Retención ISR",C385&lt;&gt;"Retención IVA"),AND(C385="Servicio",F385&lt;&gt;"TMS",F385&lt;&gt;"Valoración",F385&lt;&gt;"EEG",F385&lt;&gt;"Neurofeedback",F385&lt;&gt;"Fotobiomodulación",F385&lt;&gt;"Psicoterapia",F385&lt;&gt;"Otros")),"Tipo o categoría inválido",IF(COUNTA(A385:J385)=0,"",IF(OR(A385="",B385="",C385="",G385=""),"Faltan datos",IF(COUNTIF($A$7:$A$2006,A385)&gt;1,"ID duplicado",IF(OR(B385&lt;DATE(Configuración!$C$5,1,1),B385&gt;=DATE(Configuración!$C$5+1,1,1)),"Fecha fuera del año",IF(OR(G385&lt;0,H385&lt;0),"Revisar signo",IF(AND(C385&lt;&gt;"Servicio",H385&lt;&gt;0),"IVA solo en Servicio",IF(AND(C385="Servicio",F385=""),"Falta servicio","OK")))))))))</f>
        <v/>
      </c>
    </row>
    <row r="386" spans="1:12" ht="22" customHeight="1">
      <c r="A386" s="3"/>
      <c r="B386" s="7"/>
      <c r="C386" s="3"/>
      <c r="D386" s="3"/>
      <c r="E386" s="3"/>
      <c r="F386" s="3"/>
      <c r="G386" s="4"/>
      <c r="H386" s="4"/>
      <c r="I386" s="3"/>
      <c r="J386" s="3"/>
      <c r="K386" s="8" t="str">
        <f t="shared" si="5"/>
        <v/>
      </c>
      <c r="L386" s="1" t="str">
        <f>IF(COUNTA(A386:J386)=0,"",IF(OR(AND(C386&lt;&gt;"Servicio",C386&lt;&gt;"Cobro",C386&lt;&gt;"Anticipo",C386&lt;&gt;"Aplicación anticipo",C386&lt;&gt;"Retención ISR",C386&lt;&gt;"Retención IVA"),AND(C386="Servicio",F386&lt;&gt;"TMS",F386&lt;&gt;"Valoración",F386&lt;&gt;"EEG",F386&lt;&gt;"Neurofeedback",F386&lt;&gt;"Fotobiomodulación",F386&lt;&gt;"Psicoterapia",F386&lt;&gt;"Otros")),"Tipo o categoría inválido",IF(COUNTA(A386:J386)=0,"",IF(OR(A386="",B386="",C386="",G386=""),"Faltan datos",IF(COUNTIF($A$7:$A$2006,A386)&gt;1,"ID duplicado",IF(OR(B386&lt;DATE(Configuración!$C$5,1,1),B386&gt;=DATE(Configuración!$C$5+1,1,1)),"Fecha fuera del año",IF(OR(G386&lt;0,H386&lt;0),"Revisar signo",IF(AND(C386&lt;&gt;"Servicio",H386&lt;&gt;0),"IVA solo en Servicio",IF(AND(C386="Servicio",F386=""),"Falta servicio","OK")))))))))</f>
        <v/>
      </c>
    </row>
    <row r="387" spans="1:12" ht="22" customHeight="1">
      <c r="A387" s="3"/>
      <c r="B387" s="7"/>
      <c r="C387" s="3"/>
      <c r="D387" s="3"/>
      <c r="E387" s="3"/>
      <c r="F387" s="3"/>
      <c r="G387" s="4"/>
      <c r="H387" s="4"/>
      <c r="I387" s="3"/>
      <c r="J387" s="3"/>
      <c r="K387" s="8" t="str">
        <f t="shared" si="5"/>
        <v/>
      </c>
      <c r="L387" s="1" t="str">
        <f>IF(COUNTA(A387:J387)=0,"",IF(OR(AND(C387&lt;&gt;"Servicio",C387&lt;&gt;"Cobro",C387&lt;&gt;"Anticipo",C387&lt;&gt;"Aplicación anticipo",C387&lt;&gt;"Retención ISR",C387&lt;&gt;"Retención IVA"),AND(C387="Servicio",F387&lt;&gt;"TMS",F387&lt;&gt;"Valoración",F387&lt;&gt;"EEG",F387&lt;&gt;"Neurofeedback",F387&lt;&gt;"Fotobiomodulación",F387&lt;&gt;"Psicoterapia",F387&lt;&gt;"Otros")),"Tipo o categoría inválido",IF(COUNTA(A387:J387)=0,"",IF(OR(A387="",B387="",C387="",G387=""),"Faltan datos",IF(COUNTIF($A$7:$A$2006,A387)&gt;1,"ID duplicado",IF(OR(B387&lt;DATE(Configuración!$C$5,1,1),B387&gt;=DATE(Configuración!$C$5+1,1,1)),"Fecha fuera del año",IF(OR(G387&lt;0,H387&lt;0),"Revisar signo",IF(AND(C387&lt;&gt;"Servicio",H387&lt;&gt;0),"IVA solo en Servicio",IF(AND(C387="Servicio",F387=""),"Falta servicio","OK")))))))))</f>
        <v/>
      </c>
    </row>
    <row r="388" spans="1:12" ht="22" customHeight="1">
      <c r="A388" s="3"/>
      <c r="B388" s="7"/>
      <c r="C388" s="3"/>
      <c r="D388" s="3"/>
      <c r="E388" s="3"/>
      <c r="F388" s="3"/>
      <c r="G388" s="4"/>
      <c r="H388" s="4"/>
      <c r="I388" s="3"/>
      <c r="J388" s="3"/>
      <c r="K388" s="8" t="str">
        <f t="shared" si="5"/>
        <v/>
      </c>
      <c r="L388" s="1" t="str">
        <f>IF(COUNTA(A388:J388)=0,"",IF(OR(AND(C388&lt;&gt;"Servicio",C388&lt;&gt;"Cobro",C388&lt;&gt;"Anticipo",C388&lt;&gt;"Aplicación anticipo",C388&lt;&gt;"Retención ISR",C388&lt;&gt;"Retención IVA"),AND(C388="Servicio",F388&lt;&gt;"TMS",F388&lt;&gt;"Valoración",F388&lt;&gt;"EEG",F388&lt;&gt;"Neurofeedback",F388&lt;&gt;"Fotobiomodulación",F388&lt;&gt;"Psicoterapia",F388&lt;&gt;"Otros")),"Tipo o categoría inválido",IF(COUNTA(A388:J388)=0,"",IF(OR(A388="",B388="",C388="",G388=""),"Faltan datos",IF(COUNTIF($A$7:$A$2006,A388)&gt;1,"ID duplicado",IF(OR(B388&lt;DATE(Configuración!$C$5,1,1),B388&gt;=DATE(Configuración!$C$5+1,1,1)),"Fecha fuera del año",IF(OR(G388&lt;0,H388&lt;0),"Revisar signo",IF(AND(C388&lt;&gt;"Servicio",H388&lt;&gt;0),"IVA solo en Servicio",IF(AND(C388="Servicio",F388=""),"Falta servicio","OK")))))))))</f>
        <v/>
      </c>
    </row>
    <row r="389" spans="1:12" ht="22" customHeight="1">
      <c r="A389" s="3"/>
      <c r="B389" s="7"/>
      <c r="C389" s="3"/>
      <c r="D389" s="3"/>
      <c r="E389" s="3"/>
      <c r="F389" s="3"/>
      <c r="G389" s="4"/>
      <c r="H389" s="4"/>
      <c r="I389" s="3"/>
      <c r="J389" s="3"/>
      <c r="K389" s="8" t="str">
        <f t="shared" si="5"/>
        <v/>
      </c>
      <c r="L389" s="1" t="str">
        <f>IF(COUNTA(A389:J389)=0,"",IF(OR(AND(C389&lt;&gt;"Servicio",C389&lt;&gt;"Cobro",C389&lt;&gt;"Anticipo",C389&lt;&gt;"Aplicación anticipo",C389&lt;&gt;"Retención ISR",C389&lt;&gt;"Retención IVA"),AND(C389="Servicio",F389&lt;&gt;"TMS",F389&lt;&gt;"Valoración",F389&lt;&gt;"EEG",F389&lt;&gt;"Neurofeedback",F389&lt;&gt;"Fotobiomodulación",F389&lt;&gt;"Psicoterapia",F389&lt;&gt;"Otros")),"Tipo o categoría inválido",IF(COUNTA(A389:J389)=0,"",IF(OR(A389="",B389="",C389="",G389=""),"Faltan datos",IF(COUNTIF($A$7:$A$2006,A389)&gt;1,"ID duplicado",IF(OR(B389&lt;DATE(Configuración!$C$5,1,1),B389&gt;=DATE(Configuración!$C$5+1,1,1)),"Fecha fuera del año",IF(OR(G389&lt;0,H389&lt;0),"Revisar signo",IF(AND(C389&lt;&gt;"Servicio",H389&lt;&gt;0),"IVA solo en Servicio",IF(AND(C389="Servicio",F389=""),"Falta servicio","OK")))))))))</f>
        <v/>
      </c>
    </row>
    <row r="390" spans="1:12" ht="22" customHeight="1">
      <c r="A390" s="3"/>
      <c r="B390" s="7"/>
      <c r="C390" s="3"/>
      <c r="D390" s="3"/>
      <c r="E390" s="3"/>
      <c r="F390" s="3"/>
      <c r="G390" s="4"/>
      <c r="H390" s="4"/>
      <c r="I390" s="3"/>
      <c r="J390" s="3"/>
      <c r="K390" s="8" t="str">
        <f t="shared" si="5"/>
        <v/>
      </c>
      <c r="L390" s="1" t="str">
        <f>IF(COUNTA(A390:J390)=0,"",IF(OR(AND(C390&lt;&gt;"Servicio",C390&lt;&gt;"Cobro",C390&lt;&gt;"Anticipo",C390&lt;&gt;"Aplicación anticipo",C390&lt;&gt;"Retención ISR",C390&lt;&gt;"Retención IVA"),AND(C390="Servicio",F390&lt;&gt;"TMS",F390&lt;&gt;"Valoración",F390&lt;&gt;"EEG",F390&lt;&gt;"Neurofeedback",F390&lt;&gt;"Fotobiomodulación",F390&lt;&gt;"Psicoterapia",F390&lt;&gt;"Otros")),"Tipo o categoría inválido",IF(COUNTA(A390:J390)=0,"",IF(OR(A390="",B390="",C390="",G390=""),"Faltan datos",IF(COUNTIF($A$7:$A$2006,A390)&gt;1,"ID duplicado",IF(OR(B390&lt;DATE(Configuración!$C$5,1,1),B390&gt;=DATE(Configuración!$C$5+1,1,1)),"Fecha fuera del año",IF(OR(G390&lt;0,H390&lt;0),"Revisar signo",IF(AND(C390&lt;&gt;"Servicio",H390&lt;&gt;0),"IVA solo en Servicio",IF(AND(C390="Servicio",F390=""),"Falta servicio","OK")))))))))</f>
        <v/>
      </c>
    </row>
    <row r="391" spans="1:12" ht="22" customHeight="1">
      <c r="A391" s="3"/>
      <c r="B391" s="7"/>
      <c r="C391" s="3"/>
      <c r="D391" s="3"/>
      <c r="E391" s="3"/>
      <c r="F391" s="3"/>
      <c r="G391" s="4"/>
      <c r="H391" s="4"/>
      <c r="I391" s="3"/>
      <c r="J391" s="3"/>
      <c r="K391" s="8" t="str">
        <f t="shared" ref="K391:K454" si="6">IF(A391="","",G391+H391)</f>
        <v/>
      </c>
      <c r="L391" s="1" t="str">
        <f>IF(COUNTA(A391:J391)=0,"",IF(OR(AND(C391&lt;&gt;"Servicio",C391&lt;&gt;"Cobro",C391&lt;&gt;"Anticipo",C391&lt;&gt;"Aplicación anticipo",C391&lt;&gt;"Retención ISR",C391&lt;&gt;"Retención IVA"),AND(C391="Servicio",F391&lt;&gt;"TMS",F391&lt;&gt;"Valoración",F391&lt;&gt;"EEG",F391&lt;&gt;"Neurofeedback",F391&lt;&gt;"Fotobiomodulación",F391&lt;&gt;"Psicoterapia",F391&lt;&gt;"Otros")),"Tipo o categoría inválido",IF(COUNTA(A391:J391)=0,"",IF(OR(A391="",B391="",C391="",G391=""),"Faltan datos",IF(COUNTIF($A$7:$A$2006,A391)&gt;1,"ID duplicado",IF(OR(B391&lt;DATE(Configuración!$C$5,1,1),B391&gt;=DATE(Configuración!$C$5+1,1,1)),"Fecha fuera del año",IF(OR(G391&lt;0,H391&lt;0),"Revisar signo",IF(AND(C391&lt;&gt;"Servicio",H391&lt;&gt;0),"IVA solo en Servicio",IF(AND(C391="Servicio",F391=""),"Falta servicio","OK")))))))))</f>
        <v/>
      </c>
    </row>
    <row r="392" spans="1:12" ht="22" customHeight="1">
      <c r="A392" s="3"/>
      <c r="B392" s="7"/>
      <c r="C392" s="3"/>
      <c r="D392" s="3"/>
      <c r="E392" s="3"/>
      <c r="F392" s="3"/>
      <c r="G392" s="4"/>
      <c r="H392" s="4"/>
      <c r="I392" s="3"/>
      <c r="J392" s="3"/>
      <c r="K392" s="8" t="str">
        <f t="shared" si="6"/>
        <v/>
      </c>
      <c r="L392" s="1" t="str">
        <f>IF(COUNTA(A392:J392)=0,"",IF(OR(AND(C392&lt;&gt;"Servicio",C392&lt;&gt;"Cobro",C392&lt;&gt;"Anticipo",C392&lt;&gt;"Aplicación anticipo",C392&lt;&gt;"Retención ISR",C392&lt;&gt;"Retención IVA"),AND(C392="Servicio",F392&lt;&gt;"TMS",F392&lt;&gt;"Valoración",F392&lt;&gt;"EEG",F392&lt;&gt;"Neurofeedback",F392&lt;&gt;"Fotobiomodulación",F392&lt;&gt;"Psicoterapia",F392&lt;&gt;"Otros")),"Tipo o categoría inválido",IF(COUNTA(A392:J392)=0,"",IF(OR(A392="",B392="",C392="",G392=""),"Faltan datos",IF(COUNTIF($A$7:$A$2006,A392)&gt;1,"ID duplicado",IF(OR(B392&lt;DATE(Configuración!$C$5,1,1),B392&gt;=DATE(Configuración!$C$5+1,1,1)),"Fecha fuera del año",IF(OR(G392&lt;0,H392&lt;0),"Revisar signo",IF(AND(C392&lt;&gt;"Servicio",H392&lt;&gt;0),"IVA solo en Servicio",IF(AND(C392="Servicio",F392=""),"Falta servicio","OK")))))))))</f>
        <v/>
      </c>
    </row>
    <row r="393" spans="1:12" ht="22" customHeight="1">
      <c r="A393" s="3"/>
      <c r="B393" s="7"/>
      <c r="C393" s="3"/>
      <c r="D393" s="3"/>
      <c r="E393" s="3"/>
      <c r="F393" s="3"/>
      <c r="G393" s="4"/>
      <c r="H393" s="4"/>
      <c r="I393" s="3"/>
      <c r="J393" s="3"/>
      <c r="K393" s="8" t="str">
        <f t="shared" si="6"/>
        <v/>
      </c>
      <c r="L393" s="1" t="str">
        <f>IF(COUNTA(A393:J393)=0,"",IF(OR(AND(C393&lt;&gt;"Servicio",C393&lt;&gt;"Cobro",C393&lt;&gt;"Anticipo",C393&lt;&gt;"Aplicación anticipo",C393&lt;&gt;"Retención ISR",C393&lt;&gt;"Retención IVA"),AND(C393="Servicio",F393&lt;&gt;"TMS",F393&lt;&gt;"Valoración",F393&lt;&gt;"EEG",F393&lt;&gt;"Neurofeedback",F393&lt;&gt;"Fotobiomodulación",F393&lt;&gt;"Psicoterapia",F393&lt;&gt;"Otros")),"Tipo o categoría inválido",IF(COUNTA(A393:J393)=0,"",IF(OR(A393="",B393="",C393="",G393=""),"Faltan datos",IF(COUNTIF($A$7:$A$2006,A393)&gt;1,"ID duplicado",IF(OR(B393&lt;DATE(Configuración!$C$5,1,1),B393&gt;=DATE(Configuración!$C$5+1,1,1)),"Fecha fuera del año",IF(OR(G393&lt;0,H393&lt;0),"Revisar signo",IF(AND(C393&lt;&gt;"Servicio",H393&lt;&gt;0),"IVA solo en Servicio",IF(AND(C393="Servicio",F393=""),"Falta servicio","OK")))))))))</f>
        <v/>
      </c>
    </row>
    <row r="394" spans="1:12" ht="22" customHeight="1">
      <c r="A394" s="3"/>
      <c r="B394" s="7"/>
      <c r="C394" s="3"/>
      <c r="D394" s="3"/>
      <c r="E394" s="3"/>
      <c r="F394" s="3"/>
      <c r="G394" s="4"/>
      <c r="H394" s="4"/>
      <c r="I394" s="3"/>
      <c r="J394" s="3"/>
      <c r="K394" s="8" t="str">
        <f t="shared" si="6"/>
        <v/>
      </c>
      <c r="L394" s="1" t="str">
        <f>IF(COUNTA(A394:J394)=0,"",IF(OR(AND(C394&lt;&gt;"Servicio",C394&lt;&gt;"Cobro",C394&lt;&gt;"Anticipo",C394&lt;&gt;"Aplicación anticipo",C394&lt;&gt;"Retención ISR",C394&lt;&gt;"Retención IVA"),AND(C394="Servicio",F394&lt;&gt;"TMS",F394&lt;&gt;"Valoración",F394&lt;&gt;"EEG",F394&lt;&gt;"Neurofeedback",F394&lt;&gt;"Fotobiomodulación",F394&lt;&gt;"Psicoterapia",F394&lt;&gt;"Otros")),"Tipo o categoría inválido",IF(COUNTA(A394:J394)=0,"",IF(OR(A394="",B394="",C394="",G394=""),"Faltan datos",IF(COUNTIF($A$7:$A$2006,A394)&gt;1,"ID duplicado",IF(OR(B394&lt;DATE(Configuración!$C$5,1,1),B394&gt;=DATE(Configuración!$C$5+1,1,1)),"Fecha fuera del año",IF(OR(G394&lt;0,H394&lt;0),"Revisar signo",IF(AND(C394&lt;&gt;"Servicio",H394&lt;&gt;0),"IVA solo en Servicio",IF(AND(C394="Servicio",F394=""),"Falta servicio","OK")))))))))</f>
        <v/>
      </c>
    </row>
    <row r="395" spans="1:12" ht="22" customHeight="1">
      <c r="A395" s="3"/>
      <c r="B395" s="7"/>
      <c r="C395" s="3"/>
      <c r="D395" s="3"/>
      <c r="E395" s="3"/>
      <c r="F395" s="3"/>
      <c r="G395" s="4"/>
      <c r="H395" s="4"/>
      <c r="I395" s="3"/>
      <c r="J395" s="3"/>
      <c r="K395" s="8" t="str">
        <f t="shared" si="6"/>
        <v/>
      </c>
      <c r="L395" s="1" t="str">
        <f>IF(COUNTA(A395:J395)=0,"",IF(OR(AND(C395&lt;&gt;"Servicio",C395&lt;&gt;"Cobro",C395&lt;&gt;"Anticipo",C395&lt;&gt;"Aplicación anticipo",C395&lt;&gt;"Retención ISR",C395&lt;&gt;"Retención IVA"),AND(C395="Servicio",F395&lt;&gt;"TMS",F395&lt;&gt;"Valoración",F395&lt;&gt;"EEG",F395&lt;&gt;"Neurofeedback",F395&lt;&gt;"Fotobiomodulación",F395&lt;&gt;"Psicoterapia",F395&lt;&gt;"Otros")),"Tipo o categoría inválido",IF(COUNTA(A395:J395)=0,"",IF(OR(A395="",B395="",C395="",G395=""),"Faltan datos",IF(COUNTIF($A$7:$A$2006,A395)&gt;1,"ID duplicado",IF(OR(B395&lt;DATE(Configuración!$C$5,1,1),B395&gt;=DATE(Configuración!$C$5+1,1,1)),"Fecha fuera del año",IF(OR(G395&lt;0,H395&lt;0),"Revisar signo",IF(AND(C395&lt;&gt;"Servicio",H395&lt;&gt;0),"IVA solo en Servicio",IF(AND(C395="Servicio",F395=""),"Falta servicio","OK")))))))))</f>
        <v/>
      </c>
    </row>
    <row r="396" spans="1:12" ht="22" customHeight="1">
      <c r="A396" s="3"/>
      <c r="B396" s="7"/>
      <c r="C396" s="3"/>
      <c r="D396" s="3"/>
      <c r="E396" s="3"/>
      <c r="F396" s="3"/>
      <c r="G396" s="4"/>
      <c r="H396" s="4"/>
      <c r="I396" s="3"/>
      <c r="J396" s="3"/>
      <c r="K396" s="8" t="str">
        <f t="shared" si="6"/>
        <v/>
      </c>
      <c r="L396" s="1" t="str">
        <f>IF(COUNTA(A396:J396)=0,"",IF(OR(AND(C396&lt;&gt;"Servicio",C396&lt;&gt;"Cobro",C396&lt;&gt;"Anticipo",C396&lt;&gt;"Aplicación anticipo",C396&lt;&gt;"Retención ISR",C396&lt;&gt;"Retención IVA"),AND(C396="Servicio",F396&lt;&gt;"TMS",F396&lt;&gt;"Valoración",F396&lt;&gt;"EEG",F396&lt;&gt;"Neurofeedback",F396&lt;&gt;"Fotobiomodulación",F396&lt;&gt;"Psicoterapia",F396&lt;&gt;"Otros")),"Tipo o categoría inválido",IF(COUNTA(A396:J396)=0,"",IF(OR(A396="",B396="",C396="",G396=""),"Faltan datos",IF(COUNTIF($A$7:$A$2006,A396)&gt;1,"ID duplicado",IF(OR(B396&lt;DATE(Configuración!$C$5,1,1),B396&gt;=DATE(Configuración!$C$5+1,1,1)),"Fecha fuera del año",IF(OR(G396&lt;0,H396&lt;0),"Revisar signo",IF(AND(C396&lt;&gt;"Servicio",H396&lt;&gt;0),"IVA solo en Servicio",IF(AND(C396="Servicio",F396=""),"Falta servicio","OK")))))))))</f>
        <v/>
      </c>
    </row>
    <row r="397" spans="1:12" ht="22" customHeight="1">
      <c r="A397" s="3"/>
      <c r="B397" s="7"/>
      <c r="C397" s="3"/>
      <c r="D397" s="3"/>
      <c r="E397" s="3"/>
      <c r="F397" s="3"/>
      <c r="G397" s="4"/>
      <c r="H397" s="4"/>
      <c r="I397" s="3"/>
      <c r="J397" s="3"/>
      <c r="K397" s="8" t="str">
        <f t="shared" si="6"/>
        <v/>
      </c>
      <c r="L397" s="1" t="str">
        <f>IF(COUNTA(A397:J397)=0,"",IF(OR(AND(C397&lt;&gt;"Servicio",C397&lt;&gt;"Cobro",C397&lt;&gt;"Anticipo",C397&lt;&gt;"Aplicación anticipo",C397&lt;&gt;"Retención ISR",C397&lt;&gt;"Retención IVA"),AND(C397="Servicio",F397&lt;&gt;"TMS",F397&lt;&gt;"Valoración",F397&lt;&gt;"EEG",F397&lt;&gt;"Neurofeedback",F397&lt;&gt;"Fotobiomodulación",F397&lt;&gt;"Psicoterapia",F397&lt;&gt;"Otros")),"Tipo o categoría inválido",IF(COUNTA(A397:J397)=0,"",IF(OR(A397="",B397="",C397="",G397=""),"Faltan datos",IF(COUNTIF($A$7:$A$2006,A397)&gt;1,"ID duplicado",IF(OR(B397&lt;DATE(Configuración!$C$5,1,1),B397&gt;=DATE(Configuración!$C$5+1,1,1)),"Fecha fuera del año",IF(OR(G397&lt;0,H397&lt;0),"Revisar signo",IF(AND(C397&lt;&gt;"Servicio",H397&lt;&gt;0),"IVA solo en Servicio",IF(AND(C397="Servicio",F397=""),"Falta servicio","OK")))))))))</f>
        <v/>
      </c>
    </row>
    <row r="398" spans="1:12" ht="22" customHeight="1">
      <c r="A398" s="3"/>
      <c r="B398" s="7"/>
      <c r="C398" s="3"/>
      <c r="D398" s="3"/>
      <c r="E398" s="3"/>
      <c r="F398" s="3"/>
      <c r="G398" s="4"/>
      <c r="H398" s="4"/>
      <c r="I398" s="3"/>
      <c r="J398" s="3"/>
      <c r="K398" s="8" t="str">
        <f t="shared" si="6"/>
        <v/>
      </c>
      <c r="L398" s="1" t="str">
        <f>IF(COUNTA(A398:J398)=0,"",IF(OR(AND(C398&lt;&gt;"Servicio",C398&lt;&gt;"Cobro",C398&lt;&gt;"Anticipo",C398&lt;&gt;"Aplicación anticipo",C398&lt;&gt;"Retención ISR",C398&lt;&gt;"Retención IVA"),AND(C398="Servicio",F398&lt;&gt;"TMS",F398&lt;&gt;"Valoración",F398&lt;&gt;"EEG",F398&lt;&gt;"Neurofeedback",F398&lt;&gt;"Fotobiomodulación",F398&lt;&gt;"Psicoterapia",F398&lt;&gt;"Otros")),"Tipo o categoría inválido",IF(COUNTA(A398:J398)=0,"",IF(OR(A398="",B398="",C398="",G398=""),"Faltan datos",IF(COUNTIF($A$7:$A$2006,A398)&gt;1,"ID duplicado",IF(OR(B398&lt;DATE(Configuración!$C$5,1,1),B398&gt;=DATE(Configuración!$C$5+1,1,1)),"Fecha fuera del año",IF(OR(G398&lt;0,H398&lt;0),"Revisar signo",IF(AND(C398&lt;&gt;"Servicio",H398&lt;&gt;0),"IVA solo en Servicio",IF(AND(C398="Servicio",F398=""),"Falta servicio","OK")))))))))</f>
        <v/>
      </c>
    </row>
    <row r="399" spans="1:12" ht="22" customHeight="1">
      <c r="A399" s="3"/>
      <c r="B399" s="7"/>
      <c r="C399" s="3"/>
      <c r="D399" s="3"/>
      <c r="E399" s="3"/>
      <c r="F399" s="3"/>
      <c r="G399" s="4"/>
      <c r="H399" s="4"/>
      <c r="I399" s="3"/>
      <c r="J399" s="3"/>
      <c r="K399" s="8" t="str">
        <f t="shared" si="6"/>
        <v/>
      </c>
      <c r="L399" s="1" t="str">
        <f>IF(COUNTA(A399:J399)=0,"",IF(OR(AND(C399&lt;&gt;"Servicio",C399&lt;&gt;"Cobro",C399&lt;&gt;"Anticipo",C399&lt;&gt;"Aplicación anticipo",C399&lt;&gt;"Retención ISR",C399&lt;&gt;"Retención IVA"),AND(C399="Servicio",F399&lt;&gt;"TMS",F399&lt;&gt;"Valoración",F399&lt;&gt;"EEG",F399&lt;&gt;"Neurofeedback",F399&lt;&gt;"Fotobiomodulación",F399&lt;&gt;"Psicoterapia",F399&lt;&gt;"Otros")),"Tipo o categoría inválido",IF(COUNTA(A399:J399)=0,"",IF(OR(A399="",B399="",C399="",G399=""),"Faltan datos",IF(COUNTIF($A$7:$A$2006,A399)&gt;1,"ID duplicado",IF(OR(B399&lt;DATE(Configuración!$C$5,1,1),B399&gt;=DATE(Configuración!$C$5+1,1,1)),"Fecha fuera del año",IF(OR(G399&lt;0,H399&lt;0),"Revisar signo",IF(AND(C399&lt;&gt;"Servicio",H399&lt;&gt;0),"IVA solo en Servicio",IF(AND(C399="Servicio",F399=""),"Falta servicio","OK")))))))))</f>
        <v/>
      </c>
    </row>
    <row r="400" spans="1:12" ht="22" customHeight="1">
      <c r="A400" s="3"/>
      <c r="B400" s="7"/>
      <c r="C400" s="3"/>
      <c r="D400" s="3"/>
      <c r="E400" s="3"/>
      <c r="F400" s="3"/>
      <c r="G400" s="4"/>
      <c r="H400" s="4"/>
      <c r="I400" s="3"/>
      <c r="J400" s="3"/>
      <c r="K400" s="8" t="str">
        <f t="shared" si="6"/>
        <v/>
      </c>
      <c r="L400" s="1" t="str">
        <f>IF(COUNTA(A400:J400)=0,"",IF(OR(AND(C400&lt;&gt;"Servicio",C400&lt;&gt;"Cobro",C400&lt;&gt;"Anticipo",C400&lt;&gt;"Aplicación anticipo",C400&lt;&gt;"Retención ISR",C400&lt;&gt;"Retención IVA"),AND(C400="Servicio",F400&lt;&gt;"TMS",F400&lt;&gt;"Valoración",F400&lt;&gt;"EEG",F400&lt;&gt;"Neurofeedback",F400&lt;&gt;"Fotobiomodulación",F400&lt;&gt;"Psicoterapia",F400&lt;&gt;"Otros")),"Tipo o categoría inválido",IF(COUNTA(A400:J400)=0,"",IF(OR(A400="",B400="",C400="",G400=""),"Faltan datos",IF(COUNTIF($A$7:$A$2006,A400)&gt;1,"ID duplicado",IF(OR(B400&lt;DATE(Configuración!$C$5,1,1),B400&gt;=DATE(Configuración!$C$5+1,1,1)),"Fecha fuera del año",IF(OR(G400&lt;0,H400&lt;0),"Revisar signo",IF(AND(C400&lt;&gt;"Servicio",H400&lt;&gt;0),"IVA solo en Servicio",IF(AND(C400="Servicio",F400=""),"Falta servicio","OK")))))))))</f>
        <v/>
      </c>
    </row>
    <row r="401" spans="1:12" ht="22" customHeight="1">
      <c r="A401" s="3"/>
      <c r="B401" s="7"/>
      <c r="C401" s="3"/>
      <c r="D401" s="3"/>
      <c r="E401" s="3"/>
      <c r="F401" s="3"/>
      <c r="G401" s="4"/>
      <c r="H401" s="4"/>
      <c r="I401" s="3"/>
      <c r="J401" s="3"/>
      <c r="K401" s="8" t="str">
        <f t="shared" si="6"/>
        <v/>
      </c>
      <c r="L401" s="1" t="str">
        <f>IF(COUNTA(A401:J401)=0,"",IF(OR(AND(C401&lt;&gt;"Servicio",C401&lt;&gt;"Cobro",C401&lt;&gt;"Anticipo",C401&lt;&gt;"Aplicación anticipo",C401&lt;&gt;"Retención ISR",C401&lt;&gt;"Retención IVA"),AND(C401="Servicio",F401&lt;&gt;"TMS",F401&lt;&gt;"Valoración",F401&lt;&gt;"EEG",F401&lt;&gt;"Neurofeedback",F401&lt;&gt;"Fotobiomodulación",F401&lt;&gt;"Psicoterapia",F401&lt;&gt;"Otros")),"Tipo o categoría inválido",IF(COUNTA(A401:J401)=0,"",IF(OR(A401="",B401="",C401="",G401=""),"Faltan datos",IF(COUNTIF($A$7:$A$2006,A401)&gt;1,"ID duplicado",IF(OR(B401&lt;DATE(Configuración!$C$5,1,1),B401&gt;=DATE(Configuración!$C$5+1,1,1)),"Fecha fuera del año",IF(OR(G401&lt;0,H401&lt;0),"Revisar signo",IF(AND(C401&lt;&gt;"Servicio",H401&lt;&gt;0),"IVA solo en Servicio",IF(AND(C401="Servicio",F401=""),"Falta servicio","OK")))))))))</f>
        <v/>
      </c>
    </row>
    <row r="402" spans="1:12" ht="22" customHeight="1">
      <c r="A402" s="3"/>
      <c r="B402" s="7"/>
      <c r="C402" s="3"/>
      <c r="D402" s="3"/>
      <c r="E402" s="3"/>
      <c r="F402" s="3"/>
      <c r="G402" s="4"/>
      <c r="H402" s="4"/>
      <c r="I402" s="3"/>
      <c r="J402" s="3"/>
      <c r="K402" s="8" t="str">
        <f t="shared" si="6"/>
        <v/>
      </c>
      <c r="L402" s="1" t="str">
        <f>IF(COUNTA(A402:J402)=0,"",IF(OR(AND(C402&lt;&gt;"Servicio",C402&lt;&gt;"Cobro",C402&lt;&gt;"Anticipo",C402&lt;&gt;"Aplicación anticipo",C402&lt;&gt;"Retención ISR",C402&lt;&gt;"Retención IVA"),AND(C402="Servicio",F402&lt;&gt;"TMS",F402&lt;&gt;"Valoración",F402&lt;&gt;"EEG",F402&lt;&gt;"Neurofeedback",F402&lt;&gt;"Fotobiomodulación",F402&lt;&gt;"Psicoterapia",F402&lt;&gt;"Otros")),"Tipo o categoría inválido",IF(COUNTA(A402:J402)=0,"",IF(OR(A402="",B402="",C402="",G402=""),"Faltan datos",IF(COUNTIF($A$7:$A$2006,A402)&gt;1,"ID duplicado",IF(OR(B402&lt;DATE(Configuración!$C$5,1,1),B402&gt;=DATE(Configuración!$C$5+1,1,1)),"Fecha fuera del año",IF(OR(G402&lt;0,H402&lt;0),"Revisar signo",IF(AND(C402&lt;&gt;"Servicio",H402&lt;&gt;0),"IVA solo en Servicio",IF(AND(C402="Servicio",F402=""),"Falta servicio","OK")))))))))</f>
        <v/>
      </c>
    </row>
    <row r="403" spans="1:12" ht="22" customHeight="1">
      <c r="A403" s="3"/>
      <c r="B403" s="7"/>
      <c r="C403" s="3"/>
      <c r="D403" s="3"/>
      <c r="E403" s="3"/>
      <c r="F403" s="3"/>
      <c r="G403" s="4"/>
      <c r="H403" s="4"/>
      <c r="I403" s="3"/>
      <c r="J403" s="3"/>
      <c r="K403" s="8" t="str">
        <f t="shared" si="6"/>
        <v/>
      </c>
      <c r="L403" s="1" t="str">
        <f>IF(COUNTA(A403:J403)=0,"",IF(OR(AND(C403&lt;&gt;"Servicio",C403&lt;&gt;"Cobro",C403&lt;&gt;"Anticipo",C403&lt;&gt;"Aplicación anticipo",C403&lt;&gt;"Retención ISR",C403&lt;&gt;"Retención IVA"),AND(C403="Servicio",F403&lt;&gt;"TMS",F403&lt;&gt;"Valoración",F403&lt;&gt;"EEG",F403&lt;&gt;"Neurofeedback",F403&lt;&gt;"Fotobiomodulación",F403&lt;&gt;"Psicoterapia",F403&lt;&gt;"Otros")),"Tipo o categoría inválido",IF(COUNTA(A403:J403)=0,"",IF(OR(A403="",B403="",C403="",G403=""),"Faltan datos",IF(COUNTIF($A$7:$A$2006,A403)&gt;1,"ID duplicado",IF(OR(B403&lt;DATE(Configuración!$C$5,1,1),B403&gt;=DATE(Configuración!$C$5+1,1,1)),"Fecha fuera del año",IF(OR(G403&lt;0,H403&lt;0),"Revisar signo",IF(AND(C403&lt;&gt;"Servicio",H403&lt;&gt;0),"IVA solo en Servicio",IF(AND(C403="Servicio",F403=""),"Falta servicio","OK")))))))))</f>
        <v/>
      </c>
    </row>
    <row r="404" spans="1:12" ht="22" customHeight="1">
      <c r="A404" s="3"/>
      <c r="B404" s="7"/>
      <c r="C404" s="3"/>
      <c r="D404" s="3"/>
      <c r="E404" s="3"/>
      <c r="F404" s="3"/>
      <c r="G404" s="4"/>
      <c r="H404" s="4"/>
      <c r="I404" s="3"/>
      <c r="J404" s="3"/>
      <c r="K404" s="8" t="str">
        <f t="shared" si="6"/>
        <v/>
      </c>
      <c r="L404" s="1" t="str">
        <f>IF(COUNTA(A404:J404)=0,"",IF(OR(AND(C404&lt;&gt;"Servicio",C404&lt;&gt;"Cobro",C404&lt;&gt;"Anticipo",C404&lt;&gt;"Aplicación anticipo",C404&lt;&gt;"Retención ISR",C404&lt;&gt;"Retención IVA"),AND(C404="Servicio",F404&lt;&gt;"TMS",F404&lt;&gt;"Valoración",F404&lt;&gt;"EEG",F404&lt;&gt;"Neurofeedback",F404&lt;&gt;"Fotobiomodulación",F404&lt;&gt;"Psicoterapia",F404&lt;&gt;"Otros")),"Tipo o categoría inválido",IF(COUNTA(A404:J404)=0,"",IF(OR(A404="",B404="",C404="",G404=""),"Faltan datos",IF(COUNTIF($A$7:$A$2006,A404)&gt;1,"ID duplicado",IF(OR(B404&lt;DATE(Configuración!$C$5,1,1),B404&gt;=DATE(Configuración!$C$5+1,1,1)),"Fecha fuera del año",IF(OR(G404&lt;0,H404&lt;0),"Revisar signo",IF(AND(C404&lt;&gt;"Servicio",H404&lt;&gt;0),"IVA solo en Servicio",IF(AND(C404="Servicio",F404=""),"Falta servicio","OK")))))))))</f>
        <v/>
      </c>
    </row>
    <row r="405" spans="1:12" ht="22" customHeight="1">
      <c r="A405" s="3"/>
      <c r="B405" s="7"/>
      <c r="C405" s="3"/>
      <c r="D405" s="3"/>
      <c r="E405" s="3"/>
      <c r="F405" s="3"/>
      <c r="G405" s="4"/>
      <c r="H405" s="4"/>
      <c r="I405" s="3"/>
      <c r="J405" s="3"/>
      <c r="K405" s="8" t="str">
        <f t="shared" si="6"/>
        <v/>
      </c>
      <c r="L405" s="1" t="str">
        <f>IF(COUNTA(A405:J405)=0,"",IF(OR(AND(C405&lt;&gt;"Servicio",C405&lt;&gt;"Cobro",C405&lt;&gt;"Anticipo",C405&lt;&gt;"Aplicación anticipo",C405&lt;&gt;"Retención ISR",C405&lt;&gt;"Retención IVA"),AND(C405="Servicio",F405&lt;&gt;"TMS",F405&lt;&gt;"Valoración",F405&lt;&gt;"EEG",F405&lt;&gt;"Neurofeedback",F405&lt;&gt;"Fotobiomodulación",F405&lt;&gt;"Psicoterapia",F405&lt;&gt;"Otros")),"Tipo o categoría inválido",IF(COUNTA(A405:J405)=0,"",IF(OR(A405="",B405="",C405="",G405=""),"Faltan datos",IF(COUNTIF($A$7:$A$2006,A405)&gt;1,"ID duplicado",IF(OR(B405&lt;DATE(Configuración!$C$5,1,1),B405&gt;=DATE(Configuración!$C$5+1,1,1)),"Fecha fuera del año",IF(OR(G405&lt;0,H405&lt;0),"Revisar signo",IF(AND(C405&lt;&gt;"Servicio",H405&lt;&gt;0),"IVA solo en Servicio",IF(AND(C405="Servicio",F405=""),"Falta servicio","OK")))))))))</f>
        <v/>
      </c>
    </row>
    <row r="406" spans="1:12" ht="22" customHeight="1">
      <c r="A406" s="3"/>
      <c r="B406" s="7"/>
      <c r="C406" s="3"/>
      <c r="D406" s="3"/>
      <c r="E406" s="3"/>
      <c r="F406" s="3"/>
      <c r="G406" s="4"/>
      <c r="H406" s="4"/>
      <c r="I406" s="3"/>
      <c r="J406" s="3"/>
      <c r="K406" s="8" t="str">
        <f t="shared" si="6"/>
        <v/>
      </c>
      <c r="L406" s="1" t="str">
        <f>IF(COUNTA(A406:J406)=0,"",IF(OR(AND(C406&lt;&gt;"Servicio",C406&lt;&gt;"Cobro",C406&lt;&gt;"Anticipo",C406&lt;&gt;"Aplicación anticipo",C406&lt;&gt;"Retención ISR",C406&lt;&gt;"Retención IVA"),AND(C406="Servicio",F406&lt;&gt;"TMS",F406&lt;&gt;"Valoración",F406&lt;&gt;"EEG",F406&lt;&gt;"Neurofeedback",F406&lt;&gt;"Fotobiomodulación",F406&lt;&gt;"Psicoterapia",F406&lt;&gt;"Otros")),"Tipo o categoría inválido",IF(COUNTA(A406:J406)=0,"",IF(OR(A406="",B406="",C406="",G406=""),"Faltan datos",IF(COUNTIF($A$7:$A$2006,A406)&gt;1,"ID duplicado",IF(OR(B406&lt;DATE(Configuración!$C$5,1,1),B406&gt;=DATE(Configuración!$C$5+1,1,1)),"Fecha fuera del año",IF(OR(G406&lt;0,H406&lt;0),"Revisar signo",IF(AND(C406&lt;&gt;"Servicio",H406&lt;&gt;0),"IVA solo en Servicio",IF(AND(C406="Servicio",F406=""),"Falta servicio","OK")))))))))</f>
        <v/>
      </c>
    </row>
    <row r="407" spans="1:12" ht="22" customHeight="1">
      <c r="A407" s="3"/>
      <c r="B407" s="7"/>
      <c r="C407" s="3"/>
      <c r="D407" s="3"/>
      <c r="E407" s="3"/>
      <c r="F407" s="3"/>
      <c r="G407" s="4"/>
      <c r="H407" s="4"/>
      <c r="I407" s="3"/>
      <c r="J407" s="3"/>
      <c r="K407" s="8" t="str">
        <f t="shared" si="6"/>
        <v/>
      </c>
      <c r="L407" s="1" t="str">
        <f>IF(COUNTA(A407:J407)=0,"",IF(OR(AND(C407&lt;&gt;"Servicio",C407&lt;&gt;"Cobro",C407&lt;&gt;"Anticipo",C407&lt;&gt;"Aplicación anticipo",C407&lt;&gt;"Retención ISR",C407&lt;&gt;"Retención IVA"),AND(C407="Servicio",F407&lt;&gt;"TMS",F407&lt;&gt;"Valoración",F407&lt;&gt;"EEG",F407&lt;&gt;"Neurofeedback",F407&lt;&gt;"Fotobiomodulación",F407&lt;&gt;"Psicoterapia",F407&lt;&gt;"Otros")),"Tipo o categoría inválido",IF(COUNTA(A407:J407)=0,"",IF(OR(A407="",B407="",C407="",G407=""),"Faltan datos",IF(COUNTIF($A$7:$A$2006,A407)&gt;1,"ID duplicado",IF(OR(B407&lt;DATE(Configuración!$C$5,1,1),B407&gt;=DATE(Configuración!$C$5+1,1,1)),"Fecha fuera del año",IF(OR(G407&lt;0,H407&lt;0),"Revisar signo",IF(AND(C407&lt;&gt;"Servicio",H407&lt;&gt;0),"IVA solo en Servicio",IF(AND(C407="Servicio",F407=""),"Falta servicio","OK")))))))))</f>
        <v/>
      </c>
    </row>
    <row r="408" spans="1:12" ht="22" customHeight="1">
      <c r="A408" s="3"/>
      <c r="B408" s="7"/>
      <c r="C408" s="3"/>
      <c r="D408" s="3"/>
      <c r="E408" s="3"/>
      <c r="F408" s="3"/>
      <c r="G408" s="4"/>
      <c r="H408" s="4"/>
      <c r="I408" s="3"/>
      <c r="J408" s="3"/>
      <c r="K408" s="8" t="str">
        <f t="shared" si="6"/>
        <v/>
      </c>
      <c r="L408" s="1" t="str">
        <f>IF(COUNTA(A408:J408)=0,"",IF(OR(AND(C408&lt;&gt;"Servicio",C408&lt;&gt;"Cobro",C408&lt;&gt;"Anticipo",C408&lt;&gt;"Aplicación anticipo",C408&lt;&gt;"Retención ISR",C408&lt;&gt;"Retención IVA"),AND(C408="Servicio",F408&lt;&gt;"TMS",F408&lt;&gt;"Valoración",F408&lt;&gt;"EEG",F408&lt;&gt;"Neurofeedback",F408&lt;&gt;"Fotobiomodulación",F408&lt;&gt;"Psicoterapia",F408&lt;&gt;"Otros")),"Tipo o categoría inválido",IF(COUNTA(A408:J408)=0,"",IF(OR(A408="",B408="",C408="",G408=""),"Faltan datos",IF(COUNTIF($A$7:$A$2006,A408)&gt;1,"ID duplicado",IF(OR(B408&lt;DATE(Configuración!$C$5,1,1),B408&gt;=DATE(Configuración!$C$5+1,1,1)),"Fecha fuera del año",IF(OR(G408&lt;0,H408&lt;0),"Revisar signo",IF(AND(C408&lt;&gt;"Servicio",H408&lt;&gt;0),"IVA solo en Servicio",IF(AND(C408="Servicio",F408=""),"Falta servicio","OK")))))))))</f>
        <v/>
      </c>
    </row>
    <row r="409" spans="1:12" ht="22" customHeight="1">
      <c r="A409" s="3"/>
      <c r="B409" s="7"/>
      <c r="C409" s="3"/>
      <c r="D409" s="3"/>
      <c r="E409" s="3"/>
      <c r="F409" s="3"/>
      <c r="G409" s="4"/>
      <c r="H409" s="4"/>
      <c r="I409" s="3"/>
      <c r="J409" s="3"/>
      <c r="K409" s="8" t="str">
        <f t="shared" si="6"/>
        <v/>
      </c>
      <c r="L409" s="1" t="str">
        <f>IF(COUNTA(A409:J409)=0,"",IF(OR(AND(C409&lt;&gt;"Servicio",C409&lt;&gt;"Cobro",C409&lt;&gt;"Anticipo",C409&lt;&gt;"Aplicación anticipo",C409&lt;&gt;"Retención ISR",C409&lt;&gt;"Retención IVA"),AND(C409="Servicio",F409&lt;&gt;"TMS",F409&lt;&gt;"Valoración",F409&lt;&gt;"EEG",F409&lt;&gt;"Neurofeedback",F409&lt;&gt;"Fotobiomodulación",F409&lt;&gt;"Psicoterapia",F409&lt;&gt;"Otros")),"Tipo o categoría inválido",IF(COUNTA(A409:J409)=0,"",IF(OR(A409="",B409="",C409="",G409=""),"Faltan datos",IF(COUNTIF($A$7:$A$2006,A409)&gt;1,"ID duplicado",IF(OR(B409&lt;DATE(Configuración!$C$5,1,1),B409&gt;=DATE(Configuración!$C$5+1,1,1)),"Fecha fuera del año",IF(OR(G409&lt;0,H409&lt;0),"Revisar signo",IF(AND(C409&lt;&gt;"Servicio",H409&lt;&gt;0),"IVA solo en Servicio",IF(AND(C409="Servicio",F409=""),"Falta servicio","OK")))))))))</f>
        <v/>
      </c>
    </row>
    <row r="410" spans="1:12" ht="22" customHeight="1">
      <c r="A410" s="3"/>
      <c r="B410" s="7"/>
      <c r="C410" s="3"/>
      <c r="D410" s="3"/>
      <c r="E410" s="3"/>
      <c r="F410" s="3"/>
      <c r="G410" s="4"/>
      <c r="H410" s="4"/>
      <c r="I410" s="3"/>
      <c r="J410" s="3"/>
      <c r="K410" s="8" t="str">
        <f t="shared" si="6"/>
        <v/>
      </c>
      <c r="L410" s="1" t="str">
        <f>IF(COUNTA(A410:J410)=0,"",IF(OR(AND(C410&lt;&gt;"Servicio",C410&lt;&gt;"Cobro",C410&lt;&gt;"Anticipo",C410&lt;&gt;"Aplicación anticipo",C410&lt;&gt;"Retención ISR",C410&lt;&gt;"Retención IVA"),AND(C410="Servicio",F410&lt;&gt;"TMS",F410&lt;&gt;"Valoración",F410&lt;&gt;"EEG",F410&lt;&gt;"Neurofeedback",F410&lt;&gt;"Fotobiomodulación",F410&lt;&gt;"Psicoterapia",F410&lt;&gt;"Otros")),"Tipo o categoría inválido",IF(COUNTA(A410:J410)=0,"",IF(OR(A410="",B410="",C410="",G410=""),"Faltan datos",IF(COUNTIF($A$7:$A$2006,A410)&gt;1,"ID duplicado",IF(OR(B410&lt;DATE(Configuración!$C$5,1,1),B410&gt;=DATE(Configuración!$C$5+1,1,1)),"Fecha fuera del año",IF(OR(G410&lt;0,H410&lt;0),"Revisar signo",IF(AND(C410&lt;&gt;"Servicio",H410&lt;&gt;0),"IVA solo en Servicio",IF(AND(C410="Servicio",F410=""),"Falta servicio","OK")))))))))</f>
        <v/>
      </c>
    </row>
    <row r="411" spans="1:12" ht="22" customHeight="1">
      <c r="A411" s="3"/>
      <c r="B411" s="7"/>
      <c r="C411" s="3"/>
      <c r="D411" s="3"/>
      <c r="E411" s="3"/>
      <c r="F411" s="3"/>
      <c r="G411" s="4"/>
      <c r="H411" s="4"/>
      <c r="I411" s="3"/>
      <c r="J411" s="3"/>
      <c r="K411" s="8" t="str">
        <f t="shared" si="6"/>
        <v/>
      </c>
      <c r="L411" s="1" t="str">
        <f>IF(COUNTA(A411:J411)=0,"",IF(OR(AND(C411&lt;&gt;"Servicio",C411&lt;&gt;"Cobro",C411&lt;&gt;"Anticipo",C411&lt;&gt;"Aplicación anticipo",C411&lt;&gt;"Retención ISR",C411&lt;&gt;"Retención IVA"),AND(C411="Servicio",F411&lt;&gt;"TMS",F411&lt;&gt;"Valoración",F411&lt;&gt;"EEG",F411&lt;&gt;"Neurofeedback",F411&lt;&gt;"Fotobiomodulación",F411&lt;&gt;"Psicoterapia",F411&lt;&gt;"Otros")),"Tipo o categoría inválido",IF(COUNTA(A411:J411)=0,"",IF(OR(A411="",B411="",C411="",G411=""),"Faltan datos",IF(COUNTIF($A$7:$A$2006,A411)&gt;1,"ID duplicado",IF(OR(B411&lt;DATE(Configuración!$C$5,1,1),B411&gt;=DATE(Configuración!$C$5+1,1,1)),"Fecha fuera del año",IF(OR(G411&lt;0,H411&lt;0),"Revisar signo",IF(AND(C411&lt;&gt;"Servicio",H411&lt;&gt;0),"IVA solo en Servicio",IF(AND(C411="Servicio",F411=""),"Falta servicio","OK")))))))))</f>
        <v/>
      </c>
    </row>
    <row r="412" spans="1:12" ht="22" customHeight="1">
      <c r="A412" s="3"/>
      <c r="B412" s="7"/>
      <c r="C412" s="3"/>
      <c r="D412" s="3"/>
      <c r="E412" s="3"/>
      <c r="F412" s="3"/>
      <c r="G412" s="4"/>
      <c r="H412" s="4"/>
      <c r="I412" s="3"/>
      <c r="J412" s="3"/>
      <c r="K412" s="8" t="str">
        <f t="shared" si="6"/>
        <v/>
      </c>
      <c r="L412" s="1" t="str">
        <f>IF(COUNTA(A412:J412)=0,"",IF(OR(AND(C412&lt;&gt;"Servicio",C412&lt;&gt;"Cobro",C412&lt;&gt;"Anticipo",C412&lt;&gt;"Aplicación anticipo",C412&lt;&gt;"Retención ISR",C412&lt;&gt;"Retención IVA"),AND(C412="Servicio",F412&lt;&gt;"TMS",F412&lt;&gt;"Valoración",F412&lt;&gt;"EEG",F412&lt;&gt;"Neurofeedback",F412&lt;&gt;"Fotobiomodulación",F412&lt;&gt;"Psicoterapia",F412&lt;&gt;"Otros")),"Tipo o categoría inválido",IF(COUNTA(A412:J412)=0,"",IF(OR(A412="",B412="",C412="",G412=""),"Faltan datos",IF(COUNTIF($A$7:$A$2006,A412)&gt;1,"ID duplicado",IF(OR(B412&lt;DATE(Configuración!$C$5,1,1),B412&gt;=DATE(Configuración!$C$5+1,1,1)),"Fecha fuera del año",IF(OR(G412&lt;0,H412&lt;0),"Revisar signo",IF(AND(C412&lt;&gt;"Servicio",H412&lt;&gt;0),"IVA solo en Servicio",IF(AND(C412="Servicio",F412=""),"Falta servicio","OK")))))))))</f>
        <v/>
      </c>
    </row>
    <row r="413" spans="1:12" ht="22" customHeight="1">
      <c r="A413" s="3"/>
      <c r="B413" s="7"/>
      <c r="C413" s="3"/>
      <c r="D413" s="3"/>
      <c r="E413" s="3"/>
      <c r="F413" s="3"/>
      <c r="G413" s="4"/>
      <c r="H413" s="4"/>
      <c r="I413" s="3"/>
      <c r="J413" s="3"/>
      <c r="K413" s="8" t="str">
        <f t="shared" si="6"/>
        <v/>
      </c>
      <c r="L413" s="1" t="str">
        <f>IF(COUNTA(A413:J413)=0,"",IF(OR(AND(C413&lt;&gt;"Servicio",C413&lt;&gt;"Cobro",C413&lt;&gt;"Anticipo",C413&lt;&gt;"Aplicación anticipo",C413&lt;&gt;"Retención ISR",C413&lt;&gt;"Retención IVA"),AND(C413="Servicio",F413&lt;&gt;"TMS",F413&lt;&gt;"Valoración",F413&lt;&gt;"EEG",F413&lt;&gt;"Neurofeedback",F413&lt;&gt;"Fotobiomodulación",F413&lt;&gt;"Psicoterapia",F413&lt;&gt;"Otros")),"Tipo o categoría inválido",IF(COUNTA(A413:J413)=0,"",IF(OR(A413="",B413="",C413="",G413=""),"Faltan datos",IF(COUNTIF($A$7:$A$2006,A413)&gt;1,"ID duplicado",IF(OR(B413&lt;DATE(Configuración!$C$5,1,1),B413&gt;=DATE(Configuración!$C$5+1,1,1)),"Fecha fuera del año",IF(OR(G413&lt;0,H413&lt;0),"Revisar signo",IF(AND(C413&lt;&gt;"Servicio",H413&lt;&gt;0),"IVA solo en Servicio",IF(AND(C413="Servicio",F413=""),"Falta servicio","OK")))))))))</f>
        <v/>
      </c>
    </row>
    <row r="414" spans="1:12" ht="22" customHeight="1">
      <c r="A414" s="3"/>
      <c r="B414" s="7"/>
      <c r="C414" s="3"/>
      <c r="D414" s="3"/>
      <c r="E414" s="3"/>
      <c r="F414" s="3"/>
      <c r="G414" s="4"/>
      <c r="H414" s="4"/>
      <c r="I414" s="3"/>
      <c r="J414" s="3"/>
      <c r="K414" s="8" t="str">
        <f t="shared" si="6"/>
        <v/>
      </c>
      <c r="L414" s="1" t="str">
        <f>IF(COUNTA(A414:J414)=0,"",IF(OR(AND(C414&lt;&gt;"Servicio",C414&lt;&gt;"Cobro",C414&lt;&gt;"Anticipo",C414&lt;&gt;"Aplicación anticipo",C414&lt;&gt;"Retención ISR",C414&lt;&gt;"Retención IVA"),AND(C414="Servicio",F414&lt;&gt;"TMS",F414&lt;&gt;"Valoración",F414&lt;&gt;"EEG",F414&lt;&gt;"Neurofeedback",F414&lt;&gt;"Fotobiomodulación",F414&lt;&gt;"Psicoterapia",F414&lt;&gt;"Otros")),"Tipo o categoría inválido",IF(COUNTA(A414:J414)=0,"",IF(OR(A414="",B414="",C414="",G414=""),"Faltan datos",IF(COUNTIF($A$7:$A$2006,A414)&gt;1,"ID duplicado",IF(OR(B414&lt;DATE(Configuración!$C$5,1,1),B414&gt;=DATE(Configuración!$C$5+1,1,1)),"Fecha fuera del año",IF(OR(G414&lt;0,H414&lt;0),"Revisar signo",IF(AND(C414&lt;&gt;"Servicio",H414&lt;&gt;0),"IVA solo en Servicio",IF(AND(C414="Servicio",F414=""),"Falta servicio","OK")))))))))</f>
        <v/>
      </c>
    </row>
    <row r="415" spans="1:12" ht="22" customHeight="1">
      <c r="A415" s="3"/>
      <c r="B415" s="7"/>
      <c r="C415" s="3"/>
      <c r="D415" s="3"/>
      <c r="E415" s="3"/>
      <c r="F415" s="3"/>
      <c r="G415" s="4"/>
      <c r="H415" s="4"/>
      <c r="I415" s="3"/>
      <c r="J415" s="3"/>
      <c r="K415" s="8" t="str">
        <f t="shared" si="6"/>
        <v/>
      </c>
      <c r="L415" s="1" t="str">
        <f>IF(COUNTA(A415:J415)=0,"",IF(OR(AND(C415&lt;&gt;"Servicio",C415&lt;&gt;"Cobro",C415&lt;&gt;"Anticipo",C415&lt;&gt;"Aplicación anticipo",C415&lt;&gt;"Retención ISR",C415&lt;&gt;"Retención IVA"),AND(C415="Servicio",F415&lt;&gt;"TMS",F415&lt;&gt;"Valoración",F415&lt;&gt;"EEG",F415&lt;&gt;"Neurofeedback",F415&lt;&gt;"Fotobiomodulación",F415&lt;&gt;"Psicoterapia",F415&lt;&gt;"Otros")),"Tipo o categoría inválido",IF(COUNTA(A415:J415)=0,"",IF(OR(A415="",B415="",C415="",G415=""),"Faltan datos",IF(COUNTIF($A$7:$A$2006,A415)&gt;1,"ID duplicado",IF(OR(B415&lt;DATE(Configuración!$C$5,1,1),B415&gt;=DATE(Configuración!$C$5+1,1,1)),"Fecha fuera del año",IF(OR(G415&lt;0,H415&lt;0),"Revisar signo",IF(AND(C415&lt;&gt;"Servicio",H415&lt;&gt;0),"IVA solo en Servicio",IF(AND(C415="Servicio",F415=""),"Falta servicio","OK")))))))))</f>
        <v/>
      </c>
    </row>
    <row r="416" spans="1:12" ht="22" customHeight="1">
      <c r="A416" s="3"/>
      <c r="B416" s="7"/>
      <c r="C416" s="3"/>
      <c r="D416" s="3"/>
      <c r="E416" s="3"/>
      <c r="F416" s="3"/>
      <c r="G416" s="4"/>
      <c r="H416" s="4"/>
      <c r="I416" s="3"/>
      <c r="J416" s="3"/>
      <c r="K416" s="8" t="str">
        <f t="shared" si="6"/>
        <v/>
      </c>
      <c r="L416" s="1" t="str">
        <f>IF(COUNTA(A416:J416)=0,"",IF(OR(AND(C416&lt;&gt;"Servicio",C416&lt;&gt;"Cobro",C416&lt;&gt;"Anticipo",C416&lt;&gt;"Aplicación anticipo",C416&lt;&gt;"Retención ISR",C416&lt;&gt;"Retención IVA"),AND(C416="Servicio",F416&lt;&gt;"TMS",F416&lt;&gt;"Valoración",F416&lt;&gt;"EEG",F416&lt;&gt;"Neurofeedback",F416&lt;&gt;"Fotobiomodulación",F416&lt;&gt;"Psicoterapia",F416&lt;&gt;"Otros")),"Tipo o categoría inválido",IF(COUNTA(A416:J416)=0,"",IF(OR(A416="",B416="",C416="",G416=""),"Faltan datos",IF(COUNTIF($A$7:$A$2006,A416)&gt;1,"ID duplicado",IF(OR(B416&lt;DATE(Configuración!$C$5,1,1),B416&gt;=DATE(Configuración!$C$5+1,1,1)),"Fecha fuera del año",IF(OR(G416&lt;0,H416&lt;0),"Revisar signo",IF(AND(C416&lt;&gt;"Servicio",H416&lt;&gt;0),"IVA solo en Servicio",IF(AND(C416="Servicio",F416=""),"Falta servicio","OK")))))))))</f>
        <v/>
      </c>
    </row>
    <row r="417" spans="1:12" ht="22" customHeight="1">
      <c r="A417" s="3"/>
      <c r="B417" s="7"/>
      <c r="C417" s="3"/>
      <c r="D417" s="3"/>
      <c r="E417" s="3"/>
      <c r="F417" s="3"/>
      <c r="G417" s="4"/>
      <c r="H417" s="4"/>
      <c r="I417" s="3"/>
      <c r="J417" s="3"/>
      <c r="K417" s="8" t="str">
        <f t="shared" si="6"/>
        <v/>
      </c>
      <c r="L417" s="1" t="str">
        <f>IF(COUNTA(A417:J417)=0,"",IF(OR(AND(C417&lt;&gt;"Servicio",C417&lt;&gt;"Cobro",C417&lt;&gt;"Anticipo",C417&lt;&gt;"Aplicación anticipo",C417&lt;&gt;"Retención ISR",C417&lt;&gt;"Retención IVA"),AND(C417="Servicio",F417&lt;&gt;"TMS",F417&lt;&gt;"Valoración",F417&lt;&gt;"EEG",F417&lt;&gt;"Neurofeedback",F417&lt;&gt;"Fotobiomodulación",F417&lt;&gt;"Psicoterapia",F417&lt;&gt;"Otros")),"Tipo o categoría inválido",IF(COUNTA(A417:J417)=0,"",IF(OR(A417="",B417="",C417="",G417=""),"Faltan datos",IF(COUNTIF($A$7:$A$2006,A417)&gt;1,"ID duplicado",IF(OR(B417&lt;DATE(Configuración!$C$5,1,1),B417&gt;=DATE(Configuración!$C$5+1,1,1)),"Fecha fuera del año",IF(OR(G417&lt;0,H417&lt;0),"Revisar signo",IF(AND(C417&lt;&gt;"Servicio",H417&lt;&gt;0),"IVA solo en Servicio",IF(AND(C417="Servicio",F417=""),"Falta servicio","OK")))))))))</f>
        <v/>
      </c>
    </row>
    <row r="418" spans="1:12" ht="22" customHeight="1">
      <c r="A418" s="3"/>
      <c r="B418" s="7"/>
      <c r="C418" s="3"/>
      <c r="D418" s="3"/>
      <c r="E418" s="3"/>
      <c r="F418" s="3"/>
      <c r="G418" s="4"/>
      <c r="H418" s="4"/>
      <c r="I418" s="3"/>
      <c r="J418" s="3"/>
      <c r="K418" s="8" t="str">
        <f t="shared" si="6"/>
        <v/>
      </c>
      <c r="L418" s="1" t="str">
        <f>IF(COUNTA(A418:J418)=0,"",IF(OR(AND(C418&lt;&gt;"Servicio",C418&lt;&gt;"Cobro",C418&lt;&gt;"Anticipo",C418&lt;&gt;"Aplicación anticipo",C418&lt;&gt;"Retención ISR",C418&lt;&gt;"Retención IVA"),AND(C418="Servicio",F418&lt;&gt;"TMS",F418&lt;&gt;"Valoración",F418&lt;&gt;"EEG",F418&lt;&gt;"Neurofeedback",F418&lt;&gt;"Fotobiomodulación",F418&lt;&gt;"Psicoterapia",F418&lt;&gt;"Otros")),"Tipo o categoría inválido",IF(COUNTA(A418:J418)=0,"",IF(OR(A418="",B418="",C418="",G418=""),"Faltan datos",IF(COUNTIF($A$7:$A$2006,A418)&gt;1,"ID duplicado",IF(OR(B418&lt;DATE(Configuración!$C$5,1,1),B418&gt;=DATE(Configuración!$C$5+1,1,1)),"Fecha fuera del año",IF(OR(G418&lt;0,H418&lt;0),"Revisar signo",IF(AND(C418&lt;&gt;"Servicio",H418&lt;&gt;0),"IVA solo en Servicio",IF(AND(C418="Servicio",F418=""),"Falta servicio","OK")))))))))</f>
        <v/>
      </c>
    </row>
    <row r="419" spans="1:12" ht="22" customHeight="1">
      <c r="A419" s="3"/>
      <c r="B419" s="7"/>
      <c r="C419" s="3"/>
      <c r="D419" s="3"/>
      <c r="E419" s="3"/>
      <c r="F419" s="3"/>
      <c r="G419" s="4"/>
      <c r="H419" s="4"/>
      <c r="I419" s="3"/>
      <c r="J419" s="3"/>
      <c r="K419" s="8" t="str">
        <f t="shared" si="6"/>
        <v/>
      </c>
      <c r="L419" s="1" t="str">
        <f>IF(COUNTA(A419:J419)=0,"",IF(OR(AND(C419&lt;&gt;"Servicio",C419&lt;&gt;"Cobro",C419&lt;&gt;"Anticipo",C419&lt;&gt;"Aplicación anticipo",C419&lt;&gt;"Retención ISR",C419&lt;&gt;"Retención IVA"),AND(C419="Servicio",F419&lt;&gt;"TMS",F419&lt;&gt;"Valoración",F419&lt;&gt;"EEG",F419&lt;&gt;"Neurofeedback",F419&lt;&gt;"Fotobiomodulación",F419&lt;&gt;"Psicoterapia",F419&lt;&gt;"Otros")),"Tipo o categoría inválido",IF(COUNTA(A419:J419)=0,"",IF(OR(A419="",B419="",C419="",G419=""),"Faltan datos",IF(COUNTIF($A$7:$A$2006,A419)&gt;1,"ID duplicado",IF(OR(B419&lt;DATE(Configuración!$C$5,1,1),B419&gt;=DATE(Configuración!$C$5+1,1,1)),"Fecha fuera del año",IF(OR(G419&lt;0,H419&lt;0),"Revisar signo",IF(AND(C419&lt;&gt;"Servicio",H419&lt;&gt;0),"IVA solo en Servicio",IF(AND(C419="Servicio",F419=""),"Falta servicio","OK")))))))))</f>
        <v/>
      </c>
    </row>
    <row r="420" spans="1:12" ht="22" customHeight="1">
      <c r="A420" s="3"/>
      <c r="B420" s="7"/>
      <c r="C420" s="3"/>
      <c r="D420" s="3"/>
      <c r="E420" s="3"/>
      <c r="F420" s="3"/>
      <c r="G420" s="4"/>
      <c r="H420" s="4"/>
      <c r="I420" s="3"/>
      <c r="J420" s="3"/>
      <c r="K420" s="8" t="str">
        <f t="shared" si="6"/>
        <v/>
      </c>
      <c r="L420" s="1" t="str">
        <f>IF(COUNTA(A420:J420)=0,"",IF(OR(AND(C420&lt;&gt;"Servicio",C420&lt;&gt;"Cobro",C420&lt;&gt;"Anticipo",C420&lt;&gt;"Aplicación anticipo",C420&lt;&gt;"Retención ISR",C420&lt;&gt;"Retención IVA"),AND(C420="Servicio",F420&lt;&gt;"TMS",F420&lt;&gt;"Valoración",F420&lt;&gt;"EEG",F420&lt;&gt;"Neurofeedback",F420&lt;&gt;"Fotobiomodulación",F420&lt;&gt;"Psicoterapia",F420&lt;&gt;"Otros")),"Tipo o categoría inválido",IF(COUNTA(A420:J420)=0,"",IF(OR(A420="",B420="",C420="",G420=""),"Faltan datos",IF(COUNTIF($A$7:$A$2006,A420)&gt;1,"ID duplicado",IF(OR(B420&lt;DATE(Configuración!$C$5,1,1),B420&gt;=DATE(Configuración!$C$5+1,1,1)),"Fecha fuera del año",IF(OR(G420&lt;0,H420&lt;0),"Revisar signo",IF(AND(C420&lt;&gt;"Servicio",H420&lt;&gt;0),"IVA solo en Servicio",IF(AND(C420="Servicio",F420=""),"Falta servicio","OK")))))))))</f>
        <v/>
      </c>
    </row>
    <row r="421" spans="1:12" ht="22" customHeight="1">
      <c r="A421" s="3"/>
      <c r="B421" s="7"/>
      <c r="C421" s="3"/>
      <c r="D421" s="3"/>
      <c r="E421" s="3"/>
      <c r="F421" s="3"/>
      <c r="G421" s="4"/>
      <c r="H421" s="4"/>
      <c r="I421" s="3"/>
      <c r="J421" s="3"/>
      <c r="K421" s="8" t="str">
        <f t="shared" si="6"/>
        <v/>
      </c>
      <c r="L421" s="1" t="str">
        <f>IF(COUNTA(A421:J421)=0,"",IF(OR(AND(C421&lt;&gt;"Servicio",C421&lt;&gt;"Cobro",C421&lt;&gt;"Anticipo",C421&lt;&gt;"Aplicación anticipo",C421&lt;&gt;"Retención ISR",C421&lt;&gt;"Retención IVA"),AND(C421="Servicio",F421&lt;&gt;"TMS",F421&lt;&gt;"Valoración",F421&lt;&gt;"EEG",F421&lt;&gt;"Neurofeedback",F421&lt;&gt;"Fotobiomodulación",F421&lt;&gt;"Psicoterapia",F421&lt;&gt;"Otros")),"Tipo o categoría inválido",IF(COUNTA(A421:J421)=0,"",IF(OR(A421="",B421="",C421="",G421=""),"Faltan datos",IF(COUNTIF($A$7:$A$2006,A421)&gt;1,"ID duplicado",IF(OR(B421&lt;DATE(Configuración!$C$5,1,1),B421&gt;=DATE(Configuración!$C$5+1,1,1)),"Fecha fuera del año",IF(OR(G421&lt;0,H421&lt;0),"Revisar signo",IF(AND(C421&lt;&gt;"Servicio",H421&lt;&gt;0),"IVA solo en Servicio",IF(AND(C421="Servicio",F421=""),"Falta servicio","OK")))))))))</f>
        <v/>
      </c>
    </row>
    <row r="422" spans="1:12" ht="22" customHeight="1">
      <c r="A422" s="3"/>
      <c r="B422" s="7"/>
      <c r="C422" s="3"/>
      <c r="D422" s="3"/>
      <c r="E422" s="3"/>
      <c r="F422" s="3"/>
      <c r="G422" s="4"/>
      <c r="H422" s="4"/>
      <c r="I422" s="3"/>
      <c r="J422" s="3"/>
      <c r="K422" s="8" t="str">
        <f t="shared" si="6"/>
        <v/>
      </c>
      <c r="L422" s="1" t="str">
        <f>IF(COUNTA(A422:J422)=0,"",IF(OR(AND(C422&lt;&gt;"Servicio",C422&lt;&gt;"Cobro",C422&lt;&gt;"Anticipo",C422&lt;&gt;"Aplicación anticipo",C422&lt;&gt;"Retención ISR",C422&lt;&gt;"Retención IVA"),AND(C422="Servicio",F422&lt;&gt;"TMS",F422&lt;&gt;"Valoración",F422&lt;&gt;"EEG",F422&lt;&gt;"Neurofeedback",F422&lt;&gt;"Fotobiomodulación",F422&lt;&gt;"Psicoterapia",F422&lt;&gt;"Otros")),"Tipo o categoría inválido",IF(COUNTA(A422:J422)=0,"",IF(OR(A422="",B422="",C422="",G422=""),"Faltan datos",IF(COUNTIF($A$7:$A$2006,A422)&gt;1,"ID duplicado",IF(OR(B422&lt;DATE(Configuración!$C$5,1,1),B422&gt;=DATE(Configuración!$C$5+1,1,1)),"Fecha fuera del año",IF(OR(G422&lt;0,H422&lt;0),"Revisar signo",IF(AND(C422&lt;&gt;"Servicio",H422&lt;&gt;0),"IVA solo en Servicio",IF(AND(C422="Servicio",F422=""),"Falta servicio","OK")))))))))</f>
        <v/>
      </c>
    </row>
    <row r="423" spans="1:12" ht="22" customHeight="1">
      <c r="A423" s="3"/>
      <c r="B423" s="7"/>
      <c r="C423" s="3"/>
      <c r="D423" s="3"/>
      <c r="E423" s="3"/>
      <c r="F423" s="3"/>
      <c r="G423" s="4"/>
      <c r="H423" s="4"/>
      <c r="I423" s="3"/>
      <c r="J423" s="3"/>
      <c r="K423" s="8" t="str">
        <f t="shared" si="6"/>
        <v/>
      </c>
      <c r="L423" s="1" t="str">
        <f>IF(COUNTA(A423:J423)=0,"",IF(OR(AND(C423&lt;&gt;"Servicio",C423&lt;&gt;"Cobro",C423&lt;&gt;"Anticipo",C423&lt;&gt;"Aplicación anticipo",C423&lt;&gt;"Retención ISR",C423&lt;&gt;"Retención IVA"),AND(C423="Servicio",F423&lt;&gt;"TMS",F423&lt;&gt;"Valoración",F423&lt;&gt;"EEG",F423&lt;&gt;"Neurofeedback",F423&lt;&gt;"Fotobiomodulación",F423&lt;&gt;"Psicoterapia",F423&lt;&gt;"Otros")),"Tipo o categoría inválido",IF(COUNTA(A423:J423)=0,"",IF(OR(A423="",B423="",C423="",G423=""),"Faltan datos",IF(COUNTIF($A$7:$A$2006,A423)&gt;1,"ID duplicado",IF(OR(B423&lt;DATE(Configuración!$C$5,1,1),B423&gt;=DATE(Configuración!$C$5+1,1,1)),"Fecha fuera del año",IF(OR(G423&lt;0,H423&lt;0),"Revisar signo",IF(AND(C423&lt;&gt;"Servicio",H423&lt;&gt;0),"IVA solo en Servicio",IF(AND(C423="Servicio",F423=""),"Falta servicio","OK")))))))))</f>
        <v/>
      </c>
    </row>
    <row r="424" spans="1:12" ht="22" customHeight="1">
      <c r="A424" s="3"/>
      <c r="B424" s="7"/>
      <c r="C424" s="3"/>
      <c r="D424" s="3"/>
      <c r="E424" s="3"/>
      <c r="F424" s="3"/>
      <c r="G424" s="4"/>
      <c r="H424" s="4"/>
      <c r="I424" s="3"/>
      <c r="J424" s="3"/>
      <c r="K424" s="8" t="str">
        <f t="shared" si="6"/>
        <v/>
      </c>
      <c r="L424" s="1" t="str">
        <f>IF(COUNTA(A424:J424)=0,"",IF(OR(AND(C424&lt;&gt;"Servicio",C424&lt;&gt;"Cobro",C424&lt;&gt;"Anticipo",C424&lt;&gt;"Aplicación anticipo",C424&lt;&gt;"Retención ISR",C424&lt;&gt;"Retención IVA"),AND(C424="Servicio",F424&lt;&gt;"TMS",F424&lt;&gt;"Valoración",F424&lt;&gt;"EEG",F424&lt;&gt;"Neurofeedback",F424&lt;&gt;"Fotobiomodulación",F424&lt;&gt;"Psicoterapia",F424&lt;&gt;"Otros")),"Tipo o categoría inválido",IF(COUNTA(A424:J424)=0,"",IF(OR(A424="",B424="",C424="",G424=""),"Faltan datos",IF(COUNTIF($A$7:$A$2006,A424)&gt;1,"ID duplicado",IF(OR(B424&lt;DATE(Configuración!$C$5,1,1),B424&gt;=DATE(Configuración!$C$5+1,1,1)),"Fecha fuera del año",IF(OR(G424&lt;0,H424&lt;0),"Revisar signo",IF(AND(C424&lt;&gt;"Servicio",H424&lt;&gt;0),"IVA solo en Servicio",IF(AND(C424="Servicio",F424=""),"Falta servicio","OK")))))))))</f>
        <v/>
      </c>
    </row>
    <row r="425" spans="1:12" ht="22" customHeight="1">
      <c r="A425" s="3"/>
      <c r="B425" s="7"/>
      <c r="C425" s="3"/>
      <c r="D425" s="3"/>
      <c r="E425" s="3"/>
      <c r="F425" s="3"/>
      <c r="G425" s="4"/>
      <c r="H425" s="4"/>
      <c r="I425" s="3"/>
      <c r="J425" s="3"/>
      <c r="K425" s="8" t="str">
        <f t="shared" si="6"/>
        <v/>
      </c>
      <c r="L425" s="1" t="str">
        <f>IF(COUNTA(A425:J425)=0,"",IF(OR(AND(C425&lt;&gt;"Servicio",C425&lt;&gt;"Cobro",C425&lt;&gt;"Anticipo",C425&lt;&gt;"Aplicación anticipo",C425&lt;&gt;"Retención ISR",C425&lt;&gt;"Retención IVA"),AND(C425="Servicio",F425&lt;&gt;"TMS",F425&lt;&gt;"Valoración",F425&lt;&gt;"EEG",F425&lt;&gt;"Neurofeedback",F425&lt;&gt;"Fotobiomodulación",F425&lt;&gt;"Psicoterapia",F425&lt;&gt;"Otros")),"Tipo o categoría inválido",IF(COUNTA(A425:J425)=0,"",IF(OR(A425="",B425="",C425="",G425=""),"Faltan datos",IF(COUNTIF($A$7:$A$2006,A425)&gt;1,"ID duplicado",IF(OR(B425&lt;DATE(Configuración!$C$5,1,1),B425&gt;=DATE(Configuración!$C$5+1,1,1)),"Fecha fuera del año",IF(OR(G425&lt;0,H425&lt;0),"Revisar signo",IF(AND(C425&lt;&gt;"Servicio",H425&lt;&gt;0),"IVA solo en Servicio",IF(AND(C425="Servicio",F425=""),"Falta servicio","OK")))))))))</f>
        <v/>
      </c>
    </row>
    <row r="426" spans="1:12" ht="22" customHeight="1">
      <c r="A426" s="3"/>
      <c r="B426" s="7"/>
      <c r="C426" s="3"/>
      <c r="D426" s="3"/>
      <c r="E426" s="3"/>
      <c r="F426" s="3"/>
      <c r="G426" s="4"/>
      <c r="H426" s="4"/>
      <c r="I426" s="3"/>
      <c r="J426" s="3"/>
      <c r="K426" s="8" t="str">
        <f t="shared" si="6"/>
        <v/>
      </c>
      <c r="L426" s="1" t="str">
        <f>IF(COUNTA(A426:J426)=0,"",IF(OR(AND(C426&lt;&gt;"Servicio",C426&lt;&gt;"Cobro",C426&lt;&gt;"Anticipo",C426&lt;&gt;"Aplicación anticipo",C426&lt;&gt;"Retención ISR",C426&lt;&gt;"Retención IVA"),AND(C426="Servicio",F426&lt;&gt;"TMS",F426&lt;&gt;"Valoración",F426&lt;&gt;"EEG",F426&lt;&gt;"Neurofeedback",F426&lt;&gt;"Fotobiomodulación",F426&lt;&gt;"Psicoterapia",F426&lt;&gt;"Otros")),"Tipo o categoría inválido",IF(COUNTA(A426:J426)=0,"",IF(OR(A426="",B426="",C426="",G426=""),"Faltan datos",IF(COUNTIF($A$7:$A$2006,A426)&gt;1,"ID duplicado",IF(OR(B426&lt;DATE(Configuración!$C$5,1,1),B426&gt;=DATE(Configuración!$C$5+1,1,1)),"Fecha fuera del año",IF(OR(G426&lt;0,H426&lt;0),"Revisar signo",IF(AND(C426&lt;&gt;"Servicio",H426&lt;&gt;0),"IVA solo en Servicio",IF(AND(C426="Servicio",F426=""),"Falta servicio","OK")))))))))</f>
        <v/>
      </c>
    </row>
    <row r="427" spans="1:12" ht="22" customHeight="1">
      <c r="A427" s="3"/>
      <c r="B427" s="7"/>
      <c r="C427" s="3"/>
      <c r="D427" s="3"/>
      <c r="E427" s="3"/>
      <c r="F427" s="3"/>
      <c r="G427" s="4"/>
      <c r="H427" s="4"/>
      <c r="I427" s="3"/>
      <c r="J427" s="3"/>
      <c r="K427" s="8" t="str">
        <f t="shared" si="6"/>
        <v/>
      </c>
      <c r="L427" s="1" t="str">
        <f>IF(COUNTA(A427:J427)=0,"",IF(OR(AND(C427&lt;&gt;"Servicio",C427&lt;&gt;"Cobro",C427&lt;&gt;"Anticipo",C427&lt;&gt;"Aplicación anticipo",C427&lt;&gt;"Retención ISR",C427&lt;&gt;"Retención IVA"),AND(C427="Servicio",F427&lt;&gt;"TMS",F427&lt;&gt;"Valoración",F427&lt;&gt;"EEG",F427&lt;&gt;"Neurofeedback",F427&lt;&gt;"Fotobiomodulación",F427&lt;&gt;"Psicoterapia",F427&lt;&gt;"Otros")),"Tipo o categoría inválido",IF(COUNTA(A427:J427)=0,"",IF(OR(A427="",B427="",C427="",G427=""),"Faltan datos",IF(COUNTIF($A$7:$A$2006,A427)&gt;1,"ID duplicado",IF(OR(B427&lt;DATE(Configuración!$C$5,1,1),B427&gt;=DATE(Configuración!$C$5+1,1,1)),"Fecha fuera del año",IF(OR(G427&lt;0,H427&lt;0),"Revisar signo",IF(AND(C427&lt;&gt;"Servicio",H427&lt;&gt;0),"IVA solo en Servicio",IF(AND(C427="Servicio",F427=""),"Falta servicio","OK")))))))))</f>
        <v/>
      </c>
    </row>
    <row r="428" spans="1:12" ht="22" customHeight="1">
      <c r="A428" s="3"/>
      <c r="B428" s="7"/>
      <c r="C428" s="3"/>
      <c r="D428" s="3"/>
      <c r="E428" s="3"/>
      <c r="F428" s="3"/>
      <c r="G428" s="4"/>
      <c r="H428" s="4"/>
      <c r="I428" s="3"/>
      <c r="J428" s="3"/>
      <c r="K428" s="8" t="str">
        <f t="shared" si="6"/>
        <v/>
      </c>
      <c r="L428" s="1" t="str">
        <f>IF(COUNTA(A428:J428)=0,"",IF(OR(AND(C428&lt;&gt;"Servicio",C428&lt;&gt;"Cobro",C428&lt;&gt;"Anticipo",C428&lt;&gt;"Aplicación anticipo",C428&lt;&gt;"Retención ISR",C428&lt;&gt;"Retención IVA"),AND(C428="Servicio",F428&lt;&gt;"TMS",F428&lt;&gt;"Valoración",F428&lt;&gt;"EEG",F428&lt;&gt;"Neurofeedback",F428&lt;&gt;"Fotobiomodulación",F428&lt;&gt;"Psicoterapia",F428&lt;&gt;"Otros")),"Tipo o categoría inválido",IF(COUNTA(A428:J428)=0,"",IF(OR(A428="",B428="",C428="",G428=""),"Faltan datos",IF(COUNTIF($A$7:$A$2006,A428)&gt;1,"ID duplicado",IF(OR(B428&lt;DATE(Configuración!$C$5,1,1),B428&gt;=DATE(Configuración!$C$5+1,1,1)),"Fecha fuera del año",IF(OR(G428&lt;0,H428&lt;0),"Revisar signo",IF(AND(C428&lt;&gt;"Servicio",H428&lt;&gt;0),"IVA solo en Servicio",IF(AND(C428="Servicio",F428=""),"Falta servicio","OK")))))))))</f>
        <v/>
      </c>
    </row>
    <row r="429" spans="1:12" ht="22" customHeight="1">
      <c r="A429" s="3"/>
      <c r="B429" s="7"/>
      <c r="C429" s="3"/>
      <c r="D429" s="3"/>
      <c r="E429" s="3"/>
      <c r="F429" s="3"/>
      <c r="G429" s="4"/>
      <c r="H429" s="4"/>
      <c r="I429" s="3"/>
      <c r="J429" s="3"/>
      <c r="K429" s="8" t="str">
        <f t="shared" si="6"/>
        <v/>
      </c>
      <c r="L429" s="1" t="str">
        <f>IF(COUNTA(A429:J429)=0,"",IF(OR(AND(C429&lt;&gt;"Servicio",C429&lt;&gt;"Cobro",C429&lt;&gt;"Anticipo",C429&lt;&gt;"Aplicación anticipo",C429&lt;&gt;"Retención ISR",C429&lt;&gt;"Retención IVA"),AND(C429="Servicio",F429&lt;&gt;"TMS",F429&lt;&gt;"Valoración",F429&lt;&gt;"EEG",F429&lt;&gt;"Neurofeedback",F429&lt;&gt;"Fotobiomodulación",F429&lt;&gt;"Psicoterapia",F429&lt;&gt;"Otros")),"Tipo o categoría inválido",IF(COUNTA(A429:J429)=0,"",IF(OR(A429="",B429="",C429="",G429=""),"Faltan datos",IF(COUNTIF($A$7:$A$2006,A429)&gt;1,"ID duplicado",IF(OR(B429&lt;DATE(Configuración!$C$5,1,1),B429&gt;=DATE(Configuración!$C$5+1,1,1)),"Fecha fuera del año",IF(OR(G429&lt;0,H429&lt;0),"Revisar signo",IF(AND(C429&lt;&gt;"Servicio",H429&lt;&gt;0),"IVA solo en Servicio",IF(AND(C429="Servicio",F429=""),"Falta servicio","OK")))))))))</f>
        <v/>
      </c>
    </row>
    <row r="430" spans="1:12" ht="22" customHeight="1">
      <c r="A430" s="3"/>
      <c r="B430" s="7"/>
      <c r="C430" s="3"/>
      <c r="D430" s="3"/>
      <c r="E430" s="3"/>
      <c r="F430" s="3"/>
      <c r="G430" s="4"/>
      <c r="H430" s="4"/>
      <c r="I430" s="3"/>
      <c r="J430" s="3"/>
      <c r="K430" s="8" t="str">
        <f t="shared" si="6"/>
        <v/>
      </c>
      <c r="L430" s="1" t="str">
        <f>IF(COUNTA(A430:J430)=0,"",IF(OR(AND(C430&lt;&gt;"Servicio",C430&lt;&gt;"Cobro",C430&lt;&gt;"Anticipo",C430&lt;&gt;"Aplicación anticipo",C430&lt;&gt;"Retención ISR",C430&lt;&gt;"Retención IVA"),AND(C430="Servicio",F430&lt;&gt;"TMS",F430&lt;&gt;"Valoración",F430&lt;&gt;"EEG",F430&lt;&gt;"Neurofeedback",F430&lt;&gt;"Fotobiomodulación",F430&lt;&gt;"Psicoterapia",F430&lt;&gt;"Otros")),"Tipo o categoría inválido",IF(COUNTA(A430:J430)=0,"",IF(OR(A430="",B430="",C430="",G430=""),"Faltan datos",IF(COUNTIF($A$7:$A$2006,A430)&gt;1,"ID duplicado",IF(OR(B430&lt;DATE(Configuración!$C$5,1,1),B430&gt;=DATE(Configuración!$C$5+1,1,1)),"Fecha fuera del año",IF(OR(G430&lt;0,H430&lt;0),"Revisar signo",IF(AND(C430&lt;&gt;"Servicio",H430&lt;&gt;0),"IVA solo en Servicio",IF(AND(C430="Servicio",F430=""),"Falta servicio","OK")))))))))</f>
        <v/>
      </c>
    </row>
    <row r="431" spans="1:12" ht="22" customHeight="1">
      <c r="A431" s="3"/>
      <c r="B431" s="7"/>
      <c r="C431" s="3"/>
      <c r="D431" s="3"/>
      <c r="E431" s="3"/>
      <c r="F431" s="3"/>
      <c r="G431" s="4"/>
      <c r="H431" s="4"/>
      <c r="I431" s="3"/>
      <c r="J431" s="3"/>
      <c r="K431" s="8" t="str">
        <f t="shared" si="6"/>
        <v/>
      </c>
      <c r="L431" s="1" t="str">
        <f>IF(COUNTA(A431:J431)=0,"",IF(OR(AND(C431&lt;&gt;"Servicio",C431&lt;&gt;"Cobro",C431&lt;&gt;"Anticipo",C431&lt;&gt;"Aplicación anticipo",C431&lt;&gt;"Retención ISR",C431&lt;&gt;"Retención IVA"),AND(C431="Servicio",F431&lt;&gt;"TMS",F431&lt;&gt;"Valoración",F431&lt;&gt;"EEG",F431&lt;&gt;"Neurofeedback",F431&lt;&gt;"Fotobiomodulación",F431&lt;&gt;"Psicoterapia",F431&lt;&gt;"Otros")),"Tipo o categoría inválido",IF(COUNTA(A431:J431)=0,"",IF(OR(A431="",B431="",C431="",G431=""),"Faltan datos",IF(COUNTIF($A$7:$A$2006,A431)&gt;1,"ID duplicado",IF(OR(B431&lt;DATE(Configuración!$C$5,1,1),B431&gt;=DATE(Configuración!$C$5+1,1,1)),"Fecha fuera del año",IF(OR(G431&lt;0,H431&lt;0),"Revisar signo",IF(AND(C431&lt;&gt;"Servicio",H431&lt;&gt;0),"IVA solo en Servicio",IF(AND(C431="Servicio",F431=""),"Falta servicio","OK")))))))))</f>
        <v/>
      </c>
    </row>
    <row r="432" spans="1:12" ht="22" customHeight="1">
      <c r="A432" s="3"/>
      <c r="B432" s="7"/>
      <c r="C432" s="3"/>
      <c r="D432" s="3"/>
      <c r="E432" s="3"/>
      <c r="F432" s="3"/>
      <c r="G432" s="4"/>
      <c r="H432" s="4"/>
      <c r="I432" s="3"/>
      <c r="J432" s="3"/>
      <c r="K432" s="8" t="str">
        <f t="shared" si="6"/>
        <v/>
      </c>
      <c r="L432" s="1" t="str">
        <f>IF(COUNTA(A432:J432)=0,"",IF(OR(AND(C432&lt;&gt;"Servicio",C432&lt;&gt;"Cobro",C432&lt;&gt;"Anticipo",C432&lt;&gt;"Aplicación anticipo",C432&lt;&gt;"Retención ISR",C432&lt;&gt;"Retención IVA"),AND(C432="Servicio",F432&lt;&gt;"TMS",F432&lt;&gt;"Valoración",F432&lt;&gt;"EEG",F432&lt;&gt;"Neurofeedback",F432&lt;&gt;"Fotobiomodulación",F432&lt;&gt;"Psicoterapia",F432&lt;&gt;"Otros")),"Tipo o categoría inválido",IF(COUNTA(A432:J432)=0,"",IF(OR(A432="",B432="",C432="",G432=""),"Faltan datos",IF(COUNTIF($A$7:$A$2006,A432)&gt;1,"ID duplicado",IF(OR(B432&lt;DATE(Configuración!$C$5,1,1),B432&gt;=DATE(Configuración!$C$5+1,1,1)),"Fecha fuera del año",IF(OR(G432&lt;0,H432&lt;0),"Revisar signo",IF(AND(C432&lt;&gt;"Servicio",H432&lt;&gt;0),"IVA solo en Servicio",IF(AND(C432="Servicio",F432=""),"Falta servicio","OK")))))))))</f>
        <v/>
      </c>
    </row>
    <row r="433" spans="1:12" ht="22" customHeight="1">
      <c r="A433" s="3"/>
      <c r="B433" s="7"/>
      <c r="C433" s="3"/>
      <c r="D433" s="3"/>
      <c r="E433" s="3"/>
      <c r="F433" s="3"/>
      <c r="G433" s="4"/>
      <c r="H433" s="4"/>
      <c r="I433" s="3"/>
      <c r="J433" s="3"/>
      <c r="K433" s="8" t="str">
        <f t="shared" si="6"/>
        <v/>
      </c>
      <c r="L433" s="1" t="str">
        <f>IF(COUNTA(A433:J433)=0,"",IF(OR(AND(C433&lt;&gt;"Servicio",C433&lt;&gt;"Cobro",C433&lt;&gt;"Anticipo",C433&lt;&gt;"Aplicación anticipo",C433&lt;&gt;"Retención ISR",C433&lt;&gt;"Retención IVA"),AND(C433="Servicio",F433&lt;&gt;"TMS",F433&lt;&gt;"Valoración",F433&lt;&gt;"EEG",F433&lt;&gt;"Neurofeedback",F433&lt;&gt;"Fotobiomodulación",F433&lt;&gt;"Psicoterapia",F433&lt;&gt;"Otros")),"Tipo o categoría inválido",IF(COUNTA(A433:J433)=0,"",IF(OR(A433="",B433="",C433="",G433=""),"Faltan datos",IF(COUNTIF($A$7:$A$2006,A433)&gt;1,"ID duplicado",IF(OR(B433&lt;DATE(Configuración!$C$5,1,1),B433&gt;=DATE(Configuración!$C$5+1,1,1)),"Fecha fuera del año",IF(OR(G433&lt;0,H433&lt;0),"Revisar signo",IF(AND(C433&lt;&gt;"Servicio",H433&lt;&gt;0),"IVA solo en Servicio",IF(AND(C433="Servicio",F433=""),"Falta servicio","OK")))))))))</f>
        <v/>
      </c>
    </row>
    <row r="434" spans="1:12" ht="22" customHeight="1">
      <c r="A434" s="3"/>
      <c r="B434" s="7"/>
      <c r="C434" s="3"/>
      <c r="D434" s="3"/>
      <c r="E434" s="3"/>
      <c r="F434" s="3"/>
      <c r="G434" s="4"/>
      <c r="H434" s="4"/>
      <c r="I434" s="3"/>
      <c r="J434" s="3"/>
      <c r="K434" s="8" t="str">
        <f t="shared" si="6"/>
        <v/>
      </c>
      <c r="L434" s="1" t="str">
        <f>IF(COUNTA(A434:J434)=0,"",IF(OR(AND(C434&lt;&gt;"Servicio",C434&lt;&gt;"Cobro",C434&lt;&gt;"Anticipo",C434&lt;&gt;"Aplicación anticipo",C434&lt;&gt;"Retención ISR",C434&lt;&gt;"Retención IVA"),AND(C434="Servicio",F434&lt;&gt;"TMS",F434&lt;&gt;"Valoración",F434&lt;&gt;"EEG",F434&lt;&gt;"Neurofeedback",F434&lt;&gt;"Fotobiomodulación",F434&lt;&gt;"Psicoterapia",F434&lt;&gt;"Otros")),"Tipo o categoría inválido",IF(COUNTA(A434:J434)=0,"",IF(OR(A434="",B434="",C434="",G434=""),"Faltan datos",IF(COUNTIF($A$7:$A$2006,A434)&gt;1,"ID duplicado",IF(OR(B434&lt;DATE(Configuración!$C$5,1,1),B434&gt;=DATE(Configuración!$C$5+1,1,1)),"Fecha fuera del año",IF(OR(G434&lt;0,H434&lt;0),"Revisar signo",IF(AND(C434&lt;&gt;"Servicio",H434&lt;&gt;0),"IVA solo en Servicio",IF(AND(C434="Servicio",F434=""),"Falta servicio","OK")))))))))</f>
        <v/>
      </c>
    </row>
    <row r="435" spans="1:12" ht="22" customHeight="1">
      <c r="A435" s="3"/>
      <c r="B435" s="7"/>
      <c r="C435" s="3"/>
      <c r="D435" s="3"/>
      <c r="E435" s="3"/>
      <c r="F435" s="3"/>
      <c r="G435" s="4"/>
      <c r="H435" s="4"/>
      <c r="I435" s="3"/>
      <c r="J435" s="3"/>
      <c r="K435" s="8" t="str">
        <f t="shared" si="6"/>
        <v/>
      </c>
      <c r="L435" s="1" t="str">
        <f>IF(COUNTA(A435:J435)=0,"",IF(OR(AND(C435&lt;&gt;"Servicio",C435&lt;&gt;"Cobro",C435&lt;&gt;"Anticipo",C435&lt;&gt;"Aplicación anticipo",C435&lt;&gt;"Retención ISR",C435&lt;&gt;"Retención IVA"),AND(C435="Servicio",F435&lt;&gt;"TMS",F435&lt;&gt;"Valoración",F435&lt;&gt;"EEG",F435&lt;&gt;"Neurofeedback",F435&lt;&gt;"Fotobiomodulación",F435&lt;&gt;"Psicoterapia",F435&lt;&gt;"Otros")),"Tipo o categoría inválido",IF(COUNTA(A435:J435)=0,"",IF(OR(A435="",B435="",C435="",G435=""),"Faltan datos",IF(COUNTIF($A$7:$A$2006,A435)&gt;1,"ID duplicado",IF(OR(B435&lt;DATE(Configuración!$C$5,1,1),B435&gt;=DATE(Configuración!$C$5+1,1,1)),"Fecha fuera del año",IF(OR(G435&lt;0,H435&lt;0),"Revisar signo",IF(AND(C435&lt;&gt;"Servicio",H435&lt;&gt;0),"IVA solo en Servicio",IF(AND(C435="Servicio",F435=""),"Falta servicio","OK")))))))))</f>
        <v/>
      </c>
    </row>
    <row r="436" spans="1:12" ht="22" customHeight="1">
      <c r="A436" s="3"/>
      <c r="B436" s="7"/>
      <c r="C436" s="3"/>
      <c r="D436" s="3"/>
      <c r="E436" s="3"/>
      <c r="F436" s="3"/>
      <c r="G436" s="4"/>
      <c r="H436" s="4"/>
      <c r="I436" s="3"/>
      <c r="J436" s="3"/>
      <c r="K436" s="8" t="str">
        <f t="shared" si="6"/>
        <v/>
      </c>
      <c r="L436" s="1" t="str">
        <f>IF(COUNTA(A436:J436)=0,"",IF(OR(AND(C436&lt;&gt;"Servicio",C436&lt;&gt;"Cobro",C436&lt;&gt;"Anticipo",C436&lt;&gt;"Aplicación anticipo",C436&lt;&gt;"Retención ISR",C436&lt;&gt;"Retención IVA"),AND(C436="Servicio",F436&lt;&gt;"TMS",F436&lt;&gt;"Valoración",F436&lt;&gt;"EEG",F436&lt;&gt;"Neurofeedback",F436&lt;&gt;"Fotobiomodulación",F436&lt;&gt;"Psicoterapia",F436&lt;&gt;"Otros")),"Tipo o categoría inválido",IF(COUNTA(A436:J436)=0,"",IF(OR(A436="",B436="",C436="",G436=""),"Faltan datos",IF(COUNTIF($A$7:$A$2006,A436)&gt;1,"ID duplicado",IF(OR(B436&lt;DATE(Configuración!$C$5,1,1),B436&gt;=DATE(Configuración!$C$5+1,1,1)),"Fecha fuera del año",IF(OR(G436&lt;0,H436&lt;0),"Revisar signo",IF(AND(C436&lt;&gt;"Servicio",H436&lt;&gt;0),"IVA solo en Servicio",IF(AND(C436="Servicio",F436=""),"Falta servicio","OK")))))))))</f>
        <v/>
      </c>
    </row>
    <row r="437" spans="1:12" ht="22" customHeight="1">
      <c r="A437" s="3"/>
      <c r="B437" s="7"/>
      <c r="C437" s="3"/>
      <c r="D437" s="3"/>
      <c r="E437" s="3"/>
      <c r="F437" s="3"/>
      <c r="G437" s="4"/>
      <c r="H437" s="4"/>
      <c r="I437" s="3"/>
      <c r="J437" s="3"/>
      <c r="K437" s="8" t="str">
        <f t="shared" si="6"/>
        <v/>
      </c>
      <c r="L437" s="1" t="str">
        <f>IF(COUNTA(A437:J437)=0,"",IF(OR(AND(C437&lt;&gt;"Servicio",C437&lt;&gt;"Cobro",C437&lt;&gt;"Anticipo",C437&lt;&gt;"Aplicación anticipo",C437&lt;&gt;"Retención ISR",C437&lt;&gt;"Retención IVA"),AND(C437="Servicio",F437&lt;&gt;"TMS",F437&lt;&gt;"Valoración",F437&lt;&gt;"EEG",F437&lt;&gt;"Neurofeedback",F437&lt;&gt;"Fotobiomodulación",F437&lt;&gt;"Psicoterapia",F437&lt;&gt;"Otros")),"Tipo o categoría inválido",IF(COUNTA(A437:J437)=0,"",IF(OR(A437="",B437="",C437="",G437=""),"Faltan datos",IF(COUNTIF($A$7:$A$2006,A437)&gt;1,"ID duplicado",IF(OR(B437&lt;DATE(Configuración!$C$5,1,1),B437&gt;=DATE(Configuración!$C$5+1,1,1)),"Fecha fuera del año",IF(OR(G437&lt;0,H437&lt;0),"Revisar signo",IF(AND(C437&lt;&gt;"Servicio",H437&lt;&gt;0),"IVA solo en Servicio",IF(AND(C437="Servicio",F437=""),"Falta servicio","OK")))))))))</f>
        <v/>
      </c>
    </row>
    <row r="438" spans="1:12" ht="22" customHeight="1">
      <c r="A438" s="3"/>
      <c r="B438" s="7"/>
      <c r="C438" s="3"/>
      <c r="D438" s="3"/>
      <c r="E438" s="3"/>
      <c r="F438" s="3"/>
      <c r="G438" s="4"/>
      <c r="H438" s="4"/>
      <c r="I438" s="3"/>
      <c r="J438" s="3"/>
      <c r="K438" s="8" t="str">
        <f t="shared" si="6"/>
        <v/>
      </c>
      <c r="L438" s="1" t="str">
        <f>IF(COUNTA(A438:J438)=0,"",IF(OR(AND(C438&lt;&gt;"Servicio",C438&lt;&gt;"Cobro",C438&lt;&gt;"Anticipo",C438&lt;&gt;"Aplicación anticipo",C438&lt;&gt;"Retención ISR",C438&lt;&gt;"Retención IVA"),AND(C438="Servicio",F438&lt;&gt;"TMS",F438&lt;&gt;"Valoración",F438&lt;&gt;"EEG",F438&lt;&gt;"Neurofeedback",F438&lt;&gt;"Fotobiomodulación",F438&lt;&gt;"Psicoterapia",F438&lt;&gt;"Otros")),"Tipo o categoría inválido",IF(COUNTA(A438:J438)=0,"",IF(OR(A438="",B438="",C438="",G438=""),"Faltan datos",IF(COUNTIF($A$7:$A$2006,A438)&gt;1,"ID duplicado",IF(OR(B438&lt;DATE(Configuración!$C$5,1,1),B438&gt;=DATE(Configuración!$C$5+1,1,1)),"Fecha fuera del año",IF(OR(G438&lt;0,H438&lt;0),"Revisar signo",IF(AND(C438&lt;&gt;"Servicio",H438&lt;&gt;0),"IVA solo en Servicio",IF(AND(C438="Servicio",F438=""),"Falta servicio","OK")))))))))</f>
        <v/>
      </c>
    </row>
    <row r="439" spans="1:12" ht="22" customHeight="1">
      <c r="A439" s="3"/>
      <c r="B439" s="7"/>
      <c r="C439" s="3"/>
      <c r="D439" s="3"/>
      <c r="E439" s="3"/>
      <c r="F439" s="3"/>
      <c r="G439" s="4"/>
      <c r="H439" s="4"/>
      <c r="I439" s="3"/>
      <c r="J439" s="3"/>
      <c r="K439" s="8" t="str">
        <f t="shared" si="6"/>
        <v/>
      </c>
      <c r="L439" s="1" t="str">
        <f>IF(COUNTA(A439:J439)=0,"",IF(OR(AND(C439&lt;&gt;"Servicio",C439&lt;&gt;"Cobro",C439&lt;&gt;"Anticipo",C439&lt;&gt;"Aplicación anticipo",C439&lt;&gt;"Retención ISR",C439&lt;&gt;"Retención IVA"),AND(C439="Servicio",F439&lt;&gt;"TMS",F439&lt;&gt;"Valoración",F439&lt;&gt;"EEG",F439&lt;&gt;"Neurofeedback",F439&lt;&gt;"Fotobiomodulación",F439&lt;&gt;"Psicoterapia",F439&lt;&gt;"Otros")),"Tipo o categoría inválido",IF(COUNTA(A439:J439)=0,"",IF(OR(A439="",B439="",C439="",G439=""),"Faltan datos",IF(COUNTIF($A$7:$A$2006,A439)&gt;1,"ID duplicado",IF(OR(B439&lt;DATE(Configuración!$C$5,1,1),B439&gt;=DATE(Configuración!$C$5+1,1,1)),"Fecha fuera del año",IF(OR(G439&lt;0,H439&lt;0),"Revisar signo",IF(AND(C439&lt;&gt;"Servicio",H439&lt;&gt;0),"IVA solo en Servicio",IF(AND(C439="Servicio",F439=""),"Falta servicio","OK")))))))))</f>
        <v/>
      </c>
    </row>
    <row r="440" spans="1:12" ht="22" customHeight="1">
      <c r="A440" s="3"/>
      <c r="B440" s="7"/>
      <c r="C440" s="3"/>
      <c r="D440" s="3"/>
      <c r="E440" s="3"/>
      <c r="F440" s="3"/>
      <c r="G440" s="4"/>
      <c r="H440" s="4"/>
      <c r="I440" s="3"/>
      <c r="J440" s="3"/>
      <c r="K440" s="8" t="str">
        <f t="shared" si="6"/>
        <v/>
      </c>
      <c r="L440" s="1" t="str">
        <f>IF(COUNTA(A440:J440)=0,"",IF(OR(AND(C440&lt;&gt;"Servicio",C440&lt;&gt;"Cobro",C440&lt;&gt;"Anticipo",C440&lt;&gt;"Aplicación anticipo",C440&lt;&gt;"Retención ISR",C440&lt;&gt;"Retención IVA"),AND(C440="Servicio",F440&lt;&gt;"TMS",F440&lt;&gt;"Valoración",F440&lt;&gt;"EEG",F440&lt;&gt;"Neurofeedback",F440&lt;&gt;"Fotobiomodulación",F440&lt;&gt;"Psicoterapia",F440&lt;&gt;"Otros")),"Tipo o categoría inválido",IF(COUNTA(A440:J440)=0,"",IF(OR(A440="",B440="",C440="",G440=""),"Faltan datos",IF(COUNTIF($A$7:$A$2006,A440)&gt;1,"ID duplicado",IF(OR(B440&lt;DATE(Configuración!$C$5,1,1),B440&gt;=DATE(Configuración!$C$5+1,1,1)),"Fecha fuera del año",IF(OR(G440&lt;0,H440&lt;0),"Revisar signo",IF(AND(C440&lt;&gt;"Servicio",H440&lt;&gt;0),"IVA solo en Servicio",IF(AND(C440="Servicio",F440=""),"Falta servicio","OK")))))))))</f>
        <v/>
      </c>
    </row>
    <row r="441" spans="1:12" ht="22" customHeight="1">
      <c r="A441" s="3"/>
      <c r="B441" s="7"/>
      <c r="C441" s="3"/>
      <c r="D441" s="3"/>
      <c r="E441" s="3"/>
      <c r="F441" s="3"/>
      <c r="G441" s="4"/>
      <c r="H441" s="4"/>
      <c r="I441" s="3"/>
      <c r="J441" s="3"/>
      <c r="K441" s="8" t="str">
        <f t="shared" si="6"/>
        <v/>
      </c>
      <c r="L441" s="1" t="str">
        <f>IF(COUNTA(A441:J441)=0,"",IF(OR(AND(C441&lt;&gt;"Servicio",C441&lt;&gt;"Cobro",C441&lt;&gt;"Anticipo",C441&lt;&gt;"Aplicación anticipo",C441&lt;&gt;"Retención ISR",C441&lt;&gt;"Retención IVA"),AND(C441="Servicio",F441&lt;&gt;"TMS",F441&lt;&gt;"Valoración",F441&lt;&gt;"EEG",F441&lt;&gt;"Neurofeedback",F441&lt;&gt;"Fotobiomodulación",F441&lt;&gt;"Psicoterapia",F441&lt;&gt;"Otros")),"Tipo o categoría inválido",IF(COUNTA(A441:J441)=0,"",IF(OR(A441="",B441="",C441="",G441=""),"Faltan datos",IF(COUNTIF($A$7:$A$2006,A441)&gt;1,"ID duplicado",IF(OR(B441&lt;DATE(Configuración!$C$5,1,1),B441&gt;=DATE(Configuración!$C$5+1,1,1)),"Fecha fuera del año",IF(OR(G441&lt;0,H441&lt;0),"Revisar signo",IF(AND(C441&lt;&gt;"Servicio",H441&lt;&gt;0),"IVA solo en Servicio",IF(AND(C441="Servicio",F441=""),"Falta servicio","OK")))))))))</f>
        <v/>
      </c>
    </row>
    <row r="442" spans="1:12" ht="22" customHeight="1">
      <c r="A442" s="3"/>
      <c r="B442" s="7"/>
      <c r="C442" s="3"/>
      <c r="D442" s="3"/>
      <c r="E442" s="3"/>
      <c r="F442" s="3"/>
      <c r="G442" s="4"/>
      <c r="H442" s="4"/>
      <c r="I442" s="3"/>
      <c r="J442" s="3"/>
      <c r="K442" s="8" t="str">
        <f t="shared" si="6"/>
        <v/>
      </c>
      <c r="L442" s="1" t="str">
        <f>IF(COUNTA(A442:J442)=0,"",IF(OR(AND(C442&lt;&gt;"Servicio",C442&lt;&gt;"Cobro",C442&lt;&gt;"Anticipo",C442&lt;&gt;"Aplicación anticipo",C442&lt;&gt;"Retención ISR",C442&lt;&gt;"Retención IVA"),AND(C442="Servicio",F442&lt;&gt;"TMS",F442&lt;&gt;"Valoración",F442&lt;&gt;"EEG",F442&lt;&gt;"Neurofeedback",F442&lt;&gt;"Fotobiomodulación",F442&lt;&gt;"Psicoterapia",F442&lt;&gt;"Otros")),"Tipo o categoría inválido",IF(COUNTA(A442:J442)=0,"",IF(OR(A442="",B442="",C442="",G442=""),"Faltan datos",IF(COUNTIF($A$7:$A$2006,A442)&gt;1,"ID duplicado",IF(OR(B442&lt;DATE(Configuración!$C$5,1,1),B442&gt;=DATE(Configuración!$C$5+1,1,1)),"Fecha fuera del año",IF(OR(G442&lt;0,H442&lt;0),"Revisar signo",IF(AND(C442&lt;&gt;"Servicio",H442&lt;&gt;0),"IVA solo en Servicio",IF(AND(C442="Servicio",F442=""),"Falta servicio","OK")))))))))</f>
        <v/>
      </c>
    </row>
    <row r="443" spans="1:12" ht="22" customHeight="1">
      <c r="A443" s="3"/>
      <c r="B443" s="7"/>
      <c r="C443" s="3"/>
      <c r="D443" s="3"/>
      <c r="E443" s="3"/>
      <c r="F443" s="3"/>
      <c r="G443" s="4"/>
      <c r="H443" s="4"/>
      <c r="I443" s="3"/>
      <c r="J443" s="3"/>
      <c r="K443" s="8" t="str">
        <f t="shared" si="6"/>
        <v/>
      </c>
      <c r="L443" s="1" t="str">
        <f>IF(COUNTA(A443:J443)=0,"",IF(OR(AND(C443&lt;&gt;"Servicio",C443&lt;&gt;"Cobro",C443&lt;&gt;"Anticipo",C443&lt;&gt;"Aplicación anticipo",C443&lt;&gt;"Retención ISR",C443&lt;&gt;"Retención IVA"),AND(C443="Servicio",F443&lt;&gt;"TMS",F443&lt;&gt;"Valoración",F443&lt;&gt;"EEG",F443&lt;&gt;"Neurofeedback",F443&lt;&gt;"Fotobiomodulación",F443&lt;&gt;"Psicoterapia",F443&lt;&gt;"Otros")),"Tipo o categoría inválido",IF(COUNTA(A443:J443)=0,"",IF(OR(A443="",B443="",C443="",G443=""),"Faltan datos",IF(COUNTIF($A$7:$A$2006,A443)&gt;1,"ID duplicado",IF(OR(B443&lt;DATE(Configuración!$C$5,1,1),B443&gt;=DATE(Configuración!$C$5+1,1,1)),"Fecha fuera del año",IF(OR(G443&lt;0,H443&lt;0),"Revisar signo",IF(AND(C443&lt;&gt;"Servicio",H443&lt;&gt;0),"IVA solo en Servicio",IF(AND(C443="Servicio",F443=""),"Falta servicio","OK")))))))))</f>
        <v/>
      </c>
    </row>
    <row r="444" spans="1:12" ht="22" customHeight="1">
      <c r="A444" s="3"/>
      <c r="B444" s="7"/>
      <c r="C444" s="3"/>
      <c r="D444" s="3"/>
      <c r="E444" s="3"/>
      <c r="F444" s="3"/>
      <c r="G444" s="4"/>
      <c r="H444" s="4"/>
      <c r="I444" s="3"/>
      <c r="J444" s="3"/>
      <c r="K444" s="8" t="str">
        <f t="shared" si="6"/>
        <v/>
      </c>
      <c r="L444" s="1" t="str">
        <f>IF(COUNTA(A444:J444)=0,"",IF(OR(AND(C444&lt;&gt;"Servicio",C444&lt;&gt;"Cobro",C444&lt;&gt;"Anticipo",C444&lt;&gt;"Aplicación anticipo",C444&lt;&gt;"Retención ISR",C444&lt;&gt;"Retención IVA"),AND(C444="Servicio",F444&lt;&gt;"TMS",F444&lt;&gt;"Valoración",F444&lt;&gt;"EEG",F444&lt;&gt;"Neurofeedback",F444&lt;&gt;"Fotobiomodulación",F444&lt;&gt;"Psicoterapia",F444&lt;&gt;"Otros")),"Tipo o categoría inválido",IF(COUNTA(A444:J444)=0,"",IF(OR(A444="",B444="",C444="",G444=""),"Faltan datos",IF(COUNTIF($A$7:$A$2006,A444)&gt;1,"ID duplicado",IF(OR(B444&lt;DATE(Configuración!$C$5,1,1),B444&gt;=DATE(Configuración!$C$5+1,1,1)),"Fecha fuera del año",IF(OR(G444&lt;0,H444&lt;0),"Revisar signo",IF(AND(C444&lt;&gt;"Servicio",H444&lt;&gt;0),"IVA solo en Servicio",IF(AND(C444="Servicio",F444=""),"Falta servicio","OK")))))))))</f>
        <v/>
      </c>
    </row>
    <row r="445" spans="1:12" ht="22" customHeight="1">
      <c r="A445" s="3"/>
      <c r="B445" s="7"/>
      <c r="C445" s="3"/>
      <c r="D445" s="3"/>
      <c r="E445" s="3"/>
      <c r="F445" s="3"/>
      <c r="G445" s="4"/>
      <c r="H445" s="4"/>
      <c r="I445" s="3"/>
      <c r="J445" s="3"/>
      <c r="K445" s="8" t="str">
        <f t="shared" si="6"/>
        <v/>
      </c>
      <c r="L445" s="1" t="str">
        <f>IF(COUNTA(A445:J445)=0,"",IF(OR(AND(C445&lt;&gt;"Servicio",C445&lt;&gt;"Cobro",C445&lt;&gt;"Anticipo",C445&lt;&gt;"Aplicación anticipo",C445&lt;&gt;"Retención ISR",C445&lt;&gt;"Retención IVA"),AND(C445="Servicio",F445&lt;&gt;"TMS",F445&lt;&gt;"Valoración",F445&lt;&gt;"EEG",F445&lt;&gt;"Neurofeedback",F445&lt;&gt;"Fotobiomodulación",F445&lt;&gt;"Psicoterapia",F445&lt;&gt;"Otros")),"Tipo o categoría inválido",IF(COUNTA(A445:J445)=0,"",IF(OR(A445="",B445="",C445="",G445=""),"Faltan datos",IF(COUNTIF($A$7:$A$2006,A445)&gt;1,"ID duplicado",IF(OR(B445&lt;DATE(Configuración!$C$5,1,1),B445&gt;=DATE(Configuración!$C$5+1,1,1)),"Fecha fuera del año",IF(OR(G445&lt;0,H445&lt;0),"Revisar signo",IF(AND(C445&lt;&gt;"Servicio",H445&lt;&gt;0),"IVA solo en Servicio",IF(AND(C445="Servicio",F445=""),"Falta servicio","OK")))))))))</f>
        <v/>
      </c>
    </row>
    <row r="446" spans="1:12" ht="22" customHeight="1">
      <c r="A446" s="3"/>
      <c r="B446" s="7"/>
      <c r="C446" s="3"/>
      <c r="D446" s="3"/>
      <c r="E446" s="3"/>
      <c r="F446" s="3"/>
      <c r="G446" s="4"/>
      <c r="H446" s="4"/>
      <c r="I446" s="3"/>
      <c r="J446" s="3"/>
      <c r="K446" s="8" t="str">
        <f t="shared" si="6"/>
        <v/>
      </c>
      <c r="L446" s="1" t="str">
        <f>IF(COUNTA(A446:J446)=0,"",IF(OR(AND(C446&lt;&gt;"Servicio",C446&lt;&gt;"Cobro",C446&lt;&gt;"Anticipo",C446&lt;&gt;"Aplicación anticipo",C446&lt;&gt;"Retención ISR",C446&lt;&gt;"Retención IVA"),AND(C446="Servicio",F446&lt;&gt;"TMS",F446&lt;&gt;"Valoración",F446&lt;&gt;"EEG",F446&lt;&gt;"Neurofeedback",F446&lt;&gt;"Fotobiomodulación",F446&lt;&gt;"Psicoterapia",F446&lt;&gt;"Otros")),"Tipo o categoría inválido",IF(COUNTA(A446:J446)=0,"",IF(OR(A446="",B446="",C446="",G446=""),"Faltan datos",IF(COUNTIF($A$7:$A$2006,A446)&gt;1,"ID duplicado",IF(OR(B446&lt;DATE(Configuración!$C$5,1,1),B446&gt;=DATE(Configuración!$C$5+1,1,1)),"Fecha fuera del año",IF(OR(G446&lt;0,H446&lt;0),"Revisar signo",IF(AND(C446&lt;&gt;"Servicio",H446&lt;&gt;0),"IVA solo en Servicio",IF(AND(C446="Servicio",F446=""),"Falta servicio","OK")))))))))</f>
        <v/>
      </c>
    </row>
    <row r="447" spans="1:12" ht="22" customHeight="1">
      <c r="A447" s="3"/>
      <c r="B447" s="7"/>
      <c r="C447" s="3"/>
      <c r="D447" s="3"/>
      <c r="E447" s="3"/>
      <c r="F447" s="3"/>
      <c r="G447" s="4"/>
      <c r="H447" s="4"/>
      <c r="I447" s="3"/>
      <c r="J447" s="3"/>
      <c r="K447" s="8" t="str">
        <f t="shared" si="6"/>
        <v/>
      </c>
      <c r="L447" s="1" t="str">
        <f>IF(COUNTA(A447:J447)=0,"",IF(OR(AND(C447&lt;&gt;"Servicio",C447&lt;&gt;"Cobro",C447&lt;&gt;"Anticipo",C447&lt;&gt;"Aplicación anticipo",C447&lt;&gt;"Retención ISR",C447&lt;&gt;"Retención IVA"),AND(C447="Servicio",F447&lt;&gt;"TMS",F447&lt;&gt;"Valoración",F447&lt;&gt;"EEG",F447&lt;&gt;"Neurofeedback",F447&lt;&gt;"Fotobiomodulación",F447&lt;&gt;"Psicoterapia",F447&lt;&gt;"Otros")),"Tipo o categoría inválido",IF(COUNTA(A447:J447)=0,"",IF(OR(A447="",B447="",C447="",G447=""),"Faltan datos",IF(COUNTIF($A$7:$A$2006,A447)&gt;1,"ID duplicado",IF(OR(B447&lt;DATE(Configuración!$C$5,1,1),B447&gt;=DATE(Configuración!$C$5+1,1,1)),"Fecha fuera del año",IF(OR(G447&lt;0,H447&lt;0),"Revisar signo",IF(AND(C447&lt;&gt;"Servicio",H447&lt;&gt;0),"IVA solo en Servicio",IF(AND(C447="Servicio",F447=""),"Falta servicio","OK")))))))))</f>
        <v/>
      </c>
    </row>
    <row r="448" spans="1:12" ht="22" customHeight="1">
      <c r="A448" s="3"/>
      <c r="B448" s="7"/>
      <c r="C448" s="3"/>
      <c r="D448" s="3"/>
      <c r="E448" s="3"/>
      <c r="F448" s="3"/>
      <c r="G448" s="4"/>
      <c r="H448" s="4"/>
      <c r="I448" s="3"/>
      <c r="J448" s="3"/>
      <c r="K448" s="8" t="str">
        <f t="shared" si="6"/>
        <v/>
      </c>
      <c r="L448" s="1" t="str">
        <f>IF(COUNTA(A448:J448)=0,"",IF(OR(AND(C448&lt;&gt;"Servicio",C448&lt;&gt;"Cobro",C448&lt;&gt;"Anticipo",C448&lt;&gt;"Aplicación anticipo",C448&lt;&gt;"Retención ISR",C448&lt;&gt;"Retención IVA"),AND(C448="Servicio",F448&lt;&gt;"TMS",F448&lt;&gt;"Valoración",F448&lt;&gt;"EEG",F448&lt;&gt;"Neurofeedback",F448&lt;&gt;"Fotobiomodulación",F448&lt;&gt;"Psicoterapia",F448&lt;&gt;"Otros")),"Tipo o categoría inválido",IF(COUNTA(A448:J448)=0,"",IF(OR(A448="",B448="",C448="",G448=""),"Faltan datos",IF(COUNTIF($A$7:$A$2006,A448)&gt;1,"ID duplicado",IF(OR(B448&lt;DATE(Configuración!$C$5,1,1),B448&gt;=DATE(Configuración!$C$5+1,1,1)),"Fecha fuera del año",IF(OR(G448&lt;0,H448&lt;0),"Revisar signo",IF(AND(C448&lt;&gt;"Servicio",H448&lt;&gt;0),"IVA solo en Servicio",IF(AND(C448="Servicio",F448=""),"Falta servicio","OK")))))))))</f>
        <v/>
      </c>
    </row>
    <row r="449" spans="1:12" ht="22" customHeight="1">
      <c r="A449" s="3"/>
      <c r="B449" s="7"/>
      <c r="C449" s="3"/>
      <c r="D449" s="3"/>
      <c r="E449" s="3"/>
      <c r="F449" s="3"/>
      <c r="G449" s="4"/>
      <c r="H449" s="4"/>
      <c r="I449" s="3"/>
      <c r="J449" s="3"/>
      <c r="K449" s="8" t="str">
        <f t="shared" si="6"/>
        <v/>
      </c>
      <c r="L449" s="1" t="str">
        <f>IF(COUNTA(A449:J449)=0,"",IF(OR(AND(C449&lt;&gt;"Servicio",C449&lt;&gt;"Cobro",C449&lt;&gt;"Anticipo",C449&lt;&gt;"Aplicación anticipo",C449&lt;&gt;"Retención ISR",C449&lt;&gt;"Retención IVA"),AND(C449="Servicio",F449&lt;&gt;"TMS",F449&lt;&gt;"Valoración",F449&lt;&gt;"EEG",F449&lt;&gt;"Neurofeedback",F449&lt;&gt;"Fotobiomodulación",F449&lt;&gt;"Psicoterapia",F449&lt;&gt;"Otros")),"Tipo o categoría inválido",IF(COUNTA(A449:J449)=0,"",IF(OR(A449="",B449="",C449="",G449=""),"Faltan datos",IF(COUNTIF($A$7:$A$2006,A449)&gt;1,"ID duplicado",IF(OR(B449&lt;DATE(Configuración!$C$5,1,1),B449&gt;=DATE(Configuración!$C$5+1,1,1)),"Fecha fuera del año",IF(OR(G449&lt;0,H449&lt;0),"Revisar signo",IF(AND(C449&lt;&gt;"Servicio",H449&lt;&gt;0),"IVA solo en Servicio",IF(AND(C449="Servicio",F449=""),"Falta servicio","OK")))))))))</f>
        <v/>
      </c>
    </row>
    <row r="450" spans="1:12" ht="22" customHeight="1">
      <c r="A450" s="3"/>
      <c r="B450" s="7"/>
      <c r="C450" s="3"/>
      <c r="D450" s="3"/>
      <c r="E450" s="3"/>
      <c r="F450" s="3"/>
      <c r="G450" s="4"/>
      <c r="H450" s="4"/>
      <c r="I450" s="3"/>
      <c r="J450" s="3"/>
      <c r="K450" s="8" t="str">
        <f t="shared" si="6"/>
        <v/>
      </c>
      <c r="L450" s="1" t="str">
        <f>IF(COUNTA(A450:J450)=0,"",IF(OR(AND(C450&lt;&gt;"Servicio",C450&lt;&gt;"Cobro",C450&lt;&gt;"Anticipo",C450&lt;&gt;"Aplicación anticipo",C450&lt;&gt;"Retención ISR",C450&lt;&gt;"Retención IVA"),AND(C450="Servicio",F450&lt;&gt;"TMS",F450&lt;&gt;"Valoración",F450&lt;&gt;"EEG",F450&lt;&gt;"Neurofeedback",F450&lt;&gt;"Fotobiomodulación",F450&lt;&gt;"Psicoterapia",F450&lt;&gt;"Otros")),"Tipo o categoría inválido",IF(COUNTA(A450:J450)=0,"",IF(OR(A450="",B450="",C450="",G450=""),"Faltan datos",IF(COUNTIF($A$7:$A$2006,A450)&gt;1,"ID duplicado",IF(OR(B450&lt;DATE(Configuración!$C$5,1,1),B450&gt;=DATE(Configuración!$C$5+1,1,1)),"Fecha fuera del año",IF(OR(G450&lt;0,H450&lt;0),"Revisar signo",IF(AND(C450&lt;&gt;"Servicio",H450&lt;&gt;0),"IVA solo en Servicio",IF(AND(C450="Servicio",F450=""),"Falta servicio","OK")))))))))</f>
        <v/>
      </c>
    </row>
    <row r="451" spans="1:12" ht="22" customHeight="1">
      <c r="A451" s="3"/>
      <c r="B451" s="7"/>
      <c r="C451" s="3"/>
      <c r="D451" s="3"/>
      <c r="E451" s="3"/>
      <c r="F451" s="3"/>
      <c r="G451" s="4"/>
      <c r="H451" s="4"/>
      <c r="I451" s="3"/>
      <c r="J451" s="3"/>
      <c r="K451" s="8" t="str">
        <f t="shared" si="6"/>
        <v/>
      </c>
      <c r="L451" s="1" t="str">
        <f>IF(COUNTA(A451:J451)=0,"",IF(OR(AND(C451&lt;&gt;"Servicio",C451&lt;&gt;"Cobro",C451&lt;&gt;"Anticipo",C451&lt;&gt;"Aplicación anticipo",C451&lt;&gt;"Retención ISR",C451&lt;&gt;"Retención IVA"),AND(C451="Servicio",F451&lt;&gt;"TMS",F451&lt;&gt;"Valoración",F451&lt;&gt;"EEG",F451&lt;&gt;"Neurofeedback",F451&lt;&gt;"Fotobiomodulación",F451&lt;&gt;"Psicoterapia",F451&lt;&gt;"Otros")),"Tipo o categoría inválido",IF(COUNTA(A451:J451)=0,"",IF(OR(A451="",B451="",C451="",G451=""),"Faltan datos",IF(COUNTIF($A$7:$A$2006,A451)&gt;1,"ID duplicado",IF(OR(B451&lt;DATE(Configuración!$C$5,1,1),B451&gt;=DATE(Configuración!$C$5+1,1,1)),"Fecha fuera del año",IF(OR(G451&lt;0,H451&lt;0),"Revisar signo",IF(AND(C451&lt;&gt;"Servicio",H451&lt;&gt;0),"IVA solo en Servicio",IF(AND(C451="Servicio",F451=""),"Falta servicio","OK")))))))))</f>
        <v/>
      </c>
    </row>
    <row r="452" spans="1:12" ht="22" customHeight="1">
      <c r="A452" s="3"/>
      <c r="B452" s="7"/>
      <c r="C452" s="3"/>
      <c r="D452" s="3"/>
      <c r="E452" s="3"/>
      <c r="F452" s="3"/>
      <c r="G452" s="4"/>
      <c r="H452" s="4"/>
      <c r="I452" s="3"/>
      <c r="J452" s="3"/>
      <c r="K452" s="8" t="str">
        <f t="shared" si="6"/>
        <v/>
      </c>
      <c r="L452" s="1" t="str">
        <f>IF(COUNTA(A452:J452)=0,"",IF(OR(AND(C452&lt;&gt;"Servicio",C452&lt;&gt;"Cobro",C452&lt;&gt;"Anticipo",C452&lt;&gt;"Aplicación anticipo",C452&lt;&gt;"Retención ISR",C452&lt;&gt;"Retención IVA"),AND(C452="Servicio",F452&lt;&gt;"TMS",F452&lt;&gt;"Valoración",F452&lt;&gt;"EEG",F452&lt;&gt;"Neurofeedback",F452&lt;&gt;"Fotobiomodulación",F452&lt;&gt;"Psicoterapia",F452&lt;&gt;"Otros")),"Tipo o categoría inválido",IF(COUNTA(A452:J452)=0,"",IF(OR(A452="",B452="",C452="",G452=""),"Faltan datos",IF(COUNTIF($A$7:$A$2006,A452)&gt;1,"ID duplicado",IF(OR(B452&lt;DATE(Configuración!$C$5,1,1),B452&gt;=DATE(Configuración!$C$5+1,1,1)),"Fecha fuera del año",IF(OR(G452&lt;0,H452&lt;0),"Revisar signo",IF(AND(C452&lt;&gt;"Servicio",H452&lt;&gt;0),"IVA solo en Servicio",IF(AND(C452="Servicio",F452=""),"Falta servicio","OK")))))))))</f>
        <v/>
      </c>
    </row>
    <row r="453" spans="1:12" ht="22" customHeight="1">
      <c r="A453" s="3"/>
      <c r="B453" s="7"/>
      <c r="C453" s="3"/>
      <c r="D453" s="3"/>
      <c r="E453" s="3"/>
      <c r="F453" s="3"/>
      <c r="G453" s="4"/>
      <c r="H453" s="4"/>
      <c r="I453" s="3"/>
      <c r="J453" s="3"/>
      <c r="K453" s="8" t="str">
        <f t="shared" si="6"/>
        <v/>
      </c>
      <c r="L453" s="1" t="str">
        <f>IF(COUNTA(A453:J453)=0,"",IF(OR(AND(C453&lt;&gt;"Servicio",C453&lt;&gt;"Cobro",C453&lt;&gt;"Anticipo",C453&lt;&gt;"Aplicación anticipo",C453&lt;&gt;"Retención ISR",C453&lt;&gt;"Retención IVA"),AND(C453="Servicio",F453&lt;&gt;"TMS",F453&lt;&gt;"Valoración",F453&lt;&gt;"EEG",F453&lt;&gt;"Neurofeedback",F453&lt;&gt;"Fotobiomodulación",F453&lt;&gt;"Psicoterapia",F453&lt;&gt;"Otros")),"Tipo o categoría inválido",IF(COUNTA(A453:J453)=0,"",IF(OR(A453="",B453="",C453="",G453=""),"Faltan datos",IF(COUNTIF($A$7:$A$2006,A453)&gt;1,"ID duplicado",IF(OR(B453&lt;DATE(Configuración!$C$5,1,1),B453&gt;=DATE(Configuración!$C$5+1,1,1)),"Fecha fuera del año",IF(OR(G453&lt;0,H453&lt;0),"Revisar signo",IF(AND(C453&lt;&gt;"Servicio",H453&lt;&gt;0),"IVA solo en Servicio",IF(AND(C453="Servicio",F453=""),"Falta servicio","OK")))))))))</f>
        <v/>
      </c>
    </row>
    <row r="454" spans="1:12" ht="22" customHeight="1">
      <c r="A454" s="3"/>
      <c r="B454" s="7"/>
      <c r="C454" s="3"/>
      <c r="D454" s="3"/>
      <c r="E454" s="3"/>
      <c r="F454" s="3"/>
      <c r="G454" s="4"/>
      <c r="H454" s="4"/>
      <c r="I454" s="3"/>
      <c r="J454" s="3"/>
      <c r="K454" s="8" t="str">
        <f t="shared" si="6"/>
        <v/>
      </c>
      <c r="L454" s="1" t="str">
        <f>IF(COUNTA(A454:J454)=0,"",IF(OR(AND(C454&lt;&gt;"Servicio",C454&lt;&gt;"Cobro",C454&lt;&gt;"Anticipo",C454&lt;&gt;"Aplicación anticipo",C454&lt;&gt;"Retención ISR",C454&lt;&gt;"Retención IVA"),AND(C454="Servicio",F454&lt;&gt;"TMS",F454&lt;&gt;"Valoración",F454&lt;&gt;"EEG",F454&lt;&gt;"Neurofeedback",F454&lt;&gt;"Fotobiomodulación",F454&lt;&gt;"Psicoterapia",F454&lt;&gt;"Otros")),"Tipo o categoría inválido",IF(COUNTA(A454:J454)=0,"",IF(OR(A454="",B454="",C454="",G454=""),"Faltan datos",IF(COUNTIF($A$7:$A$2006,A454)&gt;1,"ID duplicado",IF(OR(B454&lt;DATE(Configuración!$C$5,1,1),B454&gt;=DATE(Configuración!$C$5+1,1,1)),"Fecha fuera del año",IF(OR(G454&lt;0,H454&lt;0),"Revisar signo",IF(AND(C454&lt;&gt;"Servicio",H454&lt;&gt;0),"IVA solo en Servicio",IF(AND(C454="Servicio",F454=""),"Falta servicio","OK")))))))))</f>
        <v/>
      </c>
    </row>
    <row r="455" spans="1:12" ht="22" customHeight="1">
      <c r="A455" s="3"/>
      <c r="B455" s="7"/>
      <c r="C455" s="3"/>
      <c r="D455" s="3"/>
      <c r="E455" s="3"/>
      <c r="F455" s="3"/>
      <c r="G455" s="4"/>
      <c r="H455" s="4"/>
      <c r="I455" s="3"/>
      <c r="J455" s="3"/>
      <c r="K455" s="8" t="str">
        <f t="shared" ref="K455:K518" si="7">IF(A455="","",G455+H455)</f>
        <v/>
      </c>
      <c r="L455" s="1" t="str">
        <f>IF(COUNTA(A455:J455)=0,"",IF(OR(AND(C455&lt;&gt;"Servicio",C455&lt;&gt;"Cobro",C455&lt;&gt;"Anticipo",C455&lt;&gt;"Aplicación anticipo",C455&lt;&gt;"Retención ISR",C455&lt;&gt;"Retención IVA"),AND(C455="Servicio",F455&lt;&gt;"TMS",F455&lt;&gt;"Valoración",F455&lt;&gt;"EEG",F455&lt;&gt;"Neurofeedback",F455&lt;&gt;"Fotobiomodulación",F455&lt;&gt;"Psicoterapia",F455&lt;&gt;"Otros")),"Tipo o categoría inválido",IF(COUNTA(A455:J455)=0,"",IF(OR(A455="",B455="",C455="",G455=""),"Faltan datos",IF(COUNTIF($A$7:$A$2006,A455)&gt;1,"ID duplicado",IF(OR(B455&lt;DATE(Configuración!$C$5,1,1),B455&gt;=DATE(Configuración!$C$5+1,1,1)),"Fecha fuera del año",IF(OR(G455&lt;0,H455&lt;0),"Revisar signo",IF(AND(C455&lt;&gt;"Servicio",H455&lt;&gt;0),"IVA solo en Servicio",IF(AND(C455="Servicio",F455=""),"Falta servicio","OK")))))))))</f>
        <v/>
      </c>
    </row>
    <row r="456" spans="1:12" ht="22" customHeight="1">
      <c r="A456" s="3"/>
      <c r="B456" s="7"/>
      <c r="C456" s="3"/>
      <c r="D456" s="3"/>
      <c r="E456" s="3"/>
      <c r="F456" s="3"/>
      <c r="G456" s="4"/>
      <c r="H456" s="4"/>
      <c r="I456" s="3"/>
      <c r="J456" s="3"/>
      <c r="K456" s="8" t="str">
        <f t="shared" si="7"/>
        <v/>
      </c>
      <c r="L456" s="1" t="str">
        <f>IF(COUNTA(A456:J456)=0,"",IF(OR(AND(C456&lt;&gt;"Servicio",C456&lt;&gt;"Cobro",C456&lt;&gt;"Anticipo",C456&lt;&gt;"Aplicación anticipo",C456&lt;&gt;"Retención ISR",C456&lt;&gt;"Retención IVA"),AND(C456="Servicio",F456&lt;&gt;"TMS",F456&lt;&gt;"Valoración",F456&lt;&gt;"EEG",F456&lt;&gt;"Neurofeedback",F456&lt;&gt;"Fotobiomodulación",F456&lt;&gt;"Psicoterapia",F456&lt;&gt;"Otros")),"Tipo o categoría inválido",IF(COUNTA(A456:J456)=0,"",IF(OR(A456="",B456="",C456="",G456=""),"Faltan datos",IF(COUNTIF($A$7:$A$2006,A456)&gt;1,"ID duplicado",IF(OR(B456&lt;DATE(Configuración!$C$5,1,1),B456&gt;=DATE(Configuración!$C$5+1,1,1)),"Fecha fuera del año",IF(OR(G456&lt;0,H456&lt;0),"Revisar signo",IF(AND(C456&lt;&gt;"Servicio",H456&lt;&gt;0),"IVA solo en Servicio",IF(AND(C456="Servicio",F456=""),"Falta servicio","OK")))))))))</f>
        <v/>
      </c>
    </row>
    <row r="457" spans="1:12" ht="22" customHeight="1">
      <c r="A457" s="3"/>
      <c r="B457" s="7"/>
      <c r="C457" s="3"/>
      <c r="D457" s="3"/>
      <c r="E457" s="3"/>
      <c r="F457" s="3"/>
      <c r="G457" s="4"/>
      <c r="H457" s="4"/>
      <c r="I457" s="3"/>
      <c r="J457" s="3"/>
      <c r="K457" s="8" t="str">
        <f t="shared" si="7"/>
        <v/>
      </c>
      <c r="L457" s="1" t="str">
        <f>IF(COUNTA(A457:J457)=0,"",IF(OR(AND(C457&lt;&gt;"Servicio",C457&lt;&gt;"Cobro",C457&lt;&gt;"Anticipo",C457&lt;&gt;"Aplicación anticipo",C457&lt;&gt;"Retención ISR",C457&lt;&gt;"Retención IVA"),AND(C457="Servicio",F457&lt;&gt;"TMS",F457&lt;&gt;"Valoración",F457&lt;&gt;"EEG",F457&lt;&gt;"Neurofeedback",F457&lt;&gt;"Fotobiomodulación",F457&lt;&gt;"Psicoterapia",F457&lt;&gt;"Otros")),"Tipo o categoría inválido",IF(COUNTA(A457:J457)=0,"",IF(OR(A457="",B457="",C457="",G457=""),"Faltan datos",IF(COUNTIF($A$7:$A$2006,A457)&gt;1,"ID duplicado",IF(OR(B457&lt;DATE(Configuración!$C$5,1,1),B457&gt;=DATE(Configuración!$C$5+1,1,1)),"Fecha fuera del año",IF(OR(G457&lt;0,H457&lt;0),"Revisar signo",IF(AND(C457&lt;&gt;"Servicio",H457&lt;&gt;0),"IVA solo en Servicio",IF(AND(C457="Servicio",F457=""),"Falta servicio","OK")))))))))</f>
        <v/>
      </c>
    </row>
    <row r="458" spans="1:12" ht="22" customHeight="1">
      <c r="A458" s="3"/>
      <c r="B458" s="7"/>
      <c r="C458" s="3"/>
      <c r="D458" s="3"/>
      <c r="E458" s="3"/>
      <c r="F458" s="3"/>
      <c r="G458" s="4"/>
      <c r="H458" s="4"/>
      <c r="I458" s="3"/>
      <c r="J458" s="3"/>
      <c r="K458" s="8" t="str">
        <f t="shared" si="7"/>
        <v/>
      </c>
      <c r="L458" s="1" t="str">
        <f>IF(COUNTA(A458:J458)=0,"",IF(OR(AND(C458&lt;&gt;"Servicio",C458&lt;&gt;"Cobro",C458&lt;&gt;"Anticipo",C458&lt;&gt;"Aplicación anticipo",C458&lt;&gt;"Retención ISR",C458&lt;&gt;"Retención IVA"),AND(C458="Servicio",F458&lt;&gt;"TMS",F458&lt;&gt;"Valoración",F458&lt;&gt;"EEG",F458&lt;&gt;"Neurofeedback",F458&lt;&gt;"Fotobiomodulación",F458&lt;&gt;"Psicoterapia",F458&lt;&gt;"Otros")),"Tipo o categoría inválido",IF(COUNTA(A458:J458)=0,"",IF(OR(A458="",B458="",C458="",G458=""),"Faltan datos",IF(COUNTIF($A$7:$A$2006,A458)&gt;1,"ID duplicado",IF(OR(B458&lt;DATE(Configuración!$C$5,1,1),B458&gt;=DATE(Configuración!$C$5+1,1,1)),"Fecha fuera del año",IF(OR(G458&lt;0,H458&lt;0),"Revisar signo",IF(AND(C458&lt;&gt;"Servicio",H458&lt;&gt;0),"IVA solo en Servicio",IF(AND(C458="Servicio",F458=""),"Falta servicio","OK")))))))))</f>
        <v/>
      </c>
    </row>
    <row r="459" spans="1:12" ht="22" customHeight="1">
      <c r="A459" s="3"/>
      <c r="B459" s="7"/>
      <c r="C459" s="3"/>
      <c r="D459" s="3"/>
      <c r="E459" s="3"/>
      <c r="F459" s="3"/>
      <c r="G459" s="4"/>
      <c r="H459" s="4"/>
      <c r="I459" s="3"/>
      <c r="J459" s="3"/>
      <c r="K459" s="8" t="str">
        <f t="shared" si="7"/>
        <v/>
      </c>
      <c r="L459" s="1" t="str">
        <f>IF(COUNTA(A459:J459)=0,"",IF(OR(AND(C459&lt;&gt;"Servicio",C459&lt;&gt;"Cobro",C459&lt;&gt;"Anticipo",C459&lt;&gt;"Aplicación anticipo",C459&lt;&gt;"Retención ISR",C459&lt;&gt;"Retención IVA"),AND(C459="Servicio",F459&lt;&gt;"TMS",F459&lt;&gt;"Valoración",F459&lt;&gt;"EEG",F459&lt;&gt;"Neurofeedback",F459&lt;&gt;"Fotobiomodulación",F459&lt;&gt;"Psicoterapia",F459&lt;&gt;"Otros")),"Tipo o categoría inválido",IF(COUNTA(A459:J459)=0,"",IF(OR(A459="",B459="",C459="",G459=""),"Faltan datos",IF(COUNTIF($A$7:$A$2006,A459)&gt;1,"ID duplicado",IF(OR(B459&lt;DATE(Configuración!$C$5,1,1),B459&gt;=DATE(Configuración!$C$5+1,1,1)),"Fecha fuera del año",IF(OR(G459&lt;0,H459&lt;0),"Revisar signo",IF(AND(C459&lt;&gt;"Servicio",H459&lt;&gt;0),"IVA solo en Servicio",IF(AND(C459="Servicio",F459=""),"Falta servicio","OK")))))))))</f>
        <v/>
      </c>
    </row>
    <row r="460" spans="1:12" ht="22" customHeight="1">
      <c r="A460" s="3"/>
      <c r="B460" s="7"/>
      <c r="C460" s="3"/>
      <c r="D460" s="3"/>
      <c r="E460" s="3"/>
      <c r="F460" s="3"/>
      <c r="G460" s="4"/>
      <c r="H460" s="4"/>
      <c r="I460" s="3"/>
      <c r="J460" s="3"/>
      <c r="K460" s="8" t="str">
        <f t="shared" si="7"/>
        <v/>
      </c>
      <c r="L460" s="1" t="str">
        <f>IF(COUNTA(A460:J460)=0,"",IF(OR(AND(C460&lt;&gt;"Servicio",C460&lt;&gt;"Cobro",C460&lt;&gt;"Anticipo",C460&lt;&gt;"Aplicación anticipo",C460&lt;&gt;"Retención ISR",C460&lt;&gt;"Retención IVA"),AND(C460="Servicio",F460&lt;&gt;"TMS",F460&lt;&gt;"Valoración",F460&lt;&gt;"EEG",F460&lt;&gt;"Neurofeedback",F460&lt;&gt;"Fotobiomodulación",F460&lt;&gt;"Psicoterapia",F460&lt;&gt;"Otros")),"Tipo o categoría inválido",IF(COUNTA(A460:J460)=0,"",IF(OR(A460="",B460="",C460="",G460=""),"Faltan datos",IF(COUNTIF($A$7:$A$2006,A460)&gt;1,"ID duplicado",IF(OR(B460&lt;DATE(Configuración!$C$5,1,1),B460&gt;=DATE(Configuración!$C$5+1,1,1)),"Fecha fuera del año",IF(OR(G460&lt;0,H460&lt;0),"Revisar signo",IF(AND(C460&lt;&gt;"Servicio",H460&lt;&gt;0),"IVA solo en Servicio",IF(AND(C460="Servicio",F460=""),"Falta servicio","OK")))))))))</f>
        <v/>
      </c>
    </row>
    <row r="461" spans="1:12" ht="22" customHeight="1">
      <c r="A461" s="3"/>
      <c r="B461" s="7"/>
      <c r="C461" s="3"/>
      <c r="D461" s="3"/>
      <c r="E461" s="3"/>
      <c r="F461" s="3"/>
      <c r="G461" s="4"/>
      <c r="H461" s="4"/>
      <c r="I461" s="3"/>
      <c r="J461" s="3"/>
      <c r="K461" s="8" t="str">
        <f t="shared" si="7"/>
        <v/>
      </c>
      <c r="L461" s="1" t="str">
        <f>IF(COUNTA(A461:J461)=0,"",IF(OR(AND(C461&lt;&gt;"Servicio",C461&lt;&gt;"Cobro",C461&lt;&gt;"Anticipo",C461&lt;&gt;"Aplicación anticipo",C461&lt;&gt;"Retención ISR",C461&lt;&gt;"Retención IVA"),AND(C461="Servicio",F461&lt;&gt;"TMS",F461&lt;&gt;"Valoración",F461&lt;&gt;"EEG",F461&lt;&gt;"Neurofeedback",F461&lt;&gt;"Fotobiomodulación",F461&lt;&gt;"Psicoterapia",F461&lt;&gt;"Otros")),"Tipo o categoría inválido",IF(COUNTA(A461:J461)=0,"",IF(OR(A461="",B461="",C461="",G461=""),"Faltan datos",IF(COUNTIF($A$7:$A$2006,A461)&gt;1,"ID duplicado",IF(OR(B461&lt;DATE(Configuración!$C$5,1,1),B461&gt;=DATE(Configuración!$C$5+1,1,1)),"Fecha fuera del año",IF(OR(G461&lt;0,H461&lt;0),"Revisar signo",IF(AND(C461&lt;&gt;"Servicio",H461&lt;&gt;0),"IVA solo en Servicio",IF(AND(C461="Servicio",F461=""),"Falta servicio","OK")))))))))</f>
        <v/>
      </c>
    </row>
    <row r="462" spans="1:12" ht="22" customHeight="1">
      <c r="A462" s="3"/>
      <c r="B462" s="7"/>
      <c r="C462" s="3"/>
      <c r="D462" s="3"/>
      <c r="E462" s="3"/>
      <c r="F462" s="3"/>
      <c r="G462" s="4"/>
      <c r="H462" s="4"/>
      <c r="I462" s="3"/>
      <c r="J462" s="3"/>
      <c r="K462" s="8" t="str">
        <f t="shared" si="7"/>
        <v/>
      </c>
      <c r="L462" s="1" t="str">
        <f>IF(COUNTA(A462:J462)=0,"",IF(OR(AND(C462&lt;&gt;"Servicio",C462&lt;&gt;"Cobro",C462&lt;&gt;"Anticipo",C462&lt;&gt;"Aplicación anticipo",C462&lt;&gt;"Retención ISR",C462&lt;&gt;"Retención IVA"),AND(C462="Servicio",F462&lt;&gt;"TMS",F462&lt;&gt;"Valoración",F462&lt;&gt;"EEG",F462&lt;&gt;"Neurofeedback",F462&lt;&gt;"Fotobiomodulación",F462&lt;&gt;"Psicoterapia",F462&lt;&gt;"Otros")),"Tipo o categoría inválido",IF(COUNTA(A462:J462)=0,"",IF(OR(A462="",B462="",C462="",G462=""),"Faltan datos",IF(COUNTIF($A$7:$A$2006,A462)&gt;1,"ID duplicado",IF(OR(B462&lt;DATE(Configuración!$C$5,1,1),B462&gt;=DATE(Configuración!$C$5+1,1,1)),"Fecha fuera del año",IF(OR(G462&lt;0,H462&lt;0),"Revisar signo",IF(AND(C462&lt;&gt;"Servicio",H462&lt;&gt;0),"IVA solo en Servicio",IF(AND(C462="Servicio",F462=""),"Falta servicio","OK")))))))))</f>
        <v/>
      </c>
    </row>
    <row r="463" spans="1:12" ht="22" customHeight="1">
      <c r="A463" s="3"/>
      <c r="B463" s="7"/>
      <c r="C463" s="3"/>
      <c r="D463" s="3"/>
      <c r="E463" s="3"/>
      <c r="F463" s="3"/>
      <c r="G463" s="4"/>
      <c r="H463" s="4"/>
      <c r="I463" s="3"/>
      <c r="J463" s="3"/>
      <c r="K463" s="8" t="str">
        <f t="shared" si="7"/>
        <v/>
      </c>
      <c r="L463" s="1" t="str">
        <f>IF(COUNTA(A463:J463)=0,"",IF(OR(AND(C463&lt;&gt;"Servicio",C463&lt;&gt;"Cobro",C463&lt;&gt;"Anticipo",C463&lt;&gt;"Aplicación anticipo",C463&lt;&gt;"Retención ISR",C463&lt;&gt;"Retención IVA"),AND(C463="Servicio",F463&lt;&gt;"TMS",F463&lt;&gt;"Valoración",F463&lt;&gt;"EEG",F463&lt;&gt;"Neurofeedback",F463&lt;&gt;"Fotobiomodulación",F463&lt;&gt;"Psicoterapia",F463&lt;&gt;"Otros")),"Tipo o categoría inválido",IF(COUNTA(A463:J463)=0,"",IF(OR(A463="",B463="",C463="",G463=""),"Faltan datos",IF(COUNTIF($A$7:$A$2006,A463)&gt;1,"ID duplicado",IF(OR(B463&lt;DATE(Configuración!$C$5,1,1),B463&gt;=DATE(Configuración!$C$5+1,1,1)),"Fecha fuera del año",IF(OR(G463&lt;0,H463&lt;0),"Revisar signo",IF(AND(C463&lt;&gt;"Servicio",H463&lt;&gt;0),"IVA solo en Servicio",IF(AND(C463="Servicio",F463=""),"Falta servicio","OK")))))))))</f>
        <v/>
      </c>
    </row>
    <row r="464" spans="1:12" ht="22" customHeight="1">
      <c r="A464" s="3"/>
      <c r="B464" s="7"/>
      <c r="C464" s="3"/>
      <c r="D464" s="3"/>
      <c r="E464" s="3"/>
      <c r="F464" s="3"/>
      <c r="G464" s="4"/>
      <c r="H464" s="4"/>
      <c r="I464" s="3"/>
      <c r="J464" s="3"/>
      <c r="K464" s="8" t="str">
        <f t="shared" si="7"/>
        <v/>
      </c>
      <c r="L464" s="1" t="str">
        <f>IF(COUNTA(A464:J464)=0,"",IF(OR(AND(C464&lt;&gt;"Servicio",C464&lt;&gt;"Cobro",C464&lt;&gt;"Anticipo",C464&lt;&gt;"Aplicación anticipo",C464&lt;&gt;"Retención ISR",C464&lt;&gt;"Retención IVA"),AND(C464="Servicio",F464&lt;&gt;"TMS",F464&lt;&gt;"Valoración",F464&lt;&gt;"EEG",F464&lt;&gt;"Neurofeedback",F464&lt;&gt;"Fotobiomodulación",F464&lt;&gt;"Psicoterapia",F464&lt;&gt;"Otros")),"Tipo o categoría inválido",IF(COUNTA(A464:J464)=0,"",IF(OR(A464="",B464="",C464="",G464=""),"Faltan datos",IF(COUNTIF($A$7:$A$2006,A464)&gt;1,"ID duplicado",IF(OR(B464&lt;DATE(Configuración!$C$5,1,1),B464&gt;=DATE(Configuración!$C$5+1,1,1)),"Fecha fuera del año",IF(OR(G464&lt;0,H464&lt;0),"Revisar signo",IF(AND(C464&lt;&gt;"Servicio",H464&lt;&gt;0),"IVA solo en Servicio",IF(AND(C464="Servicio",F464=""),"Falta servicio","OK")))))))))</f>
        <v/>
      </c>
    </row>
    <row r="465" spans="1:12" ht="22" customHeight="1">
      <c r="A465" s="3"/>
      <c r="B465" s="7"/>
      <c r="C465" s="3"/>
      <c r="D465" s="3"/>
      <c r="E465" s="3"/>
      <c r="F465" s="3"/>
      <c r="G465" s="4"/>
      <c r="H465" s="4"/>
      <c r="I465" s="3"/>
      <c r="J465" s="3"/>
      <c r="K465" s="8" t="str">
        <f t="shared" si="7"/>
        <v/>
      </c>
      <c r="L465" s="1" t="str">
        <f>IF(COUNTA(A465:J465)=0,"",IF(OR(AND(C465&lt;&gt;"Servicio",C465&lt;&gt;"Cobro",C465&lt;&gt;"Anticipo",C465&lt;&gt;"Aplicación anticipo",C465&lt;&gt;"Retención ISR",C465&lt;&gt;"Retención IVA"),AND(C465="Servicio",F465&lt;&gt;"TMS",F465&lt;&gt;"Valoración",F465&lt;&gt;"EEG",F465&lt;&gt;"Neurofeedback",F465&lt;&gt;"Fotobiomodulación",F465&lt;&gt;"Psicoterapia",F465&lt;&gt;"Otros")),"Tipo o categoría inválido",IF(COUNTA(A465:J465)=0,"",IF(OR(A465="",B465="",C465="",G465=""),"Faltan datos",IF(COUNTIF($A$7:$A$2006,A465)&gt;1,"ID duplicado",IF(OR(B465&lt;DATE(Configuración!$C$5,1,1),B465&gt;=DATE(Configuración!$C$5+1,1,1)),"Fecha fuera del año",IF(OR(G465&lt;0,H465&lt;0),"Revisar signo",IF(AND(C465&lt;&gt;"Servicio",H465&lt;&gt;0),"IVA solo en Servicio",IF(AND(C465="Servicio",F465=""),"Falta servicio","OK")))))))))</f>
        <v/>
      </c>
    </row>
    <row r="466" spans="1:12" ht="22" customHeight="1">
      <c r="A466" s="3"/>
      <c r="B466" s="7"/>
      <c r="C466" s="3"/>
      <c r="D466" s="3"/>
      <c r="E466" s="3"/>
      <c r="F466" s="3"/>
      <c r="G466" s="4"/>
      <c r="H466" s="4"/>
      <c r="I466" s="3"/>
      <c r="J466" s="3"/>
      <c r="K466" s="8" t="str">
        <f t="shared" si="7"/>
        <v/>
      </c>
      <c r="L466" s="1" t="str">
        <f>IF(COUNTA(A466:J466)=0,"",IF(OR(AND(C466&lt;&gt;"Servicio",C466&lt;&gt;"Cobro",C466&lt;&gt;"Anticipo",C466&lt;&gt;"Aplicación anticipo",C466&lt;&gt;"Retención ISR",C466&lt;&gt;"Retención IVA"),AND(C466="Servicio",F466&lt;&gt;"TMS",F466&lt;&gt;"Valoración",F466&lt;&gt;"EEG",F466&lt;&gt;"Neurofeedback",F466&lt;&gt;"Fotobiomodulación",F466&lt;&gt;"Psicoterapia",F466&lt;&gt;"Otros")),"Tipo o categoría inválido",IF(COUNTA(A466:J466)=0,"",IF(OR(A466="",B466="",C466="",G466=""),"Faltan datos",IF(COUNTIF($A$7:$A$2006,A466)&gt;1,"ID duplicado",IF(OR(B466&lt;DATE(Configuración!$C$5,1,1),B466&gt;=DATE(Configuración!$C$5+1,1,1)),"Fecha fuera del año",IF(OR(G466&lt;0,H466&lt;0),"Revisar signo",IF(AND(C466&lt;&gt;"Servicio",H466&lt;&gt;0),"IVA solo en Servicio",IF(AND(C466="Servicio",F466=""),"Falta servicio","OK")))))))))</f>
        <v/>
      </c>
    </row>
    <row r="467" spans="1:12" ht="22" customHeight="1">
      <c r="A467" s="3"/>
      <c r="B467" s="7"/>
      <c r="C467" s="3"/>
      <c r="D467" s="3"/>
      <c r="E467" s="3"/>
      <c r="F467" s="3"/>
      <c r="G467" s="4"/>
      <c r="H467" s="4"/>
      <c r="I467" s="3"/>
      <c r="J467" s="3"/>
      <c r="K467" s="8" t="str">
        <f t="shared" si="7"/>
        <v/>
      </c>
      <c r="L467" s="1" t="str">
        <f>IF(COUNTA(A467:J467)=0,"",IF(OR(AND(C467&lt;&gt;"Servicio",C467&lt;&gt;"Cobro",C467&lt;&gt;"Anticipo",C467&lt;&gt;"Aplicación anticipo",C467&lt;&gt;"Retención ISR",C467&lt;&gt;"Retención IVA"),AND(C467="Servicio",F467&lt;&gt;"TMS",F467&lt;&gt;"Valoración",F467&lt;&gt;"EEG",F467&lt;&gt;"Neurofeedback",F467&lt;&gt;"Fotobiomodulación",F467&lt;&gt;"Psicoterapia",F467&lt;&gt;"Otros")),"Tipo o categoría inválido",IF(COUNTA(A467:J467)=0,"",IF(OR(A467="",B467="",C467="",G467=""),"Faltan datos",IF(COUNTIF($A$7:$A$2006,A467)&gt;1,"ID duplicado",IF(OR(B467&lt;DATE(Configuración!$C$5,1,1),B467&gt;=DATE(Configuración!$C$5+1,1,1)),"Fecha fuera del año",IF(OR(G467&lt;0,H467&lt;0),"Revisar signo",IF(AND(C467&lt;&gt;"Servicio",H467&lt;&gt;0),"IVA solo en Servicio",IF(AND(C467="Servicio",F467=""),"Falta servicio","OK")))))))))</f>
        <v/>
      </c>
    </row>
    <row r="468" spans="1:12" ht="22" customHeight="1">
      <c r="A468" s="3"/>
      <c r="B468" s="7"/>
      <c r="C468" s="3"/>
      <c r="D468" s="3"/>
      <c r="E468" s="3"/>
      <c r="F468" s="3"/>
      <c r="G468" s="4"/>
      <c r="H468" s="4"/>
      <c r="I468" s="3"/>
      <c r="J468" s="3"/>
      <c r="K468" s="8" t="str">
        <f t="shared" si="7"/>
        <v/>
      </c>
      <c r="L468" s="1" t="str">
        <f>IF(COUNTA(A468:J468)=0,"",IF(OR(AND(C468&lt;&gt;"Servicio",C468&lt;&gt;"Cobro",C468&lt;&gt;"Anticipo",C468&lt;&gt;"Aplicación anticipo",C468&lt;&gt;"Retención ISR",C468&lt;&gt;"Retención IVA"),AND(C468="Servicio",F468&lt;&gt;"TMS",F468&lt;&gt;"Valoración",F468&lt;&gt;"EEG",F468&lt;&gt;"Neurofeedback",F468&lt;&gt;"Fotobiomodulación",F468&lt;&gt;"Psicoterapia",F468&lt;&gt;"Otros")),"Tipo o categoría inválido",IF(COUNTA(A468:J468)=0,"",IF(OR(A468="",B468="",C468="",G468=""),"Faltan datos",IF(COUNTIF($A$7:$A$2006,A468)&gt;1,"ID duplicado",IF(OR(B468&lt;DATE(Configuración!$C$5,1,1),B468&gt;=DATE(Configuración!$C$5+1,1,1)),"Fecha fuera del año",IF(OR(G468&lt;0,H468&lt;0),"Revisar signo",IF(AND(C468&lt;&gt;"Servicio",H468&lt;&gt;0),"IVA solo en Servicio",IF(AND(C468="Servicio",F468=""),"Falta servicio","OK")))))))))</f>
        <v/>
      </c>
    </row>
    <row r="469" spans="1:12" ht="22" customHeight="1">
      <c r="A469" s="3"/>
      <c r="B469" s="7"/>
      <c r="C469" s="3"/>
      <c r="D469" s="3"/>
      <c r="E469" s="3"/>
      <c r="F469" s="3"/>
      <c r="G469" s="4"/>
      <c r="H469" s="4"/>
      <c r="I469" s="3"/>
      <c r="J469" s="3"/>
      <c r="K469" s="8" t="str">
        <f t="shared" si="7"/>
        <v/>
      </c>
      <c r="L469" s="1" t="str">
        <f>IF(COUNTA(A469:J469)=0,"",IF(OR(AND(C469&lt;&gt;"Servicio",C469&lt;&gt;"Cobro",C469&lt;&gt;"Anticipo",C469&lt;&gt;"Aplicación anticipo",C469&lt;&gt;"Retención ISR",C469&lt;&gt;"Retención IVA"),AND(C469="Servicio",F469&lt;&gt;"TMS",F469&lt;&gt;"Valoración",F469&lt;&gt;"EEG",F469&lt;&gt;"Neurofeedback",F469&lt;&gt;"Fotobiomodulación",F469&lt;&gt;"Psicoterapia",F469&lt;&gt;"Otros")),"Tipo o categoría inválido",IF(COUNTA(A469:J469)=0,"",IF(OR(A469="",B469="",C469="",G469=""),"Faltan datos",IF(COUNTIF($A$7:$A$2006,A469)&gt;1,"ID duplicado",IF(OR(B469&lt;DATE(Configuración!$C$5,1,1),B469&gt;=DATE(Configuración!$C$5+1,1,1)),"Fecha fuera del año",IF(OR(G469&lt;0,H469&lt;0),"Revisar signo",IF(AND(C469&lt;&gt;"Servicio",H469&lt;&gt;0),"IVA solo en Servicio",IF(AND(C469="Servicio",F469=""),"Falta servicio","OK")))))))))</f>
        <v/>
      </c>
    </row>
    <row r="470" spans="1:12" ht="22" customHeight="1">
      <c r="A470" s="3"/>
      <c r="B470" s="7"/>
      <c r="C470" s="3"/>
      <c r="D470" s="3"/>
      <c r="E470" s="3"/>
      <c r="F470" s="3"/>
      <c r="G470" s="4"/>
      <c r="H470" s="4"/>
      <c r="I470" s="3"/>
      <c r="J470" s="3"/>
      <c r="K470" s="8" t="str">
        <f t="shared" si="7"/>
        <v/>
      </c>
      <c r="L470" s="1" t="str">
        <f>IF(COUNTA(A470:J470)=0,"",IF(OR(AND(C470&lt;&gt;"Servicio",C470&lt;&gt;"Cobro",C470&lt;&gt;"Anticipo",C470&lt;&gt;"Aplicación anticipo",C470&lt;&gt;"Retención ISR",C470&lt;&gt;"Retención IVA"),AND(C470="Servicio",F470&lt;&gt;"TMS",F470&lt;&gt;"Valoración",F470&lt;&gt;"EEG",F470&lt;&gt;"Neurofeedback",F470&lt;&gt;"Fotobiomodulación",F470&lt;&gt;"Psicoterapia",F470&lt;&gt;"Otros")),"Tipo o categoría inválido",IF(COUNTA(A470:J470)=0,"",IF(OR(A470="",B470="",C470="",G470=""),"Faltan datos",IF(COUNTIF($A$7:$A$2006,A470)&gt;1,"ID duplicado",IF(OR(B470&lt;DATE(Configuración!$C$5,1,1),B470&gt;=DATE(Configuración!$C$5+1,1,1)),"Fecha fuera del año",IF(OR(G470&lt;0,H470&lt;0),"Revisar signo",IF(AND(C470&lt;&gt;"Servicio",H470&lt;&gt;0),"IVA solo en Servicio",IF(AND(C470="Servicio",F470=""),"Falta servicio","OK")))))))))</f>
        <v/>
      </c>
    </row>
    <row r="471" spans="1:12" ht="22" customHeight="1">
      <c r="A471" s="3"/>
      <c r="B471" s="7"/>
      <c r="C471" s="3"/>
      <c r="D471" s="3"/>
      <c r="E471" s="3"/>
      <c r="F471" s="3"/>
      <c r="G471" s="4"/>
      <c r="H471" s="4"/>
      <c r="I471" s="3"/>
      <c r="J471" s="3"/>
      <c r="K471" s="8" t="str">
        <f t="shared" si="7"/>
        <v/>
      </c>
      <c r="L471" s="1" t="str">
        <f>IF(COUNTA(A471:J471)=0,"",IF(OR(AND(C471&lt;&gt;"Servicio",C471&lt;&gt;"Cobro",C471&lt;&gt;"Anticipo",C471&lt;&gt;"Aplicación anticipo",C471&lt;&gt;"Retención ISR",C471&lt;&gt;"Retención IVA"),AND(C471="Servicio",F471&lt;&gt;"TMS",F471&lt;&gt;"Valoración",F471&lt;&gt;"EEG",F471&lt;&gt;"Neurofeedback",F471&lt;&gt;"Fotobiomodulación",F471&lt;&gt;"Psicoterapia",F471&lt;&gt;"Otros")),"Tipo o categoría inválido",IF(COUNTA(A471:J471)=0,"",IF(OR(A471="",B471="",C471="",G471=""),"Faltan datos",IF(COUNTIF($A$7:$A$2006,A471)&gt;1,"ID duplicado",IF(OR(B471&lt;DATE(Configuración!$C$5,1,1),B471&gt;=DATE(Configuración!$C$5+1,1,1)),"Fecha fuera del año",IF(OR(G471&lt;0,H471&lt;0),"Revisar signo",IF(AND(C471&lt;&gt;"Servicio",H471&lt;&gt;0),"IVA solo en Servicio",IF(AND(C471="Servicio",F471=""),"Falta servicio","OK")))))))))</f>
        <v/>
      </c>
    </row>
    <row r="472" spans="1:12" ht="22" customHeight="1">
      <c r="A472" s="3"/>
      <c r="B472" s="7"/>
      <c r="C472" s="3"/>
      <c r="D472" s="3"/>
      <c r="E472" s="3"/>
      <c r="F472" s="3"/>
      <c r="G472" s="4"/>
      <c r="H472" s="4"/>
      <c r="I472" s="3"/>
      <c r="J472" s="3"/>
      <c r="K472" s="8" t="str">
        <f t="shared" si="7"/>
        <v/>
      </c>
      <c r="L472" s="1" t="str">
        <f>IF(COUNTA(A472:J472)=0,"",IF(OR(AND(C472&lt;&gt;"Servicio",C472&lt;&gt;"Cobro",C472&lt;&gt;"Anticipo",C472&lt;&gt;"Aplicación anticipo",C472&lt;&gt;"Retención ISR",C472&lt;&gt;"Retención IVA"),AND(C472="Servicio",F472&lt;&gt;"TMS",F472&lt;&gt;"Valoración",F472&lt;&gt;"EEG",F472&lt;&gt;"Neurofeedback",F472&lt;&gt;"Fotobiomodulación",F472&lt;&gt;"Psicoterapia",F472&lt;&gt;"Otros")),"Tipo o categoría inválido",IF(COUNTA(A472:J472)=0,"",IF(OR(A472="",B472="",C472="",G472=""),"Faltan datos",IF(COUNTIF($A$7:$A$2006,A472)&gt;1,"ID duplicado",IF(OR(B472&lt;DATE(Configuración!$C$5,1,1),B472&gt;=DATE(Configuración!$C$5+1,1,1)),"Fecha fuera del año",IF(OR(G472&lt;0,H472&lt;0),"Revisar signo",IF(AND(C472&lt;&gt;"Servicio",H472&lt;&gt;0),"IVA solo en Servicio",IF(AND(C472="Servicio",F472=""),"Falta servicio","OK")))))))))</f>
        <v/>
      </c>
    </row>
    <row r="473" spans="1:12" ht="22" customHeight="1">
      <c r="A473" s="3"/>
      <c r="B473" s="7"/>
      <c r="C473" s="3"/>
      <c r="D473" s="3"/>
      <c r="E473" s="3"/>
      <c r="F473" s="3"/>
      <c r="G473" s="4"/>
      <c r="H473" s="4"/>
      <c r="I473" s="3"/>
      <c r="J473" s="3"/>
      <c r="K473" s="8" t="str">
        <f t="shared" si="7"/>
        <v/>
      </c>
      <c r="L473" s="1" t="str">
        <f>IF(COUNTA(A473:J473)=0,"",IF(OR(AND(C473&lt;&gt;"Servicio",C473&lt;&gt;"Cobro",C473&lt;&gt;"Anticipo",C473&lt;&gt;"Aplicación anticipo",C473&lt;&gt;"Retención ISR",C473&lt;&gt;"Retención IVA"),AND(C473="Servicio",F473&lt;&gt;"TMS",F473&lt;&gt;"Valoración",F473&lt;&gt;"EEG",F473&lt;&gt;"Neurofeedback",F473&lt;&gt;"Fotobiomodulación",F473&lt;&gt;"Psicoterapia",F473&lt;&gt;"Otros")),"Tipo o categoría inválido",IF(COUNTA(A473:J473)=0,"",IF(OR(A473="",B473="",C473="",G473=""),"Faltan datos",IF(COUNTIF($A$7:$A$2006,A473)&gt;1,"ID duplicado",IF(OR(B473&lt;DATE(Configuración!$C$5,1,1),B473&gt;=DATE(Configuración!$C$5+1,1,1)),"Fecha fuera del año",IF(OR(G473&lt;0,H473&lt;0),"Revisar signo",IF(AND(C473&lt;&gt;"Servicio",H473&lt;&gt;0),"IVA solo en Servicio",IF(AND(C473="Servicio",F473=""),"Falta servicio","OK")))))))))</f>
        <v/>
      </c>
    </row>
    <row r="474" spans="1:12" ht="22" customHeight="1">
      <c r="A474" s="3"/>
      <c r="B474" s="7"/>
      <c r="C474" s="3"/>
      <c r="D474" s="3"/>
      <c r="E474" s="3"/>
      <c r="F474" s="3"/>
      <c r="G474" s="4"/>
      <c r="H474" s="4"/>
      <c r="I474" s="3"/>
      <c r="J474" s="3"/>
      <c r="K474" s="8" t="str">
        <f t="shared" si="7"/>
        <v/>
      </c>
      <c r="L474" s="1" t="str">
        <f>IF(COUNTA(A474:J474)=0,"",IF(OR(AND(C474&lt;&gt;"Servicio",C474&lt;&gt;"Cobro",C474&lt;&gt;"Anticipo",C474&lt;&gt;"Aplicación anticipo",C474&lt;&gt;"Retención ISR",C474&lt;&gt;"Retención IVA"),AND(C474="Servicio",F474&lt;&gt;"TMS",F474&lt;&gt;"Valoración",F474&lt;&gt;"EEG",F474&lt;&gt;"Neurofeedback",F474&lt;&gt;"Fotobiomodulación",F474&lt;&gt;"Psicoterapia",F474&lt;&gt;"Otros")),"Tipo o categoría inválido",IF(COUNTA(A474:J474)=0,"",IF(OR(A474="",B474="",C474="",G474=""),"Faltan datos",IF(COUNTIF($A$7:$A$2006,A474)&gt;1,"ID duplicado",IF(OR(B474&lt;DATE(Configuración!$C$5,1,1),B474&gt;=DATE(Configuración!$C$5+1,1,1)),"Fecha fuera del año",IF(OR(G474&lt;0,H474&lt;0),"Revisar signo",IF(AND(C474&lt;&gt;"Servicio",H474&lt;&gt;0),"IVA solo en Servicio",IF(AND(C474="Servicio",F474=""),"Falta servicio","OK")))))))))</f>
        <v/>
      </c>
    </row>
    <row r="475" spans="1:12" ht="22" customHeight="1">
      <c r="A475" s="3"/>
      <c r="B475" s="7"/>
      <c r="C475" s="3"/>
      <c r="D475" s="3"/>
      <c r="E475" s="3"/>
      <c r="F475" s="3"/>
      <c r="G475" s="4"/>
      <c r="H475" s="4"/>
      <c r="I475" s="3"/>
      <c r="J475" s="3"/>
      <c r="K475" s="8" t="str">
        <f t="shared" si="7"/>
        <v/>
      </c>
      <c r="L475" s="1" t="str">
        <f>IF(COUNTA(A475:J475)=0,"",IF(OR(AND(C475&lt;&gt;"Servicio",C475&lt;&gt;"Cobro",C475&lt;&gt;"Anticipo",C475&lt;&gt;"Aplicación anticipo",C475&lt;&gt;"Retención ISR",C475&lt;&gt;"Retención IVA"),AND(C475="Servicio",F475&lt;&gt;"TMS",F475&lt;&gt;"Valoración",F475&lt;&gt;"EEG",F475&lt;&gt;"Neurofeedback",F475&lt;&gt;"Fotobiomodulación",F475&lt;&gt;"Psicoterapia",F475&lt;&gt;"Otros")),"Tipo o categoría inválido",IF(COUNTA(A475:J475)=0,"",IF(OR(A475="",B475="",C475="",G475=""),"Faltan datos",IF(COUNTIF($A$7:$A$2006,A475)&gt;1,"ID duplicado",IF(OR(B475&lt;DATE(Configuración!$C$5,1,1),B475&gt;=DATE(Configuración!$C$5+1,1,1)),"Fecha fuera del año",IF(OR(G475&lt;0,H475&lt;0),"Revisar signo",IF(AND(C475&lt;&gt;"Servicio",H475&lt;&gt;0),"IVA solo en Servicio",IF(AND(C475="Servicio",F475=""),"Falta servicio","OK")))))))))</f>
        <v/>
      </c>
    </row>
    <row r="476" spans="1:12" ht="22" customHeight="1">
      <c r="A476" s="3"/>
      <c r="B476" s="7"/>
      <c r="C476" s="3"/>
      <c r="D476" s="3"/>
      <c r="E476" s="3"/>
      <c r="F476" s="3"/>
      <c r="G476" s="4"/>
      <c r="H476" s="4"/>
      <c r="I476" s="3"/>
      <c r="J476" s="3"/>
      <c r="K476" s="8" t="str">
        <f t="shared" si="7"/>
        <v/>
      </c>
      <c r="L476" s="1" t="str">
        <f>IF(COUNTA(A476:J476)=0,"",IF(OR(AND(C476&lt;&gt;"Servicio",C476&lt;&gt;"Cobro",C476&lt;&gt;"Anticipo",C476&lt;&gt;"Aplicación anticipo",C476&lt;&gt;"Retención ISR",C476&lt;&gt;"Retención IVA"),AND(C476="Servicio",F476&lt;&gt;"TMS",F476&lt;&gt;"Valoración",F476&lt;&gt;"EEG",F476&lt;&gt;"Neurofeedback",F476&lt;&gt;"Fotobiomodulación",F476&lt;&gt;"Psicoterapia",F476&lt;&gt;"Otros")),"Tipo o categoría inválido",IF(COUNTA(A476:J476)=0,"",IF(OR(A476="",B476="",C476="",G476=""),"Faltan datos",IF(COUNTIF($A$7:$A$2006,A476)&gt;1,"ID duplicado",IF(OR(B476&lt;DATE(Configuración!$C$5,1,1),B476&gt;=DATE(Configuración!$C$5+1,1,1)),"Fecha fuera del año",IF(OR(G476&lt;0,H476&lt;0),"Revisar signo",IF(AND(C476&lt;&gt;"Servicio",H476&lt;&gt;0),"IVA solo en Servicio",IF(AND(C476="Servicio",F476=""),"Falta servicio","OK")))))))))</f>
        <v/>
      </c>
    </row>
    <row r="477" spans="1:12" ht="22" customHeight="1">
      <c r="A477" s="3"/>
      <c r="B477" s="7"/>
      <c r="C477" s="3"/>
      <c r="D477" s="3"/>
      <c r="E477" s="3"/>
      <c r="F477" s="3"/>
      <c r="G477" s="4"/>
      <c r="H477" s="4"/>
      <c r="I477" s="3"/>
      <c r="J477" s="3"/>
      <c r="K477" s="8" t="str">
        <f t="shared" si="7"/>
        <v/>
      </c>
      <c r="L477" s="1" t="str">
        <f>IF(COUNTA(A477:J477)=0,"",IF(OR(AND(C477&lt;&gt;"Servicio",C477&lt;&gt;"Cobro",C477&lt;&gt;"Anticipo",C477&lt;&gt;"Aplicación anticipo",C477&lt;&gt;"Retención ISR",C477&lt;&gt;"Retención IVA"),AND(C477="Servicio",F477&lt;&gt;"TMS",F477&lt;&gt;"Valoración",F477&lt;&gt;"EEG",F477&lt;&gt;"Neurofeedback",F477&lt;&gt;"Fotobiomodulación",F477&lt;&gt;"Psicoterapia",F477&lt;&gt;"Otros")),"Tipo o categoría inválido",IF(COUNTA(A477:J477)=0,"",IF(OR(A477="",B477="",C477="",G477=""),"Faltan datos",IF(COUNTIF($A$7:$A$2006,A477)&gt;1,"ID duplicado",IF(OR(B477&lt;DATE(Configuración!$C$5,1,1),B477&gt;=DATE(Configuración!$C$5+1,1,1)),"Fecha fuera del año",IF(OR(G477&lt;0,H477&lt;0),"Revisar signo",IF(AND(C477&lt;&gt;"Servicio",H477&lt;&gt;0),"IVA solo en Servicio",IF(AND(C477="Servicio",F477=""),"Falta servicio","OK")))))))))</f>
        <v/>
      </c>
    </row>
    <row r="478" spans="1:12" ht="22" customHeight="1">
      <c r="A478" s="3"/>
      <c r="B478" s="7"/>
      <c r="C478" s="3"/>
      <c r="D478" s="3"/>
      <c r="E478" s="3"/>
      <c r="F478" s="3"/>
      <c r="G478" s="4"/>
      <c r="H478" s="4"/>
      <c r="I478" s="3"/>
      <c r="J478" s="3"/>
      <c r="K478" s="8" t="str">
        <f t="shared" si="7"/>
        <v/>
      </c>
      <c r="L478" s="1" t="str">
        <f>IF(COUNTA(A478:J478)=0,"",IF(OR(AND(C478&lt;&gt;"Servicio",C478&lt;&gt;"Cobro",C478&lt;&gt;"Anticipo",C478&lt;&gt;"Aplicación anticipo",C478&lt;&gt;"Retención ISR",C478&lt;&gt;"Retención IVA"),AND(C478="Servicio",F478&lt;&gt;"TMS",F478&lt;&gt;"Valoración",F478&lt;&gt;"EEG",F478&lt;&gt;"Neurofeedback",F478&lt;&gt;"Fotobiomodulación",F478&lt;&gt;"Psicoterapia",F478&lt;&gt;"Otros")),"Tipo o categoría inválido",IF(COUNTA(A478:J478)=0,"",IF(OR(A478="",B478="",C478="",G478=""),"Faltan datos",IF(COUNTIF($A$7:$A$2006,A478)&gt;1,"ID duplicado",IF(OR(B478&lt;DATE(Configuración!$C$5,1,1),B478&gt;=DATE(Configuración!$C$5+1,1,1)),"Fecha fuera del año",IF(OR(G478&lt;0,H478&lt;0),"Revisar signo",IF(AND(C478&lt;&gt;"Servicio",H478&lt;&gt;0),"IVA solo en Servicio",IF(AND(C478="Servicio",F478=""),"Falta servicio","OK")))))))))</f>
        <v/>
      </c>
    </row>
    <row r="479" spans="1:12" ht="22" customHeight="1">
      <c r="A479" s="3"/>
      <c r="B479" s="7"/>
      <c r="C479" s="3"/>
      <c r="D479" s="3"/>
      <c r="E479" s="3"/>
      <c r="F479" s="3"/>
      <c r="G479" s="4"/>
      <c r="H479" s="4"/>
      <c r="I479" s="3"/>
      <c r="J479" s="3"/>
      <c r="K479" s="8" t="str">
        <f t="shared" si="7"/>
        <v/>
      </c>
      <c r="L479" s="1" t="str">
        <f>IF(COUNTA(A479:J479)=0,"",IF(OR(AND(C479&lt;&gt;"Servicio",C479&lt;&gt;"Cobro",C479&lt;&gt;"Anticipo",C479&lt;&gt;"Aplicación anticipo",C479&lt;&gt;"Retención ISR",C479&lt;&gt;"Retención IVA"),AND(C479="Servicio",F479&lt;&gt;"TMS",F479&lt;&gt;"Valoración",F479&lt;&gt;"EEG",F479&lt;&gt;"Neurofeedback",F479&lt;&gt;"Fotobiomodulación",F479&lt;&gt;"Psicoterapia",F479&lt;&gt;"Otros")),"Tipo o categoría inválido",IF(COUNTA(A479:J479)=0,"",IF(OR(A479="",B479="",C479="",G479=""),"Faltan datos",IF(COUNTIF($A$7:$A$2006,A479)&gt;1,"ID duplicado",IF(OR(B479&lt;DATE(Configuración!$C$5,1,1),B479&gt;=DATE(Configuración!$C$5+1,1,1)),"Fecha fuera del año",IF(OR(G479&lt;0,H479&lt;0),"Revisar signo",IF(AND(C479&lt;&gt;"Servicio",H479&lt;&gt;0),"IVA solo en Servicio",IF(AND(C479="Servicio",F479=""),"Falta servicio","OK")))))))))</f>
        <v/>
      </c>
    </row>
    <row r="480" spans="1:12" ht="22" customHeight="1">
      <c r="A480" s="3"/>
      <c r="B480" s="7"/>
      <c r="C480" s="3"/>
      <c r="D480" s="3"/>
      <c r="E480" s="3"/>
      <c r="F480" s="3"/>
      <c r="G480" s="4"/>
      <c r="H480" s="4"/>
      <c r="I480" s="3"/>
      <c r="J480" s="3"/>
      <c r="K480" s="8" t="str">
        <f t="shared" si="7"/>
        <v/>
      </c>
      <c r="L480" s="1" t="str">
        <f>IF(COUNTA(A480:J480)=0,"",IF(OR(AND(C480&lt;&gt;"Servicio",C480&lt;&gt;"Cobro",C480&lt;&gt;"Anticipo",C480&lt;&gt;"Aplicación anticipo",C480&lt;&gt;"Retención ISR",C480&lt;&gt;"Retención IVA"),AND(C480="Servicio",F480&lt;&gt;"TMS",F480&lt;&gt;"Valoración",F480&lt;&gt;"EEG",F480&lt;&gt;"Neurofeedback",F480&lt;&gt;"Fotobiomodulación",F480&lt;&gt;"Psicoterapia",F480&lt;&gt;"Otros")),"Tipo o categoría inválido",IF(COUNTA(A480:J480)=0,"",IF(OR(A480="",B480="",C480="",G480=""),"Faltan datos",IF(COUNTIF($A$7:$A$2006,A480)&gt;1,"ID duplicado",IF(OR(B480&lt;DATE(Configuración!$C$5,1,1),B480&gt;=DATE(Configuración!$C$5+1,1,1)),"Fecha fuera del año",IF(OR(G480&lt;0,H480&lt;0),"Revisar signo",IF(AND(C480&lt;&gt;"Servicio",H480&lt;&gt;0),"IVA solo en Servicio",IF(AND(C480="Servicio",F480=""),"Falta servicio","OK")))))))))</f>
        <v/>
      </c>
    </row>
    <row r="481" spans="1:12" ht="22" customHeight="1">
      <c r="A481" s="3"/>
      <c r="B481" s="7"/>
      <c r="C481" s="3"/>
      <c r="D481" s="3"/>
      <c r="E481" s="3"/>
      <c r="F481" s="3"/>
      <c r="G481" s="4"/>
      <c r="H481" s="4"/>
      <c r="I481" s="3"/>
      <c r="J481" s="3"/>
      <c r="K481" s="8" t="str">
        <f t="shared" si="7"/>
        <v/>
      </c>
      <c r="L481" s="1" t="str">
        <f>IF(COUNTA(A481:J481)=0,"",IF(OR(AND(C481&lt;&gt;"Servicio",C481&lt;&gt;"Cobro",C481&lt;&gt;"Anticipo",C481&lt;&gt;"Aplicación anticipo",C481&lt;&gt;"Retención ISR",C481&lt;&gt;"Retención IVA"),AND(C481="Servicio",F481&lt;&gt;"TMS",F481&lt;&gt;"Valoración",F481&lt;&gt;"EEG",F481&lt;&gt;"Neurofeedback",F481&lt;&gt;"Fotobiomodulación",F481&lt;&gt;"Psicoterapia",F481&lt;&gt;"Otros")),"Tipo o categoría inválido",IF(COUNTA(A481:J481)=0,"",IF(OR(A481="",B481="",C481="",G481=""),"Faltan datos",IF(COUNTIF($A$7:$A$2006,A481)&gt;1,"ID duplicado",IF(OR(B481&lt;DATE(Configuración!$C$5,1,1),B481&gt;=DATE(Configuración!$C$5+1,1,1)),"Fecha fuera del año",IF(OR(G481&lt;0,H481&lt;0),"Revisar signo",IF(AND(C481&lt;&gt;"Servicio",H481&lt;&gt;0),"IVA solo en Servicio",IF(AND(C481="Servicio",F481=""),"Falta servicio","OK")))))))))</f>
        <v/>
      </c>
    </row>
    <row r="482" spans="1:12" ht="22" customHeight="1">
      <c r="A482" s="3"/>
      <c r="B482" s="7"/>
      <c r="C482" s="3"/>
      <c r="D482" s="3"/>
      <c r="E482" s="3"/>
      <c r="F482" s="3"/>
      <c r="G482" s="4"/>
      <c r="H482" s="4"/>
      <c r="I482" s="3"/>
      <c r="J482" s="3"/>
      <c r="K482" s="8" t="str">
        <f t="shared" si="7"/>
        <v/>
      </c>
      <c r="L482" s="1" t="str">
        <f>IF(COUNTA(A482:J482)=0,"",IF(OR(AND(C482&lt;&gt;"Servicio",C482&lt;&gt;"Cobro",C482&lt;&gt;"Anticipo",C482&lt;&gt;"Aplicación anticipo",C482&lt;&gt;"Retención ISR",C482&lt;&gt;"Retención IVA"),AND(C482="Servicio",F482&lt;&gt;"TMS",F482&lt;&gt;"Valoración",F482&lt;&gt;"EEG",F482&lt;&gt;"Neurofeedback",F482&lt;&gt;"Fotobiomodulación",F482&lt;&gt;"Psicoterapia",F482&lt;&gt;"Otros")),"Tipo o categoría inválido",IF(COUNTA(A482:J482)=0,"",IF(OR(A482="",B482="",C482="",G482=""),"Faltan datos",IF(COUNTIF($A$7:$A$2006,A482)&gt;1,"ID duplicado",IF(OR(B482&lt;DATE(Configuración!$C$5,1,1),B482&gt;=DATE(Configuración!$C$5+1,1,1)),"Fecha fuera del año",IF(OR(G482&lt;0,H482&lt;0),"Revisar signo",IF(AND(C482&lt;&gt;"Servicio",H482&lt;&gt;0),"IVA solo en Servicio",IF(AND(C482="Servicio",F482=""),"Falta servicio","OK")))))))))</f>
        <v/>
      </c>
    </row>
    <row r="483" spans="1:12" ht="22" customHeight="1">
      <c r="A483" s="3"/>
      <c r="B483" s="7"/>
      <c r="C483" s="3"/>
      <c r="D483" s="3"/>
      <c r="E483" s="3"/>
      <c r="F483" s="3"/>
      <c r="G483" s="4"/>
      <c r="H483" s="4"/>
      <c r="I483" s="3"/>
      <c r="J483" s="3"/>
      <c r="K483" s="8" t="str">
        <f t="shared" si="7"/>
        <v/>
      </c>
      <c r="L483" s="1" t="str">
        <f>IF(COUNTA(A483:J483)=0,"",IF(OR(AND(C483&lt;&gt;"Servicio",C483&lt;&gt;"Cobro",C483&lt;&gt;"Anticipo",C483&lt;&gt;"Aplicación anticipo",C483&lt;&gt;"Retención ISR",C483&lt;&gt;"Retención IVA"),AND(C483="Servicio",F483&lt;&gt;"TMS",F483&lt;&gt;"Valoración",F483&lt;&gt;"EEG",F483&lt;&gt;"Neurofeedback",F483&lt;&gt;"Fotobiomodulación",F483&lt;&gt;"Psicoterapia",F483&lt;&gt;"Otros")),"Tipo o categoría inválido",IF(COUNTA(A483:J483)=0,"",IF(OR(A483="",B483="",C483="",G483=""),"Faltan datos",IF(COUNTIF($A$7:$A$2006,A483)&gt;1,"ID duplicado",IF(OR(B483&lt;DATE(Configuración!$C$5,1,1),B483&gt;=DATE(Configuración!$C$5+1,1,1)),"Fecha fuera del año",IF(OR(G483&lt;0,H483&lt;0),"Revisar signo",IF(AND(C483&lt;&gt;"Servicio",H483&lt;&gt;0),"IVA solo en Servicio",IF(AND(C483="Servicio",F483=""),"Falta servicio","OK")))))))))</f>
        <v/>
      </c>
    </row>
    <row r="484" spans="1:12" ht="22" customHeight="1">
      <c r="A484" s="3"/>
      <c r="B484" s="7"/>
      <c r="C484" s="3"/>
      <c r="D484" s="3"/>
      <c r="E484" s="3"/>
      <c r="F484" s="3"/>
      <c r="G484" s="4"/>
      <c r="H484" s="4"/>
      <c r="I484" s="3"/>
      <c r="J484" s="3"/>
      <c r="K484" s="8" t="str">
        <f t="shared" si="7"/>
        <v/>
      </c>
      <c r="L484" s="1" t="str">
        <f>IF(COUNTA(A484:J484)=0,"",IF(OR(AND(C484&lt;&gt;"Servicio",C484&lt;&gt;"Cobro",C484&lt;&gt;"Anticipo",C484&lt;&gt;"Aplicación anticipo",C484&lt;&gt;"Retención ISR",C484&lt;&gt;"Retención IVA"),AND(C484="Servicio",F484&lt;&gt;"TMS",F484&lt;&gt;"Valoración",F484&lt;&gt;"EEG",F484&lt;&gt;"Neurofeedback",F484&lt;&gt;"Fotobiomodulación",F484&lt;&gt;"Psicoterapia",F484&lt;&gt;"Otros")),"Tipo o categoría inválido",IF(COUNTA(A484:J484)=0,"",IF(OR(A484="",B484="",C484="",G484=""),"Faltan datos",IF(COUNTIF($A$7:$A$2006,A484)&gt;1,"ID duplicado",IF(OR(B484&lt;DATE(Configuración!$C$5,1,1),B484&gt;=DATE(Configuración!$C$5+1,1,1)),"Fecha fuera del año",IF(OR(G484&lt;0,H484&lt;0),"Revisar signo",IF(AND(C484&lt;&gt;"Servicio",H484&lt;&gt;0),"IVA solo en Servicio",IF(AND(C484="Servicio",F484=""),"Falta servicio","OK")))))))))</f>
        <v/>
      </c>
    </row>
    <row r="485" spans="1:12" ht="22" customHeight="1">
      <c r="A485" s="3"/>
      <c r="B485" s="7"/>
      <c r="C485" s="3"/>
      <c r="D485" s="3"/>
      <c r="E485" s="3"/>
      <c r="F485" s="3"/>
      <c r="G485" s="4"/>
      <c r="H485" s="4"/>
      <c r="I485" s="3"/>
      <c r="J485" s="3"/>
      <c r="K485" s="8" t="str">
        <f t="shared" si="7"/>
        <v/>
      </c>
      <c r="L485" s="1" t="str">
        <f>IF(COUNTA(A485:J485)=0,"",IF(OR(AND(C485&lt;&gt;"Servicio",C485&lt;&gt;"Cobro",C485&lt;&gt;"Anticipo",C485&lt;&gt;"Aplicación anticipo",C485&lt;&gt;"Retención ISR",C485&lt;&gt;"Retención IVA"),AND(C485="Servicio",F485&lt;&gt;"TMS",F485&lt;&gt;"Valoración",F485&lt;&gt;"EEG",F485&lt;&gt;"Neurofeedback",F485&lt;&gt;"Fotobiomodulación",F485&lt;&gt;"Psicoterapia",F485&lt;&gt;"Otros")),"Tipo o categoría inválido",IF(COUNTA(A485:J485)=0,"",IF(OR(A485="",B485="",C485="",G485=""),"Faltan datos",IF(COUNTIF($A$7:$A$2006,A485)&gt;1,"ID duplicado",IF(OR(B485&lt;DATE(Configuración!$C$5,1,1),B485&gt;=DATE(Configuración!$C$5+1,1,1)),"Fecha fuera del año",IF(OR(G485&lt;0,H485&lt;0),"Revisar signo",IF(AND(C485&lt;&gt;"Servicio",H485&lt;&gt;0),"IVA solo en Servicio",IF(AND(C485="Servicio",F485=""),"Falta servicio","OK")))))))))</f>
        <v/>
      </c>
    </row>
    <row r="486" spans="1:12" ht="22" customHeight="1">
      <c r="A486" s="3"/>
      <c r="B486" s="7"/>
      <c r="C486" s="3"/>
      <c r="D486" s="3"/>
      <c r="E486" s="3"/>
      <c r="F486" s="3"/>
      <c r="G486" s="4"/>
      <c r="H486" s="4"/>
      <c r="I486" s="3"/>
      <c r="J486" s="3"/>
      <c r="K486" s="8" t="str">
        <f t="shared" si="7"/>
        <v/>
      </c>
      <c r="L486" s="1" t="str">
        <f>IF(COUNTA(A486:J486)=0,"",IF(OR(AND(C486&lt;&gt;"Servicio",C486&lt;&gt;"Cobro",C486&lt;&gt;"Anticipo",C486&lt;&gt;"Aplicación anticipo",C486&lt;&gt;"Retención ISR",C486&lt;&gt;"Retención IVA"),AND(C486="Servicio",F486&lt;&gt;"TMS",F486&lt;&gt;"Valoración",F486&lt;&gt;"EEG",F486&lt;&gt;"Neurofeedback",F486&lt;&gt;"Fotobiomodulación",F486&lt;&gt;"Psicoterapia",F486&lt;&gt;"Otros")),"Tipo o categoría inválido",IF(COUNTA(A486:J486)=0,"",IF(OR(A486="",B486="",C486="",G486=""),"Faltan datos",IF(COUNTIF($A$7:$A$2006,A486)&gt;1,"ID duplicado",IF(OR(B486&lt;DATE(Configuración!$C$5,1,1),B486&gt;=DATE(Configuración!$C$5+1,1,1)),"Fecha fuera del año",IF(OR(G486&lt;0,H486&lt;0),"Revisar signo",IF(AND(C486&lt;&gt;"Servicio",H486&lt;&gt;0),"IVA solo en Servicio",IF(AND(C486="Servicio",F486=""),"Falta servicio","OK")))))))))</f>
        <v/>
      </c>
    </row>
    <row r="487" spans="1:12" ht="22" customHeight="1">
      <c r="A487" s="3"/>
      <c r="B487" s="7"/>
      <c r="C487" s="3"/>
      <c r="D487" s="3"/>
      <c r="E487" s="3"/>
      <c r="F487" s="3"/>
      <c r="G487" s="4"/>
      <c r="H487" s="4"/>
      <c r="I487" s="3"/>
      <c r="J487" s="3"/>
      <c r="K487" s="8" t="str">
        <f t="shared" si="7"/>
        <v/>
      </c>
      <c r="L487" s="1" t="str">
        <f>IF(COUNTA(A487:J487)=0,"",IF(OR(AND(C487&lt;&gt;"Servicio",C487&lt;&gt;"Cobro",C487&lt;&gt;"Anticipo",C487&lt;&gt;"Aplicación anticipo",C487&lt;&gt;"Retención ISR",C487&lt;&gt;"Retención IVA"),AND(C487="Servicio",F487&lt;&gt;"TMS",F487&lt;&gt;"Valoración",F487&lt;&gt;"EEG",F487&lt;&gt;"Neurofeedback",F487&lt;&gt;"Fotobiomodulación",F487&lt;&gt;"Psicoterapia",F487&lt;&gt;"Otros")),"Tipo o categoría inválido",IF(COUNTA(A487:J487)=0,"",IF(OR(A487="",B487="",C487="",G487=""),"Faltan datos",IF(COUNTIF($A$7:$A$2006,A487)&gt;1,"ID duplicado",IF(OR(B487&lt;DATE(Configuración!$C$5,1,1),B487&gt;=DATE(Configuración!$C$5+1,1,1)),"Fecha fuera del año",IF(OR(G487&lt;0,H487&lt;0),"Revisar signo",IF(AND(C487&lt;&gt;"Servicio",H487&lt;&gt;0),"IVA solo en Servicio",IF(AND(C487="Servicio",F487=""),"Falta servicio","OK")))))))))</f>
        <v/>
      </c>
    </row>
    <row r="488" spans="1:12" ht="22" customHeight="1">
      <c r="A488" s="3"/>
      <c r="B488" s="7"/>
      <c r="C488" s="3"/>
      <c r="D488" s="3"/>
      <c r="E488" s="3"/>
      <c r="F488" s="3"/>
      <c r="G488" s="4"/>
      <c r="H488" s="4"/>
      <c r="I488" s="3"/>
      <c r="J488" s="3"/>
      <c r="K488" s="8" t="str">
        <f t="shared" si="7"/>
        <v/>
      </c>
      <c r="L488" s="1" t="str">
        <f>IF(COUNTA(A488:J488)=0,"",IF(OR(AND(C488&lt;&gt;"Servicio",C488&lt;&gt;"Cobro",C488&lt;&gt;"Anticipo",C488&lt;&gt;"Aplicación anticipo",C488&lt;&gt;"Retención ISR",C488&lt;&gt;"Retención IVA"),AND(C488="Servicio",F488&lt;&gt;"TMS",F488&lt;&gt;"Valoración",F488&lt;&gt;"EEG",F488&lt;&gt;"Neurofeedback",F488&lt;&gt;"Fotobiomodulación",F488&lt;&gt;"Psicoterapia",F488&lt;&gt;"Otros")),"Tipo o categoría inválido",IF(COUNTA(A488:J488)=0,"",IF(OR(A488="",B488="",C488="",G488=""),"Faltan datos",IF(COUNTIF($A$7:$A$2006,A488)&gt;1,"ID duplicado",IF(OR(B488&lt;DATE(Configuración!$C$5,1,1),B488&gt;=DATE(Configuración!$C$5+1,1,1)),"Fecha fuera del año",IF(OR(G488&lt;0,H488&lt;0),"Revisar signo",IF(AND(C488&lt;&gt;"Servicio",H488&lt;&gt;0),"IVA solo en Servicio",IF(AND(C488="Servicio",F488=""),"Falta servicio","OK")))))))))</f>
        <v/>
      </c>
    </row>
    <row r="489" spans="1:12" ht="22" customHeight="1">
      <c r="A489" s="3"/>
      <c r="B489" s="7"/>
      <c r="C489" s="3"/>
      <c r="D489" s="3"/>
      <c r="E489" s="3"/>
      <c r="F489" s="3"/>
      <c r="G489" s="4"/>
      <c r="H489" s="4"/>
      <c r="I489" s="3"/>
      <c r="J489" s="3"/>
      <c r="K489" s="8" t="str">
        <f t="shared" si="7"/>
        <v/>
      </c>
      <c r="L489" s="1" t="str">
        <f>IF(COUNTA(A489:J489)=0,"",IF(OR(AND(C489&lt;&gt;"Servicio",C489&lt;&gt;"Cobro",C489&lt;&gt;"Anticipo",C489&lt;&gt;"Aplicación anticipo",C489&lt;&gt;"Retención ISR",C489&lt;&gt;"Retención IVA"),AND(C489="Servicio",F489&lt;&gt;"TMS",F489&lt;&gt;"Valoración",F489&lt;&gt;"EEG",F489&lt;&gt;"Neurofeedback",F489&lt;&gt;"Fotobiomodulación",F489&lt;&gt;"Psicoterapia",F489&lt;&gt;"Otros")),"Tipo o categoría inválido",IF(COUNTA(A489:J489)=0,"",IF(OR(A489="",B489="",C489="",G489=""),"Faltan datos",IF(COUNTIF($A$7:$A$2006,A489)&gt;1,"ID duplicado",IF(OR(B489&lt;DATE(Configuración!$C$5,1,1),B489&gt;=DATE(Configuración!$C$5+1,1,1)),"Fecha fuera del año",IF(OR(G489&lt;0,H489&lt;0),"Revisar signo",IF(AND(C489&lt;&gt;"Servicio",H489&lt;&gt;0),"IVA solo en Servicio",IF(AND(C489="Servicio",F489=""),"Falta servicio","OK")))))))))</f>
        <v/>
      </c>
    </row>
    <row r="490" spans="1:12" ht="22" customHeight="1">
      <c r="A490" s="3"/>
      <c r="B490" s="7"/>
      <c r="C490" s="3"/>
      <c r="D490" s="3"/>
      <c r="E490" s="3"/>
      <c r="F490" s="3"/>
      <c r="G490" s="4"/>
      <c r="H490" s="4"/>
      <c r="I490" s="3"/>
      <c r="J490" s="3"/>
      <c r="K490" s="8" t="str">
        <f t="shared" si="7"/>
        <v/>
      </c>
      <c r="L490" s="1" t="str">
        <f>IF(COUNTA(A490:J490)=0,"",IF(OR(AND(C490&lt;&gt;"Servicio",C490&lt;&gt;"Cobro",C490&lt;&gt;"Anticipo",C490&lt;&gt;"Aplicación anticipo",C490&lt;&gt;"Retención ISR",C490&lt;&gt;"Retención IVA"),AND(C490="Servicio",F490&lt;&gt;"TMS",F490&lt;&gt;"Valoración",F490&lt;&gt;"EEG",F490&lt;&gt;"Neurofeedback",F490&lt;&gt;"Fotobiomodulación",F490&lt;&gt;"Psicoterapia",F490&lt;&gt;"Otros")),"Tipo o categoría inválido",IF(COUNTA(A490:J490)=0,"",IF(OR(A490="",B490="",C490="",G490=""),"Faltan datos",IF(COUNTIF($A$7:$A$2006,A490)&gt;1,"ID duplicado",IF(OR(B490&lt;DATE(Configuración!$C$5,1,1),B490&gt;=DATE(Configuración!$C$5+1,1,1)),"Fecha fuera del año",IF(OR(G490&lt;0,H490&lt;0),"Revisar signo",IF(AND(C490&lt;&gt;"Servicio",H490&lt;&gt;0),"IVA solo en Servicio",IF(AND(C490="Servicio",F490=""),"Falta servicio","OK")))))))))</f>
        <v/>
      </c>
    </row>
    <row r="491" spans="1:12" ht="22" customHeight="1">
      <c r="A491" s="3"/>
      <c r="B491" s="7"/>
      <c r="C491" s="3"/>
      <c r="D491" s="3"/>
      <c r="E491" s="3"/>
      <c r="F491" s="3"/>
      <c r="G491" s="4"/>
      <c r="H491" s="4"/>
      <c r="I491" s="3"/>
      <c r="J491" s="3"/>
      <c r="K491" s="8" t="str">
        <f t="shared" si="7"/>
        <v/>
      </c>
      <c r="L491" s="1" t="str">
        <f>IF(COUNTA(A491:J491)=0,"",IF(OR(AND(C491&lt;&gt;"Servicio",C491&lt;&gt;"Cobro",C491&lt;&gt;"Anticipo",C491&lt;&gt;"Aplicación anticipo",C491&lt;&gt;"Retención ISR",C491&lt;&gt;"Retención IVA"),AND(C491="Servicio",F491&lt;&gt;"TMS",F491&lt;&gt;"Valoración",F491&lt;&gt;"EEG",F491&lt;&gt;"Neurofeedback",F491&lt;&gt;"Fotobiomodulación",F491&lt;&gt;"Psicoterapia",F491&lt;&gt;"Otros")),"Tipo o categoría inválido",IF(COUNTA(A491:J491)=0,"",IF(OR(A491="",B491="",C491="",G491=""),"Faltan datos",IF(COUNTIF($A$7:$A$2006,A491)&gt;1,"ID duplicado",IF(OR(B491&lt;DATE(Configuración!$C$5,1,1),B491&gt;=DATE(Configuración!$C$5+1,1,1)),"Fecha fuera del año",IF(OR(G491&lt;0,H491&lt;0),"Revisar signo",IF(AND(C491&lt;&gt;"Servicio",H491&lt;&gt;0),"IVA solo en Servicio",IF(AND(C491="Servicio",F491=""),"Falta servicio","OK")))))))))</f>
        <v/>
      </c>
    </row>
    <row r="492" spans="1:12" ht="22" customHeight="1">
      <c r="A492" s="3"/>
      <c r="B492" s="7"/>
      <c r="C492" s="3"/>
      <c r="D492" s="3"/>
      <c r="E492" s="3"/>
      <c r="F492" s="3"/>
      <c r="G492" s="4"/>
      <c r="H492" s="4"/>
      <c r="I492" s="3"/>
      <c r="J492" s="3"/>
      <c r="K492" s="8" t="str">
        <f t="shared" si="7"/>
        <v/>
      </c>
      <c r="L492" s="1" t="str">
        <f>IF(COUNTA(A492:J492)=0,"",IF(OR(AND(C492&lt;&gt;"Servicio",C492&lt;&gt;"Cobro",C492&lt;&gt;"Anticipo",C492&lt;&gt;"Aplicación anticipo",C492&lt;&gt;"Retención ISR",C492&lt;&gt;"Retención IVA"),AND(C492="Servicio",F492&lt;&gt;"TMS",F492&lt;&gt;"Valoración",F492&lt;&gt;"EEG",F492&lt;&gt;"Neurofeedback",F492&lt;&gt;"Fotobiomodulación",F492&lt;&gt;"Psicoterapia",F492&lt;&gt;"Otros")),"Tipo o categoría inválido",IF(COUNTA(A492:J492)=0,"",IF(OR(A492="",B492="",C492="",G492=""),"Faltan datos",IF(COUNTIF($A$7:$A$2006,A492)&gt;1,"ID duplicado",IF(OR(B492&lt;DATE(Configuración!$C$5,1,1),B492&gt;=DATE(Configuración!$C$5+1,1,1)),"Fecha fuera del año",IF(OR(G492&lt;0,H492&lt;0),"Revisar signo",IF(AND(C492&lt;&gt;"Servicio",H492&lt;&gt;0),"IVA solo en Servicio",IF(AND(C492="Servicio",F492=""),"Falta servicio","OK")))))))))</f>
        <v/>
      </c>
    </row>
    <row r="493" spans="1:12" ht="22" customHeight="1">
      <c r="A493" s="3"/>
      <c r="B493" s="7"/>
      <c r="C493" s="3"/>
      <c r="D493" s="3"/>
      <c r="E493" s="3"/>
      <c r="F493" s="3"/>
      <c r="G493" s="4"/>
      <c r="H493" s="4"/>
      <c r="I493" s="3"/>
      <c r="J493" s="3"/>
      <c r="K493" s="8" t="str">
        <f t="shared" si="7"/>
        <v/>
      </c>
      <c r="L493" s="1" t="str">
        <f>IF(COUNTA(A493:J493)=0,"",IF(OR(AND(C493&lt;&gt;"Servicio",C493&lt;&gt;"Cobro",C493&lt;&gt;"Anticipo",C493&lt;&gt;"Aplicación anticipo",C493&lt;&gt;"Retención ISR",C493&lt;&gt;"Retención IVA"),AND(C493="Servicio",F493&lt;&gt;"TMS",F493&lt;&gt;"Valoración",F493&lt;&gt;"EEG",F493&lt;&gt;"Neurofeedback",F493&lt;&gt;"Fotobiomodulación",F493&lt;&gt;"Psicoterapia",F493&lt;&gt;"Otros")),"Tipo o categoría inválido",IF(COUNTA(A493:J493)=0,"",IF(OR(A493="",B493="",C493="",G493=""),"Faltan datos",IF(COUNTIF($A$7:$A$2006,A493)&gt;1,"ID duplicado",IF(OR(B493&lt;DATE(Configuración!$C$5,1,1),B493&gt;=DATE(Configuración!$C$5+1,1,1)),"Fecha fuera del año",IF(OR(G493&lt;0,H493&lt;0),"Revisar signo",IF(AND(C493&lt;&gt;"Servicio",H493&lt;&gt;0),"IVA solo en Servicio",IF(AND(C493="Servicio",F493=""),"Falta servicio","OK")))))))))</f>
        <v/>
      </c>
    </row>
    <row r="494" spans="1:12" ht="22" customHeight="1">
      <c r="A494" s="3"/>
      <c r="B494" s="7"/>
      <c r="C494" s="3"/>
      <c r="D494" s="3"/>
      <c r="E494" s="3"/>
      <c r="F494" s="3"/>
      <c r="G494" s="4"/>
      <c r="H494" s="4"/>
      <c r="I494" s="3"/>
      <c r="J494" s="3"/>
      <c r="K494" s="8" t="str">
        <f t="shared" si="7"/>
        <v/>
      </c>
      <c r="L494" s="1" t="str">
        <f>IF(COUNTA(A494:J494)=0,"",IF(OR(AND(C494&lt;&gt;"Servicio",C494&lt;&gt;"Cobro",C494&lt;&gt;"Anticipo",C494&lt;&gt;"Aplicación anticipo",C494&lt;&gt;"Retención ISR",C494&lt;&gt;"Retención IVA"),AND(C494="Servicio",F494&lt;&gt;"TMS",F494&lt;&gt;"Valoración",F494&lt;&gt;"EEG",F494&lt;&gt;"Neurofeedback",F494&lt;&gt;"Fotobiomodulación",F494&lt;&gt;"Psicoterapia",F494&lt;&gt;"Otros")),"Tipo o categoría inválido",IF(COUNTA(A494:J494)=0,"",IF(OR(A494="",B494="",C494="",G494=""),"Faltan datos",IF(COUNTIF($A$7:$A$2006,A494)&gt;1,"ID duplicado",IF(OR(B494&lt;DATE(Configuración!$C$5,1,1),B494&gt;=DATE(Configuración!$C$5+1,1,1)),"Fecha fuera del año",IF(OR(G494&lt;0,H494&lt;0),"Revisar signo",IF(AND(C494&lt;&gt;"Servicio",H494&lt;&gt;0),"IVA solo en Servicio",IF(AND(C494="Servicio",F494=""),"Falta servicio","OK")))))))))</f>
        <v/>
      </c>
    </row>
    <row r="495" spans="1:12" ht="22" customHeight="1">
      <c r="A495" s="3"/>
      <c r="B495" s="7"/>
      <c r="C495" s="3"/>
      <c r="D495" s="3"/>
      <c r="E495" s="3"/>
      <c r="F495" s="3"/>
      <c r="G495" s="4"/>
      <c r="H495" s="4"/>
      <c r="I495" s="3"/>
      <c r="J495" s="3"/>
      <c r="K495" s="8" t="str">
        <f t="shared" si="7"/>
        <v/>
      </c>
      <c r="L495" s="1" t="str">
        <f>IF(COUNTA(A495:J495)=0,"",IF(OR(AND(C495&lt;&gt;"Servicio",C495&lt;&gt;"Cobro",C495&lt;&gt;"Anticipo",C495&lt;&gt;"Aplicación anticipo",C495&lt;&gt;"Retención ISR",C495&lt;&gt;"Retención IVA"),AND(C495="Servicio",F495&lt;&gt;"TMS",F495&lt;&gt;"Valoración",F495&lt;&gt;"EEG",F495&lt;&gt;"Neurofeedback",F495&lt;&gt;"Fotobiomodulación",F495&lt;&gt;"Psicoterapia",F495&lt;&gt;"Otros")),"Tipo o categoría inválido",IF(COUNTA(A495:J495)=0,"",IF(OR(A495="",B495="",C495="",G495=""),"Faltan datos",IF(COUNTIF($A$7:$A$2006,A495)&gt;1,"ID duplicado",IF(OR(B495&lt;DATE(Configuración!$C$5,1,1),B495&gt;=DATE(Configuración!$C$5+1,1,1)),"Fecha fuera del año",IF(OR(G495&lt;0,H495&lt;0),"Revisar signo",IF(AND(C495&lt;&gt;"Servicio",H495&lt;&gt;0),"IVA solo en Servicio",IF(AND(C495="Servicio",F495=""),"Falta servicio","OK")))))))))</f>
        <v/>
      </c>
    </row>
    <row r="496" spans="1:12" ht="22" customHeight="1">
      <c r="A496" s="3"/>
      <c r="B496" s="7"/>
      <c r="C496" s="3"/>
      <c r="D496" s="3"/>
      <c r="E496" s="3"/>
      <c r="F496" s="3"/>
      <c r="G496" s="4"/>
      <c r="H496" s="4"/>
      <c r="I496" s="3"/>
      <c r="J496" s="3"/>
      <c r="K496" s="8" t="str">
        <f t="shared" si="7"/>
        <v/>
      </c>
      <c r="L496" s="1" t="str">
        <f>IF(COUNTA(A496:J496)=0,"",IF(OR(AND(C496&lt;&gt;"Servicio",C496&lt;&gt;"Cobro",C496&lt;&gt;"Anticipo",C496&lt;&gt;"Aplicación anticipo",C496&lt;&gt;"Retención ISR",C496&lt;&gt;"Retención IVA"),AND(C496="Servicio",F496&lt;&gt;"TMS",F496&lt;&gt;"Valoración",F496&lt;&gt;"EEG",F496&lt;&gt;"Neurofeedback",F496&lt;&gt;"Fotobiomodulación",F496&lt;&gt;"Psicoterapia",F496&lt;&gt;"Otros")),"Tipo o categoría inválido",IF(COUNTA(A496:J496)=0,"",IF(OR(A496="",B496="",C496="",G496=""),"Faltan datos",IF(COUNTIF($A$7:$A$2006,A496)&gt;1,"ID duplicado",IF(OR(B496&lt;DATE(Configuración!$C$5,1,1),B496&gt;=DATE(Configuración!$C$5+1,1,1)),"Fecha fuera del año",IF(OR(G496&lt;0,H496&lt;0),"Revisar signo",IF(AND(C496&lt;&gt;"Servicio",H496&lt;&gt;0),"IVA solo en Servicio",IF(AND(C496="Servicio",F496=""),"Falta servicio","OK")))))))))</f>
        <v/>
      </c>
    </row>
    <row r="497" spans="1:12" ht="22" customHeight="1">
      <c r="A497" s="3"/>
      <c r="B497" s="7"/>
      <c r="C497" s="3"/>
      <c r="D497" s="3"/>
      <c r="E497" s="3"/>
      <c r="F497" s="3"/>
      <c r="G497" s="4"/>
      <c r="H497" s="4"/>
      <c r="I497" s="3"/>
      <c r="J497" s="3"/>
      <c r="K497" s="8" t="str">
        <f t="shared" si="7"/>
        <v/>
      </c>
      <c r="L497" s="1" t="str">
        <f>IF(COUNTA(A497:J497)=0,"",IF(OR(AND(C497&lt;&gt;"Servicio",C497&lt;&gt;"Cobro",C497&lt;&gt;"Anticipo",C497&lt;&gt;"Aplicación anticipo",C497&lt;&gt;"Retención ISR",C497&lt;&gt;"Retención IVA"),AND(C497="Servicio",F497&lt;&gt;"TMS",F497&lt;&gt;"Valoración",F497&lt;&gt;"EEG",F497&lt;&gt;"Neurofeedback",F497&lt;&gt;"Fotobiomodulación",F497&lt;&gt;"Psicoterapia",F497&lt;&gt;"Otros")),"Tipo o categoría inválido",IF(COUNTA(A497:J497)=0,"",IF(OR(A497="",B497="",C497="",G497=""),"Faltan datos",IF(COUNTIF($A$7:$A$2006,A497)&gt;1,"ID duplicado",IF(OR(B497&lt;DATE(Configuración!$C$5,1,1),B497&gt;=DATE(Configuración!$C$5+1,1,1)),"Fecha fuera del año",IF(OR(G497&lt;0,H497&lt;0),"Revisar signo",IF(AND(C497&lt;&gt;"Servicio",H497&lt;&gt;0),"IVA solo en Servicio",IF(AND(C497="Servicio",F497=""),"Falta servicio","OK")))))))))</f>
        <v/>
      </c>
    </row>
    <row r="498" spans="1:12" ht="22" customHeight="1">
      <c r="A498" s="3"/>
      <c r="B498" s="7"/>
      <c r="C498" s="3"/>
      <c r="D498" s="3"/>
      <c r="E498" s="3"/>
      <c r="F498" s="3"/>
      <c r="G498" s="4"/>
      <c r="H498" s="4"/>
      <c r="I498" s="3"/>
      <c r="J498" s="3"/>
      <c r="K498" s="8" t="str">
        <f t="shared" si="7"/>
        <v/>
      </c>
      <c r="L498" s="1" t="str">
        <f>IF(COUNTA(A498:J498)=0,"",IF(OR(AND(C498&lt;&gt;"Servicio",C498&lt;&gt;"Cobro",C498&lt;&gt;"Anticipo",C498&lt;&gt;"Aplicación anticipo",C498&lt;&gt;"Retención ISR",C498&lt;&gt;"Retención IVA"),AND(C498="Servicio",F498&lt;&gt;"TMS",F498&lt;&gt;"Valoración",F498&lt;&gt;"EEG",F498&lt;&gt;"Neurofeedback",F498&lt;&gt;"Fotobiomodulación",F498&lt;&gt;"Psicoterapia",F498&lt;&gt;"Otros")),"Tipo o categoría inválido",IF(COUNTA(A498:J498)=0,"",IF(OR(A498="",B498="",C498="",G498=""),"Faltan datos",IF(COUNTIF($A$7:$A$2006,A498)&gt;1,"ID duplicado",IF(OR(B498&lt;DATE(Configuración!$C$5,1,1),B498&gt;=DATE(Configuración!$C$5+1,1,1)),"Fecha fuera del año",IF(OR(G498&lt;0,H498&lt;0),"Revisar signo",IF(AND(C498&lt;&gt;"Servicio",H498&lt;&gt;0),"IVA solo en Servicio",IF(AND(C498="Servicio",F498=""),"Falta servicio","OK")))))))))</f>
        <v/>
      </c>
    </row>
    <row r="499" spans="1:12" ht="22" customHeight="1">
      <c r="A499" s="3"/>
      <c r="B499" s="7"/>
      <c r="C499" s="3"/>
      <c r="D499" s="3"/>
      <c r="E499" s="3"/>
      <c r="F499" s="3"/>
      <c r="G499" s="4"/>
      <c r="H499" s="4"/>
      <c r="I499" s="3"/>
      <c r="J499" s="3"/>
      <c r="K499" s="8" t="str">
        <f t="shared" si="7"/>
        <v/>
      </c>
      <c r="L499" s="1" t="str">
        <f>IF(COUNTA(A499:J499)=0,"",IF(OR(AND(C499&lt;&gt;"Servicio",C499&lt;&gt;"Cobro",C499&lt;&gt;"Anticipo",C499&lt;&gt;"Aplicación anticipo",C499&lt;&gt;"Retención ISR",C499&lt;&gt;"Retención IVA"),AND(C499="Servicio",F499&lt;&gt;"TMS",F499&lt;&gt;"Valoración",F499&lt;&gt;"EEG",F499&lt;&gt;"Neurofeedback",F499&lt;&gt;"Fotobiomodulación",F499&lt;&gt;"Psicoterapia",F499&lt;&gt;"Otros")),"Tipo o categoría inválido",IF(COUNTA(A499:J499)=0,"",IF(OR(A499="",B499="",C499="",G499=""),"Faltan datos",IF(COUNTIF($A$7:$A$2006,A499)&gt;1,"ID duplicado",IF(OR(B499&lt;DATE(Configuración!$C$5,1,1),B499&gt;=DATE(Configuración!$C$5+1,1,1)),"Fecha fuera del año",IF(OR(G499&lt;0,H499&lt;0),"Revisar signo",IF(AND(C499&lt;&gt;"Servicio",H499&lt;&gt;0),"IVA solo en Servicio",IF(AND(C499="Servicio",F499=""),"Falta servicio","OK")))))))))</f>
        <v/>
      </c>
    </row>
    <row r="500" spans="1:12" ht="22" customHeight="1">
      <c r="A500" s="3"/>
      <c r="B500" s="7"/>
      <c r="C500" s="3"/>
      <c r="D500" s="3"/>
      <c r="E500" s="3"/>
      <c r="F500" s="3"/>
      <c r="G500" s="4"/>
      <c r="H500" s="4"/>
      <c r="I500" s="3"/>
      <c r="J500" s="3"/>
      <c r="K500" s="8" t="str">
        <f t="shared" si="7"/>
        <v/>
      </c>
      <c r="L500" s="1" t="str">
        <f>IF(COUNTA(A500:J500)=0,"",IF(OR(AND(C500&lt;&gt;"Servicio",C500&lt;&gt;"Cobro",C500&lt;&gt;"Anticipo",C500&lt;&gt;"Aplicación anticipo",C500&lt;&gt;"Retención ISR",C500&lt;&gt;"Retención IVA"),AND(C500="Servicio",F500&lt;&gt;"TMS",F500&lt;&gt;"Valoración",F500&lt;&gt;"EEG",F500&lt;&gt;"Neurofeedback",F500&lt;&gt;"Fotobiomodulación",F500&lt;&gt;"Psicoterapia",F500&lt;&gt;"Otros")),"Tipo o categoría inválido",IF(COUNTA(A500:J500)=0,"",IF(OR(A500="",B500="",C500="",G500=""),"Faltan datos",IF(COUNTIF($A$7:$A$2006,A500)&gt;1,"ID duplicado",IF(OR(B500&lt;DATE(Configuración!$C$5,1,1),B500&gt;=DATE(Configuración!$C$5+1,1,1)),"Fecha fuera del año",IF(OR(G500&lt;0,H500&lt;0),"Revisar signo",IF(AND(C500&lt;&gt;"Servicio",H500&lt;&gt;0),"IVA solo en Servicio",IF(AND(C500="Servicio",F500=""),"Falta servicio","OK")))))))))</f>
        <v/>
      </c>
    </row>
    <row r="501" spans="1:12" ht="22" customHeight="1">
      <c r="A501" s="3"/>
      <c r="B501" s="7"/>
      <c r="C501" s="3"/>
      <c r="D501" s="3"/>
      <c r="E501" s="3"/>
      <c r="F501" s="3"/>
      <c r="G501" s="4"/>
      <c r="H501" s="4"/>
      <c r="I501" s="3"/>
      <c r="J501" s="3"/>
      <c r="K501" s="8" t="str">
        <f t="shared" si="7"/>
        <v/>
      </c>
      <c r="L501" s="1" t="str">
        <f>IF(COUNTA(A501:J501)=0,"",IF(OR(AND(C501&lt;&gt;"Servicio",C501&lt;&gt;"Cobro",C501&lt;&gt;"Anticipo",C501&lt;&gt;"Aplicación anticipo",C501&lt;&gt;"Retención ISR",C501&lt;&gt;"Retención IVA"),AND(C501="Servicio",F501&lt;&gt;"TMS",F501&lt;&gt;"Valoración",F501&lt;&gt;"EEG",F501&lt;&gt;"Neurofeedback",F501&lt;&gt;"Fotobiomodulación",F501&lt;&gt;"Psicoterapia",F501&lt;&gt;"Otros")),"Tipo o categoría inválido",IF(COUNTA(A501:J501)=0,"",IF(OR(A501="",B501="",C501="",G501=""),"Faltan datos",IF(COUNTIF($A$7:$A$2006,A501)&gt;1,"ID duplicado",IF(OR(B501&lt;DATE(Configuración!$C$5,1,1),B501&gt;=DATE(Configuración!$C$5+1,1,1)),"Fecha fuera del año",IF(OR(G501&lt;0,H501&lt;0),"Revisar signo",IF(AND(C501&lt;&gt;"Servicio",H501&lt;&gt;0),"IVA solo en Servicio",IF(AND(C501="Servicio",F501=""),"Falta servicio","OK")))))))))</f>
        <v/>
      </c>
    </row>
    <row r="502" spans="1:12" ht="22" customHeight="1">
      <c r="A502" s="3"/>
      <c r="B502" s="7"/>
      <c r="C502" s="3"/>
      <c r="D502" s="3"/>
      <c r="E502" s="3"/>
      <c r="F502" s="3"/>
      <c r="G502" s="4"/>
      <c r="H502" s="4"/>
      <c r="I502" s="3"/>
      <c r="J502" s="3"/>
      <c r="K502" s="8" t="str">
        <f t="shared" si="7"/>
        <v/>
      </c>
      <c r="L502" s="1" t="str">
        <f>IF(COUNTA(A502:J502)=0,"",IF(OR(AND(C502&lt;&gt;"Servicio",C502&lt;&gt;"Cobro",C502&lt;&gt;"Anticipo",C502&lt;&gt;"Aplicación anticipo",C502&lt;&gt;"Retención ISR",C502&lt;&gt;"Retención IVA"),AND(C502="Servicio",F502&lt;&gt;"TMS",F502&lt;&gt;"Valoración",F502&lt;&gt;"EEG",F502&lt;&gt;"Neurofeedback",F502&lt;&gt;"Fotobiomodulación",F502&lt;&gt;"Psicoterapia",F502&lt;&gt;"Otros")),"Tipo o categoría inválido",IF(COUNTA(A502:J502)=0,"",IF(OR(A502="",B502="",C502="",G502=""),"Faltan datos",IF(COUNTIF($A$7:$A$2006,A502)&gt;1,"ID duplicado",IF(OR(B502&lt;DATE(Configuración!$C$5,1,1),B502&gt;=DATE(Configuración!$C$5+1,1,1)),"Fecha fuera del año",IF(OR(G502&lt;0,H502&lt;0),"Revisar signo",IF(AND(C502&lt;&gt;"Servicio",H502&lt;&gt;0),"IVA solo en Servicio",IF(AND(C502="Servicio",F502=""),"Falta servicio","OK")))))))))</f>
        <v/>
      </c>
    </row>
    <row r="503" spans="1:12" ht="22" customHeight="1">
      <c r="A503" s="3"/>
      <c r="B503" s="7"/>
      <c r="C503" s="3"/>
      <c r="D503" s="3"/>
      <c r="E503" s="3"/>
      <c r="F503" s="3"/>
      <c r="G503" s="4"/>
      <c r="H503" s="4"/>
      <c r="I503" s="3"/>
      <c r="J503" s="3"/>
      <c r="K503" s="8" t="str">
        <f t="shared" si="7"/>
        <v/>
      </c>
      <c r="L503" s="1" t="str">
        <f>IF(COUNTA(A503:J503)=0,"",IF(OR(AND(C503&lt;&gt;"Servicio",C503&lt;&gt;"Cobro",C503&lt;&gt;"Anticipo",C503&lt;&gt;"Aplicación anticipo",C503&lt;&gt;"Retención ISR",C503&lt;&gt;"Retención IVA"),AND(C503="Servicio",F503&lt;&gt;"TMS",F503&lt;&gt;"Valoración",F503&lt;&gt;"EEG",F503&lt;&gt;"Neurofeedback",F503&lt;&gt;"Fotobiomodulación",F503&lt;&gt;"Psicoterapia",F503&lt;&gt;"Otros")),"Tipo o categoría inválido",IF(COUNTA(A503:J503)=0,"",IF(OR(A503="",B503="",C503="",G503=""),"Faltan datos",IF(COUNTIF($A$7:$A$2006,A503)&gt;1,"ID duplicado",IF(OR(B503&lt;DATE(Configuración!$C$5,1,1),B503&gt;=DATE(Configuración!$C$5+1,1,1)),"Fecha fuera del año",IF(OR(G503&lt;0,H503&lt;0),"Revisar signo",IF(AND(C503&lt;&gt;"Servicio",H503&lt;&gt;0),"IVA solo en Servicio",IF(AND(C503="Servicio",F503=""),"Falta servicio","OK")))))))))</f>
        <v/>
      </c>
    </row>
    <row r="504" spans="1:12" ht="22" customHeight="1">
      <c r="A504" s="3"/>
      <c r="B504" s="7"/>
      <c r="C504" s="3"/>
      <c r="D504" s="3"/>
      <c r="E504" s="3"/>
      <c r="F504" s="3"/>
      <c r="G504" s="4"/>
      <c r="H504" s="4"/>
      <c r="I504" s="3"/>
      <c r="J504" s="3"/>
      <c r="K504" s="8" t="str">
        <f t="shared" si="7"/>
        <v/>
      </c>
      <c r="L504" s="1" t="str">
        <f>IF(COUNTA(A504:J504)=0,"",IF(OR(AND(C504&lt;&gt;"Servicio",C504&lt;&gt;"Cobro",C504&lt;&gt;"Anticipo",C504&lt;&gt;"Aplicación anticipo",C504&lt;&gt;"Retención ISR",C504&lt;&gt;"Retención IVA"),AND(C504="Servicio",F504&lt;&gt;"TMS",F504&lt;&gt;"Valoración",F504&lt;&gt;"EEG",F504&lt;&gt;"Neurofeedback",F504&lt;&gt;"Fotobiomodulación",F504&lt;&gt;"Psicoterapia",F504&lt;&gt;"Otros")),"Tipo o categoría inválido",IF(COUNTA(A504:J504)=0,"",IF(OR(A504="",B504="",C504="",G504=""),"Faltan datos",IF(COUNTIF($A$7:$A$2006,A504)&gt;1,"ID duplicado",IF(OR(B504&lt;DATE(Configuración!$C$5,1,1),B504&gt;=DATE(Configuración!$C$5+1,1,1)),"Fecha fuera del año",IF(OR(G504&lt;0,H504&lt;0),"Revisar signo",IF(AND(C504&lt;&gt;"Servicio",H504&lt;&gt;0),"IVA solo en Servicio",IF(AND(C504="Servicio",F504=""),"Falta servicio","OK")))))))))</f>
        <v/>
      </c>
    </row>
    <row r="505" spans="1:12" ht="22" customHeight="1">
      <c r="A505" s="3"/>
      <c r="B505" s="7"/>
      <c r="C505" s="3"/>
      <c r="D505" s="3"/>
      <c r="E505" s="3"/>
      <c r="F505" s="3"/>
      <c r="G505" s="4"/>
      <c r="H505" s="4"/>
      <c r="I505" s="3"/>
      <c r="J505" s="3"/>
      <c r="K505" s="8" t="str">
        <f t="shared" si="7"/>
        <v/>
      </c>
      <c r="L505" s="1" t="str">
        <f>IF(COUNTA(A505:J505)=0,"",IF(OR(AND(C505&lt;&gt;"Servicio",C505&lt;&gt;"Cobro",C505&lt;&gt;"Anticipo",C505&lt;&gt;"Aplicación anticipo",C505&lt;&gt;"Retención ISR",C505&lt;&gt;"Retención IVA"),AND(C505="Servicio",F505&lt;&gt;"TMS",F505&lt;&gt;"Valoración",F505&lt;&gt;"EEG",F505&lt;&gt;"Neurofeedback",F505&lt;&gt;"Fotobiomodulación",F505&lt;&gt;"Psicoterapia",F505&lt;&gt;"Otros")),"Tipo o categoría inválido",IF(COUNTA(A505:J505)=0,"",IF(OR(A505="",B505="",C505="",G505=""),"Faltan datos",IF(COUNTIF($A$7:$A$2006,A505)&gt;1,"ID duplicado",IF(OR(B505&lt;DATE(Configuración!$C$5,1,1),B505&gt;=DATE(Configuración!$C$5+1,1,1)),"Fecha fuera del año",IF(OR(G505&lt;0,H505&lt;0),"Revisar signo",IF(AND(C505&lt;&gt;"Servicio",H505&lt;&gt;0),"IVA solo en Servicio",IF(AND(C505="Servicio",F505=""),"Falta servicio","OK")))))))))</f>
        <v/>
      </c>
    </row>
    <row r="506" spans="1:12" ht="22" customHeight="1">
      <c r="A506" s="3"/>
      <c r="B506" s="7"/>
      <c r="C506" s="3"/>
      <c r="D506" s="3"/>
      <c r="E506" s="3"/>
      <c r="F506" s="3"/>
      <c r="G506" s="4"/>
      <c r="H506" s="4"/>
      <c r="I506" s="3"/>
      <c r="J506" s="3"/>
      <c r="K506" s="8" t="str">
        <f t="shared" si="7"/>
        <v/>
      </c>
      <c r="L506" s="1" t="str">
        <f>IF(COUNTA(A506:J506)=0,"",IF(OR(AND(C506&lt;&gt;"Servicio",C506&lt;&gt;"Cobro",C506&lt;&gt;"Anticipo",C506&lt;&gt;"Aplicación anticipo",C506&lt;&gt;"Retención ISR",C506&lt;&gt;"Retención IVA"),AND(C506="Servicio",F506&lt;&gt;"TMS",F506&lt;&gt;"Valoración",F506&lt;&gt;"EEG",F506&lt;&gt;"Neurofeedback",F506&lt;&gt;"Fotobiomodulación",F506&lt;&gt;"Psicoterapia",F506&lt;&gt;"Otros")),"Tipo o categoría inválido",IF(COUNTA(A506:J506)=0,"",IF(OR(A506="",B506="",C506="",G506=""),"Faltan datos",IF(COUNTIF($A$7:$A$2006,A506)&gt;1,"ID duplicado",IF(OR(B506&lt;DATE(Configuración!$C$5,1,1),B506&gt;=DATE(Configuración!$C$5+1,1,1)),"Fecha fuera del año",IF(OR(G506&lt;0,H506&lt;0),"Revisar signo",IF(AND(C506&lt;&gt;"Servicio",H506&lt;&gt;0),"IVA solo en Servicio",IF(AND(C506="Servicio",F506=""),"Falta servicio","OK")))))))))</f>
        <v/>
      </c>
    </row>
    <row r="507" spans="1:12" ht="22" customHeight="1">
      <c r="A507" s="3"/>
      <c r="B507" s="7"/>
      <c r="C507" s="3"/>
      <c r="D507" s="3"/>
      <c r="E507" s="3"/>
      <c r="F507" s="3"/>
      <c r="G507" s="4"/>
      <c r="H507" s="4"/>
      <c r="I507" s="3"/>
      <c r="J507" s="3"/>
      <c r="K507" s="8" t="str">
        <f t="shared" si="7"/>
        <v/>
      </c>
      <c r="L507" s="1" t="str">
        <f>IF(COUNTA(A507:J507)=0,"",IF(OR(AND(C507&lt;&gt;"Servicio",C507&lt;&gt;"Cobro",C507&lt;&gt;"Anticipo",C507&lt;&gt;"Aplicación anticipo",C507&lt;&gt;"Retención ISR",C507&lt;&gt;"Retención IVA"),AND(C507="Servicio",F507&lt;&gt;"TMS",F507&lt;&gt;"Valoración",F507&lt;&gt;"EEG",F507&lt;&gt;"Neurofeedback",F507&lt;&gt;"Fotobiomodulación",F507&lt;&gt;"Psicoterapia",F507&lt;&gt;"Otros")),"Tipo o categoría inválido",IF(COUNTA(A507:J507)=0,"",IF(OR(A507="",B507="",C507="",G507=""),"Faltan datos",IF(COUNTIF($A$7:$A$2006,A507)&gt;1,"ID duplicado",IF(OR(B507&lt;DATE(Configuración!$C$5,1,1),B507&gt;=DATE(Configuración!$C$5+1,1,1)),"Fecha fuera del año",IF(OR(G507&lt;0,H507&lt;0),"Revisar signo",IF(AND(C507&lt;&gt;"Servicio",H507&lt;&gt;0),"IVA solo en Servicio",IF(AND(C507="Servicio",F507=""),"Falta servicio","OK")))))))))</f>
        <v/>
      </c>
    </row>
    <row r="508" spans="1:12" ht="22" customHeight="1">
      <c r="A508" s="3"/>
      <c r="B508" s="7"/>
      <c r="C508" s="3"/>
      <c r="D508" s="3"/>
      <c r="E508" s="3"/>
      <c r="F508" s="3"/>
      <c r="G508" s="4"/>
      <c r="H508" s="4"/>
      <c r="I508" s="3"/>
      <c r="J508" s="3"/>
      <c r="K508" s="8" t="str">
        <f t="shared" si="7"/>
        <v/>
      </c>
      <c r="L508" s="1" t="str">
        <f>IF(COUNTA(A508:J508)=0,"",IF(OR(AND(C508&lt;&gt;"Servicio",C508&lt;&gt;"Cobro",C508&lt;&gt;"Anticipo",C508&lt;&gt;"Aplicación anticipo",C508&lt;&gt;"Retención ISR",C508&lt;&gt;"Retención IVA"),AND(C508="Servicio",F508&lt;&gt;"TMS",F508&lt;&gt;"Valoración",F508&lt;&gt;"EEG",F508&lt;&gt;"Neurofeedback",F508&lt;&gt;"Fotobiomodulación",F508&lt;&gt;"Psicoterapia",F508&lt;&gt;"Otros")),"Tipo o categoría inválido",IF(COUNTA(A508:J508)=0,"",IF(OR(A508="",B508="",C508="",G508=""),"Faltan datos",IF(COUNTIF($A$7:$A$2006,A508)&gt;1,"ID duplicado",IF(OR(B508&lt;DATE(Configuración!$C$5,1,1),B508&gt;=DATE(Configuración!$C$5+1,1,1)),"Fecha fuera del año",IF(OR(G508&lt;0,H508&lt;0),"Revisar signo",IF(AND(C508&lt;&gt;"Servicio",H508&lt;&gt;0),"IVA solo en Servicio",IF(AND(C508="Servicio",F508=""),"Falta servicio","OK")))))))))</f>
        <v/>
      </c>
    </row>
    <row r="509" spans="1:12" ht="22" customHeight="1">
      <c r="A509" s="3"/>
      <c r="B509" s="7"/>
      <c r="C509" s="3"/>
      <c r="D509" s="3"/>
      <c r="E509" s="3"/>
      <c r="F509" s="3"/>
      <c r="G509" s="4"/>
      <c r="H509" s="4"/>
      <c r="I509" s="3"/>
      <c r="J509" s="3"/>
      <c r="K509" s="8" t="str">
        <f t="shared" si="7"/>
        <v/>
      </c>
      <c r="L509" s="1" t="str">
        <f>IF(COUNTA(A509:J509)=0,"",IF(OR(AND(C509&lt;&gt;"Servicio",C509&lt;&gt;"Cobro",C509&lt;&gt;"Anticipo",C509&lt;&gt;"Aplicación anticipo",C509&lt;&gt;"Retención ISR",C509&lt;&gt;"Retención IVA"),AND(C509="Servicio",F509&lt;&gt;"TMS",F509&lt;&gt;"Valoración",F509&lt;&gt;"EEG",F509&lt;&gt;"Neurofeedback",F509&lt;&gt;"Fotobiomodulación",F509&lt;&gt;"Psicoterapia",F509&lt;&gt;"Otros")),"Tipo o categoría inválido",IF(COUNTA(A509:J509)=0,"",IF(OR(A509="",B509="",C509="",G509=""),"Faltan datos",IF(COUNTIF($A$7:$A$2006,A509)&gt;1,"ID duplicado",IF(OR(B509&lt;DATE(Configuración!$C$5,1,1),B509&gt;=DATE(Configuración!$C$5+1,1,1)),"Fecha fuera del año",IF(OR(G509&lt;0,H509&lt;0),"Revisar signo",IF(AND(C509&lt;&gt;"Servicio",H509&lt;&gt;0),"IVA solo en Servicio",IF(AND(C509="Servicio",F509=""),"Falta servicio","OK")))))))))</f>
        <v/>
      </c>
    </row>
    <row r="510" spans="1:12" ht="22" customHeight="1">
      <c r="A510" s="3"/>
      <c r="B510" s="7"/>
      <c r="C510" s="3"/>
      <c r="D510" s="3"/>
      <c r="E510" s="3"/>
      <c r="F510" s="3"/>
      <c r="G510" s="4"/>
      <c r="H510" s="4"/>
      <c r="I510" s="3"/>
      <c r="J510" s="3"/>
      <c r="K510" s="8" t="str">
        <f t="shared" si="7"/>
        <v/>
      </c>
      <c r="L510" s="1" t="str">
        <f>IF(COUNTA(A510:J510)=0,"",IF(OR(AND(C510&lt;&gt;"Servicio",C510&lt;&gt;"Cobro",C510&lt;&gt;"Anticipo",C510&lt;&gt;"Aplicación anticipo",C510&lt;&gt;"Retención ISR",C510&lt;&gt;"Retención IVA"),AND(C510="Servicio",F510&lt;&gt;"TMS",F510&lt;&gt;"Valoración",F510&lt;&gt;"EEG",F510&lt;&gt;"Neurofeedback",F510&lt;&gt;"Fotobiomodulación",F510&lt;&gt;"Psicoterapia",F510&lt;&gt;"Otros")),"Tipo o categoría inválido",IF(COUNTA(A510:J510)=0,"",IF(OR(A510="",B510="",C510="",G510=""),"Faltan datos",IF(COUNTIF($A$7:$A$2006,A510)&gt;1,"ID duplicado",IF(OR(B510&lt;DATE(Configuración!$C$5,1,1),B510&gt;=DATE(Configuración!$C$5+1,1,1)),"Fecha fuera del año",IF(OR(G510&lt;0,H510&lt;0),"Revisar signo",IF(AND(C510&lt;&gt;"Servicio",H510&lt;&gt;0),"IVA solo en Servicio",IF(AND(C510="Servicio",F510=""),"Falta servicio","OK")))))))))</f>
        <v/>
      </c>
    </row>
    <row r="511" spans="1:12" ht="22" customHeight="1">
      <c r="A511" s="3"/>
      <c r="B511" s="7"/>
      <c r="C511" s="3"/>
      <c r="D511" s="3"/>
      <c r="E511" s="3"/>
      <c r="F511" s="3"/>
      <c r="G511" s="4"/>
      <c r="H511" s="4"/>
      <c r="I511" s="3"/>
      <c r="J511" s="3"/>
      <c r="K511" s="8" t="str">
        <f t="shared" si="7"/>
        <v/>
      </c>
      <c r="L511" s="1" t="str">
        <f>IF(COUNTA(A511:J511)=0,"",IF(OR(AND(C511&lt;&gt;"Servicio",C511&lt;&gt;"Cobro",C511&lt;&gt;"Anticipo",C511&lt;&gt;"Aplicación anticipo",C511&lt;&gt;"Retención ISR",C511&lt;&gt;"Retención IVA"),AND(C511="Servicio",F511&lt;&gt;"TMS",F511&lt;&gt;"Valoración",F511&lt;&gt;"EEG",F511&lt;&gt;"Neurofeedback",F511&lt;&gt;"Fotobiomodulación",F511&lt;&gt;"Psicoterapia",F511&lt;&gt;"Otros")),"Tipo o categoría inválido",IF(COUNTA(A511:J511)=0,"",IF(OR(A511="",B511="",C511="",G511=""),"Faltan datos",IF(COUNTIF($A$7:$A$2006,A511)&gt;1,"ID duplicado",IF(OR(B511&lt;DATE(Configuración!$C$5,1,1),B511&gt;=DATE(Configuración!$C$5+1,1,1)),"Fecha fuera del año",IF(OR(G511&lt;0,H511&lt;0),"Revisar signo",IF(AND(C511&lt;&gt;"Servicio",H511&lt;&gt;0),"IVA solo en Servicio",IF(AND(C511="Servicio",F511=""),"Falta servicio","OK")))))))))</f>
        <v/>
      </c>
    </row>
    <row r="512" spans="1:12" ht="22" customHeight="1">
      <c r="A512" s="3"/>
      <c r="B512" s="7"/>
      <c r="C512" s="3"/>
      <c r="D512" s="3"/>
      <c r="E512" s="3"/>
      <c r="F512" s="3"/>
      <c r="G512" s="4"/>
      <c r="H512" s="4"/>
      <c r="I512" s="3"/>
      <c r="J512" s="3"/>
      <c r="K512" s="8" t="str">
        <f t="shared" si="7"/>
        <v/>
      </c>
      <c r="L512" s="1" t="str">
        <f>IF(COUNTA(A512:J512)=0,"",IF(OR(AND(C512&lt;&gt;"Servicio",C512&lt;&gt;"Cobro",C512&lt;&gt;"Anticipo",C512&lt;&gt;"Aplicación anticipo",C512&lt;&gt;"Retención ISR",C512&lt;&gt;"Retención IVA"),AND(C512="Servicio",F512&lt;&gt;"TMS",F512&lt;&gt;"Valoración",F512&lt;&gt;"EEG",F512&lt;&gt;"Neurofeedback",F512&lt;&gt;"Fotobiomodulación",F512&lt;&gt;"Psicoterapia",F512&lt;&gt;"Otros")),"Tipo o categoría inválido",IF(COUNTA(A512:J512)=0,"",IF(OR(A512="",B512="",C512="",G512=""),"Faltan datos",IF(COUNTIF($A$7:$A$2006,A512)&gt;1,"ID duplicado",IF(OR(B512&lt;DATE(Configuración!$C$5,1,1),B512&gt;=DATE(Configuración!$C$5+1,1,1)),"Fecha fuera del año",IF(OR(G512&lt;0,H512&lt;0),"Revisar signo",IF(AND(C512&lt;&gt;"Servicio",H512&lt;&gt;0),"IVA solo en Servicio",IF(AND(C512="Servicio",F512=""),"Falta servicio","OK")))))))))</f>
        <v/>
      </c>
    </row>
    <row r="513" spans="1:12" ht="22" customHeight="1">
      <c r="A513" s="3"/>
      <c r="B513" s="7"/>
      <c r="C513" s="3"/>
      <c r="D513" s="3"/>
      <c r="E513" s="3"/>
      <c r="F513" s="3"/>
      <c r="G513" s="4"/>
      <c r="H513" s="4"/>
      <c r="I513" s="3"/>
      <c r="J513" s="3"/>
      <c r="K513" s="8" t="str">
        <f t="shared" si="7"/>
        <v/>
      </c>
      <c r="L513" s="1" t="str">
        <f>IF(COUNTA(A513:J513)=0,"",IF(OR(AND(C513&lt;&gt;"Servicio",C513&lt;&gt;"Cobro",C513&lt;&gt;"Anticipo",C513&lt;&gt;"Aplicación anticipo",C513&lt;&gt;"Retención ISR",C513&lt;&gt;"Retención IVA"),AND(C513="Servicio",F513&lt;&gt;"TMS",F513&lt;&gt;"Valoración",F513&lt;&gt;"EEG",F513&lt;&gt;"Neurofeedback",F513&lt;&gt;"Fotobiomodulación",F513&lt;&gt;"Psicoterapia",F513&lt;&gt;"Otros")),"Tipo o categoría inválido",IF(COUNTA(A513:J513)=0,"",IF(OR(A513="",B513="",C513="",G513=""),"Faltan datos",IF(COUNTIF($A$7:$A$2006,A513)&gt;1,"ID duplicado",IF(OR(B513&lt;DATE(Configuración!$C$5,1,1),B513&gt;=DATE(Configuración!$C$5+1,1,1)),"Fecha fuera del año",IF(OR(G513&lt;0,H513&lt;0),"Revisar signo",IF(AND(C513&lt;&gt;"Servicio",H513&lt;&gt;0),"IVA solo en Servicio",IF(AND(C513="Servicio",F513=""),"Falta servicio","OK")))))))))</f>
        <v/>
      </c>
    </row>
    <row r="514" spans="1:12" ht="22" customHeight="1">
      <c r="A514" s="3"/>
      <c r="B514" s="7"/>
      <c r="C514" s="3"/>
      <c r="D514" s="3"/>
      <c r="E514" s="3"/>
      <c r="F514" s="3"/>
      <c r="G514" s="4"/>
      <c r="H514" s="4"/>
      <c r="I514" s="3"/>
      <c r="J514" s="3"/>
      <c r="K514" s="8" t="str">
        <f t="shared" si="7"/>
        <v/>
      </c>
      <c r="L514" s="1" t="str">
        <f>IF(COUNTA(A514:J514)=0,"",IF(OR(AND(C514&lt;&gt;"Servicio",C514&lt;&gt;"Cobro",C514&lt;&gt;"Anticipo",C514&lt;&gt;"Aplicación anticipo",C514&lt;&gt;"Retención ISR",C514&lt;&gt;"Retención IVA"),AND(C514="Servicio",F514&lt;&gt;"TMS",F514&lt;&gt;"Valoración",F514&lt;&gt;"EEG",F514&lt;&gt;"Neurofeedback",F514&lt;&gt;"Fotobiomodulación",F514&lt;&gt;"Psicoterapia",F514&lt;&gt;"Otros")),"Tipo o categoría inválido",IF(COUNTA(A514:J514)=0,"",IF(OR(A514="",B514="",C514="",G514=""),"Faltan datos",IF(COUNTIF($A$7:$A$2006,A514)&gt;1,"ID duplicado",IF(OR(B514&lt;DATE(Configuración!$C$5,1,1),B514&gt;=DATE(Configuración!$C$5+1,1,1)),"Fecha fuera del año",IF(OR(G514&lt;0,H514&lt;0),"Revisar signo",IF(AND(C514&lt;&gt;"Servicio",H514&lt;&gt;0),"IVA solo en Servicio",IF(AND(C514="Servicio",F514=""),"Falta servicio","OK")))))))))</f>
        <v/>
      </c>
    </row>
    <row r="515" spans="1:12" ht="22" customHeight="1">
      <c r="A515" s="3"/>
      <c r="B515" s="7"/>
      <c r="C515" s="3"/>
      <c r="D515" s="3"/>
      <c r="E515" s="3"/>
      <c r="F515" s="3"/>
      <c r="G515" s="4"/>
      <c r="H515" s="4"/>
      <c r="I515" s="3"/>
      <c r="J515" s="3"/>
      <c r="K515" s="8" t="str">
        <f t="shared" si="7"/>
        <v/>
      </c>
      <c r="L515" s="1" t="str">
        <f>IF(COUNTA(A515:J515)=0,"",IF(OR(AND(C515&lt;&gt;"Servicio",C515&lt;&gt;"Cobro",C515&lt;&gt;"Anticipo",C515&lt;&gt;"Aplicación anticipo",C515&lt;&gt;"Retención ISR",C515&lt;&gt;"Retención IVA"),AND(C515="Servicio",F515&lt;&gt;"TMS",F515&lt;&gt;"Valoración",F515&lt;&gt;"EEG",F515&lt;&gt;"Neurofeedback",F515&lt;&gt;"Fotobiomodulación",F515&lt;&gt;"Psicoterapia",F515&lt;&gt;"Otros")),"Tipo o categoría inválido",IF(COUNTA(A515:J515)=0,"",IF(OR(A515="",B515="",C515="",G515=""),"Faltan datos",IF(COUNTIF($A$7:$A$2006,A515)&gt;1,"ID duplicado",IF(OR(B515&lt;DATE(Configuración!$C$5,1,1),B515&gt;=DATE(Configuración!$C$5+1,1,1)),"Fecha fuera del año",IF(OR(G515&lt;0,H515&lt;0),"Revisar signo",IF(AND(C515&lt;&gt;"Servicio",H515&lt;&gt;0),"IVA solo en Servicio",IF(AND(C515="Servicio",F515=""),"Falta servicio","OK")))))))))</f>
        <v/>
      </c>
    </row>
    <row r="516" spans="1:12" ht="22" customHeight="1">
      <c r="A516" s="3"/>
      <c r="B516" s="7"/>
      <c r="C516" s="3"/>
      <c r="D516" s="3"/>
      <c r="E516" s="3"/>
      <c r="F516" s="3"/>
      <c r="G516" s="4"/>
      <c r="H516" s="4"/>
      <c r="I516" s="3"/>
      <c r="J516" s="3"/>
      <c r="K516" s="8" t="str">
        <f t="shared" si="7"/>
        <v/>
      </c>
      <c r="L516" s="1" t="str">
        <f>IF(COUNTA(A516:J516)=0,"",IF(OR(AND(C516&lt;&gt;"Servicio",C516&lt;&gt;"Cobro",C516&lt;&gt;"Anticipo",C516&lt;&gt;"Aplicación anticipo",C516&lt;&gt;"Retención ISR",C516&lt;&gt;"Retención IVA"),AND(C516="Servicio",F516&lt;&gt;"TMS",F516&lt;&gt;"Valoración",F516&lt;&gt;"EEG",F516&lt;&gt;"Neurofeedback",F516&lt;&gt;"Fotobiomodulación",F516&lt;&gt;"Psicoterapia",F516&lt;&gt;"Otros")),"Tipo o categoría inválido",IF(COUNTA(A516:J516)=0,"",IF(OR(A516="",B516="",C516="",G516=""),"Faltan datos",IF(COUNTIF($A$7:$A$2006,A516)&gt;1,"ID duplicado",IF(OR(B516&lt;DATE(Configuración!$C$5,1,1),B516&gt;=DATE(Configuración!$C$5+1,1,1)),"Fecha fuera del año",IF(OR(G516&lt;0,H516&lt;0),"Revisar signo",IF(AND(C516&lt;&gt;"Servicio",H516&lt;&gt;0),"IVA solo en Servicio",IF(AND(C516="Servicio",F516=""),"Falta servicio","OK")))))))))</f>
        <v/>
      </c>
    </row>
    <row r="517" spans="1:12" ht="22" customHeight="1">
      <c r="A517" s="3"/>
      <c r="B517" s="7"/>
      <c r="C517" s="3"/>
      <c r="D517" s="3"/>
      <c r="E517" s="3"/>
      <c r="F517" s="3"/>
      <c r="G517" s="4"/>
      <c r="H517" s="4"/>
      <c r="I517" s="3"/>
      <c r="J517" s="3"/>
      <c r="K517" s="8" t="str">
        <f t="shared" si="7"/>
        <v/>
      </c>
      <c r="L517" s="1" t="str">
        <f>IF(COUNTA(A517:J517)=0,"",IF(OR(AND(C517&lt;&gt;"Servicio",C517&lt;&gt;"Cobro",C517&lt;&gt;"Anticipo",C517&lt;&gt;"Aplicación anticipo",C517&lt;&gt;"Retención ISR",C517&lt;&gt;"Retención IVA"),AND(C517="Servicio",F517&lt;&gt;"TMS",F517&lt;&gt;"Valoración",F517&lt;&gt;"EEG",F517&lt;&gt;"Neurofeedback",F517&lt;&gt;"Fotobiomodulación",F517&lt;&gt;"Psicoterapia",F517&lt;&gt;"Otros")),"Tipo o categoría inválido",IF(COUNTA(A517:J517)=0,"",IF(OR(A517="",B517="",C517="",G517=""),"Faltan datos",IF(COUNTIF($A$7:$A$2006,A517)&gt;1,"ID duplicado",IF(OR(B517&lt;DATE(Configuración!$C$5,1,1),B517&gt;=DATE(Configuración!$C$5+1,1,1)),"Fecha fuera del año",IF(OR(G517&lt;0,H517&lt;0),"Revisar signo",IF(AND(C517&lt;&gt;"Servicio",H517&lt;&gt;0),"IVA solo en Servicio",IF(AND(C517="Servicio",F517=""),"Falta servicio","OK")))))))))</f>
        <v/>
      </c>
    </row>
    <row r="518" spans="1:12" ht="22" customHeight="1">
      <c r="A518" s="3"/>
      <c r="B518" s="7"/>
      <c r="C518" s="3"/>
      <c r="D518" s="3"/>
      <c r="E518" s="3"/>
      <c r="F518" s="3"/>
      <c r="G518" s="4"/>
      <c r="H518" s="4"/>
      <c r="I518" s="3"/>
      <c r="J518" s="3"/>
      <c r="K518" s="8" t="str">
        <f t="shared" si="7"/>
        <v/>
      </c>
      <c r="L518" s="1" t="str">
        <f>IF(COUNTA(A518:J518)=0,"",IF(OR(AND(C518&lt;&gt;"Servicio",C518&lt;&gt;"Cobro",C518&lt;&gt;"Anticipo",C518&lt;&gt;"Aplicación anticipo",C518&lt;&gt;"Retención ISR",C518&lt;&gt;"Retención IVA"),AND(C518="Servicio",F518&lt;&gt;"TMS",F518&lt;&gt;"Valoración",F518&lt;&gt;"EEG",F518&lt;&gt;"Neurofeedback",F518&lt;&gt;"Fotobiomodulación",F518&lt;&gt;"Psicoterapia",F518&lt;&gt;"Otros")),"Tipo o categoría inválido",IF(COUNTA(A518:J518)=0,"",IF(OR(A518="",B518="",C518="",G518=""),"Faltan datos",IF(COUNTIF($A$7:$A$2006,A518)&gt;1,"ID duplicado",IF(OR(B518&lt;DATE(Configuración!$C$5,1,1),B518&gt;=DATE(Configuración!$C$5+1,1,1)),"Fecha fuera del año",IF(OR(G518&lt;0,H518&lt;0),"Revisar signo",IF(AND(C518&lt;&gt;"Servicio",H518&lt;&gt;0),"IVA solo en Servicio",IF(AND(C518="Servicio",F518=""),"Falta servicio","OK")))))))))</f>
        <v/>
      </c>
    </row>
    <row r="519" spans="1:12" ht="22" customHeight="1">
      <c r="A519" s="3"/>
      <c r="B519" s="7"/>
      <c r="C519" s="3"/>
      <c r="D519" s="3"/>
      <c r="E519" s="3"/>
      <c r="F519" s="3"/>
      <c r="G519" s="4"/>
      <c r="H519" s="4"/>
      <c r="I519" s="3"/>
      <c r="J519" s="3"/>
      <c r="K519" s="8" t="str">
        <f t="shared" ref="K519:K582" si="8">IF(A519="","",G519+H519)</f>
        <v/>
      </c>
      <c r="L519" s="1" t="str">
        <f>IF(COUNTA(A519:J519)=0,"",IF(OR(AND(C519&lt;&gt;"Servicio",C519&lt;&gt;"Cobro",C519&lt;&gt;"Anticipo",C519&lt;&gt;"Aplicación anticipo",C519&lt;&gt;"Retención ISR",C519&lt;&gt;"Retención IVA"),AND(C519="Servicio",F519&lt;&gt;"TMS",F519&lt;&gt;"Valoración",F519&lt;&gt;"EEG",F519&lt;&gt;"Neurofeedback",F519&lt;&gt;"Fotobiomodulación",F519&lt;&gt;"Psicoterapia",F519&lt;&gt;"Otros")),"Tipo o categoría inválido",IF(COUNTA(A519:J519)=0,"",IF(OR(A519="",B519="",C519="",G519=""),"Faltan datos",IF(COUNTIF($A$7:$A$2006,A519)&gt;1,"ID duplicado",IF(OR(B519&lt;DATE(Configuración!$C$5,1,1),B519&gt;=DATE(Configuración!$C$5+1,1,1)),"Fecha fuera del año",IF(OR(G519&lt;0,H519&lt;0),"Revisar signo",IF(AND(C519&lt;&gt;"Servicio",H519&lt;&gt;0),"IVA solo en Servicio",IF(AND(C519="Servicio",F519=""),"Falta servicio","OK")))))))))</f>
        <v/>
      </c>
    </row>
    <row r="520" spans="1:12" ht="22" customHeight="1">
      <c r="A520" s="3"/>
      <c r="B520" s="7"/>
      <c r="C520" s="3"/>
      <c r="D520" s="3"/>
      <c r="E520" s="3"/>
      <c r="F520" s="3"/>
      <c r="G520" s="4"/>
      <c r="H520" s="4"/>
      <c r="I520" s="3"/>
      <c r="J520" s="3"/>
      <c r="K520" s="8" t="str">
        <f t="shared" si="8"/>
        <v/>
      </c>
      <c r="L520" s="1" t="str">
        <f>IF(COUNTA(A520:J520)=0,"",IF(OR(AND(C520&lt;&gt;"Servicio",C520&lt;&gt;"Cobro",C520&lt;&gt;"Anticipo",C520&lt;&gt;"Aplicación anticipo",C520&lt;&gt;"Retención ISR",C520&lt;&gt;"Retención IVA"),AND(C520="Servicio",F520&lt;&gt;"TMS",F520&lt;&gt;"Valoración",F520&lt;&gt;"EEG",F520&lt;&gt;"Neurofeedback",F520&lt;&gt;"Fotobiomodulación",F520&lt;&gt;"Psicoterapia",F520&lt;&gt;"Otros")),"Tipo o categoría inválido",IF(COUNTA(A520:J520)=0,"",IF(OR(A520="",B520="",C520="",G520=""),"Faltan datos",IF(COUNTIF($A$7:$A$2006,A520)&gt;1,"ID duplicado",IF(OR(B520&lt;DATE(Configuración!$C$5,1,1),B520&gt;=DATE(Configuración!$C$5+1,1,1)),"Fecha fuera del año",IF(OR(G520&lt;0,H520&lt;0),"Revisar signo",IF(AND(C520&lt;&gt;"Servicio",H520&lt;&gt;0),"IVA solo en Servicio",IF(AND(C520="Servicio",F520=""),"Falta servicio","OK")))))))))</f>
        <v/>
      </c>
    </row>
    <row r="521" spans="1:12" ht="22" customHeight="1">
      <c r="A521" s="3"/>
      <c r="B521" s="7"/>
      <c r="C521" s="3"/>
      <c r="D521" s="3"/>
      <c r="E521" s="3"/>
      <c r="F521" s="3"/>
      <c r="G521" s="4"/>
      <c r="H521" s="4"/>
      <c r="I521" s="3"/>
      <c r="J521" s="3"/>
      <c r="K521" s="8" t="str">
        <f t="shared" si="8"/>
        <v/>
      </c>
      <c r="L521" s="1" t="str">
        <f>IF(COUNTA(A521:J521)=0,"",IF(OR(AND(C521&lt;&gt;"Servicio",C521&lt;&gt;"Cobro",C521&lt;&gt;"Anticipo",C521&lt;&gt;"Aplicación anticipo",C521&lt;&gt;"Retención ISR",C521&lt;&gt;"Retención IVA"),AND(C521="Servicio",F521&lt;&gt;"TMS",F521&lt;&gt;"Valoración",F521&lt;&gt;"EEG",F521&lt;&gt;"Neurofeedback",F521&lt;&gt;"Fotobiomodulación",F521&lt;&gt;"Psicoterapia",F521&lt;&gt;"Otros")),"Tipo o categoría inválido",IF(COUNTA(A521:J521)=0,"",IF(OR(A521="",B521="",C521="",G521=""),"Faltan datos",IF(COUNTIF($A$7:$A$2006,A521)&gt;1,"ID duplicado",IF(OR(B521&lt;DATE(Configuración!$C$5,1,1),B521&gt;=DATE(Configuración!$C$5+1,1,1)),"Fecha fuera del año",IF(OR(G521&lt;0,H521&lt;0),"Revisar signo",IF(AND(C521&lt;&gt;"Servicio",H521&lt;&gt;0),"IVA solo en Servicio",IF(AND(C521="Servicio",F521=""),"Falta servicio","OK")))))))))</f>
        <v/>
      </c>
    </row>
    <row r="522" spans="1:12" ht="22" customHeight="1">
      <c r="A522" s="3"/>
      <c r="B522" s="7"/>
      <c r="C522" s="3"/>
      <c r="D522" s="3"/>
      <c r="E522" s="3"/>
      <c r="F522" s="3"/>
      <c r="G522" s="4"/>
      <c r="H522" s="4"/>
      <c r="I522" s="3"/>
      <c r="J522" s="3"/>
      <c r="K522" s="8" t="str">
        <f t="shared" si="8"/>
        <v/>
      </c>
      <c r="L522" s="1" t="str">
        <f>IF(COUNTA(A522:J522)=0,"",IF(OR(AND(C522&lt;&gt;"Servicio",C522&lt;&gt;"Cobro",C522&lt;&gt;"Anticipo",C522&lt;&gt;"Aplicación anticipo",C522&lt;&gt;"Retención ISR",C522&lt;&gt;"Retención IVA"),AND(C522="Servicio",F522&lt;&gt;"TMS",F522&lt;&gt;"Valoración",F522&lt;&gt;"EEG",F522&lt;&gt;"Neurofeedback",F522&lt;&gt;"Fotobiomodulación",F522&lt;&gt;"Psicoterapia",F522&lt;&gt;"Otros")),"Tipo o categoría inválido",IF(COUNTA(A522:J522)=0,"",IF(OR(A522="",B522="",C522="",G522=""),"Faltan datos",IF(COUNTIF($A$7:$A$2006,A522)&gt;1,"ID duplicado",IF(OR(B522&lt;DATE(Configuración!$C$5,1,1),B522&gt;=DATE(Configuración!$C$5+1,1,1)),"Fecha fuera del año",IF(OR(G522&lt;0,H522&lt;0),"Revisar signo",IF(AND(C522&lt;&gt;"Servicio",H522&lt;&gt;0),"IVA solo en Servicio",IF(AND(C522="Servicio",F522=""),"Falta servicio","OK")))))))))</f>
        <v/>
      </c>
    </row>
    <row r="523" spans="1:12" ht="22" customHeight="1">
      <c r="A523" s="3"/>
      <c r="B523" s="7"/>
      <c r="C523" s="3"/>
      <c r="D523" s="3"/>
      <c r="E523" s="3"/>
      <c r="F523" s="3"/>
      <c r="G523" s="4"/>
      <c r="H523" s="4"/>
      <c r="I523" s="3"/>
      <c r="J523" s="3"/>
      <c r="K523" s="8" t="str">
        <f t="shared" si="8"/>
        <v/>
      </c>
      <c r="L523" s="1" t="str">
        <f>IF(COUNTA(A523:J523)=0,"",IF(OR(AND(C523&lt;&gt;"Servicio",C523&lt;&gt;"Cobro",C523&lt;&gt;"Anticipo",C523&lt;&gt;"Aplicación anticipo",C523&lt;&gt;"Retención ISR",C523&lt;&gt;"Retención IVA"),AND(C523="Servicio",F523&lt;&gt;"TMS",F523&lt;&gt;"Valoración",F523&lt;&gt;"EEG",F523&lt;&gt;"Neurofeedback",F523&lt;&gt;"Fotobiomodulación",F523&lt;&gt;"Psicoterapia",F523&lt;&gt;"Otros")),"Tipo o categoría inválido",IF(COUNTA(A523:J523)=0,"",IF(OR(A523="",B523="",C523="",G523=""),"Faltan datos",IF(COUNTIF($A$7:$A$2006,A523)&gt;1,"ID duplicado",IF(OR(B523&lt;DATE(Configuración!$C$5,1,1),B523&gt;=DATE(Configuración!$C$5+1,1,1)),"Fecha fuera del año",IF(OR(G523&lt;0,H523&lt;0),"Revisar signo",IF(AND(C523&lt;&gt;"Servicio",H523&lt;&gt;0),"IVA solo en Servicio",IF(AND(C523="Servicio",F523=""),"Falta servicio","OK")))))))))</f>
        <v/>
      </c>
    </row>
    <row r="524" spans="1:12" ht="22" customHeight="1">
      <c r="A524" s="3"/>
      <c r="B524" s="7"/>
      <c r="C524" s="3"/>
      <c r="D524" s="3"/>
      <c r="E524" s="3"/>
      <c r="F524" s="3"/>
      <c r="G524" s="4"/>
      <c r="H524" s="4"/>
      <c r="I524" s="3"/>
      <c r="J524" s="3"/>
      <c r="K524" s="8" t="str">
        <f t="shared" si="8"/>
        <v/>
      </c>
      <c r="L524" s="1" t="str">
        <f>IF(COUNTA(A524:J524)=0,"",IF(OR(AND(C524&lt;&gt;"Servicio",C524&lt;&gt;"Cobro",C524&lt;&gt;"Anticipo",C524&lt;&gt;"Aplicación anticipo",C524&lt;&gt;"Retención ISR",C524&lt;&gt;"Retención IVA"),AND(C524="Servicio",F524&lt;&gt;"TMS",F524&lt;&gt;"Valoración",F524&lt;&gt;"EEG",F524&lt;&gt;"Neurofeedback",F524&lt;&gt;"Fotobiomodulación",F524&lt;&gt;"Psicoterapia",F524&lt;&gt;"Otros")),"Tipo o categoría inválido",IF(COUNTA(A524:J524)=0,"",IF(OR(A524="",B524="",C524="",G524=""),"Faltan datos",IF(COUNTIF($A$7:$A$2006,A524)&gt;1,"ID duplicado",IF(OR(B524&lt;DATE(Configuración!$C$5,1,1),B524&gt;=DATE(Configuración!$C$5+1,1,1)),"Fecha fuera del año",IF(OR(G524&lt;0,H524&lt;0),"Revisar signo",IF(AND(C524&lt;&gt;"Servicio",H524&lt;&gt;0),"IVA solo en Servicio",IF(AND(C524="Servicio",F524=""),"Falta servicio","OK")))))))))</f>
        <v/>
      </c>
    </row>
    <row r="525" spans="1:12" ht="22" customHeight="1">
      <c r="A525" s="3"/>
      <c r="B525" s="7"/>
      <c r="C525" s="3"/>
      <c r="D525" s="3"/>
      <c r="E525" s="3"/>
      <c r="F525" s="3"/>
      <c r="G525" s="4"/>
      <c r="H525" s="4"/>
      <c r="I525" s="3"/>
      <c r="J525" s="3"/>
      <c r="K525" s="8" t="str">
        <f t="shared" si="8"/>
        <v/>
      </c>
      <c r="L525" s="1" t="str">
        <f>IF(COUNTA(A525:J525)=0,"",IF(OR(AND(C525&lt;&gt;"Servicio",C525&lt;&gt;"Cobro",C525&lt;&gt;"Anticipo",C525&lt;&gt;"Aplicación anticipo",C525&lt;&gt;"Retención ISR",C525&lt;&gt;"Retención IVA"),AND(C525="Servicio",F525&lt;&gt;"TMS",F525&lt;&gt;"Valoración",F525&lt;&gt;"EEG",F525&lt;&gt;"Neurofeedback",F525&lt;&gt;"Fotobiomodulación",F525&lt;&gt;"Psicoterapia",F525&lt;&gt;"Otros")),"Tipo o categoría inválido",IF(COUNTA(A525:J525)=0,"",IF(OR(A525="",B525="",C525="",G525=""),"Faltan datos",IF(COUNTIF($A$7:$A$2006,A525)&gt;1,"ID duplicado",IF(OR(B525&lt;DATE(Configuración!$C$5,1,1),B525&gt;=DATE(Configuración!$C$5+1,1,1)),"Fecha fuera del año",IF(OR(G525&lt;0,H525&lt;0),"Revisar signo",IF(AND(C525&lt;&gt;"Servicio",H525&lt;&gt;0),"IVA solo en Servicio",IF(AND(C525="Servicio",F525=""),"Falta servicio","OK")))))))))</f>
        <v/>
      </c>
    </row>
    <row r="526" spans="1:12" ht="22" customHeight="1">
      <c r="A526" s="3"/>
      <c r="B526" s="7"/>
      <c r="C526" s="3"/>
      <c r="D526" s="3"/>
      <c r="E526" s="3"/>
      <c r="F526" s="3"/>
      <c r="G526" s="4"/>
      <c r="H526" s="4"/>
      <c r="I526" s="3"/>
      <c r="J526" s="3"/>
      <c r="K526" s="8" t="str">
        <f t="shared" si="8"/>
        <v/>
      </c>
      <c r="L526" s="1" t="str">
        <f>IF(COUNTA(A526:J526)=0,"",IF(OR(AND(C526&lt;&gt;"Servicio",C526&lt;&gt;"Cobro",C526&lt;&gt;"Anticipo",C526&lt;&gt;"Aplicación anticipo",C526&lt;&gt;"Retención ISR",C526&lt;&gt;"Retención IVA"),AND(C526="Servicio",F526&lt;&gt;"TMS",F526&lt;&gt;"Valoración",F526&lt;&gt;"EEG",F526&lt;&gt;"Neurofeedback",F526&lt;&gt;"Fotobiomodulación",F526&lt;&gt;"Psicoterapia",F526&lt;&gt;"Otros")),"Tipo o categoría inválido",IF(COUNTA(A526:J526)=0,"",IF(OR(A526="",B526="",C526="",G526=""),"Faltan datos",IF(COUNTIF($A$7:$A$2006,A526)&gt;1,"ID duplicado",IF(OR(B526&lt;DATE(Configuración!$C$5,1,1),B526&gt;=DATE(Configuración!$C$5+1,1,1)),"Fecha fuera del año",IF(OR(G526&lt;0,H526&lt;0),"Revisar signo",IF(AND(C526&lt;&gt;"Servicio",H526&lt;&gt;0),"IVA solo en Servicio",IF(AND(C526="Servicio",F526=""),"Falta servicio","OK")))))))))</f>
        <v/>
      </c>
    </row>
    <row r="527" spans="1:12" ht="22" customHeight="1">
      <c r="A527" s="3"/>
      <c r="B527" s="7"/>
      <c r="C527" s="3"/>
      <c r="D527" s="3"/>
      <c r="E527" s="3"/>
      <c r="F527" s="3"/>
      <c r="G527" s="4"/>
      <c r="H527" s="4"/>
      <c r="I527" s="3"/>
      <c r="J527" s="3"/>
      <c r="K527" s="8" t="str">
        <f t="shared" si="8"/>
        <v/>
      </c>
      <c r="L527" s="1" t="str">
        <f>IF(COUNTA(A527:J527)=0,"",IF(OR(AND(C527&lt;&gt;"Servicio",C527&lt;&gt;"Cobro",C527&lt;&gt;"Anticipo",C527&lt;&gt;"Aplicación anticipo",C527&lt;&gt;"Retención ISR",C527&lt;&gt;"Retención IVA"),AND(C527="Servicio",F527&lt;&gt;"TMS",F527&lt;&gt;"Valoración",F527&lt;&gt;"EEG",F527&lt;&gt;"Neurofeedback",F527&lt;&gt;"Fotobiomodulación",F527&lt;&gt;"Psicoterapia",F527&lt;&gt;"Otros")),"Tipo o categoría inválido",IF(COUNTA(A527:J527)=0,"",IF(OR(A527="",B527="",C527="",G527=""),"Faltan datos",IF(COUNTIF($A$7:$A$2006,A527)&gt;1,"ID duplicado",IF(OR(B527&lt;DATE(Configuración!$C$5,1,1),B527&gt;=DATE(Configuración!$C$5+1,1,1)),"Fecha fuera del año",IF(OR(G527&lt;0,H527&lt;0),"Revisar signo",IF(AND(C527&lt;&gt;"Servicio",H527&lt;&gt;0),"IVA solo en Servicio",IF(AND(C527="Servicio",F527=""),"Falta servicio","OK")))))))))</f>
        <v/>
      </c>
    </row>
    <row r="528" spans="1:12" ht="22" customHeight="1">
      <c r="A528" s="3"/>
      <c r="B528" s="7"/>
      <c r="C528" s="3"/>
      <c r="D528" s="3"/>
      <c r="E528" s="3"/>
      <c r="F528" s="3"/>
      <c r="G528" s="4"/>
      <c r="H528" s="4"/>
      <c r="I528" s="3"/>
      <c r="J528" s="3"/>
      <c r="K528" s="8" t="str">
        <f t="shared" si="8"/>
        <v/>
      </c>
      <c r="L528" s="1" t="str">
        <f>IF(COUNTA(A528:J528)=0,"",IF(OR(AND(C528&lt;&gt;"Servicio",C528&lt;&gt;"Cobro",C528&lt;&gt;"Anticipo",C528&lt;&gt;"Aplicación anticipo",C528&lt;&gt;"Retención ISR",C528&lt;&gt;"Retención IVA"),AND(C528="Servicio",F528&lt;&gt;"TMS",F528&lt;&gt;"Valoración",F528&lt;&gt;"EEG",F528&lt;&gt;"Neurofeedback",F528&lt;&gt;"Fotobiomodulación",F528&lt;&gt;"Psicoterapia",F528&lt;&gt;"Otros")),"Tipo o categoría inválido",IF(COUNTA(A528:J528)=0,"",IF(OR(A528="",B528="",C528="",G528=""),"Faltan datos",IF(COUNTIF($A$7:$A$2006,A528)&gt;1,"ID duplicado",IF(OR(B528&lt;DATE(Configuración!$C$5,1,1),B528&gt;=DATE(Configuración!$C$5+1,1,1)),"Fecha fuera del año",IF(OR(G528&lt;0,H528&lt;0),"Revisar signo",IF(AND(C528&lt;&gt;"Servicio",H528&lt;&gt;0),"IVA solo en Servicio",IF(AND(C528="Servicio",F528=""),"Falta servicio","OK")))))))))</f>
        <v/>
      </c>
    </row>
    <row r="529" spans="1:12" ht="22" customHeight="1">
      <c r="A529" s="3"/>
      <c r="B529" s="7"/>
      <c r="C529" s="3"/>
      <c r="D529" s="3"/>
      <c r="E529" s="3"/>
      <c r="F529" s="3"/>
      <c r="G529" s="4"/>
      <c r="H529" s="4"/>
      <c r="I529" s="3"/>
      <c r="J529" s="3"/>
      <c r="K529" s="8" t="str">
        <f t="shared" si="8"/>
        <v/>
      </c>
      <c r="L529" s="1" t="str">
        <f>IF(COUNTA(A529:J529)=0,"",IF(OR(AND(C529&lt;&gt;"Servicio",C529&lt;&gt;"Cobro",C529&lt;&gt;"Anticipo",C529&lt;&gt;"Aplicación anticipo",C529&lt;&gt;"Retención ISR",C529&lt;&gt;"Retención IVA"),AND(C529="Servicio",F529&lt;&gt;"TMS",F529&lt;&gt;"Valoración",F529&lt;&gt;"EEG",F529&lt;&gt;"Neurofeedback",F529&lt;&gt;"Fotobiomodulación",F529&lt;&gt;"Psicoterapia",F529&lt;&gt;"Otros")),"Tipo o categoría inválido",IF(COUNTA(A529:J529)=0,"",IF(OR(A529="",B529="",C529="",G529=""),"Faltan datos",IF(COUNTIF($A$7:$A$2006,A529)&gt;1,"ID duplicado",IF(OR(B529&lt;DATE(Configuración!$C$5,1,1),B529&gt;=DATE(Configuración!$C$5+1,1,1)),"Fecha fuera del año",IF(OR(G529&lt;0,H529&lt;0),"Revisar signo",IF(AND(C529&lt;&gt;"Servicio",H529&lt;&gt;0),"IVA solo en Servicio",IF(AND(C529="Servicio",F529=""),"Falta servicio","OK")))))))))</f>
        <v/>
      </c>
    </row>
    <row r="530" spans="1:12" ht="22" customHeight="1">
      <c r="A530" s="3"/>
      <c r="B530" s="7"/>
      <c r="C530" s="3"/>
      <c r="D530" s="3"/>
      <c r="E530" s="3"/>
      <c r="F530" s="3"/>
      <c r="G530" s="4"/>
      <c r="H530" s="4"/>
      <c r="I530" s="3"/>
      <c r="J530" s="3"/>
      <c r="K530" s="8" t="str">
        <f t="shared" si="8"/>
        <v/>
      </c>
      <c r="L530" s="1" t="str">
        <f>IF(COUNTA(A530:J530)=0,"",IF(OR(AND(C530&lt;&gt;"Servicio",C530&lt;&gt;"Cobro",C530&lt;&gt;"Anticipo",C530&lt;&gt;"Aplicación anticipo",C530&lt;&gt;"Retención ISR",C530&lt;&gt;"Retención IVA"),AND(C530="Servicio",F530&lt;&gt;"TMS",F530&lt;&gt;"Valoración",F530&lt;&gt;"EEG",F530&lt;&gt;"Neurofeedback",F530&lt;&gt;"Fotobiomodulación",F530&lt;&gt;"Psicoterapia",F530&lt;&gt;"Otros")),"Tipo o categoría inválido",IF(COUNTA(A530:J530)=0,"",IF(OR(A530="",B530="",C530="",G530=""),"Faltan datos",IF(COUNTIF($A$7:$A$2006,A530)&gt;1,"ID duplicado",IF(OR(B530&lt;DATE(Configuración!$C$5,1,1),B530&gt;=DATE(Configuración!$C$5+1,1,1)),"Fecha fuera del año",IF(OR(G530&lt;0,H530&lt;0),"Revisar signo",IF(AND(C530&lt;&gt;"Servicio",H530&lt;&gt;0),"IVA solo en Servicio",IF(AND(C530="Servicio",F530=""),"Falta servicio","OK")))))))))</f>
        <v/>
      </c>
    </row>
    <row r="531" spans="1:12" ht="22" customHeight="1">
      <c r="A531" s="3"/>
      <c r="B531" s="7"/>
      <c r="C531" s="3"/>
      <c r="D531" s="3"/>
      <c r="E531" s="3"/>
      <c r="F531" s="3"/>
      <c r="G531" s="4"/>
      <c r="H531" s="4"/>
      <c r="I531" s="3"/>
      <c r="J531" s="3"/>
      <c r="K531" s="8" t="str">
        <f t="shared" si="8"/>
        <v/>
      </c>
      <c r="L531" s="1" t="str">
        <f>IF(COUNTA(A531:J531)=0,"",IF(OR(AND(C531&lt;&gt;"Servicio",C531&lt;&gt;"Cobro",C531&lt;&gt;"Anticipo",C531&lt;&gt;"Aplicación anticipo",C531&lt;&gt;"Retención ISR",C531&lt;&gt;"Retención IVA"),AND(C531="Servicio",F531&lt;&gt;"TMS",F531&lt;&gt;"Valoración",F531&lt;&gt;"EEG",F531&lt;&gt;"Neurofeedback",F531&lt;&gt;"Fotobiomodulación",F531&lt;&gt;"Psicoterapia",F531&lt;&gt;"Otros")),"Tipo o categoría inválido",IF(COUNTA(A531:J531)=0,"",IF(OR(A531="",B531="",C531="",G531=""),"Faltan datos",IF(COUNTIF($A$7:$A$2006,A531)&gt;1,"ID duplicado",IF(OR(B531&lt;DATE(Configuración!$C$5,1,1),B531&gt;=DATE(Configuración!$C$5+1,1,1)),"Fecha fuera del año",IF(OR(G531&lt;0,H531&lt;0),"Revisar signo",IF(AND(C531&lt;&gt;"Servicio",H531&lt;&gt;0),"IVA solo en Servicio",IF(AND(C531="Servicio",F531=""),"Falta servicio","OK")))))))))</f>
        <v/>
      </c>
    </row>
    <row r="532" spans="1:12" ht="22" customHeight="1">
      <c r="A532" s="3"/>
      <c r="B532" s="7"/>
      <c r="C532" s="3"/>
      <c r="D532" s="3"/>
      <c r="E532" s="3"/>
      <c r="F532" s="3"/>
      <c r="G532" s="4"/>
      <c r="H532" s="4"/>
      <c r="I532" s="3"/>
      <c r="J532" s="3"/>
      <c r="K532" s="8" t="str">
        <f t="shared" si="8"/>
        <v/>
      </c>
      <c r="L532" s="1" t="str">
        <f>IF(COUNTA(A532:J532)=0,"",IF(OR(AND(C532&lt;&gt;"Servicio",C532&lt;&gt;"Cobro",C532&lt;&gt;"Anticipo",C532&lt;&gt;"Aplicación anticipo",C532&lt;&gt;"Retención ISR",C532&lt;&gt;"Retención IVA"),AND(C532="Servicio",F532&lt;&gt;"TMS",F532&lt;&gt;"Valoración",F532&lt;&gt;"EEG",F532&lt;&gt;"Neurofeedback",F532&lt;&gt;"Fotobiomodulación",F532&lt;&gt;"Psicoterapia",F532&lt;&gt;"Otros")),"Tipo o categoría inválido",IF(COUNTA(A532:J532)=0,"",IF(OR(A532="",B532="",C532="",G532=""),"Faltan datos",IF(COUNTIF($A$7:$A$2006,A532)&gt;1,"ID duplicado",IF(OR(B532&lt;DATE(Configuración!$C$5,1,1),B532&gt;=DATE(Configuración!$C$5+1,1,1)),"Fecha fuera del año",IF(OR(G532&lt;0,H532&lt;0),"Revisar signo",IF(AND(C532&lt;&gt;"Servicio",H532&lt;&gt;0),"IVA solo en Servicio",IF(AND(C532="Servicio",F532=""),"Falta servicio","OK")))))))))</f>
        <v/>
      </c>
    </row>
    <row r="533" spans="1:12" ht="22" customHeight="1">
      <c r="A533" s="3"/>
      <c r="B533" s="7"/>
      <c r="C533" s="3"/>
      <c r="D533" s="3"/>
      <c r="E533" s="3"/>
      <c r="F533" s="3"/>
      <c r="G533" s="4"/>
      <c r="H533" s="4"/>
      <c r="I533" s="3"/>
      <c r="J533" s="3"/>
      <c r="K533" s="8" t="str">
        <f t="shared" si="8"/>
        <v/>
      </c>
      <c r="L533" s="1" t="str">
        <f>IF(COUNTA(A533:J533)=0,"",IF(OR(AND(C533&lt;&gt;"Servicio",C533&lt;&gt;"Cobro",C533&lt;&gt;"Anticipo",C533&lt;&gt;"Aplicación anticipo",C533&lt;&gt;"Retención ISR",C533&lt;&gt;"Retención IVA"),AND(C533="Servicio",F533&lt;&gt;"TMS",F533&lt;&gt;"Valoración",F533&lt;&gt;"EEG",F533&lt;&gt;"Neurofeedback",F533&lt;&gt;"Fotobiomodulación",F533&lt;&gt;"Psicoterapia",F533&lt;&gt;"Otros")),"Tipo o categoría inválido",IF(COUNTA(A533:J533)=0,"",IF(OR(A533="",B533="",C533="",G533=""),"Faltan datos",IF(COUNTIF($A$7:$A$2006,A533)&gt;1,"ID duplicado",IF(OR(B533&lt;DATE(Configuración!$C$5,1,1),B533&gt;=DATE(Configuración!$C$5+1,1,1)),"Fecha fuera del año",IF(OR(G533&lt;0,H533&lt;0),"Revisar signo",IF(AND(C533&lt;&gt;"Servicio",H533&lt;&gt;0),"IVA solo en Servicio",IF(AND(C533="Servicio",F533=""),"Falta servicio","OK")))))))))</f>
        <v/>
      </c>
    </row>
    <row r="534" spans="1:12" ht="22" customHeight="1">
      <c r="A534" s="3"/>
      <c r="B534" s="7"/>
      <c r="C534" s="3"/>
      <c r="D534" s="3"/>
      <c r="E534" s="3"/>
      <c r="F534" s="3"/>
      <c r="G534" s="4"/>
      <c r="H534" s="4"/>
      <c r="I534" s="3"/>
      <c r="J534" s="3"/>
      <c r="K534" s="8" t="str">
        <f t="shared" si="8"/>
        <v/>
      </c>
      <c r="L534" s="1" t="str">
        <f>IF(COUNTA(A534:J534)=0,"",IF(OR(AND(C534&lt;&gt;"Servicio",C534&lt;&gt;"Cobro",C534&lt;&gt;"Anticipo",C534&lt;&gt;"Aplicación anticipo",C534&lt;&gt;"Retención ISR",C534&lt;&gt;"Retención IVA"),AND(C534="Servicio",F534&lt;&gt;"TMS",F534&lt;&gt;"Valoración",F534&lt;&gt;"EEG",F534&lt;&gt;"Neurofeedback",F534&lt;&gt;"Fotobiomodulación",F534&lt;&gt;"Psicoterapia",F534&lt;&gt;"Otros")),"Tipo o categoría inválido",IF(COUNTA(A534:J534)=0,"",IF(OR(A534="",B534="",C534="",G534=""),"Faltan datos",IF(COUNTIF($A$7:$A$2006,A534)&gt;1,"ID duplicado",IF(OR(B534&lt;DATE(Configuración!$C$5,1,1),B534&gt;=DATE(Configuración!$C$5+1,1,1)),"Fecha fuera del año",IF(OR(G534&lt;0,H534&lt;0),"Revisar signo",IF(AND(C534&lt;&gt;"Servicio",H534&lt;&gt;0),"IVA solo en Servicio",IF(AND(C534="Servicio",F534=""),"Falta servicio","OK")))))))))</f>
        <v/>
      </c>
    </row>
    <row r="535" spans="1:12" ht="22" customHeight="1">
      <c r="A535" s="3"/>
      <c r="B535" s="7"/>
      <c r="C535" s="3"/>
      <c r="D535" s="3"/>
      <c r="E535" s="3"/>
      <c r="F535" s="3"/>
      <c r="G535" s="4"/>
      <c r="H535" s="4"/>
      <c r="I535" s="3"/>
      <c r="J535" s="3"/>
      <c r="K535" s="8" t="str">
        <f t="shared" si="8"/>
        <v/>
      </c>
      <c r="L535" s="1" t="str">
        <f>IF(COUNTA(A535:J535)=0,"",IF(OR(AND(C535&lt;&gt;"Servicio",C535&lt;&gt;"Cobro",C535&lt;&gt;"Anticipo",C535&lt;&gt;"Aplicación anticipo",C535&lt;&gt;"Retención ISR",C535&lt;&gt;"Retención IVA"),AND(C535="Servicio",F535&lt;&gt;"TMS",F535&lt;&gt;"Valoración",F535&lt;&gt;"EEG",F535&lt;&gt;"Neurofeedback",F535&lt;&gt;"Fotobiomodulación",F535&lt;&gt;"Psicoterapia",F535&lt;&gt;"Otros")),"Tipo o categoría inválido",IF(COUNTA(A535:J535)=0,"",IF(OR(A535="",B535="",C535="",G535=""),"Faltan datos",IF(COUNTIF($A$7:$A$2006,A535)&gt;1,"ID duplicado",IF(OR(B535&lt;DATE(Configuración!$C$5,1,1),B535&gt;=DATE(Configuración!$C$5+1,1,1)),"Fecha fuera del año",IF(OR(G535&lt;0,H535&lt;0),"Revisar signo",IF(AND(C535&lt;&gt;"Servicio",H535&lt;&gt;0),"IVA solo en Servicio",IF(AND(C535="Servicio",F535=""),"Falta servicio","OK")))))))))</f>
        <v/>
      </c>
    </row>
    <row r="536" spans="1:12" ht="22" customHeight="1">
      <c r="A536" s="3"/>
      <c r="B536" s="7"/>
      <c r="C536" s="3"/>
      <c r="D536" s="3"/>
      <c r="E536" s="3"/>
      <c r="F536" s="3"/>
      <c r="G536" s="4"/>
      <c r="H536" s="4"/>
      <c r="I536" s="3"/>
      <c r="J536" s="3"/>
      <c r="K536" s="8" t="str">
        <f t="shared" si="8"/>
        <v/>
      </c>
      <c r="L536" s="1" t="str">
        <f>IF(COUNTA(A536:J536)=0,"",IF(OR(AND(C536&lt;&gt;"Servicio",C536&lt;&gt;"Cobro",C536&lt;&gt;"Anticipo",C536&lt;&gt;"Aplicación anticipo",C536&lt;&gt;"Retención ISR",C536&lt;&gt;"Retención IVA"),AND(C536="Servicio",F536&lt;&gt;"TMS",F536&lt;&gt;"Valoración",F536&lt;&gt;"EEG",F536&lt;&gt;"Neurofeedback",F536&lt;&gt;"Fotobiomodulación",F536&lt;&gt;"Psicoterapia",F536&lt;&gt;"Otros")),"Tipo o categoría inválido",IF(COUNTA(A536:J536)=0,"",IF(OR(A536="",B536="",C536="",G536=""),"Faltan datos",IF(COUNTIF($A$7:$A$2006,A536)&gt;1,"ID duplicado",IF(OR(B536&lt;DATE(Configuración!$C$5,1,1),B536&gt;=DATE(Configuración!$C$5+1,1,1)),"Fecha fuera del año",IF(OR(G536&lt;0,H536&lt;0),"Revisar signo",IF(AND(C536&lt;&gt;"Servicio",H536&lt;&gt;0),"IVA solo en Servicio",IF(AND(C536="Servicio",F536=""),"Falta servicio","OK")))))))))</f>
        <v/>
      </c>
    </row>
    <row r="537" spans="1:12" ht="22" customHeight="1">
      <c r="A537" s="3"/>
      <c r="B537" s="7"/>
      <c r="C537" s="3"/>
      <c r="D537" s="3"/>
      <c r="E537" s="3"/>
      <c r="F537" s="3"/>
      <c r="G537" s="4"/>
      <c r="H537" s="4"/>
      <c r="I537" s="3"/>
      <c r="J537" s="3"/>
      <c r="K537" s="8" t="str">
        <f t="shared" si="8"/>
        <v/>
      </c>
      <c r="L537" s="1" t="str">
        <f>IF(COUNTA(A537:J537)=0,"",IF(OR(AND(C537&lt;&gt;"Servicio",C537&lt;&gt;"Cobro",C537&lt;&gt;"Anticipo",C537&lt;&gt;"Aplicación anticipo",C537&lt;&gt;"Retención ISR",C537&lt;&gt;"Retención IVA"),AND(C537="Servicio",F537&lt;&gt;"TMS",F537&lt;&gt;"Valoración",F537&lt;&gt;"EEG",F537&lt;&gt;"Neurofeedback",F537&lt;&gt;"Fotobiomodulación",F537&lt;&gt;"Psicoterapia",F537&lt;&gt;"Otros")),"Tipo o categoría inválido",IF(COUNTA(A537:J537)=0,"",IF(OR(A537="",B537="",C537="",G537=""),"Faltan datos",IF(COUNTIF($A$7:$A$2006,A537)&gt;1,"ID duplicado",IF(OR(B537&lt;DATE(Configuración!$C$5,1,1),B537&gt;=DATE(Configuración!$C$5+1,1,1)),"Fecha fuera del año",IF(OR(G537&lt;0,H537&lt;0),"Revisar signo",IF(AND(C537&lt;&gt;"Servicio",H537&lt;&gt;0),"IVA solo en Servicio",IF(AND(C537="Servicio",F537=""),"Falta servicio","OK")))))))))</f>
        <v/>
      </c>
    </row>
    <row r="538" spans="1:12" ht="22" customHeight="1">
      <c r="A538" s="3"/>
      <c r="B538" s="7"/>
      <c r="C538" s="3"/>
      <c r="D538" s="3"/>
      <c r="E538" s="3"/>
      <c r="F538" s="3"/>
      <c r="G538" s="4"/>
      <c r="H538" s="4"/>
      <c r="I538" s="3"/>
      <c r="J538" s="3"/>
      <c r="K538" s="8" t="str">
        <f t="shared" si="8"/>
        <v/>
      </c>
      <c r="L538" s="1" t="str">
        <f>IF(COUNTA(A538:J538)=0,"",IF(OR(AND(C538&lt;&gt;"Servicio",C538&lt;&gt;"Cobro",C538&lt;&gt;"Anticipo",C538&lt;&gt;"Aplicación anticipo",C538&lt;&gt;"Retención ISR",C538&lt;&gt;"Retención IVA"),AND(C538="Servicio",F538&lt;&gt;"TMS",F538&lt;&gt;"Valoración",F538&lt;&gt;"EEG",F538&lt;&gt;"Neurofeedback",F538&lt;&gt;"Fotobiomodulación",F538&lt;&gt;"Psicoterapia",F538&lt;&gt;"Otros")),"Tipo o categoría inválido",IF(COUNTA(A538:J538)=0,"",IF(OR(A538="",B538="",C538="",G538=""),"Faltan datos",IF(COUNTIF($A$7:$A$2006,A538)&gt;1,"ID duplicado",IF(OR(B538&lt;DATE(Configuración!$C$5,1,1),B538&gt;=DATE(Configuración!$C$5+1,1,1)),"Fecha fuera del año",IF(OR(G538&lt;0,H538&lt;0),"Revisar signo",IF(AND(C538&lt;&gt;"Servicio",H538&lt;&gt;0),"IVA solo en Servicio",IF(AND(C538="Servicio",F538=""),"Falta servicio","OK")))))))))</f>
        <v/>
      </c>
    </row>
    <row r="539" spans="1:12" ht="22" customHeight="1">
      <c r="A539" s="3"/>
      <c r="B539" s="7"/>
      <c r="C539" s="3"/>
      <c r="D539" s="3"/>
      <c r="E539" s="3"/>
      <c r="F539" s="3"/>
      <c r="G539" s="4"/>
      <c r="H539" s="4"/>
      <c r="I539" s="3"/>
      <c r="J539" s="3"/>
      <c r="K539" s="8" t="str">
        <f t="shared" si="8"/>
        <v/>
      </c>
      <c r="L539" s="1" t="str">
        <f>IF(COUNTA(A539:J539)=0,"",IF(OR(AND(C539&lt;&gt;"Servicio",C539&lt;&gt;"Cobro",C539&lt;&gt;"Anticipo",C539&lt;&gt;"Aplicación anticipo",C539&lt;&gt;"Retención ISR",C539&lt;&gt;"Retención IVA"),AND(C539="Servicio",F539&lt;&gt;"TMS",F539&lt;&gt;"Valoración",F539&lt;&gt;"EEG",F539&lt;&gt;"Neurofeedback",F539&lt;&gt;"Fotobiomodulación",F539&lt;&gt;"Psicoterapia",F539&lt;&gt;"Otros")),"Tipo o categoría inválido",IF(COUNTA(A539:J539)=0,"",IF(OR(A539="",B539="",C539="",G539=""),"Faltan datos",IF(COUNTIF($A$7:$A$2006,A539)&gt;1,"ID duplicado",IF(OR(B539&lt;DATE(Configuración!$C$5,1,1),B539&gt;=DATE(Configuración!$C$5+1,1,1)),"Fecha fuera del año",IF(OR(G539&lt;0,H539&lt;0),"Revisar signo",IF(AND(C539&lt;&gt;"Servicio",H539&lt;&gt;0),"IVA solo en Servicio",IF(AND(C539="Servicio",F539=""),"Falta servicio","OK")))))))))</f>
        <v/>
      </c>
    </row>
    <row r="540" spans="1:12" ht="22" customHeight="1">
      <c r="A540" s="3"/>
      <c r="B540" s="7"/>
      <c r="C540" s="3"/>
      <c r="D540" s="3"/>
      <c r="E540" s="3"/>
      <c r="F540" s="3"/>
      <c r="G540" s="4"/>
      <c r="H540" s="4"/>
      <c r="I540" s="3"/>
      <c r="J540" s="3"/>
      <c r="K540" s="8" t="str">
        <f t="shared" si="8"/>
        <v/>
      </c>
      <c r="L540" s="1" t="str">
        <f>IF(COUNTA(A540:J540)=0,"",IF(OR(AND(C540&lt;&gt;"Servicio",C540&lt;&gt;"Cobro",C540&lt;&gt;"Anticipo",C540&lt;&gt;"Aplicación anticipo",C540&lt;&gt;"Retención ISR",C540&lt;&gt;"Retención IVA"),AND(C540="Servicio",F540&lt;&gt;"TMS",F540&lt;&gt;"Valoración",F540&lt;&gt;"EEG",F540&lt;&gt;"Neurofeedback",F540&lt;&gt;"Fotobiomodulación",F540&lt;&gt;"Psicoterapia",F540&lt;&gt;"Otros")),"Tipo o categoría inválido",IF(COUNTA(A540:J540)=0,"",IF(OR(A540="",B540="",C540="",G540=""),"Faltan datos",IF(COUNTIF($A$7:$A$2006,A540)&gt;1,"ID duplicado",IF(OR(B540&lt;DATE(Configuración!$C$5,1,1),B540&gt;=DATE(Configuración!$C$5+1,1,1)),"Fecha fuera del año",IF(OR(G540&lt;0,H540&lt;0),"Revisar signo",IF(AND(C540&lt;&gt;"Servicio",H540&lt;&gt;0),"IVA solo en Servicio",IF(AND(C540="Servicio",F540=""),"Falta servicio","OK")))))))))</f>
        <v/>
      </c>
    </row>
    <row r="541" spans="1:12" ht="22" customHeight="1">
      <c r="A541" s="3"/>
      <c r="B541" s="7"/>
      <c r="C541" s="3"/>
      <c r="D541" s="3"/>
      <c r="E541" s="3"/>
      <c r="F541" s="3"/>
      <c r="G541" s="4"/>
      <c r="H541" s="4"/>
      <c r="I541" s="3"/>
      <c r="J541" s="3"/>
      <c r="K541" s="8" t="str">
        <f t="shared" si="8"/>
        <v/>
      </c>
      <c r="L541" s="1" t="str">
        <f>IF(COUNTA(A541:J541)=0,"",IF(OR(AND(C541&lt;&gt;"Servicio",C541&lt;&gt;"Cobro",C541&lt;&gt;"Anticipo",C541&lt;&gt;"Aplicación anticipo",C541&lt;&gt;"Retención ISR",C541&lt;&gt;"Retención IVA"),AND(C541="Servicio",F541&lt;&gt;"TMS",F541&lt;&gt;"Valoración",F541&lt;&gt;"EEG",F541&lt;&gt;"Neurofeedback",F541&lt;&gt;"Fotobiomodulación",F541&lt;&gt;"Psicoterapia",F541&lt;&gt;"Otros")),"Tipo o categoría inválido",IF(COUNTA(A541:J541)=0,"",IF(OR(A541="",B541="",C541="",G541=""),"Faltan datos",IF(COUNTIF($A$7:$A$2006,A541)&gt;1,"ID duplicado",IF(OR(B541&lt;DATE(Configuración!$C$5,1,1),B541&gt;=DATE(Configuración!$C$5+1,1,1)),"Fecha fuera del año",IF(OR(G541&lt;0,H541&lt;0),"Revisar signo",IF(AND(C541&lt;&gt;"Servicio",H541&lt;&gt;0),"IVA solo en Servicio",IF(AND(C541="Servicio",F541=""),"Falta servicio","OK")))))))))</f>
        <v/>
      </c>
    </row>
    <row r="542" spans="1:12" ht="22" customHeight="1">
      <c r="A542" s="3"/>
      <c r="B542" s="7"/>
      <c r="C542" s="3"/>
      <c r="D542" s="3"/>
      <c r="E542" s="3"/>
      <c r="F542" s="3"/>
      <c r="G542" s="4"/>
      <c r="H542" s="4"/>
      <c r="I542" s="3"/>
      <c r="J542" s="3"/>
      <c r="K542" s="8" t="str">
        <f t="shared" si="8"/>
        <v/>
      </c>
      <c r="L542" s="1" t="str">
        <f>IF(COUNTA(A542:J542)=0,"",IF(OR(AND(C542&lt;&gt;"Servicio",C542&lt;&gt;"Cobro",C542&lt;&gt;"Anticipo",C542&lt;&gt;"Aplicación anticipo",C542&lt;&gt;"Retención ISR",C542&lt;&gt;"Retención IVA"),AND(C542="Servicio",F542&lt;&gt;"TMS",F542&lt;&gt;"Valoración",F542&lt;&gt;"EEG",F542&lt;&gt;"Neurofeedback",F542&lt;&gt;"Fotobiomodulación",F542&lt;&gt;"Psicoterapia",F542&lt;&gt;"Otros")),"Tipo o categoría inválido",IF(COUNTA(A542:J542)=0,"",IF(OR(A542="",B542="",C542="",G542=""),"Faltan datos",IF(COUNTIF($A$7:$A$2006,A542)&gt;1,"ID duplicado",IF(OR(B542&lt;DATE(Configuración!$C$5,1,1),B542&gt;=DATE(Configuración!$C$5+1,1,1)),"Fecha fuera del año",IF(OR(G542&lt;0,H542&lt;0),"Revisar signo",IF(AND(C542&lt;&gt;"Servicio",H542&lt;&gt;0),"IVA solo en Servicio",IF(AND(C542="Servicio",F542=""),"Falta servicio","OK")))))))))</f>
        <v/>
      </c>
    </row>
    <row r="543" spans="1:12" ht="22" customHeight="1">
      <c r="A543" s="3"/>
      <c r="B543" s="7"/>
      <c r="C543" s="3"/>
      <c r="D543" s="3"/>
      <c r="E543" s="3"/>
      <c r="F543" s="3"/>
      <c r="G543" s="4"/>
      <c r="H543" s="4"/>
      <c r="I543" s="3"/>
      <c r="J543" s="3"/>
      <c r="K543" s="8" t="str">
        <f t="shared" si="8"/>
        <v/>
      </c>
      <c r="L543" s="1" t="str">
        <f>IF(COUNTA(A543:J543)=0,"",IF(OR(AND(C543&lt;&gt;"Servicio",C543&lt;&gt;"Cobro",C543&lt;&gt;"Anticipo",C543&lt;&gt;"Aplicación anticipo",C543&lt;&gt;"Retención ISR",C543&lt;&gt;"Retención IVA"),AND(C543="Servicio",F543&lt;&gt;"TMS",F543&lt;&gt;"Valoración",F543&lt;&gt;"EEG",F543&lt;&gt;"Neurofeedback",F543&lt;&gt;"Fotobiomodulación",F543&lt;&gt;"Psicoterapia",F543&lt;&gt;"Otros")),"Tipo o categoría inválido",IF(COUNTA(A543:J543)=0,"",IF(OR(A543="",B543="",C543="",G543=""),"Faltan datos",IF(COUNTIF($A$7:$A$2006,A543)&gt;1,"ID duplicado",IF(OR(B543&lt;DATE(Configuración!$C$5,1,1),B543&gt;=DATE(Configuración!$C$5+1,1,1)),"Fecha fuera del año",IF(OR(G543&lt;0,H543&lt;0),"Revisar signo",IF(AND(C543&lt;&gt;"Servicio",H543&lt;&gt;0),"IVA solo en Servicio",IF(AND(C543="Servicio",F543=""),"Falta servicio","OK")))))))))</f>
        <v/>
      </c>
    </row>
    <row r="544" spans="1:12" ht="22" customHeight="1">
      <c r="A544" s="3"/>
      <c r="B544" s="7"/>
      <c r="C544" s="3"/>
      <c r="D544" s="3"/>
      <c r="E544" s="3"/>
      <c r="F544" s="3"/>
      <c r="G544" s="4"/>
      <c r="H544" s="4"/>
      <c r="I544" s="3"/>
      <c r="J544" s="3"/>
      <c r="K544" s="8" t="str">
        <f t="shared" si="8"/>
        <v/>
      </c>
      <c r="L544" s="1" t="str">
        <f>IF(COUNTA(A544:J544)=0,"",IF(OR(AND(C544&lt;&gt;"Servicio",C544&lt;&gt;"Cobro",C544&lt;&gt;"Anticipo",C544&lt;&gt;"Aplicación anticipo",C544&lt;&gt;"Retención ISR",C544&lt;&gt;"Retención IVA"),AND(C544="Servicio",F544&lt;&gt;"TMS",F544&lt;&gt;"Valoración",F544&lt;&gt;"EEG",F544&lt;&gt;"Neurofeedback",F544&lt;&gt;"Fotobiomodulación",F544&lt;&gt;"Psicoterapia",F544&lt;&gt;"Otros")),"Tipo o categoría inválido",IF(COUNTA(A544:J544)=0,"",IF(OR(A544="",B544="",C544="",G544=""),"Faltan datos",IF(COUNTIF($A$7:$A$2006,A544)&gt;1,"ID duplicado",IF(OR(B544&lt;DATE(Configuración!$C$5,1,1),B544&gt;=DATE(Configuración!$C$5+1,1,1)),"Fecha fuera del año",IF(OR(G544&lt;0,H544&lt;0),"Revisar signo",IF(AND(C544&lt;&gt;"Servicio",H544&lt;&gt;0),"IVA solo en Servicio",IF(AND(C544="Servicio",F544=""),"Falta servicio","OK")))))))))</f>
        <v/>
      </c>
    </row>
    <row r="545" spans="1:12" ht="22" customHeight="1">
      <c r="A545" s="3"/>
      <c r="B545" s="7"/>
      <c r="C545" s="3"/>
      <c r="D545" s="3"/>
      <c r="E545" s="3"/>
      <c r="F545" s="3"/>
      <c r="G545" s="4"/>
      <c r="H545" s="4"/>
      <c r="I545" s="3"/>
      <c r="J545" s="3"/>
      <c r="K545" s="8" t="str">
        <f t="shared" si="8"/>
        <v/>
      </c>
      <c r="L545" s="1" t="str">
        <f>IF(COUNTA(A545:J545)=0,"",IF(OR(AND(C545&lt;&gt;"Servicio",C545&lt;&gt;"Cobro",C545&lt;&gt;"Anticipo",C545&lt;&gt;"Aplicación anticipo",C545&lt;&gt;"Retención ISR",C545&lt;&gt;"Retención IVA"),AND(C545="Servicio",F545&lt;&gt;"TMS",F545&lt;&gt;"Valoración",F545&lt;&gt;"EEG",F545&lt;&gt;"Neurofeedback",F545&lt;&gt;"Fotobiomodulación",F545&lt;&gt;"Psicoterapia",F545&lt;&gt;"Otros")),"Tipo o categoría inválido",IF(COUNTA(A545:J545)=0,"",IF(OR(A545="",B545="",C545="",G545=""),"Faltan datos",IF(COUNTIF($A$7:$A$2006,A545)&gt;1,"ID duplicado",IF(OR(B545&lt;DATE(Configuración!$C$5,1,1),B545&gt;=DATE(Configuración!$C$5+1,1,1)),"Fecha fuera del año",IF(OR(G545&lt;0,H545&lt;0),"Revisar signo",IF(AND(C545&lt;&gt;"Servicio",H545&lt;&gt;0),"IVA solo en Servicio",IF(AND(C545="Servicio",F545=""),"Falta servicio","OK")))))))))</f>
        <v/>
      </c>
    </row>
    <row r="546" spans="1:12" ht="22" customHeight="1">
      <c r="A546" s="3"/>
      <c r="B546" s="7"/>
      <c r="C546" s="3"/>
      <c r="D546" s="3"/>
      <c r="E546" s="3"/>
      <c r="F546" s="3"/>
      <c r="G546" s="4"/>
      <c r="H546" s="4"/>
      <c r="I546" s="3"/>
      <c r="J546" s="3"/>
      <c r="K546" s="8" t="str">
        <f t="shared" si="8"/>
        <v/>
      </c>
      <c r="L546" s="1" t="str">
        <f>IF(COUNTA(A546:J546)=0,"",IF(OR(AND(C546&lt;&gt;"Servicio",C546&lt;&gt;"Cobro",C546&lt;&gt;"Anticipo",C546&lt;&gt;"Aplicación anticipo",C546&lt;&gt;"Retención ISR",C546&lt;&gt;"Retención IVA"),AND(C546="Servicio",F546&lt;&gt;"TMS",F546&lt;&gt;"Valoración",F546&lt;&gt;"EEG",F546&lt;&gt;"Neurofeedback",F546&lt;&gt;"Fotobiomodulación",F546&lt;&gt;"Psicoterapia",F546&lt;&gt;"Otros")),"Tipo o categoría inválido",IF(COUNTA(A546:J546)=0,"",IF(OR(A546="",B546="",C546="",G546=""),"Faltan datos",IF(COUNTIF($A$7:$A$2006,A546)&gt;1,"ID duplicado",IF(OR(B546&lt;DATE(Configuración!$C$5,1,1),B546&gt;=DATE(Configuración!$C$5+1,1,1)),"Fecha fuera del año",IF(OR(G546&lt;0,H546&lt;0),"Revisar signo",IF(AND(C546&lt;&gt;"Servicio",H546&lt;&gt;0),"IVA solo en Servicio",IF(AND(C546="Servicio",F546=""),"Falta servicio","OK")))))))))</f>
        <v/>
      </c>
    </row>
    <row r="547" spans="1:12" ht="22" customHeight="1">
      <c r="A547" s="3"/>
      <c r="B547" s="7"/>
      <c r="C547" s="3"/>
      <c r="D547" s="3"/>
      <c r="E547" s="3"/>
      <c r="F547" s="3"/>
      <c r="G547" s="4"/>
      <c r="H547" s="4"/>
      <c r="I547" s="3"/>
      <c r="J547" s="3"/>
      <c r="K547" s="8" t="str">
        <f t="shared" si="8"/>
        <v/>
      </c>
      <c r="L547" s="1" t="str">
        <f>IF(COUNTA(A547:J547)=0,"",IF(OR(AND(C547&lt;&gt;"Servicio",C547&lt;&gt;"Cobro",C547&lt;&gt;"Anticipo",C547&lt;&gt;"Aplicación anticipo",C547&lt;&gt;"Retención ISR",C547&lt;&gt;"Retención IVA"),AND(C547="Servicio",F547&lt;&gt;"TMS",F547&lt;&gt;"Valoración",F547&lt;&gt;"EEG",F547&lt;&gt;"Neurofeedback",F547&lt;&gt;"Fotobiomodulación",F547&lt;&gt;"Psicoterapia",F547&lt;&gt;"Otros")),"Tipo o categoría inválido",IF(COUNTA(A547:J547)=0,"",IF(OR(A547="",B547="",C547="",G547=""),"Faltan datos",IF(COUNTIF($A$7:$A$2006,A547)&gt;1,"ID duplicado",IF(OR(B547&lt;DATE(Configuración!$C$5,1,1),B547&gt;=DATE(Configuración!$C$5+1,1,1)),"Fecha fuera del año",IF(OR(G547&lt;0,H547&lt;0),"Revisar signo",IF(AND(C547&lt;&gt;"Servicio",H547&lt;&gt;0),"IVA solo en Servicio",IF(AND(C547="Servicio",F547=""),"Falta servicio","OK")))))))))</f>
        <v/>
      </c>
    </row>
    <row r="548" spans="1:12" ht="22" customHeight="1">
      <c r="A548" s="3"/>
      <c r="B548" s="7"/>
      <c r="C548" s="3"/>
      <c r="D548" s="3"/>
      <c r="E548" s="3"/>
      <c r="F548" s="3"/>
      <c r="G548" s="4"/>
      <c r="H548" s="4"/>
      <c r="I548" s="3"/>
      <c r="J548" s="3"/>
      <c r="K548" s="8" t="str">
        <f t="shared" si="8"/>
        <v/>
      </c>
      <c r="L548" s="1" t="str">
        <f>IF(COUNTA(A548:J548)=0,"",IF(OR(AND(C548&lt;&gt;"Servicio",C548&lt;&gt;"Cobro",C548&lt;&gt;"Anticipo",C548&lt;&gt;"Aplicación anticipo",C548&lt;&gt;"Retención ISR",C548&lt;&gt;"Retención IVA"),AND(C548="Servicio",F548&lt;&gt;"TMS",F548&lt;&gt;"Valoración",F548&lt;&gt;"EEG",F548&lt;&gt;"Neurofeedback",F548&lt;&gt;"Fotobiomodulación",F548&lt;&gt;"Psicoterapia",F548&lt;&gt;"Otros")),"Tipo o categoría inválido",IF(COUNTA(A548:J548)=0,"",IF(OR(A548="",B548="",C548="",G548=""),"Faltan datos",IF(COUNTIF($A$7:$A$2006,A548)&gt;1,"ID duplicado",IF(OR(B548&lt;DATE(Configuración!$C$5,1,1),B548&gt;=DATE(Configuración!$C$5+1,1,1)),"Fecha fuera del año",IF(OR(G548&lt;0,H548&lt;0),"Revisar signo",IF(AND(C548&lt;&gt;"Servicio",H548&lt;&gt;0),"IVA solo en Servicio",IF(AND(C548="Servicio",F548=""),"Falta servicio","OK")))))))))</f>
        <v/>
      </c>
    </row>
    <row r="549" spans="1:12" ht="22" customHeight="1">
      <c r="A549" s="3"/>
      <c r="B549" s="7"/>
      <c r="C549" s="3"/>
      <c r="D549" s="3"/>
      <c r="E549" s="3"/>
      <c r="F549" s="3"/>
      <c r="G549" s="4"/>
      <c r="H549" s="4"/>
      <c r="I549" s="3"/>
      <c r="J549" s="3"/>
      <c r="K549" s="8" t="str">
        <f t="shared" si="8"/>
        <v/>
      </c>
      <c r="L549" s="1" t="str">
        <f>IF(COUNTA(A549:J549)=0,"",IF(OR(AND(C549&lt;&gt;"Servicio",C549&lt;&gt;"Cobro",C549&lt;&gt;"Anticipo",C549&lt;&gt;"Aplicación anticipo",C549&lt;&gt;"Retención ISR",C549&lt;&gt;"Retención IVA"),AND(C549="Servicio",F549&lt;&gt;"TMS",F549&lt;&gt;"Valoración",F549&lt;&gt;"EEG",F549&lt;&gt;"Neurofeedback",F549&lt;&gt;"Fotobiomodulación",F549&lt;&gt;"Psicoterapia",F549&lt;&gt;"Otros")),"Tipo o categoría inválido",IF(COUNTA(A549:J549)=0,"",IF(OR(A549="",B549="",C549="",G549=""),"Faltan datos",IF(COUNTIF($A$7:$A$2006,A549)&gt;1,"ID duplicado",IF(OR(B549&lt;DATE(Configuración!$C$5,1,1),B549&gt;=DATE(Configuración!$C$5+1,1,1)),"Fecha fuera del año",IF(OR(G549&lt;0,H549&lt;0),"Revisar signo",IF(AND(C549&lt;&gt;"Servicio",H549&lt;&gt;0),"IVA solo en Servicio",IF(AND(C549="Servicio",F549=""),"Falta servicio","OK")))))))))</f>
        <v/>
      </c>
    </row>
    <row r="550" spans="1:12" ht="22" customHeight="1">
      <c r="A550" s="3"/>
      <c r="B550" s="7"/>
      <c r="C550" s="3"/>
      <c r="D550" s="3"/>
      <c r="E550" s="3"/>
      <c r="F550" s="3"/>
      <c r="G550" s="4"/>
      <c r="H550" s="4"/>
      <c r="I550" s="3"/>
      <c r="J550" s="3"/>
      <c r="K550" s="8" t="str">
        <f t="shared" si="8"/>
        <v/>
      </c>
      <c r="L550" s="1" t="str">
        <f>IF(COUNTA(A550:J550)=0,"",IF(OR(AND(C550&lt;&gt;"Servicio",C550&lt;&gt;"Cobro",C550&lt;&gt;"Anticipo",C550&lt;&gt;"Aplicación anticipo",C550&lt;&gt;"Retención ISR",C550&lt;&gt;"Retención IVA"),AND(C550="Servicio",F550&lt;&gt;"TMS",F550&lt;&gt;"Valoración",F550&lt;&gt;"EEG",F550&lt;&gt;"Neurofeedback",F550&lt;&gt;"Fotobiomodulación",F550&lt;&gt;"Psicoterapia",F550&lt;&gt;"Otros")),"Tipo o categoría inválido",IF(COUNTA(A550:J550)=0,"",IF(OR(A550="",B550="",C550="",G550=""),"Faltan datos",IF(COUNTIF($A$7:$A$2006,A550)&gt;1,"ID duplicado",IF(OR(B550&lt;DATE(Configuración!$C$5,1,1),B550&gt;=DATE(Configuración!$C$5+1,1,1)),"Fecha fuera del año",IF(OR(G550&lt;0,H550&lt;0),"Revisar signo",IF(AND(C550&lt;&gt;"Servicio",H550&lt;&gt;0),"IVA solo en Servicio",IF(AND(C550="Servicio",F550=""),"Falta servicio","OK")))))))))</f>
        <v/>
      </c>
    </row>
    <row r="551" spans="1:12" ht="22" customHeight="1">
      <c r="A551" s="3"/>
      <c r="B551" s="7"/>
      <c r="C551" s="3"/>
      <c r="D551" s="3"/>
      <c r="E551" s="3"/>
      <c r="F551" s="3"/>
      <c r="G551" s="4"/>
      <c r="H551" s="4"/>
      <c r="I551" s="3"/>
      <c r="J551" s="3"/>
      <c r="K551" s="8" t="str">
        <f t="shared" si="8"/>
        <v/>
      </c>
      <c r="L551" s="1" t="str">
        <f>IF(COUNTA(A551:J551)=0,"",IF(OR(AND(C551&lt;&gt;"Servicio",C551&lt;&gt;"Cobro",C551&lt;&gt;"Anticipo",C551&lt;&gt;"Aplicación anticipo",C551&lt;&gt;"Retención ISR",C551&lt;&gt;"Retención IVA"),AND(C551="Servicio",F551&lt;&gt;"TMS",F551&lt;&gt;"Valoración",F551&lt;&gt;"EEG",F551&lt;&gt;"Neurofeedback",F551&lt;&gt;"Fotobiomodulación",F551&lt;&gt;"Psicoterapia",F551&lt;&gt;"Otros")),"Tipo o categoría inválido",IF(COUNTA(A551:J551)=0,"",IF(OR(A551="",B551="",C551="",G551=""),"Faltan datos",IF(COUNTIF($A$7:$A$2006,A551)&gt;1,"ID duplicado",IF(OR(B551&lt;DATE(Configuración!$C$5,1,1),B551&gt;=DATE(Configuración!$C$5+1,1,1)),"Fecha fuera del año",IF(OR(G551&lt;0,H551&lt;0),"Revisar signo",IF(AND(C551&lt;&gt;"Servicio",H551&lt;&gt;0),"IVA solo en Servicio",IF(AND(C551="Servicio",F551=""),"Falta servicio","OK")))))))))</f>
        <v/>
      </c>
    </row>
    <row r="552" spans="1:12" ht="22" customHeight="1">
      <c r="A552" s="3"/>
      <c r="B552" s="7"/>
      <c r="C552" s="3"/>
      <c r="D552" s="3"/>
      <c r="E552" s="3"/>
      <c r="F552" s="3"/>
      <c r="G552" s="4"/>
      <c r="H552" s="4"/>
      <c r="I552" s="3"/>
      <c r="J552" s="3"/>
      <c r="K552" s="8" t="str">
        <f t="shared" si="8"/>
        <v/>
      </c>
      <c r="L552" s="1" t="str">
        <f>IF(COUNTA(A552:J552)=0,"",IF(OR(AND(C552&lt;&gt;"Servicio",C552&lt;&gt;"Cobro",C552&lt;&gt;"Anticipo",C552&lt;&gt;"Aplicación anticipo",C552&lt;&gt;"Retención ISR",C552&lt;&gt;"Retención IVA"),AND(C552="Servicio",F552&lt;&gt;"TMS",F552&lt;&gt;"Valoración",F552&lt;&gt;"EEG",F552&lt;&gt;"Neurofeedback",F552&lt;&gt;"Fotobiomodulación",F552&lt;&gt;"Psicoterapia",F552&lt;&gt;"Otros")),"Tipo o categoría inválido",IF(COUNTA(A552:J552)=0,"",IF(OR(A552="",B552="",C552="",G552=""),"Faltan datos",IF(COUNTIF($A$7:$A$2006,A552)&gt;1,"ID duplicado",IF(OR(B552&lt;DATE(Configuración!$C$5,1,1),B552&gt;=DATE(Configuración!$C$5+1,1,1)),"Fecha fuera del año",IF(OR(G552&lt;0,H552&lt;0),"Revisar signo",IF(AND(C552&lt;&gt;"Servicio",H552&lt;&gt;0),"IVA solo en Servicio",IF(AND(C552="Servicio",F552=""),"Falta servicio","OK")))))))))</f>
        <v/>
      </c>
    </row>
    <row r="553" spans="1:12" ht="22" customHeight="1">
      <c r="A553" s="3"/>
      <c r="B553" s="7"/>
      <c r="C553" s="3"/>
      <c r="D553" s="3"/>
      <c r="E553" s="3"/>
      <c r="F553" s="3"/>
      <c r="G553" s="4"/>
      <c r="H553" s="4"/>
      <c r="I553" s="3"/>
      <c r="J553" s="3"/>
      <c r="K553" s="8" t="str">
        <f t="shared" si="8"/>
        <v/>
      </c>
      <c r="L553" s="1" t="str">
        <f>IF(COUNTA(A553:J553)=0,"",IF(OR(AND(C553&lt;&gt;"Servicio",C553&lt;&gt;"Cobro",C553&lt;&gt;"Anticipo",C553&lt;&gt;"Aplicación anticipo",C553&lt;&gt;"Retención ISR",C553&lt;&gt;"Retención IVA"),AND(C553="Servicio",F553&lt;&gt;"TMS",F553&lt;&gt;"Valoración",F553&lt;&gt;"EEG",F553&lt;&gt;"Neurofeedback",F553&lt;&gt;"Fotobiomodulación",F553&lt;&gt;"Psicoterapia",F553&lt;&gt;"Otros")),"Tipo o categoría inválido",IF(COUNTA(A553:J553)=0,"",IF(OR(A553="",B553="",C553="",G553=""),"Faltan datos",IF(COUNTIF($A$7:$A$2006,A553)&gt;1,"ID duplicado",IF(OR(B553&lt;DATE(Configuración!$C$5,1,1),B553&gt;=DATE(Configuración!$C$5+1,1,1)),"Fecha fuera del año",IF(OR(G553&lt;0,H553&lt;0),"Revisar signo",IF(AND(C553&lt;&gt;"Servicio",H553&lt;&gt;0),"IVA solo en Servicio",IF(AND(C553="Servicio",F553=""),"Falta servicio","OK")))))))))</f>
        <v/>
      </c>
    </row>
    <row r="554" spans="1:12" ht="22" customHeight="1">
      <c r="A554" s="3"/>
      <c r="B554" s="7"/>
      <c r="C554" s="3"/>
      <c r="D554" s="3"/>
      <c r="E554" s="3"/>
      <c r="F554" s="3"/>
      <c r="G554" s="4"/>
      <c r="H554" s="4"/>
      <c r="I554" s="3"/>
      <c r="J554" s="3"/>
      <c r="K554" s="8" t="str">
        <f t="shared" si="8"/>
        <v/>
      </c>
      <c r="L554" s="1" t="str">
        <f>IF(COUNTA(A554:J554)=0,"",IF(OR(AND(C554&lt;&gt;"Servicio",C554&lt;&gt;"Cobro",C554&lt;&gt;"Anticipo",C554&lt;&gt;"Aplicación anticipo",C554&lt;&gt;"Retención ISR",C554&lt;&gt;"Retención IVA"),AND(C554="Servicio",F554&lt;&gt;"TMS",F554&lt;&gt;"Valoración",F554&lt;&gt;"EEG",F554&lt;&gt;"Neurofeedback",F554&lt;&gt;"Fotobiomodulación",F554&lt;&gt;"Psicoterapia",F554&lt;&gt;"Otros")),"Tipo o categoría inválido",IF(COUNTA(A554:J554)=0,"",IF(OR(A554="",B554="",C554="",G554=""),"Faltan datos",IF(COUNTIF($A$7:$A$2006,A554)&gt;1,"ID duplicado",IF(OR(B554&lt;DATE(Configuración!$C$5,1,1),B554&gt;=DATE(Configuración!$C$5+1,1,1)),"Fecha fuera del año",IF(OR(G554&lt;0,H554&lt;0),"Revisar signo",IF(AND(C554&lt;&gt;"Servicio",H554&lt;&gt;0),"IVA solo en Servicio",IF(AND(C554="Servicio",F554=""),"Falta servicio","OK")))))))))</f>
        <v/>
      </c>
    </row>
    <row r="555" spans="1:12" ht="22" customHeight="1">
      <c r="A555" s="3"/>
      <c r="B555" s="7"/>
      <c r="C555" s="3"/>
      <c r="D555" s="3"/>
      <c r="E555" s="3"/>
      <c r="F555" s="3"/>
      <c r="G555" s="4"/>
      <c r="H555" s="4"/>
      <c r="I555" s="3"/>
      <c r="J555" s="3"/>
      <c r="K555" s="8" t="str">
        <f t="shared" si="8"/>
        <v/>
      </c>
      <c r="L555" s="1" t="str">
        <f>IF(COUNTA(A555:J555)=0,"",IF(OR(AND(C555&lt;&gt;"Servicio",C555&lt;&gt;"Cobro",C555&lt;&gt;"Anticipo",C555&lt;&gt;"Aplicación anticipo",C555&lt;&gt;"Retención ISR",C555&lt;&gt;"Retención IVA"),AND(C555="Servicio",F555&lt;&gt;"TMS",F555&lt;&gt;"Valoración",F555&lt;&gt;"EEG",F555&lt;&gt;"Neurofeedback",F555&lt;&gt;"Fotobiomodulación",F555&lt;&gt;"Psicoterapia",F555&lt;&gt;"Otros")),"Tipo o categoría inválido",IF(COUNTA(A555:J555)=0,"",IF(OR(A555="",B555="",C555="",G555=""),"Faltan datos",IF(COUNTIF($A$7:$A$2006,A555)&gt;1,"ID duplicado",IF(OR(B555&lt;DATE(Configuración!$C$5,1,1),B555&gt;=DATE(Configuración!$C$5+1,1,1)),"Fecha fuera del año",IF(OR(G555&lt;0,H555&lt;0),"Revisar signo",IF(AND(C555&lt;&gt;"Servicio",H555&lt;&gt;0),"IVA solo en Servicio",IF(AND(C555="Servicio",F555=""),"Falta servicio","OK")))))))))</f>
        <v/>
      </c>
    </row>
    <row r="556" spans="1:12" ht="22" customHeight="1">
      <c r="A556" s="3"/>
      <c r="B556" s="7"/>
      <c r="C556" s="3"/>
      <c r="D556" s="3"/>
      <c r="E556" s="3"/>
      <c r="F556" s="3"/>
      <c r="G556" s="4"/>
      <c r="H556" s="4"/>
      <c r="I556" s="3"/>
      <c r="J556" s="3"/>
      <c r="K556" s="8" t="str">
        <f t="shared" si="8"/>
        <v/>
      </c>
      <c r="L556" s="1" t="str">
        <f>IF(COUNTA(A556:J556)=0,"",IF(OR(AND(C556&lt;&gt;"Servicio",C556&lt;&gt;"Cobro",C556&lt;&gt;"Anticipo",C556&lt;&gt;"Aplicación anticipo",C556&lt;&gt;"Retención ISR",C556&lt;&gt;"Retención IVA"),AND(C556="Servicio",F556&lt;&gt;"TMS",F556&lt;&gt;"Valoración",F556&lt;&gt;"EEG",F556&lt;&gt;"Neurofeedback",F556&lt;&gt;"Fotobiomodulación",F556&lt;&gt;"Psicoterapia",F556&lt;&gt;"Otros")),"Tipo o categoría inválido",IF(COUNTA(A556:J556)=0,"",IF(OR(A556="",B556="",C556="",G556=""),"Faltan datos",IF(COUNTIF($A$7:$A$2006,A556)&gt;1,"ID duplicado",IF(OR(B556&lt;DATE(Configuración!$C$5,1,1),B556&gt;=DATE(Configuración!$C$5+1,1,1)),"Fecha fuera del año",IF(OR(G556&lt;0,H556&lt;0),"Revisar signo",IF(AND(C556&lt;&gt;"Servicio",H556&lt;&gt;0),"IVA solo en Servicio",IF(AND(C556="Servicio",F556=""),"Falta servicio","OK")))))))))</f>
        <v/>
      </c>
    </row>
    <row r="557" spans="1:12" ht="22" customHeight="1">
      <c r="A557" s="3"/>
      <c r="B557" s="7"/>
      <c r="C557" s="3"/>
      <c r="D557" s="3"/>
      <c r="E557" s="3"/>
      <c r="F557" s="3"/>
      <c r="G557" s="4"/>
      <c r="H557" s="4"/>
      <c r="I557" s="3"/>
      <c r="J557" s="3"/>
      <c r="K557" s="8" t="str">
        <f t="shared" si="8"/>
        <v/>
      </c>
      <c r="L557" s="1" t="str">
        <f>IF(COUNTA(A557:J557)=0,"",IF(OR(AND(C557&lt;&gt;"Servicio",C557&lt;&gt;"Cobro",C557&lt;&gt;"Anticipo",C557&lt;&gt;"Aplicación anticipo",C557&lt;&gt;"Retención ISR",C557&lt;&gt;"Retención IVA"),AND(C557="Servicio",F557&lt;&gt;"TMS",F557&lt;&gt;"Valoración",F557&lt;&gt;"EEG",F557&lt;&gt;"Neurofeedback",F557&lt;&gt;"Fotobiomodulación",F557&lt;&gt;"Psicoterapia",F557&lt;&gt;"Otros")),"Tipo o categoría inválido",IF(COUNTA(A557:J557)=0,"",IF(OR(A557="",B557="",C557="",G557=""),"Faltan datos",IF(COUNTIF($A$7:$A$2006,A557)&gt;1,"ID duplicado",IF(OR(B557&lt;DATE(Configuración!$C$5,1,1),B557&gt;=DATE(Configuración!$C$5+1,1,1)),"Fecha fuera del año",IF(OR(G557&lt;0,H557&lt;0),"Revisar signo",IF(AND(C557&lt;&gt;"Servicio",H557&lt;&gt;0),"IVA solo en Servicio",IF(AND(C557="Servicio",F557=""),"Falta servicio","OK")))))))))</f>
        <v/>
      </c>
    </row>
    <row r="558" spans="1:12" ht="22" customHeight="1">
      <c r="A558" s="3"/>
      <c r="B558" s="7"/>
      <c r="C558" s="3"/>
      <c r="D558" s="3"/>
      <c r="E558" s="3"/>
      <c r="F558" s="3"/>
      <c r="G558" s="4"/>
      <c r="H558" s="4"/>
      <c r="I558" s="3"/>
      <c r="J558" s="3"/>
      <c r="K558" s="8" t="str">
        <f t="shared" si="8"/>
        <v/>
      </c>
      <c r="L558" s="1" t="str">
        <f>IF(COUNTA(A558:J558)=0,"",IF(OR(AND(C558&lt;&gt;"Servicio",C558&lt;&gt;"Cobro",C558&lt;&gt;"Anticipo",C558&lt;&gt;"Aplicación anticipo",C558&lt;&gt;"Retención ISR",C558&lt;&gt;"Retención IVA"),AND(C558="Servicio",F558&lt;&gt;"TMS",F558&lt;&gt;"Valoración",F558&lt;&gt;"EEG",F558&lt;&gt;"Neurofeedback",F558&lt;&gt;"Fotobiomodulación",F558&lt;&gt;"Psicoterapia",F558&lt;&gt;"Otros")),"Tipo o categoría inválido",IF(COUNTA(A558:J558)=0,"",IF(OR(A558="",B558="",C558="",G558=""),"Faltan datos",IF(COUNTIF($A$7:$A$2006,A558)&gt;1,"ID duplicado",IF(OR(B558&lt;DATE(Configuración!$C$5,1,1),B558&gt;=DATE(Configuración!$C$5+1,1,1)),"Fecha fuera del año",IF(OR(G558&lt;0,H558&lt;0),"Revisar signo",IF(AND(C558&lt;&gt;"Servicio",H558&lt;&gt;0),"IVA solo en Servicio",IF(AND(C558="Servicio",F558=""),"Falta servicio","OK")))))))))</f>
        <v/>
      </c>
    </row>
    <row r="559" spans="1:12" ht="22" customHeight="1">
      <c r="A559" s="3"/>
      <c r="B559" s="7"/>
      <c r="C559" s="3"/>
      <c r="D559" s="3"/>
      <c r="E559" s="3"/>
      <c r="F559" s="3"/>
      <c r="G559" s="4"/>
      <c r="H559" s="4"/>
      <c r="I559" s="3"/>
      <c r="J559" s="3"/>
      <c r="K559" s="8" t="str">
        <f t="shared" si="8"/>
        <v/>
      </c>
      <c r="L559" s="1" t="str">
        <f>IF(COUNTA(A559:J559)=0,"",IF(OR(AND(C559&lt;&gt;"Servicio",C559&lt;&gt;"Cobro",C559&lt;&gt;"Anticipo",C559&lt;&gt;"Aplicación anticipo",C559&lt;&gt;"Retención ISR",C559&lt;&gt;"Retención IVA"),AND(C559="Servicio",F559&lt;&gt;"TMS",F559&lt;&gt;"Valoración",F559&lt;&gt;"EEG",F559&lt;&gt;"Neurofeedback",F559&lt;&gt;"Fotobiomodulación",F559&lt;&gt;"Psicoterapia",F559&lt;&gt;"Otros")),"Tipo o categoría inválido",IF(COUNTA(A559:J559)=0,"",IF(OR(A559="",B559="",C559="",G559=""),"Faltan datos",IF(COUNTIF($A$7:$A$2006,A559)&gt;1,"ID duplicado",IF(OR(B559&lt;DATE(Configuración!$C$5,1,1),B559&gt;=DATE(Configuración!$C$5+1,1,1)),"Fecha fuera del año",IF(OR(G559&lt;0,H559&lt;0),"Revisar signo",IF(AND(C559&lt;&gt;"Servicio",H559&lt;&gt;0),"IVA solo en Servicio",IF(AND(C559="Servicio",F559=""),"Falta servicio","OK")))))))))</f>
        <v/>
      </c>
    </row>
    <row r="560" spans="1:12" ht="22" customHeight="1">
      <c r="A560" s="3"/>
      <c r="B560" s="7"/>
      <c r="C560" s="3"/>
      <c r="D560" s="3"/>
      <c r="E560" s="3"/>
      <c r="F560" s="3"/>
      <c r="G560" s="4"/>
      <c r="H560" s="4"/>
      <c r="I560" s="3"/>
      <c r="J560" s="3"/>
      <c r="K560" s="8" t="str">
        <f t="shared" si="8"/>
        <v/>
      </c>
      <c r="L560" s="1" t="str">
        <f>IF(COUNTA(A560:J560)=0,"",IF(OR(AND(C560&lt;&gt;"Servicio",C560&lt;&gt;"Cobro",C560&lt;&gt;"Anticipo",C560&lt;&gt;"Aplicación anticipo",C560&lt;&gt;"Retención ISR",C560&lt;&gt;"Retención IVA"),AND(C560="Servicio",F560&lt;&gt;"TMS",F560&lt;&gt;"Valoración",F560&lt;&gt;"EEG",F560&lt;&gt;"Neurofeedback",F560&lt;&gt;"Fotobiomodulación",F560&lt;&gt;"Psicoterapia",F560&lt;&gt;"Otros")),"Tipo o categoría inválido",IF(COUNTA(A560:J560)=0,"",IF(OR(A560="",B560="",C560="",G560=""),"Faltan datos",IF(COUNTIF($A$7:$A$2006,A560)&gt;1,"ID duplicado",IF(OR(B560&lt;DATE(Configuración!$C$5,1,1),B560&gt;=DATE(Configuración!$C$5+1,1,1)),"Fecha fuera del año",IF(OR(G560&lt;0,H560&lt;0),"Revisar signo",IF(AND(C560&lt;&gt;"Servicio",H560&lt;&gt;0),"IVA solo en Servicio",IF(AND(C560="Servicio",F560=""),"Falta servicio","OK")))))))))</f>
        <v/>
      </c>
    </row>
    <row r="561" spans="1:12" ht="22" customHeight="1">
      <c r="A561" s="3"/>
      <c r="B561" s="7"/>
      <c r="C561" s="3"/>
      <c r="D561" s="3"/>
      <c r="E561" s="3"/>
      <c r="F561" s="3"/>
      <c r="G561" s="4"/>
      <c r="H561" s="4"/>
      <c r="I561" s="3"/>
      <c r="J561" s="3"/>
      <c r="K561" s="8" t="str">
        <f t="shared" si="8"/>
        <v/>
      </c>
      <c r="L561" s="1" t="str">
        <f>IF(COUNTA(A561:J561)=0,"",IF(OR(AND(C561&lt;&gt;"Servicio",C561&lt;&gt;"Cobro",C561&lt;&gt;"Anticipo",C561&lt;&gt;"Aplicación anticipo",C561&lt;&gt;"Retención ISR",C561&lt;&gt;"Retención IVA"),AND(C561="Servicio",F561&lt;&gt;"TMS",F561&lt;&gt;"Valoración",F561&lt;&gt;"EEG",F561&lt;&gt;"Neurofeedback",F561&lt;&gt;"Fotobiomodulación",F561&lt;&gt;"Psicoterapia",F561&lt;&gt;"Otros")),"Tipo o categoría inválido",IF(COUNTA(A561:J561)=0,"",IF(OR(A561="",B561="",C561="",G561=""),"Faltan datos",IF(COUNTIF($A$7:$A$2006,A561)&gt;1,"ID duplicado",IF(OR(B561&lt;DATE(Configuración!$C$5,1,1),B561&gt;=DATE(Configuración!$C$5+1,1,1)),"Fecha fuera del año",IF(OR(G561&lt;0,H561&lt;0),"Revisar signo",IF(AND(C561&lt;&gt;"Servicio",H561&lt;&gt;0),"IVA solo en Servicio",IF(AND(C561="Servicio",F561=""),"Falta servicio","OK")))))))))</f>
        <v/>
      </c>
    </row>
    <row r="562" spans="1:12" ht="22" customHeight="1">
      <c r="A562" s="3"/>
      <c r="B562" s="7"/>
      <c r="C562" s="3"/>
      <c r="D562" s="3"/>
      <c r="E562" s="3"/>
      <c r="F562" s="3"/>
      <c r="G562" s="4"/>
      <c r="H562" s="4"/>
      <c r="I562" s="3"/>
      <c r="J562" s="3"/>
      <c r="K562" s="8" t="str">
        <f t="shared" si="8"/>
        <v/>
      </c>
      <c r="L562" s="1" t="str">
        <f>IF(COUNTA(A562:J562)=0,"",IF(OR(AND(C562&lt;&gt;"Servicio",C562&lt;&gt;"Cobro",C562&lt;&gt;"Anticipo",C562&lt;&gt;"Aplicación anticipo",C562&lt;&gt;"Retención ISR",C562&lt;&gt;"Retención IVA"),AND(C562="Servicio",F562&lt;&gt;"TMS",F562&lt;&gt;"Valoración",F562&lt;&gt;"EEG",F562&lt;&gt;"Neurofeedback",F562&lt;&gt;"Fotobiomodulación",F562&lt;&gt;"Psicoterapia",F562&lt;&gt;"Otros")),"Tipo o categoría inválido",IF(COUNTA(A562:J562)=0,"",IF(OR(A562="",B562="",C562="",G562=""),"Faltan datos",IF(COUNTIF($A$7:$A$2006,A562)&gt;1,"ID duplicado",IF(OR(B562&lt;DATE(Configuración!$C$5,1,1),B562&gt;=DATE(Configuración!$C$5+1,1,1)),"Fecha fuera del año",IF(OR(G562&lt;0,H562&lt;0),"Revisar signo",IF(AND(C562&lt;&gt;"Servicio",H562&lt;&gt;0),"IVA solo en Servicio",IF(AND(C562="Servicio",F562=""),"Falta servicio","OK")))))))))</f>
        <v/>
      </c>
    </row>
    <row r="563" spans="1:12" ht="22" customHeight="1">
      <c r="A563" s="3"/>
      <c r="B563" s="7"/>
      <c r="C563" s="3"/>
      <c r="D563" s="3"/>
      <c r="E563" s="3"/>
      <c r="F563" s="3"/>
      <c r="G563" s="4"/>
      <c r="H563" s="4"/>
      <c r="I563" s="3"/>
      <c r="J563" s="3"/>
      <c r="K563" s="8" t="str">
        <f t="shared" si="8"/>
        <v/>
      </c>
      <c r="L563" s="1" t="str">
        <f>IF(COUNTA(A563:J563)=0,"",IF(OR(AND(C563&lt;&gt;"Servicio",C563&lt;&gt;"Cobro",C563&lt;&gt;"Anticipo",C563&lt;&gt;"Aplicación anticipo",C563&lt;&gt;"Retención ISR",C563&lt;&gt;"Retención IVA"),AND(C563="Servicio",F563&lt;&gt;"TMS",F563&lt;&gt;"Valoración",F563&lt;&gt;"EEG",F563&lt;&gt;"Neurofeedback",F563&lt;&gt;"Fotobiomodulación",F563&lt;&gt;"Psicoterapia",F563&lt;&gt;"Otros")),"Tipo o categoría inválido",IF(COUNTA(A563:J563)=0,"",IF(OR(A563="",B563="",C563="",G563=""),"Faltan datos",IF(COUNTIF($A$7:$A$2006,A563)&gt;1,"ID duplicado",IF(OR(B563&lt;DATE(Configuración!$C$5,1,1),B563&gt;=DATE(Configuración!$C$5+1,1,1)),"Fecha fuera del año",IF(OR(G563&lt;0,H563&lt;0),"Revisar signo",IF(AND(C563&lt;&gt;"Servicio",H563&lt;&gt;0),"IVA solo en Servicio",IF(AND(C563="Servicio",F563=""),"Falta servicio","OK")))))))))</f>
        <v/>
      </c>
    </row>
    <row r="564" spans="1:12" ht="22" customHeight="1">
      <c r="A564" s="3"/>
      <c r="B564" s="7"/>
      <c r="C564" s="3"/>
      <c r="D564" s="3"/>
      <c r="E564" s="3"/>
      <c r="F564" s="3"/>
      <c r="G564" s="4"/>
      <c r="H564" s="4"/>
      <c r="I564" s="3"/>
      <c r="J564" s="3"/>
      <c r="K564" s="8" t="str">
        <f t="shared" si="8"/>
        <v/>
      </c>
      <c r="L564" s="1" t="str">
        <f>IF(COUNTA(A564:J564)=0,"",IF(OR(AND(C564&lt;&gt;"Servicio",C564&lt;&gt;"Cobro",C564&lt;&gt;"Anticipo",C564&lt;&gt;"Aplicación anticipo",C564&lt;&gt;"Retención ISR",C564&lt;&gt;"Retención IVA"),AND(C564="Servicio",F564&lt;&gt;"TMS",F564&lt;&gt;"Valoración",F564&lt;&gt;"EEG",F564&lt;&gt;"Neurofeedback",F564&lt;&gt;"Fotobiomodulación",F564&lt;&gt;"Psicoterapia",F564&lt;&gt;"Otros")),"Tipo o categoría inválido",IF(COUNTA(A564:J564)=0,"",IF(OR(A564="",B564="",C564="",G564=""),"Faltan datos",IF(COUNTIF($A$7:$A$2006,A564)&gt;1,"ID duplicado",IF(OR(B564&lt;DATE(Configuración!$C$5,1,1),B564&gt;=DATE(Configuración!$C$5+1,1,1)),"Fecha fuera del año",IF(OR(G564&lt;0,H564&lt;0),"Revisar signo",IF(AND(C564&lt;&gt;"Servicio",H564&lt;&gt;0),"IVA solo en Servicio",IF(AND(C564="Servicio",F564=""),"Falta servicio","OK")))))))))</f>
        <v/>
      </c>
    </row>
    <row r="565" spans="1:12" ht="22" customHeight="1">
      <c r="A565" s="3"/>
      <c r="B565" s="7"/>
      <c r="C565" s="3"/>
      <c r="D565" s="3"/>
      <c r="E565" s="3"/>
      <c r="F565" s="3"/>
      <c r="G565" s="4"/>
      <c r="H565" s="4"/>
      <c r="I565" s="3"/>
      <c r="J565" s="3"/>
      <c r="K565" s="8" t="str">
        <f t="shared" si="8"/>
        <v/>
      </c>
      <c r="L565" s="1" t="str">
        <f>IF(COUNTA(A565:J565)=0,"",IF(OR(AND(C565&lt;&gt;"Servicio",C565&lt;&gt;"Cobro",C565&lt;&gt;"Anticipo",C565&lt;&gt;"Aplicación anticipo",C565&lt;&gt;"Retención ISR",C565&lt;&gt;"Retención IVA"),AND(C565="Servicio",F565&lt;&gt;"TMS",F565&lt;&gt;"Valoración",F565&lt;&gt;"EEG",F565&lt;&gt;"Neurofeedback",F565&lt;&gt;"Fotobiomodulación",F565&lt;&gt;"Psicoterapia",F565&lt;&gt;"Otros")),"Tipo o categoría inválido",IF(COUNTA(A565:J565)=0,"",IF(OR(A565="",B565="",C565="",G565=""),"Faltan datos",IF(COUNTIF($A$7:$A$2006,A565)&gt;1,"ID duplicado",IF(OR(B565&lt;DATE(Configuración!$C$5,1,1),B565&gt;=DATE(Configuración!$C$5+1,1,1)),"Fecha fuera del año",IF(OR(G565&lt;0,H565&lt;0),"Revisar signo",IF(AND(C565&lt;&gt;"Servicio",H565&lt;&gt;0),"IVA solo en Servicio",IF(AND(C565="Servicio",F565=""),"Falta servicio","OK")))))))))</f>
        <v/>
      </c>
    </row>
    <row r="566" spans="1:12" ht="22" customHeight="1">
      <c r="A566" s="3"/>
      <c r="B566" s="7"/>
      <c r="C566" s="3"/>
      <c r="D566" s="3"/>
      <c r="E566" s="3"/>
      <c r="F566" s="3"/>
      <c r="G566" s="4"/>
      <c r="H566" s="4"/>
      <c r="I566" s="3"/>
      <c r="J566" s="3"/>
      <c r="K566" s="8" t="str">
        <f t="shared" si="8"/>
        <v/>
      </c>
      <c r="L566" s="1" t="str">
        <f>IF(COUNTA(A566:J566)=0,"",IF(OR(AND(C566&lt;&gt;"Servicio",C566&lt;&gt;"Cobro",C566&lt;&gt;"Anticipo",C566&lt;&gt;"Aplicación anticipo",C566&lt;&gt;"Retención ISR",C566&lt;&gt;"Retención IVA"),AND(C566="Servicio",F566&lt;&gt;"TMS",F566&lt;&gt;"Valoración",F566&lt;&gt;"EEG",F566&lt;&gt;"Neurofeedback",F566&lt;&gt;"Fotobiomodulación",F566&lt;&gt;"Psicoterapia",F566&lt;&gt;"Otros")),"Tipo o categoría inválido",IF(COUNTA(A566:J566)=0,"",IF(OR(A566="",B566="",C566="",G566=""),"Faltan datos",IF(COUNTIF($A$7:$A$2006,A566)&gt;1,"ID duplicado",IF(OR(B566&lt;DATE(Configuración!$C$5,1,1),B566&gt;=DATE(Configuración!$C$5+1,1,1)),"Fecha fuera del año",IF(OR(G566&lt;0,H566&lt;0),"Revisar signo",IF(AND(C566&lt;&gt;"Servicio",H566&lt;&gt;0),"IVA solo en Servicio",IF(AND(C566="Servicio",F566=""),"Falta servicio","OK")))))))))</f>
        <v/>
      </c>
    </row>
    <row r="567" spans="1:12" ht="22" customHeight="1">
      <c r="A567" s="3"/>
      <c r="B567" s="7"/>
      <c r="C567" s="3"/>
      <c r="D567" s="3"/>
      <c r="E567" s="3"/>
      <c r="F567" s="3"/>
      <c r="G567" s="4"/>
      <c r="H567" s="4"/>
      <c r="I567" s="3"/>
      <c r="J567" s="3"/>
      <c r="K567" s="8" t="str">
        <f t="shared" si="8"/>
        <v/>
      </c>
      <c r="L567" s="1" t="str">
        <f>IF(COUNTA(A567:J567)=0,"",IF(OR(AND(C567&lt;&gt;"Servicio",C567&lt;&gt;"Cobro",C567&lt;&gt;"Anticipo",C567&lt;&gt;"Aplicación anticipo",C567&lt;&gt;"Retención ISR",C567&lt;&gt;"Retención IVA"),AND(C567="Servicio",F567&lt;&gt;"TMS",F567&lt;&gt;"Valoración",F567&lt;&gt;"EEG",F567&lt;&gt;"Neurofeedback",F567&lt;&gt;"Fotobiomodulación",F567&lt;&gt;"Psicoterapia",F567&lt;&gt;"Otros")),"Tipo o categoría inválido",IF(COUNTA(A567:J567)=0,"",IF(OR(A567="",B567="",C567="",G567=""),"Faltan datos",IF(COUNTIF($A$7:$A$2006,A567)&gt;1,"ID duplicado",IF(OR(B567&lt;DATE(Configuración!$C$5,1,1),B567&gt;=DATE(Configuración!$C$5+1,1,1)),"Fecha fuera del año",IF(OR(G567&lt;0,H567&lt;0),"Revisar signo",IF(AND(C567&lt;&gt;"Servicio",H567&lt;&gt;0),"IVA solo en Servicio",IF(AND(C567="Servicio",F567=""),"Falta servicio","OK")))))))))</f>
        <v/>
      </c>
    </row>
    <row r="568" spans="1:12" ht="22" customHeight="1">
      <c r="A568" s="3"/>
      <c r="B568" s="7"/>
      <c r="C568" s="3"/>
      <c r="D568" s="3"/>
      <c r="E568" s="3"/>
      <c r="F568" s="3"/>
      <c r="G568" s="4"/>
      <c r="H568" s="4"/>
      <c r="I568" s="3"/>
      <c r="J568" s="3"/>
      <c r="K568" s="8" t="str">
        <f t="shared" si="8"/>
        <v/>
      </c>
      <c r="L568" s="1" t="str">
        <f>IF(COUNTA(A568:J568)=0,"",IF(OR(AND(C568&lt;&gt;"Servicio",C568&lt;&gt;"Cobro",C568&lt;&gt;"Anticipo",C568&lt;&gt;"Aplicación anticipo",C568&lt;&gt;"Retención ISR",C568&lt;&gt;"Retención IVA"),AND(C568="Servicio",F568&lt;&gt;"TMS",F568&lt;&gt;"Valoración",F568&lt;&gt;"EEG",F568&lt;&gt;"Neurofeedback",F568&lt;&gt;"Fotobiomodulación",F568&lt;&gt;"Psicoterapia",F568&lt;&gt;"Otros")),"Tipo o categoría inválido",IF(COUNTA(A568:J568)=0,"",IF(OR(A568="",B568="",C568="",G568=""),"Faltan datos",IF(COUNTIF($A$7:$A$2006,A568)&gt;1,"ID duplicado",IF(OR(B568&lt;DATE(Configuración!$C$5,1,1),B568&gt;=DATE(Configuración!$C$5+1,1,1)),"Fecha fuera del año",IF(OR(G568&lt;0,H568&lt;0),"Revisar signo",IF(AND(C568&lt;&gt;"Servicio",H568&lt;&gt;0),"IVA solo en Servicio",IF(AND(C568="Servicio",F568=""),"Falta servicio","OK")))))))))</f>
        <v/>
      </c>
    </row>
    <row r="569" spans="1:12" ht="22" customHeight="1">
      <c r="A569" s="3"/>
      <c r="B569" s="7"/>
      <c r="C569" s="3"/>
      <c r="D569" s="3"/>
      <c r="E569" s="3"/>
      <c r="F569" s="3"/>
      <c r="G569" s="4"/>
      <c r="H569" s="4"/>
      <c r="I569" s="3"/>
      <c r="J569" s="3"/>
      <c r="K569" s="8" t="str">
        <f t="shared" si="8"/>
        <v/>
      </c>
      <c r="L569" s="1" t="str">
        <f>IF(COUNTA(A569:J569)=0,"",IF(OR(AND(C569&lt;&gt;"Servicio",C569&lt;&gt;"Cobro",C569&lt;&gt;"Anticipo",C569&lt;&gt;"Aplicación anticipo",C569&lt;&gt;"Retención ISR",C569&lt;&gt;"Retención IVA"),AND(C569="Servicio",F569&lt;&gt;"TMS",F569&lt;&gt;"Valoración",F569&lt;&gt;"EEG",F569&lt;&gt;"Neurofeedback",F569&lt;&gt;"Fotobiomodulación",F569&lt;&gt;"Psicoterapia",F569&lt;&gt;"Otros")),"Tipo o categoría inválido",IF(COUNTA(A569:J569)=0,"",IF(OR(A569="",B569="",C569="",G569=""),"Faltan datos",IF(COUNTIF($A$7:$A$2006,A569)&gt;1,"ID duplicado",IF(OR(B569&lt;DATE(Configuración!$C$5,1,1),B569&gt;=DATE(Configuración!$C$5+1,1,1)),"Fecha fuera del año",IF(OR(G569&lt;0,H569&lt;0),"Revisar signo",IF(AND(C569&lt;&gt;"Servicio",H569&lt;&gt;0),"IVA solo en Servicio",IF(AND(C569="Servicio",F569=""),"Falta servicio","OK")))))))))</f>
        <v/>
      </c>
    </row>
    <row r="570" spans="1:12" ht="22" customHeight="1">
      <c r="A570" s="3"/>
      <c r="B570" s="7"/>
      <c r="C570" s="3"/>
      <c r="D570" s="3"/>
      <c r="E570" s="3"/>
      <c r="F570" s="3"/>
      <c r="G570" s="4"/>
      <c r="H570" s="4"/>
      <c r="I570" s="3"/>
      <c r="J570" s="3"/>
      <c r="K570" s="8" t="str">
        <f t="shared" si="8"/>
        <v/>
      </c>
      <c r="L570" s="1" t="str">
        <f>IF(COUNTA(A570:J570)=0,"",IF(OR(AND(C570&lt;&gt;"Servicio",C570&lt;&gt;"Cobro",C570&lt;&gt;"Anticipo",C570&lt;&gt;"Aplicación anticipo",C570&lt;&gt;"Retención ISR",C570&lt;&gt;"Retención IVA"),AND(C570="Servicio",F570&lt;&gt;"TMS",F570&lt;&gt;"Valoración",F570&lt;&gt;"EEG",F570&lt;&gt;"Neurofeedback",F570&lt;&gt;"Fotobiomodulación",F570&lt;&gt;"Psicoterapia",F570&lt;&gt;"Otros")),"Tipo o categoría inválido",IF(COUNTA(A570:J570)=0,"",IF(OR(A570="",B570="",C570="",G570=""),"Faltan datos",IF(COUNTIF($A$7:$A$2006,A570)&gt;1,"ID duplicado",IF(OR(B570&lt;DATE(Configuración!$C$5,1,1),B570&gt;=DATE(Configuración!$C$5+1,1,1)),"Fecha fuera del año",IF(OR(G570&lt;0,H570&lt;0),"Revisar signo",IF(AND(C570&lt;&gt;"Servicio",H570&lt;&gt;0),"IVA solo en Servicio",IF(AND(C570="Servicio",F570=""),"Falta servicio","OK")))))))))</f>
        <v/>
      </c>
    </row>
    <row r="571" spans="1:12" ht="22" customHeight="1">
      <c r="A571" s="3"/>
      <c r="B571" s="7"/>
      <c r="C571" s="3"/>
      <c r="D571" s="3"/>
      <c r="E571" s="3"/>
      <c r="F571" s="3"/>
      <c r="G571" s="4"/>
      <c r="H571" s="4"/>
      <c r="I571" s="3"/>
      <c r="J571" s="3"/>
      <c r="K571" s="8" t="str">
        <f t="shared" si="8"/>
        <v/>
      </c>
      <c r="L571" s="1" t="str">
        <f>IF(COUNTA(A571:J571)=0,"",IF(OR(AND(C571&lt;&gt;"Servicio",C571&lt;&gt;"Cobro",C571&lt;&gt;"Anticipo",C571&lt;&gt;"Aplicación anticipo",C571&lt;&gt;"Retención ISR",C571&lt;&gt;"Retención IVA"),AND(C571="Servicio",F571&lt;&gt;"TMS",F571&lt;&gt;"Valoración",F571&lt;&gt;"EEG",F571&lt;&gt;"Neurofeedback",F571&lt;&gt;"Fotobiomodulación",F571&lt;&gt;"Psicoterapia",F571&lt;&gt;"Otros")),"Tipo o categoría inválido",IF(COUNTA(A571:J571)=0,"",IF(OR(A571="",B571="",C571="",G571=""),"Faltan datos",IF(COUNTIF($A$7:$A$2006,A571)&gt;1,"ID duplicado",IF(OR(B571&lt;DATE(Configuración!$C$5,1,1),B571&gt;=DATE(Configuración!$C$5+1,1,1)),"Fecha fuera del año",IF(OR(G571&lt;0,H571&lt;0),"Revisar signo",IF(AND(C571&lt;&gt;"Servicio",H571&lt;&gt;0),"IVA solo en Servicio",IF(AND(C571="Servicio",F571=""),"Falta servicio","OK")))))))))</f>
        <v/>
      </c>
    </row>
    <row r="572" spans="1:12" ht="22" customHeight="1">
      <c r="A572" s="3"/>
      <c r="B572" s="7"/>
      <c r="C572" s="3"/>
      <c r="D572" s="3"/>
      <c r="E572" s="3"/>
      <c r="F572" s="3"/>
      <c r="G572" s="4"/>
      <c r="H572" s="4"/>
      <c r="I572" s="3"/>
      <c r="J572" s="3"/>
      <c r="K572" s="8" t="str">
        <f t="shared" si="8"/>
        <v/>
      </c>
      <c r="L572" s="1" t="str">
        <f>IF(COUNTA(A572:J572)=0,"",IF(OR(AND(C572&lt;&gt;"Servicio",C572&lt;&gt;"Cobro",C572&lt;&gt;"Anticipo",C572&lt;&gt;"Aplicación anticipo",C572&lt;&gt;"Retención ISR",C572&lt;&gt;"Retención IVA"),AND(C572="Servicio",F572&lt;&gt;"TMS",F572&lt;&gt;"Valoración",F572&lt;&gt;"EEG",F572&lt;&gt;"Neurofeedback",F572&lt;&gt;"Fotobiomodulación",F572&lt;&gt;"Psicoterapia",F572&lt;&gt;"Otros")),"Tipo o categoría inválido",IF(COUNTA(A572:J572)=0,"",IF(OR(A572="",B572="",C572="",G572=""),"Faltan datos",IF(COUNTIF($A$7:$A$2006,A572)&gt;1,"ID duplicado",IF(OR(B572&lt;DATE(Configuración!$C$5,1,1),B572&gt;=DATE(Configuración!$C$5+1,1,1)),"Fecha fuera del año",IF(OR(G572&lt;0,H572&lt;0),"Revisar signo",IF(AND(C572&lt;&gt;"Servicio",H572&lt;&gt;0),"IVA solo en Servicio",IF(AND(C572="Servicio",F572=""),"Falta servicio","OK")))))))))</f>
        <v/>
      </c>
    </row>
    <row r="573" spans="1:12" ht="22" customHeight="1">
      <c r="A573" s="3"/>
      <c r="B573" s="7"/>
      <c r="C573" s="3"/>
      <c r="D573" s="3"/>
      <c r="E573" s="3"/>
      <c r="F573" s="3"/>
      <c r="G573" s="4"/>
      <c r="H573" s="4"/>
      <c r="I573" s="3"/>
      <c r="J573" s="3"/>
      <c r="K573" s="8" t="str">
        <f t="shared" si="8"/>
        <v/>
      </c>
      <c r="L573" s="1" t="str">
        <f>IF(COUNTA(A573:J573)=0,"",IF(OR(AND(C573&lt;&gt;"Servicio",C573&lt;&gt;"Cobro",C573&lt;&gt;"Anticipo",C573&lt;&gt;"Aplicación anticipo",C573&lt;&gt;"Retención ISR",C573&lt;&gt;"Retención IVA"),AND(C573="Servicio",F573&lt;&gt;"TMS",F573&lt;&gt;"Valoración",F573&lt;&gt;"EEG",F573&lt;&gt;"Neurofeedback",F573&lt;&gt;"Fotobiomodulación",F573&lt;&gt;"Psicoterapia",F573&lt;&gt;"Otros")),"Tipo o categoría inválido",IF(COUNTA(A573:J573)=0,"",IF(OR(A573="",B573="",C573="",G573=""),"Faltan datos",IF(COUNTIF($A$7:$A$2006,A573)&gt;1,"ID duplicado",IF(OR(B573&lt;DATE(Configuración!$C$5,1,1),B573&gt;=DATE(Configuración!$C$5+1,1,1)),"Fecha fuera del año",IF(OR(G573&lt;0,H573&lt;0),"Revisar signo",IF(AND(C573&lt;&gt;"Servicio",H573&lt;&gt;0),"IVA solo en Servicio",IF(AND(C573="Servicio",F573=""),"Falta servicio","OK")))))))))</f>
        <v/>
      </c>
    </row>
    <row r="574" spans="1:12" ht="22" customHeight="1">
      <c r="A574" s="3"/>
      <c r="B574" s="7"/>
      <c r="C574" s="3"/>
      <c r="D574" s="3"/>
      <c r="E574" s="3"/>
      <c r="F574" s="3"/>
      <c r="G574" s="4"/>
      <c r="H574" s="4"/>
      <c r="I574" s="3"/>
      <c r="J574" s="3"/>
      <c r="K574" s="8" t="str">
        <f t="shared" si="8"/>
        <v/>
      </c>
      <c r="L574" s="1" t="str">
        <f>IF(COUNTA(A574:J574)=0,"",IF(OR(AND(C574&lt;&gt;"Servicio",C574&lt;&gt;"Cobro",C574&lt;&gt;"Anticipo",C574&lt;&gt;"Aplicación anticipo",C574&lt;&gt;"Retención ISR",C574&lt;&gt;"Retención IVA"),AND(C574="Servicio",F574&lt;&gt;"TMS",F574&lt;&gt;"Valoración",F574&lt;&gt;"EEG",F574&lt;&gt;"Neurofeedback",F574&lt;&gt;"Fotobiomodulación",F574&lt;&gt;"Psicoterapia",F574&lt;&gt;"Otros")),"Tipo o categoría inválido",IF(COUNTA(A574:J574)=0,"",IF(OR(A574="",B574="",C574="",G574=""),"Faltan datos",IF(COUNTIF($A$7:$A$2006,A574)&gt;1,"ID duplicado",IF(OR(B574&lt;DATE(Configuración!$C$5,1,1),B574&gt;=DATE(Configuración!$C$5+1,1,1)),"Fecha fuera del año",IF(OR(G574&lt;0,H574&lt;0),"Revisar signo",IF(AND(C574&lt;&gt;"Servicio",H574&lt;&gt;0),"IVA solo en Servicio",IF(AND(C574="Servicio",F574=""),"Falta servicio","OK")))))))))</f>
        <v/>
      </c>
    </row>
    <row r="575" spans="1:12" ht="22" customHeight="1">
      <c r="A575" s="3"/>
      <c r="B575" s="7"/>
      <c r="C575" s="3"/>
      <c r="D575" s="3"/>
      <c r="E575" s="3"/>
      <c r="F575" s="3"/>
      <c r="G575" s="4"/>
      <c r="H575" s="4"/>
      <c r="I575" s="3"/>
      <c r="J575" s="3"/>
      <c r="K575" s="8" t="str">
        <f t="shared" si="8"/>
        <v/>
      </c>
      <c r="L575" s="1" t="str">
        <f>IF(COUNTA(A575:J575)=0,"",IF(OR(AND(C575&lt;&gt;"Servicio",C575&lt;&gt;"Cobro",C575&lt;&gt;"Anticipo",C575&lt;&gt;"Aplicación anticipo",C575&lt;&gt;"Retención ISR",C575&lt;&gt;"Retención IVA"),AND(C575="Servicio",F575&lt;&gt;"TMS",F575&lt;&gt;"Valoración",F575&lt;&gt;"EEG",F575&lt;&gt;"Neurofeedback",F575&lt;&gt;"Fotobiomodulación",F575&lt;&gt;"Psicoterapia",F575&lt;&gt;"Otros")),"Tipo o categoría inválido",IF(COUNTA(A575:J575)=0,"",IF(OR(A575="",B575="",C575="",G575=""),"Faltan datos",IF(COUNTIF($A$7:$A$2006,A575)&gt;1,"ID duplicado",IF(OR(B575&lt;DATE(Configuración!$C$5,1,1),B575&gt;=DATE(Configuración!$C$5+1,1,1)),"Fecha fuera del año",IF(OR(G575&lt;0,H575&lt;0),"Revisar signo",IF(AND(C575&lt;&gt;"Servicio",H575&lt;&gt;0),"IVA solo en Servicio",IF(AND(C575="Servicio",F575=""),"Falta servicio","OK")))))))))</f>
        <v/>
      </c>
    </row>
    <row r="576" spans="1:12" ht="22" customHeight="1">
      <c r="A576" s="3"/>
      <c r="B576" s="7"/>
      <c r="C576" s="3"/>
      <c r="D576" s="3"/>
      <c r="E576" s="3"/>
      <c r="F576" s="3"/>
      <c r="G576" s="4"/>
      <c r="H576" s="4"/>
      <c r="I576" s="3"/>
      <c r="J576" s="3"/>
      <c r="K576" s="8" t="str">
        <f t="shared" si="8"/>
        <v/>
      </c>
      <c r="L576" s="1" t="str">
        <f>IF(COUNTA(A576:J576)=0,"",IF(OR(AND(C576&lt;&gt;"Servicio",C576&lt;&gt;"Cobro",C576&lt;&gt;"Anticipo",C576&lt;&gt;"Aplicación anticipo",C576&lt;&gt;"Retención ISR",C576&lt;&gt;"Retención IVA"),AND(C576="Servicio",F576&lt;&gt;"TMS",F576&lt;&gt;"Valoración",F576&lt;&gt;"EEG",F576&lt;&gt;"Neurofeedback",F576&lt;&gt;"Fotobiomodulación",F576&lt;&gt;"Psicoterapia",F576&lt;&gt;"Otros")),"Tipo o categoría inválido",IF(COUNTA(A576:J576)=0,"",IF(OR(A576="",B576="",C576="",G576=""),"Faltan datos",IF(COUNTIF($A$7:$A$2006,A576)&gt;1,"ID duplicado",IF(OR(B576&lt;DATE(Configuración!$C$5,1,1),B576&gt;=DATE(Configuración!$C$5+1,1,1)),"Fecha fuera del año",IF(OR(G576&lt;0,H576&lt;0),"Revisar signo",IF(AND(C576&lt;&gt;"Servicio",H576&lt;&gt;0),"IVA solo en Servicio",IF(AND(C576="Servicio",F576=""),"Falta servicio","OK")))))))))</f>
        <v/>
      </c>
    </row>
    <row r="577" spans="1:12" ht="22" customHeight="1">
      <c r="A577" s="3"/>
      <c r="B577" s="7"/>
      <c r="C577" s="3"/>
      <c r="D577" s="3"/>
      <c r="E577" s="3"/>
      <c r="F577" s="3"/>
      <c r="G577" s="4"/>
      <c r="H577" s="4"/>
      <c r="I577" s="3"/>
      <c r="J577" s="3"/>
      <c r="K577" s="8" t="str">
        <f t="shared" si="8"/>
        <v/>
      </c>
      <c r="L577" s="1" t="str">
        <f>IF(COUNTA(A577:J577)=0,"",IF(OR(AND(C577&lt;&gt;"Servicio",C577&lt;&gt;"Cobro",C577&lt;&gt;"Anticipo",C577&lt;&gt;"Aplicación anticipo",C577&lt;&gt;"Retención ISR",C577&lt;&gt;"Retención IVA"),AND(C577="Servicio",F577&lt;&gt;"TMS",F577&lt;&gt;"Valoración",F577&lt;&gt;"EEG",F577&lt;&gt;"Neurofeedback",F577&lt;&gt;"Fotobiomodulación",F577&lt;&gt;"Psicoterapia",F577&lt;&gt;"Otros")),"Tipo o categoría inválido",IF(COUNTA(A577:J577)=0,"",IF(OR(A577="",B577="",C577="",G577=""),"Faltan datos",IF(COUNTIF($A$7:$A$2006,A577)&gt;1,"ID duplicado",IF(OR(B577&lt;DATE(Configuración!$C$5,1,1),B577&gt;=DATE(Configuración!$C$5+1,1,1)),"Fecha fuera del año",IF(OR(G577&lt;0,H577&lt;0),"Revisar signo",IF(AND(C577&lt;&gt;"Servicio",H577&lt;&gt;0),"IVA solo en Servicio",IF(AND(C577="Servicio",F577=""),"Falta servicio","OK")))))))))</f>
        <v/>
      </c>
    </row>
    <row r="578" spans="1:12" ht="22" customHeight="1">
      <c r="A578" s="3"/>
      <c r="B578" s="7"/>
      <c r="C578" s="3"/>
      <c r="D578" s="3"/>
      <c r="E578" s="3"/>
      <c r="F578" s="3"/>
      <c r="G578" s="4"/>
      <c r="H578" s="4"/>
      <c r="I578" s="3"/>
      <c r="J578" s="3"/>
      <c r="K578" s="8" t="str">
        <f t="shared" si="8"/>
        <v/>
      </c>
      <c r="L578" s="1" t="str">
        <f>IF(COUNTA(A578:J578)=0,"",IF(OR(AND(C578&lt;&gt;"Servicio",C578&lt;&gt;"Cobro",C578&lt;&gt;"Anticipo",C578&lt;&gt;"Aplicación anticipo",C578&lt;&gt;"Retención ISR",C578&lt;&gt;"Retención IVA"),AND(C578="Servicio",F578&lt;&gt;"TMS",F578&lt;&gt;"Valoración",F578&lt;&gt;"EEG",F578&lt;&gt;"Neurofeedback",F578&lt;&gt;"Fotobiomodulación",F578&lt;&gt;"Psicoterapia",F578&lt;&gt;"Otros")),"Tipo o categoría inválido",IF(COUNTA(A578:J578)=0,"",IF(OR(A578="",B578="",C578="",G578=""),"Faltan datos",IF(COUNTIF($A$7:$A$2006,A578)&gt;1,"ID duplicado",IF(OR(B578&lt;DATE(Configuración!$C$5,1,1),B578&gt;=DATE(Configuración!$C$5+1,1,1)),"Fecha fuera del año",IF(OR(G578&lt;0,H578&lt;0),"Revisar signo",IF(AND(C578&lt;&gt;"Servicio",H578&lt;&gt;0),"IVA solo en Servicio",IF(AND(C578="Servicio",F578=""),"Falta servicio","OK")))))))))</f>
        <v/>
      </c>
    </row>
    <row r="579" spans="1:12" ht="22" customHeight="1">
      <c r="A579" s="3"/>
      <c r="B579" s="7"/>
      <c r="C579" s="3"/>
      <c r="D579" s="3"/>
      <c r="E579" s="3"/>
      <c r="F579" s="3"/>
      <c r="G579" s="4"/>
      <c r="H579" s="4"/>
      <c r="I579" s="3"/>
      <c r="J579" s="3"/>
      <c r="K579" s="8" t="str">
        <f t="shared" si="8"/>
        <v/>
      </c>
      <c r="L579" s="1" t="str">
        <f>IF(COUNTA(A579:J579)=0,"",IF(OR(AND(C579&lt;&gt;"Servicio",C579&lt;&gt;"Cobro",C579&lt;&gt;"Anticipo",C579&lt;&gt;"Aplicación anticipo",C579&lt;&gt;"Retención ISR",C579&lt;&gt;"Retención IVA"),AND(C579="Servicio",F579&lt;&gt;"TMS",F579&lt;&gt;"Valoración",F579&lt;&gt;"EEG",F579&lt;&gt;"Neurofeedback",F579&lt;&gt;"Fotobiomodulación",F579&lt;&gt;"Psicoterapia",F579&lt;&gt;"Otros")),"Tipo o categoría inválido",IF(COUNTA(A579:J579)=0,"",IF(OR(A579="",B579="",C579="",G579=""),"Faltan datos",IF(COUNTIF($A$7:$A$2006,A579)&gt;1,"ID duplicado",IF(OR(B579&lt;DATE(Configuración!$C$5,1,1),B579&gt;=DATE(Configuración!$C$5+1,1,1)),"Fecha fuera del año",IF(OR(G579&lt;0,H579&lt;0),"Revisar signo",IF(AND(C579&lt;&gt;"Servicio",H579&lt;&gt;0),"IVA solo en Servicio",IF(AND(C579="Servicio",F579=""),"Falta servicio","OK")))))))))</f>
        <v/>
      </c>
    </row>
    <row r="580" spans="1:12" ht="22" customHeight="1">
      <c r="A580" s="3"/>
      <c r="B580" s="7"/>
      <c r="C580" s="3"/>
      <c r="D580" s="3"/>
      <c r="E580" s="3"/>
      <c r="F580" s="3"/>
      <c r="G580" s="4"/>
      <c r="H580" s="4"/>
      <c r="I580" s="3"/>
      <c r="J580" s="3"/>
      <c r="K580" s="8" t="str">
        <f t="shared" si="8"/>
        <v/>
      </c>
      <c r="L580" s="1" t="str">
        <f>IF(COUNTA(A580:J580)=0,"",IF(OR(AND(C580&lt;&gt;"Servicio",C580&lt;&gt;"Cobro",C580&lt;&gt;"Anticipo",C580&lt;&gt;"Aplicación anticipo",C580&lt;&gt;"Retención ISR",C580&lt;&gt;"Retención IVA"),AND(C580="Servicio",F580&lt;&gt;"TMS",F580&lt;&gt;"Valoración",F580&lt;&gt;"EEG",F580&lt;&gt;"Neurofeedback",F580&lt;&gt;"Fotobiomodulación",F580&lt;&gt;"Psicoterapia",F580&lt;&gt;"Otros")),"Tipo o categoría inválido",IF(COUNTA(A580:J580)=0,"",IF(OR(A580="",B580="",C580="",G580=""),"Faltan datos",IF(COUNTIF($A$7:$A$2006,A580)&gt;1,"ID duplicado",IF(OR(B580&lt;DATE(Configuración!$C$5,1,1),B580&gt;=DATE(Configuración!$C$5+1,1,1)),"Fecha fuera del año",IF(OR(G580&lt;0,H580&lt;0),"Revisar signo",IF(AND(C580&lt;&gt;"Servicio",H580&lt;&gt;0),"IVA solo en Servicio",IF(AND(C580="Servicio",F580=""),"Falta servicio","OK")))))))))</f>
        <v/>
      </c>
    </row>
    <row r="581" spans="1:12" ht="22" customHeight="1">
      <c r="A581" s="3"/>
      <c r="B581" s="7"/>
      <c r="C581" s="3"/>
      <c r="D581" s="3"/>
      <c r="E581" s="3"/>
      <c r="F581" s="3"/>
      <c r="G581" s="4"/>
      <c r="H581" s="4"/>
      <c r="I581" s="3"/>
      <c r="J581" s="3"/>
      <c r="K581" s="8" t="str">
        <f t="shared" si="8"/>
        <v/>
      </c>
      <c r="L581" s="1" t="str">
        <f>IF(COUNTA(A581:J581)=0,"",IF(OR(AND(C581&lt;&gt;"Servicio",C581&lt;&gt;"Cobro",C581&lt;&gt;"Anticipo",C581&lt;&gt;"Aplicación anticipo",C581&lt;&gt;"Retención ISR",C581&lt;&gt;"Retención IVA"),AND(C581="Servicio",F581&lt;&gt;"TMS",F581&lt;&gt;"Valoración",F581&lt;&gt;"EEG",F581&lt;&gt;"Neurofeedback",F581&lt;&gt;"Fotobiomodulación",F581&lt;&gt;"Psicoterapia",F581&lt;&gt;"Otros")),"Tipo o categoría inválido",IF(COUNTA(A581:J581)=0,"",IF(OR(A581="",B581="",C581="",G581=""),"Faltan datos",IF(COUNTIF($A$7:$A$2006,A581)&gt;1,"ID duplicado",IF(OR(B581&lt;DATE(Configuración!$C$5,1,1),B581&gt;=DATE(Configuración!$C$5+1,1,1)),"Fecha fuera del año",IF(OR(G581&lt;0,H581&lt;0),"Revisar signo",IF(AND(C581&lt;&gt;"Servicio",H581&lt;&gt;0),"IVA solo en Servicio",IF(AND(C581="Servicio",F581=""),"Falta servicio","OK")))))))))</f>
        <v/>
      </c>
    </row>
    <row r="582" spans="1:12" ht="22" customHeight="1">
      <c r="A582" s="3"/>
      <c r="B582" s="7"/>
      <c r="C582" s="3"/>
      <c r="D582" s="3"/>
      <c r="E582" s="3"/>
      <c r="F582" s="3"/>
      <c r="G582" s="4"/>
      <c r="H582" s="4"/>
      <c r="I582" s="3"/>
      <c r="J582" s="3"/>
      <c r="K582" s="8" t="str">
        <f t="shared" si="8"/>
        <v/>
      </c>
      <c r="L582" s="1" t="str">
        <f>IF(COUNTA(A582:J582)=0,"",IF(OR(AND(C582&lt;&gt;"Servicio",C582&lt;&gt;"Cobro",C582&lt;&gt;"Anticipo",C582&lt;&gt;"Aplicación anticipo",C582&lt;&gt;"Retención ISR",C582&lt;&gt;"Retención IVA"),AND(C582="Servicio",F582&lt;&gt;"TMS",F582&lt;&gt;"Valoración",F582&lt;&gt;"EEG",F582&lt;&gt;"Neurofeedback",F582&lt;&gt;"Fotobiomodulación",F582&lt;&gt;"Psicoterapia",F582&lt;&gt;"Otros")),"Tipo o categoría inválido",IF(COUNTA(A582:J582)=0,"",IF(OR(A582="",B582="",C582="",G582=""),"Faltan datos",IF(COUNTIF($A$7:$A$2006,A582)&gt;1,"ID duplicado",IF(OR(B582&lt;DATE(Configuración!$C$5,1,1),B582&gt;=DATE(Configuración!$C$5+1,1,1)),"Fecha fuera del año",IF(OR(G582&lt;0,H582&lt;0),"Revisar signo",IF(AND(C582&lt;&gt;"Servicio",H582&lt;&gt;0),"IVA solo en Servicio",IF(AND(C582="Servicio",F582=""),"Falta servicio","OK")))))))))</f>
        <v/>
      </c>
    </row>
    <row r="583" spans="1:12" ht="22" customHeight="1">
      <c r="A583" s="3"/>
      <c r="B583" s="7"/>
      <c r="C583" s="3"/>
      <c r="D583" s="3"/>
      <c r="E583" s="3"/>
      <c r="F583" s="3"/>
      <c r="G583" s="4"/>
      <c r="H583" s="4"/>
      <c r="I583" s="3"/>
      <c r="J583" s="3"/>
      <c r="K583" s="8" t="str">
        <f t="shared" ref="K583:K646" si="9">IF(A583="","",G583+H583)</f>
        <v/>
      </c>
      <c r="L583" s="1" t="str">
        <f>IF(COUNTA(A583:J583)=0,"",IF(OR(AND(C583&lt;&gt;"Servicio",C583&lt;&gt;"Cobro",C583&lt;&gt;"Anticipo",C583&lt;&gt;"Aplicación anticipo",C583&lt;&gt;"Retención ISR",C583&lt;&gt;"Retención IVA"),AND(C583="Servicio",F583&lt;&gt;"TMS",F583&lt;&gt;"Valoración",F583&lt;&gt;"EEG",F583&lt;&gt;"Neurofeedback",F583&lt;&gt;"Fotobiomodulación",F583&lt;&gt;"Psicoterapia",F583&lt;&gt;"Otros")),"Tipo o categoría inválido",IF(COUNTA(A583:J583)=0,"",IF(OR(A583="",B583="",C583="",G583=""),"Faltan datos",IF(COUNTIF($A$7:$A$2006,A583)&gt;1,"ID duplicado",IF(OR(B583&lt;DATE(Configuración!$C$5,1,1),B583&gt;=DATE(Configuración!$C$5+1,1,1)),"Fecha fuera del año",IF(OR(G583&lt;0,H583&lt;0),"Revisar signo",IF(AND(C583&lt;&gt;"Servicio",H583&lt;&gt;0),"IVA solo en Servicio",IF(AND(C583="Servicio",F583=""),"Falta servicio","OK")))))))))</f>
        <v/>
      </c>
    </row>
    <row r="584" spans="1:12" ht="22" customHeight="1">
      <c r="A584" s="3"/>
      <c r="B584" s="7"/>
      <c r="C584" s="3"/>
      <c r="D584" s="3"/>
      <c r="E584" s="3"/>
      <c r="F584" s="3"/>
      <c r="G584" s="4"/>
      <c r="H584" s="4"/>
      <c r="I584" s="3"/>
      <c r="J584" s="3"/>
      <c r="K584" s="8" t="str">
        <f t="shared" si="9"/>
        <v/>
      </c>
      <c r="L584" s="1" t="str">
        <f>IF(COUNTA(A584:J584)=0,"",IF(OR(AND(C584&lt;&gt;"Servicio",C584&lt;&gt;"Cobro",C584&lt;&gt;"Anticipo",C584&lt;&gt;"Aplicación anticipo",C584&lt;&gt;"Retención ISR",C584&lt;&gt;"Retención IVA"),AND(C584="Servicio",F584&lt;&gt;"TMS",F584&lt;&gt;"Valoración",F584&lt;&gt;"EEG",F584&lt;&gt;"Neurofeedback",F584&lt;&gt;"Fotobiomodulación",F584&lt;&gt;"Psicoterapia",F584&lt;&gt;"Otros")),"Tipo o categoría inválido",IF(COUNTA(A584:J584)=0,"",IF(OR(A584="",B584="",C584="",G584=""),"Faltan datos",IF(COUNTIF($A$7:$A$2006,A584)&gt;1,"ID duplicado",IF(OR(B584&lt;DATE(Configuración!$C$5,1,1),B584&gt;=DATE(Configuración!$C$5+1,1,1)),"Fecha fuera del año",IF(OR(G584&lt;0,H584&lt;0),"Revisar signo",IF(AND(C584&lt;&gt;"Servicio",H584&lt;&gt;0),"IVA solo en Servicio",IF(AND(C584="Servicio",F584=""),"Falta servicio","OK")))))))))</f>
        <v/>
      </c>
    </row>
    <row r="585" spans="1:12" ht="22" customHeight="1">
      <c r="A585" s="3"/>
      <c r="B585" s="7"/>
      <c r="C585" s="3"/>
      <c r="D585" s="3"/>
      <c r="E585" s="3"/>
      <c r="F585" s="3"/>
      <c r="G585" s="4"/>
      <c r="H585" s="4"/>
      <c r="I585" s="3"/>
      <c r="J585" s="3"/>
      <c r="K585" s="8" t="str">
        <f t="shared" si="9"/>
        <v/>
      </c>
      <c r="L585" s="1" t="str">
        <f>IF(COUNTA(A585:J585)=0,"",IF(OR(AND(C585&lt;&gt;"Servicio",C585&lt;&gt;"Cobro",C585&lt;&gt;"Anticipo",C585&lt;&gt;"Aplicación anticipo",C585&lt;&gt;"Retención ISR",C585&lt;&gt;"Retención IVA"),AND(C585="Servicio",F585&lt;&gt;"TMS",F585&lt;&gt;"Valoración",F585&lt;&gt;"EEG",F585&lt;&gt;"Neurofeedback",F585&lt;&gt;"Fotobiomodulación",F585&lt;&gt;"Psicoterapia",F585&lt;&gt;"Otros")),"Tipo o categoría inválido",IF(COUNTA(A585:J585)=0,"",IF(OR(A585="",B585="",C585="",G585=""),"Faltan datos",IF(COUNTIF($A$7:$A$2006,A585)&gt;1,"ID duplicado",IF(OR(B585&lt;DATE(Configuración!$C$5,1,1),B585&gt;=DATE(Configuración!$C$5+1,1,1)),"Fecha fuera del año",IF(OR(G585&lt;0,H585&lt;0),"Revisar signo",IF(AND(C585&lt;&gt;"Servicio",H585&lt;&gt;0),"IVA solo en Servicio",IF(AND(C585="Servicio",F585=""),"Falta servicio","OK")))))))))</f>
        <v/>
      </c>
    </row>
    <row r="586" spans="1:12" ht="22" customHeight="1">
      <c r="A586" s="3"/>
      <c r="B586" s="7"/>
      <c r="C586" s="3"/>
      <c r="D586" s="3"/>
      <c r="E586" s="3"/>
      <c r="F586" s="3"/>
      <c r="G586" s="4"/>
      <c r="H586" s="4"/>
      <c r="I586" s="3"/>
      <c r="J586" s="3"/>
      <c r="K586" s="8" t="str">
        <f t="shared" si="9"/>
        <v/>
      </c>
      <c r="L586" s="1" t="str">
        <f>IF(COUNTA(A586:J586)=0,"",IF(OR(AND(C586&lt;&gt;"Servicio",C586&lt;&gt;"Cobro",C586&lt;&gt;"Anticipo",C586&lt;&gt;"Aplicación anticipo",C586&lt;&gt;"Retención ISR",C586&lt;&gt;"Retención IVA"),AND(C586="Servicio",F586&lt;&gt;"TMS",F586&lt;&gt;"Valoración",F586&lt;&gt;"EEG",F586&lt;&gt;"Neurofeedback",F586&lt;&gt;"Fotobiomodulación",F586&lt;&gt;"Psicoterapia",F586&lt;&gt;"Otros")),"Tipo o categoría inválido",IF(COUNTA(A586:J586)=0,"",IF(OR(A586="",B586="",C586="",G586=""),"Faltan datos",IF(COUNTIF($A$7:$A$2006,A586)&gt;1,"ID duplicado",IF(OR(B586&lt;DATE(Configuración!$C$5,1,1),B586&gt;=DATE(Configuración!$C$5+1,1,1)),"Fecha fuera del año",IF(OR(G586&lt;0,H586&lt;0),"Revisar signo",IF(AND(C586&lt;&gt;"Servicio",H586&lt;&gt;0),"IVA solo en Servicio",IF(AND(C586="Servicio",F586=""),"Falta servicio","OK")))))))))</f>
        <v/>
      </c>
    </row>
    <row r="587" spans="1:12" ht="22" customHeight="1">
      <c r="A587" s="3"/>
      <c r="B587" s="7"/>
      <c r="C587" s="3"/>
      <c r="D587" s="3"/>
      <c r="E587" s="3"/>
      <c r="F587" s="3"/>
      <c r="G587" s="4"/>
      <c r="H587" s="4"/>
      <c r="I587" s="3"/>
      <c r="J587" s="3"/>
      <c r="K587" s="8" t="str">
        <f t="shared" si="9"/>
        <v/>
      </c>
      <c r="L587" s="1" t="str">
        <f>IF(COUNTA(A587:J587)=0,"",IF(OR(AND(C587&lt;&gt;"Servicio",C587&lt;&gt;"Cobro",C587&lt;&gt;"Anticipo",C587&lt;&gt;"Aplicación anticipo",C587&lt;&gt;"Retención ISR",C587&lt;&gt;"Retención IVA"),AND(C587="Servicio",F587&lt;&gt;"TMS",F587&lt;&gt;"Valoración",F587&lt;&gt;"EEG",F587&lt;&gt;"Neurofeedback",F587&lt;&gt;"Fotobiomodulación",F587&lt;&gt;"Psicoterapia",F587&lt;&gt;"Otros")),"Tipo o categoría inválido",IF(COUNTA(A587:J587)=0,"",IF(OR(A587="",B587="",C587="",G587=""),"Faltan datos",IF(COUNTIF($A$7:$A$2006,A587)&gt;1,"ID duplicado",IF(OR(B587&lt;DATE(Configuración!$C$5,1,1),B587&gt;=DATE(Configuración!$C$5+1,1,1)),"Fecha fuera del año",IF(OR(G587&lt;0,H587&lt;0),"Revisar signo",IF(AND(C587&lt;&gt;"Servicio",H587&lt;&gt;0),"IVA solo en Servicio",IF(AND(C587="Servicio",F587=""),"Falta servicio","OK")))))))))</f>
        <v/>
      </c>
    </row>
    <row r="588" spans="1:12" ht="22" customHeight="1">
      <c r="A588" s="3"/>
      <c r="B588" s="7"/>
      <c r="C588" s="3"/>
      <c r="D588" s="3"/>
      <c r="E588" s="3"/>
      <c r="F588" s="3"/>
      <c r="G588" s="4"/>
      <c r="H588" s="4"/>
      <c r="I588" s="3"/>
      <c r="J588" s="3"/>
      <c r="K588" s="8" t="str">
        <f t="shared" si="9"/>
        <v/>
      </c>
      <c r="L588" s="1" t="str">
        <f>IF(COUNTA(A588:J588)=0,"",IF(OR(AND(C588&lt;&gt;"Servicio",C588&lt;&gt;"Cobro",C588&lt;&gt;"Anticipo",C588&lt;&gt;"Aplicación anticipo",C588&lt;&gt;"Retención ISR",C588&lt;&gt;"Retención IVA"),AND(C588="Servicio",F588&lt;&gt;"TMS",F588&lt;&gt;"Valoración",F588&lt;&gt;"EEG",F588&lt;&gt;"Neurofeedback",F588&lt;&gt;"Fotobiomodulación",F588&lt;&gt;"Psicoterapia",F588&lt;&gt;"Otros")),"Tipo o categoría inválido",IF(COUNTA(A588:J588)=0,"",IF(OR(A588="",B588="",C588="",G588=""),"Faltan datos",IF(COUNTIF($A$7:$A$2006,A588)&gt;1,"ID duplicado",IF(OR(B588&lt;DATE(Configuración!$C$5,1,1),B588&gt;=DATE(Configuración!$C$5+1,1,1)),"Fecha fuera del año",IF(OR(G588&lt;0,H588&lt;0),"Revisar signo",IF(AND(C588&lt;&gt;"Servicio",H588&lt;&gt;0),"IVA solo en Servicio",IF(AND(C588="Servicio",F588=""),"Falta servicio","OK")))))))))</f>
        <v/>
      </c>
    </row>
    <row r="589" spans="1:12" ht="22" customHeight="1">
      <c r="A589" s="3"/>
      <c r="B589" s="7"/>
      <c r="C589" s="3"/>
      <c r="D589" s="3"/>
      <c r="E589" s="3"/>
      <c r="F589" s="3"/>
      <c r="G589" s="4"/>
      <c r="H589" s="4"/>
      <c r="I589" s="3"/>
      <c r="J589" s="3"/>
      <c r="K589" s="8" t="str">
        <f t="shared" si="9"/>
        <v/>
      </c>
      <c r="L589" s="1" t="str">
        <f>IF(COUNTA(A589:J589)=0,"",IF(OR(AND(C589&lt;&gt;"Servicio",C589&lt;&gt;"Cobro",C589&lt;&gt;"Anticipo",C589&lt;&gt;"Aplicación anticipo",C589&lt;&gt;"Retención ISR",C589&lt;&gt;"Retención IVA"),AND(C589="Servicio",F589&lt;&gt;"TMS",F589&lt;&gt;"Valoración",F589&lt;&gt;"EEG",F589&lt;&gt;"Neurofeedback",F589&lt;&gt;"Fotobiomodulación",F589&lt;&gt;"Psicoterapia",F589&lt;&gt;"Otros")),"Tipo o categoría inválido",IF(COUNTA(A589:J589)=0,"",IF(OR(A589="",B589="",C589="",G589=""),"Faltan datos",IF(COUNTIF($A$7:$A$2006,A589)&gt;1,"ID duplicado",IF(OR(B589&lt;DATE(Configuración!$C$5,1,1),B589&gt;=DATE(Configuración!$C$5+1,1,1)),"Fecha fuera del año",IF(OR(G589&lt;0,H589&lt;0),"Revisar signo",IF(AND(C589&lt;&gt;"Servicio",H589&lt;&gt;0),"IVA solo en Servicio",IF(AND(C589="Servicio",F589=""),"Falta servicio","OK")))))))))</f>
        <v/>
      </c>
    </row>
    <row r="590" spans="1:12" ht="22" customHeight="1">
      <c r="A590" s="3"/>
      <c r="B590" s="7"/>
      <c r="C590" s="3"/>
      <c r="D590" s="3"/>
      <c r="E590" s="3"/>
      <c r="F590" s="3"/>
      <c r="G590" s="4"/>
      <c r="H590" s="4"/>
      <c r="I590" s="3"/>
      <c r="J590" s="3"/>
      <c r="K590" s="8" t="str">
        <f t="shared" si="9"/>
        <v/>
      </c>
      <c r="L590" s="1" t="str">
        <f>IF(COUNTA(A590:J590)=0,"",IF(OR(AND(C590&lt;&gt;"Servicio",C590&lt;&gt;"Cobro",C590&lt;&gt;"Anticipo",C590&lt;&gt;"Aplicación anticipo",C590&lt;&gt;"Retención ISR",C590&lt;&gt;"Retención IVA"),AND(C590="Servicio",F590&lt;&gt;"TMS",F590&lt;&gt;"Valoración",F590&lt;&gt;"EEG",F590&lt;&gt;"Neurofeedback",F590&lt;&gt;"Fotobiomodulación",F590&lt;&gt;"Psicoterapia",F590&lt;&gt;"Otros")),"Tipo o categoría inválido",IF(COUNTA(A590:J590)=0,"",IF(OR(A590="",B590="",C590="",G590=""),"Faltan datos",IF(COUNTIF($A$7:$A$2006,A590)&gt;1,"ID duplicado",IF(OR(B590&lt;DATE(Configuración!$C$5,1,1),B590&gt;=DATE(Configuración!$C$5+1,1,1)),"Fecha fuera del año",IF(OR(G590&lt;0,H590&lt;0),"Revisar signo",IF(AND(C590&lt;&gt;"Servicio",H590&lt;&gt;0),"IVA solo en Servicio",IF(AND(C590="Servicio",F590=""),"Falta servicio","OK")))))))))</f>
        <v/>
      </c>
    </row>
    <row r="591" spans="1:12" ht="22" customHeight="1">
      <c r="A591" s="3"/>
      <c r="B591" s="7"/>
      <c r="C591" s="3"/>
      <c r="D591" s="3"/>
      <c r="E591" s="3"/>
      <c r="F591" s="3"/>
      <c r="G591" s="4"/>
      <c r="H591" s="4"/>
      <c r="I591" s="3"/>
      <c r="J591" s="3"/>
      <c r="K591" s="8" t="str">
        <f t="shared" si="9"/>
        <v/>
      </c>
      <c r="L591" s="1" t="str">
        <f>IF(COUNTA(A591:J591)=0,"",IF(OR(AND(C591&lt;&gt;"Servicio",C591&lt;&gt;"Cobro",C591&lt;&gt;"Anticipo",C591&lt;&gt;"Aplicación anticipo",C591&lt;&gt;"Retención ISR",C591&lt;&gt;"Retención IVA"),AND(C591="Servicio",F591&lt;&gt;"TMS",F591&lt;&gt;"Valoración",F591&lt;&gt;"EEG",F591&lt;&gt;"Neurofeedback",F591&lt;&gt;"Fotobiomodulación",F591&lt;&gt;"Psicoterapia",F591&lt;&gt;"Otros")),"Tipo o categoría inválido",IF(COUNTA(A591:J591)=0,"",IF(OR(A591="",B591="",C591="",G591=""),"Faltan datos",IF(COUNTIF($A$7:$A$2006,A591)&gt;1,"ID duplicado",IF(OR(B591&lt;DATE(Configuración!$C$5,1,1),B591&gt;=DATE(Configuración!$C$5+1,1,1)),"Fecha fuera del año",IF(OR(G591&lt;0,H591&lt;0),"Revisar signo",IF(AND(C591&lt;&gt;"Servicio",H591&lt;&gt;0),"IVA solo en Servicio",IF(AND(C591="Servicio",F591=""),"Falta servicio","OK")))))))))</f>
        <v/>
      </c>
    </row>
    <row r="592" spans="1:12" ht="22" customHeight="1">
      <c r="A592" s="3"/>
      <c r="B592" s="7"/>
      <c r="C592" s="3"/>
      <c r="D592" s="3"/>
      <c r="E592" s="3"/>
      <c r="F592" s="3"/>
      <c r="G592" s="4"/>
      <c r="H592" s="4"/>
      <c r="I592" s="3"/>
      <c r="J592" s="3"/>
      <c r="K592" s="8" t="str">
        <f t="shared" si="9"/>
        <v/>
      </c>
      <c r="L592" s="1" t="str">
        <f>IF(COUNTA(A592:J592)=0,"",IF(OR(AND(C592&lt;&gt;"Servicio",C592&lt;&gt;"Cobro",C592&lt;&gt;"Anticipo",C592&lt;&gt;"Aplicación anticipo",C592&lt;&gt;"Retención ISR",C592&lt;&gt;"Retención IVA"),AND(C592="Servicio",F592&lt;&gt;"TMS",F592&lt;&gt;"Valoración",F592&lt;&gt;"EEG",F592&lt;&gt;"Neurofeedback",F592&lt;&gt;"Fotobiomodulación",F592&lt;&gt;"Psicoterapia",F592&lt;&gt;"Otros")),"Tipo o categoría inválido",IF(COUNTA(A592:J592)=0,"",IF(OR(A592="",B592="",C592="",G592=""),"Faltan datos",IF(COUNTIF($A$7:$A$2006,A592)&gt;1,"ID duplicado",IF(OR(B592&lt;DATE(Configuración!$C$5,1,1),B592&gt;=DATE(Configuración!$C$5+1,1,1)),"Fecha fuera del año",IF(OR(G592&lt;0,H592&lt;0),"Revisar signo",IF(AND(C592&lt;&gt;"Servicio",H592&lt;&gt;0),"IVA solo en Servicio",IF(AND(C592="Servicio",F592=""),"Falta servicio","OK")))))))))</f>
        <v/>
      </c>
    </row>
    <row r="593" spans="1:12" ht="22" customHeight="1">
      <c r="A593" s="3"/>
      <c r="B593" s="7"/>
      <c r="C593" s="3"/>
      <c r="D593" s="3"/>
      <c r="E593" s="3"/>
      <c r="F593" s="3"/>
      <c r="G593" s="4"/>
      <c r="H593" s="4"/>
      <c r="I593" s="3"/>
      <c r="J593" s="3"/>
      <c r="K593" s="8" t="str">
        <f t="shared" si="9"/>
        <v/>
      </c>
      <c r="L593" s="1" t="str">
        <f>IF(COUNTA(A593:J593)=0,"",IF(OR(AND(C593&lt;&gt;"Servicio",C593&lt;&gt;"Cobro",C593&lt;&gt;"Anticipo",C593&lt;&gt;"Aplicación anticipo",C593&lt;&gt;"Retención ISR",C593&lt;&gt;"Retención IVA"),AND(C593="Servicio",F593&lt;&gt;"TMS",F593&lt;&gt;"Valoración",F593&lt;&gt;"EEG",F593&lt;&gt;"Neurofeedback",F593&lt;&gt;"Fotobiomodulación",F593&lt;&gt;"Psicoterapia",F593&lt;&gt;"Otros")),"Tipo o categoría inválido",IF(COUNTA(A593:J593)=0,"",IF(OR(A593="",B593="",C593="",G593=""),"Faltan datos",IF(COUNTIF($A$7:$A$2006,A593)&gt;1,"ID duplicado",IF(OR(B593&lt;DATE(Configuración!$C$5,1,1),B593&gt;=DATE(Configuración!$C$5+1,1,1)),"Fecha fuera del año",IF(OR(G593&lt;0,H593&lt;0),"Revisar signo",IF(AND(C593&lt;&gt;"Servicio",H593&lt;&gt;0),"IVA solo en Servicio",IF(AND(C593="Servicio",F593=""),"Falta servicio","OK")))))))))</f>
        <v/>
      </c>
    </row>
    <row r="594" spans="1:12" ht="22" customHeight="1">
      <c r="A594" s="3"/>
      <c r="B594" s="7"/>
      <c r="C594" s="3"/>
      <c r="D594" s="3"/>
      <c r="E594" s="3"/>
      <c r="F594" s="3"/>
      <c r="G594" s="4"/>
      <c r="H594" s="4"/>
      <c r="I594" s="3"/>
      <c r="J594" s="3"/>
      <c r="K594" s="8" t="str">
        <f t="shared" si="9"/>
        <v/>
      </c>
      <c r="L594" s="1" t="str">
        <f>IF(COUNTA(A594:J594)=0,"",IF(OR(AND(C594&lt;&gt;"Servicio",C594&lt;&gt;"Cobro",C594&lt;&gt;"Anticipo",C594&lt;&gt;"Aplicación anticipo",C594&lt;&gt;"Retención ISR",C594&lt;&gt;"Retención IVA"),AND(C594="Servicio",F594&lt;&gt;"TMS",F594&lt;&gt;"Valoración",F594&lt;&gt;"EEG",F594&lt;&gt;"Neurofeedback",F594&lt;&gt;"Fotobiomodulación",F594&lt;&gt;"Psicoterapia",F594&lt;&gt;"Otros")),"Tipo o categoría inválido",IF(COUNTA(A594:J594)=0,"",IF(OR(A594="",B594="",C594="",G594=""),"Faltan datos",IF(COUNTIF($A$7:$A$2006,A594)&gt;1,"ID duplicado",IF(OR(B594&lt;DATE(Configuración!$C$5,1,1),B594&gt;=DATE(Configuración!$C$5+1,1,1)),"Fecha fuera del año",IF(OR(G594&lt;0,H594&lt;0),"Revisar signo",IF(AND(C594&lt;&gt;"Servicio",H594&lt;&gt;0),"IVA solo en Servicio",IF(AND(C594="Servicio",F594=""),"Falta servicio","OK")))))))))</f>
        <v/>
      </c>
    </row>
    <row r="595" spans="1:12" ht="22" customHeight="1">
      <c r="A595" s="3"/>
      <c r="B595" s="7"/>
      <c r="C595" s="3"/>
      <c r="D595" s="3"/>
      <c r="E595" s="3"/>
      <c r="F595" s="3"/>
      <c r="G595" s="4"/>
      <c r="H595" s="4"/>
      <c r="I595" s="3"/>
      <c r="J595" s="3"/>
      <c r="K595" s="8" t="str">
        <f t="shared" si="9"/>
        <v/>
      </c>
      <c r="L595" s="1" t="str">
        <f>IF(COUNTA(A595:J595)=0,"",IF(OR(AND(C595&lt;&gt;"Servicio",C595&lt;&gt;"Cobro",C595&lt;&gt;"Anticipo",C595&lt;&gt;"Aplicación anticipo",C595&lt;&gt;"Retención ISR",C595&lt;&gt;"Retención IVA"),AND(C595="Servicio",F595&lt;&gt;"TMS",F595&lt;&gt;"Valoración",F595&lt;&gt;"EEG",F595&lt;&gt;"Neurofeedback",F595&lt;&gt;"Fotobiomodulación",F595&lt;&gt;"Psicoterapia",F595&lt;&gt;"Otros")),"Tipo o categoría inválido",IF(COUNTA(A595:J595)=0,"",IF(OR(A595="",B595="",C595="",G595=""),"Faltan datos",IF(COUNTIF($A$7:$A$2006,A595)&gt;1,"ID duplicado",IF(OR(B595&lt;DATE(Configuración!$C$5,1,1),B595&gt;=DATE(Configuración!$C$5+1,1,1)),"Fecha fuera del año",IF(OR(G595&lt;0,H595&lt;0),"Revisar signo",IF(AND(C595&lt;&gt;"Servicio",H595&lt;&gt;0),"IVA solo en Servicio",IF(AND(C595="Servicio",F595=""),"Falta servicio","OK")))))))))</f>
        <v/>
      </c>
    </row>
    <row r="596" spans="1:12" ht="22" customHeight="1">
      <c r="A596" s="3"/>
      <c r="B596" s="7"/>
      <c r="C596" s="3"/>
      <c r="D596" s="3"/>
      <c r="E596" s="3"/>
      <c r="F596" s="3"/>
      <c r="G596" s="4"/>
      <c r="H596" s="4"/>
      <c r="I596" s="3"/>
      <c r="J596" s="3"/>
      <c r="K596" s="8" t="str">
        <f t="shared" si="9"/>
        <v/>
      </c>
      <c r="L596" s="1" t="str">
        <f>IF(COUNTA(A596:J596)=0,"",IF(OR(AND(C596&lt;&gt;"Servicio",C596&lt;&gt;"Cobro",C596&lt;&gt;"Anticipo",C596&lt;&gt;"Aplicación anticipo",C596&lt;&gt;"Retención ISR",C596&lt;&gt;"Retención IVA"),AND(C596="Servicio",F596&lt;&gt;"TMS",F596&lt;&gt;"Valoración",F596&lt;&gt;"EEG",F596&lt;&gt;"Neurofeedback",F596&lt;&gt;"Fotobiomodulación",F596&lt;&gt;"Psicoterapia",F596&lt;&gt;"Otros")),"Tipo o categoría inválido",IF(COUNTA(A596:J596)=0,"",IF(OR(A596="",B596="",C596="",G596=""),"Faltan datos",IF(COUNTIF($A$7:$A$2006,A596)&gt;1,"ID duplicado",IF(OR(B596&lt;DATE(Configuración!$C$5,1,1),B596&gt;=DATE(Configuración!$C$5+1,1,1)),"Fecha fuera del año",IF(OR(G596&lt;0,H596&lt;0),"Revisar signo",IF(AND(C596&lt;&gt;"Servicio",H596&lt;&gt;0),"IVA solo en Servicio",IF(AND(C596="Servicio",F596=""),"Falta servicio","OK")))))))))</f>
        <v/>
      </c>
    </row>
    <row r="597" spans="1:12" ht="22" customHeight="1">
      <c r="A597" s="3"/>
      <c r="B597" s="7"/>
      <c r="C597" s="3"/>
      <c r="D597" s="3"/>
      <c r="E597" s="3"/>
      <c r="F597" s="3"/>
      <c r="G597" s="4"/>
      <c r="H597" s="4"/>
      <c r="I597" s="3"/>
      <c r="J597" s="3"/>
      <c r="K597" s="8" t="str">
        <f t="shared" si="9"/>
        <v/>
      </c>
      <c r="L597" s="1" t="str">
        <f>IF(COUNTA(A597:J597)=0,"",IF(OR(AND(C597&lt;&gt;"Servicio",C597&lt;&gt;"Cobro",C597&lt;&gt;"Anticipo",C597&lt;&gt;"Aplicación anticipo",C597&lt;&gt;"Retención ISR",C597&lt;&gt;"Retención IVA"),AND(C597="Servicio",F597&lt;&gt;"TMS",F597&lt;&gt;"Valoración",F597&lt;&gt;"EEG",F597&lt;&gt;"Neurofeedback",F597&lt;&gt;"Fotobiomodulación",F597&lt;&gt;"Psicoterapia",F597&lt;&gt;"Otros")),"Tipo o categoría inválido",IF(COUNTA(A597:J597)=0,"",IF(OR(A597="",B597="",C597="",G597=""),"Faltan datos",IF(COUNTIF($A$7:$A$2006,A597)&gt;1,"ID duplicado",IF(OR(B597&lt;DATE(Configuración!$C$5,1,1),B597&gt;=DATE(Configuración!$C$5+1,1,1)),"Fecha fuera del año",IF(OR(G597&lt;0,H597&lt;0),"Revisar signo",IF(AND(C597&lt;&gt;"Servicio",H597&lt;&gt;0),"IVA solo en Servicio",IF(AND(C597="Servicio",F597=""),"Falta servicio","OK")))))))))</f>
        <v/>
      </c>
    </row>
    <row r="598" spans="1:12" ht="22" customHeight="1">
      <c r="A598" s="3"/>
      <c r="B598" s="7"/>
      <c r="C598" s="3"/>
      <c r="D598" s="3"/>
      <c r="E598" s="3"/>
      <c r="F598" s="3"/>
      <c r="G598" s="4"/>
      <c r="H598" s="4"/>
      <c r="I598" s="3"/>
      <c r="J598" s="3"/>
      <c r="K598" s="8" t="str">
        <f t="shared" si="9"/>
        <v/>
      </c>
      <c r="L598" s="1" t="str">
        <f>IF(COUNTA(A598:J598)=0,"",IF(OR(AND(C598&lt;&gt;"Servicio",C598&lt;&gt;"Cobro",C598&lt;&gt;"Anticipo",C598&lt;&gt;"Aplicación anticipo",C598&lt;&gt;"Retención ISR",C598&lt;&gt;"Retención IVA"),AND(C598="Servicio",F598&lt;&gt;"TMS",F598&lt;&gt;"Valoración",F598&lt;&gt;"EEG",F598&lt;&gt;"Neurofeedback",F598&lt;&gt;"Fotobiomodulación",F598&lt;&gt;"Psicoterapia",F598&lt;&gt;"Otros")),"Tipo o categoría inválido",IF(COUNTA(A598:J598)=0,"",IF(OR(A598="",B598="",C598="",G598=""),"Faltan datos",IF(COUNTIF($A$7:$A$2006,A598)&gt;1,"ID duplicado",IF(OR(B598&lt;DATE(Configuración!$C$5,1,1),B598&gt;=DATE(Configuración!$C$5+1,1,1)),"Fecha fuera del año",IF(OR(G598&lt;0,H598&lt;0),"Revisar signo",IF(AND(C598&lt;&gt;"Servicio",H598&lt;&gt;0),"IVA solo en Servicio",IF(AND(C598="Servicio",F598=""),"Falta servicio","OK")))))))))</f>
        <v/>
      </c>
    </row>
    <row r="599" spans="1:12" ht="22" customHeight="1">
      <c r="A599" s="3"/>
      <c r="B599" s="7"/>
      <c r="C599" s="3"/>
      <c r="D599" s="3"/>
      <c r="E599" s="3"/>
      <c r="F599" s="3"/>
      <c r="G599" s="4"/>
      <c r="H599" s="4"/>
      <c r="I599" s="3"/>
      <c r="J599" s="3"/>
      <c r="K599" s="8" t="str">
        <f t="shared" si="9"/>
        <v/>
      </c>
      <c r="L599" s="1" t="str">
        <f>IF(COUNTA(A599:J599)=0,"",IF(OR(AND(C599&lt;&gt;"Servicio",C599&lt;&gt;"Cobro",C599&lt;&gt;"Anticipo",C599&lt;&gt;"Aplicación anticipo",C599&lt;&gt;"Retención ISR",C599&lt;&gt;"Retención IVA"),AND(C599="Servicio",F599&lt;&gt;"TMS",F599&lt;&gt;"Valoración",F599&lt;&gt;"EEG",F599&lt;&gt;"Neurofeedback",F599&lt;&gt;"Fotobiomodulación",F599&lt;&gt;"Psicoterapia",F599&lt;&gt;"Otros")),"Tipo o categoría inválido",IF(COUNTA(A599:J599)=0,"",IF(OR(A599="",B599="",C599="",G599=""),"Faltan datos",IF(COUNTIF($A$7:$A$2006,A599)&gt;1,"ID duplicado",IF(OR(B599&lt;DATE(Configuración!$C$5,1,1),B599&gt;=DATE(Configuración!$C$5+1,1,1)),"Fecha fuera del año",IF(OR(G599&lt;0,H599&lt;0),"Revisar signo",IF(AND(C599&lt;&gt;"Servicio",H599&lt;&gt;0),"IVA solo en Servicio",IF(AND(C599="Servicio",F599=""),"Falta servicio","OK")))))))))</f>
        <v/>
      </c>
    </row>
    <row r="600" spans="1:12" ht="22" customHeight="1">
      <c r="A600" s="3"/>
      <c r="B600" s="7"/>
      <c r="C600" s="3"/>
      <c r="D600" s="3"/>
      <c r="E600" s="3"/>
      <c r="F600" s="3"/>
      <c r="G600" s="4"/>
      <c r="H600" s="4"/>
      <c r="I600" s="3"/>
      <c r="J600" s="3"/>
      <c r="K600" s="8" t="str">
        <f t="shared" si="9"/>
        <v/>
      </c>
      <c r="L600" s="1" t="str">
        <f>IF(COUNTA(A600:J600)=0,"",IF(OR(AND(C600&lt;&gt;"Servicio",C600&lt;&gt;"Cobro",C600&lt;&gt;"Anticipo",C600&lt;&gt;"Aplicación anticipo",C600&lt;&gt;"Retención ISR",C600&lt;&gt;"Retención IVA"),AND(C600="Servicio",F600&lt;&gt;"TMS",F600&lt;&gt;"Valoración",F600&lt;&gt;"EEG",F600&lt;&gt;"Neurofeedback",F600&lt;&gt;"Fotobiomodulación",F600&lt;&gt;"Psicoterapia",F600&lt;&gt;"Otros")),"Tipo o categoría inválido",IF(COUNTA(A600:J600)=0,"",IF(OR(A600="",B600="",C600="",G600=""),"Faltan datos",IF(COUNTIF($A$7:$A$2006,A600)&gt;1,"ID duplicado",IF(OR(B600&lt;DATE(Configuración!$C$5,1,1),B600&gt;=DATE(Configuración!$C$5+1,1,1)),"Fecha fuera del año",IF(OR(G600&lt;0,H600&lt;0),"Revisar signo",IF(AND(C600&lt;&gt;"Servicio",H600&lt;&gt;0),"IVA solo en Servicio",IF(AND(C600="Servicio",F600=""),"Falta servicio","OK")))))))))</f>
        <v/>
      </c>
    </row>
    <row r="601" spans="1:12" ht="22" customHeight="1">
      <c r="A601" s="3"/>
      <c r="B601" s="7"/>
      <c r="C601" s="3"/>
      <c r="D601" s="3"/>
      <c r="E601" s="3"/>
      <c r="F601" s="3"/>
      <c r="G601" s="4"/>
      <c r="H601" s="4"/>
      <c r="I601" s="3"/>
      <c r="J601" s="3"/>
      <c r="K601" s="8" t="str">
        <f t="shared" si="9"/>
        <v/>
      </c>
      <c r="L601" s="1" t="str">
        <f>IF(COUNTA(A601:J601)=0,"",IF(OR(AND(C601&lt;&gt;"Servicio",C601&lt;&gt;"Cobro",C601&lt;&gt;"Anticipo",C601&lt;&gt;"Aplicación anticipo",C601&lt;&gt;"Retención ISR",C601&lt;&gt;"Retención IVA"),AND(C601="Servicio",F601&lt;&gt;"TMS",F601&lt;&gt;"Valoración",F601&lt;&gt;"EEG",F601&lt;&gt;"Neurofeedback",F601&lt;&gt;"Fotobiomodulación",F601&lt;&gt;"Psicoterapia",F601&lt;&gt;"Otros")),"Tipo o categoría inválido",IF(COUNTA(A601:J601)=0,"",IF(OR(A601="",B601="",C601="",G601=""),"Faltan datos",IF(COUNTIF($A$7:$A$2006,A601)&gt;1,"ID duplicado",IF(OR(B601&lt;DATE(Configuración!$C$5,1,1),B601&gt;=DATE(Configuración!$C$5+1,1,1)),"Fecha fuera del año",IF(OR(G601&lt;0,H601&lt;0),"Revisar signo",IF(AND(C601&lt;&gt;"Servicio",H601&lt;&gt;0),"IVA solo en Servicio",IF(AND(C601="Servicio",F601=""),"Falta servicio","OK")))))))))</f>
        <v/>
      </c>
    </row>
    <row r="602" spans="1:12" ht="22" customHeight="1">
      <c r="A602" s="3"/>
      <c r="B602" s="7"/>
      <c r="C602" s="3"/>
      <c r="D602" s="3"/>
      <c r="E602" s="3"/>
      <c r="F602" s="3"/>
      <c r="G602" s="4"/>
      <c r="H602" s="4"/>
      <c r="I602" s="3"/>
      <c r="J602" s="3"/>
      <c r="K602" s="8" t="str">
        <f t="shared" si="9"/>
        <v/>
      </c>
      <c r="L602" s="1" t="str">
        <f>IF(COUNTA(A602:J602)=0,"",IF(OR(AND(C602&lt;&gt;"Servicio",C602&lt;&gt;"Cobro",C602&lt;&gt;"Anticipo",C602&lt;&gt;"Aplicación anticipo",C602&lt;&gt;"Retención ISR",C602&lt;&gt;"Retención IVA"),AND(C602="Servicio",F602&lt;&gt;"TMS",F602&lt;&gt;"Valoración",F602&lt;&gt;"EEG",F602&lt;&gt;"Neurofeedback",F602&lt;&gt;"Fotobiomodulación",F602&lt;&gt;"Psicoterapia",F602&lt;&gt;"Otros")),"Tipo o categoría inválido",IF(COUNTA(A602:J602)=0,"",IF(OR(A602="",B602="",C602="",G602=""),"Faltan datos",IF(COUNTIF($A$7:$A$2006,A602)&gt;1,"ID duplicado",IF(OR(B602&lt;DATE(Configuración!$C$5,1,1),B602&gt;=DATE(Configuración!$C$5+1,1,1)),"Fecha fuera del año",IF(OR(G602&lt;0,H602&lt;0),"Revisar signo",IF(AND(C602&lt;&gt;"Servicio",H602&lt;&gt;0),"IVA solo en Servicio",IF(AND(C602="Servicio",F602=""),"Falta servicio","OK")))))))))</f>
        <v/>
      </c>
    </row>
    <row r="603" spans="1:12" ht="22" customHeight="1">
      <c r="A603" s="3"/>
      <c r="B603" s="7"/>
      <c r="C603" s="3"/>
      <c r="D603" s="3"/>
      <c r="E603" s="3"/>
      <c r="F603" s="3"/>
      <c r="G603" s="4"/>
      <c r="H603" s="4"/>
      <c r="I603" s="3"/>
      <c r="J603" s="3"/>
      <c r="K603" s="8" t="str">
        <f t="shared" si="9"/>
        <v/>
      </c>
      <c r="L603" s="1" t="str">
        <f>IF(COUNTA(A603:J603)=0,"",IF(OR(AND(C603&lt;&gt;"Servicio",C603&lt;&gt;"Cobro",C603&lt;&gt;"Anticipo",C603&lt;&gt;"Aplicación anticipo",C603&lt;&gt;"Retención ISR",C603&lt;&gt;"Retención IVA"),AND(C603="Servicio",F603&lt;&gt;"TMS",F603&lt;&gt;"Valoración",F603&lt;&gt;"EEG",F603&lt;&gt;"Neurofeedback",F603&lt;&gt;"Fotobiomodulación",F603&lt;&gt;"Psicoterapia",F603&lt;&gt;"Otros")),"Tipo o categoría inválido",IF(COUNTA(A603:J603)=0,"",IF(OR(A603="",B603="",C603="",G603=""),"Faltan datos",IF(COUNTIF($A$7:$A$2006,A603)&gt;1,"ID duplicado",IF(OR(B603&lt;DATE(Configuración!$C$5,1,1),B603&gt;=DATE(Configuración!$C$5+1,1,1)),"Fecha fuera del año",IF(OR(G603&lt;0,H603&lt;0),"Revisar signo",IF(AND(C603&lt;&gt;"Servicio",H603&lt;&gt;0),"IVA solo en Servicio",IF(AND(C603="Servicio",F603=""),"Falta servicio","OK")))))))))</f>
        <v/>
      </c>
    </row>
    <row r="604" spans="1:12" ht="22" customHeight="1">
      <c r="A604" s="3"/>
      <c r="B604" s="7"/>
      <c r="C604" s="3"/>
      <c r="D604" s="3"/>
      <c r="E604" s="3"/>
      <c r="F604" s="3"/>
      <c r="G604" s="4"/>
      <c r="H604" s="4"/>
      <c r="I604" s="3"/>
      <c r="J604" s="3"/>
      <c r="K604" s="8" t="str">
        <f t="shared" si="9"/>
        <v/>
      </c>
      <c r="L604" s="1" t="str">
        <f>IF(COUNTA(A604:J604)=0,"",IF(OR(AND(C604&lt;&gt;"Servicio",C604&lt;&gt;"Cobro",C604&lt;&gt;"Anticipo",C604&lt;&gt;"Aplicación anticipo",C604&lt;&gt;"Retención ISR",C604&lt;&gt;"Retención IVA"),AND(C604="Servicio",F604&lt;&gt;"TMS",F604&lt;&gt;"Valoración",F604&lt;&gt;"EEG",F604&lt;&gt;"Neurofeedback",F604&lt;&gt;"Fotobiomodulación",F604&lt;&gt;"Psicoterapia",F604&lt;&gt;"Otros")),"Tipo o categoría inválido",IF(COUNTA(A604:J604)=0,"",IF(OR(A604="",B604="",C604="",G604=""),"Faltan datos",IF(COUNTIF($A$7:$A$2006,A604)&gt;1,"ID duplicado",IF(OR(B604&lt;DATE(Configuración!$C$5,1,1),B604&gt;=DATE(Configuración!$C$5+1,1,1)),"Fecha fuera del año",IF(OR(G604&lt;0,H604&lt;0),"Revisar signo",IF(AND(C604&lt;&gt;"Servicio",H604&lt;&gt;0),"IVA solo en Servicio",IF(AND(C604="Servicio",F604=""),"Falta servicio","OK")))))))))</f>
        <v/>
      </c>
    </row>
    <row r="605" spans="1:12" ht="22" customHeight="1">
      <c r="A605" s="3"/>
      <c r="B605" s="7"/>
      <c r="C605" s="3"/>
      <c r="D605" s="3"/>
      <c r="E605" s="3"/>
      <c r="F605" s="3"/>
      <c r="G605" s="4"/>
      <c r="H605" s="4"/>
      <c r="I605" s="3"/>
      <c r="J605" s="3"/>
      <c r="K605" s="8" t="str">
        <f t="shared" si="9"/>
        <v/>
      </c>
      <c r="L605" s="1" t="str">
        <f>IF(COUNTA(A605:J605)=0,"",IF(OR(AND(C605&lt;&gt;"Servicio",C605&lt;&gt;"Cobro",C605&lt;&gt;"Anticipo",C605&lt;&gt;"Aplicación anticipo",C605&lt;&gt;"Retención ISR",C605&lt;&gt;"Retención IVA"),AND(C605="Servicio",F605&lt;&gt;"TMS",F605&lt;&gt;"Valoración",F605&lt;&gt;"EEG",F605&lt;&gt;"Neurofeedback",F605&lt;&gt;"Fotobiomodulación",F605&lt;&gt;"Psicoterapia",F605&lt;&gt;"Otros")),"Tipo o categoría inválido",IF(COUNTA(A605:J605)=0,"",IF(OR(A605="",B605="",C605="",G605=""),"Faltan datos",IF(COUNTIF($A$7:$A$2006,A605)&gt;1,"ID duplicado",IF(OR(B605&lt;DATE(Configuración!$C$5,1,1),B605&gt;=DATE(Configuración!$C$5+1,1,1)),"Fecha fuera del año",IF(OR(G605&lt;0,H605&lt;0),"Revisar signo",IF(AND(C605&lt;&gt;"Servicio",H605&lt;&gt;0),"IVA solo en Servicio",IF(AND(C605="Servicio",F605=""),"Falta servicio","OK")))))))))</f>
        <v/>
      </c>
    </row>
    <row r="606" spans="1:12" ht="22" customHeight="1">
      <c r="A606" s="3"/>
      <c r="B606" s="7"/>
      <c r="C606" s="3"/>
      <c r="D606" s="3"/>
      <c r="E606" s="3"/>
      <c r="F606" s="3"/>
      <c r="G606" s="4"/>
      <c r="H606" s="4"/>
      <c r="I606" s="3"/>
      <c r="J606" s="3"/>
      <c r="K606" s="8" t="str">
        <f t="shared" si="9"/>
        <v/>
      </c>
      <c r="L606" s="1" t="str">
        <f>IF(COUNTA(A606:J606)=0,"",IF(OR(AND(C606&lt;&gt;"Servicio",C606&lt;&gt;"Cobro",C606&lt;&gt;"Anticipo",C606&lt;&gt;"Aplicación anticipo",C606&lt;&gt;"Retención ISR",C606&lt;&gt;"Retención IVA"),AND(C606="Servicio",F606&lt;&gt;"TMS",F606&lt;&gt;"Valoración",F606&lt;&gt;"EEG",F606&lt;&gt;"Neurofeedback",F606&lt;&gt;"Fotobiomodulación",F606&lt;&gt;"Psicoterapia",F606&lt;&gt;"Otros")),"Tipo o categoría inválido",IF(COUNTA(A606:J606)=0,"",IF(OR(A606="",B606="",C606="",G606=""),"Faltan datos",IF(COUNTIF($A$7:$A$2006,A606)&gt;1,"ID duplicado",IF(OR(B606&lt;DATE(Configuración!$C$5,1,1),B606&gt;=DATE(Configuración!$C$5+1,1,1)),"Fecha fuera del año",IF(OR(G606&lt;0,H606&lt;0),"Revisar signo",IF(AND(C606&lt;&gt;"Servicio",H606&lt;&gt;0),"IVA solo en Servicio",IF(AND(C606="Servicio",F606=""),"Falta servicio","OK")))))))))</f>
        <v/>
      </c>
    </row>
    <row r="607" spans="1:12" ht="22" customHeight="1">
      <c r="A607" s="3"/>
      <c r="B607" s="7"/>
      <c r="C607" s="3"/>
      <c r="D607" s="3"/>
      <c r="E607" s="3"/>
      <c r="F607" s="3"/>
      <c r="G607" s="4"/>
      <c r="H607" s="4"/>
      <c r="I607" s="3"/>
      <c r="J607" s="3"/>
      <c r="K607" s="8" t="str">
        <f t="shared" si="9"/>
        <v/>
      </c>
      <c r="L607" s="1" t="str">
        <f>IF(COUNTA(A607:J607)=0,"",IF(OR(AND(C607&lt;&gt;"Servicio",C607&lt;&gt;"Cobro",C607&lt;&gt;"Anticipo",C607&lt;&gt;"Aplicación anticipo",C607&lt;&gt;"Retención ISR",C607&lt;&gt;"Retención IVA"),AND(C607="Servicio",F607&lt;&gt;"TMS",F607&lt;&gt;"Valoración",F607&lt;&gt;"EEG",F607&lt;&gt;"Neurofeedback",F607&lt;&gt;"Fotobiomodulación",F607&lt;&gt;"Psicoterapia",F607&lt;&gt;"Otros")),"Tipo o categoría inválido",IF(COUNTA(A607:J607)=0,"",IF(OR(A607="",B607="",C607="",G607=""),"Faltan datos",IF(COUNTIF($A$7:$A$2006,A607)&gt;1,"ID duplicado",IF(OR(B607&lt;DATE(Configuración!$C$5,1,1),B607&gt;=DATE(Configuración!$C$5+1,1,1)),"Fecha fuera del año",IF(OR(G607&lt;0,H607&lt;0),"Revisar signo",IF(AND(C607&lt;&gt;"Servicio",H607&lt;&gt;0),"IVA solo en Servicio",IF(AND(C607="Servicio",F607=""),"Falta servicio","OK")))))))))</f>
        <v/>
      </c>
    </row>
    <row r="608" spans="1:12" ht="22" customHeight="1">
      <c r="A608" s="3"/>
      <c r="B608" s="7"/>
      <c r="C608" s="3"/>
      <c r="D608" s="3"/>
      <c r="E608" s="3"/>
      <c r="F608" s="3"/>
      <c r="G608" s="4"/>
      <c r="H608" s="4"/>
      <c r="I608" s="3"/>
      <c r="J608" s="3"/>
      <c r="K608" s="8" t="str">
        <f t="shared" si="9"/>
        <v/>
      </c>
      <c r="L608" s="1" t="str">
        <f>IF(COUNTA(A608:J608)=0,"",IF(OR(AND(C608&lt;&gt;"Servicio",C608&lt;&gt;"Cobro",C608&lt;&gt;"Anticipo",C608&lt;&gt;"Aplicación anticipo",C608&lt;&gt;"Retención ISR",C608&lt;&gt;"Retención IVA"),AND(C608="Servicio",F608&lt;&gt;"TMS",F608&lt;&gt;"Valoración",F608&lt;&gt;"EEG",F608&lt;&gt;"Neurofeedback",F608&lt;&gt;"Fotobiomodulación",F608&lt;&gt;"Psicoterapia",F608&lt;&gt;"Otros")),"Tipo o categoría inválido",IF(COUNTA(A608:J608)=0,"",IF(OR(A608="",B608="",C608="",G608=""),"Faltan datos",IF(COUNTIF($A$7:$A$2006,A608)&gt;1,"ID duplicado",IF(OR(B608&lt;DATE(Configuración!$C$5,1,1),B608&gt;=DATE(Configuración!$C$5+1,1,1)),"Fecha fuera del año",IF(OR(G608&lt;0,H608&lt;0),"Revisar signo",IF(AND(C608&lt;&gt;"Servicio",H608&lt;&gt;0),"IVA solo en Servicio",IF(AND(C608="Servicio",F608=""),"Falta servicio","OK")))))))))</f>
        <v/>
      </c>
    </row>
    <row r="609" spans="1:12" ht="22" customHeight="1">
      <c r="A609" s="3"/>
      <c r="B609" s="7"/>
      <c r="C609" s="3"/>
      <c r="D609" s="3"/>
      <c r="E609" s="3"/>
      <c r="F609" s="3"/>
      <c r="G609" s="4"/>
      <c r="H609" s="4"/>
      <c r="I609" s="3"/>
      <c r="J609" s="3"/>
      <c r="K609" s="8" t="str">
        <f t="shared" si="9"/>
        <v/>
      </c>
      <c r="L609" s="1" t="str">
        <f>IF(COUNTA(A609:J609)=0,"",IF(OR(AND(C609&lt;&gt;"Servicio",C609&lt;&gt;"Cobro",C609&lt;&gt;"Anticipo",C609&lt;&gt;"Aplicación anticipo",C609&lt;&gt;"Retención ISR",C609&lt;&gt;"Retención IVA"),AND(C609="Servicio",F609&lt;&gt;"TMS",F609&lt;&gt;"Valoración",F609&lt;&gt;"EEG",F609&lt;&gt;"Neurofeedback",F609&lt;&gt;"Fotobiomodulación",F609&lt;&gt;"Psicoterapia",F609&lt;&gt;"Otros")),"Tipo o categoría inválido",IF(COUNTA(A609:J609)=0,"",IF(OR(A609="",B609="",C609="",G609=""),"Faltan datos",IF(COUNTIF($A$7:$A$2006,A609)&gt;1,"ID duplicado",IF(OR(B609&lt;DATE(Configuración!$C$5,1,1),B609&gt;=DATE(Configuración!$C$5+1,1,1)),"Fecha fuera del año",IF(OR(G609&lt;0,H609&lt;0),"Revisar signo",IF(AND(C609&lt;&gt;"Servicio",H609&lt;&gt;0),"IVA solo en Servicio",IF(AND(C609="Servicio",F609=""),"Falta servicio","OK")))))))))</f>
        <v/>
      </c>
    </row>
    <row r="610" spans="1:12" ht="22" customHeight="1">
      <c r="A610" s="3"/>
      <c r="B610" s="7"/>
      <c r="C610" s="3"/>
      <c r="D610" s="3"/>
      <c r="E610" s="3"/>
      <c r="F610" s="3"/>
      <c r="G610" s="4"/>
      <c r="H610" s="4"/>
      <c r="I610" s="3"/>
      <c r="J610" s="3"/>
      <c r="K610" s="8" t="str">
        <f t="shared" si="9"/>
        <v/>
      </c>
      <c r="L610" s="1" t="str">
        <f>IF(COUNTA(A610:J610)=0,"",IF(OR(AND(C610&lt;&gt;"Servicio",C610&lt;&gt;"Cobro",C610&lt;&gt;"Anticipo",C610&lt;&gt;"Aplicación anticipo",C610&lt;&gt;"Retención ISR",C610&lt;&gt;"Retención IVA"),AND(C610="Servicio",F610&lt;&gt;"TMS",F610&lt;&gt;"Valoración",F610&lt;&gt;"EEG",F610&lt;&gt;"Neurofeedback",F610&lt;&gt;"Fotobiomodulación",F610&lt;&gt;"Psicoterapia",F610&lt;&gt;"Otros")),"Tipo o categoría inválido",IF(COUNTA(A610:J610)=0,"",IF(OR(A610="",B610="",C610="",G610=""),"Faltan datos",IF(COUNTIF($A$7:$A$2006,A610)&gt;1,"ID duplicado",IF(OR(B610&lt;DATE(Configuración!$C$5,1,1),B610&gt;=DATE(Configuración!$C$5+1,1,1)),"Fecha fuera del año",IF(OR(G610&lt;0,H610&lt;0),"Revisar signo",IF(AND(C610&lt;&gt;"Servicio",H610&lt;&gt;0),"IVA solo en Servicio",IF(AND(C610="Servicio",F610=""),"Falta servicio","OK")))))))))</f>
        <v/>
      </c>
    </row>
    <row r="611" spans="1:12" ht="22" customHeight="1">
      <c r="A611" s="3"/>
      <c r="B611" s="7"/>
      <c r="C611" s="3"/>
      <c r="D611" s="3"/>
      <c r="E611" s="3"/>
      <c r="F611" s="3"/>
      <c r="G611" s="4"/>
      <c r="H611" s="4"/>
      <c r="I611" s="3"/>
      <c r="J611" s="3"/>
      <c r="K611" s="8" t="str">
        <f t="shared" si="9"/>
        <v/>
      </c>
      <c r="L611" s="1" t="str">
        <f>IF(COUNTA(A611:J611)=0,"",IF(OR(AND(C611&lt;&gt;"Servicio",C611&lt;&gt;"Cobro",C611&lt;&gt;"Anticipo",C611&lt;&gt;"Aplicación anticipo",C611&lt;&gt;"Retención ISR",C611&lt;&gt;"Retención IVA"),AND(C611="Servicio",F611&lt;&gt;"TMS",F611&lt;&gt;"Valoración",F611&lt;&gt;"EEG",F611&lt;&gt;"Neurofeedback",F611&lt;&gt;"Fotobiomodulación",F611&lt;&gt;"Psicoterapia",F611&lt;&gt;"Otros")),"Tipo o categoría inválido",IF(COUNTA(A611:J611)=0,"",IF(OR(A611="",B611="",C611="",G611=""),"Faltan datos",IF(COUNTIF($A$7:$A$2006,A611)&gt;1,"ID duplicado",IF(OR(B611&lt;DATE(Configuración!$C$5,1,1),B611&gt;=DATE(Configuración!$C$5+1,1,1)),"Fecha fuera del año",IF(OR(G611&lt;0,H611&lt;0),"Revisar signo",IF(AND(C611&lt;&gt;"Servicio",H611&lt;&gt;0),"IVA solo en Servicio",IF(AND(C611="Servicio",F611=""),"Falta servicio","OK")))))))))</f>
        <v/>
      </c>
    </row>
    <row r="612" spans="1:12" ht="22" customHeight="1">
      <c r="A612" s="3"/>
      <c r="B612" s="7"/>
      <c r="C612" s="3"/>
      <c r="D612" s="3"/>
      <c r="E612" s="3"/>
      <c r="F612" s="3"/>
      <c r="G612" s="4"/>
      <c r="H612" s="4"/>
      <c r="I612" s="3"/>
      <c r="J612" s="3"/>
      <c r="K612" s="8" t="str">
        <f t="shared" si="9"/>
        <v/>
      </c>
      <c r="L612" s="1" t="str">
        <f>IF(COUNTA(A612:J612)=0,"",IF(OR(AND(C612&lt;&gt;"Servicio",C612&lt;&gt;"Cobro",C612&lt;&gt;"Anticipo",C612&lt;&gt;"Aplicación anticipo",C612&lt;&gt;"Retención ISR",C612&lt;&gt;"Retención IVA"),AND(C612="Servicio",F612&lt;&gt;"TMS",F612&lt;&gt;"Valoración",F612&lt;&gt;"EEG",F612&lt;&gt;"Neurofeedback",F612&lt;&gt;"Fotobiomodulación",F612&lt;&gt;"Psicoterapia",F612&lt;&gt;"Otros")),"Tipo o categoría inválido",IF(COUNTA(A612:J612)=0,"",IF(OR(A612="",B612="",C612="",G612=""),"Faltan datos",IF(COUNTIF($A$7:$A$2006,A612)&gt;1,"ID duplicado",IF(OR(B612&lt;DATE(Configuración!$C$5,1,1),B612&gt;=DATE(Configuración!$C$5+1,1,1)),"Fecha fuera del año",IF(OR(G612&lt;0,H612&lt;0),"Revisar signo",IF(AND(C612&lt;&gt;"Servicio",H612&lt;&gt;0),"IVA solo en Servicio",IF(AND(C612="Servicio",F612=""),"Falta servicio","OK")))))))))</f>
        <v/>
      </c>
    </row>
    <row r="613" spans="1:12" ht="22" customHeight="1">
      <c r="A613" s="3"/>
      <c r="B613" s="7"/>
      <c r="C613" s="3"/>
      <c r="D613" s="3"/>
      <c r="E613" s="3"/>
      <c r="F613" s="3"/>
      <c r="G613" s="4"/>
      <c r="H613" s="4"/>
      <c r="I613" s="3"/>
      <c r="J613" s="3"/>
      <c r="K613" s="8" t="str">
        <f t="shared" si="9"/>
        <v/>
      </c>
      <c r="L613" s="1" t="str">
        <f>IF(COUNTA(A613:J613)=0,"",IF(OR(AND(C613&lt;&gt;"Servicio",C613&lt;&gt;"Cobro",C613&lt;&gt;"Anticipo",C613&lt;&gt;"Aplicación anticipo",C613&lt;&gt;"Retención ISR",C613&lt;&gt;"Retención IVA"),AND(C613="Servicio",F613&lt;&gt;"TMS",F613&lt;&gt;"Valoración",F613&lt;&gt;"EEG",F613&lt;&gt;"Neurofeedback",F613&lt;&gt;"Fotobiomodulación",F613&lt;&gt;"Psicoterapia",F613&lt;&gt;"Otros")),"Tipo o categoría inválido",IF(COUNTA(A613:J613)=0,"",IF(OR(A613="",B613="",C613="",G613=""),"Faltan datos",IF(COUNTIF($A$7:$A$2006,A613)&gt;1,"ID duplicado",IF(OR(B613&lt;DATE(Configuración!$C$5,1,1),B613&gt;=DATE(Configuración!$C$5+1,1,1)),"Fecha fuera del año",IF(OR(G613&lt;0,H613&lt;0),"Revisar signo",IF(AND(C613&lt;&gt;"Servicio",H613&lt;&gt;0),"IVA solo en Servicio",IF(AND(C613="Servicio",F613=""),"Falta servicio","OK")))))))))</f>
        <v/>
      </c>
    </row>
    <row r="614" spans="1:12" ht="22" customHeight="1">
      <c r="A614" s="3"/>
      <c r="B614" s="7"/>
      <c r="C614" s="3"/>
      <c r="D614" s="3"/>
      <c r="E614" s="3"/>
      <c r="F614" s="3"/>
      <c r="G614" s="4"/>
      <c r="H614" s="4"/>
      <c r="I614" s="3"/>
      <c r="J614" s="3"/>
      <c r="K614" s="8" t="str">
        <f t="shared" si="9"/>
        <v/>
      </c>
      <c r="L614" s="1" t="str">
        <f>IF(COUNTA(A614:J614)=0,"",IF(OR(AND(C614&lt;&gt;"Servicio",C614&lt;&gt;"Cobro",C614&lt;&gt;"Anticipo",C614&lt;&gt;"Aplicación anticipo",C614&lt;&gt;"Retención ISR",C614&lt;&gt;"Retención IVA"),AND(C614="Servicio",F614&lt;&gt;"TMS",F614&lt;&gt;"Valoración",F614&lt;&gt;"EEG",F614&lt;&gt;"Neurofeedback",F614&lt;&gt;"Fotobiomodulación",F614&lt;&gt;"Psicoterapia",F614&lt;&gt;"Otros")),"Tipo o categoría inválido",IF(COUNTA(A614:J614)=0,"",IF(OR(A614="",B614="",C614="",G614=""),"Faltan datos",IF(COUNTIF($A$7:$A$2006,A614)&gt;1,"ID duplicado",IF(OR(B614&lt;DATE(Configuración!$C$5,1,1),B614&gt;=DATE(Configuración!$C$5+1,1,1)),"Fecha fuera del año",IF(OR(G614&lt;0,H614&lt;0),"Revisar signo",IF(AND(C614&lt;&gt;"Servicio",H614&lt;&gt;0),"IVA solo en Servicio",IF(AND(C614="Servicio",F614=""),"Falta servicio","OK")))))))))</f>
        <v/>
      </c>
    </row>
    <row r="615" spans="1:12" ht="22" customHeight="1">
      <c r="A615" s="3"/>
      <c r="B615" s="7"/>
      <c r="C615" s="3"/>
      <c r="D615" s="3"/>
      <c r="E615" s="3"/>
      <c r="F615" s="3"/>
      <c r="G615" s="4"/>
      <c r="H615" s="4"/>
      <c r="I615" s="3"/>
      <c r="J615" s="3"/>
      <c r="K615" s="8" t="str">
        <f t="shared" si="9"/>
        <v/>
      </c>
      <c r="L615" s="1" t="str">
        <f>IF(COUNTA(A615:J615)=0,"",IF(OR(AND(C615&lt;&gt;"Servicio",C615&lt;&gt;"Cobro",C615&lt;&gt;"Anticipo",C615&lt;&gt;"Aplicación anticipo",C615&lt;&gt;"Retención ISR",C615&lt;&gt;"Retención IVA"),AND(C615="Servicio",F615&lt;&gt;"TMS",F615&lt;&gt;"Valoración",F615&lt;&gt;"EEG",F615&lt;&gt;"Neurofeedback",F615&lt;&gt;"Fotobiomodulación",F615&lt;&gt;"Psicoterapia",F615&lt;&gt;"Otros")),"Tipo o categoría inválido",IF(COUNTA(A615:J615)=0,"",IF(OR(A615="",B615="",C615="",G615=""),"Faltan datos",IF(COUNTIF($A$7:$A$2006,A615)&gt;1,"ID duplicado",IF(OR(B615&lt;DATE(Configuración!$C$5,1,1),B615&gt;=DATE(Configuración!$C$5+1,1,1)),"Fecha fuera del año",IF(OR(G615&lt;0,H615&lt;0),"Revisar signo",IF(AND(C615&lt;&gt;"Servicio",H615&lt;&gt;0),"IVA solo en Servicio",IF(AND(C615="Servicio",F615=""),"Falta servicio","OK")))))))))</f>
        <v/>
      </c>
    </row>
    <row r="616" spans="1:12" ht="22" customHeight="1">
      <c r="A616" s="3"/>
      <c r="B616" s="7"/>
      <c r="C616" s="3"/>
      <c r="D616" s="3"/>
      <c r="E616" s="3"/>
      <c r="F616" s="3"/>
      <c r="G616" s="4"/>
      <c r="H616" s="4"/>
      <c r="I616" s="3"/>
      <c r="J616" s="3"/>
      <c r="K616" s="8" t="str">
        <f t="shared" si="9"/>
        <v/>
      </c>
      <c r="L616" s="1" t="str">
        <f>IF(COUNTA(A616:J616)=0,"",IF(OR(AND(C616&lt;&gt;"Servicio",C616&lt;&gt;"Cobro",C616&lt;&gt;"Anticipo",C616&lt;&gt;"Aplicación anticipo",C616&lt;&gt;"Retención ISR",C616&lt;&gt;"Retención IVA"),AND(C616="Servicio",F616&lt;&gt;"TMS",F616&lt;&gt;"Valoración",F616&lt;&gt;"EEG",F616&lt;&gt;"Neurofeedback",F616&lt;&gt;"Fotobiomodulación",F616&lt;&gt;"Psicoterapia",F616&lt;&gt;"Otros")),"Tipo o categoría inválido",IF(COUNTA(A616:J616)=0,"",IF(OR(A616="",B616="",C616="",G616=""),"Faltan datos",IF(COUNTIF($A$7:$A$2006,A616)&gt;1,"ID duplicado",IF(OR(B616&lt;DATE(Configuración!$C$5,1,1),B616&gt;=DATE(Configuración!$C$5+1,1,1)),"Fecha fuera del año",IF(OR(G616&lt;0,H616&lt;0),"Revisar signo",IF(AND(C616&lt;&gt;"Servicio",H616&lt;&gt;0),"IVA solo en Servicio",IF(AND(C616="Servicio",F616=""),"Falta servicio","OK")))))))))</f>
        <v/>
      </c>
    </row>
    <row r="617" spans="1:12" ht="22" customHeight="1">
      <c r="A617" s="3"/>
      <c r="B617" s="7"/>
      <c r="C617" s="3"/>
      <c r="D617" s="3"/>
      <c r="E617" s="3"/>
      <c r="F617" s="3"/>
      <c r="G617" s="4"/>
      <c r="H617" s="4"/>
      <c r="I617" s="3"/>
      <c r="J617" s="3"/>
      <c r="K617" s="8" t="str">
        <f t="shared" si="9"/>
        <v/>
      </c>
      <c r="L617" s="1" t="str">
        <f>IF(COUNTA(A617:J617)=0,"",IF(OR(AND(C617&lt;&gt;"Servicio",C617&lt;&gt;"Cobro",C617&lt;&gt;"Anticipo",C617&lt;&gt;"Aplicación anticipo",C617&lt;&gt;"Retención ISR",C617&lt;&gt;"Retención IVA"),AND(C617="Servicio",F617&lt;&gt;"TMS",F617&lt;&gt;"Valoración",F617&lt;&gt;"EEG",F617&lt;&gt;"Neurofeedback",F617&lt;&gt;"Fotobiomodulación",F617&lt;&gt;"Psicoterapia",F617&lt;&gt;"Otros")),"Tipo o categoría inválido",IF(COUNTA(A617:J617)=0,"",IF(OR(A617="",B617="",C617="",G617=""),"Faltan datos",IF(COUNTIF($A$7:$A$2006,A617)&gt;1,"ID duplicado",IF(OR(B617&lt;DATE(Configuración!$C$5,1,1),B617&gt;=DATE(Configuración!$C$5+1,1,1)),"Fecha fuera del año",IF(OR(G617&lt;0,H617&lt;0),"Revisar signo",IF(AND(C617&lt;&gt;"Servicio",H617&lt;&gt;0),"IVA solo en Servicio",IF(AND(C617="Servicio",F617=""),"Falta servicio","OK")))))))))</f>
        <v/>
      </c>
    </row>
    <row r="618" spans="1:12" ht="22" customHeight="1">
      <c r="A618" s="3"/>
      <c r="B618" s="7"/>
      <c r="C618" s="3"/>
      <c r="D618" s="3"/>
      <c r="E618" s="3"/>
      <c r="F618" s="3"/>
      <c r="G618" s="4"/>
      <c r="H618" s="4"/>
      <c r="I618" s="3"/>
      <c r="J618" s="3"/>
      <c r="K618" s="8" t="str">
        <f t="shared" si="9"/>
        <v/>
      </c>
      <c r="L618" s="1" t="str">
        <f>IF(COUNTA(A618:J618)=0,"",IF(OR(AND(C618&lt;&gt;"Servicio",C618&lt;&gt;"Cobro",C618&lt;&gt;"Anticipo",C618&lt;&gt;"Aplicación anticipo",C618&lt;&gt;"Retención ISR",C618&lt;&gt;"Retención IVA"),AND(C618="Servicio",F618&lt;&gt;"TMS",F618&lt;&gt;"Valoración",F618&lt;&gt;"EEG",F618&lt;&gt;"Neurofeedback",F618&lt;&gt;"Fotobiomodulación",F618&lt;&gt;"Psicoterapia",F618&lt;&gt;"Otros")),"Tipo o categoría inválido",IF(COUNTA(A618:J618)=0,"",IF(OR(A618="",B618="",C618="",G618=""),"Faltan datos",IF(COUNTIF($A$7:$A$2006,A618)&gt;1,"ID duplicado",IF(OR(B618&lt;DATE(Configuración!$C$5,1,1),B618&gt;=DATE(Configuración!$C$5+1,1,1)),"Fecha fuera del año",IF(OR(G618&lt;0,H618&lt;0),"Revisar signo",IF(AND(C618&lt;&gt;"Servicio",H618&lt;&gt;0),"IVA solo en Servicio",IF(AND(C618="Servicio",F618=""),"Falta servicio","OK")))))))))</f>
        <v/>
      </c>
    </row>
    <row r="619" spans="1:12" ht="22" customHeight="1">
      <c r="A619" s="3"/>
      <c r="B619" s="7"/>
      <c r="C619" s="3"/>
      <c r="D619" s="3"/>
      <c r="E619" s="3"/>
      <c r="F619" s="3"/>
      <c r="G619" s="4"/>
      <c r="H619" s="4"/>
      <c r="I619" s="3"/>
      <c r="J619" s="3"/>
      <c r="K619" s="8" t="str">
        <f t="shared" si="9"/>
        <v/>
      </c>
      <c r="L619" s="1" t="str">
        <f>IF(COUNTA(A619:J619)=0,"",IF(OR(AND(C619&lt;&gt;"Servicio",C619&lt;&gt;"Cobro",C619&lt;&gt;"Anticipo",C619&lt;&gt;"Aplicación anticipo",C619&lt;&gt;"Retención ISR",C619&lt;&gt;"Retención IVA"),AND(C619="Servicio",F619&lt;&gt;"TMS",F619&lt;&gt;"Valoración",F619&lt;&gt;"EEG",F619&lt;&gt;"Neurofeedback",F619&lt;&gt;"Fotobiomodulación",F619&lt;&gt;"Psicoterapia",F619&lt;&gt;"Otros")),"Tipo o categoría inválido",IF(COUNTA(A619:J619)=0,"",IF(OR(A619="",B619="",C619="",G619=""),"Faltan datos",IF(COUNTIF($A$7:$A$2006,A619)&gt;1,"ID duplicado",IF(OR(B619&lt;DATE(Configuración!$C$5,1,1),B619&gt;=DATE(Configuración!$C$5+1,1,1)),"Fecha fuera del año",IF(OR(G619&lt;0,H619&lt;0),"Revisar signo",IF(AND(C619&lt;&gt;"Servicio",H619&lt;&gt;0),"IVA solo en Servicio",IF(AND(C619="Servicio",F619=""),"Falta servicio","OK")))))))))</f>
        <v/>
      </c>
    </row>
    <row r="620" spans="1:12" ht="22" customHeight="1">
      <c r="A620" s="3"/>
      <c r="B620" s="7"/>
      <c r="C620" s="3"/>
      <c r="D620" s="3"/>
      <c r="E620" s="3"/>
      <c r="F620" s="3"/>
      <c r="G620" s="4"/>
      <c r="H620" s="4"/>
      <c r="I620" s="3"/>
      <c r="J620" s="3"/>
      <c r="K620" s="8" t="str">
        <f t="shared" si="9"/>
        <v/>
      </c>
      <c r="L620" s="1" t="str">
        <f>IF(COUNTA(A620:J620)=0,"",IF(OR(AND(C620&lt;&gt;"Servicio",C620&lt;&gt;"Cobro",C620&lt;&gt;"Anticipo",C620&lt;&gt;"Aplicación anticipo",C620&lt;&gt;"Retención ISR",C620&lt;&gt;"Retención IVA"),AND(C620="Servicio",F620&lt;&gt;"TMS",F620&lt;&gt;"Valoración",F620&lt;&gt;"EEG",F620&lt;&gt;"Neurofeedback",F620&lt;&gt;"Fotobiomodulación",F620&lt;&gt;"Psicoterapia",F620&lt;&gt;"Otros")),"Tipo o categoría inválido",IF(COUNTA(A620:J620)=0,"",IF(OR(A620="",B620="",C620="",G620=""),"Faltan datos",IF(COUNTIF($A$7:$A$2006,A620)&gt;1,"ID duplicado",IF(OR(B620&lt;DATE(Configuración!$C$5,1,1),B620&gt;=DATE(Configuración!$C$5+1,1,1)),"Fecha fuera del año",IF(OR(G620&lt;0,H620&lt;0),"Revisar signo",IF(AND(C620&lt;&gt;"Servicio",H620&lt;&gt;0),"IVA solo en Servicio",IF(AND(C620="Servicio",F620=""),"Falta servicio","OK")))))))))</f>
        <v/>
      </c>
    </row>
    <row r="621" spans="1:12" ht="22" customHeight="1">
      <c r="A621" s="3"/>
      <c r="B621" s="7"/>
      <c r="C621" s="3"/>
      <c r="D621" s="3"/>
      <c r="E621" s="3"/>
      <c r="F621" s="3"/>
      <c r="G621" s="4"/>
      <c r="H621" s="4"/>
      <c r="I621" s="3"/>
      <c r="J621" s="3"/>
      <c r="K621" s="8" t="str">
        <f t="shared" si="9"/>
        <v/>
      </c>
      <c r="L621" s="1" t="str">
        <f>IF(COUNTA(A621:J621)=0,"",IF(OR(AND(C621&lt;&gt;"Servicio",C621&lt;&gt;"Cobro",C621&lt;&gt;"Anticipo",C621&lt;&gt;"Aplicación anticipo",C621&lt;&gt;"Retención ISR",C621&lt;&gt;"Retención IVA"),AND(C621="Servicio",F621&lt;&gt;"TMS",F621&lt;&gt;"Valoración",F621&lt;&gt;"EEG",F621&lt;&gt;"Neurofeedback",F621&lt;&gt;"Fotobiomodulación",F621&lt;&gt;"Psicoterapia",F621&lt;&gt;"Otros")),"Tipo o categoría inválido",IF(COUNTA(A621:J621)=0,"",IF(OR(A621="",B621="",C621="",G621=""),"Faltan datos",IF(COUNTIF($A$7:$A$2006,A621)&gt;1,"ID duplicado",IF(OR(B621&lt;DATE(Configuración!$C$5,1,1),B621&gt;=DATE(Configuración!$C$5+1,1,1)),"Fecha fuera del año",IF(OR(G621&lt;0,H621&lt;0),"Revisar signo",IF(AND(C621&lt;&gt;"Servicio",H621&lt;&gt;0),"IVA solo en Servicio",IF(AND(C621="Servicio",F621=""),"Falta servicio","OK")))))))))</f>
        <v/>
      </c>
    </row>
    <row r="622" spans="1:12" ht="22" customHeight="1">
      <c r="A622" s="3"/>
      <c r="B622" s="7"/>
      <c r="C622" s="3"/>
      <c r="D622" s="3"/>
      <c r="E622" s="3"/>
      <c r="F622" s="3"/>
      <c r="G622" s="4"/>
      <c r="H622" s="4"/>
      <c r="I622" s="3"/>
      <c r="J622" s="3"/>
      <c r="K622" s="8" t="str">
        <f t="shared" si="9"/>
        <v/>
      </c>
      <c r="L622" s="1" t="str">
        <f>IF(COUNTA(A622:J622)=0,"",IF(OR(AND(C622&lt;&gt;"Servicio",C622&lt;&gt;"Cobro",C622&lt;&gt;"Anticipo",C622&lt;&gt;"Aplicación anticipo",C622&lt;&gt;"Retención ISR",C622&lt;&gt;"Retención IVA"),AND(C622="Servicio",F622&lt;&gt;"TMS",F622&lt;&gt;"Valoración",F622&lt;&gt;"EEG",F622&lt;&gt;"Neurofeedback",F622&lt;&gt;"Fotobiomodulación",F622&lt;&gt;"Psicoterapia",F622&lt;&gt;"Otros")),"Tipo o categoría inválido",IF(COUNTA(A622:J622)=0,"",IF(OR(A622="",B622="",C622="",G622=""),"Faltan datos",IF(COUNTIF($A$7:$A$2006,A622)&gt;1,"ID duplicado",IF(OR(B622&lt;DATE(Configuración!$C$5,1,1),B622&gt;=DATE(Configuración!$C$5+1,1,1)),"Fecha fuera del año",IF(OR(G622&lt;0,H622&lt;0),"Revisar signo",IF(AND(C622&lt;&gt;"Servicio",H622&lt;&gt;0),"IVA solo en Servicio",IF(AND(C622="Servicio",F622=""),"Falta servicio","OK")))))))))</f>
        <v/>
      </c>
    </row>
    <row r="623" spans="1:12" ht="22" customHeight="1">
      <c r="A623" s="3"/>
      <c r="B623" s="7"/>
      <c r="C623" s="3"/>
      <c r="D623" s="3"/>
      <c r="E623" s="3"/>
      <c r="F623" s="3"/>
      <c r="G623" s="4"/>
      <c r="H623" s="4"/>
      <c r="I623" s="3"/>
      <c r="J623" s="3"/>
      <c r="K623" s="8" t="str">
        <f t="shared" si="9"/>
        <v/>
      </c>
      <c r="L623" s="1" t="str">
        <f>IF(COUNTA(A623:J623)=0,"",IF(OR(AND(C623&lt;&gt;"Servicio",C623&lt;&gt;"Cobro",C623&lt;&gt;"Anticipo",C623&lt;&gt;"Aplicación anticipo",C623&lt;&gt;"Retención ISR",C623&lt;&gt;"Retención IVA"),AND(C623="Servicio",F623&lt;&gt;"TMS",F623&lt;&gt;"Valoración",F623&lt;&gt;"EEG",F623&lt;&gt;"Neurofeedback",F623&lt;&gt;"Fotobiomodulación",F623&lt;&gt;"Psicoterapia",F623&lt;&gt;"Otros")),"Tipo o categoría inválido",IF(COUNTA(A623:J623)=0,"",IF(OR(A623="",B623="",C623="",G623=""),"Faltan datos",IF(COUNTIF($A$7:$A$2006,A623)&gt;1,"ID duplicado",IF(OR(B623&lt;DATE(Configuración!$C$5,1,1),B623&gt;=DATE(Configuración!$C$5+1,1,1)),"Fecha fuera del año",IF(OR(G623&lt;0,H623&lt;0),"Revisar signo",IF(AND(C623&lt;&gt;"Servicio",H623&lt;&gt;0),"IVA solo en Servicio",IF(AND(C623="Servicio",F623=""),"Falta servicio","OK")))))))))</f>
        <v/>
      </c>
    </row>
    <row r="624" spans="1:12" ht="22" customHeight="1">
      <c r="A624" s="3"/>
      <c r="B624" s="7"/>
      <c r="C624" s="3"/>
      <c r="D624" s="3"/>
      <c r="E624" s="3"/>
      <c r="F624" s="3"/>
      <c r="G624" s="4"/>
      <c r="H624" s="4"/>
      <c r="I624" s="3"/>
      <c r="J624" s="3"/>
      <c r="K624" s="8" t="str">
        <f t="shared" si="9"/>
        <v/>
      </c>
      <c r="L624" s="1" t="str">
        <f>IF(COUNTA(A624:J624)=0,"",IF(OR(AND(C624&lt;&gt;"Servicio",C624&lt;&gt;"Cobro",C624&lt;&gt;"Anticipo",C624&lt;&gt;"Aplicación anticipo",C624&lt;&gt;"Retención ISR",C624&lt;&gt;"Retención IVA"),AND(C624="Servicio",F624&lt;&gt;"TMS",F624&lt;&gt;"Valoración",F624&lt;&gt;"EEG",F624&lt;&gt;"Neurofeedback",F624&lt;&gt;"Fotobiomodulación",F624&lt;&gt;"Psicoterapia",F624&lt;&gt;"Otros")),"Tipo o categoría inválido",IF(COUNTA(A624:J624)=0,"",IF(OR(A624="",B624="",C624="",G624=""),"Faltan datos",IF(COUNTIF($A$7:$A$2006,A624)&gt;1,"ID duplicado",IF(OR(B624&lt;DATE(Configuración!$C$5,1,1),B624&gt;=DATE(Configuración!$C$5+1,1,1)),"Fecha fuera del año",IF(OR(G624&lt;0,H624&lt;0),"Revisar signo",IF(AND(C624&lt;&gt;"Servicio",H624&lt;&gt;0),"IVA solo en Servicio",IF(AND(C624="Servicio",F624=""),"Falta servicio","OK")))))))))</f>
        <v/>
      </c>
    </row>
    <row r="625" spans="1:12" ht="22" customHeight="1">
      <c r="A625" s="3"/>
      <c r="B625" s="7"/>
      <c r="C625" s="3"/>
      <c r="D625" s="3"/>
      <c r="E625" s="3"/>
      <c r="F625" s="3"/>
      <c r="G625" s="4"/>
      <c r="H625" s="4"/>
      <c r="I625" s="3"/>
      <c r="J625" s="3"/>
      <c r="K625" s="8" t="str">
        <f t="shared" si="9"/>
        <v/>
      </c>
      <c r="L625" s="1" t="str">
        <f>IF(COUNTA(A625:J625)=0,"",IF(OR(AND(C625&lt;&gt;"Servicio",C625&lt;&gt;"Cobro",C625&lt;&gt;"Anticipo",C625&lt;&gt;"Aplicación anticipo",C625&lt;&gt;"Retención ISR",C625&lt;&gt;"Retención IVA"),AND(C625="Servicio",F625&lt;&gt;"TMS",F625&lt;&gt;"Valoración",F625&lt;&gt;"EEG",F625&lt;&gt;"Neurofeedback",F625&lt;&gt;"Fotobiomodulación",F625&lt;&gt;"Psicoterapia",F625&lt;&gt;"Otros")),"Tipo o categoría inválido",IF(COUNTA(A625:J625)=0,"",IF(OR(A625="",B625="",C625="",G625=""),"Faltan datos",IF(COUNTIF($A$7:$A$2006,A625)&gt;1,"ID duplicado",IF(OR(B625&lt;DATE(Configuración!$C$5,1,1),B625&gt;=DATE(Configuración!$C$5+1,1,1)),"Fecha fuera del año",IF(OR(G625&lt;0,H625&lt;0),"Revisar signo",IF(AND(C625&lt;&gt;"Servicio",H625&lt;&gt;0),"IVA solo en Servicio",IF(AND(C625="Servicio",F625=""),"Falta servicio","OK")))))))))</f>
        <v/>
      </c>
    </row>
    <row r="626" spans="1:12" ht="22" customHeight="1">
      <c r="A626" s="3"/>
      <c r="B626" s="7"/>
      <c r="C626" s="3"/>
      <c r="D626" s="3"/>
      <c r="E626" s="3"/>
      <c r="F626" s="3"/>
      <c r="G626" s="4"/>
      <c r="H626" s="4"/>
      <c r="I626" s="3"/>
      <c r="J626" s="3"/>
      <c r="K626" s="8" t="str">
        <f t="shared" si="9"/>
        <v/>
      </c>
      <c r="L626" s="1" t="str">
        <f>IF(COUNTA(A626:J626)=0,"",IF(OR(AND(C626&lt;&gt;"Servicio",C626&lt;&gt;"Cobro",C626&lt;&gt;"Anticipo",C626&lt;&gt;"Aplicación anticipo",C626&lt;&gt;"Retención ISR",C626&lt;&gt;"Retención IVA"),AND(C626="Servicio",F626&lt;&gt;"TMS",F626&lt;&gt;"Valoración",F626&lt;&gt;"EEG",F626&lt;&gt;"Neurofeedback",F626&lt;&gt;"Fotobiomodulación",F626&lt;&gt;"Psicoterapia",F626&lt;&gt;"Otros")),"Tipo o categoría inválido",IF(COUNTA(A626:J626)=0,"",IF(OR(A626="",B626="",C626="",G626=""),"Faltan datos",IF(COUNTIF($A$7:$A$2006,A626)&gt;1,"ID duplicado",IF(OR(B626&lt;DATE(Configuración!$C$5,1,1),B626&gt;=DATE(Configuración!$C$5+1,1,1)),"Fecha fuera del año",IF(OR(G626&lt;0,H626&lt;0),"Revisar signo",IF(AND(C626&lt;&gt;"Servicio",H626&lt;&gt;0),"IVA solo en Servicio",IF(AND(C626="Servicio",F626=""),"Falta servicio","OK")))))))))</f>
        <v/>
      </c>
    </row>
    <row r="627" spans="1:12" ht="22" customHeight="1">
      <c r="A627" s="3"/>
      <c r="B627" s="7"/>
      <c r="C627" s="3"/>
      <c r="D627" s="3"/>
      <c r="E627" s="3"/>
      <c r="F627" s="3"/>
      <c r="G627" s="4"/>
      <c r="H627" s="4"/>
      <c r="I627" s="3"/>
      <c r="J627" s="3"/>
      <c r="K627" s="8" t="str">
        <f t="shared" si="9"/>
        <v/>
      </c>
      <c r="L627" s="1" t="str">
        <f>IF(COUNTA(A627:J627)=0,"",IF(OR(AND(C627&lt;&gt;"Servicio",C627&lt;&gt;"Cobro",C627&lt;&gt;"Anticipo",C627&lt;&gt;"Aplicación anticipo",C627&lt;&gt;"Retención ISR",C627&lt;&gt;"Retención IVA"),AND(C627="Servicio",F627&lt;&gt;"TMS",F627&lt;&gt;"Valoración",F627&lt;&gt;"EEG",F627&lt;&gt;"Neurofeedback",F627&lt;&gt;"Fotobiomodulación",F627&lt;&gt;"Psicoterapia",F627&lt;&gt;"Otros")),"Tipo o categoría inválido",IF(COUNTA(A627:J627)=0,"",IF(OR(A627="",B627="",C627="",G627=""),"Faltan datos",IF(COUNTIF($A$7:$A$2006,A627)&gt;1,"ID duplicado",IF(OR(B627&lt;DATE(Configuración!$C$5,1,1),B627&gt;=DATE(Configuración!$C$5+1,1,1)),"Fecha fuera del año",IF(OR(G627&lt;0,H627&lt;0),"Revisar signo",IF(AND(C627&lt;&gt;"Servicio",H627&lt;&gt;0),"IVA solo en Servicio",IF(AND(C627="Servicio",F627=""),"Falta servicio","OK")))))))))</f>
        <v/>
      </c>
    </row>
    <row r="628" spans="1:12" ht="22" customHeight="1">
      <c r="A628" s="3"/>
      <c r="B628" s="7"/>
      <c r="C628" s="3"/>
      <c r="D628" s="3"/>
      <c r="E628" s="3"/>
      <c r="F628" s="3"/>
      <c r="G628" s="4"/>
      <c r="H628" s="4"/>
      <c r="I628" s="3"/>
      <c r="J628" s="3"/>
      <c r="K628" s="8" t="str">
        <f t="shared" si="9"/>
        <v/>
      </c>
      <c r="L628" s="1" t="str">
        <f>IF(COUNTA(A628:J628)=0,"",IF(OR(AND(C628&lt;&gt;"Servicio",C628&lt;&gt;"Cobro",C628&lt;&gt;"Anticipo",C628&lt;&gt;"Aplicación anticipo",C628&lt;&gt;"Retención ISR",C628&lt;&gt;"Retención IVA"),AND(C628="Servicio",F628&lt;&gt;"TMS",F628&lt;&gt;"Valoración",F628&lt;&gt;"EEG",F628&lt;&gt;"Neurofeedback",F628&lt;&gt;"Fotobiomodulación",F628&lt;&gt;"Psicoterapia",F628&lt;&gt;"Otros")),"Tipo o categoría inválido",IF(COUNTA(A628:J628)=0,"",IF(OR(A628="",B628="",C628="",G628=""),"Faltan datos",IF(COUNTIF($A$7:$A$2006,A628)&gt;1,"ID duplicado",IF(OR(B628&lt;DATE(Configuración!$C$5,1,1),B628&gt;=DATE(Configuración!$C$5+1,1,1)),"Fecha fuera del año",IF(OR(G628&lt;0,H628&lt;0),"Revisar signo",IF(AND(C628&lt;&gt;"Servicio",H628&lt;&gt;0),"IVA solo en Servicio",IF(AND(C628="Servicio",F628=""),"Falta servicio","OK")))))))))</f>
        <v/>
      </c>
    </row>
    <row r="629" spans="1:12" ht="22" customHeight="1">
      <c r="A629" s="3"/>
      <c r="B629" s="7"/>
      <c r="C629" s="3"/>
      <c r="D629" s="3"/>
      <c r="E629" s="3"/>
      <c r="F629" s="3"/>
      <c r="G629" s="4"/>
      <c r="H629" s="4"/>
      <c r="I629" s="3"/>
      <c r="J629" s="3"/>
      <c r="K629" s="8" t="str">
        <f t="shared" si="9"/>
        <v/>
      </c>
      <c r="L629" s="1" t="str">
        <f>IF(COUNTA(A629:J629)=0,"",IF(OR(AND(C629&lt;&gt;"Servicio",C629&lt;&gt;"Cobro",C629&lt;&gt;"Anticipo",C629&lt;&gt;"Aplicación anticipo",C629&lt;&gt;"Retención ISR",C629&lt;&gt;"Retención IVA"),AND(C629="Servicio",F629&lt;&gt;"TMS",F629&lt;&gt;"Valoración",F629&lt;&gt;"EEG",F629&lt;&gt;"Neurofeedback",F629&lt;&gt;"Fotobiomodulación",F629&lt;&gt;"Psicoterapia",F629&lt;&gt;"Otros")),"Tipo o categoría inválido",IF(COUNTA(A629:J629)=0,"",IF(OR(A629="",B629="",C629="",G629=""),"Faltan datos",IF(COUNTIF($A$7:$A$2006,A629)&gt;1,"ID duplicado",IF(OR(B629&lt;DATE(Configuración!$C$5,1,1),B629&gt;=DATE(Configuración!$C$5+1,1,1)),"Fecha fuera del año",IF(OR(G629&lt;0,H629&lt;0),"Revisar signo",IF(AND(C629&lt;&gt;"Servicio",H629&lt;&gt;0),"IVA solo en Servicio",IF(AND(C629="Servicio",F629=""),"Falta servicio","OK")))))))))</f>
        <v/>
      </c>
    </row>
    <row r="630" spans="1:12" ht="22" customHeight="1">
      <c r="A630" s="3"/>
      <c r="B630" s="7"/>
      <c r="C630" s="3"/>
      <c r="D630" s="3"/>
      <c r="E630" s="3"/>
      <c r="F630" s="3"/>
      <c r="G630" s="4"/>
      <c r="H630" s="4"/>
      <c r="I630" s="3"/>
      <c r="J630" s="3"/>
      <c r="K630" s="8" t="str">
        <f t="shared" si="9"/>
        <v/>
      </c>
      <c r="L630" s="1" t="str">
        <f>IF(COUNTA(A630:J630)=0,"",IF(OR(AND(C630&lt;&gt;"Servicio",C630&lt;&gt;"Cobro",C630&lt;&gt;"Anticipo",C630&lt;&gt;"Aplicación anticipo",C630&lt;&gt;"Retención ISR",C630&lt;&gt;"Retención IVA"),AND(C630="Servicio",F630&lt;&gt;"TMS",F630&lt;&gt;"Valoración",F630&lt;&gt;"EEG",F630&lt;&gt;"Neurofeedback",F630&lt;&gt;"Fotobiomodulación",F630&lt;&gt;"Psicoterapia",F630&lt;&gt;"Otros")),"Tipo o categoría inválido",IF(COUNTA(A630:J630)=0,"",IF(OR(A630="",B630="",C630="",G630=""),"Faltan datos",IF(COUNTIF($A$7:$A$2006,A630)&gt;1,"ID duplicado",IF(OR(B630&lt;DATE(Configuración!$C$5,1,1),B630&gt;=DATE(Configuración!$C$5+1,1,1)),"Fecha fuera del año",IF(OR(G630&lt;0,H630&lt;0),"Revisar signo",IF(AND(C630&lt;&gt;"Servicio",H630&lt;&gt;0),"IVA solo en Servicio",IF(AND(C630="Servicio",F630=""),"Falta servicio","OK")))))))))</f>
        <v/>
      </c>
    </row>
    <row r="631" spans="1:12" ht="22" customHeight="1">
      <c r="A631" s="3"/>
      <c r="B631" s="7"/>
      <c r="C631" s="3"/>
      <c r="D631" s="3"/>
      <c r="E631" s="3"/>
      <c r="F631" s="3"/>
      <c r="G631" s="4"/>
      <c r="H631" s="4"/>
      <c r="I631" s="3"/>
      <c r="J631" s="3"/>
      <c r="K631" s="8" t="str">
        <f t="shared" si="9"/>
        <v/>
      </c>
      <c r="L631" s="1" t="str">
        <f>IF(COUNTA(A631:J631)=0,"",IF(OR(AND(C631&lt;&gt;"Servicio",C631&lt;&gt;"Cobro",C631&lt;&gt;"Anticipo",C631&lt;&gt;"Aplicación anticipo",C631&lt;&gt;"Retención ISR",C631&lt;&gt;"Retención IVA"),AND(C631="Servicio",F631&lt;&gt;"TMS",F631&lt;&gt;"Valoración",F631&lt;&gt;"EEG",F631&lt;&gt;"Neurofeedback",F631&lt;&gt;"Fotobiomodulación",F631&lt;&gt;"Psicoterapia",F631&lt;&gt;"Otros")),"Tipo o categoría inválido",IF(COUNTA(A631:J631)=0,"",IF(OR(A631="",B631="",C631="",G631=""),"Faltan datos",IF(COUNTIF($A$7:$A$2006,A631)&gt;1,"ID duplicado",IF(OR(B631&lt;DATE(Configuración!$C$5,1,1),B631&gt;=DATE(Configuración!$C$5+1,1,1)),"Fecha fuera del año",IF(OR(G631&lt;0,H631&lt;0),"Revisar signo",IF(AND(C631&lt;&gt;"Servicio",H631&lt;&gt;0),"IVA solo en Servicio",IF(AND(C631="Servicio",F631=""),"Falta servicio","OK")))))))))</f>
        <v/>
      </c>
    </row>
    <row r="632" spans="1:12" ht="22" customHeight="1">
      <c r="A632" s="3"/>
      <c r="B632" s="7"/>
      <c r="C632" s="3"/>
      <c r="D632" s="3"/>
      <c r="E632" s="3"/>
      <c r="F632" s="3"/>
      <c r="G632" s="4"/>
      <c r="H632" s="4"/>
      <c r="I632" s="3"/>
      <c r="J632" s="3"/>
      <c r="K632" s="8" t="str">
        <f t="shared" si="9"/>
        <v/>
      </c>
      <c r="L632" s="1" t="str">
        <f>IF(COUNTA(A632:J632)=0,"",IF(OR(AND(C632&lt;&gt;"Servicio",C632&lt;&gt;"Cobro",C632&lt;&gt;"Anticipo",C632&lt;&gt;"Aplicación anticipo",C632&lt;&gt;"Retención ISR",C632&lt;&gt;"Retención IVA"),AND(C632="Servicio",F632&lt;&gt;"TMS",F632&lt;&gt;"Valoración",F632&lt;&gt;"EEG",F632&lt;&gt;"Neurofeedback",F632&lt;&gt;"Fotobiomodulación",F632&lt;&gt;"Psicoterapia",F632&lt;&gt;"Otros")),"Tipo o categoría inválido",IF(COUNTA(A632:J632)=0,"",IF(OR(A632="",B632="",C632="",G632=""),"Faltan datos",IF(COUNTIF($A$7:$A$2006,A632)&gt;1,"ID duplicado",IF(OR(B632&lt;DATE(Configuración!$C$5,1,1),B632&gt;=DATE(Configuración!$C$5+1,1,1)),"Fecha fuera del año",IF(OR(G632&lt;0,H632&lt;0),"Revisar signo",IF(AND(C632&lt;&gt;"Servicio",H632&lt;&gt;0),"IVA solo en Servicio",IF(AND(C632="Servicio",F632=""),"Falta servicio","OK")))))))))</f>
        <v/>
      </c>
    </row>
    <row r="633" spans="1:12" ht="22" customHeight="1">
      <c r="A633" s="3"/>
      <c r="B633" s="7"/>
      <c r="C633" s="3"/>
      <c r="D633" s="3"/>
      <c r="E633" s="3"/>
      <c r="F633" s="3"/>
      <c r="G633" s="4"/>
      <c r="H633" s="4"/>
      <c r="I633" s="3"/>
      <c r="J633" s="3"/>
      <c r="K633" s="8" t="str">
        <f t="shared" si="9"/>
        <v/>
      </c>
      <c r="L633" s="1" t="str">
        <f>IF(COUNTA(A633:J633)=0,"",IF(OR(AND(C633&lt;&gt;"Servicio",C633&lt;&gt;"Cobro",C633&lt;&gt;"Anticipo",C633&lt;&gt;"Aplicación anticipo",C633&lt;&gt;"Retención ISR",C633&lt;&gt;"Retención IVA"),AND(C633="Servicio",F633&lt;&gt;"TMS",F633&lt;&gt;"Valoración",F633&lt;&gt;"EEG",F633&lt;&gt;"Neurofeedback",F633&lt;&gt;"Fotobiomodulación",F633&lt;&gt;"Psicoterapia",F633&lt;&gt;"Otros")),"Tipo o categoría inválido",IF(COUNTA(A633:J633)=0,"",IF(OR(A633="",B633="",C633="",G633=""),"Faltan datos",IF(COUNTIF($A$7:$A$2006,A633)&gt;1,"ID duplicado",IF(OR(B633&lt;DATE(Configuración!$C$5,1,1),B633&gt;=DATE(Configuración!$C$5+1,1,1)),"Fecha fuera del año",IF(OR(G633&lt;0,H633&lt;0),"Revisar signo",IF(AND(C633&lt;&gt;"Servicio",H633&lt;&gt;0),"IVA solo en Servicio",IF(AND(C633="Servicio",F633=""),"Falta servicio","OK")))))))))</f>
        <v/>
      </c>
    </row>
    <row r="634" spans="1:12" ht="22" customHeight="1">
      <c r="A634" s="3"/>
      <c r="B634" s="7"/>
      <c r="C634" s="3"/>
      <c r="D634" s="3"/>
      <c r="E634" s="3"/>
      <c r="F634" s="3"/>
      <c r="G634" s="4"/>
      <c r="H634" s="4"/>
      <c r="I634" s="3"/>
      <c r="J634" s="3"/>
      <c r="K634" s="8" t="str">
        <f t="shared" si="9"/>
        <v/>
      </c>
      <c r="L634" s="1" t="str">
        <f>IF(COUNTA(A634:J634)=0,"",IF(OR(AND(C634&lt;&gt;"Servicio",C634&lt;&gt;"Cobro",C634&lt;&gt;"Anticipo",C634&lt;&gt;"Aplicación anticipo",C634&lt;&gt;"Retención ISR",C634&lt;&gt;"Retención IVA"),AND(C634="Servicio",F634&lt;&gt;"TMS",F634&lt;&gt;"Valoración",F634&lt;&gt;"EEG",F634&lt;&gt;"Neurofeedback",F634&lt;&gt;"Fotobiomodulación",F634&lt;&gt;"Psicoterapia",F634&lt;&gt;"Otros")),"Tipo o categoría inválido",IF(COUNTA(A634:J634)=0,"",IF(OR(A634="",B634="",C634="",G634=""),"Faltan datos",IF(COUNTIF($A$7:$A$2006,A634)&gt;1,"ID duplicado",IF(OR(B634&lt;DATE(Configuración!$C$5,1,1),B634&gt;=DATE(Configuración!$C$5+1,1,1)),"Fecha fuera del año",IF(OR(G634&lt;0,H634&lt;0),"Revisar signo",IF(AND(C634&lt;&gt;"Servicio",H634&lt;&gt;0),"IVA solo en Servicio",IF(AND(C634="Servicio",F634=""),"Falta servicio","OK")))))))))</f>
        <v/>
      </c>
    </row>
    <row r="635" spans="1:12" ht="22" customHeight="1">
      <c r="A635" s="3"/>
      <c r="B635" s="7"/>
      <c r="C635" s="3"/>
      <c r="D635" s="3"/>
      <c r="E635" s="3"/>
      <c r="F635" s="3"/>
      <c r="G635" s="4"/>
      <c r="H635" s="4"/>
      <c r="I635" s="3"/>
      <c r="J635" s="3"/>
      <c r="K635" s="8" t="str">
        <f t="shared" si="9"/>
        <v/>
      </c>
      <c r="L635" s="1" t="str">
        <f>IF(COUNTA(A635:J635)=0,"",IF(OR(AND(C635&lt;&gt;"Servicio",C635&lt;&gt;"Cobro",C635&lt;&gt;"Anticipo",C635&lt;&gt;"Aplicación anticipo",C635&lt;&gt;"Retención ISR",C635&lt;&gt;"Retención IVA"),AND(C635="Servicio",F635&lt;&gt;"TMS",F635&lt;&gt;"Valoración",F635&lt;&gt;"EEG",F635&lt;&gt;"Neurofeedback",F635&lt;&gt;"Fotobiomodulación",F635&lt;&gt;"Psicoterapia",F635&lt;&gt;"Otros")),"Tipo o categoría inválido",IF(COUNTA(A635:J635)=0,"",IF(OR(A635="",B635="",C635="",G635=""),"Faltan datos",IF(COUNTIF($A$7:$A$2006,A635)&gt;1,"ID duplicado",IF(OR(B635&lt;DATE(Configuración!$C$5,1,1),B635&gt;=DATE(Configuración!$C$5+1,1,1)),"Fecha fuera del año",IF(OR(G635&lt;0,H635&lt;0),"Revisar signo",IF(AND(C635&lt;&gt;"Servicio",H635&lt;&gt;0),"IVA solo en Servicio",IF(AND(C635="Servicio",F635=""),"Falta servicio","OK")))))))))</f>
        <v/>
      </c>
    </row>
    <row r="636" spans="1:12" ht="22" customHeight="1">
      <c r="A636" s="3"/>
      <c r="B636" s="7"/>
      <c r="C636" s="3"/>
      <c r="D636" s="3"/>
      <c r="E636" s="3"/>
      <c r="F636" s="3"/>
      <c r="G636" s="4"/>
      <c r="H636" s="4"/>
      <c r="I636" s="3"/>
      <c r="J636" s="3"/>
      <c r="K636" s="8" t="str">
        <f t="shared" si="9"/>
        <v/>
      </c>
      <c r="L636" s="1" t="str">
        <f>IF(COUNTA(A636:J636)=0,"",IF(OR(AND(C636&lt;&gt;"Servicio",C636&lt;&gt;"Cobro",C636&lt;&gt;"Anticipo",C636&lt;&gt;"Aplicación anticipo",C636&lt;&gt;"Retención ISR",C636&lt;&gt;"Retención IVA"),AND(C636="Servicio",F636&lt;&gt;"TMS",F636&lt;&gt;"Valoración",F636&lt;&gt;"EEG",F636&lt;&gt;"Neurofeedback",F636&lt;&gt;"Fotobiomodulación",F636&lt;&gt;"Psicoterapia",F636&lt;&gt;"Otros")),"Tipo o categoría inválido",IF(COUNTA(A636:J636)=0,"",IF(OR(A636="",B636="",C636="",G636=""),"Faltan datos",IF(COUNTIF($A$7:$A$2006,A636)&gt;1,"ID duplicado",IF(OR(B636&lt;DATE(Configuración!$C$5,1,1),B636&gt;=DATE(Configuración!$C$5+1,1,1)),"Fecha fuera del año",IF(OR(G636&lt;0,H636&lt;0),"Revisar signo",IF(AND(C636&lt;&gt;"Servicio",H636&lt;&gt;0),"IVA solo en Servicio",IF(AND(C636="Servicio",F636=""),"Falta servicio","OK")))))))))</f>
        <v/>
      </c>
    </row>
    <row r="637" spans="1:12" ht="22" customHeight="1">
      <c r="A637" s="3"/>
      <c r="B637" s="7"/>
      <c r="C637" s="3"/>
      <c r="D637" s="3"/>
      <c r="E637" s="3"/>
      <c r="F637" s="3"/>
      <c r="G637" s="4"/>
      <c r="H637" s="4"/>
      <c r="I637" s="3"/>
      <c r="J637" s="3"/>
      <c r="K637" s="8" t="str">
        <f t="shared" si="9"/>
        <v/>
      </c>
      <c r="L637" s="1" t="str">
        <f>IF(COUNTA(A637:J637)=0,"",IF(OR(AND(C637&lt;&gt;"Servicio",C637&lt;&gt;"Cobro",C637&lt;&gt;"Anticipo",C637&lt;&gt;"Aplicación anticipo",C637&lt;&gt;"Retención ISR",C637&lt;&gt;"Retención IVA"),AND(C637="Servicio",F637&lt;&gt;"TMS",F637&lt;&gt;"Valoración",F637&lt;&gt;"EEG",F637&lt;&gt;"Neurofeedback",F637&lt;&gt;"Fotobiomodulación",F637&lt;&gt;"Psicoterapia",F637&lt;&gt;"Otros")),"Tipo o categoría inválido",IF(COUNTA(A637:J637)=0,"",IF(OR(A637="",B637="",C637="",G637=""),"Faltan datos",IF(COUNTIF($A$7:$A$2006,A637)&gt;1,"ID duplicado",IF(OR(B637&lt;DATE(Configuración!$C$5,1,1),B637&gt;=DATE(Configuración!$C$5+1,1,1)),"Fecha fuera del año",IF(OR(G637&lt;0,H637&lt;0),"Revisar signo",IF(AND(C637&lt;&gt;"Servicio",H637&lt;&gt;0),"IVA solo en Servicio",IF(AND(C637="Servicio",F637=""),"Falta servicio","OK")))))))))</f>
        <v/>
      </c>
    </row>
    <row r="638" spans="1:12" ht="22" customHeight="1">
      <c r="A638" s="3"/>
      <c r="B638" s="7"/>
      <c r="C638" s="3"/>
      <c r="D638" s="3"/>
      <c r="E638" s="3"/>
      <c r="F638" s="3"/>
      <c r="G638" s="4"/>
      <c r="H638" s="4"/>
      <c r="I638" s="3"/>
      <c r="J638" s="3"/>
      <c r="K638" s="8" t="str">
        <f t="shared" si="9"/>
        <v/>
      </c>
      <c r="L638" s="1" t="str">
        <f>IF(COUNTA(A638:J638)=0,"",IF(OR(AND(C638&lt;&gt;"Servicio",C638&lt;&gt;"Cobro",C638&lt;&gt;"Anticipo",C638&lt;&gt;"Aplicación anticipo",C638&lt;&gt;"Retención ISR",C638&lt;&gt;"Retención IVA"),AND(C638="Servicio",F638&lt;&gt;"TMS",F638&lt;&gt;"Valoración",F638&lt;&gt;"EEG",F638&lt;&gt;"Neurofeedback",F638&lt;&gt;"Fotobiomodulación",F638&lt;&gt;"Psicoterapia",F638&lt;&gt;"Otros")),"Tipo o categoría inválido",IF(COUNTA(A638:J638)=0,"",IF(OR(A638="",B638="",C638="",G638=""),"Faltan datos",IF(COUNTIF($A$7:$A$2006,A638)&gt;1,"ID duplicado",IF(OR(B638&lt;DATE(Configuración!$C$5,1,1),B638&gt;=DATE(Configuración!$C$5+1,1,1)),"Fecha fuera del año",IF(OR(G638&lt;0,H638&lt;0),"Revisar signo",IF(AND(C638&lt;&gt;"Servicio",H638&lt;&gt;0),"IVA solo en Servicio",IF(AND(C638="Servicio",F638=""),"Falta servicio","OK")))))))))</f>
        <v/>
      </c>
    </row>
    <row r="639" spans="1:12" ht="22" customHeight="1">
      <c r="A639" s="3"/>
      <c r="B639" s="7"/>
      <c r="C639" s="3"/>
      <c r="D639" s="3"/>
      <c r="E639" s="3"/>
      <c r="F639" s="3"/>
      <c r="G639" s="4"/>
      <c r="H639" s="4"/>
      <c r="I639" s="3"/>
      <c r="J639" s="3"/>
      <c r="K639" s="8" t="str">
        <f t="shared" si="9"/>
        <v/>
      </c>
      <c r="L639" s="1" t="str">
        <f>IF(COUNTA(A639:J639)=0,"",IF(OR(AND(C639&lt;&gt;"Servicio",C639&lt;&gt;"Cobro",C639&lt;&gt;"Anticipo",C639&lt;&gt;"Aplicación anticipo",C639&lt;&gt;"Retención ISR",C639&lt;&gt;"Retención IVA"),AND(C639="Servicio",F639&lt;&gt;"TMS",F639&lt;&gt;"Valoración",F639&lt;&gt;"EEG",F639&lt;&gt;"Neurofeedback",F639&lt;&gt;"Fotobiomodulación",F639&lt;&gt;"Psicoterapia",F639&lt;&gt;"Otros")),"Tipo o categoría inválido",IF(COUNTA(A639:J639)=0,"",IF(OR(A639="",B639="",C639="",G639=""),"Faltan datos",IF(COUNTIF($A$7:$A$2006,A639)&gt;1,"ID duplicado",IF(OR(B639&lt;DATE(Configuración!$C$5,1,1),B639&gt;=DATE(Configuración!$C$5+1,1,1)),"Fecha fuera del año",IF(OR(G639&lt;0,H639&lt;0),"Revisar signo",IF(AND(C639&lt;&gt;"Servicio",H639&lt;&gt;0),"IVA solo en Servicio",IF(AND(C639="Servicio",F639=""),"Falta servicio","OK")))))))))</f>
        <v/>
      </c>
    </row>
    <row r="640" spans="1:12" ht="22" customHeight="1">
      <c r="A640" s="3"/>
      <c r="B640" s="7"/>
      <c r="C640" s="3"/>
      <c r="D640" s="3"/>
      <c r="E640" s="3"/>
      <c r="F640" s="3"/>
      <c r="G640" s="4"/>
      <c r="H640" s="4"/>
      <c r="I640" s="3"/>
      <c r="J640" s="3"/>
      <c r="K640" s="8" t="str">
        <f t="shared" si="9"/>
        <v/>
      </c>
      <c r="L640" s="1" t="str">
        <f>IF(COUNTA(A640:J640)=0,"",IF(OR(AND(C640&lt;&gt;"Servicio",C640&lt;&gt;"Cobro",C640&lt;&gt;"Anticipo",C640&lt;&gt;"Aplicación anticipo",C640&lt;&gt;"Retención ISR",C640&lt;&gt;"Retención IVA"),AND(C640="Servicio",F640&lt;&gt;"TMS",F640&lt;&gt;"Valoración",F640&lt;&gt;"EEG",F640&lt;&gt;"Neurofeedback",F640&lt;&gt;"Fotobiomodulación",F640&lt;&gt;"Psicoterapia",F640&lt;&gt;"Otros")),"Tipo o categoría inválido",IF(COUNTA(A640:J640)=0,"",IF(OR(A640="",B640="",C640="",G640=""),"Faltan datos",IF(COUNTIF($A$7:$A$2006,A640)&gt;1,"ID duplicado",IF(OR(B640&lt;DATE(Configuración!$C$5,1,1),B640&gt;=DATE(Configuración!$C$5+1,1,1)),"Fecha fuera del año",IF(OR(G640&lt;0,H640&lt;0),"Revisar signo",IF(AND(C640&lt;&gt;"Servicio",H640&lt;&gt;0),"IVA solo en Servicio",IF(AND(C640="Servicio",F640=""),"Falta servicio","OK")))))))))</f>
        <v/>
      </c>
    </row>
    <row r="641" spans="1:12" ht="22" customHeight="1">
      <c r="A641" s="3"/>
      <c r="B641" s="7"/>
      <c r="C641" s="3"/>
      <c r="D641" s="3"/>
      <c r="E641" s="3"/>
      <c r="F641" s="3"/>
      <c r="G641" s="4"/>
      <c r="H641" s="4"/>
      <c r="I641" s="3"/>
      <c r="J641" s="3"/>
      <c r="K641" s="8" t="str">
        <f t="shared" si="9"/>
        <v/>
      </c>
      <c r="L641" s="1" t="str">
        <f>IF(COUNTA(A641:J641)=0,"",IF(OR(AND(C641&lt;&gt;"Servicio",C641&lt;&gt;"Cobro",C641&lt;&gt;"Anticipo",C641&lt;&gt;"Aplicación anticipo",C641&lt;&gt;"Retención ISR",C641&lt;&gt;"Retención IVA"),AND(C641="Servicio",F641&lt;&gt;"TMS",F641&lt;&gt;"Valoración",F641&lt;&gt;"EEG",F641&lt;&gt;"Neurofeedback",F641&lt;&gt;"Fotobiomodulación",F641&lt;&gt;"Psicoterapia",F641&lt;&gt;"Otros")),"Tipo o categoría inválido",IF(COUNTA(A641:J641)=0,"",IF(OR(A641="",B641="",C641="",G641=""),"Faltan datos",IF(COUNTIF($A$7:$A$2006,A641)&gt;1,"ID duplicado",IF(OR(B641&lt;DATE(Configuración!$C$5,1,1),B641&gt;=DATE(Configuración!$C$5+1,1,1)),"Fecha fuera del año",IF(OR(G641&lt;0,H641&lt;0),"Revisar signo",IF(AND(C641&lt;&gt;"Servicio",H641&lt;&gt;0),"IVA solo en Servicio",IF(AND(C641="Servicio",F641=""),"Falta servicio","OK")))))))))</f>
        <v/>
      </c>
    </row>
    <row r="642" spans="1:12" ht="22" customHeight="1">
      <c r="A642" s="3"/>
      <c r="B642" s="7"/>
      <c r="C642" s="3"/>
      <c r="D642" s="3"/>
      <c r="E642" s="3"/>
      <c r="F642" s="3"/>
      <c r="G642" s="4"/>
      <c r="H642" s="4"/>
      <c r="I642" s="3"/>
      <c r="J642" s="3"/>
      <c r="K642" s="8" t="str">
        <f t="shared" si="9"/>
        <v/>
      </c>
      <c r="L642" s="1" t="str">
        <f>IF(COUNTA(A642:J642)=0,"",IF(OR(AND(C642&lt;&gt;"Servicio",C642&lt;&gt;"Cobro",C642&lt;&gt;"Anticipo",C642&lt;&gt;"Aplicación anticipo",C642&lt;&gt;"Retención ISR",C642&lt;&gt;"Retención IVA"),AND(C642="Servicio",F642&lt;&gt;"TMS",F642&lt;&gt;"Valoración",F642&lt;&gt;"EEG",F642&lt;&gt;"Neurofeedback",F642&lt;&gt;"Fotobiomodulación",F642&lt;&gt;"Psicoterapia",F642&lt;&gt;"Otros")),"Tipo o categoría inválido",IF(COUNTA(A642:J642)=0,"",IF(OR(A642="",B642="",C642="",G642=""),"Faltan datos",IF(COUNTIF($A$7:$A$2006,A642)&gt;1,"ID duplicado",IF(OR(B642&lt;DATE(Configuración!$C$5,1,1),B642&gt;=DATE(Configuración!$C$5+1,1,1)),"Fecha fuera del año",IF(OR(G642&lt;0,H642&lt;0),"Revisar signo",IF(AND(C642&lt;&gt;"Servicio",H642&lt;&gt;0),"IVA solo en Servicio",IF(AND(C642="Servicio",F642=""),"Falta servicio","OK")))))))))</f>
        <v/>
      </c>
    </row>
    <row r="643" spans="1:12" ht="22" customHeight="1">
      <c r="A643" s="3"/>
      <c r="B643" s="7"/>
      <c r="C643" s="3"/>
      <c r="D643" s="3"/>
      <c r="E643" s="3"/>
      <c r="F643" s="3"/>
      <c r="G643" s="4"/>
      <c r="H643" s="4"/>
      <c r="I643" s="3"/>
      <c r="J643" s="3"/>
      <c r="K643" s="8" t="str">
        <f t="shared" si="9"/>
        <v/>
      </c>
      <c r="L643" s="1" t="str">
        <f>IF(COUNTA(A643:J643)=0,"",IF(OR(AND(C643&lt;&gt;"Servicio",C643&lt;&gt;"Cobro",C643&lt;&gt;"Anticipo",C643&lt;&gt;"Aplicación anticipo",C643&lt;&gt;"Retención ISR",C643&lt;&gt;"Retención IVA"),AND(C643="Servicio",F643&lt;&gt;"TMS",F643&lt;&gt;"Valoración",F643&lt;&gt;"EEG",F643&lt;&gt;"Neurofeedback",F643&lt;&gt;"Fotobiomodulación",F643&lt;&gt;"Psicoterapia",F643&lt;&gt;"Otros")),"Tipo o categoría inválido",IF(COUNTA(A643:J643)=0,"",IF(OR(A643="",B643="",C643="",G643=""),"Faltan datos",IF(COUNTIF($A$7:$A$2006,A643)&gt;1,"ID duplicado",IF(OR(B643&lt;DATE(Configuración!$C$5,1,1),B643&gt;=DATE(Configuración!$C$5+1,1,1)),"Fecha fuera del año",IF(OR(G643&lt;0,H643&lt;0),"Revisar signo",IF(AND(C643&lt;&gt;"Servicio",H643&lt;&gt;0),"IVA solo en Servicio",IF(AND(C643="Servicio",F643=""),"Falta servicio","OK")))))))))</f>
        <v/>
      </c>
    </row>
    <row r="644" spans="1:12" ht="22" customHeight="1">
      <c r="A644" s="3"/>
      <c r="B644" s="7"/>
      <c r="C644" s="3"/>
      <c r="D644" s="3"/>
      <c r="E644" s="3"/>
      <c r="F644" s="3"/>
      <c r="G644" s="4"/>
      <c r="H644" s="4"/>
      <c r="I644" s="3"/>
      <c r="J644" s="3"/>
      <c r="K644" s="8" t="str">
        <f t="shared" si="9"/>
        <v/>
      </c>
      <c r="L644" s="1" t="str">
        <f>IF(COUNTA(A644:J644)=0,"",IF(OR(AND(C644&lt;&gt;"Servicio",C644&lt;&gt;"Cobro",C644&lt;&gt;"Anticipo",C644&lt;&gt;"Aplicación anticipo",C644&lt;&gt;"Retención ISR",C644&lt;&gt;"Retención IVA"),AND(C644="Servicio",F644&lt;&gt;"TMS",F644&lt;&gt;"Valoración",F644&lt;&gt;"EEG",F644&lt;&gt;"Neurofeedback",F644&lt;&gt;"Fotobiomodulación",F644&lt;&gt;"Psicoterapia",F644&lt;&gt;"Otros")),"Tipo o categoría inválido",IF(COUNTA(A644:J644)=0,"",IF(OR(A644="",B644="",C644="",G644=""),"Faltan datos",IF(COUNTIF($A$7:$A$2006,A644)&gt;1,"ID duplicado",IF(OR(B644&lt;DATE(Configuración!$C$5,1,1),B644&gt;=DATE(Configuración!$C$5+1,1,1)),"Fecha fuera del año",IF(OR(G644&lt;0,H644&lt;0),"Revisar signo",IF(AND(C644&lt;&gt;"Servicio",H644&lt;&gt;0),"IVA solo en Servicio",IF(AND(C644="Servicio",F644=""),"Falta servicio","OK")))))))))</f>
        <v/>
      </c>
    </row>
    <row r="645" spans="1:12" ht="22" customHeight="1">
      <c r="A645" s="3"/>
      <c r="B645" s="7"/>
      <c r="C645" s="3"/>
      <c r="D645" s="3"/>
      <c r="E645" s="3"/>
      <c r="F645" s="3"/>
      <c r="G645" s="4"/>
      <c r="H645" s="4"/>
      <c r="I645" s="3"/>
      <c r="J645" s="3"/>
      <c r="K645" s="8" t="str">
        <f t="shared" si="9"/>
        <v/>
      </c>
      <c r="L645" s="1" t="str">
        <f>IF(COUNTA(A645:J645)=0,"",IF(OR(AND(C645&lt;&gt;"Servicio",C645&lt;&gt;"Cobro",C645&lt;&gt;"Anticipo",C645&lt;&gt;"Aplicación anticipo",C645&lt;&gt;"Retención ISR",C645&lt;&gt;"Retención IVA"),AND(C645="Servicio",F645&lt;&gt;"TMS",F645&lt;&gt;"Valoración",F645&lt;&gt;"EEG",F645&lt;&gt;"Neurofeedback",F645&lt;&gt;"Fotobiomodulación",F645&lt;&gt;"Psicoterapia",F645&lt;&gt;"Otros")),"Tipo o categoría inválido",IF(COUNTA(A645:J645)=0,"",IF(OR(A645="",B645="",C645="",G645=""),"Faltan datos",IF(COUNTIF($A$7:$A$2006,A645)&gt;1,"ID duplicado",IF(OR(B645&lt;DATE(Configuración!$C$5,1,1),B645&gt;=DATE(Configuración!$C$5+1,1,1)),"Fecha fuera del año",IF(OR(G645&lt;0,H645&lt;0),"Revisar signo",IF(AND(C645&lt;&gt;"Servicio",H645&lt;&gt;0),"IVA solo en Servicio",IF(AND(C645="Servicio",F645=""),"Falta servicio","OK")))))))))</f>
        <v/>
      </c>
    </row>
    <row r="646" spans="1:12" ht="22" customHeight="1">
      <c r="A646" s="3"/>
      <c r="B646" s="7"/>
      <c r="C646" s="3"/>
      <c r="D646" s="3"/>
      <c r="E646" s="3"/>
      <c r="F646" s="3"/>
      <c r="G646" s="4"/>
      <c r="H646" s="4"/>
      <c r="I646" s="3"/>
      <c r="J646" s="3"/>
      <c r="K646" s="8" t="str">
        <f t="shared" si="9"/>
        <v/>
      </c>
      <c r="L646" s="1" t="str">
        <f>IF(COUNTA(A646:J646)=0,"",IF(OR(AND(C646&lt;&gt;"Servicio",C646&lt;&gt;"Cobro",C646&lt;&gt;"Anticipo",C646&lt;&gt;"Aplicación anticipo",C646&lt;&gt;"Retención ISR",C646&lt;&gt;"Retención IVA"),AND(C646="Servicio",F646&lt;&gt;"TMS",F646&lt;&gt;"Valoración",F646&lt;&gt;"EEG",F646&lt;&gt;"Neurofeedback",F646&lt;&gt;"Fotobiomodulación",F646&lt;&gt;"Psicoterapia",F646&lt;&gt;"Otros")),"Tipo o categoría inválido",IF(COUNTA(A646:J646)=0,"",IF(OR(A646="",B646="",C646="",G646=""),"Faltan datos",IF(COUNTIF($A$7:$A$2006,A646)&gt;1,"ID duplicado",IF(OR(B646&lt;DATE(Configuración!$C$5,1,1),B646&gt;=DATE(Configuración!$C$5+1,1,1)),"Fecha fuera del año",IF(OR(G646&lt;0,H646&lt;0),"Revisar signo",IF(AND(C646&lt;&gt;"Servicio",H646&lt;&gt;0),"IVA solo en Servicio",IF(AND(C646="Servicio",F646=""),"Falta servicio","OK")))))))))</f>
        <v/>
      </c>
    </row>
    <row r="647" spans="1:12" ht="22" customHeight="1">
      <c r="A647" s="3"/>
      <c r="B647" s="7"/>
      <c r="C647" s="3"/>
      <c r="D647" s="3"/>
      <c r="E647" s="3"/>
      <c r="F647" s="3"/>
      <c r="G647" s="4"/>
      <c r="H647" s="4"/>
      <c r="I647" s="3"/>
      <c r="J647" s="3"/>
      <c r="K647" s="8" t="str">
        <f t="shared" ref="K647:K710" si="10">IF(A647="","",G647+H647)</f>
        <v/>
      </c>
      <c r="L647" s="1" t="str">
        <f>IF(COUNTA(A647:J647)=0,"",IF(OR(AND(C647&lt;&gt;"Servicio",C647&lt;&gt;"Cobro",C647&lt;&gt;"Anticipo",C647&lt;&gt;"Aplicación anticipo",C647&lt;&gt;"Retención ISR",C647&lt;&gt;"Retención IVA"),AND(C647="Servicio",F647&lt;&gt;"TMS",F647&lt;&gt;"Valoración",F647&lt;&gt;"EEG",F647&lt;&gt;"Neurofeedback",F647&lt;&gt;"Fotobiomodulación",F647&lt;&gt;"Psicoterapia",F647&lt;&gt;"Otros")),"Tipo o categoría inválido",IF(COUNTA(A647:J647)=0,"",IF(OR(A647="",B647="",C647="",G647=""),"Faltan datos",IF(COUNTIF($A$7:$A$2006,A647)&gt;1,"ID duplicado",IF(OR(B647&lt;DATE(Configuración!$C$5,1,1),B647&gt;=DATE(Configuración!$C$5+1,1,1)),"Fecha fuera del año",IF(OR(G647&lt;0,H647&lt;0),"Revisar signo",IF(AND(C647&lt;&gt;"Servicio",H647&lt;&gt;0),"IVA solo en Servicio",IF(AND(C647="Servicio",F647=""),"Falta servicio","OK")))))))))</f>
        <v/>
      </c>
    </row>
    <row r="648" spans="1:12" ht="22" customHeight="1">
      <c r="A648" s="3"/>
      <c r="B648" s="7"/>
      <c r="C648" s="3"/>
      <c r="D648" s="3"/>
      <c r="E648" s="3"/>
      <c r="F648" s="3"/>
      <c r="G648" s="4"/>
      <c r="H648" s="4"/>
      <c r="I648" s="3"/>
      <c r="J648" s="3"/>
      <c r="K648" s="8" t="str">
        <f t="shared" si="10"/>
        <v/>
      </c>
      <c r="L648" s="1" t="str">
        <f>IF(COUNTA(A648:J648)=0,"",IF(OR(AND(C648&lt;&gt;"Servicio",C648&lt;&gt;"Cobro",C648&lt;&gt;"Anticipo",C648&lt;&gt;"Aplicación anticipo",C648&lt;&gt;"Retención ISR",C648&lt;&gt;"Retención IVA"),AND(C648="Servicio",F648&lt;&gt;"TMS",F648&lt;&gt;"Valoración",F648&lt;&gt;"EEG",F648&lt;&gt;"Neurofeedback",F648&lt;&gt;"Fotobiomodulación",F648&lt;&gt;"Psicoterapia",F648&lt;&gt;"Otros")),"Tipo o categoría inválido",IF(COUNTA(A648:J648)=0,"",IF(OR(A648="",B648="",C648="",G648=""),"Faltan datos",IF(COUNTIF($A$7:$A$2006,A648)&gt;1,"ID duplicado",IF(OR(B648&lt;DATE(Configuración!$C$5,1,1),B648&gt;=DATE(Configuración!$C$5+1,1,1)),"Fecha fuera del año",IF(OR(G648&lt;0,H648&lt;0),"Revisar signo",IF(AND(C648&lt;&gt;"Servicio",H648&lt;&gt;0),"IVA solo en Servicio",IF(AND(C648="Servicio",F648=""),"Falta servicio","OK")))))))))</f>
        <v/>
      </c>
    </row>
    <row r="649" spans="1:12" ht="22" customHeight="1">
      <c r="A649" s="3"/>
      <c r="B649" s="7"/>
      <c r="C649" s="3"/>
      <c r="D649" s="3"/>
      <c r="E649" s="3"/>
      <c r="F649" s="3"/>
      <c r="G649" s="4"/>
      <c r="H649" s="4"/>
      <c r="I649" s="3"/>
      <c r="J649" s="3"/>
      <c r="K649" s="8" t="str">
        <f t="shared" si="10"/>
        <v/>
      </c>
      <c r="L649" s="1" t="str">
        <f>IF(COUNTA(A649:J649)=0,"",IF(OR(AND(C649&lt;&gt;"Servicio",C649&lt;&gt;"Cobro",C649&lt;&gt;"Anticipo",C649&lt;&gt;"Aplicación anticipo",C649&lt;&gt;"Retención ISR",C649&lt;&gt;"Retención IVA"),AND(C649="Servicio",F649&lt;&gt;"TMS",F649&lt;&gt;"Valoración",F649&lt;&gt;"EEG",F649&lt;&gt;"Neurofeedback",F649&lt;&gt;"Fotobiomodulación",F649&lt;&gt;"Psicoterapia",F649&lt;&gt;"Otros")),"Tipo o categoría inválido",IF(COUNTA(A649:J649)=0,"",IF(OR(A649="",B649="",C649="",G649=""),"Faltan datos",IF(COUNTIF($A$7:$A$2006,A649)&gt;1,"ID duplicado",IF(OR(B649&lt;DATE(Configuración!$C$5,1,1),B649&gt;=DATE(Configuración!$C$5+1,1,1)),"Fecha fuera del año",IF(OR(G649&lt;0,H649&lt;0),"Revisar signo",IF(AND(C649&lt;&gt;"Servicio",H649&lt;&gt;0),"IVA solo en Servicio",IF(AND(C649="Servicio",F649=""),"Falta servicio","OK")))))))))</f>
        <v/>
      </c>
    </row>
    <row r="650" spans="1:12" ht="22" customHeight="1">
      <c r="A650" s="3"/>
      <c r="B650" s="7"/>
      <c r="C650" s="3"/>
      <c r="D650" s="3"/>
      <c r="E650" s="3"/>
      <c r="F650" s="3"/>
      <c r="G650" s="4"/>
      <c r="H650" s="4"/>
      <c r="I650" s="3"/>
      <c r="J650" s="3"/>
      <c r="K650" s="8" t="str">
        <f t="shared" si="10"/>
        <v/>
      </c>
      <c r="L650" s="1" t="str">
        <f>IF(COUNTA(A650:J650)=0,"",IF(OR(AND(C650&lt;&gt;"Servicio",C650&lt;&gt;"Cobro",C650&lt;&gt;"Anticipo",C650&lt;&gt;"Aplicación anticipo",C650&lt;&gt;"Retención ISR",C650&lt;&gt;"Retención IVA"),AND(C650="Servicio",F650&lt;&gt;"TMS",F650&lt;&gt;"Valoración",F650&lt;&gt;"EEG",F650&lt;&gt;"Neurofeedback",F650&lt;&gt;"Fotobiomodulación",F650&lt;&gt;"Psicoterapia",F650&lt;&gt;"Otros")),"Tipo o categoría inválido",IF(COUNTA(A650:J650)=0,"",IF(OR(A650="",B650="",C650="",G650=""),"Faltan datos",IF(COUNTIF($A$7:$A$2006,A650)&gt;1,"ID duplicado",IF(OR(B650&lt;DATE(Configuración!$C$5,1,1),B650&gt;=DATE(Configuración!$C$5+1,1,1)),"Fecha fuera del año",IF(OR(G650&lt;0,H650&lt;0),"Revisar signo",IF(AND(C650&lt;&gt;"Servicio",H650&lt;&gt;0),"IVA solo en Servicio",IF(AND(C650="Servicio",F650=""),"Falta servicio","OK")))))))))</f>
        <v/>
      </c>
    </row>
    <row r="651" spans="1:12" ht="22" customHeight="1">
      <c r="A651" s="3"/>
      <c r="B651" s="7"/>
      <c r="C651" s="3"/>
      <c r="D651" s="3"/>
      <c r="E651" s="3"/>
      <c r="F651" s="3"/>
      <c r="G651" s="4"/>
      <c r="H651" s="4"/>
      <c r="I651" s="3"/>
      <c r="J651" s="3"/>
      <c r="K651" s="8" t="str">
        <f t="shared" si="10"/>
        <v/>
      </c>
      <c r="L651" s="1" t="str">
        <f>IF(COUNTA(A651:J651)=0,"",IF(OR(AND(C651&lt;&gt;"Servicio",C651&lt;&gt;"Cobro",C651&lt;&gt;"Anticipo",C651&lt;&gt;"Aplicación anticipo",C651&lt;&gt;"Retención ISR",C651&lt;&gt;"Retención IVA"),AND(C651="Servicio",F651&lt;&gt;"TMS",F651&lt;&gt;"Valoración",F651&lt;&gt;"EEG",F651&lt;&gt;"Neurofeedback",F651&lt;&gt;"Fotobiomodulación",F651&lt;&gt;"Psicoterapia",F651&lt;&gt;"Otros")),"Tipo o categoría inválido",IF(COUNTA(A651:J651)=0,"",IF(OR(A651="",B651="",C651="",G651=""),"Faltan datos",IF(COUNTIF($A$7:$A$2006,A651)&gt;1,"ID duplicado",IF(OR(B651&lt;DATE(Configuración!$C$5,1,1),B651&gt;=DATE(Configuración!$C$5+1,1,1)),"Fecha fuera del año",IF(OR(G651&lt;0,H651&lt;0),"Revisar signo",IF(AND(C651&lt;&gt;"Servicio",H651&lt;&gt;0),"IVA solo en Servicio",IF(AND(C651="Servicio",F651=""),"Falta servicio","OK")))))))))</f>
        <v/>
      </c>
    </row>
    <row r="652" spans="1:12" ht="22" customHeight="1">
      <c r="A652" s="3"/>
      <c r="B652" s="7"/>
      <c r="C652" s="3"/>
      <c r="D652" s="3"/>
      <c r="E652" s="3"/>
      <c r="F652" s="3"/>
      <c r="G652" s="4"/>
      <c r="H652" s="4"/>
      <c r="I652" s="3"/>
      <c r="J652" s="3"/>
      <c r="K652" s="8" t="str">
        <f t="shared" si="10"/>
        <v/>
      </c>
      <c r="L652" s="1" t="str">
        <f>IF(COUNTA(A652:J652)=0,"",IF(OR(AND(C652&lt;&gt;"Servicio",C652&lt;&gt;"Cobro",C652&lt;&gt;"Anticipo",C652&lt;&gt;"Aplicación anticipo",C652&lt;&gt;"Retención ISR",C652&lt;&gt;"Retención IVA"),AND(C652="Servicio",F652&lt;&gt;"TMS",F652&lt;&gt;"Valoración",F652&lt;&gt;"EEG",F652&lt;&gt;"Neurofeedback",F652&lt;&gt;"Fotobiomodulación",F652&lt;&gt;"Psicoterapia",F652&lt;&gt;"Otros")),"Tipo o categoría inválido",IF(COUNTA(A652:J652)=0,"",IF(OR(A652="",B652="",C652="",G652=""),"Faltan datos",IF(COUNTIF($A$7:$A$2006,A652)&gt;1,"ID duplicado",IF(OR(B652&lt;DATE(Configuración!$C$5,1,1),B652&gt;=DATE(Configuración!$C$5+1,1,1)),"Fecha fuera del año",IF(OR(G652&lt;0,H652&lt;0),"Revisar signo",IF(AND(C652&lt;&gt;"Servicio",H652&lt;&gt;0),"IVA solo en Servicio",IF(AND(C652="Servicio",F652=""),"Falta servicio","OK")))))))))</f>
        <v/>
      </c>
    </row>
    <row r="653" spans="1:12" ht="22" customHeight="1">
      <c r="A653" s="3"/>
      <c r="B653" s="7"/>
      <c r="C653" s="3"/>
      <c r="D653" s="3"/>
      <c r="E653" s="3"/>
      <c r="F653" s="3"/>
      <c r="G653" s="4"/>
      <c r="H653" s="4"/>
      <c r="I653" s="3"/>
      <c r="J653" s="3"/>
      <c r="K653" s="8" t="str">
        <f t="shared" si="10"/>
        <v/>
      </c>
      <c r="L653" s="1" t="str">
        <f>IF(COUNTA(A653:J653)=0,"",IF(OR(AND(C653&lt;&gt;"Servicio",C653&lt;&gt;"Cobro",C653&lt;&gt;"Anticipo",C653&lt;&gt;"Aplicación anticipo",C653&lt;&gt;"Retención ISR",C653&lt;&gt;"Retención IVA"),AND(C653="Servicio",F653&lt;&gt;"TMS",F653&lt;&gt;"Valoración",F653&lt;&gt;"EEG",F653&lt;&gt;"Neurofeedback",F653&lt;&gt;"Fotobiomodulación",F653&lt;&gt;"Psicoterapia",F653&lt;&gt;"Otros")),"Tipo o categoría inválido",IF(COUNTA(A653:J653)=0,"",IF(OR(A653="",B653="",C653="",G653=""),"Faltan datos",IF(COUNTIF($A$7:$A$2006,A653)&gt;1,"ID duplicado",IF(OR(B653&lt;DATE(Configuración!$C$5,1,1),B653&gt;=DATE(Configuración!$C$5+1,1,1)),"Fecha fuera del año",IF(OR(G653&lt;0,H653&lt;0),"Revisar signo",IF(AND(C653&lt;&gt;"Servicio",H653&lt;&gt;0),"IVA solo en Servicio",IF(AND(C653="Servicio",F653=""),"Falta servicio","OK")))))))))</f>
        <v/>
      </c>
    </row>
    <row r="654" spans="1:12" ht="22" customHeight="1">
      <c r="A654" s="3"/>
      <c r="B654" s="7"/>
      <c r="C654" s="3"/>
      <c r="D654" s="3"/>
      <c r="E654" s="3"/>
      <c r="F654" s="3"/>
      <c r="G654" s="4"/>
      <c r="H654" s="4"/>
      <c r="I654" s="3"/>
      <c r="J654" s="3"/>
      <c r="K654" s="8" t="str">
        <f t="shared" si="10"/>
        <v/>
      </c>
      <c r="L654" s="1" t="str">
        <f>IF(COUNTA(A654:J654)=0,"",IF(OR(AND(C654&lt;&gt;"Servicio",C654&lt;&gt;"Cobro",C654&lt;&gt;"Anticipo",C654&lt;&gt;"Aplicación anticipo",C654&lt;&gt;"Retención ISR",C654&lt;&gt;"Retención IVA"),AND(C654="Servicio",F654&lt;&gt;"TMS",F654&lt;&gt;"Valoración",F654&lt;&gt;"EEG",F654&lt;&gt;"Neurofeedback",F654&lt;&gt;"Fotobiomodulación",F654&lt;&gt;"Psicoterapia",F654&lt;&gt;"Otros")),"Tipo o categoría inválido",IF(COUNTA(A654:J654)=0,"",IF(OR(A654="",B654="",C654="",G654=""),"Faltan datos",IF(COUNTIF($A$7:$A$2006,A654)&gt;1,"ID duplicado",IF(OR(B654&lt;DATE(Configuración!$C$5,1,1),B654&gt;=DATE(Configuración!$C$5+1,1,1)),"Fecha fuera del año",IF(OR(G654&lt;0,H654&lt;0),"Revisar signo",IF(AND(C654&lt;&gt;"Servicio",H654&lt;&gt;0),"IVA solo en Servicio",IF(AND(C654="Servicio",F654=""),"Falta servicio","OK")))))))))</f>
        <v/>
      </c>
    </row>
    <row r="655" spans="1:12" ht="22" customHeight="1">
      <c r="A655" s="3"/>
      <c r="B655" s="7"/>
      <c r="C655" s="3"/>
      <c r="D655" s="3"/>
      <c r="E655" s="3"/>
      <c r="F655" s="3"/>
      <c r="G655" s="4"/>
      <c r="H655" s="4"/>
      <c r="I655" s="3"/>
      <c r="J655" s="3"/>
      <c r="K655" s="8" t="str">
        <f t="shared" si="10"/>
        <v/>
      </c>
      <c r="L655" s="1" t="str">
        <f>IF(COUNTA(A655:J655)=0,"",IF(OR(AND(C655&lt;&gt;"Servicio",C655&lt;&gt;"Cobro",C655&lt;&gt;"Anticipo",C655&lt;&gt;"Aplicación anticipo",C655&lt;&gt;"Retención ISR",C655&lt;&gt;"Retención IVA"),AND(C655="Servicio",F655&lt;&gt;"TMS",F655&lt;&gt;"Valoración",F655&lt;&gt;"EEG",F655&lt;&gt;"Neurofeedback",F655&lt;&gt;"Fotobiomodulación",F655&lt;&gt;"Psicoterapia",F655&lt;&gt;"Otros")),"Tipo o categoría inválido",IF(COUNTA(A655:J655)=0,"",IF(OR(A655="",B655="",C655="",G655=""),"Faltan datos",IF(COUNTIF($A$7:$A$2006,A655)&gt;1,"ID duplicado",IF(OR(B655&lt;DATE(Configuración!$C$5,1,1),B655&gt;=DATE(Configuración!$C$5+1,1,1)),"Fecha fuera del año",IF(OR(G655&lt;0,H655&lt;0),"Revisar signo",IF(AND(C655&lt;&gt;"Servicio",H655&lt;&gt;0),"IVA solo en Servicio",IF(AND(C655="Servicio",F655=""),"Falta servicio","OK")))))))))</f>
        <v/>
      </c>
    </row>
    <row r="656" spans="1:12" ht="22" customHeight="1">
      <c r="A656" s="3"/>
      <c r="B656" s="7"/>
      <c r="C656" s="3"/>
      <c r="D656" s="3"/>
      <c r="E656" s="3"/>
      <c r="F656" s="3"/>
      <c r="G656" s="4"/>
      <c r="H656" s="4"/>
      <c r="I656" s="3"/>
      <c r="J656" s="3"/>
      <c r="K656" s="8" t="str">
        <f t="shared" si="10"/>
        <v/>
      </c>
      <c r="L656" s="1" t="str">
        <f>IF(COUNTA(A656:J656)=0,"",IF(OR(AND(C656&lt;&gt;"Servicio",C656&lt;&gt;"Cobro",C656&lt;&gt;"Anticipo",C656&lt;&gt;"Aplicación anticipo",C656&lt;&gt;"Retención ISR",C656&lt;&gt;"Retención IVA"),AND(C656="Servicio",F656&lt;&gt;"TMS",F656&lt;&gt;"Valoración",F656&lt;&gt;"EEG",F656&lt;&gt;"Neurofeedback",F656&lt;&gt;"Fotobiomodulación",F656&lt;&gt;"Psicoterapia",F656&lt;&gt;"Otros")),"Tipo o categoría inválido",IF(COUNTA(A656:J656)=0,"",IF(OR(A656="",B656="",C656="",G656=""),"Faltan datos",IF(COUNTIF($A$7:$A$2006,A656)&gt;1,"ID duplicado",IF(OR(B656&lt;DATE(Configuración!$C$5,1,1),B656&gt;=DATE(Configuración!$C$5+1,1,1)),"Fecha fuera del año",IF(OR(G656&lt;0,H656&lt;0),"Revisar signo",IF(AND(C656&lt;&gt;"Servicio",H656&lt;&gt;0),"IVA solo en Servicio",IF(AND(C656="Servicio",F656=""),"Falta servicio","OK")))))))))</f>
        <v/>
      </c>
    </row>
    <row r="657" spans="1:12" ht="22" customHeight="1">
      <c r="A657" s="3"/>
      <c r="B657" s="7"/>
      <c r="C657" s="3"/>
      <c r="D657" s="3"/>
      <c r="E657" s="3"/>
      <c r="F657" s="3"/>
      <c r="G657" s="4"/>
      <c r="H657" s="4"/>
      <c r="I657" s="3"/>
      <c r="J657" s="3"/>
      <c r="K657" s="8" t="str">
        <f t="shared" si="10"/>
        <v/>
      </c>
      <c r="L657" s="1" t="str">
        <f>IF(COUNTA(A657:J657)=0,"",IF(OR(AND(C657&lt;&gt;"Servicio",C657&lt;&gt;"Cobro",C657&lt;&gt;"Anticipo",C657&lt;&gt;"Aplicación anticipo",C657&lt;&gt;"Retención ISR",C657&lt;&gt;"Retención IVA"),AND(C657="Servicio",F657&lt;&gt;"TMS",F657&lt;&gt;"Valoración",F657&lt;&gt;"EEG",F657&lt;&gt;"Neurofeedback",F657&lt;&gt;"Fotobiomodulación",F657&lt;&gt;"Psicoterapia",F657&lt;&gt;"Otros")),"Tipo o categoría inválido",IF(COUNTA(A657:J657)=0,"",IF(OR(A657="",B657="",C657="",G657=""),"Faltan datos",IF(COUNTIF($A$7:$A$2006,A657)&gt;1,"ID duplicado",IF(OR(B657&lt;DATE(Configuración!$C$5,1,1),B657&gt;=DATE(Configuración!$C$5+1,1,1)),"Fecha fuera del año",IF(OR(G657&lt;0,H657&lt;0),"Revisar signo",IF(AND(C657&lt;&gt;"Servicio",H657&lt;&gt;0),"IVA solo en Servicio",IF(AND(C657="Servicio",F657=""),"Falta servicio","OK")))))))))</f>
        <v/>
      </c>
    </row>
    <row r="658" spans="1:12" ht="22" customHeight="1">
      <c r="A658" s="3"/>
      <c r="B658" s="7"/>
      <c r="C658" s="3"/>
      <c r="D658" s="3"/>
      <c r="E658" s="3"/>
      <c r="F658" s="3"/>
      <c r="G658" s="4"/>
      <c r="H658" s="4"/>
      <c r="I658" s="3"/>
      <c r="J658" s="3"/>
      <c r="K658" s="8" t="str">
        <f t="shared" si="10"/>
        <v/>
      </c>
      <c r="L658" s="1" t="str">
        <f>IF(COUNTA(A658:J658)=0,"",IF(OR(AND(C658&lt;&gt;"Servicio",C658&lt;&gt;"Cobro",C658&lt;&gt;"Anticipo",C658&lt;&gt;"Aplicación anticipo",C658&lt;&gt;"Retención ISR",C658&lt;&gt;"Retención IVA"),AND(C658="Servicio",F658&lt;&gt;"TMS",F658&lt;&gt;"Valoración",F658&lt;&gt;"EEG",F658&lt;&gt;"Neurofeedback",F658&lt;&gt;"Fotobiomodulación",F658&lt;&gt;"Psicoterapia",F658&lt;&gt;"Otros")),"Tipo o categoría inválido",IF(COUNTA(A658:J658)=0,"",IF(OR(A658="",B658="",C658="",G658=""),"Faltan datos",IF(COUNTIF($A$7:$A$2006,A658)&gt;1,"ID duplicado",IF(OR(B658&lt;DATE(Configuración!$C$5,1,1),B658&gt;=DATE(Configuración!$C$5+1,1,1)),"Fecha fuera del año",IF(OR(G658&lt;0,H658&lt;0),"Revisar signo",IF(AND(C658&lt;&gt;"Servicio",H658&lt;&gt;0),"IVA solo en Servicio",IF(AND(C658="Servicio",F658=""),"Falta servicio","OK")))))))))</f>
        <v/>
      </c>
    </row>
    <row r="659" spans="1:12" ht="22" customHeight="1">
      <c r="A659" s="3"/>
      <c r="B659" s="7"/>
      <c r="C659" s="3"/>
      <c r="D659" s="3"/>
      <c r="E659" s="3"/>
      <c r="F659" s="3"/>
      <c r="G659" s="4"/>
      <c r="H659" s="4"/>
      <c r="I659" s="3"/>
      <c r="J659" s="3"/>
      <c r="K659" s="8" t="str">
        <f t="shared" si="10"/>
        <v/>
      </c>
      <c r="L659" s="1" t="str">
        <f>IF(COUNTA(A659:J659)=0,"",IF(OR(AND(C659&lt;&gt;"Servicio",C659&lt;&gt;"Cobro",C659&lt;&gt;"Anticipo",C659&lt;&gt;"Aplicación anticipo",C659&lt;&gt;"Retención ISR",C659&lt;&gt;"Retención IVA"),AND(C659="Servicio",F659&lt;&gt;"TMS",F659&lt;&gt;"Valoración",F659&lt;&gt;"EEG",F659&lt;&gt;"Neurofeedback",F659&lt;&gt;"Fotobiomodulación",F659&lt;&gt;"Psicoterapia",F659&lt;&gt;"Otros")),"Tipo o categoría inválido",IF(COUNTA(A659:J659)=0,"",IF(OR(A659="",B659="",C659="",G659=""),"Faltan datos",IF(COUNTIF($A$7:$A$2006,A659)&gt;1,"ID duplicado",IF(OR(B659&lt;DATE(Configuración!$C$5,1,1),B659&gt;=DATE(Configuración!$C$5+1,1,1)),"Fecha fuera del año",IF(OR(G659&lt;0,H659&lt;0),"Revisar signo",IF(AND(C659&lt;&gt;"Servicio",H659&lt;&gt;0),"IVA solo en Servicio",IF(AND(C659="Servicio",F659=""),"Falta servicio","OK")))))))))</f>
        <v/>
      </c>
    </row>
    <row r="660" spans="1:12" ht="22" customHeight="1">
      <c r="A660" s="3"/>
      <c r="B660" s="7"/>
      <c r="C660" s="3"/>
      <c r="D660" s="3"/>
      <c r="E660" s="3"/>
      <c r="F660" s="3"/>
      <c r="G660" s="4"/>
      <c r="H660" s="4"/>
      <c r="I660" s="3"/>
      <c r="J660" s="3"/>
      <c r="K660" s="8" t="str">
        <f t="shared" si="10"/>
        <v/>
      </c>
      <c r="L660" s="1" t="str">
        <f>IF(COUNTA(A660:J660)=0,"",IF(OR(AND(C660&lt;&gt;"Servicio",C660&lt;&gt;"Cobro",C660&lt;&gt;"Anticipo",C660&lt;&gt;"Aplicación anticipo",C660&lt;&gt;"Retención ISR",C660&lt;&gt;"Retención IVA"),AND(C660="Servicio",F660&lt;&gt;"TMS",F660&lt;&gt;"Valoración",F660&lt;&gt;"EEG",F660&lt;&gt;"Neurofeedback",F660&lt;&gt;"Fotobiomodulación",F660&lt;&gt;"Psicoterapia",F660&lt;&gt;"Otros")),"Tipo o categoría inválido",IF(COUNTA(A660:J660)=0,"",IF(OR(A660="",B660="",C660="",G660=""),"Faltan datos",IF(COUNTIF($A$7:$A$2006,A660)&gt;1,"ID duplicado",IF(OR(B660&lt;DATE(Configuración!$C$5,1,1),B660&gt;=DATE(Configuración!$C$5+1,1,1)),"Fecha fuera del año",IF(OR(G660&lt;0,H660&lt;0),"Revisar signo",IF(AND(C660&lt;&gt;"Servicio",H660&lt;&gt;0),"IVA solo en Servicio",IF(AND(C660="Servicio",F660=""),"Falta servicio","OK")))))))))</f>
        <v/>
      </c>
    </row>
    <row r="661" spans="1:12" ht="22" customHeight="1">
      <c r="A661" s="3"/>
      <c r="B661" s="7"/>
      <c r="C661" s="3"/>
      <c r="D661" s="3"/>
      <c r="E661" s="3"/>
      <c r="F661" s="3"/>
      <c r="G661" s="4"/>
      <c r="H661" s="4"/>
      <c r="I661" s="3"/>
      <c r="J661" s="3"/>
      <c r="K661" s="8" t="str">
        <f t="shared" si="10"/>
        <v/>
      </c>
      <c r="L661" s="1" t="str">
        <f>IF(COUNTA(A661:J661)=0,"",IF(OR(AND(C661&lt;&gt;"Servicio",C661&lt;&gt;"Cobro",C661&lt;&gt;"Anticipo",C661&lt;&gt;"Aplicación anticipo",C661&lt;&gt;"Retención ISR",C661&lt;&gt;"Retención IVA"),AND(C661="Servicio",F661&lt;&gt;"TMS",F661&lt;&gt;"Valoración",F661&lt;&gt;"EEG",F661&lt;&gt;"Neurofeedback",F661&lt;&gt;"Fotobiomodulación",F661&lt;&gt;"Psicoterapia",F661&lt;&gt;"Otros")),"Tipo o categoría inválido",IF(COUNTA(A661:J661)=0,"",IF(OR(A661="",B661="",C661="",G661=""),"Faltan datos",IF(COUNTIF($A$7:$A$2006,A661)&gt;1,"ID duplicado",IF(OR(B661&lt;DATE(Configuración!$C$5,1,1),B661&gt;=DATE(Configuración!$C$5+1,1,1)),"Fecha fuera del año",IF(OR(G661&lt;0,H661&lt;0),"Revisar signo",IF(AND(C661&lt;&gt;"Servicio",H661&lt;&gt;0),"IVA solo en Servicio",IF(AND(C661="Servicio",F661=""),"Falta servicio","OK")))))))))</f>
        <v/>
      </c>
    </row>
    <row r="662" spans="1:12" ht="22" customHeight="1">
      <c r="A662" s="3"/>
      <c r="B662" s="7"/>
      <c r="C662" s="3"/>
      <c r="D662" s="3"/>
      <c r="E662" s="3"/>
      <c r="F662" s="3"/>
      <c r="G662" s="4"/>
      <c r="H662" s="4"/>
      <c r="I662" s="3"/>
      <c r="J662" s="3"/>
      <c r="K662" s="8" t="str">
        <f t="shared" si="10"/>
        <v/>
      </c>
      <c r="L662" s="1" t="str">
        <f>IF(COUNTA(A662:J662)=0,"",IF(OR(AND(C662&lt;&gt;"Servicio",C662&lt;&gt;"Cobro",C662&lt;&gt;"Anticipo",C662&lt;&gt;"Aplicación anticipo",C662&lt;&gt;"Retención ISR",C662&lt;&gt;"Retención IVA"),AND(C662="Servicio",F662&lt;&gt;"TMS",F662&lt;&gt;"Valoración",F662&lt;&gt;"EEG",F662&lt;&gt;"Neurofeedback",F662&lt;&gt;"Fotobiomodulación",F662&lt;&gt;"Psicoterapia",F662&lt;&gt;"Otros")),"Tipo o categoría inválido",IF(COUNTA(A662:J662)=0,"",IF(OR(A662="",B662="",C662="",G662=""),"Faltan datos",IF(COUNTIF($A$7:$A$2006,A662)&gt;1,"ID duplicado",IF(OR(B662&lt;DATE(Configuración!$C$5,1,1),B662&gt;=DATE(Configuración!$C$5+1,1,1)),"Fecha fuera del año",IF(OR(G662&lt;0,H662&lt;0),"Revisar signo",IF(AND(C662&lt;&gt;"Servicio",H662&lt;&gt;0),"IVA solo en Servicio",IF(AND(C662="Servicio",F662=""),"Falta servicio","OK")))))))))</f>
        <v/>
      </c>
    </row>
    <row r="663" spans="1:12" ht="22" customHeight="1">
      <c r="A663" s="3"/>
      <c r="B663" s="7"/>
      <c r="C663" s="3"/>
      <c r="D663" s="3"/>
      <c r="E663" s="3"/>
      <c r="F663" s="3"/>
      <c r="G663" s="4"/>
      <c r="H663" s="4"/>
      <c r="I663" s="3"/>
      <c r="J663" s="3"/>
      <c r="K663" s="8" t="str">
        <f t="shared" si="10"/>
        <v/>
      </c>
      <c r="L663" s="1" t="str">
        <f>IF(COUNTA(A663:J663)=0,"",IF(OR(AND(C663&lt;&gt;"Servicio",C663&lt;&gt;"Cobro",C663&lt;&gt;"Anticipo",C663&lt;&gt;"Aplicación anticipo",C663&lt;&gt;"Retención ISR",C663&lt;&gt;"Retención IVA"),AND(C663="Servicio",F663&lt;&gt;"TMS",F663&lt;&gt;"Valoración",F663&lt;&gt;"EEG",F663&lt;&gt;"Neurofeedback",F663&lt;&gt;"Fotobiomodulación",F663&lt;&gt;"Psicoterapia",F663&lt;&gt;"Otros")),"Tipo o categoría inválido",IF(COUNTA(A663:J663)=0,"",IF(OR(A663="",B663="",C663="",G663=""),"Faltan datos",IF(COUNTIF($A$7:$A$2006,A663)&gt;1,"ID duplicado",IF(OR(B663&lt;DATE(Configuración!$C$5,1,1),B663&gt;=DATE(Configuración!$C$5+1,1,1)),"Fecha fuera del año",IF(OR(G663&lt;0,H663&lt;0),"Revisar signo",IF(AND(C663&lt;&gt;"Servicio",H663&lt;&gt;0),"IVA solo en Servicio",IF(AND(C663="Servicio",F663=""),"Falta servicio","OK")))))))))</f>
        <v/>
      </c>
    </row>
    <row r="664" spans="1:12" ht="22" customHeight="1">
      <c r="A664" s="3"/>
      <c r="B664" s="7"/>
      <c r="C664" s="3"/>
      <c r="D664" s="3"/>
      <c r="E664" s="3"/>
      <c r="F664" s="3"/>
      <c r="G664" s="4"/>
      <c r="H664" s="4"/>
      <c r="I664" s="3"/>
      <c r="J664" s="3"/>
      <c r="K664" s="8" t="str">
        <f t="shared" si="10"/>
        <v/>
      </c>
      <c r="L664" s="1" t="str">
        <f>IF(COUNTA(A664:J664)=0,"",IF(OR(AND(C664&lt;&gt;"Servicio",C664&lt;&gt;"Cobro",C664&lt;&gt;"Anticipo",C664&lt;&gt;"Aplicación anticipo",C664&lt;&gt;"Retención ISR",C664&lt;&gt;"Retención IVA"),AND(C664="Servicio",F664&lt;&gt;"TMS",F664&lt;&gt;"Valoración",F664&lt;&gt;"EEG",F664&lt;&gt;"Neurofeedback",F664&lt;&gt;"Fotobiomodulación",F664&lt;&gt;"Psicoterapia",F664&lt;&gt;"Otros")),"Tipo o categoría inválido",IF(COUNTA(A664:J664)=0,"",IF(OR(A664="",B664="",C664="",G664=""),"Faltan datos",IF(COUNTIF($A$7:$A$2006,A664)&gt;1,"ID duplicado",IF(OR(B664&lt;DATE(Configuración!$C$5,1,1),B664&gt;=DATE(Configuración!$C$5+1,1,1)),"Fecha fuera del año",IF(OR(G664&lt;0,H664&lt;0),"Revisar signo",IF(AND(C664&lt;&gt;"Servicio",H664&lt;&gt;0),"IVA solo en Servicio",IF(AND(C664="Servicio",F664=""),"Falta servicio","OK")))))))))</f>
        <v/>
      </c>
    </row>
    <row r="665" spans="1:12" ht="22" customHeight="1">
      <c r="A665" s="3"/>
      <c r="B665" s="7"/>
      <c r="C665" s="3"/>
      <c r="D665" s="3"/>
      <c r="E665" s="3"/>
      <c r="F665" s="3"/>
      <c r="G665" s="4"/>
      <c r="H665" s="4"/>
      <c r="I665" s="3"/>
      <c r="J665" s="3"/>
      <c r="K665" s="8" t="str">
        <f t="shared" si="10"/>
        <v/>
      </c>
      <c r="L665" s="1" t="str">
        <f>IF(COUNTA(A665:J665)=0,"",IF(OR(AND(C665&lt;&gt;"Servicio",C665&lt;&gt;"Cobro",C665&lt;&gt;"Anticipo",C665&lt;&gt;"Aplicación anticipo",C665&lt;&gt;"Retención ISR",C665&lt;&gt;"Retención IVA"),AND(C665="Servicio",F665&lt;&gt;"TMS",F665&lt;&gt;"Valoración",F665&lt;&gt;"EEG",F665&lt;&gt;"Neurofeedback",F665&lt;&gt;"Fotobiomodulación",F665&lt;&gt;"Psicoterapia",F665&lt;&gt;"Otros")),"Tipo o categoría inválido",IF(COUNTA(A665:J665)=0,"",IF(OR(A665="",B665="",C665="",G665=""),"Faltan datos",IF(COUNTIF($A$7:$A$2006,A665)&gt;1,"ID duplicado",IF(OR(B665&lt;DATE(Configuración!$C$5,1,1),B665&gt;=DATE(Configuración!$C$5+1,1,1)),"Fecha fuera del año",IF(OR(G665&lt;0,H665&lt;0),"Revisar signo",IF(AND(C665&lt;&gt;"Servicio",H665&lt;&gt;0),"IVA solo en Servicio",IF(AND(C665="Servicio",F665=""),"Falta servicio","OK")))))))))</f>
        <v/>
      </c>
    </row>
    <row r="666" spans="1:12" ht="22" customHeight="1">
      <c r="A666" s="3"/>
      <c r="B666" s="7"/>
      <c r="C666" s="3"/>
      <c r="D666" s="3"/>
      <c r="E666" s="3"/>
      <c r="F666" s="3"/>
      <c r="G666" s="4"/>
      <c r="H666" s="4"/>
      <c r="I666" s="3"/>
      <c r="J666" s="3"/>
      <c r="K666" s="8" t="str">
        <f t="shared" si="10"/>
        <v/>
      </c>
      <c r="L666" s="1" t="str">
        <f>IF(COUNTA(A666:J666)=0,"",IF(OR(AND(C666&lt;&gt;"Servicio",C666&lt;&gt;"Cobro",C666&lt;&gt;"Anticipo",C666&lt;&gt;"Aplicación anticipo",C666&lt;&gt;"Retención ISR",C666&lt;&gt;"Retención IVA"),AND(C666="Servicio",F666&lt;&gt;"TMS",F666&lt;&gt;"Valoración",F666&lt;&gt;"EEG",F666&lt;&gt;"Neurofeedback",F666&lt;&gt;"Fotobiomodulación",F666&lt;&gt;"Psicoterapia",F666&lt;&gt;"Otros")),"Tipo o categoría inválido",IF(COUNTA(A666:J666)=0,"",IF(OR(A666="",B666="",C666="",G666=""),"Faltan datos",IF(COUNTIF($A$7:$A$2006,A666)&gt;1,"ID duplicado",IF(OR(B666&lt;DATE(Configuración!$C$5,1,1),B666&gt;=DATE(Configuración!$C$5+1,1,1)),"Fecha fuera del año",IF(OR(G666&lt;0,H666&lt;0),"Revisar signo",IF(AND(C666&lt;&gt;"Servicio",H666&lt;&gt;0),"IVA solo en Servicio",IF(AND(C666="Servicio",F666=""),"Falta servicio","OK")))))))))</f>
        <v/>
      </c>
    </row>
    <row r="667" spans="1:12" ht="22" customHeight="1">
      <c r="A667" s="3"/>
      <c r="B667" s="7"/>
      <c r="C667" s="3"/>
      <c r="D667" s="3"/>
      <c r="E667" s="3"/>
      <c r="F667" s="3"/>
      <c r="G667" s="4"/>
      <c r="H667" s="4"/>
      <c r="I667" s="3"/>
      <c r="J667" s="3"/>
      <c r="K667" s="8" t="str">
        <f t="shared" si="10"/>
        <v/>
      </c>
      <c r="L667" s="1" t="str">
        <f>IF(COUNTA(A667:J667)=0,"",IF(OR(AND(C667&lt;&gt;"Servicio",C667&lt;&gt;"Cobro",C667&lt;&gt;"Anticipo",C667&lt;&gt;"Aplicación anticipo",C667&lt;&gt;"Retención ISR",C667&lt;&gt;"Retención IVA"),AND(C667="Servicio",F667&lt;&gt;"TMS",F667&lt;&gt;"Valoración",F667&lt;&gt;"EEG",F667&lt;&gt;"Neurofeedback",F667&lt;&gt;"Fotobiomodulación",F667&lt;&gt;"Psicoterapia",F667&lt;&gt;"Otros")),"Tipo o categoría inválido",IF(COUNTA(A667:J667)=0,"",IF(OR(A667="",B667="",C667="",G667=""),"Faltan datos",IF(COUNTIF($A$7:$A$2006,A667)&gt;1,"ID duplicado",IF(OR(B667&lt;DATE(Configuración!$C$5,1,1),B667&gt;=DATE(Configuración!$C$5+1,1,1)),"Fecha fuera del año",IF(OR(G667&lt;0,H667&lt;0),"Revisar signo",IF(AND(C667&lt;&gt;"Servicio",H667&lt;&gt;0),"IVA solo en Servicio",IF(AND(C667="Servicio",F667=""),"Falta servicio","OK")))))))))</f>
        <v/>
      </c>
    </row>
    <row r="668" spans="1:12" ht="22" customHeight="1">
      <c r="A668" s="3"/>
      <c r="B668" s="7"/>
      <c r="C668" s="3"/>
      <c r="D668" s="3"/>
      <c r="E668" s="3"/>
      <c r="F668" s="3"/>
      <c r="G668" s="4"/>
      <c r="H668" s="4"/>
      <c r="I668" s="3"/>
      <c r="J668" s="3"/>
      <c r="K668" s="8" t="str">
        <f t="shared" si="10"/>
        <v/>
      </c>
      <c r="L668" s="1" t="str">
        <f>IF(COUNTA(A668:J668)=0,"",IF(OR(AND(C668&lt;&gt;"Servicio",C668&lt;&gt;"Cobro",C668&lt;&gt;"Anticipo",C668&lt;&gt;"Aplicación anticipo",C668&lt;&gt;"Retención ISR",C668&lt;&gt;"Retención IVA"),AND(C668="Servicio",F668&lt;&gt;"TMS",F668&lt;&gt;"Valoración",F668&lt;&gt;"EEG",F668&lt;&gt;"Neurofeedback",F668&lt;&gt;"Fotobiomodulación",F668&lt;&gt;"Psicoterapia",F668&lt;&gt;"Otros")),"Tipo o categoría inválido",IF(COUNTA(A668:J668)=0,"",IF(OR(A668="",B668="",C668="",G668=""),"Faltan datos",IF(COUNTIF($A$7:$A$2006,A668)&gt;1,"ID duplicado",IF(OR(B668&lt;DATE(Configuración!$C$5,1,1),B668&gt;=DATE(Configuración!$C$5+1,1,1)),"Fecha fuera del año",IF(OR(G668&lt;0,H668&lt;0),"Revisar signo",IF(AND(C668&lt;&gt;"Servicio",H668&lt;&gt;0),"IVA solo en Servicio",IF(AND(C668="Servicio",F668=""),"Falta servicio","OK")))))))))</f>
        <v/>
      </c>
    </row>
    <row r="669" spans="1:12" ht="22" customHeight="1">
      <c r="A669" s="3"/>
      <c r="B669" s="7"/>
      <c r="C669" s="3"/>
      <c r="D669" s="3"/>
      <c r="E669" s="3"/>
      <c r="F669" s="3"/>
      <c r="G669" s="4"/>
      <c r="H669" s="4"/>
      <c r="I669" s="3"/>
      <c r="J669" s="3"/>
      <c r="K669" s="8" t="str">
        <f t="shared" si="10"/>
        <v/>
      </c>
      <c r="L669" s="1" t="str">
        <f>IF(COUNTA(A669:J669)=0,"",IF(OR(AND(C669&lt;&gt;"Servicio",C669&lt;&gt;"Cobro",C669&lt;&gt;"Anticipo",C669&lt;&gt;"Aplicación anticipo",C669&lt;&gt;"Retención ISR",C669&lt;&gt;"Retención IVA"),AND(C669="Servicio",F669&lt;&gt;"TMS",F669&lt;&gt;"Valoración",F669&lt;&gt;"EEG",F669&lt;&gt;"Neurofeedback",F669&lt;&gt;"Fotobiomodulación",F669&lt;&gt;"Psicoterapia",F669&lt;&gt;"Otros")),"Tipo o categoría inválido",IF(COUNTA(A669:J669)=0,"",IF(OR(A669="",B669="",C669="",G669=""),"Faltan datos",IF(COUNTIF($A$7:$A$2006,A669)&gt;1,"ID duplicado",IF(OR(B669&lt;DATE(Configuración!$C$5,1,1),B669&gt;=DATE(Configuración!$C$5+1,1,1)),"Fecha fuera del año",IF(OR(G669&lt;0,H669&lt;0),"Revisar signo",IF(AND(C669&lt;&gt;"Servicio",H669&lt;&gt;0),"IVA solo en Servicio",IF(AND(C669="Servicio",F669=""),"Falta servicio","OK")))))))))</f>
        <v/>
      </c>
    </row>
    <row r="670" spans="1:12" ht="22" customHeight="1">
      <c r="A670" s="3"/>
      <c r="B670" s="7"/>
      <c r="C670" s="3"/>
      <c r="D670" s="3"/>
      <c r="E670" s="3"/>
      <c r="F670" s="3"/>
      <c r="G670" s="4"/>
      <c r="H670" s="4"/>
      <c r="I670" s="3"/>
      <c r="J670" s="3"/>
      <c r="K670" s="8" t="str">
        <f t="shared" si="10"/>
        <v/>
      </c>
      <c r="L670" s="1" t="str">
        <f>IF(COUNTA(A670:J670)=0,"",IF(OR(AND(C670&lt;&gt;"Servicio",C670&lt;&gt;"Cobro",C670&lt;&gt;"Anticipo",C670&lt;&gt;"Aplicación anticipo",C670&lt;&gt;"Retención ISR",C670&lt;&gt;"Retención IVA"),AND(C670="Servicio",F670&lt;&gt;"TMS",F670&lt;&gt;"Valoración",F670&lt;&gt;"EEG",F670&lt;&gt;"Neurofeedback",F670&lt;&gt;"Fotobiomodulación",F670&lt;&gt;"Psicoterapia",F670&lt;&gt;"Otros")),"Tipo o categoría inválido",IF(COUNTA(A670:J670)=0,"",IF(OR(A670="",B670="",C670="",G670=""),"Faltan datos",IF(COUNTIF($A$7:$A$2006,A670)&gt;1,"ID duplicado",IF(OR(B670&lt;DATE(Configuración!$C$5,1,1),B670&gt;=DATE(Configuración!$C$5+1,1,1)),"Fecha fuera del año",IF(OR(G670&lt;0,H670&lt;0),"Revisar signo",IF(AND(C670&lt;&gt;"Servicio",H670&lt;&gt;0),"IVA solo en Servicio",IF(AND(C670="Servicio",F670=""),"Falta servicio","OK")))))))))</f>
        <v/>
      </c>
    </row>
    <row r="671" spans="1:12" ht="22" customHeight="1">
      <c r="A671" s="3"/>
      <c r="B671" s="7"/>
      <c r="C671" s="3"/>
      <c r="D671" s="3"/>
      <c r="E671" s="3"/>
      <c r="F671" s="3"/>
      <c r="G671" s="4"/>
      <c r="H671" s="4"/>
      <c r="I671" s="3"/>
      <c r="J671" s="3"/>
      <c r="K671" s="8" t="str">
        <f t="shared" si="10"/>
        <v/>
      </c>
      <c r="L671" s="1" t="str">
        <f>IF(COUNTA(A671:J671)=0,"",IF(OR(AND(C671&lt;&gt;"Servicio",C671&lt;&gt;"Cobro",C671&lt;&gt;"Anticipo",C671&lt;&gt;"Aplicación anticipo",C671&lt;&gt;"Retención ISR",C671&lt;&gt;"Retención IVA"),AND(C671="Servicio",F671&lt;&gt;"TMS",F671&lt;&gt;"Valoración",F671&lt;&gt;"EEG",F671&lt;&gt;"Neurofeedback",F671&lt;&gt;"Fotobiomodulación",F671&lt;&gt;"Psicoterapia",F671&lt;&gt;"Otros")),"Tipo o categoría inválido",IF(COUNTA(A671:J671)=0,"",IF(OR(A671="",B671="",C671="",G671=""),"Faltan datos",IF(COUNTIF($A$7:$A$2006,A671)&gt;1,"ID duplicado",IF(OR(B671&lt;DATE(Configuración!$C$5,1,1),B671&gt;=DATE(Configuración!$C$5+1,1,1)),"Fecha fuera del año",IF(OR(G671&lt;0,H671&lt;0),"Revisar signo",IF(AND(C671&lt;&gt;"Servicio",H671&lt;&gt;0),"IVA solo en Servicio",IF(AND(C671="Servicio",F671=""),"Falta servicio","OK")))))))))</f>
        <v/>
      </c>
    </row>
    <row r="672" spans="1:12" ht="22" customHeight="1">
      <c r="A672" s="3"/>
      <c r="B672" s="7"/>
      <c r="C672" s="3"/>
      <c r="D672" s="3"/>
      <c r="E672" s="3"/>
      <c r="F672" s="3"/>
      <c r="G672" s="4"/>
      <c r="H672" s="4"/>
      <c r="I672" s="3"/>
      <c r="J672" s="3"/>
      <c r="K672" s="8" t="str">
        <f t="shared" si="10"/>
        <v/>
      </c>
      <c r="L672" s="1" t="str">
        <f>IF(COUNTA(A672:J672)=0,"",IF(OR(AND(C672&lt;&gt;"Servicio",C672&lt;&gt;"Cobro",C672&lt;&gt;"Anticipo",C672&lt;&gt;"Aplicación anticipo",C672&lt;&gt;"Retención ISR",C672&lt;&gt;"Retención IVA"),AND(C672="Servicio",F672&lt;&gt;"TMS",F672&lt;&gt;"Valoración",F672&lt;&gt;"EEG",F672&lt;&gt;"Neurofeedback",F672&lt;&gt;"Fotobiomodulación",F672&lt;&gt;"Psicoterapia",F672&lt;&gt;"Otros")),"Tipo o categoría inválido",IF(COUNTA(A672:J672)=0,"",IF(OR(A672="",B672="",C672="",G672=""),"Faltan datos",IF(COUNTIF($A$7:$A$2006,A672)&gt;1,"ID duplicado",IF(OR(B672&lt;DATE(Configuración!$C$5,1,1),B672&gt;=DATE(Configuración!$C$5+1,1,1)),"Fecha fuera del año",IF(OR(G672&lt;0,H672&lt;0),"Revisar signo",IF(AND(C672&lt;&gt;"Servicio",H672&lt;&gt;0),"IVA solo en Servicio",IF(AND(C672="Servicio",F672=""),"Falta servicio","OK")))))))))</f>
        <v/>
      </c>
    </row>
    <row r="673" spans="1:12" ht="22" customHeight="1">
      <c r="A673" s="3"/>
      <c r="B673" s="7"/>
      <c r="C673" s="3"/>
      <c r="D673" s="3"/>
      <c r="E673" s="3"/>
      <c r="F673" s="3"/>
      <c r="G673" s="4"/>
      <c r="H673" s="4"/>
      <c r="I673" s="3"/>
      <c r="J673" s="3"/>
      <c r="K673" s="8" t="str">
        <f t="shared" si="10"/>
        <v/>
      </c>
      <c r="L673" s="1" t="str">
        <f>IF(COUNTA(A673:J673)=0,"",IF(OR(AND(C673&lt;&gt;"Servicio",C673&lt;&gt;"Cobro",C673&lt;&gt;"Anticipo",C673&lt;&gt;"Aplicación anticipo",C673&lt;&gt;"Retención ISR",C673&lt;&gt;"Retención IVA"),AND(C673="Servicio",F673&lt;&gt;"TMS",F673&lt;&gt;"Valoración",F673&lt;&gt;"EEG",F673&lt;&gt;"Neurofeedback",F673&lt;&gt;"Fotobiomodulación",F673&lt;&gt;"Psicoterapia",F673&lt;&gt;"Otros")),"Tipo o categoría inválido",IF(COUNTA(A673:J673)=0,"",IF(OR(A673="",B673="",C673="",G673=""),"Faltan datos",IF(COUNTIF($A$7:$A$2006,A673)&gt;1,"ID duplicado",IF(OR(B673&lt;DATE(Configuración!$C$5,1,1),B673&gt;=DATE(Configuración!$C$5+1,1,1)),"Fecha fuera del año",IF(OR(G673&lt;0,H673&lt;0),"Revisar signo",IF(AND(C673&lt;&gt;"Servicio",H673&lt;&gt;0),"IVA solo en Servicio",IF(AND(C673="Servicio",F673=""),"Falta servicio","OK")))))))))</f>
        <v/>
      </c>
    </row>
    <row r="674" spans="1:12" ht="22" customHeight="1">
      <c r="A674" s="3"/>
      <c r="B674" s="7"/>
      <c r="C674" s="3"/>
      <c r="D674" s="3"/>
      <c r="E674" s="3"/>
      <c r="F674" s="3"/>
      <c r="G674" s="4"/>
      <c r="H674" s="4"/>
      <c r="I674" s="3"/>
      <c r="J674" s="3"/>
      <c r="K674" s="8" t="str">
        <f t="shared" si="10"/>
        <v/>
      </c>
      <c r="L674" s="1" t="str">
        <f>IF(COUNTA(A674:J674)=0,"",IF(OR(AND(C674&lt;&gt;"Servicio",C674&lt;&gt;"Cobro",C674&lt;&gt;"Anticipo",C674&lt;&gt;"Aplicación anticipo",C674&lt;&gt;"Retención ISR",C674&lt;&gt;"Retención IVA"),AND(C674="Servicio",F674&lt;&gt;"TMS",F674&lt;&gt;"Valoración",F674&lt;&gt;"EEG",F674&lt;&gt;"Neurofeedback",F674&lt;&gt;"Fotobiomodulación",F674&lt;&gt;"Psicoterapia",F674&lt;&gt;"Otros")),"Tipo o categoría inválido",IF(COUNTA(A674:J674)=0,"",IF(OR(A674="",B674="",C674="",G674=""),"Faltan datos",IF(COUNTIF($A$7:$A$2006,A674)&gt;1,"ID duplicado",IF(OR(B674&lt;DATE(Configuración!$C$5,1,1),B674&gt;=DATE(Configuración!$C$5+1,1,1)),"Fecha fuera del año",IF(OR(G674&lt;0,H674&lt;0),"Revisar signo",IF(AND(C674&lt;&gt;"Servicio",H674&lt;&gt;0),"IVA solo en Servicio",IF(AND(C674="Servicio",F674=""),"Falta servicio","OK")))))))))</f>
        <v/>
      </c>
    </row>
    <row r="675" spans="1:12" ht="22" customHeight="1">
      <c r="A675" s="3"/>
      <c r="B675" s="7"/>
      <c r="C675" s="3"/>
      <c r="D675" s="3"/>
      <c r="E675" s="3"/>
      <c r="F675" s="3"/>
      <c r="G675" s="4"/>
      <c r="H675" s="4"/>
      <c r="I675" s="3"/>
      <c r="J675" s="3"/>
      <c r="K675" s="8" t="str">
        <f t="shared" si="10"/>
        <v/>
      </c>
      <c r="L675" s="1" t="str">
        <f>IF(COUNTA(A675:J675)=0,"",IF(OR(AND(C675&lt;&gt;"Servicio",C675&lt;&gt;"Cobro",C675&lt;&gt;"Anticipo",C675&lt;&gt;"Aplicación anticipo",C675&lt;&gt;"Retención ISR",C675&lt;&gt;"Retención IVA"),AND(C675="Servicio",F675&lt;&gt;"TMS",F675&lt;&gt;"Valoración",F675&lt;&gt;"EEG",F675&lt;&gt;"Neurofeedback",F675&lt;&gt;"Fotobiomodulación",F675&lt;&gt;"Psicoterapia",F675&lt;&gt;"Otros")),"Tipo o categoría inválido",IF(COUNTA(A675:J675)=0,"",IF(OR(A675="",B675="",C675="",G675=""),"Faltan datos",IF(COUNTIF($A$7:$A$2006,A675)&gt;1,"ID duplicado",IF(OR(B675&lt;DATE(Configuración!$C$5,1,1),B675&gt;=DATE(Configuración!$C$5+1,1,1)),"Fecha fuera del año",IF(OR(G675&lt;0,H675&lt;0),"Revisar signo",IF(AND(C675&lt;&gt;"Servicio",H675&lt;&gt;0),"IVA solo en Servicio",IF(AND(C675="Servicio",F675=""),"Falta servicio","OK")))))))))</f>
        <v/>
      </c>
    </row>
    <row r="676" spans="1:12" ht="22" customHeight="1">
      <c r="A676" s="3"/>
      <c r="B676" s="7"/>
      <c r="C676" s="3"/>
      <c r="D676" s="3"/>
      <c r="E676" s="3"/>
      <c r="F676" s="3"/>
      <c r="G676" s="4"/>
      <c r="H676" s="4"/>
      <c r="I676" s="3"/>
      <c r="J676" s="3"/>
      <c r="K676" s="8" t="str">
        <f t="shared" si="10"/>
        <v/>
      </c>
      <c r="L676" s="1" t="str">
        <f>IF(COUNTA(A676:J676)=0,"",IF(OR(AND(C676&lt;&gt;"Servicio",C676&lt;&gt;"Cobro",C676&lt;&gt;"Anticipo",C676&lt;&gt;"Aplicación anticipo",C676&lt;&gt;"Retención ISR",C676&lt;&gt;"Retención IVA"),AND(C676="Servicio",F676&lt;&gt;"TMS",F676&lt;&gt;"Valoración",F676&lt;&gt;"EEG",F676&lt;&gt;"Neurofeedback",F676&lt;&gt;"Fotobiomodulación",F676&lt;&gt;"Psicoterapia",F676&lt;&gt;"Otros")),"Tipo o categoría inválido",IF(COUNTA(A676:J676)=0,"",IF(OR(A676="",B676="",C676="",G676=""),"Faltan datos",IF(COUNTIF($A$7:$A$2006,A676)&gt;1,"ID duplicado",IF(OR(B676&lt;DATE(Configuración!$C$5,1,1),B676&gt;=DATE(Configuración!$C$5+1,1,1)),"Fecha fuera del año",IF(OR(G676&lt;0,H676&lt;0),"Revisar signo",IF(AND(C676&lt;&gt;"Servicio",H676&lt;&gt;0),"IVA solo en Servicio",IF(AND(C676="Servicio",F676=""),"Falta servicio","OK")))))))))</f>
        <v/>
      </c>
    </row>
    <row r="677" spans="1:12" ht="22" customHeight="1">
      <c r="A677" s="3"/>
      <c r="B677" s="7"/>
      <c r="C677" s="3"/>
      <c r="D677" s="3"/>
      <c r="E677" s="3"/>
      <c r="F677" s="3"/>
      <c r="G677" s="4"/>
      <c r="H677" s="4"/>
      <c r="I677" s="3"/>
      <c r="J677" s="3"/>
      <c r="K677" s="8" t="str">
        <f t="shared" si="10"/>
        <v/>
      </c>
      <c r="L677" s="1" t="str">
        <f>IF(COUNTA(A677:J677)=0,"",IF(OR(AND(C677&lt;&gt;"Servicio",C677&lt;&gt;"Cobro",C677&lt;&gt;"Anticipo",C677&lt;&gt;"Aplicación anticipo",C677&lt;&gt;"Retención ISR",C677&lt;&gt;"Retención IVA"),AND(C677="Servicio",F677&lt;&gt;"TMS",F677&lt;&gt;"Valoración",F677&lt;&gt;"EEG",F677&lt;&gt;"Neurofeedback",F677&lt;&gt;"Fotobiomodulación",F677&lt;&gt;"Psicoterapia",F677&lt;&gt;"Otros")),"Tipo o categoría inválido",IF(COUNTA(A677:J677)=0,"",IF(OR(A677="",B677="",C677="",G677=""),"Faltan datos",IF(COUNTIF($A$7:$A$2006,A677)&gt;1,"ID duplicado",IF(OR(B677&lt;DATE(Configuración!$C$5,1,1),B677&gt;=DATE(Configuración!$C$5+1,1,1)),"Fecha fuera del año",IF(OR(G677&lt;0,H677&lt;0),"Revisar signo",IF(AND(C677&lt;&gt;"Servicio",H677&lt;&gt;0),"IVA solo en Servicio",IF(AND(C677="Servicio",F677=""),"Falta servicio","OK")))))))))</f>
        <v/>
      </c>
    </row>
    <row r="678" spans="1:12" ht="22" customHeight="1">
      <c r="A678" s="3"/>
      <c r="B678" s="7"/>
      <c r="C678" s="3"/>
      <c r="D678" s="3"/>
      <c r="E678" s="3"/>
      <c r="F678" s="3"/>
      <c r="G678" s="4"/>
      <c r="H678" s="4"/>
      <c r="I678" s="3"/>
      <c r="J678" s="3"/>
      <c r="K678" s="8" t="str">
        <f t="shared" si="10"/>
        <v/>
      </c>
      <c r="L678" s="1" t="str">
        <f>IF(COUNTA(A678:J678)=0,"",IF(OR(AND(C678&lt;&gt;"Servicio",C678&lt;&gt;"Cobro",C678&lt;&gt;"Anticipo",C678&lt;&gt;"Aplicación anticipo",C678&lt;&gt;"Retención ISR",C678&lt;&gt;"Retención IVA"),AND(C678="Servicio",F678&lt;&gt;"TMS",F678&lt;&gt;"Valoración",F678&lt;&gt;"EEG",F678&lt;&gt;"Neurofeedback",F678&lt;&gt;"Fotobiomodulación",F678&lt;&gt;"Psicoterapia",F678&lt;&gt;"Otros")),"Tipo o categoría inválido",IF(COUNTA(A678:J678)=0,"",IF(OR(A678="",B678="",C678="",G678=""),"Faltan datos",IF(COUNTIF($A$7:$A$2006,A678)&gt;1,"ID duplicado",IF(OR(B678&lt;DATE(Configuración!$C$5,1,1),B678&gt;=DATE(Configuración!$C$5+1,1,1)),"Fecha fuera del año",IF(OR(G678&lt;0,H678&lt;0),"Revisar signo",IF(AND(C678&lt;&gt;"Servicio",H678&lt;&gt;0),"IVA solo en Servicio",IF(AND(C678="Servicio",F678=""),"Falta servicio","OK")))))))))</f>
        <v/>
      </c>
    </row>
    <row r="679" spans="1:12" ht="22" customHeight="1">
      <c r="A679" s="3"/>
      <c r="B679" s="7"/>
      <c r="C679" s="3"/>
      <c r="D679" s="3"/>
      <c r="E679" s="3"/>
      <c r="F679" s="3"/>
      <c r="G679" s="4"/>
      <c r="H679" s="4"/>
      <c r="I679" s="3"/>
      <c r="J679" s="3"/>
      <c r="K679" s="8" t="str">
        <f t="shared" si="10"/>
        <v/>
      </c>
      <c r="L679" s="1" t="str">
        <f>IF(COUNTA(A679:J679)=0,"",IF(OR(AND(C679&lt;&gt;"Servicio",C679&lt;&gt;"Cobro",C679&lt;&gt;"Anticipo",C679&lt;&gt;"Aplicación anticipo",C679&lt;&gt;"Retención ISR",C679&lt;&gt;"Retención IVA"),AND(C679="Servicio",F679&lt;&gt;"TMS",F679&lt;&gt;"Valoración",F679&lt;&gt;"EEG",F679&lt;&gt;"Neurofeedback",F679&lt;&gt;"Fotobiomodulación",F679&lt;&gt;"Psicoterapia",F679&lt;&gt;"Otros")),"Tipo o categoría inválido",IF(COUNTA(A679:J679)=0,"",IF(OR(A679="",B679="",C679="",G679=""),"Faltan datos",IF(COUNTIF($A$7:$A$2006,A679)&gt;1,"ID duplicado",IF(OR(B679&lt;DATE(Configuración!$C$5,1,1),B679&gt;=DATE(Configuración!$C$5+1,1,1)),"Fecha fuera del año",IF(OR(G679&lt;0,H679&lt;0),"Revisar signo",IF(AND(C679&lt;&gt;"Servicio",H679&lt;&gt;0),"IVA solo en Servicio",IF(AND(C679="Servicio",F679=""),"Falta servicio","OK")))))))))</f>
        <v/>
      </c>
    </row>
    <row r="680" spans="1:12" ht="22" customHeight="1">
      <c r="A680" s="3"/>
      <c r="B680" s="7"/>
      <c r="C680" s="3"/>
      <c r="D680" s="3"/>
      <c r="E680" s="3"/>
      <c r="F680" s="3"/>
      <c r="G680" s="4"/>
      <c r="H680" s="4"/>
      <c r="I680" s="3"/>
      <c r="J680" s="3"/>
      <c r="K680" s="8" t="str">
        <f t="shared" si="10"/>
        <v/>
      </c>
      <c r="L680" s="1" t="str">
        <f>IF(COUNTA(A680:J680)=0,"",IF(OR(AND(C680&lt;&gt;"Servicio",C680&lt;&gt;"Cobro",C680&lt;&gt;"Anticipo",C680&lt;&gt;"Aplicación anticipo",C680&lt;&gt;"Retención ISR",C680&lt;&gt;"Retención IVA"),AND(C680="Servicio",F680&lt;&gt;"TMS",F680&lt;&gt;"Valoración",F680&lt;&gt;"EEG",F680&lt;&gt;"Neurofeedback",F680&lt;&gt;"Fotobiomodulación",F680&lt;&gt;"Psicoterapia",F680&lt;&gt;"Otros")),"Tipo o categoría inválido",IF(COUNTA(A680:J680)=0,"",IF(OR(A680="",B680="",C680="",G680=""),"Faltan datos",IF(COUNTIF($A$7:$A$2006,A680)&gt;1,"ID duplicado",IF(OR(B680&lt;DATE(Configuración!$C$5,1,1),B680&gt;=DATE(Configuración!$C$5+1,1,1)),"Fecha fuera del año",IF(OR(G680&lt;0,H680&lt;0),"Revisar signo",IF(AND(C680&lt;&gt;"Servicio",H680&lt;&gt;0),"IVA solo en Servicio",IF(AND(C680="Servicio",F680=""),"Falta servicio","OK")))))))))</f>
        <v/>
      </c>
    </row>
    <row r="681" spans="1:12" ht="22" customHeight="1">
      <c r="A681" s="3"/>
      <c r="B681" s="7"/>
      <c r="C681" s="3"/>
      <c r="D681" s="3"/>
      <c r="E681" s="3"/>
      <c r="F681" s="3"/>
      <c r="G681" s="4"/>
      <c r="H681" s="4"/>
      <c r="I681" s="3"/>
      <c r="J681" s="3"/>
      <c r="K681" s="8" t="str">
        <f t="shared" si="10"/>
        <v/>
      </c>
      <c r="L681" s="1" t="str">
        <f>IF(COUNTA(A681:J681)=0,"",IF(OR(AND(C681&lt;&gt;"Servicio",C681&lt;&gt;"Cobro",C681&lt;&gt;"Anticipo",C681&lt;&gt;"Aplicación anticipo",C681&lt;&gt;"Retención ISR",C681&lt;&gt;"Retención IVA"),AND(C681="Servicio",F681&lt;&gt;"TMS",F681&lt;&gt;"Valoración",F681&lt;&gt;"EEG",F681&lt;&gt;"Neurofeedback",F681&lt;&gt;"Fotobiomodulación",F681&lt;&gt;"Psicoterapia",F681&lt;&gt;"Otros")),"Tipo o categoría inválido",IF(COUNTA(A681:J681)=0,"",IF(OR(A681="",B681="",C681="",G681=""),"Faltan datos",IF(COUNTIF($A$7:$A$2006,A681)&gt;1,"ID duplicado",IF(OR(B681&lt;DATE(Configuración!$C$5,1,1),B681&gt;=DATE(Configuración!$C$5+1,1,1)),"Fecha fuera del año",IF(OR(G681&lt;0,H681&lt;0),"Revisar signo",IF(AND(C681&lt;&gt;"Servicio",H681&lt;&gt;0),"IVA solo en Servicio",IF(AND(C681="Servicio",F681=""),"Falta servicio","OK")))))))))</f>
        <v/>
      </c>
    </row>
    <row r="682" spans="1:12" ht="22" customHeight="1">
      <c r="A682" s="3"/>
      <c r="B682" s="7"/>
      <c r="C682" s="3"/>
      <c r="D682" s="3"/>
      <c r="E682" s="3"/>
      <c r="F682" s="3"/>
      <c r="G682" s="4"/>
      <c r="H682" s="4"/>
      <c r="I682" s="3"/>
      <c r="J682" s="3"/>
      <c r="K682" s="8" t="str">
        <f t="shared" si="10"/>
        <v/>
      </c>
      <c r="L682" s="1" t="str">
        <f>IF(COUNTA(A682:J682)=0,"",IF(OR(AND(C682&lt;&gt;"Servicio",C682&lt;&gt;"Cobro",C682&lt;&gt;"Anticipo",C682&lt;&gt;"Aplicación anticipo",C682&lt;&gt;"Retención ISR",C682&lt;&gt;"Retención IVA"),AND(C682="Servicio",F682&lt;&gt;"TMS",F682&lt;&gt;"Valoración",F682&lt;&gt;"EEG",F682&lt;&gt;"Neurofeedback",F682&lt;&gt;"Fotobiomodulación",F682&lt;&gt;"Psicoterapia",F682&lt;&gt;"Otros")),"Tipo o categoría inválido",IF(COUNTA(A682:J682)=0,"",IF(OR(A682="",B682="",C682="",G682=""),"Faltan datos",IF(COUNTIF($A$7:$A$2006,A682)&gt;1,"ID duplicado",IF(OR(B682&lt;DATE(Configuración!$C$5,1,1),B682&gt;=DATE(Configuración!$C$5+1,1,1)),"Fecha fuera del año",IF(OR(G682&lt;0,H682&lt;0),"Revisar signo",IF(AND(C682&lt;&gt;"Servicio",H682&lt;&gt;0),"IVA solo en Servicio",IF(AND(C682="Servicio",F682=""),"Falta servicio","OK")))))))))</f>
        <v/>
      </c>
    </row>
    <row r="683" spans="1:12" ht="22" customHeight="1">
      <c r="A683" s="3"/>
      <c r="B683" s="7"/>
      <c r="C683" s="3"/>
      <c r="D683" s="3"/>
      <c r="E683" s="3"/>
      <c r="F683" s="3"/>
      <c r="G683" s="4"/>
      <c r="H683" s="4"/>
      <c r="I683" s="3"/>
      <c r="J683" s="3"/>
      <c r="K683" s="8" t="str">
        <f t="shared" si="10"/>
        <v/>
      </c>
      <c r="L683" s="1" t="str">
        <f>IF(COUNTA(A683:J683)=0,"",IF(OR(AND(C683&lt;&gt;"Servicio",C683&lt;&gt;"Cobro",C683&lt;&gt;"Anticipo",C683&lt;&gt;"Aplicación anticipo",C683&lt;&gt;"Retención ISR",C683&lt;&gt;"Retención IVA"),AND(C683="Servicio",F683&lt;&gt;"TMS",F683&lt;&gt;"Valoración",F683&lt;&gt;"EEG",F683&lt;&gt;"Neurofeedback",F683&lt;&gt;"Fotobiomodulación",F683&lt;&gt;"Psicoterapia",F683&lt;&gt;"Otros")),"Tipo o categoría inválido",IF(COUNTA(A683:J683)=0,"",IF(OR(A683="",B683="",C683="",G683=""),"Faltan datos",IF(COUNTIF($A$7:$A$2006,A683)&gt;1,"ID duplicado",IF(OR(B683&lt;DATE(Configuración!$C$5,1,1),B683&gt;=DATE(Configuración!$C$5+1,1,1)),"Fecha fuera del año",IF(OR(G683&lt;0,H683&lt;0),"Revisar signo",IF(AND(C683&lt;&gt;"Servicio",H683&lt;&gt;0),"IVA solo en Servicio",IF(AND(C683="Servicio",F683=""),"Falta servicio","OK")))))))))</f>
        <v/>
      </c>
    </row>
    <row r="684" spans="1:12" ht="22" customHeight="1">
      <c r="A684" s="3"/>
      <c r="B684" s="7"/>
      <c r="C684" s="3"/>
      <c r="D684" s="3"/>
      <c r="E684" s="3"/>
      <c r="F684" s="3"/>
      <c r="G684" s="4"/>
      <c r="H684" s="4"/>
      <c r="I684" s="3"/>
      <c r="J684" s="3"/>
      <c r="K684" s="8" t="str">
        <f t="shared" si="10"/>
        <v/>
      </c>
      <c r="L684" s="1" t="str">
        <f>IF(COUNTA(A684:J684)=0,"",IF(OR(AND(C684&lt;&gt;"Servicio",C684&lt;&gt;"Cobro",C684&lt;&gt;"Anticipo",C684&lt;&gt;"Aplicación anticipo",C684&lt;&gt;"Retención ISR",C684&lt;&gt;"Retención IVA"),AND(C684="Servicio",F684&lt;&gt;"TMS",F684&lt;&gt;"Valoración",F684&lt;&gt;"EEG",F684&lt;&gt;"Neurofeedback",F684&lt;&gt;"Fotobiomodulación",F684&lt;&gt;"Psicoterapia",F684&lt;&gt;"Otros")),"Tipo o categoría inválido",IF(COUNTA(A684:J684)=0,"",IF(OR(A684="",B684="",C684="",G684=""),"Faltan datos",IF(COUNTIF($A$7:$A$2006,A684)&gt;1,"ID duplicado",IF(OR(B684&lt;DATE(Configuración!$C$5,1,1),B684&gt;=DATE(Configuración!$C$5+1,1,1)),"Fecha fuera del año",IF(OR(G684&lt;0,H684&lt;0),"Revisar signo",IF(AND(C684&lt;&gt;"Servicio",H684&lt;&gt;0),"IVA solo en Servicio",IF(AND(C684="Servicio",F684=""),"Falta servicio","OK")))))))))</f>
        <v/>
      </c>
    </row>
    <row r="685" spans="1:12" ht="22" customHeight="1">
      <c r="A685" s="3"/>
      <c r="B685" s="7"/>
      <c r="C685" s="3"/>
      <c r="D685" s="3"/>
      <c r="E685" s="3"/>
      <c r="F685" s="3"/>
      <c r="G685" s="4"/>
      <c r="H685" s="4"/>
      <c r="I685" s="3"/>
      <c r="J685" s="3"/>
      <c r="K685" s="8" t="str">
        <f t="shared" si="10"/>
        <v/>
      </c>
      <c r="L685" s="1" t="str">
        <f>IF(COUNTA(A685:J685)=0,"",IF(OR(AND(C685&lt;&gt;"Servicio",C685&lt;&gt;"Cobro",C685&lt;&gt;"Anticipo",C685&lt;&gt;"Aplicación anticipo",C685&lt;&gt;"Retención ISR",C685&lt;&gt;"Retención IVA"),AND(C685="Servicio",F685&lt;&gt;"TMS",F685&lt;&gt;"Valoración",F685&lt;&gt;"EEG",F685&lt;&gt;"Neurofeedback",F685&lt;&gt;"Fotobiomodulación",F685&lt;&gt;"Psicoterapia",F685&lt;&gt;"Otros")),"Tipo o categoría inválido",IF(COUNTA(A685:J685)=0,"",IF(OR(A685="",B685="",C685="",G685=""),"Faltan datos",IF(COUNTIF($A$7:$A$2006,A685)&gt;1,"ID duplicado",IF(OR(B685&lt;DATE(Configuración!$C$5,1,1),B685&gt;=DATE(Configuración!$C$5+1,1,1)),"Fecha fuera del año",IF(OR(G685&lt;0,H685&lt;0),"Revisar signo",IF(AND(C685&lt;&gt;"Servicio",H685&lt;&gt;0),"IVA solo en Servicio",IF(AND(C685="Servicio",F685=""),"Falta servicio","OK")))))))))</f>
        <v/>
      </c>
    </row>
    <row r="686" spans="1:12" ht="22" customHeight="1">
      <c r="A686" s="3"/>
      <c r="B686" s="7"/>
      <c r="C686" s="3"/>
      <c r="D686" s="3"/>
      <c r="E686" s="3"/>
      <c r="F686" s="3"/>
      <c r="G686" s="4"/>
      <c r="H686" s="4"/>
      <c r="I686" s="3"/>
      <c r="J686" s="3"/>
      <c r="K686" s="8" t="str">
        <f t="shared" si="10"/>
        <v/>
      </c>
      <c r="L686" s="1" t="str">
        <f>IF(COUNTA(A686:J686)=0,"",IF(OR(AND(C686&lt;&gt;"Servicio",C686&lt;&gt;"Cobro",C686&lt;&gt;"Anticipo",C686&lt;&gt;"Aplicación anticipo",C686&lt;&gt;"Retención ISR",C686&lt;&gt;"Retención IVA"),AND(C686="Servicio",F686&lt;&gt;"TMS",F686&lt;&gt;"Valoración",F686&lt;&gt;"EEG",F686&lt;&gt;"Neurofeedback",F686&lt;&gt;"Fotobiomodulación",F686&lt;&gt;"Psicoterapia",F686&lt;&gt;"Otros")),"Tipo o categoría inválido",IF(COUNTA(A686:J686)=0,"",IF(OR(A686="",B686="",C686="",G686=""),"Faltan datos",IF(COUNTIF($A$7:$A$2006,A686)&gt;1,"ID duplicado",IF(OR(B686&lt;DATE(Configuración!$C$5,1,1),B686&gt;=DATE(Configuración!$C$5+1,1,1)),"Fecha fuera del año",IF(OR(G686&lt;0,H686&lt;0),"Revisar signo",IF(AND(C686&lt;&gt;"Servicio",H686&lt;&gt;0),"IVA solo en Servicio",IF(AND(C686="Servicio",F686=""),"Falta servicio","OK")))))))))</f>
        <v/>
      </c>
    </row>
    <row r="687" spans="1:12" ht="22" customHeight="1">
      <c r="A687" s="3"/>
      <c r="B687" s="7"/>
      <c r="C687" s="3"/>
      <c r="D687" s="3"/>
      <c r="E687" s="3"/>
      <c r="F687" s="3"/>
      <c r="G687" s="4"/>
      <c r="H687" s="4"/>
      <c r="I687" s="3"/>
      <c r="J687" s="3"/>
      <c r="K687" s="8" t="str">
        <f t="shared" si="10"/>
        <v/>
      </c>
      <c r="L687" s="1" t="str">
        <f>IF(COUNTA(A687:J687)=0,"",IF(OR(AND(C687&lt;&gt;"Servicio",C687&lt;&gt;"Cobro",C687&lt;&gt;"Anticipo",C687&lt;&gt;"Aplicación anticipo",C687&lt;&gt;"Retención ISR",C687&lt;&gt;"Retención IVA"),AND(C687="Servicio",F687&lt;&gt;"TMS",F687&lt;&gt;"Valoración",F687&lt;&gt;"EEG",F687&lt;&gt;"Neurofeedback",F687&lt;&gt;"Fotobiomodulación",F687&lt;&gt;"Psicoterapia",F687&lt;&gt;"Otros")),"Tipo o categoría inválido",IF(COUNTA(A687:J687)=0,"",IF(OR(A687="",B687="",C687="",G687=""),"Faltan datos",IF(COUNTIF($A$7:$A$2006,A687)&gt;1,"ID duplicado",IF(OR(B687&lt;DATE(Configuración!$C$5,1,1),B687&gt;=DATE(Configuración!$C$5+1,1,1)),"Fecha fuera del año",IF(OR(G687&lt;0,H687&lt;0),"Revisar signo",IF(AND(C687&lt;&gt;"Servicio",H687&lt;&gt;0),"IVA solo en Servicio",IF(AND(C687="Servicio",F687=""),"Falta servicio","OK")))))))))</f>
        <v/>
      </c>
    </row>
    <row r="688" spans="1:12" ht="22" customHeight="1">
      <c r="A688" s="3"/>
      <c r="B688" s="7"/>
      <c r="C688" s="3"/>
      <c r="D688" s="3"/>
      <c r="E688" s="3"/>
      <c r="F688" s="3"/>
      <c r="G688" s="4"/>
      <c r="H688" s="4"/>
      <c r="I688" s="3"/>
      <c r="J688" s="3"/>
      <c r="K688" s="8" t="str">
        <f t="shared" si="10"/>
        <v/>
      </c>
      <c r="L688" s="1" t="str">
        <f>IF(COUNTA(A688:J688)=0,"",IF(OR(AND(C688&lt;&gt;"Servicio",C688&lt;&gt;"Cobro",C688&lt;&gt;"Anticipo",C688&lt;&gt;"Aplicación anticipo",C688&lt;&gt;"Retención ISR",C688&lt;&gt;"Retención IVA"),AND(C688="Servicio",F688&lt;&gt;"TMS",F688&lt;&gt;"Valoración",F688&lt;&gt;"EEG",F688&lt;&gt;"Neurofeedback",F688&lt;&gt;"Fotobiomodulación",F688&lt;&gt;"Psicoterapia",F688&lt;&gt;"Otros")),"Tipo o categoría inválido",IF(COUNTA(A688:J688)=0,"",IF(OR(A688="",B688="",C688="",G688=""),"Faltan datos",IF(COUNTIF($A$7:$A$2006,A688)&gt;1,"ID duplicado",IF(OR(B688&lt;DATE(Configuración!$C$5,1,1),B688&gt;=DATE(Configuración!$C$5+1,1,1)),"Fecha fuera del año",IF(OR(G688&lt;0,H688&lt;0),"Revisar signo",IF(AND(C688&lt;&gt;"Servicio",H688&lt;&gt;0),"IVA solo en Servicio",IF(AND(C688="Servicio",F688=""),"Falta servicio","OK")))))))))</f>
        <v/>
      </c>
    </row>
    <row r="689" spans="1:12" ht="22" customHeight="1">
      <c r="A689" s="3"/>
      <c r="B689" s="7"/>
      <c r="C689" s="3"/>
      <c r="D689" s="3"/>
      <c r="E689" s="3"/>
      <c r="F689" s="3"/>
      <c r="G689" s="4"/>
      <c r="H689" s="4"/>
      <c r="I689" s="3"/>
      <c r="J689" s="3"/>
      <c r="K689" s="8" t="str">
        <f t="shared" si="10"/>
        <v/>
      </c>
      <c r="L689" s="1" t="str">
        <f>IF(COUNTA(A689:J689)=0,"",IF(OR(AND(C689&lt;&gt;"Servicio",C689&lt;&gt;"Cobro",C689&lt;&gt;"Anticipo",C689&lt;&gt;"Aplicación anticipo",C689&lt;&gt;"Retención ISR",C689&lt;&gt;"Retención IVA"),AND(C689="Servicio",F689&lt;&gt;"TMS",F689&lt;&gt;"Valoración",F689&lt;&gt;"EEG",F689&lt;&gt;"Neurofeedback",F689&lt;&gt;"Fotobiomodulación",F689&lt;&gt;"Psicoterapia",F689&lt;&gt;"Otros")),"Tipo o categoría inválido",IF(COUNTA(A689:J689)=0,"",IF(OR(A689="",B689="",C689="",G689=""),"Faltan datos",IF(COUNTIF($A$7:$A$2006,A689)&gt;1,"ID duplicado",IF(OR(B689&lt;DATE(Configuración!$C$5,1,1),B689&gt;=DATE(Configuración!$C$5+1,1,1)),"Fecha fuera del año",IF(OR(G689&lt;0,H689&lt;0),"Revisar signo",IF(AND(C689&lt;&gt;"Servicio",H689&lt;&gt;0),"IVA solo en Servicio",IF(AND(C689="Servicio",F689=""),"Falta servicio","OK")))))))))</f>
        <v/>
      </c>
    </row>
    <row r="690" spans="1:12" ht="22" customHeight="1">
      <c r="A690" s="3"/>
      <c r="B690" s="7"/>
      <c r="C690" s="3"/>
      <c r="D690" s="3"/>
      <c r="E690" s="3"/>
      <c r="F690" s="3"/>
      <c r="G690" s="4"/>
      <c r="H690" s="4"/>
      <c r="I690" s="3"/>
      <c r="J690" s="3"/>
      <c r="K690" s="8" t="str">
        <f t="shared" si="10"/>
        <v/>
      </c>
      <c r="L690" s="1" t="str">
        <f>IF(COUNTA(A690:J690)=0,"",IF(OR(AND(C690&lt;&gt;"Servicio",C690&lt;&gt;"Cobro",C690&lt;&gt;"Anticipo",C690&lt;&gt;"Aplicación anticipo",C690&lt;&gt;"Retención ISR",C690&lt;&gt;"Retención IVA"),AND(C690="Servicio",F690&lt;&gt;"TMS",F690&lt;&gt;"Valoración",F690&lt;&gt;"EEG",F690&lt;&gt;"Neurofeedback",F690&lt;&gt;"Fotobiomodulación",F690&lt;&gt;"Psicoterapia",F690&lt;&gt;"Otros")),"Tipo o categoría inválido",IF(COUNTA(A690:J690)=0,"",IF(OR(A690="",B690="",C690="",G690=""),"Faltan datos",IF(COUNTIF($A$7:$A$2006,A690)&gt;1,"ID duplicado",IF(OR(B690&lt;DATE(Configuración!$C$5,1,1),B690&gt;=DATE(Configuración!$C$5+1,1,1)),"Fecha fuera del año",IF(OR(G690&lt;0,H690&lt;0),"Revisar signo",IF(AND(C690&lt;&gt;"Servicio",H690&lt;&gt;0),"IVA solo en Servicio",IF(AND(C690="Servicio",F690=""),"Falta servicio","OK")))))))))</f>
        <v/>
      </c>
    </row>
    <row r="691" spans="1:12" ht="22" customHeight="1">
      <c r="A691" s="3"/>
      <c r="B691" s="7"/>
      <c r="C691" s="3"/>
      <c r="D691" s="3"/>
      <c r="E691" s="3"/>
      <c r="F691" s="3"/>
      <c r="G691" s="4"/>
      <c r="H691" s="4"/>
      <c r="I691" s="3"/>
      <c r="J691" s="3"/>
      <c r="K691" s="8" t="str">
        <f t="shared" si="10"/>
        <v/>
      </c>
      <c r="L691" s="1" t="str">
        <f>IF(COUNTA(A691:J691)=0,"",IF(OR(AND(C691&lt;&gt;"Servicio",C691&lt;&gt;"Cobro",C691&lt;&gt;"Anticipo",C691&lt;&gt;"Aplicación anticipo",C691&lt;&gt;"Retención ISR",C691&lt;&gt;"Retención IVA"),AND(C691="Servicio",F691&lt;&gt;"TMS",F691&lt;&gt;"Valoración",F691&lt;&gt;"EEG",F691&lt;&gt;"Neurofeedback",F691&lt;&gt;"Fotobiomodulación",F691&lt;&gt;"Psicoterapia",F691&lt;&gt;"Otros")),"Tipo o categoría inválido",IF(COUNTA(A691:J691)=0,"",IF(OR(A691="",B691="",C691="",G691=""),"Faltan datos",IF(COUNTIF($A$7:$A$2006,A691)&gt;1,"ID duplicado",IF(OR(B691&lt;DATE(Configuración!$C$5,1,1),B691&gt;=DATE(Configuración!$C$5+1,1,1)),"Fecha fuera del año",IF(OR(G691&lt;0,H691&lt;0),"Revisar signo",IF(AND(C691&lt;&gt;"Servicio",H691&lt;&gt;0),"IVA solo en Servicio",IF(AND(C691="Servicio",F691=""),"Falta servicio","OK")))))))))</f>
        <v/>
      </c>
    </row>
    <row r="692" spans="1:12" ht="22" customHeight="1">
      <c r="A692" s="3"/>
      <c r="B692" s="7"/>
      <c r="C692" s="3"/>
      <c r="D692" s="3"/>
      <c r="E692" s="3"/>
      <c r="F692" s="3"/>
      <c r="G692" s="4"/>
      <c r="H692" s="4"/>
      <c r="I692" s="3"/>
      <c r="J692" s="3"/>
      <c r="K692" s="8" t="str">
        <f t="shared" si="10"/>
        <v/>
      </c>
      <c r="L692" s="1" t="str">
        <f>IF(COUNTA(A692:J692)=0,"",IF(OR(AND(C692&lt;&gt;"Servicio",C692&lt;&gt;"Cobro",C692&lt;&gt;"Anticipo",C692&lt;&gt;"Aplicación anticipo",C692&lt;&gt;"Retención ISR",C692&lt;&gt;"Retención IVA"),AND(C692="Servicio",F692&lt;&gt;"TMS",F692&lt;&gt;"Valoración",F692&lt;&gt;"EEG",F692&lt;&gt;"Neurofeedback",F692&lt;&gt;"Fotobiomodulación",F692&lt;&gt;"Psicoterapia",F692&lt;&gt;"Otros")),"Tipo o categoría inválido",IF(COUNTA(A692:J692)=0,"",IF(OR(A692="",B692="",C692="",G692=""),"Faltan datos",IF(COUNTIF($A$7:$A$2006,A692)&gt;1,"ID duplicado",IF(OR(B692&lt;DATE(Configuración!$C$5,1,1),B692&gt;=DATE(Configuración!$C$5+1,1,1)),"Fecha fuera del año",IF(OR(G692&lt;0,H692&lt;0),"Revisar signo",IF(AND(C692&lt;&gt;"Servicio",H692&lt;&gt;0),"IVA solo en Servicio",IF(AND(C692="Servicio",F692=""),"Falta servicio","OK")))))))))</f>
        <v/>
      </c>
    </row>
    <row r="693" spans="1:12" ht="22" customHeight="1">
      <c r="A693" s="3"/>
      <c r="B693" s="7"/>
      <c r="C693" s="3"/>
      <c r="D693" s="3"/>
      <c r="E693" s="3"/>
      <c r="F693" s="3"/>
      <c r="G693" s="4"/>
      <c r="H693" s="4"/>
      <c r="I693" s="3"/>
      <c r="J693" s="3"/>
      <c r="K693" s="8" t="str">
        <f t="shared" si="10"/>
        <v/>
      </c>
      <c r="L693" s="1" t="str">
        <f>IF(COUNTA(A693:J693)=0,"",IF(OR(AND(C693&lt;&gt;"Servicio",C693&lt;&gt;"Cobro",C693&lt;&gt;"Anticipo",C693&lt;&gt;"Aplicación anticipo",C693&lt;&gt;"Retención ISR",C693&lt;&gt;"Retención IVA"),AND(C693="Servicio",F693&lt;&gt;"TMS",F693&lt;&gt;"Valoración",F693&lt;&gt;"EEG",F693&lt;&gt;"Neurofeedback",F693&lt;&gt;"Fotobiomodulación",F693&lt;&gt;"Psicoterapia",F693&lt;&gt;"Otros")),"Tipo o categoría inválido",IF(COUNTA(A693:J693)=0,"",IF(OR(A693="",B693="",C693="",G693=""),"Faltan datos",IF(COUNTIF($A$7:$A$2006,A693)&gt;1,"ID duplicado",IF(OR(B693&lt;DATE(Configuración!$C$5,1,1),B693&gt;=DATE(Configuración!$C$5+1,1,1)),"Fecha fuera del año",IF(OR(G693&lt;0,H693&lt;0),"Revisar signo",IF(AND(C693&lt;&gt;"Servicio",H693&lt;&gt;0),"IVA solo en Servicio",IF(AND(C693="Servicio",F693=""),"Falta servicio","OK")))))))))</f>
        <v/>
      </c>
    </row>
    <row r="694" spans="1:12" ht="22" customHeight="1">
      <c r="A694" s="3"/>
      <c r="B694" s="7"/>
      <c r="C694" s="3"/>
      <c r="D694" s="3"/>
      <c r="E694" s="3"/>
      <c r="F694" s="3"/>
      <c r="G694" s="4"/>
      <c r="H694" s="4"/>
      <c r="I694" s="3"/>
      <c r="J694" s="3"/>
      <c r="K694" s="8" t="str">
        <f t="shared" si="10"/>
        <v/>
      </c>
      <c r="L694" s="1" t="str">
        <f>IF(COUNTA(A694:J694)=0,"",IF(OR(AND(C694&lt;&gt;"Servicio",C694&lt;&gt;"Cobro",C694&lt;&gt;"Anticipo",C694&lt;&gt;"Aplicación anticipo",C694&lt;&gt;"Retención ISR",C694&lt;&gt;"Retención IVA"),AND(C694="Servicio",F694&lt;&gt;"TMS",F694&lt;&gt;"Valoración",F694&lt;&gt;"EEG",F694&lt;&gt;"Neurofeedback",F694&lt;&gt;"Fotobiomodulación",F694&lt;&gt;"Psicoterapia",F694&lt;&gt;"Otros")),"Tipo o categoría inválido",IF(COUNTA(A694:J694)=0,"",IF(OR(A694="",B694="",C694="",G694=""),"Faltan datos",IF(COUNTIF($A$7:$A$2006,A694)&gt;1,"ID duplicado",IF(OR(B694&lt;DATE(Configuración!$C$5,1,1),B694&gt;=DATE(Configuración!$C$5+1,1,1)),"Fecha fuera del año",IF(OR(G694&lt;0,H694&lt;0),"Revisar signo",IF(AND(C694&lt;&gt;"Servicio",H694&lt;&gt;0),"IVA solo en Servicio",IF(AND(C694="Servicio",F694=""),"Falta servicio","OK")))))))))</f>
        <v/>
      </c>
    </row>
    <row r="695" spans="1:12" ht="22" customHeight="1">
      <c r="A695" s="3"/>
      <c r="B695" s="7"/>
      <c r="C695" s="3"/>
      <c r="D695" s="3"/>
      <c r="E695" s="3"/>
      <c r="F695" s="3"/>
      <c r="G695" s="4"/>
      <c r="H695" s="4"/>
      <c r="I695" s="3"/>
      <c r="J695" s="3"/>
      <c r="K695" s="8" t="str">
        <f t="shared" si="10"/>
        <v/>
      </c>
      <c r="L695" s="1" t="str">
        <f>IF(COUNTA(A695:J695)=0,"",IF(OR(AND(C695&lt;&gt;"Servicio",C695&lt;&gt;"Cobro",C695&lt;&gt;"Anticipo",C695&lt;&gt;"Aplicación anticipo",C695&lt;&gt;"Retención ISR",C695&lt;&gt;"Retención IVA"),AND(C695="Servicio",F695&lt;&gt;"TMS",F695&lt;&gt;"Valoración",F695&lt;&gt;"EEG",F695&lt;&gt;"Neurofeedback",F695&lt;&gt;"Fotobiomodulación",F695&lt;&gt;"Psicoterapia",F695&lt;&gt;"Otros")),"Tipo o categoría inválido",IF(COUNTA(A695:J695)=0,"",IF(OR(A695="",B695="",C695="",G695=""),"Faltan datos",IF(COUNTIF($A$7:$A$2006,A695)&gt;1,"ID duplicado",IF(OR(B695&lt;DATE(Configuración!$C$5,1,1),B695&gt;=DATE(Configuración!$C$5+1,1,1)),"Fecha fuera del año",IF(OR(G695&lt;0,H695&lt;0),"Revisar signo",IF(AND(C695&lt;&gt;"Servicio",H695&lt;&gt;0),"IVA solo en Servicio",IF(AND(C695="Servicio",F695=""),"Falta servicio","OK")))))))))</f>
        <v/>
      </c>
    </row>
    <row r="696" spans="1:12" ht="22" customHeight="1">
      <c r="A696" s="3"/>
      <c r="B696" s="7"/>
      <c r="C696" s="3"/>
      <c r="D696" s="3"/>
      <c r="E696" s="3"/>
      <c r="F696" s="3"/>
      <c r="G696" s="4"/>
      <c r="H696" s="4"/>
      <c r="I696" s="3"/>
      <c r="J696" s="3"/>
      <c r="K696" s="8" t="str">
        <f t="shared" si="10"/>
        <v/>
      </c>
      <c r="L696" s="1" t="str">
        <f>IF(COUNTA(A696:J696)=0,"",IF(OR(AND(C696&lt;&gt;"Servicio",C696&lt;&gt;"Cobro",C696&lt;&gt;"Anticipo",C696&lt;&gt;"Aplicación anticipo",C696&lt;&gt;"Retención ISR",C696&lt;&gt;"Retención IVA"),AND(C696="Servicio",F696&lt;&gt;"TMS",F696&lt;&gt;"Valoración",F696&lt;&gt;"EEG",F696&lt;&gt;"Neurofeedback",F696&lt;&gt;"Fotobiomodulación",F696&lt;&gt;"Psicoterapia",F696&lt;&gt;"Otros")),"Tipo o categoría inválido",IF(COUNTA(A696:J696)=0,"",IF(OR(A696="",B696="",C696="",G696=""),"Faltan datos",IF(COUNTIF($A$7:$A$2006,A696)&gt;1,"ID duplicado",IF(OR(B696&lt;DATE(Configuración!$C$5,1,1),B696&gt;=DATE(Configuración!$C$5+1,1,1)),"Fecha fuera del año",IF(OR(G696&lt;0,H696&lt;0),"Revisar signo",IF(AND(C696&lt;&gt;"Servicio",H696&lt;&gt;0),"IVA solo en Servicio",IF(AND(C696="Servicio",F696=""),"Falta servicio","OK")))))))))</f>
        <v/>
      </c>
    </row>
    <row r="697" spans="1:12" ht="22" customHeight="1">
      <c r="A697" s="3"/>
      <c r="B697" s="7"/>
      <c r="C697" s="3"/>
      <c r="D697" s="3"/>
      <c r="E697" s="3"/>
      <c r="F697" s="3"/>
      <c r="G697" s="4"/>
      <c r="H697" s="4"/>
      <c r="I697" s="3"/>
      <c r="J697" s="3"/>
      <c r="K697" s="8" t="str">
        <f t="shared" si="10"/>
        <v/>
      </c>
      <c r="L697" s="1" t="str">
        <f>IF(COUNTA(A697:J697)=0,"",IF(OR(AND(C697&lt;&gt;"Servicio",C697&lt;&gt;"Cobro",C697&lt;&gt;"Anticipo",C697&lt;&gt;"Aplicación anticipo",C697&lt;&gt;"Retención ISR",C697&lt;&gt;"Retención IVA"),AND(C697="Servicio",F697&lt;&gt;"TMS",F697&lt;&gt;"Valoración",F697&lt;&gt;"EEG",F697&lt;&gt;"Neurofeedback",F697&lt;&gt;"Fotobiomodulación",F697&lt;&gt;"Psicoterapia",F697&lt;&gt;"Otros")),"Tipo o categoría inválido",IF(COUNTA(A697:J697)=0,"",IF(OR(A697="",B697="",C697="",G697=""),"Faltan datos",IF(COUNTIF($A$7:$A$2006,A697)&gt;1,"ID duplicado",IF(OR(B697&lt;DATE(Configuración!$C$5,1,1),B697&gt;=DATE(Configuración!$C$5+1,1,1)),"Fecha fuera del año",IF(OR(G697&lt;0,H697&lt;0),"Revisar signo",IF(AND(C697&lt;&gt;"Servicio",H697&lt;&gt;0),"IVA solo en Servicio",IF(AND(C697="Servicio",F697=""),"Falta servicio","OK")))))))))</f>
        <v/>
      </c>
    </row>
    <row r="698" spans="1:12" ht="22" customHeight="1">
      <c r="A698" s="3"/>
      <c r="B698" s="7"/>
      <c r="C698" s="3"/>
      <c r="D698" s="3"/>
      <c r="E698" s="3"/>
      <c r="F698" s="3"/>
      <c r="G698" s="4"/>
      <c r="H698" s="4"/>
      <c r="I698" s="3"/>
      <c r="J698" s="3"/>
      <c r="K698" s="8" t="str">
        <f t="shared" si="10"/>
        <v/>
      </c>
      <c r="L698" s="1" t="str">
        <f>IF(COUNTA(A698:J698)=0,"",IF(OR(AND(C698&lt;&gt;"Servicio",C698&lt;&gt;"Cobro",C698&lt;&gt;"Anticipo",C698&lt;&gt;"Aplicación anticipo",C698&lt;&gt;"Retención ISR",C698&lt;&gt;"Retención IVA"),AND(C698="Servicio",F698&lt;&gt;"TMS",F698&lt;&gt;"Valoración",F698&lt;&gt;"EEG",F698&lt;&gt;"Neurofeedback",F698&lt;&gt;"Fotobiomodulación",F698&lt;&gt;"Psicoterapia",F698&lt;&gt;"Otros")),"Tipo o categoría inválido",IF(COUNTA(A698:J698)=0,"",IF(OR(A698="",B698="",C698="",G698=""),"Faltan datos",IF(COUNTIF($A$7:$A$2006,A698)&gt;1,"ID duplicado",IF(OR(B698&lt;DATE(Configuración!$C$5,1,1),B698&gt;=DATE(Configuración!$C$5+1,1,1)),"Fecha fuera del año",IF(OR(G698&lt;0,H698&lt;0),"Revisar signo",IF(AND(C698&lt;&gt;"Servicio",H698&lt;&gt;0),"IVA solo en Servicio",IF(AND(C698="Servicio",F698=""),"Falta servicio","OK")))))))))</f>
        <v/>
      </c>
    </row>
    <row r="699" spans="1:12" ht="22" customHeight="1">
      <c r="A699" s="3"/>
      <c r="B699" s="7"/>
      <c r="C699" s="3"/>
      <c r="D699" s="3"/>
      <c r="E699" s="3"/>
      <c r="F699" s="3"/>
      <c r="G699" s="4"/>
      <c r="H699" s="4"/>
      <c r="I699" s="3"/>
      <c r="J699" s="3"/>
      <c r="K699" s="8" t="str">
        <f t="shared" si="10"/>
        <v/>
      </c>
      <c r="L699" s="1" t="str">
        <f>IF(COUNTA(A699:J699)=0,"",IF(OR(AND(C699&lt;&gt;"Servicio",C699&lt;&gt;"Cobro",C699&lt;&gt;"Anticipo",C699&lt;&gt;"Aplicación anticipo",C699&lt;&gt;"Retención ISR",C699&lt;&gt;"Retención IVA"),AND(C699="Servicio",F699&lt;&gt;"TMS",F699&lt;&gt;"Valoración",F699&lt;&gt;"EEG",F699&lt;&gt;"Neurofeedback",F699&lt;&gt;"Fotobiomodulación",F699&lt;&gt;"Psicoterapia",F699&lt;&gt;"Otros")),"Tipo o categoría inválido",IF(COUNTA(A699:J699)=0,"",IF(OR(A699="",B699="",C699="",G699=""),"Faltan datos",IF(COUNTIF($A$7:$A$2006,A699)&gt;1,"ID duplicado",IF(OR(B699&lt;DATE(Configuración!$C$5,1,1),B699&gt;=DATE(Configuración!$C$5+1,1,1)),"Fecha fuera del año",IF(OR(G699&lt;0,H699&lt;0),"Revisar signo",IF(AND(C699&lt;&gt;"Servicio",H699&lt;&gt;0),"IVA solo en Servicio",IF(AND(C699="Servicio",F699=""),"Falta servicio","OK")))))))))</f>
        <v/>
      </c>
    </row>
    <row r="700" spans="1:12" ht="22" customHeight="1">
      <c r="A700" s="3"/>
      <c r="B700" s="7"/>
      <c r="C700" s="3"/>
      <c r="D700" s="3"/>
      <c r="E700" s="3"/>
      <c r="F700" s="3"/>
      <c r="G700" s="4"/>
      <c r="H700" s="4"/>
      <c r="I700" s="3"/>
      <c r="J700" s="3"/>
      <c r="K700" s="8" t="str">
        <f t="shared" si="10"/>
        <v/>
      </c>
      <c r="L700" s="1" t="str">
        <f>IF(COUNTA(A700:J700)=0,"",IF(OR(AND(C700&lt;&gt;"Servicio",C700&lt;&gt;"Cobro",C700&lt;&gt;"Anticipo",C700&lt;&gt;"Aplicación anticipo",C700&lt;&gt;"Retención ISR",C700&lt;&gt;"Retención IVA"),AND(C700="Servicio",F700&lt;&gt;"TMS",F700&lt;&gt;"Valoración",F700&lt;&gt;"EEG",F700&lt;&gt;"Neurofeedback",F700&lt;&gt;"Fotobiomodulación",F700&lt;&gt;"Psicoterapia",F700&lt;&gt;"Otros")),"Tipo o categoría inválido",IF(COUNTA(A700:J700)=0,"",IF(OR(A700="",B700="",C700="",G700=""),"Faltan datos",IF(COUNTIF($A$7:$A$2006,A700)&gt;1,"ID duplicado",IF(OR(B700&lt;DATE(Configuración!$C$5,1,1),B700&gt;=DATE(Configuración!$C$5+1,1,1)),"Fecha fuera del año",IF(OR(G700&lt;0,H700&lt;0),"Revisar signo",IF(AND(C700&lt;&gt;"Servicio",H700&lt;&gt;0),"IVA solo en Servicio",IF(AND(C700="Servicio",F700=""),"Falta servicio","OK")))))))))</f>
        <v/>
      </c>
    </row>
    <row r="701" spans="1:12" ht="22" customHeight="1">
      <c r="A701" s="3"/>
      <c r="B701" s="7"/>
      <c r="C701" s="3"/>
      <c r="D701" s="3"/>
      <c r="E701" s="3"/>
      <c r="F701" s="3"/>
      <c r="G701" s="4"/>
      <c r="H701" s="4"/>
      <c r="I701" s="3"/>
      <c r="J701" s="3"/>
      <c r="K701" s="8" t="str">
        <f t="shared" si="10"/>
        <v/>
      </c>
      <c r="L701" s="1" t="str">
        <f>IF(COUNTA(A701:J701)=0,"",IF(OR(AND(C701&lt;&gt;"Servicio",C701&lt;&gt;"Cobro",C701&lt;&gt;"Anticipo",C701&lt;&gt;"Aplicación anticipo",C701&lt;&gt;"Retención ISR",C701&lt;&gt;"Retención IVA"),AND(C701="Servicio",F701&lt;&gt;"TMS",F701&lt;&gt;"Valoración",F701&lt;&gt;"EEG",F701&lt;&gt;"Neurofeedback",F701&lt;&gt;"Fotobiomodulación",F701&lt;&gt;"Psicoterapia",F701&lt;&gt;"Otros")),"Tipo o categoría inválido",IF(COUNTA(A701:J701)=0,"",IF(OR(A701="",B701="",C701="",G701=""),"Faltan datos",IF(COUNTIF($A$7:$A$2006,A701)&gt;1,"ID duplicado",IF(OR(B701&lt;DATE(Configuración!$C$5,1,1),B701&gt;=DATE(Configuración!$C$5+1,1,1)),"Fecha fuera del año",IF(OR(G701&lt;0,H701&lt;0),"Revisar signo",IF(AND(C701&lt;&gt;"Servicio",H701&lt;&gt;0),"IVA solo en Servicio",IF(AND(C701="Servicio",F701=""),"Falta servicio","OK")))))))))</f>
        <v/>
      </c>
    </row>
    <row r="702" spans="1:12" ht="22" customHeight="1">
      <c r="A702" s="3"/>
      <c r="B702" s="7"/>
      <c r="C702" s="3"/>
      <c r="D702" s="3"/>
      <c r="E702" s="3"/>
      <c r="F702" s="3"/>
      <c r="G702" s="4"/>
      <c r="H702" s="4"/>
      <c r="I702" s="3"/>
      <c r="J702" s="3"/>
      <c r="K702" s="8" t="str">
        <f t="shared" si="10"/>
        <v/>
      </c>
      <c r="L702" s="1" t="str">
        <f>IF(COUNTA(A702:J702)=0,"",IF(OR(AND(C702&lt;&gt;"Servicio",C702&lt;&gt;"Cobro",C702&lt;&gt;"Anticipo",C702&lt;&gt;"Aplicación anticipo",C702&lt;&gt;"Retención ISR",C702&lt;&gt;"Retención IVA"),AND(C702="Servicio",F702&lt;&gt;"TMS",F702&lt;&gt;"Valoración",F702&lt;&gt;"EEG",F702&lt;&gt;"Neurofeedback",F702&lt;&gt;"Fotobiomodulación",F702&lt;&gt;"Psicoterapia",F702&lt;&gt;"Otros")),"Tipo o categoría inválido",IF(COUNTA(A702:J702)=0,"",IF(OR(A702="",B702="",C702="",G702=""),"Faltan datos",IF(COUNTIF($A$7:$A$2006,A702)&gt;1,"ID duplicado",IF(OR(B702&lt;DATE(Configuración!$C$5,1,1),B702&gt;=DATE(Configuración!$C$5+1,1,1)),"Fecha fuera del año",IF(OR(G702&lt;0,H702&lt;0),"Revisar signo",IF(AND(C702&lt;&gt;"Servicio",H702&lt;&gt;0),"IVA solo en Servicio",IF(AND(C702="Servicio",F702=""),"Falta servicio","OK")))))))))</f>
        <v/>
      </c>
    </row>
    <row r="703" spans="1:12" ht="22" customHeight="1">
      <c r="A703" s="3"/>
      <c r="B703" s="7"/>
      <c r="C703" s="3"/>
      <c r="D703" s="3"/>
      <c r="E703" s="3"/>
      <c r="F703" s="3"/>
      <c r="G703" s="4"/>
      <c r="H703" s="4"/>
      <c r="I703" s="3"/>
      <c r="J703" s="3"/>
      <c r="K703" s="8" t="str">
        <f t="shared" si="10"/>
        <v/>
      </c>
      <c r="L703" s="1" t="str">
        <f>IF(COUNTA(A703:J703)=0,"",IF(OR(AND(C703&lt;&gt;"Servicio",C703&lt;&gt;"Cobro",C703&lt;&gt;"Anticipo",C703&lt;&gt;"Aplicación anticipo",C703&lt;&gt;"Retención ISR",C703&lt;&gt;"Retención IVA"),AND(C703="Servicio",F703&lt;&gt;"TMS",F703&lt;&gt;"Valoración",F703&lt;&gt;"EEG",F703&lt;&gt;"Neurofeedback",F703&lt;&gt;"Fotobiomodulación",F703&lt;&gt;"Psicoterapia",F703&lt;&gt;"Otros")),"Tipo o categoría inválido",IF(COUNTA(A703:J703)=0,"",IF(OR(A703="",B703="",C703="",G703=""),"Faltan datos",IF(COUNTIF($A$7:$A$2006,A703)&gt;1,"ID duplicado",IF(OR(B703&lt;DATE(Configuración!$C$5,1,1),B703&gt;=DATE(Configuración!$C$5+1,1,1)),"Fecha fuera del año",IF(OR(G703&lt;0,H703&lt;0),"Revisar signo",IF(AND(C703&lt;&gt;"Servicio",H703&lt;&gt;0),"IVA solo en Servicio",IF(AND(C703="Servicio",F703=""),"Falta servicio","OK")))))))))</f>
        <v/>
      </c>
    </row>
    <row r="704" spans="1:12" ht="22" customHeight="1">
      <c r="A704" s="3"/>
      <c r="B704" s="7"/>
      <c r="C704" s="3"/>
      <c r="D704" s="3"/>
      <c r="E704" s="3"/>
      <c r="F704" s="3"/>
      <c r="G704" s="4"/>
      <c r="H704" s="4"/>
      <c r="I704" s="3"/>
      <c r="J704" s="3"/>
      <c r="K704" s="8" t="str">
        <f t="shared" si="10"/>
        <v/>
      </c>
      <c r="L704" s="1" t="str">
        <f>IF(COUNTA(A704:J704)=0,"",IF(OR(AND(C704&lt;&gt;"Servicio",C704&lt;&gt;"Cobro",C704&lt;&gt;"Anticipo",C704&lt;&gt;"Aplicación anticipo",C704&lt;&gt;"Retención ISR",C704&lt;&gt;"Retención IVA"),AND(C704="Servicio",F704&lt;&gt;"TMS",F704&lt;&gt;"Valoración",F704&lt;&gt;"EEG",F704&lt;&gt;"Neurofeedback",F704&lt;&gt;"Fotobiomodulación",F704&lt;&gt;"Psicoterapia",F704&lt;&gt;"Otros")),"Tipo o categoría inválido",IF(COUNTA(A704:J704)=0,"",IF(OR(A704="",B704="",C704="",G704=""),"Faltan datos",IF(COUNTIF($A$7:$A$2006,A704)&gt;1,"ID duplicado",IF(OR(B704&lt;DATE(Configuración!$C$5,1,1),B704&gt;=DATE(Configuración!$C$5+1,1,1)),"Fecha fuera del año",IF(OR(G704&lt;0,H704&lt;0),"Revisar signo",IF(AND(C704&lt;&gt;"Servicio",H704&lt;&gt;0),"IVA solo en Servicio",IF(AND(C704="Servicio",F704=""),"Falta servicio","OK")))))))))</f>
        <v/>
      </c>
    </row>
    <row r="705" spans="1:12" ht="22" customHeight="1">
      <c r="A705" s="3"/>
      <c r="B705" s="7"/>
      <c r="C705" s="3"/>
      <c r="D705" s="3"/>
      <c r="E705" s="3"/>
      <c r="F705" s="3"/>
      <c r="G705" s="4"/>
      <c r="H705" s="4"/>
      <c r="I705" s="3"/>
      <c r="J705" s="3"/>
      <c r="K705" s="8" t="str">
        <f t="shared" si="10"/>
        <v/>
      </c>
      <c r="L705" s="1" t="str">
        <f>IF(COUNTA(A705:J705)=0,"",IF(OR(AND(C705&lt;&gt;"Servicio",C705&lt;&gt;"Cobro",C705&lt;&gt;"Anticipo",C705&lt;&gt;"Aplicación anticipo",C705&lt;&gt;"Retención ISR",C705&lt;&gt;"Retención IVA"),AND(C705="Servicio",F705&lt;&gt;"TMS",F705&lt;&gt;"Valoración",F705&lt;&gt;"EEG",F705&lt;&gt;"Neurofeedback",F705&lt;&gt;"Fotobiomodulación",F705&lt;&gt;"Psicoterapia",F705&lt;&gt;"Otros")),"Tipo o categoría inválido",IF(COUNTA(A705:J705)=0,"",IF(OR(A705="",B705="",C705="",G705=""),"Faltan datos",IF(COUNTIF($A$7:$A$2006,A705)&gt;1,"ID duplicado",IF(OR(B705&lt;DATE(Configuración!$C$5,1,1),B705&gt;=DATE(Configuración!$C$5+1,1,1)),"Fecha fuera del año",IF(OR(G705&lt;0,H705&lt;0),"Revisar signo",IF(AND(C705&lt;&gt;"Servicio",H705&lt;&gt;0),"IVA solo en Servicio",IF(AND(C705="Servicio",F705=""),"Falta servicio","OK")))))))))</f>
        <v/>
      </c>
    </row>
    <row r="706" spans="1:12" ht="22" customHeight="1">
      <c r="A706" s="3"/>
      <c r="B706" s="7"/>
      <c r="C706" s="3"/>
      <c r="D706" s="3"/>
      <c r="E706" s="3"/>
      <c r="F706" s="3"/>
      <c r="G706" s="4"/>
      <c r="H706" s="4"/>
      <c r="I706" s="3"/>
      <c r="J706" s="3"/>
      <c r="K706" s="8" t="str">
        <f t="shared" si="10"/>
        <v/>
      </c>
      <c r="L706" s="1" t="str">
        <f>IF(COUNTA(A706:J706)=0,"",IF(OR(AND(C706&lt;&gt;"Servicio",C706&lt;&gt;"Cobro",C706&lt;&gt;"Anticipo",C706&lt;&gt;"Aplicación anticipo",C706&lt;&gt;"Retención ISR",C706&lt;&gt;"Retención IVA"),AND(C706="Servicio",F706&lt;&gt;"TMS",F706&lt;&gt;"Valoración",F706&lt;&gt;"EEG",F706&lt;&gt;"Neurofeedback",F706&lt;&gt;"Fotobiomodulación",F706&lt;&gt;"Psicoterapia",F706&lt;&gt;"Otros")),"Tipo o categoría inválido",IF(COUNTA(A706:J706)=0,"",IF(OR(A706="",B706="",C706="",G706=""),"Faltan datos",IF(COUNTIF($A$7:$A$2006,A706)&gt;1,"ID duplicado",IF(OR(B706&lt;DATE(Configuración!$C$5,1,1),B706&gt;=DATE(Configuración!$C$5+1,1,1)),"Fecha fuera del año",IF(OR(G706&lt;0,H706&lt;0),"Revisar signo",IF(AND(C706&lt;&gt;"Servicio",H706&lt;&gt;0),"IVA solo en Servicio",IF(AND(C706="Servicio",F706=""),"Falta servicio","OK")))))))))</f>
        <v/>
      </c>
    </row>
    <row r="707" spans="1:12" ht="22" customHeight="1">
      <c r="A707" s="3"/>
      <c r="B707" s="7"/>
      <c r="C707" s="3"/>
      <c r="D707" s="3"/>
      <c r="E707" s="3"/>
      <c r="F707" s="3"/>
      <c r="G707" s="4"/>
      <c r="H707" s="4"/>
      <c r="I707" s="3"/>
      <c r="J707" s="3"/>
      <c r="K707" s="8" t="str">
        <f t="shared" si="10"/>
        <v/>
      </c>
      <c r="L707" s="1" t="str">
        <f>IF(COUNTA(A707:J707)=0,"",IF(OR(AND(C707&lt;&gt;"Servicio",C707&lt;&gt;"Cobro",C707&lt;&gt;"Anticipo",C707&lt;&gt;"Aplicación anticipo",C707&lt;&gt;"Retención ISR",C707&lt;&gt;"Retención IVA"),AND(C707="Servicio",F707&lt;&gt;"TMS",F707&lt;&gt;"Valoración",F707&lt;&gt;"EEG",F707&lt;&gt;"Neurofeedback",F707&lt;&gt;"Fotobiomodulación",F707&lt;&gt;"Psicoterapia",F707&lt;&gt;"Otros")),"Tipo o categoría inválido",IF(COUNTA(A707:J707)=0,"",IF(OR(A707="",B707="",C707="",G707=""),"Faltan datos",IF(COUNTIF($A$7:$A$2006,A707)&gt;1,"ID duplicado",IF(OR(B707&lt;DATE(Configuración!$C$5,1,1),B707&gt;=DATE(Configuración!$C$5+1,1,1)),"Fecha fuera del año",IF(OR(G707&lt;0,H707&lt;0),"Revisar signo",IF(AND(C707&lt;&gt;"Servicio",H707&lt;&gt;0),"IVA solo en Servicio",IF(AND(C707="Servicio",F707=""),"Falta servicio","OK")))))))))</f>
        <v/>
      </c>
    </row>
    <row r="708" spans="1:12" ht="22" customHeight="1">
      <c r="A708" s="3"/>
      <c r="B708" s="7"/>
      <c r="C708" s="3"/>
      <c r="D708" s="3"/>
      <c r="E708" s="3"/>
      <c r="F708" s="3"/>
      <c r="G708" s="4"/>
      <c r="H708" s="4"/>
      <c r="I708" s="3"/>
      <c r="J708" s="3"/>
      <c r="K708" s="8" t="str">
        <f t="shared" si="10"/>
        <v/>
      </c>
      <c r="L708" s="1" t="str">
        <f>IF(COUNTA(A708:J708)=0,"",IF(OR(AND(C708&lt;&gt;"Servicio",C708&lt;&gt;"Cobro",C708&lt;&gt;"Anticipo",C708&lt;&gt;"Aplicación anticipo",C708&lt;&gt;"Retención ISR",C708&lt;&gt;"Retención IVA"),AND(C708="Servicio",F708&lt;&gt;"TMS",F708&lt;&gt;"Valoración",F708&lt;&gt;"EEG",F708&lt;&gt;"Neurofeedback",F708&lt;&gt;"Fotobiomodulación",F708&lt;&gt;"Psicoterapia",F708&lt;&gt;"Otros")),"Tipo o categoría inválido",IF(COUNTA(A708:J708)=0,"",IF(OR(A708="",B708="",C708="",G708=""),"Faltan datos",IF(COUNTIF($A$7:$A$2006,A708)&gt;1,"ID duplicado",IF(OR(B708&lt;DATE(Configuración!$C$5,1,1),B708&gt;=DATE(Configuración!$C$5+1,1,1)),"Fecha fuera del año",IF(OR(G708&lt;0,H708&lt;0),"Revisar signo",IF(AND(C708&lt;&gt;"Servicio",H708&lt;&gt;0),"IVA solo en Servicio",IF(AND(C708="Servicio",F708=""),"Falta servicio","OK")))))))))</f>
        <v/>
      </c>
    </row>
    <row r="709" spans="1:12" ht="22" customHeight="1">
      <c r="A709" s="3"/>
      <c r="B709" s="7"/>
      <c r="C709" s="3"/>
      <c r="D709" s="3"/>
      <c r="E709" s="3"/>
      <c r="F709" s="3"/>
      <c r="G709" s="4"/>
      <c r="H709" s="4"/>
      <c r="I709" s="3"/>
      <c r="J709" s="3"/>
      <c r="K709" s="8" t="str">
        <f t="shared" si="10"/>
        <v/>
      </c>
      <c r="L709" s="1" t="str">
        <f>IF(COUNTA(A709:J709)=0,"",IF(OR(AND(C709&lt;&gt;"Servicio",C709&lt;&gt;"Cobro",C709&lt;&gt;"Anticipo",C709&lt;&gt;"Aplicación anticipo",C709&lt;&gt;"Retención ISR",C709&lt;&gt;"Retención IVA"),AND(C709="Servicio",F709&lt;&gt;"TMS",F709&lt;&gt;"Valoración",F709&lt;&gt;"EEG",F709&lt;&gt;"Neurofeedback",F709&lt;&gt;"Fotobiomodulación",F709&lt;&gt;"Psicoterapia",F709&lt;&gt;"Otros")),"Tipo o categoría inválido",IF(COUNTA(A709:J709)=0,"",IF(OR(A709="",B709="",C709="",G709=""),"Faltan datos",IF(COUNTIF($A$7:$A$2006,A709)&gt;1,"ID duplicado",IF(OR(B709&lt;DATE(Configuración!$C$5,1,1),B709&gt;=DATE(Configuración!$C$5+1,1,1)),"Fecha fuera del año",IF(OR(G709&lt;0,H709&lt;0),"Revisar signo",IF(AND(C709&lt;&gt;"Servicio",H709&lt;&gt;0),"IVA solo en Servicio",IF(AND(C709="Servicio",F709=""),"Falta servicio","OK")))))))))</f>
        <v/>
      </c>
    </row>
    <row r="710" spans="1:12" ht="22" customHeight="1">
      <c r="A710" s="3"/>
      <c r="B710" s="7"/>
      <c r="C710" s="3"/>
      <c r="D710" s="3"/>
      <c r="E710" s="3"/>
      <c r="F710" s="3"/>
      <c r="G710" s="4"/>
      <c r="H710" s="4"/>
      <c r="I710" s="3"/>
      <c r="J710" s="3"/>
      <c r="K710" s="8" t="str">
        <f t="shared" si="10"/>
        <v/>
      </c>
      <c r="L710" s="1" t="str">
        <f>IF(COUNTA(A710:J710)=0,"",IF(OR(AND(C710&lt;&gt;"Servicio",C710&lt;&gt;"Cobro",C710&lt;&gt;"Anticipo",C710&lt;&gt;"Aplicación anticipo",C710&lt;&gt;"Retención ISR",C710&lt;&gt;"Retención IVA"),AND(C710="Servicio",F710&lt;&gt;"TMS",F710&lt;&gt;"Valoración",F710&lt;&gt;"EEG",F710&lt;&gt;"Neurofeedback",F710&lt;&gt;"Fotobiomodulación",F710&lt;&gt;"Psicoterapia",F710&lt;&gt;"Otros")),"Tipo o categoría inválido",IF(COUNTA(A710:J710)=0,"",IF(OR(A710="",B710="",C710="",G710=""),"Faltan datos",IF(COUNTIF($A$7:$A$2006,A710)&gt;1,"ID duplicado",IF(OR(B710&lt;DATE(Configuración!$C$5,1,1),B710&gt;=DATE(Configuración!$C$5+1,1,1)),"Fecha fuera del año",IF(OR(G710&lt;0,H710&lt;0),"Revisar signo",IF(AND(C710&lt;&gt;"Servicio",H710&lt;&gt;0),"IVA solo en Servicio",IF(AND(C710="Servicio",F710=""),"Falta servicio","OK")))))))))</f>
        <v/>
      </c>
    </row>
    <row r="711" spans="1:12" ht="22" customHeight="1">
      <c r="A711" s="3"/>
      <c r="B711" s="7"/>
      <c r="C711" s="3"/>
      <c r="D711" s="3"/>
      <c r="E711" s="3"/>
      <c r="F711" s="3"/>
      <c r="G711" s="4"/>
      <c r="H711" s="4"/>
      <c r="I711" s="3"/>
      <c r="J711" s="3"/>
      <c r="K711" s="8" t="str">
        <f t="shared" ref="K711:K774" si="11">IF(A711="","",G711+H711)</f>
        <v/>
      </c>
      <c r="L711" s="1" t="str">
        <f>IF(COUNTA(A711:J711)=0,"",IF(OR(AND(C711&lt;&gt;"Servicio",C711&lt;&gt;"Cobro",C711&lt;&gt;"Anticipo",C711&lt;&gt;"Aplicación anticipo",C711&lt;&gt;"Retención ISR",C711&lt;&gt;"Retención IVA"),AND(C711="Servicio",F711&lt;&gt;"TMS",F711&lt;&gt;"Valoración",F711&lt;&gt;"EEG",F711&lt;&gt;"Neurofeedback",F711&lt;&gt;"Fotobiomodulación",F711&lt;&gt;"Psicoterapia",F711&lt;&gt;"Otros")),"Tipo o categoría inválido",IF(COUNTA(A711:J711)=0,"",IF(OR(A711="",B711="",C711="",G711=""),"Faltan datos",IF(COUNTIF($A$7:$A$2006,A711)&gt;1,"ID duplicado",IF(OR(B711&lt;DATE(Configuración!$C$5,1,1),B711&gt;=DATE(Configuración!$C$5+1,1,1)),"Fecha fuera del año",IF(OR(G711&lt;0,H711&lt;0),"Revisar signo",IF(AND(C711&lt;&gt;"Servicio",H711&lt;&gt;0),"IVA solo en Servicio",IF(AND(C711="Servicio",F711=""),"Falta servicio","OK")))))))))</f>
        <v/>
      </c>
    </row>
    <row r="712" spans="1:12" ht="22" customHeight="1">
      <c r="A712" s="3"/>
      <c r="B712" s="7"/>
      <c r="C712" s="3"/>
      <c r="D712" s="3"/>
      <c r="E712" s="3"/>
      <c r="F712" s="3"/>
      <c r="G712" s="4"/>
      <c r="H712" s="4"/>
      <c r="I712" s="3"/>
      <c r="J712" s="3"/>
      <c r="K712" s="8" t="str">
        <f t="shared" si="11"/>
        <v/>
      </c>
      <c r="L712" s="1" t="str">
        <f>IF(COUNTA(A712:J712)=0,"",IF(OR(AND(C712&lt;&gt;"Servicio",C712&lt;&gt;"Cobro",C712&lt;&gt;"Anticipo",C712&lt;&gt;"Aplicación anticipo",C712&lt;&gt;"Retención ISR",C712&lt;&gt;"Retención IVA"),AND(C712="Servicio",F712&lt;&gt;"TMS",F712&lt;&gt;"Valoración",F712&lt;&gt;"EEG",F712&lt;&gt;"Neurofeedback",F712&lt;&gt;"Fotobiomodulación",F712&lt;&gt;"Psicoterapia",F712&lt;&gt;"Otros")),"Tipo o categoría inválido",IF(COUNTA(A712:J712)=0,"",IF(OR(A712="",B712="",C712="",G712=""),"Faltan datos",IF(COUNTIF($A$7:$A$2006,A712)&gt;1,"ID duplicado",IF(OR(B712&lt;DATE(Configuración!$C$5,1,1),B712&gt;=DATE(Configuración!$C$5+1,1,1)),"Fecha fuera del año",IF(OR(G712&lt;0,H712&lt;0),"Revisar signo",IF(AND(C712&lt;&gt;"Servicio",H712&lt;&gt;0),"IVA solo en Servicio",IF(AND(C712="Servicio",F712=""),"Falta servicio","OK")))))))))</f>
        <v/>
      </c>
    </row>
    <row r="713" spans="1:12" ht="22" customHeight="1">
      <c r="A713" s="3"/>
      <c r="B713" s="7"/>
      <c r="C713" s="3"/>
      <c r="D713" s="3"/>
      <c r="E713" s="3"/>
      <c r="F713" s="3"/>
      <c r="G713" s="4"/>
      <c r="H713" s="4"/>
      <c r="I713" s="3"/>
      <c r="J713" s="3"/>
      <c r="K713" s="8" t="str">
        <f t="shared" si="11"/>
        <v/>
      </c>
      <c r="L713" s="1" t="str">
        <f>IF(COUNTA(A713:J713)=0,"",IF(OR(AND(C713&lt;&gt;"Servicio",C713&lt;&gt;"Cobro",C713&lt;&gt;"Anticipo",C713&lt;&gt;"Aplicación anticipo",C713&lt;&gt;"Retención ISR",C713&lt;&gt;"Retención IVA"),AND(C713="Servicio",F713&lt;&gt;"TMS",F713&lt;&gt;"Valoración",F713&lt;&gt;"EEG",F713&lt;&gt;"Neurofeedback",F713&lt;&gt;"Fotobiomodulación",F713&lt;&gt;"Psicoterapia",F713&lt;&gt;"Otros")),"Tipo o categoría inválido",IF(COUNTA(A713:J713)=0,"",IF(OR(A713="",B713="",C713="",G713=""),"Faltan datos",IF(COUNTIF($A$7:$A$2006,A713)&gt;1,"ID duplicado",IF(OR(B713&lt;DATE(Configuración!$C$5,1,1),B713&gt;=DATE(Configuración!$C$5+1,1,1)),"Fecha fuera del año",IF(OR(G713&lt;0,H713&lt;0),"Revisar signo",IF(AND(C713&lt;&gt;"Servicio",H713&lt;&gt;0),"IVA solo en Servicio",IF(AND(C713="Servicio",F713=""),"Falta servicio","OK")))))))))</f>
        <v/>
      </c>
    </row>
    <row r="714" spans="1:12" ht="22" customHeight="1">
      <c r="A714" s="3"/>
      <c r="B714" s="7"/>
      <c r="C714" s="3"/>
      <c r="D714" s="3"/>
      <c r="E714" s="3"/>
      <c r="F714" s="3"/>
      <c r="G714" s="4"/>
      <c r="H714" s="4"/>
      <c r="I714" s="3"/>
      <c r="J714" s="3"/>
      <c r="K714" s="8" t="str">
        <f t="shared" si="11"/>
        <v/>
      </c>
      <c r="L714" s="1" t="str">
        <f>IF(COUNTA(A714:J714)=0,"",IF(OR(AND(C714&lt;&gt;"Servicio",C714&lt;&gt;"Cobro",C714&lt;&gt;"Anticipo",C714&lt;&gt;"Aplicación anticipo",C714&lt;&gt;"Retención ISR",C714&lt;&gt;"Retención IVA"),AND(C714="Servicio",F714&lt;&gt;"TMS",F714&lt;&gt;"Valoración",F714&lt;&gt;"EEG",F714&lt;&gt;"Neurofeedback",F714&lt;&gt;"Fotobiomodulación",F714&lt;&gt;"Psicoterapia",F714&lt;&gt;"Otros")),"Tipo o categoría inválido",IF(COUNTA(A714:J714)=0,"",IF(OR(A714="",B714="",C714="",G714=""),"Faltan datos",IF(COUNTIF($A$7:$A$2006,A714)&gt;1,"ID duplicado",IF(OR(B714&lt;DATE(Configuración!$C$5,1,1),B714&gt;=DATE(Configuración!$C$5+1,1,1)),"Fecha fuera del año",IF(OR(G714&lt;0,H714&lt;0),"Revisar signo",IF(AND(C714&lt;&gt;"Servicio",H714&lt;&gt;0),"IVA solo en Servicio",IF(AND(C714="Servicio",F714=""),"Falta servicio","OK")))))))))</f>
        <v/>
      </c>
    </row>
    <row r="715" spans="1:12" ht="22" customHeight="1">
      <c r="A715" s="3"/>
      <c r="B715" s="7"/>
      <c r="C715" s="3"/>
      <c r="D715" s="3"/>
      <c r="E715" s="3"/>
      <c r="F715" s="3"/>
      <c r="G715" s="4"/>
      <c r="H715" s="4"/>
      <c r="I715" s="3"/>
      <c r="J715" s="3"/>
      <c r="K715" s="8" t="str">
        <f t="shared" si="11"/>
        <v/>
      </c>
      <c r="L715" s="1" t="str">
        <f>IF(COUNTA(A715:J715)=0,"",IF(OR(AND(C715&lt;&gt;"Servicio",C715&lt;&gt;"Cobro",C715&lt;&gt;"Anticipo",C715&lt;&gt;"Aplicación anticipo",C715&lt;&gt;"Retención ISR",C715&lt;&gt;"Retención IVA"),AND(C715="Servicio",F715&lt;&gt;"TMS",F715&lt;&gt;"Valoración",F715&lt;&gt;"EEG",F715&lt;&gt;"Neurofeedback",F715&lt;&gt;"Fotobiomodulación",F715&lt;&gt;"Psicoterapia",F715&lt;&gt;"Otros")),"Tipo o categoría inválido",IF(COUNTA(A715:J715)=0,"",IF(OR(A715="",B715="",C715="",G715=""),"Faltan datos",IF(COUNTIF($A$7:$A$2006,A715)&gt;1,"ID duplicado",IF(OR(B715&lt;DATE(Configuración!$C$5,1,1),B715&gt;=DATE(Configuración!$C$5+1,1,1)),"Fecha fuera del año",IF(OR(G715&lt;0,H715&lt;0),"Revisar signo",IF(AND(C715&lt;&gt;"Servicio",H715&lt;&gt;0),"IVA solo en Servicio",IF(AND(C715="Servicio",F715=""),"Falta servicio","OK")))))))))</f>
        <v/>
      </c>
    </row>
    <row r="716" spans="1:12" ht="22" customHeight="1">
      <c r="A716" s="3"/>
      <c r="B716" s="7"/>
      <c r="C716" s="3"/>
      <c r="D716" s="3"/>
      <c r="E716" s="3"/>
      <c r="F716" s="3"/>
      <c r="G716" s="4"/>
      <c r="H716" s="4"/>
      <c r="I716" s="3"/>
      <c r="J716" s="3"/>
      <c r="K716" s="8" t="str">
        <f t="shared" si="11"/>
        <v/>
      </c>
      <c r="L716" s="1" t="str">
        <f>IF(COUNTA(A716:J716)=0,"",IF(OR(AND(C716&lt;&gt;"Servicio",C716&lt;&gt;"Cobro",C716&lt;&gt;"Anticipo",C716&lt;&gt;"Aplicación anticipo",C716&lt;&gt;"Retención ISR",C716&lt;&gt;"Retención IVA"),AND(C716="Servicio",F716&lt;&gt;"TMS",F716&lt;&gt;"Valoración",F716&lt;&gt;"EEG",F716&lt;&gt;"Neurofeedback",F716&lt;&gt;"Fotobiomodulación",F716&lt;&gt;"Psicoterapia",F716&lt;&gt;"Otros")),"Tipo o categoría inválido",IF(COUNTA(A716:J716)=0,"",IF(OR(A716="",B716="",C716="",G716=""),"Faltan datos",IF(COUNTIF($A$7:$A$2006,A716)&gt;1,"ID duplicado",IF(OR(B716&lt;DATE(Configuración!$C$5,1,1),B716&gt;=DATE(Configuración!$C$5+1,1,1)),"Fecha fuera del año",IF(OR(G716&lt;0,H716&lt;0),"Revisar signo",IF(AND(C716&lt;&gt;"Servicio",H716&lt;&gt;0),"IVA solo en Servicio",IF(AND(C716="Servicio",F716=""),"Falta servicio","OK")))))))))</f>
        <v/>
      </c>
    </row>
    <row r="717" spans="1:12" ht="22" customHeight="1">
      <c r="A717" s="3"/>
      <c r="B717" s="7"/>
      <c r="C717" s="3"/>
      <c r="D717" s="3"/>
      <c r="E717" s="3"/>
      <c r="F717" s="3"/>
      <c r="G717" s="4"/>
      <c r="H717" s="4"/>
      <c r="I717" s="3"/>
      <c r="J717" s="3"/>
      <c r="K717" s="8" t="str">
        <f t="shared" si="11"/>
        <v/>
      </c>
      <c r="L717" s="1" t="str">
        <f>IF(COUNTA(A717:J717)=0,"",IF(OR(AND(C717&lt;&gt;"Servicio",C717&lt;&gt;"Cobro",C717&lt;&gt;"Anticipo",C717&lt;&gt;"Aplicación anticipo",C717&lt;&gt;"Retención ISR",C717&lt;&gt;"Retención IVA"),AND(C717="Servicio",F717&lt;&gt;"TMS",F717&lt;&gt;"Valoración",F717&lt;&gt;"EEG",F717&lt;&gt;"Neurofeedback",F717&lt;&gt;"Fotobiomodulación",F717&lt;&gt;"Psicoterapia",F717&lt;&gt;"Otros")),"Tipo o categoría inválido",IF(COUNTA(A717:J717)=0,"",IF(OR(A717="",B717="",C717="",G717=""),"Faltan datos",IF(COUNTIF($A$7:$A$2006,A717)&gt;1,"ID duplicado",IF(OR(B717&lt;DATE(Configuración!$C$5,1,1),B717&gt;=DATE(Configuración!$C$5+1,1,1)),"Fecha fuera del año",IF(OR(G717&lt;0,H717&lt;0),"Revisar signo",IF(AND(C717&lt;&gt;"Servicio",H717&lt;&gt;0),"IVA solo en Servicio",IF(AND(C717="Servicio",F717=""),"Falta servicio","OK")))))))))</f>
        <v/>
      </c>
    </row>
    <row r="718" spans="1:12" ht="22" customHeight="1">
      <c r="A718" s="3"/>
      <c r="B718" s="7"/>
      <c r="C718" s="3"/>
      <c r="D718" s="3"/>
      <c r="E718" s="3"/>
      <c r="F718" s="3"/>
      <c r="G718" s="4"/>
      <c r="H718" s="4"/>
      <c r="I718" s="3"/>
      <c r="J718" s="3"/>
      <c r="K718" s="8" t="str">
        <f t="shared" si="11"/>
        <v/>
      </c>
      <c r="L718" s="1" t="str">
        <f>IF(COUNTA(A718:J718)=0,"",IF(OR(AND(C718&lt;&gt;"Servicio",C718&lt;&gt;"Cobro",C718&lt;&gt;"Anticipo",C718&lt;&gt;"Aplicación anticipo",C718&lt;&gt;"Retención ISR",C718&lt;&gt;"Retención IVA"),AND(C718="Servicio",F718&lt;&gt;"TMS",F718&lt;&gt;"Valoración",F718&lt;&gt;"EEG",F718&lt;&gt;"Neurofeedback",F718&lt;&gt;"Fotobiomodulación",F718&lt;&gt;"Psicoterapia",F718&lt;&gt;"Otros")),"Tipo o categoría inválido",IF(COUNTA(A718:J718)=0,"",IF(OR(A718="",B718="",C718="",G718=""),"Faltan datos",IF(COUNTIF($A$7:$A$2006,A718)&gt;1,"ID duplicado",IF(OR(B718&lt;DATE(Configuración!$C$5,1,1),B718&gt;=DATE(Configuración!$C$5+1,1,1)),"Fecha fuera del año",IF(OR(G718&lt;0,H718&lt;0),"Revisar signo",IF(AND(C718&lt;&gt;"Servicio",H718&lt;&gt;0),"IVA solo en Servicio",IF(AND(C718="Servicio",F718=""),"Falta servicio","OK")))))))))</f>
        <v/>
      </c>
    </row>
    <row r="719" spans="1:12" ht="22" customHeight="1">
      <c r="A719" s="3"/>
      <c r="B719" s="7"/>
      <c r="C719" s="3"/>
      <c r="D719" s="3"/>
      <c r="E719" s="3"/>
      <c r="F719" s="3"/>
      <c r="G719" s="4"/>
      <c r="H719" s="4"/>
      <c r="I719" s="3"/>
      <c r="J719" s="3"/>
      <c r="K719" s="8" t="str">
        <f t="shared" si="11"/>
        <v/>
      </c>
      <c r="L719" s="1" t="str">
        <f>IF(COUNTA(A719:J719)=0,"",IF(OR(AND(C719&lt;&gt;"Servicio",C719&lt;&gt;"Cobro",C719&lt;&gt;"Anticipo",C719&lt;&gt;"Aplicación anticipo",C719&lt;&gt;"Retención ISR",C719&lt;&gt;"Retención IVA"),AND(C719="Servicio",F719&lt;&gt;"TMS",F719&lt;&gt;"Valoración",F719&lt;&gt;"EEG",F719&lt;&gt;"Neurofeedback",F719&lt;&gt;"Fotobiomodulación",F719&lt;&gt;"Psicoterapia",F719&lt;&gt;"Otros")),"Tipo o categoría inválido",IF(COUNTA(A719:J719)=0,"",IF(OR(A719="",B719="",C719="",G719=""),"Faltan datos",IF(COUNTIF($A$7:$A$2006,A719)&gt;1,"ID duplicado",IF(OR(B719&lt;DATE(Configuración!$C$5,1,1),B719&gt;=DATE(Configuración!$C$5+1,1,1)),"Fecha fuera del año",IF(OR(G719&lt;0,H719&lt;0),"Revisar signo",IF(AND(C719&lt;&gt;"Servicio",H719&lt;&gt;0),"IVA solo en Servicio",IF(AND(C719="Servicio",F719=""),"Falta servicio","OK")))))))))</f>
        <v/>
      </c>
    </row>
    <row r="720" spans="1:12" ht="22" customHeight="1">
      <c r="A720" s="3"/>
      <c r="B720" s="7"/>
      <c r="C720" s="3"/>
      <c r="D720" s="3"/>
      <c r="E720" s="3"/>
      <c r="F720" s="3"/>
      <c r="G720" s="4"/>
      <c r="H720" s="4"/>
      <c r="I720" s="3"/>
      <c r="J720" s="3"/>
      <c r="K720" s="8" t="str">
        <f t="shared" si="11"/>
        <v/>
      </c>
      <c r="L720" s="1" t="str">
        <f>IF(COUNTA(A720:J720)=0,"",IF(OR(AND(C720&lt;&gt;"Servicio",C720&lt;&gt;"Cobro",C720&lt;&gt;"Anticipo",C720&lt;&gt;"Aplicación anticipo",C720&lt;&gt;"Retención ISR",C720&lt;&gt;"Retención IVA"),AND(C720="Servicio",F720&lt;&gt;"TMS",F720&lt;&gt;"Valoración",F720&lt;&gt;"EEG",F720&lt;&gt;"Neurofeedback",F720&lt;&gt;"Fotobiomodulación",F720&lt;&gt;"Psicoterapia",F720&lt;&gt;"Otros")),"Tipo o categoría inválido",IF(COUNTA(A720:J720)=0,"",IF(OR(A720="",B720="",C720="",G720=""),"Faltan datos",IF(COUNTIF($A$7:$A$2006,A720)&gt;1,"ID duplicado",IF(OR(B720&lt;DATE(Configuración!$C$5,1,1),B720&gt;=DATE(Configuración!$C$5+1,1,1)),"Fecha fuera del año",IF(OR(G720&lt;0,H720&lt;0),"Revisar signo",IF(AND(C720&lt;&gt;"Servicio",H720&lt;&gt;0),"IVA solo en Servicio",IF(AND(C720="Servicio",F720=""),"Falta servicio","OK")))))))))</f>
        <v/>
      </c>
    </row>
    <row r="721" spans="1:12" ht="22" customHeight="1">
      <c r="A721" s="3"/>
      <c r="B721" s="7"/>
      <c r="C721" s="3"/>
      <c r="D721" s="3"/>
      <c r="E721" s="3"/>
      <c r="F721" s="3"/>
      <c r="G721" s="4"/>
      <c r="H721" s="4"/>
      <c r="I721" s="3"/>
      <c r="J721" s="3"/>
      <c r="K721" s="8" t="str">
        <f t="shared" si="11"/>
        <v/>
      </c>
      <c r="L721" s="1" t="str">
        <f>IF(COUNTA(A721:J721)=0,"",IF(OR(AND(C721&lt;&gt;"Servicio",C721&lt;&gt;"Cobro",C721&lt;&gt;"Anticipo",C721&lt;&gt;"Aplicación anticipo",C721&lt;&gt;"Retención ISR",C721&lt;&gt;"Retención IVA"),AND(C721="Servicio",F721&lt;&gt;"TMS",F721&lt;&gt;"Valoración",F721&lt;&gt;"EEG",F721&lt;&gt;"Neurofeedback",F721&lt;&gt;"Fotobiomodulación",F721&lt;&gt;"Psicoterapia",F721&lt;&gt;"Otros")),"Tipo o categoría inválido",IF(COUNTA(A721:J721)=0,"",IF(OR(A721="",B721="",C721="",G721=""),"Faltan datos",IF(COUNTIF($A$7:$A$2006,A721)&gt;1,"ID duplicado",IF(OR(B721&lt;DATE(Configuración!$C$5,1,1),B721&gt;=DATE(Configuración!$C$5+1,1,1)),"Fecha fuera del año",IF(OR(G721&lt;0,H721&lt;0),"Revisar signo",IF(AND(C721&lt;&gt;"Servicio",H721&lt;&gt;0),"IVA solo en Servicio",IF(AND(C721="Servicio",F721=""),"Falta servicio","OK")))))))))</f>
        <v/>
      </c>
    </row>
    <row r="722" spans="1:12" ht="22" customHeight="1">
      <c r="A722" s="3"/>
      <c r="B722" s="7"/>
      <c r="C722" s="3"/>
      <c r="D722" s="3"/>
      <c r="E722" s="3"/>
      <c r="F722" s="3"/>
      <c r="G722" s="4"/>
      <c r="H722" s="4"/>
      <c r="I722" s="3"/>
      <c r="J722" s="3"/>
      <c r="K722" s="8" t="str">
        <f t="shared" si="11"/>
        <v/>
      </c>
      <c r="L722" s="1" t="str">
        <f>IF(COUNTA(A722:J722)=0,"",IF(OR(AND(C722&lt;&gt;"Servicio",C722&lt;&gt;"Cobro",C722&lt;&gt;"Anticipo",C722&lt;&gt;"Aplicación anticipo",C722&lt;&gt;"Retención ISR",C722&lt;&gt;"Retención IVA"),AND(C722="Servicio",F722&lt;&gt;"TMS",F722&lt;&gt;"Valoración",F722&lt;&gt;"EEG",F722&lt;&gt;"Neurofeedback",F722&lt;&gt;"Fotobiomodulación",F722&lt;&gt;"Psicoterapia",F722&lt;&gt;"Otros")),"Tipo o categoría inválido",IF(COUNTA(A722:J722)=0,"",IF(OR(A722="",B722="",C722="",G722=""),"Faltan datos",IF(COUNTIF($A$7:$A$2006,A722)&gt;1,"ID duplicado",IF(OR(B722&lt;DATE(Configuración!$C$5,1,1),B722&gt;=DATE(Configuración!$C$5+1,1,1)),"Fecha fuera del año",IF(OR(G722&lt;0,H722&lt;0),"Revisar signo",IF(AND(C722&lt;&gt;"Servicio",H722&lt;&gt;0),"IVA solo en Servicio",IF(AND(C722="Servicio",F722=""),"Falta servicio","OK")))))))))</f>
        <v/>
      </c>
    </row>
    <row r="723" spans="1:12" ht="22" customHeight="1">
      <c r="A723" s="3"/>
      <c r="B723" s="7"/>
      <c r="C723" s="3"/>
      <c r="D723" s="3"/>
      <c r="E723" s="3"/>
      <c r="F723" s="3"/>
      <c r="G723" s="4"/>
      <c r="H723" s="4"/>
      <c r="I723" s="3"/>
      <c r="J723" s="3"/>
      <c r="K723" s="8" t="str">
        <f t="shared" si="11"/>
        <v/>
      </c>
      <c r="L723" s="1" t="str">
        <f>IF(COUNTA(A723:J723)=0,"",IF(OR(AND(C723&lt;&gt;"Servicio",C723&lt;&gt;"Cobro",C723&lt;&gt;"Anticipo",C723&lt;&gt;"Aplicación anticipo",C723&lt;&gt;"Retención ISR",C723&lt;&gt;"Retención IVA"),AND(C723="Servicio",F723&lt;&gt;"TMS",F723&lt;&gt;"Valoración",F723&lt;&gt;"EEG",F723&lt;&gt;"Neurofeedback",F723&lt;&gt;"Fotobiomodulación",F723&lt;&gt;"Psicoterapia",F723&lt;&gt;"Otros")),"Tipo o categoría inválido",IF(COUNTA(A723:J723)=0,"",IF(OR(A723="",B723="",C723="",G723=""),"Faltan datos",IF(COUNTIF($A$7:$A$2006,A723)&gt;1,"ID duplicado",IF(OR(B723&lt;DATE(Configuración!$C$5,1,1),B723&gt;=DATE(Configuración!$C$5+1,1,1)),"Fecha fuera del año",IF(OR(G723&lt;0,H723&lt;0),"Revisar signo",IF(AND(C723&lt;&gt;"Servicio",H723&lt;&gt;0),"IVA solo en Servicio",IF(AND(C723="Servicio",F723=""),"Falta servicio","OK")))))))))</f>
        <v/>
      </c>
    </row>
    <row r="724" spans="1:12" ht="22" customHeight="1">
      <c r="A724" s="3"/>
      <c r="B724" s="7"/>
      <c r="C724" s="3"/>
      <c r="D724" s="3"/>
      <c r="E724" s="3"/>
      <c r="F724" s="3"/>
      <c r="G724" s="4"/>
      <c r="H724" s="4"/>
      <c r="I724" s="3"/>
      <c r="J724" s="3"/>
      <c r="K724" s="8" t="str">
        <f t="shared" si="11"/>
        <v/>
      </c>
      <c r="L724" s="1" t="str">
        <f>IF(COUNTA(A724:J724)=0,"",IF(OR(AND(C724&lt;&gt;"Servicio",C724&lt;&gt;"Cobro",C724&lt;&gt;"Anticipo",C724&lt;&gt;"Aplicación anticipo",C724&lt;&gt;"Retención ISR",C724&lt;&gt;"Retención IVA"),AND(C724="Servicio",F724&lt;&gt;"TMS",F724&lt;&gt;"Valoración",F724&lt;&gt;"EEG",F724&lt;&gt;"Neurofeedback",F724&lt;&gt;"Fotobiomodulación",F724&lt;&gt;"Psicoterapia",F724&lt;&gt;"Otros")),"Tipo o categoría inválido",IF(COUNTA(A724:J724)=0,"",IF(OR(A724="",B724="",C724="",G724=""),"Faltan datos",IF(COUNTIF($A$7:$A$2006,A724)&gt;1,"ID duplicado",IF(OR(B724&lt;DATE(Configuración!$C$5,1,1),B724&gt;=DATE(Configuración!$C$5+1,1,1)),"Fecha fuera del año",IF(OR(G724&lt;0,H724&lt;0),"Revisar signo",IF(AND(C724&lt;&gt;"Servicio",H724&lt;&gt;0),"IVA solo en Servicio",IF(AND(C724="Servicio",F724=""),"Falta servicio","OK")))))))))</f>
        <v/>
      </c>
    </row>
    <row r="725" spans="1:12" ht="22" customHeight="1">
      <c r="A725" s="3"/>
      <c r="B725" s="7"/>
      <c r="C725" s="3"/>
      <c r="D725" s="3"/>
      <c r="E725" s="3"/>
      <c r="F725" s="3"/>
      <c r="G725" s="4"/>
      <c r="H725" s="4"/>
      <c r="I725" s="3"/>
      <c r="J725" s="3"/>
      <c r="K725" s="8" t="str">
        <f t="shared" si="11"/>
        <v/>
      </c>
      <c r="L725" s="1" t="str">
        <f>IF(COUNTA(A725:J725)=0,"",IF(OR(AND(C725&lt;&gt;"Servicio",C725&lt;&gt;"Cobro",C725&lt;&gt;"Anticipo",C725&lt;&gt;"Aplicación anticipo",C725&lt;&gt;"Retención ISR",C725&lt;&gt;"Retención IVA"),AND(C725="Servicio",F725&lt;&gt;"TMS",F725&lt;&gt;"Valoración",F725&lt;&gt;"EEG",F725&lt;&gt;"Neurofeedback",F725&lt;&gt;"Fotobiomodulación",F725&lt;&gt;"Psicoterapia",F725&lt;&gt;"Otros")),"Tipo o categoría inválido",IF(COUNTA(A725:J725)=0,"",IF(OR(A725="",B725="",C725="",G725=""),"Faltan datos",IF(COUNTIF($A$7:$A$2006,A725)&gt;1,"ID duplicado",IF(OR(B725&lt;DATE(Configuración!$C$5,1,1),B725&gt;=DATE(Configuración!$C$5+1,1,1)),"Fecha fuera del año",IF(OR(G725&lt;0,H725&lt;0),"Revisar signo",IF(AND(C725&lt;&gt;"Servicio",H725&lt;&gt;0),"IVA solo en Servicio",IF(AND(C725="Servicio",F725=""),"Falta servicio","OK")))))))))</f>
        <v/>
      </c>
    </row>
    <row r="726" spans="1:12" ht="22" customHeight="1">
      <c r="A726" s="3"/>
      <c r="B726" s="7"/>
      <c r="C726" s="3"/>
      <c r="D726" s="3"/>
      <c r="E726" s="3"/>
      <c r="F726" s="3"/>
      <c r="G726" s="4"/>
      <c r="H726" s="4"/>
      <c r="I726" s="3"/>
      <c r="J726" s="3"/>
      <c r="K726" s="8" t="str">
        <f t="shared" si="11"/>
        <v/>
      </c>
      <c r="L726" s="1" t="str">
        <f>IF(COUNTA(A726:J726)=0,"",IF(OR(AND(C726&lt;&gt;"Servicio",C726&lt;&gt;"Cobro",C726&lt;&gt;"Anticipo",C726&lt;&gt;"Aplicación anticipo",C726&lt;&gt;"Retención ISR",C726&lt;&gt;"Retención IVA"),AND(C726="Servicio",F726&lt;&gt;"TMS",F726&lt;&gt;"Valoración",F726&lt;&gt;"EEG",F726&lt;&gt;"Neurofeedback",F726&lt;&gt;"Fotobiomodulación",F726&lt;&gt;"Psicoterapia",F726&lt;&gt;"Otros")),"Tipo o categoría inválido",IF(COUNTA(A726:J726)=0,"",IF(OR(A726="",B726="",C726="",G726=""),"Faltan datos",IF(COUNTIF($A$7:$A$2006,A726)&gt;1,"ID duplicado",IF(OR(B726&lt;DATE(Configuración!$C$5,1,1),B726&gt;=DATE(Configuración!$C$5+1,1,1)),"Fecha fuera del año",IF(OR(G726&lt;0,H726&lt;0),"Revisar signo",IF(AND(C726&lt;&gt;"Servicio",H726&lt;&gt;0),"IVA solo en Servicio",IF(AND(C726="Servicio",F726=""),"Falta servicio","OK")))))))))</f>
        <v/>
      </c>
    </row>
    <row r="727" spans="1:12" ht="22" customHeight="1">
      <c r="A727" s="3"/>
      <c r="B727" s="7"/>
      <c r="C727" s="3"/>
      <c r="D727" s="3"/>
      <c r="E727" s="3"/>
      <c r="F727" s="3"/>
      <c r="G727" s="4"/>
      <c r="H727" s="4"/>
      <c r="I727" s="3"/>
      <c r="J727" s="3"/>
      <c r="K727" s="8" t="str">
        <f t="shared" si="11"/>
        <v/>
      </c>
      <c r="L727" s="1" t="str">
        <f>IF(COUNTA(A727:J727)=0,"",IF(OR(AND(C727&lt;&gt;"Servicio",C727&lt;&gt;"Cobro",C727&lt;&gt;"Anticipo",C727&lt;&gt;"Aplicación anticipo",C727&lt;&gt;"Retención ISR",C727&lt;&gt;"Retención IVA"),AND(C727="Servicio",F727&lt;&gt;"TMS",F727&lt;&gt;"Valoración",F727&lt;&gt;"EEG",F727&lt;&gt;"Neurofeedback",F727&lt;&gt;"Fotobiomodulación",F727&lt;&gt;"Psicoterapia",F727&lt;&gt;"Otros")),"Tipo o categoría inválido",IF(COUNTA(A727:J727)=0,"",IF(OR(A727="",B727="",C727="",G727=""),"Faltan datos",IF(COUNTIF($A$7:$A$2006,A727)&gt;1,"ID duplicado",IF(OR(B727&lt;DATE(Configuración!$C$5,1,1),B727&gt;=DATE(Configuración!$C$5+1,1,1)),"Fecha fuera del año",IF(OR(G727&lt;0,H727&lt;0),"Revisar signo",IF(AND(C727&lt;&gt;"Servicio",H727&lt;&gt;0),"IVA solo en Servicio",IF(AND(C727="Servicio",F727=""),"Falta servicio","OK")))))))))</f>
        <v/>
      </c>
    </row>
    <row r="728" spans="1:12" ht="22" customHeight="1">
      <c r="A728" s="3"/>
      <c r="B728" s="7"/>
      <c r="C728" s="3"/>
      <c r="D728" s="3"/>
      <c r="E728" s="3"/>
      <c r="F728" s="3"/>
      <c r="G728" s="4"/>
      <c r="H728" s="4"/>
      <c r="I728" s="3"/>
      <c r="J728" s="3"/>
      <c r="K728" s="8" t="str">
        <f t="shared" si="11"/>
        <v/>
      </c>
      <c r="L728" s="1" t="str">
        <f>IF(COUNTA(A728:J728)=0,"",IF(OR(AND(C728&lt;&gt;"Servicio",C728&lt;&gt;"Cobro",C728&lt;&gt;"Anticipo",C728&lt;&gt;"Aplicación anticipo",C728&lt;&gt;"Retención ISR",C728&lt;&gt;"Retención IVA"),AND(C728="Servicio",F728&lt;&gt;"TMS",F728&lt;&gt;"Valoración",F728&lt;&gt;"EEG",F728&lt;&gt;"Neurofeedback",F728&lt;&gt;"Fotobiomodulación",F728&lt;&gt;"Psicoterapia",F728&lt;&gt;"Otros")),"Tipo o categoría inválido",IF(COUNTA(A728:J728)=0,"",IF(OR(A728="",B728="",C728="",G728=""),"Faltan datos",IF(COUNTIF($A$7:$A$2006,A728)&gt;1,"ID duplicado",IF(OR(B728&lt;DATE(Configuración!$C$5,1,1),B728&gt;=DATE(Configuración!$C$5+1,1,1)),"Fecha fuera del año",IF(OR(G728&lt;0,H728&lt;0),"Revisar signo",IF(AND(C728&lt;&gt;"Servicio",H728&lt;&gt;0),"IVA solo en Servicio",IF(AND(C728="Servicio",F728=""),"Falta servicio","OK")))))))))</f>
        <v/>
      </c>
    </row>
    <row r="729" spans="1:12" ht="22" customHeight="1">
      <c r="A729" s="3"/>
      <c r="B729" s="7"/>
      <c r="C729" s="3"/>
      <c r="D729" s="3"/>
      <c r="E729" s="3"/>
      <c r="F729" s="3"/>
      <c r="G729" s="4"/>
      <c r="H729" s="4"/>
      <c r="I729" s="3"/>
      <c r="J729" s="3"/>
      <c r="K729" s="8" t="str">
        <f t="shared" si="11"/>
        <v/>
      </c>
      <c r="L729" s="1" t="str">
        <f>IF(COUNTA(A729:J729)=0,"",IF(OR(AND(C729&lt;&gt;"Servicio",C729&lt;&gt;"Cobro",C729&lt;&gt;"Anticipo",C729&lt;&gt;"Aplicación anticipo",C729&lt;&gt;"Retención ISR",C729&lt;&gt;"Retención IVA"),AND(C729="Servicio",F729&lt;&gt;"TMS",F729&lt;&gt;"Valoración",F729&lt;&gt;"EEG",F729&lt;&gt;"Neurofeedback",F729&lt;&gt;"Fotobiomodulación",F729&lt;&gt;"Psicoterapia",F729&lt;&gt;"Otros")),"Tipo o categoría inválido",IF(COUNTA(A729:J729)=0,"",IF(OR(A729="",B729="",C729="",G729=""),"Faltan datos",IF(COUNTIF($A$7:$A$2006,A729)&gt;1,"ID duplicado",IF(OR(B729&lt;DATE(Configuración!$C$5,1,1),B729&gt;=DATE(Configuración!$C$5+1,1,1)),"Fecha fuera del año",IF(OR(G729&lt;0,H729&lt;0),"Revisar signo",IF(AND(C729&lt;&gt;"Servicio",H729&lt;&gt;0),"IVA solo en Servicio",IF(AND(C729="Servicio",F729=""),"Falta servicio","OK")))))))))</f>
        <v/>
      </c>
    </row>
    <row r="730" spans="1:12" ht="22" customHeight="1">
      <c r="A730" s="3"/>
      <c r="B730" s="7"/>
      <c r="C730" s="3"/>
      <c r="D730" s="3"/>
      <c r="E730" s="3"/>
      <c r="F730" s="3"/>
      <c r="G730" s="4"/>
      <c r="H730" s="4"/>
      <c r="I730" s="3"/>
      <c r="J730" s="3"/>
      <c r="K730" s="8" t="str">
        <f t="shared" si="11"/>
        <v/>
      </c>
      <c r="L730" s="1" t="str">
        <f>IF(COUNTA(A730:J730)=0,"",IF(OR(AND(C730&lt;&gt;"Servicio",C730&lt;&gt;"Cobro",C730&lt;&gt;"Anticipo",C730&lt;&gt;"Aplicación anticipo",C730&lt;&gt;"Retención ISR",C730&lt;&gt;"Retención IVA"),AND(C730="Servicio",F730&lt;&gt;"TMS",F730&lt;&gt;"Valoración",F730&lt;&gt;"EEG",F730&lt;&gt;"Neurofeedback",F730&lt;&gt;"Fotobiomodulación",F730&lt;&gt;"Psicoterapia",F730&lt;&gt;"Otros")),"Tipo o categoría inválido",IF(COUNTA(A730:J730)=0,"",IF(OR(A730="",B730="",C730="",G730=""),"Faltan datos",IF(COUNTIF($A$7:$A$2006,A730)&gt;1,"ID duplicado",IF(OR(B730&lt;DATE(Configuración!$C$5,1,1),B730&gt;=DATE(Configuración!$C$5+1,1,1)),"Fecha fuera del año",IF(OR(G730&lt;0,H730&lt;0),"Revisar signo",IF(AND(C730&lt;&gt;"Servicio",H730&lt;&gt;0),"IVA solo en Servicio",IF(AND(C730="Servicio",F730=""),"Falta servicio","OK")))))))))</f>
        <v/>
      </c>
    </row>
    <row r="731" spans="1:12" ht="22" customHeight="1">
      <c r="A731" s="3"/>
      <c r="B731" s="7"/>
      <c r="C731" s="3"/>
      <c r="D731" s="3"/>
      <c r="E731" s="3"/>
      <c r="F731" s="3"/>
      <c r="G731" s="4"/>
      <c r="H731" s="4"/>
      <c r="I731" s="3"/>
      <c r="J731" s="3"/>
      <c r="K731" s="8" t="str">
        <f t="shared" si="11"/>
        <v/>
      </c>
      <c r="L731" s="1" t="str">
        <f>IF(COUNTA(A731:J731)=0,"",IF(OR(AND(C731&lt;&gt;"Servicio",C731&lt;&gt;"Cobro",C731&lt;&gt;"Anticipo",C731&lt;&gt;"Aplicación anticipo",C731&lt;&gt;"Retención ISR",C731&lt;&gt;"Retención IVA"),AND(C731="Servicio",F731&lt;&gt;"TMS",F731&lt;&gt;"Valoración",F731&lt;&gt;"EEG",F731&lt;&gt;"Neurofeedback",F731&lt;&gt;"Fotobiomodulación",F731&lt;&gt;"Psicoterapia",F731&lt;&gt;"Otros")),"Tipo o categoría inválido",IF(COUNTA(A731:J731)=0,"",IF(OR(A731="",B731="",C731="",G731=""),"Faltan datos",IF(COUNTIF($A$7:$A$2006,A731)&gt;1,"ID duplicado",IF(OR(B731&lt;DATE(Configuración!$C$5,1,1),B731&gt;=DATE(Configuración!$C$5+1,1,1)),"Fecha fuera del año",IF(OR(G731&lt;0,H731&lt;0),"Revisar signo",IF(AND(C731&lt;&gt;"Servicio",H731&lt;&gt;0),"IVA solo en Servicio",IF(AND(C731="Servicio",F731=""),"Falta servicio","OK")))))))))</f>
        <v/>
      </c>
    </row>
    <row r="732" spans="1:12" ht="22" customHeight="1">
      <c r="A732" s="3"/>
      <c r="B732" s="7"/>
      <c r="C732" s="3"/>
      <c r="D732" s="3"/>
      <c r="E732" s="3"/>
      <c r="F732" s="3"/>
      <c r="G732" s="4"/>
      <c r="H732" s="4"/>
      <c r="I732" s="3"/>
      <c r="J732" s="3"/>
      <c r="K732" s="8" t="str">
        <f t="shared" si="11"/>
        <v/>
      </c>
      <c r="L732" s="1" t="str">
        <f>IF(COUNTA(A732:J732)=0,"",IF(OR(AND(C732&lt;&gt;"Servicio",C732&lt;&gt;"Cobro",C732&lt;&gt;"Anticipo",C732&lt;&gt;"Aplicación anticipo",C732&lt;&gt;"Retención ISR",C732&lt;&gt;"Retención IVA"),AND(C732="Servicio",F732&lt;&gt;"TMS",F732&lt;&gt;"Valoración",F732&lt;&gt;"EEG",F732&lt;&gt;"Neurofeedback",F732&lt;&gt;"Fotobiomodulación",F732&lt;&gt;"Psicoterapia",F732&lt;&gt;"Otros")),"Tipo o categoría inválido",IF(COUNTA(A732:J732)=0,"",IF(OR(A732="",B732="",C732="",G732=""),"Faltan datos",IF(COUNTIF($A$7:$A$2006,A732)&gt;1,"ID duplicado",IF(OR(B732&lt;DATE(Configuración!$C$5,1,1),B732&gt;=DATE(Configuración!$C$5+1,1,1)),"Fecha fuera del año",IF(OR(G732&lt;0,H732&lt;0),"Revisar signo",IF(AND(C732&lt;&gt;"Servicio",H732&lt;&gt;0),"IVA solo en Servicio",IF(AND(C732="Servicio",F732=""),"Falta servicio","OK")))))))))</f>
        <v/>
      </c>
    </row>
    <row r="733" spans="1:12" ht="22" customHeight="1">
      <c r="A733" s="3"/>
      <c r="B733" s="7"/>
      <c r="C733" s="3"/>
      <c r="D733" s="3"/>
      <c r="E733" s="3"/>
      <c r="F733" s="3"/>
      <c r="G733" s="4"/>
      <c r="H733" s="4"/>
      <c r="I733" s="3"/>
      <c r="J733" s="3"/>
      <c r="K733" s="8" t="str">
        <f t="shared" si="11"/>
        <v/>
      </c>
      <c r="L733" s="1" t="str">
        <f>IF(COUNTA(A733:J733)=0,"",IF(OR(AND(C733&lt;&gt;"Servicio",C733&lt;&gt;"Cobro",C733&lt;&gt;"Anticipo",C733&lt;&gt;"Aplicación anticipo",C733&lt;&gt;"Retención ISR",C733&lt;&gt;"Retención IVA"),AND(C733="Servicio",F733&lt;&gt;"TMS",F733&lt;&gt;"Valoración",F733&lt;&gt;"EEG",F733&lt;&gt;"Neurofeedback",F733&lt;&gt;"Fotobiomodulación",F733&lt;&gt;"Psicoterapia",F733&lt;&gt;"Otros")),"Tipo o categoría inválido",IF(COUNTA(A733:J733)=0,"",IF(OR(A733="",B733="",C733="",G733=""),"Faltan datos",IF(COUNTIF($A$7:$A$2006,A733)&gt;1,"ID duplicado",IF(OR(B733&lt;DATE(Configuración!$C$5,1,1),B733&gt;=DATE(Configuración!$C$5+1,1,1)),"Fecha fuera del año",IF(OR(G733&lt;0,H733&lt;0),"Revisar signo",IF(AND(C733&lt;&gt;"Servicio",H733&lt;&gt;0),"IVA solo en Servicio",IF(AND(C733="Servicio",F733=""),"Falta servicio","OK")))))))))</f>
        <v/>
      </c>
    </row>
    <row r="734" spans="1:12" ht="22" customHeight="1">
      <c r="A734" s="3"/>
      <c r="B734" s="7"/>
      <c r="C734" s="3"/>
      <c r="D734" s="3"/>
      <c r="E734" s="3"/>
      <c r="F734" s="3"/>
      <c r="G734" s="4"/>
      <c r="H734" s="4"/>
      <c r="I734" s="3"/>
      <c r="J734" s="3"/>
      <c r="K734" s="8" t="str">
        <f t="shared" si="11"/>
        <v/>
      </c>
      <c r="L734" s="1" t="str">
        <f>IF(COUNTA(A734:J734)=0,"",IF(OR(AND(C734&lt;&gt;"Servicio",C734&lt;&gt;"Cobro",C734&lt;&gt;"Anticipo",C734&lt;&gt;"Aplicación anticipo",C734&lt;&gt;"Retención ISR",C734&lt;&gt;"Retención IVA"),AND(C734="Servicio",F734&lt;&gt;"TMS",F734&lt;&gt;"Valoración",F734&lt;&gt;"EEG",F734&lt;&gt;"Neurofeedback",F734&lt;&gt;"Fotobiomodulación",F734&lt;&gt;"Psicoterapia",F734&lt;&gt;"Otros")),"Tipo o categoría inválido",IF(COUNTA(A734:J734)=0,"",IF(OR(A734="",B734="",C734="",G734=""),"Faltan datos",IF(COUNTIF($A$7:$A$2006,A734)&gt;1,"ID duplicado",IF(OR(B734&lt;DATE(Configuración!$C$5,1,1),B734&gt;=DATE(Configuración!$C$5+1,1,1)),"Fecha fuera del año",IF(OR(G734&lt;0,H734&lt;0),"Revisar signo",IF(AND(C734&lt;&gt;"Servicio",H734&lt;&gt;0),"IVA solo en Servicio",IF(AND(C734="Servicio",F734=""),"Falta servicio","OK")))))))))</f>
        <v/>
      </c>
    </row>
    <row r="735" spans="1:12" ht="22" customHeight="1">
      <c r="A735" s="3"/>
      <c r="B735" s="7"/>
      <c r="C735" s="3"/>
      <c r="D735" s="3"/>
      <c r="E735" s="3"/>
      <c r="F735" s="3"/>
      <c r="G735" s="4"/>
      <c r="H735" s="4"/>
      <c r="I735" s="3"/>
      <c r="J735" s="3"/>
      <c r="K735" s="8" t="str">
        <f t="shared" si="11"/>
        <v/>
      </c>
      <c r="L735" s="1" t="str">
        <f>IF(COUNTA(A735:J735)=0,"",IF(OR(AND(C735&lt;&gt;"Servicio",C735&lt;&gt;"Cobro",C735&lt;&gt;"Anticipo",C735&lt;&gt;"Aplicación anticipo",C735&lt;&gt;"Retención ISR",C735&lt;&gt;"Retención IVA"),AND(C735="Servicio",F735&lt;&gt;"TMS",F735&lt;&gt;"Valoración",F735&lt;&gt;"EEG",F735&lt;&gt;"Neurofeedback",F735&lt;&gt;"Fotobiomodulación",F735&lt;&gt;"Psicoterapia",F735&lt;&gt;"Otros")),"Tipo o categoría inválido",IF(COUNTA(A735:J735)=0,"",IF(OR(A735="",B735="",C735="",G735=""),"Faltan datos",IF(COUNTIF($A$7:$A$2006,A735)&gt;1,"ID duplicado",IF(OR(B735&lt;DATE(Configuración!$C$5,1,1),B735&gt;=DATE(Configuración!$C$5+1,1,1)),"Fecha fuera del año",IF(OR(G735&lt;0,H735&lt;0),"Revisar signo",IF(AND(C735&lt;&gt;"Servicio",H735&lt;&gt;0),"IVA solo en Servicio",IF(AND(C735="Servicio",F735=""),"Falta servicio","OK")))))))))</f>
        <v/>
      </c>
    </row>
    <row r="736" spans="1:12" ht="22" customHeight="1">
      <c r="A736" s="3"/>
      <c r="B736" s="7"/>
      <c r="C736" s="3"/>
      <c r="D736" s="3"/>
      <c r="E736" s="3"/>
      <c r="F736" s="3"/>
      <c r="G736" s="4"/>
      <c r="H736" s="4"/>
      <c r="I736" s="3"/>
      <c r="J736" s="3"/>
      <c r="K736" s="8" t="str">
        <f t="shared" si="11"/>
        <v/>
      </c>
      <c r="L736" s="1" t="str">
        <f>IF(COUNTA(A736:J736)=0,"",IF(OR(AND(C736&lt;&gt;"Servicio",C736&lt;&gt;"Cobro",C736&lt;&gt;"Anticipo",C736&lt;&gt;"Aplicación anticipo",C736&lt;&gt;"Retención ISR",C736&lt;&gt;"Retención IVA"),AND(C736="Servicio",F736&lt;&gt;"TMS",F736&lt;&gt;"Valoración",F736&lt;&gt;"EEG",F736&lt;&gt;"Neurofeedback",F736&lt;&gt;"Fotobiomodulación",F736&lt;&gt;"Psicoterapia",F736&lt;&gt;"Otros")),"Tipo o categoría inválido",IF(COUNTA(A736:J736)=0,"",IF(OR(A736="",B736="",C736="",G736=""),"Faltan datos",IF(COUNTIF($A$7:$A$2006,A736)&gt;1,"ID duplicado",IF(OR(B736&lt;DATE(Configuración!$C$5,1,1),B736&gt;=DATE(Configuración!$C$5+1,1,1)),"Fecha fuera del año",IF(OR(G736&lt;0,H736&lt;0),"Revisar signo",IF(AND(C736&lt;&gt;"Servicio",H736&lt;&gt;0),"IVA solo en Servicio",IF(AND(C736="Servicio",F736=""),"Falta servicio","OK")))))))))</f>
        <v/>
      </c>
    </row>
    <row r="737" spans="1:12" ht="22" customHeight="1">
      <c r="A737" s="3"/>
      <c r="B737" s="7"/>
      <c r="C737" s="3"/>
      <c r="D737" s="3"/>
      <c r="E737" s="3"/>
      <c r="F737" s="3"/>
      <c r="G737" s="4"/>
      <c r="H737" s="4"/>
      <c r="I737" s="3"/>
      <c r="J737" s="3"/>
      <c r="K737" s="8" t="str">
        <f t="shared" si="11"/>
        <v/>
      </c>
      <c r="L737" s="1" t="str">
        <f>IF(COUNTA(A737:J737)=0,"",IF(OR(AND(C737&lt;&gt;"Servicio",C737&lt;&gt;"Cobro",C737&lt;&gt;"Anticipo",C737&lt;&gt;"Aplicación anticipo",C737&lt;&gt;"Retención ISR",C737&lt;&gt;"Retención IVA"),AND(C737="Servicio",F737&lt;&gt;"TMS",F737&lt;&gt;"Valoración",F737&lt;&gt;"EEG",F737&lt;&gt;"Neurofeedback",F737&lt;&gt;"Fotobiomodulación",F737&lt;&gt;"Psicoterapia",F737&lt;&gt;"Otros")),"Tipo o categoría inválido",IF(COUNTA(A737:J737)=0,"",IF(OR(A737="",B737="",C737="",G737=""),"Faltan datos",IF(COUNTIF($A$7:$A$2006,A737)&gt;1,"ID duplicado",IF(OR(B737&lt;DATE(Configuración!$C$5,1,1),B737&gt;=DATE(Configuración!$C$5+1,1,1)),"Fecha fuera del año",IF(OR(G737&lt;0,H737&lt;0),"Revisar signo",IF(AND(C737&lt;&gt;"Servicio",H737&lt;&gt;0),"IVA solo en Servicio",IF(AND(C737="Servicio",F737=""),"Falta servicio","OK")))))))))</f>
        <v/>
      </c>
    </row>
    <row r="738" spans="1:12" ht="22" customHeight="1">
      <c r="A738" s="3"/>
      <c r="B738" s="7"/>
      <c r="C738" s="3"/>
      <c r="D738" s="3"/>
      <c r="E738" s="3"/>
      <c r="F738" s="3"/>
      <c r="G738" s="4"/>
      <c r="H738" s="4"/>
      <c r="I738" s="3"/>
      <c r="J738" s="3"/>
      <c r="K738" s="8" t="str">
        <f t="shared" si="11"/>
        <v/>
      </c>
      <c r="L738" s="1" t="str">
        <f>IF(COUNTA(A738:J738)=0,"",IF(OR(AND(C738&lt;&gt;"Servicio",C738&lt;&gt;"Cobro",C738&lt;&gt;"Anticipo",C738&lt;&gt;"Aplicación anticipo",C738&lt;&gt;"Retención ISR",C738&lt;&gt;"Retención IVA"),AND(C738="Servicio",F738&lt;&gt;"TMS",F738&lt;&gt;"Valoración",F738&lt;&gt;"EEG",F738&lt;&gt;"Neurofeedback",F738&lt;&gt;"Fotobiomodulación",F738&lt;&gt;"Psicoterapia",F738&lt;&gt;"Otros")),"Tipo o categoría inválido",IF(COUNTA(A738:J738)=0,"",IF(OR(A738="",B738="",C738="",G738=""),"Faltan datos",IF(COUNTIF($A$7:$A$2006,A738)&gt;1,"ID duplicado",IF(OR(B738&lt;DATE(Configuración!$C$5,1,1),B738&gt;=DATE(Configuración!$C$5+1,1,1)),"Fecha fuera del año",IF(OR(G738&lt;0,H738&lt;0),"Revisar signo",IF(AND(C738&lt;&gt;"Servicio",H738&lt;&gt;0),"IVA solo en Servicio",IF(AND(C738="Servicio",F738=""),"Falta servicio","OK")))))))))</f>
        <v/>
      </c>
    </row>
    <row r="739" spans="1:12" ht="22" customHeight="1">
      <c r="A739" s="3"/>
      <c r="B739" s="7"/>
      <c r="C739" s="3"/>
      <c r="D739" s="3"/>
      <c r="E739" s="3"/>
      <c r="F739" s="3"/>
      <c r="G739" s="4"/>
      <c r="H739" s="4"/>
      <c r="I739" s="3"/>
      <c r="J739" s="3"/>
      <c r="K739" s="8" t="str">
        <f t="shared" si="11"/>
        <v/>
      </c>
      <c r="L739" s="1" t="str">
        <f>IF(COUNTA(A739:J739)=0,"",IF(OR(AND(C739&lt;&gt;"Servicio",C739&lt;&gt;"Cobro",C739&lt;&gt;"Anticipo",C739&lt;&gt;"Aplicación anticipo",C739&lt;&gt;"Retención ISR",C739&lt;&gt;"Retención IVA"),AND(C739="Servicio",F739&lt;&gt;"TMS",F739&lt;&gt;"Valoración",F739&lt;&gt;"EEG",F739&lt;&gt;"Neurofeedback",F739&lt;&gt;"Fotobiomodulación",F739&lt;&gt;"Psicoterapia",F739&lt;&gt;"Otros")),"Tipo o categoría inválido",IF(COUNTA(A739:J739)=0,"",IF(OR(A739="",B739="",C739="",G739=""),"Faltan datos",IF(COUNTIF($A$7:$A$2006,A739)&gt;1,"ID duplicado",IF(OR(B739&lt;DATE(Configuración!$C$5,1,1),B739&gt;=DATE(Configuración!$C$5+1,1,1)),"Fecha fuera del año",IF(OR(G739&lt;0,H739&lt;0),"Revisar signo",IF(AND(C739&lt;&gt;"Servicio",H739&lt;&gt;0),"IVA solo en Servicio",IF(AND(C739="Servicio",F739=""),"Falta servicio","OK")))))))))</f>
        <v/>
      </c>
    </row>
    <row r="740" spans="1:12" ht="22" customHeight="1">
      <c r="A740" s="3"/>
      <c r="B740" s="7"/>
      <c r="C740" s="3"/>
      <c r="D740" s="3"/>
      <c r="E740" s="3"/>
      <c r="F740" s="3"/>
      <c r="G740" s="4"/>
      <c r="H740" s="4"/>
      <c r="I740" s="3"/>
      <c r="J740" s="3"/>
      <c r="K740" s="8" t="str">
        <f t="shared" si="11"/>
        <v/>
      </c>
      <c r="L740" s="1" t="str">
        <f>IF(COUNTA(A740:J740)=0,"",IF(OR(AND(C740&lt;&gt;"Servicio",C740&lt;&gt;"Cobro",C740&lt;&gt;"Anticipo",C740&lt;&gt;"Aplicación anticipo",C740&lt;&gt;"Retención ISR",C740&lt;&gt;"Retención IVA"),AND(C740="Servicio",F740&lt;&gt;"TMS",F740&lt;&gt;"Valoración",F740&lt;&gt;"EEG",F740&lt;&gt;"Neurofeedback",F740&lt;&gt;"Fotobiomodulación",F740&lt;&gt;"Psicoterapia",F740&lt;&gt;"Otros")),"Tipo o categoría inválido",IF(COUNTA(A740:J740)=0,"",IF(OR(A740="",B740="",C740="",G740=""),"Faltan datos",IF(COUNTIF($A$7:$A$2006,A740)&gt;1,"ID duplicado",IF(OR(B740&lt;DATE(Configuración!$C$5,1,1),B740&gt;=DATE(Configuración!$C$5+1,1,1)),"Fecha fuera del año",IF(OR(G740&lt;0,H740&lt;0),"Revisar signo",IF(AND(C740&lt;&gt;"Servicio",H740&lt;&gt;0),"IVA solo en Servicio",IF(AND(C740="Servicio",F740=""),"Falta servicio","OK")))))))))</f>
        <v/>
      </c>
    </row>
    <row r="741" spans="1:12" ht="22" customHeight="1">
      <c r="A741" s="3"/>
      <c r="B741" s="7"/>
      <c r="C741" s="3"/>
      <c r="D741" s="3"/>
      <c r="E741" s="3"/>
      <c r="F741" s="3"/>
      <c r="G741" s="4"/>
      <c r="H741" s="4"/>
      <c r="I741" s="3"/>
      <c r="J741" s="3"/>
      <c r="K741" s="8" t="str">
        <f t="shared" si="11"/>
        <v/>
      </c>
      <c r="L741" s="1" t="str">
        <f>IF(COUNTA(A741:J741)=0,"",IF(OR(AND(C741&lt;&gt;"Servicio",C741&lt;&gt;"Cobro",C741&lt;&gt;"Anticipo",C741&lt;&gt;"Aplicación anticipo",C741&lt;&gt;"Retención ISR",C741&lt;&gt;"Retención IVA"),AND(C741="Servicio",F741&lt;&gt;"TMS",F741&lt;&gt;"Valoración",F741&lt;&gt;"EEG",F741&lt;&gt;"Neurofeedback",F741&lt;&gt;"Fotobiomodulación",F741&lt;&gt;"Psicoterapia",F741&lt;&gt;"Otros")),"Tipo o categoría inválido",IF(COUNTA(A741:J741)=0,"",IF(OR(A741="",B741="",C741="",G741=""),"Faltan datos",IF(COUNTIF($A$7:$A$2006,A741)&gt;1,"ID duplicado",IF(OR(B741&lt;DATE(Configuración!$C$5,1,1),B741&gt;=DATE(Configuración!$C$5+1,1,1)),"Fecha fuera del año",IF(OR(G741&lt;0,H741&lt;0),"Revisar signo",IF(AND(C741&lt;&gt;"Servicio",H741&lt;&gt;0),"IVA solo en Servicio",IF(AND(C741="Servicio",F741=""),"Falta servicio","OK")))))))))</f>
        <v/>
      </c>
    </row>
    <row r="742" spans="1:12" ht="22" customHeight="1">
      <c r="A742" s="3"/>
      <c r="B742" s="7"/>
      <c r="C742" s="3"/>
      <c r="D742" s="3"/>
      <c r="E742" s="3"/>
      <c r="F742" s="3"/>
      <c r="G742" s="4"/>
      <c r="H742" s="4"/>
      <c r="I742" s="3"/>
      <c r="J742" s="3"/>
      <c r="K742" s="8" t="str">
        <f t="shared" si="11"/>
        <v/>
      </c>
      <c r="L742" s="1" t="str">
        <f>IF(COUNTA(A742:J742)=0,"",IF(OR(AND(C742&lt;&gt;"Servicio",C742&lt;&gt;"Cobro",C742&lt;&gt;"Anticipo",C742&lt;&gt;"Aplicación anticipo",C742&lt;&gt;"Retención ISR",C742&lt;&gt;"Retención IVA"),AND(C742="Servicio",F742&lt;&gt;"TMS",F742&lt;&gt;"Valoración",F742&lt;&gt;"EEG",F742&lt;&gt;"Neurofeedback",F742&lt;&gt;"Fotobiomodulación",F742&lt;&gt;"Psicoterapia",F742&lt;&gt;"Otros")),"Tipo o categoría inválido",IF(COUNTA(A742:J742)=0,"",IF(OR(A742="",B742="",C742="",G742=""),"Faltan datos",IF(COUNTIF($A$7:$A$2006,A742)&gt;1,"ID duplicado",IF(OR(B742&lt;DATE(Configuración!$C$5,1,1),B742&gt;=DATE(Configuración!$C$5+1,1,1)),"Fecha fuera del año",IF(OR(G742&lt;0,H742&lt;0),"Revisar signo",IF(AND(C742&lt;&gt;"Servicio",H742&lt;&gt;0),"IVA solo en Servicio",IF(AND(C742="Servicio",F742=""),"Falta servicio","OK")))))))))</f>
        <v/>
      </c>
    </row>
    <row r="743" spans="1:12" ht="22" customHeight="1">
      <c r="A743" s="3"/>
      <c r="B743" s="7"/>
      <c r="C743" s="3"/>
      <c r="D743" s="3"/>
      <c r="E743" s="3"/>
      <c r="F743" s="3"/>
      <c r="G743" s="4"/>
      <c r="H743" s="4"/>
      <c r="I743" s="3"/>
      <c r="J743" s="3"/>
      <c r="K743" s="8" t="str">
        <f t="shared" si="11"/>
        <v/>
      </c>
      <c r="L743" s="1" t="str">
        <f>IF(COUNTA(A743:J743)=0,"",IF(OR(AND(C743&lt;&gt;"Servicio",C743&lt;&gt;"Cobro",C743&lt;&gt;"Anticipo",C743&lt;&gt;"Aplicación anticipo",C743&lt;&gt;"Retención ISR",C743&lt;&gt;"Retención IVA"),AND(C743="Servicio",F743&lt;&gt;"TMS",F743&lt;&gt;"Valoración",F743&lt;&gt;"EEG",F743&lt;&gt;"Neurofeedback",F743&lt;&gt;"Fotobiomodulación",F743&lt;&gt;"Psicoterapia",F743&lt;&gt;"Otros")),"Tipo o categoría inválido",IF(COUNTA(A743:J743)=0,"",IF(OR(A743="",B743="",C743="",G743=""),"Faltan datos",IF(COUNTIF($A$7:$A$2006,A743)&gt;1,"ID duplicado",IF(OR(B743&lt;DATE(Configuración!$C$5,1,1),B743&gt;=DATE(Configuración!$C$5+1,1,1)),"Fecha fuera del año",IF(OR(G743&lt;0,H743&lt;0),"Revisar signo",IF(AND(C743&lt;&gt;"Servicio",H743&lt;&gt;0),"IVA solo en Servicio",IF(AND(C743="Servicio",F743=""),"Falta servicio","OK")))))))))</f>
        <v/>
      </c>
    </row>
    <row r="744" spans="1:12" ht="22" customHeight="1">
      <c r="A744" s="3"/>
      <c r="B744" s="7"/>
      <c r="C744" s="3"/>
      <c r="D744" s="3"/>
      <c r="E744" s="3"/>
      <c r="F744" s="3"/>
      <c r="G744" s="4"/>
      <c r="H744" s="4"/>
      <c r="I744" s="3"/>
      <c r="J744" s="3"/>
      <c r="K744" s="8" t="str">
        <f t="shared" si="11"/>
        <v/>
      </c>
      <c r="L744" s="1" t="str">
        <f>IF(COUNTA(A744:J744)=0,"",IF(OR(AND(C744&lt;&gt;"Servicio",C744&lt;&gt;"Cobro",C744&lt;&gt;"Anticipo",C744&lt;&gt;"Aplicación anticipo",C744&lt;&gt;"Retención ISR",C744&lt;&gt;"Retención IVA"),AND(C744="Servicio",F744&lt;&gt;"TMS",F744&lt;&gt;"Valoración",F744&lt;&gt;"EEG",F744&lt;&gt;"Neurofeedback",F744&lt;&gt;"Fotobiomodulación",F744&lt;&gt;"Psicoterapia",F744&lt;&gt;"Otros")),"Tipo o categoría inválido",IF(COUNTA(A744:J744)=0,"",IF(OR(A744="",B744="",C744="",G744=""),"Faltan datos",IF(COUNTIF($A$7:$A$2006,A744)&gt;1,"ID duplicado",IF(OR(B744&lt;DATE(Configuración!$C$5,1,1),B744&gt;=DATE(Configuración!$C$5+1,1,1)),"Fecha fuera del año",IF(OR(G744&lt;0,H744&lt;0),"Revisar signo",IF(AND(C744&lt;&gt;"Servicio",H744&lt;&gt;0),"IVA solo en Servicio",IF(AND(C744="Servicio",F744=""),"Falta servicio","OK")))))))))</f>
        <v/>
      </c>
    </row>
    <row r="745" spans="1:12" ht="22" customHeight="1">
      <c r="A745" s="3"/>
      <c r="B745" s="7"/>
      <c r="C745" s="3"/>
      <c r="D745" s="3"/>
      <c r="E745" s="3"/>
      <c r="F745" s="3"/>
      <c r="G745" s="4"/>
      <c r="H745" s="4"/>
      <c r="I745" s="3"/>
      <c r="J745" s="3"/>
      <c r="K745" s="8" t="str">
        <f t="shared" si="11"/>
        <v/>
      </c>
      <c r="L745" s="1" t="str">
        <f>IF(COUNTA(A745:J745)=0,"",IF(OR(AND(C745&lt;&gt;"Servicio",C745&lt;&gt;"Cobro",C745&lt;&gt;"Anticipo",C745&lt;&gt;"Aplicación anticipo",C745&lt;&gt;"Retención ISR",C745&lt;&gt;"Retención IVA"),AND(C745="Servicio",F745&lt;&gt;"TMS",F745&lt;&gt;"Valoración",F745&lt;&gt;"EEG",F745&lt;&gt;"Neurofeedback",F745&lt;&gt;"Fotobiomodulación",F745&lt;&gt;"Psicoterapia",F745&lt;&gt;"Otros")),"Tipo o categoría inválido",IF(COUNTA(A745:J745)=0,"",IF(OR(A745="",B745="",C745="",G745=""),"Faltan datos",IF(COUNTIF($A$7:$A$2006,A745)&gt;1,"ID duplicado",IF(OR(B745&lt;DATE(Configuración!$C$5,1,1),B745&gt;=DATE(Configuración!$C$5+1,1,1)),"Fecha fuera del año",IF(OR(G745&lt;0,H745&lt;0),"Revisar signo",IF(AND(C745&lt;&gt;"Servicio",H745&lt;&gt;0),"IVA solo en Servicio",IF(AND(C745="Servicio",F745=""),"Falta servicio","OK")))))))))</f>
        <v/>
      </c>
    </row>
    <row r="746" spans="1:12" ht="22" customHeight="1">
      <c r="A746" s="3"/>
      <c r="B746" s="7"/>
      <c r="C746" s="3"/>
      <c r="D746" s="3"/>
      <c r="E746" s="3"/>
      <c r="F746" s="3"/>
      <c r="G746" s="4"/>
      <c r="H746" s="4"/>
      <c r="I746" s="3"/>
      <c r="J746" s="3"/>
      <c r="K746" s="8" t="str">
        <f t="shared" si="11"/>
        <v/>
      </c>
      <c r="L746" s="1" t="str">
        <f>IF(COUNTA(A746:J746)=0,"",IF(OR(AND(C746&lt;&gt;"Servicio",C746&lt;&gt;"Cobro",C746&lt;&gt;"Anticipo",C746&lt;&gt;"Aplicación anticipo",C746&lt;&gt;"Retención ISR",C746&lt;&gt;"Retención IVA"),AND(C746="Servicio",F746&lt;&gt;"TMS",F746&lt;&gt;"Valoración",F746&lt;&gt;"EEG",F746&lt;&gt;"Neurofeedback",F746&lt;&gt;"Fotobiomodulación",F746&lt;&gt;"Psicoterapia",F746&lt;&gt;"Otros")),"Tipo o categoría inválido",IF(COUNTA(A746:J746)=0,"",IF(OR(A746="",B746="",C746="",G746=""),"Faltan datos",IF(COUNTIF($A$7:$A$2006,A746)&gt;1,"ID duplicado",IF(OR(B746&lt;DATE(Configuración!$C$5,1,1),B746&gt;=DATE(Configuración!$C$5+1,1,1)),"Fecha fuera del año",IF(OR(G746&lt;0,H746&lt;0),"Revisar signo",IF(AND(C746&lt;&gt;"Servicio",H746&lt;&gt;0),"IVA solo en Servicio",IF(AND(C746="Servicio",F746=""),"Falta servicio","OK")))))))))</f>
        <v/>
      </c>
    </row>
    <row r="747" spans="1:12" ht="22" customHeight="1">
      <c r="A747" s="3"/>
      <c r="B747" s="7"/>
      <c r="C747" s="3"/>
      <c r="D747" s="3"/>
      <c r="E747" s="3"/>
      <c r="F747" s="3"/>
      <c r="G747" s="4"/>
      <c r="H747" s="4"/>
      <c r="I747" s="3"/>
      <c r="J747" s="3"/>
      <c r="K747" s="8" t="str">
        <f t="shared" si="11"/>
        <v/>
      </c>
      <c r="L747" s="1" t="str">
        <f>IF(COUNTA(A747:J747)=0,"",IF(OR(AND(C747&lt;&gt;"Servicio",C747&lt;&gt;"Cobro",C747&lt;&gt;"Anticipo",C747&lt;&gt;"Aplicación anticipo",C747&lt;&gt;"Retención ISR",C747&lt;&gt;"Retención IVA"),AND(C747="Servicio",F747&lt;&gt;"TMS",F747&lt;&gt;"Valoración",F747&lt;&gt;"EEG",F747&lt;&gt;"Neurofeedback",F747&lt;&gt;"Fotobiomodulación",F747&lt;&gt;"Psicoterapia",F747&lt;&gt;"Otros")),"Tipo o categoría inválido",IF(COUNTA(A747:J747)=0,"",IF(OR(A747="",B747="",C747="",G747=""),"Faltan datos",IF(COUNTIF($A$7:$A$2006,A747)&gt;1,"ID duplicado",IF(OR(B747&lt;DATE(Configuración!$C$5,1,1),B747&gt;=DATE(Configuración!$C$5+1,1,1)),"Fecha fuera del año",IF(OR(G747&lt;0,H747&lt;0),"Revisar signo",IF(AND(C747&lt;&gt;"Servicio",H747&lt;&gt;0),"IVA solo en Servicio",IF(AND(C747="Servicio",F747=""),"Falta servicio","OK")))))))))</f>
        <v/>
      </c>
    </row>
    <row r="748" spans="1:12" ht="22" customHeight="1">
      <c r="A748" s="3"/>
      <c r="B748" s="7"/>
      <c r="C748" s="3"/>
      <c r="D748" s="3"/>
      <c r="E748" s="3"/>
      <c r="F748" s="3"/>
      <c r="G748" s="4"/>
      <c r="H748" s="4"/>
      <c r="I748" s="3"/>
      <c r="J748" s="3"/>
      <c r="K748" s="8" t="str">
        <f t="shared" si="11"/>
        <v/>
      </c>
      <c r="L748" s="1" t="str">
        <f>IF(COUNTA(A748:J748)=0,"",IF(OR(AND(C748&lt;&gt;"Servicio",C748&lt;&gt;"Cobro",C748&lt;&gt;"Anticipo",C748&lt;&gt;"Aplicación anticipo",C748&lt;&gt;"Retención ISR",C748&lt;&gt;"Retención IVA"),AND(C748="Servicio",F748&lt;&gt;"TMS",F748&lt;&gt;"Valoración",F748&lt;&gt;"EEG",F748&lt;&gt;"Neurofeedback",F748&lt;&gt;"Fotobiomodulación",F748&lt;&gt;"Psicoterapia",F748&lt;&gt;"Otros")),"Tipo o categoría inválido",IF(COUNTA(A748:J748)=0,"",IF(OR(A748="",B748="",C748="",G748=""),"Faltan datos",IF(COUNTIF($A$7:$A$2006,A748)&gt;1,"ID duplicado",IF(OR(B748&lt;DATE(Configuración!$C$5,1,1),B748&gt;=DATE(Configuración!$C$5+1,1,1)),"Fecha fuera del año",IF(OR(G748&lt;0,H748&lt;0),"Revisar signo",IF(AND(C748&lt;&gt;"Servicio",H748&lt;&gt;0),"IVA solo en Servicio",IF(AND(C748="Servicio",F748=""),"Falta servicio","OK")))))))))</f>
        <v/>
      </c>
    </row>
    <row r="749" spans="1:12" ht="22" customHeight="1">
      <c r="A749" s="3"/>
      <c r="B749" s="7"/>
      <c r="C749" s="3"/>
      <c r="D749" s="3"/>
      <c r="E749" s="3"/>
      <c r="F749" s="3"/>
      <c r="G749" s="4"/>
      <c r="H749" s="4"/>
      <c r="I749" s="3"/>
      <c r="J749" s="3"/>
      <c r="K749" s="8" t="str">
        <f t="shared" si="11"/>
        <v/>
      </c>
      <c r="L749" s="1" t="str">
        <f>IF(COUNTA(A749:J749)=0,"",IF(OR(AND(C749&lt;&gt;"Servicio",C749&lt;&gt;"Cobro",C749&lt;&gt;"Anticipo",C749&lt;&gt;"Aplicación anticipo",C749&lt;&gt;"Retención ISR",C749&lt;&gt;"Retención IVA"),AND(C749="Servicio",F749&lt;&gt;"TMS",F749&lt;&gt;"Valoración",F749&lt;&gt;"EEG",F749&lt;&gt;"Neurofeedback",F749&lt;&gt;"Fotobiomodulación",F749&lt;&gt;"Psicoterapia",F749&lt;&gt;"Otros")),"Tipo o categoría inválido",IF(COUNTA(A749:J749)=0,"",IF(OR(A749="",B749="",C749="",G749=""),"Faltan datos",IF(COUNTIF($A$7:$A$2006,A749)&gt;1,"ID duplicado",IF(OR(B749&lt;DATE(Configuración!$C$5,1,1),B749&gt;=DATE(Configuración!$C$5+1,1,1)),"Fecha fuera del año",IF(OR(G749&lt;0,H749&lt;0),"Revisar signo",IF(AND(C749&lt;&gt;"Servicio",H749&lt;&gt;0),"IVA solo en Servicio",IF(AND(C749="Servicio",F749=""),"Falta servicio","OK")))))))))</f>
        <v/>
      </c>
    </row>
    <row r="750" spans="1:12" ht="22" customHeight="1">
      <c r="A750" s="3"/>
      <c r="B750" s="7"/>
      <c r="C750" s="3"/>
      <c r="D750" s="3"/>
      <c r="E750" s="3"/>
      <c r="F750" s="3"/>
      <c r="G750" s="4"/>
      <c r="H750" s="4"/>
      <c r="I750" s="3"/>
      <c r="J750" s="3"/>
      <c r="K750" s="8" t="str">
        <f t="shared" si="11"/>
        <v/>
      </c>
      <c r="L750" s="1" t="str">
        <f>IF(COUNTA(A750:J750)=0,"",IF(OR(AND(C750&lt;&gt;"Servicio",C750&lt;&gt;"Cobro",C750&lt;&gt;"Anticipo",C750&lt;&gt;"Aplicación anticipo",C750&lt;&gt;"Retención ISR",C750&lt;&gt;"Retención IVA"),AND(C750="Servicio",F750&lt;&gt;"TMS",F750&lt;&gt;"Valoración",F750&lt;&gt;"EEG",F750&lt;&gt;"Neurofeedback",F750&lt;&gt;"Fotobiomodulación",F750&lt;&gt;"Psicoterapia",F750&lt;&gt;"Otros")),"Tipo o categoría inválido",IF(COUNTA(A750:J750)=0,"",IF(OR(A750="",B750="",C750="",G750=""),"Faltan datos",IF(COUNTIF($A$7:$A$2006,A750)&gt;1,"ID duplicado",IF(OR(B750&lt;DATE(Configuración!$C$5,1,1),B750&gt;=DATE(Configuración!$C$5+1,1,1)),"Fecha fuera del año",IF(OR(G750&lt;0,H750&lt;0),"Revisar signo",IF(AND(C750&lt;&gt;"Servicio",H750&lt;&gt;0),"IVA solo en Servicio",IF(AND(C750="Servicio",F750=""),"Falta servicio","OK")))))))))</f>
        <v/>
      </c>
    </row>
    <row r="751" spans="1:12" ht="22" customHeight="1">
      <c r="A751" s="3"/>
      <c r="B751" s="7"/>
      <c r="C751" s="3"/>
      <c r="D751" s="3"/>
      <c r="E751" s="3"/>
      <c r="F751" s="3"/>
      <c r="G751" s="4"/>
      <c r="H751" s="4"/>
      <c r="I751" s="3"/>
      <c r="J751" s="3"/>
      <c r="K751" s="8" t="str">
        <f t="shared" si="11"/>
        <v/>
      </c>
      <c r="L751" s="1" t="str">
        <f>IF(COUNTA(A751:J751)=0,"",IF(OR(AND(C751&lt;&gt;"Servicio",C751&lt;&gt;"Cobro",C751&lt;&gt;"Anticipo",C751&lt;&gt;"Aplicación anticipo",C751&lt;&gt;"Retención ISR",C751&lt;&gt;"Retención IVA"),AND(C751="Servicio",F751&lt;&gt;"TMS",F751&lt;&gt;"Valoración",F751&lt;&gt;"EEG",F751&lt;&gt;"Neurofeedback",F751&lt;&gt;"Fotobiomodulación",F751&lt;&gt;"Psicoterapia",F751&lt;&gt;"Otros")),"Tipo o categoría inválido",IF(COUNTA(A751:J751)=0,"",IF(OR(A751="",B751="",C751="",G751=""),"Faltan datos",IF(COUNTIF($A$7:$A$2006,A751)&gt;1,"ID duplicado",IF(OR(B751&lt;DATE(Configuración!$C$5,1,1),B751&gt;=DATE(Configuración!$C$5+1,1,1)),"Fecha fuera del año",IF(OR(G751&lt;0,H751&lt;0),"Revisar signo",IF(AND(C751&lt;&gt;"Servicio",H751&lt;&gt;0),"IVA solo en Servicio",IF(AND(C751="Servicio",F751=""),"Falta servicio","OK")))))))))</f>
        <v/>
      </c>
    </row>
    <row r="752" spans="1:12" ht="22" customHeight="1">
      <c r="A752" s="3"/>
      <c r="B752" s="7"/>
      <c r="C752" s="3"/>
      <c r="D752" s="3"/>
      <c r="E752" s="3"/>
      <c r="F752" s="3"/>
      <c r="G752" s="4"/>
      <c r="H752" s="4"/>
      <c r="I752" s="3"/>
      <c r="J752" s="3"/>
      <c r="K752" s="8" t="str">
        <f t="shared" si="11"/>
        <v/>
      </c>
      <c r="L752" s="1" t="str">
        <f>IF(COUNTA(A752:J752)=0,"",IF(OR(AND(C752&lt;&gt;"Servicio",C752&lt;&gt;"Cobro",C752&lt;&gt;"Anticipo",C752&lt;&gt;"Aplicación anticipo",C752&lt;&gt;"Retención ISR",C752&lt;&gt;"Retención IVA"),AND(C752="Servicio",F752&lt;&gt;"TMS",F752&lt;&gt;"Valoración",F752&lt;&gt;"EEG",F752&lt;&gt;"Neurofeedback",F752&lt;&gt;"Fotobiomodulación",F752&lt;&gt;"Psicoterapia",F752&lt;&gt;"Otros")),"Tipo o categoría inválido",IF(COUNTA(A752:J752)=0,"",IF(OR(A752="",B752="",C752="",G752=""),"Faltan datos",IF(COUNTIF($A$7:$A$2006,A752)&gt;1,"ID duplicado",IF(OR(B752&lt;DATE(Configuración!$C$5,1,1),B752&gt;=DATE(Configuración!$C$5+1,1,1)),"Fecha fuera del año",IF(OR(G752&lt;0,H752&lt;0),"Revisar signo",IF(AND(C752&lt;&gt;"Servicio",H752&lt;&gt;0),"IVA solo en Servicio",IF(AND(C752="Servicio",F752=""),"Falta servicio","OK")))))))))</f>
        <v/>
      </c>
    </row>
    <row r="753" spans="1:12" ht="22" customHeight="1">
      <c r="A753" s="3"/>
      <c r="B753" s="7"/>
      <c r="C753" s="3"/>
      <c r="D753" s="3"/>
      <c r="E753" s="3"/>
      <c r="F753" s="3"/>
      <c r="G753" s="4"/>
      <c r="H753" s="4"/>
      <c r="I753" s="3"/>
      <c r="J753" s="3"/>
      <c r="K753" s="8" t="str">
        <f t="shared" si="11"/>
        <v/>
      </c>
      <c r="L753" s="1" t="str">
        <f>IF(COUNTA(A753:J753)=0,"",IF(OR(AND(C753&lt;&gt;"Servicio",C753&lt;&gt;"Cobro",C753&lt;&gt;"Anticipo",C753&lt;&gt;"Aplicación anticipo",C753&lt;&gt;"Retención ISR",C753&lt;&gt;"Retención IVA"),AND(C753="Servicio",F753&lt;&gt;"TMS",F753&lt;&gt;"Valoración",F753&lt;&gt;"EEG",F753&lt;&gt;"Neurofeedback",F753&lt;&gt;"Fotobiomodulación",F753&lt;&gt;"Psicoterapia",F753&lt;&gt;"Otros")),"Tipo o categoría inválido",IF(COUNTA(A753:J753)=0,"",IF(OR(A753="",B753="",C753="",G753=""),"Faltan datos",IF(COUNTIF($A$7:$A$2006,A753)&gt;1,"ID duplicado",IF(OR(B753&lt;DATE(Configuración!$C$5,1,1),B753&gt;=DATE(Configuración!$C$5+1,1,1)),"Fecha fuera del año",IF(OR(G753&lt;0,H753&lt;0),"Revisar signo",IF(AND(C753&lt;&gt;"Servicio",H753&lt;&gt;0),"IVA solo en Servicio",IF(AND(C753="Servicio",F753=""),"Falta servicio","OK")))))))))</f>
        <v/>
      </c>
    </row>
    <row r="754" spans="1:12" ht="22" customHeight="1">
      <c r="A754" s="3"/>
      <c r="B754" s="7"/>
      <c r="C754" s="3"/>
      <c r="D754" s="3"/>
      <c r="E754" s="3"/>
      <c r="F754" s="3"/>
      <c r="G754" s="4"/>
      <c r="H754" s="4"/>
      <c r="I754" s="3"/>
      <c r="J754" s="3"/>
      <c r="K754" s="8" t="str">
        <f t="shared" si="11"/>
        <v/>
      </c>
      <c r="L754" s="1" t="str">
        <f>IF(COUNTA(A754:J754)=0,"",IF(OR(AND(C754&lt;&gt;"Servicio",C754&lt;&gt;"Cobro",C754&lt;&gt;"Anticipo",C754&lt;&gt;"Aplicación anticipo",C754&lt;&gt;"Retención ISR",C754&lt;&gt;"Retención IVA"),AND(C754="Servicio",F754&lt;&gt;"TMS",F754&lt;&gt;"Valoración",F754&lt;&gt;"EEG",F754&lt;&gt;"Neurofeedback",F754&lt;&gt;"Fotobiomodulación",F754&lt;&gt;"Psicoterapia",F754&lt;&gt;"Otros")),"Tipo o categoría inválido",IF(COUNTA(A754:J754)=0,"",IF(OR(A754="",B754="",C754="",G754=""),"Faltan datos",IF(COUNTIF($A$7:$A$2006,A754)&gt;1,"ID duplicado",IF(OR(B754&lt;DATE(Configuración!$C$5,1,1),B754&gt;=DATE(Configuración!$C$5+1,1,1)),"Fecha fuera del año",IF(OR(G754&lt;0,H754&lt;0),"Revisar signo",IF(AND(C754&lt;&gt;"Servicio",H754&lt;&gt;0),"IVA solo en Servicio",IF(AND(C754="Servicio",F754=""),"Falta servicio","OK")))))))))</f>
        <v/>
      </c>
    </row>
    <row r="755" spans="1:12" ht="22" customHeight="1">
      <c r="A755" s="3"/>
      <c r="B755" s="7"/>
      <c r="C755" s="3"/>
      <c r="D755" s="3"/>
      <c r="E755" s="3"/>
      <c r="F755" s="3"/>
      <c r="G755" s="4"/>
      <c r="H755" s="4"/>
      <c r="I755" s="3"/>
      <c r="J755" s="3"/>
      <c r="K755" s="8" t="str">
        <f t="shared" si="11"/>
        <v/>
      </c>
      <c r="L755" s="1" t="str">
        <f>IF(COUNTA(A755:J755)=0,"",IF(OR(AND(C755&lt;&gt;"Servicio",C755&lt;&gt;"Cobro",C755&lt;&gt;"Anticipo",C755&lt;&gt;"Aplicación anticipo",C755&lt;&gt;"Retención ISR",C755&lt;&gt;"Retención IVA"),AND(C755="Servicio",F755&lt;&gt;"TMS",F755&lt;&gt;"Valoración",F755&lt;&gt;"EEG",F755&lt;&gt;"Neurofeedback",F755&lt;&gt;"Fotobiomodulación",F755&lt;&gt;"Psicoterapia",F755&lt;&gt;"Otros")),"Tipo o categoría inválido",IF(COUNTA(A755:J755)=0,"",IF(OR(A755="",B755="",C755="",G755=""),"Faltan datos",IF(COUNTIF($A$7:$A$2006,A755)&gt;1,"ID duplicado",IF(OR(B755&lt;DATE(Configuración!$C$5,1,1),B755&gt;=DATE(Configuración!$C$5+1,1,1)),"Fecha fuera del año",IF(OR(G755&lt;0,H755&lt;0),"Revisar signo",IF(AND(C755&lt;&gt;"Servicio",H755&lt;&gt;0),"IVA solo en Servicio",IF(AND(C755="Servicio",F755=""),"Falta servicio","OK")))))))))</f>
        <v/>
      </c>
    </row>
    <row r="756" spans="1:12" ht="22" customHeight="1">
      <c r="A756" s="3"/>
      <c r="B756" s="7"/>
      <c r="C756" s="3"/>
      <c r="D756" s="3"/>
      <c r="E756" s="3"/>
      <c r="F756" s="3"/>
      <c r="G756" s="4"/>
      <c r="H756" s="4"/>
      <c r="I756" s="3"/>
      <c r="J756" s="3"/>
      <c r="K756" s="8" t="str">
        <f t="shared" si="11"/>
        <v/>
      </c>
      <c r="L756" s="1" t="str">
        <f>IF(COUNTA(A756:J756)=0,"",IF(OR(AND(C756&lt;&gt;"Servicio",C756&lt;&gt;"Cobro",C756&lt;&gt;"Anticipo",C756&lt;&gt;"Aplicación anticipo",C756&lt;&gt;"Retención ISR",C756&lt;&gt;"Retención IVA"),AND(C756="Servicio",F756&lt;&gt;"TMS",F756&lt;&gt;"Valoración",F756&lt;&gt;"EEG",F756&lt;&gt;"Neurofeedback",F756&lt;&gt;"Fotobiomodulación",F756&lt;&gt;"Psicoterapia",F756&lt;&gt;"Otros")),"Tipo o categoría inválido",IF(COUNTA(A756:J756)=0,"",IF(OR(A756="",B756="",C756="",G756=""),"Faltan datos",IF(COUNTIF($A$7:$A$2006,A756)&gt;1,"ID duplicado",IF(OR(B756&lt;DATE(Configuración!$C$5,1,1),B756&gt;=DATE(Configuración!$C$5+1,1,1)),"Fecha fuera del año",IF(OR(G756&lt;0,H756&lt;0),"Revisar signo",IF(AND(C756&lt;&gt;"Servicio",H756&lt;&gt;0),"IVA solo en Servicio",IF(AND(C756="Servicio",F756=""),"Falta servicio","OK")))))))))</f>
        <v/>
      </c>
    </row>
    <row r="757" spans="1:12" ht="22" customHeight="1">
      <c r="A757" s="3"/>
      <c r="B757" s="7"/>
      <c r="C757" s="3"/>
      <c r="D757" s="3"/>
      <c r="E757" s="3"/>
      <c r="F757" s="3"/>
      <c r="G757" s="4"/>
      <c r="H757" s="4"/>
      <c r="I757" s="3"/>
      <c r="J757" s="3"/>
      <c r="K757" s="8" t="str">
        <f t="shared" si="11"/>
        <v/>
      </c>
      <c r="L757" s="1" t="str">
        <f>IF(COUNTA(A757:J757)=0,"",IF(OR(AND(C757&lt;&gt;"Servicio",C757&lt;&gt;"Cobro",C757&lt;&gt;"Anticipo",C757&lt;&gt;"Aplicación anticipo",C757&lt;&gt;"Retención ISR",C757&lt;&gt;"Retención IVA"),AND(C757="Servicio",F757&lt;&gt;"TMS",F757&lt;&gt;"Valoración",F757&lt;&gt;"EEG",F757&lt;&gt;"Neurofeedback",F757&lt;&gt;"Fotobiomodulación",F757&lt;&gt;"Psicoterapia",F757&lt;&gt;"Otros")),"Tipo o categoría inválido",IF(COUNTA(A757:J757)=0,"",IF(OR(A757="",B757="",C757="",G757=""),"Faltan datos",IF(COUNTIF($A$7:$A$2006,A757)&gt;1,"ID duplicado",IF(OR(B757&lt;DATE(Configuración!$C$5,1,1),B757&gt;=DATE(Configuración!$C$5+1,1,1)),"Fecha fuera del año",IF(OR(G757&lt;0,H757&lt;0),"Revisar signo",IF(AND(C757&lt;&gt;"Servicio",H757&lt;&gt;0),"IVA solo en Servicio",IF(AND(C757="Servicio",F757=""),"Falta servicio","OK")))))))))</f>
        <v/>
      </c>
    </row>
    <row r="758" spans="1:12" ht="22" customHeight="1">
      <c r="A758" s="3"/>
      <c r="B758" s="7"/>
      <c r="C758" s="3"/>
      <c r="D758" s="3"/>
      <c r="E758" s="3"/>
      <c r="F758" s="3"/>
      <c r="G758" s="4"/>
      <c r="H758" s="4"/>
      <c r="I758" s="3"/>
      <c r="J758" s="3"/>
      <c r="K758" s="8" t="str">
        <f t="shared" si="11"/>
        <v/>
      </c>
      <c r="L758" s="1" t="str">
        <f>IF(COUNTA(A758:J758)=0,"",IF(OR(AND(C758&lt;&gt;"Servicio",C758&lt;&gt;"Cobro",C758&lt;&gt;"Anticipo",C758&lt;&gt;"Aplicación anticipo",C758&lt;&gt;"Retención ISR",C758&lt;&gt;"Retención IVA"),AND(C758="Servicio",F758&lt;&gt;"TMS",F758&lt;&gt;"Valoración",F758&lt;&gt;"EEG",F758&lt;&gt;"Neurofeedback",F758&lt;&gt;"Fotobiomodulación",F758&lt;&gt;"Psicoterapia",F758&lt;&gt;"Otros")),"Tipo o categoría inválido",IF(COUNTA(A758:J758)=0,"",IF(OR(A758="",B758="",C758="",G758=""),"Faltan datos",IF(COUNTIF($A$7:$A$2006,A758)&gt;1,"ID duplicado",IF(OR(B758&lt;DATE(Configuración!$C$5,1,1),B758&gt;=DATE(Configuración!$C$5+1,1,1)),"Fecha fuera del año",IF(OR(G758&lt;0,H758&lt;0),"Revisar signo",IF(AND(C758&lt;&gt;"Servicio",H758&lt;&gt;0),"IVA solo en Servicio",IF(AND(C758="Servicio",F758=""),"Falta servicio","OK")))))))))</f>
        <v/>
      </c>
    </row>
    <row r="759" spans="1:12" ht="22" customHeight="1">
      <c r="A759" s="3"/>
      <c r="B759" s="7"/>
      <c r="C759" s="3"/>
      <c r="D759" s="3"/>
      <c r="E759" s="3"/>
      <c r="F759" s="3"/>
      <c r="G759" s="4"/>
      <c r="H759" s="4"/>
      <c r="I759" s="3"/>
      <c r="J759" s="3"/>
      <c r="K759" s="8" t="str">
        <f t="shared" si="11"/>
        <v/>
      </c>
      <c r="L759" s="1" t="str">
        <f>IF(COUNTA(A759:J759)=0,"",IF(OR(AND(C759&lt;&gt;"Servicio",C759&lt;&gt;"Cobro",C759&lt;&gt;"Anticipo",C759&lt;&gt;"Aplicación anticipo",C759&lt;&gt;"Retención ISR",C759&lt;&gt;"Retención IVA"),AND(C759="Servicio",F759&lt;&gt;"TMS",F759&lt;&gt;"Valoración",F759&lt;&gt;"EEG",F759&lt;&gt;"Neurofeedback",F759&lt;&gt;"Fotobiomodulación",F759&lt;&gt;"Psicoterapia",F759&lt;&gt;"Otros")),"Tipo o categoría inválido",IF(COUNTA(A759:J759)=0,"",IF(OR(A759="",B759="",C759="",G759=""),"Faltan datos",IF(COUNTIF($A$7:$A$2006,A759)&gt;1,"ID duplicado",IF(OR(B759&lt;DATE(Configuración!$C$5,1,1),B759&gt;=DATE(Configuración!$C$5+1,1,1)),"Fecha fuera del año",IF(OR(G759&lt;0,H759&lt;0),"Revisar signo",IF(AND(C759&lt;&gt;"Servicio",H759&lt;&gt;0),"IVA solo en Servicio",IF(AND(C759="Servicio",F759=""),"Falta servicio","OK")))))))))</f>
        <v/>
      </c>
    </row>
    <row r="760" spans="1:12" ht="22" customHeight="1">
      <c r="A760" s="3"/>
      <c r="B760" s="7"/>
      <c r="C760" s="3"/>
      <c r="D760" s="3"/>
      <c r="E760" s="3"/>
      <c r="F760" s="3"/>
      <c r="G760" s="4"/>
      <c r="H760" s="4"/>
      <c r="I760" s="3"/>
      <c r="J760" s="3"/>
      <c r="K760" s="8" t="str">
        <f t="shared" si="11"/>
        <v/>
      </c>
      <c r="L760" s="1" t="str">
        <f>IF(COUNTA(A760:J760)=0,"",IF(OR(AND(C760&lt;&gt;"Servicio",C760&lt;&gt;"Cobro",C760&lt;&gt;"Anticipo",C760&lt;&gt;"Aplicación anticipo",C760&lt;&gt;"Retención ISR",C760&lt;&gt;"Retención IVA"),AND(C760="Servicio",F760&lt;&gt;"TMS",F760&lt;&gt;"Valoración",F760&lt;&gt;"EEG",F760&lt;&gt;"Neurofeedback",F760&lt;&gt;"Fotobiomodulación",F760&lt;&gt;"Psicoterapia",F760&lt;&gt;"Otros")),"Tipo o categoría inválido",IF(COUNTA(A760:J760)=0,"",IF(OR(A760="",B760="",C760="",G760=""),"Faltan datos",IF(COUNTIF($A$7:$A$2006,A760)&gt;1,"ID duplicado",IF(OR(B760&lt;DATE(Configuración!$C$5,1,1),B760&gt;=DATE(Configuración!$C$5+1,1,1)),"Fecha fuera del año",IF(OR(G760&lt;0,H760&lt;0),"Revisar signo",IF(AND(C760&lt;&gt;"Servicio",H760&lt;&gt;0),"IVA solo en Servicio",IF(AND(C760="Servicio",F760=""),"Falta servicio","OK")))))))))</f>
        <v/>
      </c>
    </row>
    <row r="761" spans="1:12" ht="22" customHeight="1">
      <c r="A761" s="3"/>
      <c r="B761" s="7"/>
      <c r="C761" s="3"/>
      <c r="D761" s="3"/>
      <c r="E761" s="3"/>
      <c r="F761" s="3"/>
      <c r="G761" s="4"/>
      <c r="H761" s="4"/>
      <c r="I761" s="3"/>
      <c r="J761" s="3"/>
      <c r="K761" s="8" t="str">
        <f t="shared" si="11"/>
        <v/>
      </c>
      <c r="L761" s="1" t="str">
        <f>IF(COUNTA(A761:J761)=0,"",IF(OR(AND(C761&lt;&gt;"Servicio",C761&lt;&gt;"Cobro",C761&lt;&gt;"Anticipo",C761&lt;&gt;"Aplicación anticipo",C761&lt;&gt;"Retención ISR",C761&lt;&gt;"Retención IVA"),AND(C761="Servicio",F761&lt;&gt;"TMS",F761&lt;&gt;"Valoración",F761&lt;&gt;"EEG",F761&lt;&gt;"Neurofeedback",F761&lt;&gt;"Fotobiomodulación",F761&lt;&gt;"Psicoterapia",F761&lt;&gt;"Otros")),"Tipo o categoría inválido",IF(COUNTA(A761:J761)=0,"",IF(OR(A761="",B761="",C761="",G761=""),"Faltan datos",IF(COUNTIF($A$7:$A$2006,A761)&gt;1,"ID duplicado",IF(OR(B761&lt;DATE(Configuración!$C$5,1,1),B761&gt;=DATE(Configuración!$C$5+1,1,1)),"Fecha fuera del año",IF(OR(G761&lt;0,H761&lt;0),"Revisar signo",IF(AND(C761&lt;&gt;"Servicio",H761&lt;&gt;0),"IVA solo en Servicio",IF(AND(C761="Servicio",F761=""),"Falta servicio","OK")))))))))</f>
        <v/>
      </c>
    </row>
    <row r="762" spans="1:12" ht="22" customHeight="1">
      <c r="A762" s="3"/>
      <c r="B762" s="7"/>
      <c r="C762" s="3"/>
      <c r="D762" s="3"/>
      <c r="E762" s="3"/>
      <c r="F762" s="3"/>
      <c r="G762" s="4"/>
      <c r="H762" s="4"/>
      <c r="I762" s="3"/>
      <c r="J762" s="3"/>
      <c r="K762" s="8" t="str">
        <f t="shared" si="11"/>
        <v/>
      </c>
      <c r="L762" s="1" t="str">
        <f>IF(COUNTA(A762:J762)=0,"",IF(OR(AND(C762&lt;&gt;"Servicio",C762&lt;&gt;"Cobro",C762&lt;&gt;"Anticipo",C762&lt;&gt;"Aplicación anticipo",C762&lt;&gt;"Retención ISR",C762&lt;&gt;"Retención IVA"),AND(C762="Servicio",F762&lt;&gt;"TMS",F762&lt;&gt;"Valoración",F762&lt;&gt;"EEG",F762&lt;&gt;"Neurofeedback",F762&lt;&gt;"Fotobiomodulación",F762&lt;&gt;"Psicoterapia",F762&lt;&gt;"Otros")),"Tipo o categoría inválido",IF(COUNTA(A762:J762)=0,"",IF(OR(A762="",B762="",C762="",G762=""),"Faltan datos",IF(COUNTIF($A$7:$A$2006,A762)&gt;1,"ID duplicado",IF(OR(B762&lt;DATE(Configuración!$C$5,1,1),B762&gt;=DATE(Configuración!$C$5+1,1,1)),"Fecha fuera del año",IF(OR(G762&lt;0,H762&lt;0),"Revisar signo",IF(AND(C762&lt;&gt;"Servicio",H762&lt;&gt;0),"IVA solo en Servicio",IF(AND(C762="Servicio",F762=""),"Falta servicio","OK")))))))))</f>
        <v/>
      </c>
    </row>
    <row r="763" spans="1:12" ht="22" customHeight="1">
      <c r="A763" s="3"/>
      <c r="B763" s="7"/>
      <c r="C763" s="3"/>
      <c r="D763" s="3"/>
      <c r="E763" s="3"/>
      <c r="F763" s="3"/>
      <c r="G763" s="4"/>
      <c r="H763" s="4"/>
      <c r="I763" s="3"/>
      <c r="J763" s="3"/>
      <c r="K763" s="8" t="str">
        <f t="shared" si="11"/>
        <v/>
      </c>
      <c r="L763" s="1" t="str">
        <f>IF(COUNTA(A763:J763)=0,"",IF(OR(AND(C763&lt;&gt;"Servicio",C763&lt;&gt;"Cobro",C763&lt;&gt;"Anticipo",C763&lt;&gt;"Aplicación anticipo",C763&lt;&gt;"Retención ISR",C763&lt;&gt;"Retención IVA"),AND(C763="Servicio",F763&lt;&gt;"TMS",F763&lt;&gt;"Valoración",F763&lt;&gt;"EEG",F763&lt;&gt;"Neurofeedback",F763&lt;&gt;"Fotobiomodulación",F763&lt;&gt;"Psicoterapia",F763&lt;&gt;"Otros")),"Tipo o categoría inválido",IF(COUNTA(A763:J763)=0,"",IF(OR(A763="",B763="",C763="",G763=""),"Faltan datos",IF(COUNTIF($A$7:$A$2006,A763)&gt;1,"ID duplicado",IF(OR(B763&lt;DATE(Configuración!$C$5,1,1),B763&gt;=DATE(Configuración!$C$5+1,1,1)),"Fecha fuera del año",IF(OR(G763&lt;0,H763&lt;0),"Revisar signo",IF(AND(C763&lt;&gt;"Servicio",H763&lt;&gt;0),"IVA solo en Servicio",IF(AND(C763="Servicio",F763=""),"Falta servicio","OK")))))))))</f>
        <v/>
      </c>
    </row>
    <row r="764" spans="1:12" ht="22" customHeight="1">
      <c r="A764" s="3"/>
      <c r="B764" s="7"/>
      <c r="C764" s="3"/>
      <c r="D764" s="3"/>
      <c r="E764" s="3"/>
      <c r="F764" s="3"/>
      <c r="G764" s="4"/>
      <c r="H764" s="4"/>
      <c r="I764" s="3"/>
      <c r="J764" s="3"/>
      <c r="K764" s="8" t="str">
        <f t="shared" si="11"/>
        <v/>
      </c>
      <c r="L764" s="1" t="str">
        <f>IF(COUNTA(A764:J764)=0,"",IF(OR(AND(C764&lt;&gt;"Servicio",C764&lt;&gt;"Cobro",C764&lt;&gt;"Anticipo",C764&lt;&gt;"Aplicación anticipo",C764&lt;&gt;"Retención ISR",C764&lt;&gt;"Retención IVA"),AND(C764="Servicio",F764&lt;&gt;"TMS",F764&lt;&gt;"Valoración",F764&lt;&gt;"EEG",F764&lt;&gt;"Neurofeedback",F764&lt;&gt;"Fotobiomodulación",F764&lt;&gt;"Psicoterapia",F764&lt;&gt;"Otros")),"Tipo o categoría inválido",IF(COUNTA(A764:J764)=0,"",IF(OR(A764="",B764="",C764="",G764=""),"Faltan datos",IF(COUNTIF($A$7:$A$2006,A764)&gt;1,"ID duplicado",IF(OR(B764&lt;DATE(Configuración!$C$5,1,1),B764&gt;=DATE(Configuración!$C$5+1,1,1)),"Fecha fuera del año",IF(OR(G764&lt;0,H764&lt;0),"Revisar signo",IF(AND(C764&lt;&gt;"Servicio",H764&lt;&gt;0),"IVA solo en Servicio",IF(AND(C764="Servicio",F764=""),"Falta servicio","OK")))))))))</f>
        <v/>
      </c>
    </row>
    <row r="765" spans="1:12" ht="22" customHeight="1">
      <c r="A765" s="3"/>
      <c r="B765" s="7"/>
      <c r="C765" s="3"/>
      <c r="D765" s="3"/>
      <c r="E765" s="3"/>
      <c r="F765" s="3"/>
      <c r="G765" s="4"/>
      <c r="H765" s="4"/>
      <c r="I765" s="3"/>
      <c r="J765" s="3"/>
      <c r="K765" s="8" t="str">
        <f t="shared" si="11"/>
        <v/>
      </c>
      <c r="L765" s="1" t="str">
        <f>IF(COUNTA(A765:J765)=0,"",IF(OR(AND(C765&lt;&gt;"Servicio",C765&lt;&gt;"Cobro",C765&lt;&gt;"Anticipo",C765&lt;&gt;"Aplicación anticipo",C765&lt;&gt;"Retención ISR",C765&lt;&gt;"Retención IVA"),AND(C765="Servicio",F765&lt;&gt;"TMS",F765&lt;&gt;"Valoración",F765&lt;&gt;"EEG",F765&lt;&gt;"Neurofeedback",F765&lt;&gt;"Fotobiomodulación",F765&lt;&gt;"Psicoterapia",F765&lt;&gt;"Otros")),"Tipo o categoría inválido",IF(COUNTA(A765:J765)=0,"",IF(OR(A765="",B765="",C765="",G765=""),"Faltan datos",IF(COUNTIF($A$7:$A$2006,A765)&gt;1,"ID duplicado",IF(OR(B765&lt;DATE(Configuración!$C$5,1,1),B765&gt;=DATE(Configuración!$C$5+1,1,1)),"Fecha fuera del año",IF(OR(G765&lt;0,H765&lt;0),"Revisar signo",IF(AND(C765&lt;&gt;"Servicio",H765&lt;&gt;0),"IVA solo en Servicio",IF(AND(C765="Servicio",F765=""),"Falta servicio","OK")))))))))</f>
        <v/>
      </c>
    </row>
    <row r="766" spans="1:12" ht="22" customHeight="1">
      <c r="A766" s="3"/>
      <c r="B766" s="7"/>
      <c r="C766" s="3"/>
      <c r="D766" s="3"/>
      <c r="E766" s="3"/>
      <c r="F766" s="3"/>
      <c r="G766" s="4"/>
      <c r="H766" s="4"/>
      <c r="I766" s="3"/>
      <c r="J766" s="3"/>
      <c r="K766" s="8" t="str">
        <f t="shared" si="11"/>
        <v/>
      </c>
      <c r="L766" s="1" t="str">
        <f>IF(COUNTA(A766:J766)=0,"",IF(OR(AND(C766&lt;&gt;"Servicio",C766&lt;&gt;"Cobro",C766&lt;&gt;"Anticipo",C766&lt;&gt;"Aplicación anticipo",C766&lt;&gt;"Retención ISR",C766&lt;&gt;"Retención IVA"),AND(C766="Servicio",F766&lt;&gt;"TMS",F766&lt;&gt;"Valoración",F766&lt;&gt;"EEG",F766&lt;&gt;"Neurofeedback",F766&lt;&gt;"Fotobiomodulación",F766&lt;&gt;"Psicoterapia",F766&lt;&gt;"Otros")),"Tipo o categoría inválido",IF(COUNTA(A766:J766)=0,"",IF(OR(A766="",B766="",C766="",G766=""),"Faltan datos",IF(COUNTIF($A$7:$A$2006,A766)&gt;1,"ID duplicado",IF(OR(B766&lt;DATE(Configuración!$C$5,1,1),B766&gt;=DATE(Configuración!$C$5+1,1,1)),"Fecha fuera del año",IF(OR(G766&lt;0,H766&lt;0),"Revisar signo",IF(AND(C766&lt;&gt;"Servicio",H766&lt;&gt;0),"IVA solo en Servicio",IF(AND(C766="Servicio",F766=""),"Falta servicio","OK")))))))))</f>
        <v/>
      </c>
    </row>
    <row r="767" spans="1:12" ht="22" customHeight="1">
      <c r="A767" s="3"/>
      <c r="B767" s="7"/>
      <c r="C767" s="3"/>
      <c r="D767" s="3"/>
      <c r="E767" s="3"/>
      <c r="F767" s="3"/>
      <c r="G767" s="4"/>
      <c r="H767" s="4"/>
      <c r="I767" s="3"/>
      <c r="J767" s="3"/>
      <c r="K767" s="8" t="str">
        <f t="shared" si="11"/>
        <v/>
      </c>
      <c r="L767" s="1" t="str">
        <f>IF(COUNTA(A767:J767)=0,"",IF(OR(AND(C767&lt;&gt;"Servicio",C767&lt;&gt;"Cobro",C767&lt;&gt;"Anticipo",C767&lt;&gt;"Aplicación anticipo",C767&lt;&gt;"Retención ISR",C767&lt;&gt;"Retención IVA"),AND(C767="Servicio",F767&lt;&gt;"TMS",F767&lt;&gt;"Valoración",F767&lt;&gt;"EEG",F767&lt;&gt;"Neurofeedback",F767&lt;&gt;"Fotobiomodulación",F767&lt;&gt;"Psicoterapia",F767&lt;&gt;"Otros")),"Tipo o categoría inválido",IF(COUNTA(A767:J767)=0,"",IF(OR(A767="",B767="",C767="",G767=""),"Faltan datos",IF(COUNTIF($A$7:$A$2006,A767)&gt;1,"ID duplicado",IF(OR(B767&lt;DATE(Configuración!$C$5,1,1),B767&gt;=DATE(Configuración!$C$5+1,1,1)),"Fecha fuera del año",IF(OR(G767&lt;0,H767&lt;0),"Revisar signo",IF(AND(C767&lt;&gt;"Servicio",H767&lt;&gt;0),"IVA solo en Servicio",IF(AND(C767="Servicio",F767=""),"Falta servicio","OK")))))))))</f>
        <v/>
      </c>
    </row>
    <row r="768" spans="1:12" ht="22" customHeight="1">
      <c r="A768" s="3"/>
      <c r="B768" s="7"/>
      <c r="C768" s="3"/>
      <c r="D768" s="3"/>
      <c r="E768" s="3"/>
      <c r="F768" s="3"/>
      <c r="G768" s="4"/>
      <c r="H768" s="4"/>
      <c r="I768" s="3"/>
      <c r="J768" s="3"/>
      <c r="K768" s="8" t="str">
        <f t="shared" si="11"/>
        <v/>
      </c>
      <c r="L768" s="1" t="str">
        <f>IF(COUNTA(A768:J768)=0,"",IF(OR(AND(C768&lt;&gt;"Servicio",C768&lt;&gt;"Cobro",C768&lt;&gt;"Anticipo",C768&lt;&gt;"Aplicación anticipo",C768&lt;&gt;"Retención ISR",C768&lt;&gt;"Retención IVA"),AND(C768="Servicio",F768&lt;&gt;"TMS",F768&lt;&gt;"Valoración",F768&lt;&gt;"EEG",F768&lt;&gt;"Neurofeedback",F768&lt;&gt;"Fotobiomodulación",F768&lt;&gt;"Psicoterapia",F768&lt;&gt;"Otros")),"Tipo o categoría inválido",IF(COUNTA(A768:J768)=0,"",IF(OR(A768="",B768="",C768="",G768=""),"Faltan datos",IF(COUNTIF($A$7:$A$2006,A768)&gt;1,"ID duplicado",IF(OR(B768&lt;DATE(Configuración!$C$5,1,1),B768&gt;=DATE(Configuración!$C$5+1,1,1)),"Fecha fuera del año",IF(OR(G768&lt;0,H768&lt;0),"Revisar signo",IF(AND(C768&lt;&gt;"Servicio",H768&lt;&gt;0),"IVA solo en Servicio",IF(AND(C768="Servicio",F768=""),"Falta servicio","OK")))))))))</f>
        <v/>
      </c>
    </row>
    <row r="769" spans="1:12" ht="22" customHeight="1">
      <c r="A769" s="3"/>
      <c r="B769" s="7"/>
      <c r="C769" s="3"/>
      <c r="D769" s="3"/>
      <c r="E769" s="3"/>
      <c r="F769" s="3"/>
      <c r="G769" s="4"/>
      <c r="H769" s="4"/>
      <c r="I769" s="3"/>
      <c r="J769" s="3"/>
      <c r="K769" s="8" t="str">
        <f t="shared" si="11"/>
        <v/>
      </c>
      <c r="L769" s="1" t="str">
        <f>IF(COUNTA(A769:J769)=0,"",IF(OR(AND(C769&lt;&gt;"Servicio",C769&lt;&gt;"Cobro",C769&lt;&gt;"Anticipo",C769&lt;&gt;"Aplicación anticipo",C769&lt;&gt;"Retención ISR",C769&lt;&gt;"Retención IVA"),AND(C769="Servicio",F769&lt;&gt;"TMS",F769&lt;&gt;"Valoración",F769&lt;&gt;"EEG",F769&lt;&gt;"Neurofeedback",F769&lt;&gt;"Fotobiomodulación",F769&lt;&gt;"Psicoterapia",F769&lt;&gt;"Otros")),"Tipo o categoría inválido",IF(COUNTA(A769:J769)=0,"",IF(OR(A769="",B769="",C769="",G769=""),"Faltan datos",IF(COUNTIF($A$7:$A$2006,A769)&gt;1,"ID duplicado",IF(OR(B769&lt;DATE(Configuración!$C$5,1,1),B769&gt;=DATE(Configuración!$C$5+1,1,1)),"Fecha fuera del año",IF(OR(G769&lt;0,H769&lt;0),"Revisar signo",IF(AND(C769&lt;&gt;"Servicio",H769&lt;&gt;0),"IVA solo en Servicio",IF(AND(C769="Servicio",F769=""),"Falta servicio","OK")))))))))</f>
        <v/>
      </c>
    </row>
    <row r="770" spans="1:12" ht="22" customHeight="1">
      <c r="A770" s="3"/>
      <c r="B770" s="7"/>
      <c r="C770" s="3"/>
      <c r="D770" s="3"/>
      <c r="E770" s="3"/>
      <c r="F770" s="3"/>
      <c r="G770" s="4"/>
      <c r="H770" s="4"/>
      <c r="I770" s="3"/>
      <c r="J770" s="3"/>
      <c r="K770" s="8" t="str">
        <f t="shared" si="11"/>
        <v/>
      </c>
      <c r="L770" s="1" t="str">
        <f>IF(COUNTA(A770:J770)=0,"",IF(OR(AND(C770&lt;&gt;"Servicio",C770&lt;&gt;"Cobro",C770&lt;&gt;"Anticipo",C770&lt;&gt;"Aplicación anticipo",C770&lt;&gt;"Retención ISR",C770&lt;&gt;"Retención IVA"),AND(C770="Servicio",F770&lt;&gt;"TMS",F770&lt;&gt;"Valoración",F770&lt;&gt;"EEG",F770&lt;&gt;"Neurofeedback",F770&lt;&gt;"Fotobiomodulación",F770&lt;&gt;"Psicoterapia",F770&lt;&gt;"Otros")),"Tipo o categoría inválido",IF(COUNTA(A770:J770)=0,"",IF(OR(A770="",B770="",C770="",G770=""),"Faltan datos",IF(COUNTIF($A$7:$A$2006,A770)&gt;1,"ID duplicado",IF(OR(B770&lt;DATE(Configuración!$C$5,1,1),B770&gt;=DATE(Configuración!$C$5+1,1,1)),"Fecha fuera del año",IF(OR(G770&lt;0,H770&lt;0),"Revisar signo",IF(AND(C770&lt;&gt;"Servicio",H770&lt;&gt;0),"IVA solo en Servicio",IF(AND(C770="Servicio",F770=""),"Falta servicio","OK")))))))))</f>
        <v/>
      </c>
    </row>
    <row r="771" spans="1:12" ht="22" customHeight="1">
      <c r="A771" s="3"/>
      <c r="B771" s="7"/>
      <c r="C771" s="3"/>
      <c r="D771" s="3"/>
      <c r="E771" s="3"/>
      <c r="F771" s="3"/>
      <c r="G771" s="4"/>
      <c r="H771" s="4"/>
      <c r="I771" s="3"/>
      <c r="J771" s="3"/>
      <c r="K771" s="8" t="str">
        <f t="shared" si="11"/>
        <v/>
      </c>
      <c r="L771" s="1" t="str">
        <f>IF(COUNTA(A771:J771)=0,"",IF(OR(AND(C771&lt;&gt;"Servicio",C771&lt;&gt;"Cobro",C771&lt;&gt;"Anticipo",C771&lt;&gt;"Aplicación anticipo",C771&lt;&gt;"Retención ISR",C771&lt;&gt;"Retención IVA"),AND(C771="Servicio",F771&lt;&gt;"TMS",F771&lt;&gt;"Valoración",F771&lt;&gt;"EEG",F771&lt;&gt;"Neurofeedback",F771&lt;&gt;"Fotobiomodulación",F771&lt;&gt;"Psicoterapia",F771&lt;&gt;"Otros")),"Tipo o categoría inválido",IF(COUNTA(A771:J771)=0,"",IF(OR(A771="",B771="",C771="",G771=""),"Faltan datos",IF(COUNTIF($A$7:$A$2006,A771)&gt;1,"ID duplicado",IF(OR(B771&lt;DATE(Configuración!$C$5,1,1),B771&gt;=DATE(Configuración!$C$5+1,1,1)),"Fecha fuera del año",IF(OR(G771&lt;0,H771&lt;0),"Revisar signo",IF(AND(C771&lt;&gt;"Servicio",H771&lt;&gt;0),"IVA solo en Servicio",IF(AND(C771="Servicio",F771=""),"Falta servicio","OK")))))))))</f>
        <v/>
      </c>
    </row>
    <row r="772" spans="1:12" ht="22" customHeight="1">
      <c r="A772" s="3"/>
      <c r="B772" s="7"/>
      <c r="C772" s="3"/>
      <c r="D772" s="3"/>
      <c r="E772" s="3"/>
      <c r="F772" s="3"/>
      <c r="G772" s="4"/>
      <c r="H772" s="4"/>
      <c r="I772" s="3"/>
      <c r="J772" s="3"/>
      <c r="K772" s="8" t="str">
        <f t="shared" si="11"/>
        <v/>
      </c>
      <c r="L772" s="1" t="str">
        <f>IF(COUNTA(A772:J772)=0,"",IF(OR(AND(C772&lt;&gt;"Servicio",C772&lt;&gt;"Cobro",C772&lt;&gt;"Anticipo",C772&lt;&gt;"Aplicación anticipo",C772&lt;&gt;"Retención ISR",C772&lt;&gt;"Retención IVA"),AND(C772="Servicio",F772&lt;&gt;"TMS",F772&lt;&gt;"Valoración",F772&lt;&gt;"EEG",F772&lt;&gt;"Neurofeedback",F772&lt;&gt;"Fotobiomodulación",F772&lt;&gt;"Psicoterapia",F772&lt;&gt;"Otros")),"Tipo o categoría inválido",IF(COUNTA(A772:J772)=0,"",IF(OR(A772="",B772="",C772="",G772=""),"Faltan datos",IF(COUNTIF($A$7:$A$2006,A772)&gt;1,"ID duplicado",IF(OR(B772&lt;DATE(Configuración!$C$5,1,1),B772&gt;=DATE(Configuración!$C$5+1,1,1)),"Fecha fuera del año",IF(OR(G772&lt;0,H772&lt;0),"Revisar signo",IF(AND(C772&lt;&gt;"Servicio",H772&lt;&gt;0),"IVA solo en Servicio",IF(AND(C772="Servicio",F772=""),"Falta servicio","OK")))))))))</f>
        <v/>
      </c>
    </row>
    <row r="773" spans="1:12" ht="22" customHeight="1">
      <c r="A773" s="3"/>
      <c r="B773" s="7"/>
      <c r="C773" s="3"/>
      <c r="D773" s="3"/>
      <c r="E773" s="3"/>
      <c r="F773" s="3"/>
      <c r="G773" s="4"/>
      <c r="H773" s="4"/>
      <c r="I773" s="3"/>
      <c r="J773" s="3"/>
      <c r="K773" s="8" t="str">
        <f t="shared" si="11"/>
        <v/>
      </c>
      <c r="L773" s="1" t="str">
        <f>IF(COUNTA(A773:J773)=0,"",IF(OR(AND(C773&lt;&gt;"Servicio",C773&lt;&gt;"Cobro",C773&lt;&gt;"Anticipo",C773&lt;&gt;"Aplicación anticipo",C773&lt;&gt;"Retención ISR",C773&lt;&gt;"Retención IVA"),AND(C773="Servicio",F773&lt;&gt;"TMS",F773&lt;&gt;"Valoración",F773&lt;&gt;"EEG",F773&lt;&gt;"Neurofeedback",F773&lt;&gt;"Fotobiomodulación",F773&lt;&gt;"Psicoterapia",F773&lt;&gt;"Otros")),"Tipo o categoría inválido",IF(COUNTA(A773:J773)=0,"",IF(OR(A773="",B773="",C773="",G773=""),"Faltan datos",IF(COUNTIF($A$7:$A$2006,A773)&gt;1,"ID duplicado",IF(OR(B773&lt;DATE(Configuración!$C$5,1,1),B773&gt;=DATE(Configuración!$C$5+1,1,1)),"Fecha fuera del año",IF(OR(G773&lt;0,H773&lt;0),"Revisar signo",IF(AND(C773&lt;&gt;"Servicio",H773&lt;&gt;0),"IVA solo en Servicio",IF(AND(C773="Servicio",F773=""),"Falta servicio","OK")))))))))</f>
        <v/>
      </c>
    </row>
    <row r="774" spans="1:12" ht="22" customHeight="1">
      <c r="A774" s="3"/>
      <c r="B774" s="7"/>
      <c r="C774" s="3"/>
      <c r="D774" s="3"/>
      <c r="E774" s="3"/>
      <c r="F774" s="3"/>
      <c r="G774" s="4"/>
      <c r="H774" s="4"/>
      <c r="I774" s="3"/>
      <c r="J774" s="3"/>
      <c r="K774" s="8" t="str">
        <f t="shared" si="11"/>
        <v/>
      </c>
      <c r="L774" s="1" t="str">
        <f>IF(COUNTA(A774:J774)=0,"",IF(OR(AND(C774&lt;&gt;"Servicio",C774&lt;&gt;"Cobro",C774&lt;&gt;"Anticipo",C774&lt;&gt;"Aplicación anticipo",C774&lt;&gt;"Retención ISR",C774&lt;&gt;"Retención IVA"),AND(C774="Servicio",F774&lt;&gt;"TMS",F774&lt;&gt;"Valoración",F774&lt;&gt;"EEG",F774&lt;&gt;"Neurofeedback",F774&lt;&gt;"Fotobiomodulación",F774&lt;&gt;"Psicoterapia",F774&lt;&gt;"Otros")),"Tipo o categoría inválido",IF(COUNTA(A774:J774)=0,"",IF(OR(A774="",B774="",C774="",G774=""),"Faltan datos",IF(COUNTIF($A$7:$A$2006,A774)&gt;1,"ID duplicado",IF(OR(B774&lt;DATE(Configuración!$C$5,1,1),B774&gt;=DATE(Configuración!$C$5+1,1,1)),"Fecha fuera del año",IF(OR(G774&lt;0,H774&lt;0),"Revisar signo",IF(AND(C774&lt;&gt;"Servicio",H774&lt;&gt;0),"IVA solo en Servicio",IF(AND(C774="Servicio",F774=""),"Falta servicio","OK")))))))))</f>
        <v/>
      </c>
    </row>
    <row r="775" spans="1:12" ht="22" customHeight="1">
      <c r="A775" s="3"/>
      <c r="B775" s="7"/>
      <c r="C775" s="3"/>
      <c r="D775" s="3"/>
      <c r="E775" s="3"/>
      <c r="F775" s="3"/>
      <c r="G775" s="4"/>
      <c r="H775" s="4"/>
      <c r="I775" s="3"/>
      <c r="J775" s="3"/>
      <c r="K775" s="8" t="str">
        <f t="shared" ref="K775:K838" si="12">IF(A775="","",G775+H775)</f>
        <v/>
      </c>
      <c r="L775" s="1" t="str">
        <f>IF(COUNTA(A775:J775)=0,"",IF(OR(AND(C775&lt;&gt;"Servicio",C775&lt;&gt;"Cobro",C775&lt;&gt;"Anticipo",C775&lt;&gt;"Aplicación anticipo",C775&lt;&gt;"Retención ISR",C775&lt;&gt;"Retención IVA"),AND(C775="Servicio",F775&lt;&gt;"TMS",F775&lt;&gt;"Valoración",F775&lt;&gt;"EEG",F775&lt;&gt;"Neurofeedback",F775&lt;&gt;"Fotobiomodulación",F775&lt;&gt;"Psicoterapia",F775&lt;&gt;"Otros")),"Tipo o categoría inválido",IF(COUNTA(A775:J775)=0,"",IF(OR(A775="",B775="",C775="",G775=""),"Faltan datos",IF(COUNTIF($A$7:$A$2006,A775)&gt;1,"ID duplicado",IF(OR(B775&lt;DATE(Configuración!$C$5,1,1),B775&gt;=DATE(Configuración!$C$5+1,1,1)),"Fecha fuera del año",IF(OR(G775&lt;0,H775&lt;0),"Revisar signo",IF(AND(C775&lt;&gt;"Servicio",H775&lt;&gt;0),"IVA solo en Servicio",IF(AND(C775="Servicio",F775=""),"Falta servicio","OK")))))))))</f>
        <v/>
      </c>
    </row>
    <row r="776" spans="1:12" ht="22" customHeight="1">
      <c r="A776" s="3"/>
      <c r="B776" s="7"/>
      <c r="C776" s="3"/>
      <c r="D776" s="3"/>
      <c r="E776" s="3"/>
      <c r="F776" s="3"/>
      <c r="G776" s="4"/>
      <c r="H776" s="4"/>
      <c r="I776" s="3"/>
      <c r="J776" s="3"/>
      <c r="K776" s="8" t="str">
        <f t="shared" si="12"/>
        <v/>
      </c>
      <c r="L776" s="1" t="str">
        <f>IF(COUNTA(A776:J776)=0,"",IF(OR(AND(C776&lt;&gt;"Servicio",C776&lt;&gt;"Cobro",C776&lt;&gt;"Anticipo",C776&lt;&gt;"Aplicación anticipo",C776&lt;&gt;"Retención ISR",C776&lt;&gt;"Retención IVA"),AND(C776="Servicio",F776&lt;&gt;"TMS",F776&lt;&gt;"Valoración",F776&lt;&gt;"EEG",F776&lt;&gt;"Neurofeedback",F776&lt;&gt;"Fotobiomodulación",F776&lt;&gt;"Psicoterapia",F776&lt;&gt;"Otros")),"Tipo o categoría inválido",IF(COUNTA(A776:J776)=0,"",IF(OR(A776="",B776="",C776="",G776=""),"Faltan datos",IF(COUNTIF($A$7:$A$2006,A776)&gt;1,"ID duplicado",IF(OR(B776&lt;DATE(Configuración!$C$5,1,1),B776&gt;=DATE(Configuración!$C$5+1,1,1)),"Fecha fuera del año",IF(OR(G776&lt;0,H776&lt;0),"Revisar signo",IF(AND(C776&lt;&gt;"Servicio",H776&lt;&gt;0),"IVA solo en Servicio",IF(AND(C776="Servicio",F776=""),"Falta servicio","OK")))))))))</f>
        <v/>
      </c>
    </row>
    <row r="777" spans="1:12" ht="22" customHeight="1">
      <c r="A777" s="3"/>
      <c r="B777" s="7"/>
      <c r="C777" s="3"/>
      <c r="D777" s="3"/>
      <c r="E777" s="3"/>
      <c r="F777" s="3"/>
      <c r="G777" s="4"/>
      <c r="H777" s="4"/>
      <c r="I777" s="3"/>
      <c r="J777" s="3"/>
      <c r="K777" s="8" t="str">
        <f t="shared" si="12"/>
        <v/>
      </c>
      <c r="L777" s="1" t="str">
        <f>IF(COUNTA(A777:J777)=0,"",IF(OR(AND(C777&lt;&gt;"Servicio",C777&lt;&gt;"Cobro",C777&lt;&gt;"Anticipo",C777&lt;&gt;"Aplicación anticipo",C777&lt;&gt;"Retención ISR",C777&lt;&gt;"Retención IVA"),AND(C777="Servicio",F777&lt;&gt;"TMS",F777&lt;&gt;"Valoración",F777&lt;&gt;"EEG",F777&lt;&gt;"Neurofeedback",F777&lt;&gt;"Fotobiomodulación",F777&lt;&gt;"Psicoterapia",F777&lt;&gt;"Otros")),"Tipo o categoría inválido",IF(COUNTA(A777:J777)=0,"",IF(OR(A777="",B777="",C777="",G777=""),"Faltan datos",IF(COUNTIF($A$7:$A$2006,A777)&gt;1,"ID duplicado",IF(OR(B777&lt;DATE(Configuración!$C$5,1,1),B777&gt;=DATE(Configuración!$C$5+1,1,1)),"Fecha fuera del año",IF(OR(G777&lt;0,H777&lt;0),"Revisar signo",IF(AND(C777&lt;&gt;"Servicio",H777&lt;&gt;0),"IVA solo en Servicio",IF(AND(C777="Servicio",F777=""),"Falta servicio","OK")))))))))</f>
        <v/>
      </c>
    </row>
    <row r="778" spans="1:12" ht="22" customHeight="1">
      <c r="A778" s="3"/>
      <c r="B778" s="7"/>
      <c r="C778" s="3"/>
      <c r="D778" s="3"/>
      <c r="E778" s="3"/>
      <c r="F778" s="3"/>
      <c r="G778" s="4"/>
      <c r="H778" s="4"/>
      <c r="I778" s="3"/>
      <c r="J778" s="3"/>
      <c r="K778" s="8" t="str">
        <f t="shared" si="12"/>
        <v/>
      </c>
      <c r="L778" s="1" t="str">
        <f>IF(COUNTA(A778:J778)=0,"",IF(OR(AND(C778&lt;&gt;"Servicio",C778&lt;&gt;"Cobro",C778&lt;&gt;"Anticipo",C778&lt;&gt;"Aplicación anticipo",C778&lt;&gt;"Retención ISR",C778&lt;&gt;"Retención IVA"),AND(C778="Servicio",F778&lt;&gt;"TMS",F778&lt;&gt;"Valoración",F778&lt;&gt;"EEG",F778&lt;&gt;"Neurofeedback",F778&lt;&gt;"Fotobiomodulación",F778&lt;&gt;"Psicoterapia",F778&lt;&gt;"Otros")),"Tipo o categoría inválido",IF(COUNTA(A778:J778)=0,"",IF(OR(A778="",B778="",C778="",G778=""),"Faltan datos",IF(COUNTIF($A$7:$A$2006,A778)&gt;1,"ID duplicado",IF(OR(B778&lt;DATE(Configuración!$C$5,1,1),B778&gt;=DATE(Configuración!$C$5+1,1,1)),"Fecha fuera del año",IF(OR(G778&lt;0,H778&lt;0),"Revisar signo",IF(AND(C778&lt;&gt;"Servicio",H778&lt;&gt;0),"IVA solo en Servicio",IF(AND(C778="Servicio",F778=""),"Falta servicio","OK")))))))))</f>
        <v/>
      </c>
    </row>
    <row r="779" spans="1:12" ht="22" customHeight="1">
      <c r="A779" s="3"/>
      <c r="B779" s="7"/>
      <c r="C779" s="3"/>
      <c r="D779" s="3"/>
      <c r="E779" s="3"/>
      <c r="F779" s="3"/>
      <c r="G779" s="4"/>
      <c r="H779" s="4"/>
      <c r="I779" s="3"/>
      <c r="J779" s="3"/>
      <c r="K779" s="8" t="str">
        <f t="shared" si="12"/>
        <v/>
      </c>
      <c r="L779" s="1" t="str">
        <f>IF(COUNTA(A779:J779)=0,"",IF(OR(AND(C779&lt;&gt;"Servicio",C779&lt;&gt;"Cobro",C779&lt;&gt;"Anticipo",C779&lt;&gt;"Aplicación anticipo",C779&lt;&gt;"Retención ISR",C779&lt;&gt;"Retención IVA"),AND(C779="Servicio",F779&lt;&gt;"TMS",F779&lt;&gt;"Valoración",F779&lt;&gt;"EEG",F779&lt;&gt;"Neurofeedback",F779&lt;&gt;"Fotobiomodulación",F779&lt;&gt;"Psicoterapia",F779&lt;&gt;"Otros")),"Tipo o categoría inválido",IF(COUNTA(A779:J779)=0,"",IF(OR(A779="",B779="",C779="",G779=""),"Faltan datos",IF(COUNTIF($A$7:$A$2006,A779)&gt;1,"ID duplicado",IF(OR(B779&lt;DATE(Configuración!$C$5,1,1),B779&gt;=DATE(Configuración!$C$5+1,1,1)),"Fecha fuera del año",IF(OR(G779&lt;0,H779&lt;0),"Revisar signo",IF(AND(C779&lt;&gt;"Servicio",H779&lt;&gt;0),"IVA solo en Servicio",IF(AND(C779="Servicio",F779=""),"Falta servicio","OK")))))))))</f>
        <v/>
      </c>
    </row>
    <row r="780" spans="1:12" ht="22" customHeight="1">
      <c r="A780" s="3"/>
      <c r="B780" s="7"/>
      <c r="C780" s="3"/>
      <c r="D780" s="3"/>
      <c r="E780" s="3"/>
      <c r="F780" s="3"/>
      <c r="G780" s="4"/>
      <c r="H780" s="4"/>
      <c r="I780" s="3"/>
      <c r="J780" s="3"/>
      <c r="K780" s="8" t="str">
        <f t="shared" si="12"/>
        <v/>
      </c>
      <c r="L780" s="1" t="str">
        <f>IF(COUNTA(A780:J780)=0,"",IF(OR(AND(C780&lt;&gt;"Servicio",C780&lt;&gt;"Cobro",C780&lt;&gt;"Anticipo",C780&lt;&gt;"Aplicación anticipo",C780&lt;&gt;"Retención ISR",C780&lt;&gt;"Retención IVA"),AND(C780="Servicio",F780&lt;&gt;"TMS",F780&lt;&gt;"Valoración",F780&lt;&gt;"EEG",F780&lt;&gt;"Neurofeedback",F780&lt;&gt;"Fotobiomodulación",F780&lt;&gt;"Psicoterapia",F780&lt;&gt;"Otros")),"Tipo o categoría inválido",IF(COUNTA(A780:J780)=0,"",IF(OR(A780="",B780="",C780="",G780=""),"Faltan datos",IF(COUNTIF($A$7:$A$2006,A780)&gt;1,"ID duplicado",IF(OR(B780&lt;DATE(Configuración!$C$5,1,1),B780&gt;=DATE(Configuración!$C$5+1,1,1)),"Fecha fuera del año",IF(OR(G780&lt;0,H780&lt;0),"Revisar signo",IF(AND(C780&lt;&gt;"Servicio",H780&lt;&gt;0),"IVA solo en Servicio",IF(AND(C780="Servicio",F780=""),"Falta servicio","OK")))))))))</f>
        <v/>
      </c>
    </row>
    <row r="781" spans="1:12" ht="22" customHeight="1">
      <c r="A781" s="3"/>
      <c r="B781" s="7"/>
      <c r="C781" s="3"/>
      <c r="D781" s="3"/>
      <c r="E781" s="3"/>
      <c r="F781" s="3"/>
      <c r="G781" s="4"/>
      <c r="H781" s="4"/>
      <c r="I781" s="3"/>
      <c r="J781" s="3"/>
      <c r="K781" s="8" t="str">
        <f t="shared" si="12"/>
        <v/>
      </c>
      <c r="L781" s="1" t="str">
        <f>IF(COUNTA(A781:J781)=0,"",IF(OR(AND(C781&lt;&gt;"Servicio",C781&lt;&gt;"Cobro",C781&lt;&gt;"Anticipo",C781&lt;&gt;"Aplicación anticipo",C781&lt;&gt;"Retención ISR",C781&lt;&gt;"Retención IVA"),AND(C781="Servicio",F781&lt;&gt;"TMS",F781&lt;&gt;"Valoración",F781&lt;&gt;"EEG",F781&lt;&gt;"Neurofeedback",F781&lt;&gt;"Fotobiomodulación",F781&lt;&gt;"Psicoterapia",F781&lt;&gt;"Otros")),"Tipo o categoría inválido",IF(COUNTA(A781:J781)=0,"",IF(OR(A781="",B781="",C781="",G781=""),"Faltan datos",IF(COUNTIF($A$7:$A$2006,A781)&gt;1,"ID duplicado",IF(OR(B781&lt;DATE(Configuración!$C$5,1,1),B781&gt;=DATE(Configuración!$C$5+1,1,1)),"Fecha fuera del año",IF(OR(G781&lt;0,H781&lt;0),"Revisar signo",IF(AND(C781&lt;&gt;"Servicio",H781&lt;&gt;0),"IVA solo en Servicio",IF(AND(C781="Servicio",F781=""),"Falta servicio","OK")))))))))</f>
        <v/>
      </c>
    </row>
    <row r="782" spans="1:12" ht="22" customHeight="1">
      <c r="A782" s="3"/>
      <c r="B782" s="7"/>
      <c r="C782" s="3"/>
      <c r="D782" s="3"/>
      <c r="E782" s="3"/>
      <c r="F782" s="3"/>
      <c r="G782" s="4"/>
      <c r="H782" s="4"/>
      <c r="I782" s="3"/>
      <c r="J782" s="3"/>
      <c r="K782" s="8" t="str">
        <f t="shared" si="12"/>
        <v/>
      </c>
      <c r="L782" s="1" t="str">
        <f>IF(COUNTA(A782:J782)=0,"",IF(OR(AND(C782&lt;&gt;"Servicio",C782&lt;&gt;"Cobro",C782&lt;&gt;"Anticipo",C782&lt;&gt;"Aplicación anticipo",C782&lt;&gt;"Retención ISR",C782&lt;&gt;"Retención IVA"),AND(C782="Servicio",F782&lt;&gt;"TMS",F782&lt;&gt;"Valoración",F782&lt;&gt;"EEG",F782&lt;&gt;"Neurofeedback",F782&lt;&gt;"Fotobiomodulación",F782&lt;&gt;"Psicoterapia",F782&lt;&gt;"Otros")),"Tipo o categoría inválido",IF(COUNTA(A782:J782)=0,"",IF(OR(A782="",B782="",C782="",G782=""),"Faltan datos",IF(COUNTIF($A$7:$A$2006,A782)&gt;1,"ID duplicado",IF(OR(B782&lt;DATE(Configuración!$C$5,1,1),B782&gt;=DATE(Configuración!$C$5+1,1,1)),"Fecha fuera del año",IF(OR(G782&lt;0,H782&lt;0),"Revisar signo",IF(AND(C782&lt;&gt;"Servicio",H782&lt;&gt;0),"IVA solo en Servicio",IF(AND(C782="Servicio",F782=""),"Falta servicio","OK")))))))))</f>
        <v/>
      </c>
    </row>
    <row r="783" spans="1:12" ht="22" customHeight="1">
      <c r="A783" s="3"/>
      <c r="B783" s="7"/>
      <c r="C783" s="3"/>
      <c r="D783" s="3"/>
      <c r="E783" s="3"/>
      <c r="F783" s="3"/>
      <c r="G783" s="4"/>
      <c r="H783" s="4"/>
      <c r="I783" s="3"/>
      <c r="J783" s="3"/>
      <c r="K783" s="8" t="str">
        <f t="shared" si="12"/>
        <v/>
      </c>
      <c r="L783" s="1" t="str">
        <f>IF(COUNTA(A783:J783)=0,"",IF(OR(AND(C783&lt;&gt;"Servicio",C783&lt;&gt;"Cobro",C783&lt;&gt;"Anticipo",C783&lt;&gt;"Aplicación anticipo",C783&lt;&gt;"Retención ISR",C783&lt;&gt;"Retención IVA"),AND(C783="Servicio",F783&lt;&gt;"TMS",F783&lt;&gt;"Valoración",F783&lt;&gt;"EEG",F783&lt;&gt;"Neurofeedback",F783&lt;&gt;"Fotobiomodulación",F783&lt;&gt;"Psicoterapia",F783&lt;&gt;"Otros")),"Tipo o categoría inválido",IF(COUNTA(A783:J783)=0,"",IF(OR(A783="",B783="",C783="",G783=""),"Faltan datos",IF(COUNTIF($A$7:$A$2006,A783)&gt;1,"ID duplicado",IF(OR(B783&lt;DATE(Configuración!$C$5,1,1),B783&gt;=DATE(Configuración!$C$5+1,1,1)),"Fecha fuera del año",IF(OR(G783&lt;0,H783&lt;0),"Revisar signo",IF(AND(C783&lt;&gt;"Servicio",H783&lt;&gt;0),"IVA solo en Servicio",IF(AND(C783="Servicio",F783=""),"Falta servicio","OK")))))))))</f>
        <v/>
      </c>
    </row>
    <row r="784" spans="1:12" ht="22" customHeight="1">
      <c r="A784" s="3"/>
      <c r="B784" s="7"/>
      <c r="C784" s="3"/>
      <c r="D784" s="3"/>
      <c r="E784" s="3"/>
      <c r="F784" s="3"/>
      <c r="G784" s="4"/>
      <c r="H784" s="4"/>
      <c r="I784" s="3"/>
      <c r="J784" s="3"/>
      <c r="K784" s="8" t="str">
        <f t="shared" si="12"/>
        <v/>
      </c>
      <c r="L784" s="1" t="str">
        <f>IF(COUNTA(A784:J784)=0,"",IF(OR(AND(C784&lt;&gt;"Servicio",C784&lt;&gt;"Cobro",C784&lt;&gt;"Anticipo",C784&lt;&gt;"Aplicación anticipo",C784&lt;&gt;"Retención ISR",C784&lt;&gt;"Retención IVA"),AND(C784="Servicio",F784&lt;&gt;"TMS",F784&lt;&gt;"Valoración",F784&lt;&gt;"EEG",F784&lt;&gt;"Neurofeedback",F784&lt;&gt;"Fotobiomodulación",F784&lt;&gt;"Psicoterapia",F784&lt;&gt;"Otros")),"Tipo o categoría inválido",IF(COUNTA(A784:J784)=0,"",IF(OR(A784="",B784="",C784="",G784=""),"Faltan datos",IF(COUNTIF($A$7:$A$2006,A784)&gt;1,"ID duplicado",IF(OR(B784&lt;DATE(Configuración!$C$5,1,1),B784&gt;=DATE(Configuración!$C$5+1,1,1)),"Fecha fuera del año",IF(OR(G784&lt;0,H784&lt;0),"Revisar signo",IF(AND(C784&lt;&gt;"Servicio",H784&lt;&gt;0),"IVA solo en Servicio",IF(AND(C784="Servicio",F784=""),"Falta servicio","OK")))))))))</f>
        <v/>
      </c>
    </row>
    <row r="785" spans="1:12" ht="22" customHeight="1">
      <c r="A785" s="3"/>
      <c r="B785" s="7"/>
      <c r="C785" s="3"/>
      <c r="D785" s="3"/>
      <c r="E785" s="3"/>
      <c r="F785" s="3"/>
      <c r="G785" s="4"/>
      <c r="H785" s="4"/>
      <c r="I785" s="3"/>
      <c r="J785" s="3"/>
      <c r="K785" s="8" t="str">
        <f t="shared" si="12"/>
        <v/>
      </c>
      <c r="L785" s="1" t="str">
        <f>IF(COUNTA(A785:J785)=0,"",IF(OR(AND(C785&lt;&gt;"Servicio",C785&lt;&gt;"Cobro",C785&lt;&gt;"Anticipo",C785&lt;&gt;"Aplicación anticipo",C785&lt;&gt;"Retención ISR",C785&lt;&gt;"Retención IVA"),AND(C785="Servicio",F785&lt;&gt;"TMS",F785&lt;&gt;"Valoración",F785&lt;&gt;"EEG",F785&lt;&gt;"Neurofeedback",F785&lt;&gt;"Fotobiomodulación",F785&lt;&gt;"Psicoterapia",F785&lt;&gt;"Otros")),"Tipo o categoría inválido",IF(COUNTA(A785:J785)=0,"",IF(OR(A785="",B785="",C785="",G785=""),"Faltan datos",IF(COUNTIF($A$7:$A$2006,A785)&gt;1,"ID duplicado",IF(OR(B785&lt;DATE(Configuración!$C$5,1,1),B785&gt;=DATE(Configuración!$C$5+1,1,1)),"Fecha fuera del año",IF(OR(G785&lt;0,H785&lt;0),"Revisar signo",IF(AND(C785&lt;&gt;"Servicio",H785&lt;&gt;0),"IVA solo en Servicio",IF(AND(C785="Servicio",F785=""),"Falta servicio","OK")))))))))</f>
        <v/>
      </c>
    </row>
    <row r="786" spans="1:12" ht="22" customHeight="1">
      <c r="A786" s="3"/>
      <c r="B786" s="7"/>
      <c r="C786" s="3"/>
      <c r="D786" s="3"/>
      <c r="E786" s="3"/>
      <c r="F786" s="3"/>
      <c r="G786" s="4"/>
      <c r="H786" s="4"/>
      <c r="I786" s="3"/>
      <c r="J786" s="3"/>
      <c r="K786" s="8" t="str">
        <f t="shared" si="12"/>
        <v/>
      </c>
      <c r="L786" s="1" t="str">
        <f>IF(COUNTA(A786:J786)=0,"",IF(OR(AND(C786&lt;&gt;"Servicio",C786&lt;&gt;"Cobro",C786&lt;&gt;"Anticipo",C786&lt;&gt;"Aplicación anticipo",C786&lt;&gt;"Retención ISR",C786&lt;&gt;"Retención IVA"),AND(C786="Servicio",F786&lt;&gt;"TMS",F786&lt;&gt;"Valoración",F786&lt;&gt;"EEG",F786&lt;&gt;"Neurofeedback",F786&lt;&gt;"Fotobiomodulación",F786&lt;&gt;"Psicoterapia",F786&lt;&gt;"Otros")),"Tipo o categoría inválido",IF(COUNTA(A786:J786)=0,"",IF(OR(A786="",B786="",C786="",G786=""),"Faltan datos",IF(COUNTIF($A$7:$A$2006,A786)&gt;1,"ID duplicado",IF(OR(B786&lt;DATE(Configuración!$C$5,1,1),B786&gt;=DATE(Configuración!$C$5+1,1,1)),"Fecha fuera del año",IF(OR(G786&lt;0,H786&lt;0),"Revisar signo",IF(AND(C786&lt;&gt;"Servicio",H786&lt;&gt;0),"IVA solo en Servicio",IF(AND(C786="Servicio",F786=""),"Falta servicio","OK")))))))))</f>
        <v/>
      </c>
    </row>
    <row r="787" spans="1:12" ht="22" customHeight="1">
      <c r="A787" s="3"/>
      <c r="B787" s="7"/>
      <c r="C787" s="3"/>
      <c r="D787" s="3"/>
      <c r="E787" s="3"/>
      <c r="F787" s="3"/>
      <c r="G787" s="4"/>
      <c r="H787" s="4"/>
      <c r="I787" s="3"/>
      <c r="J787" s="3"/>
      <c r="K787" s="8" t="str">
        <f t="shared" si="12"/>
        <v/>
      </c>
      <c r="L787" s="1" t="str">
        <f>IF(COUNTA(A787:J787)=0,"",IF(OR(AND(C787&lt;&gt;"Servicio",C787&lt;&gt;"Cobro",C787&lt;&gt;"Anticipo",C787&lt;&gt;"Aplicación anticipo",C787&lt;&gt;"Retención ISR",C787&lt;&gt;"Retención IVA"),AND(C787="Servicio",F787&lt;&gt;"TMS",F787&lt;&gt;"Valoración",F787&lt;&gt;"EEG",F787&lt;&gt;"Neurofeedback",F787&lt;&gt;"Fotobiomodulación",F787&lt;&gt;"Psicoterapia",F787&lt;&gt;"Otros")),"Tipo o categoría inválido",IF(COUNTA(A787:J787)=0,"",IF(OR(A787="",B787="",C787="",G787=""),"Faltan datos",IF(COUNTIF($A$7:$A$2006,A787)&gt;1,"ID duplicado",IF(OR(B787&lt;DATE(Configuración!$C$5,1,1),B787&gt;=DATE(Configuración!$C$5+1,1,1)),"Fecha fuera del año",IF(OR(G787&lt;0,H787&lt;0),"Revisar signo",IF(AND(C787&lt;&gt;"Servicio",H787&lt;&gt;0),"IVA solo en Servicio",IF(AND(C787="Servicio",F787=""),"Falta servicio","OK")))))))))</f>
        <v/>
      </c>
    </row>
    <row r="788" spans="1:12" ht="22" customHeight="1">
      <c r="A788" s="3"/>
      <c r="B788" s="7"/>
      <c r="C788" s="3"/>
      <c r="D788" s="3"/>
      <c r="E788" s="3"/>
      <c r="F788" s="3"/>
      <c r="G788" s="4"/>
      <c r="H788" s="4"/>
      <c r="I788" s="3"/>
      <c r="J788" s="3"/>
      <c r="K788" s="8" t="str">
        <f t="shared" si="12"/>
        <v/>
      </c>
      <c r="L788" s="1" t="str">
        <f>IF(COUNTA(A788:J788)=0,"",IF(OR(AND(C788&lt;&gt;"Servicio",C788&lt;&gt;"Cobro",C788&lt;&gt;"Anticipo",C788&lt;&gt;"Aplicación anticipo",C788&lt;&gt;"Retención ISR",C788&lt;&gt;"Retención IVA"),AND(C788="Servicio",F788&lt;&gt;"TMS",F788&lt;&gt;"Valoración",F788&lt;&gt;"EEG",F788&lt;&gt;"Neurofeedback",F788&lt;&gt;"Fotobiomodulación",F788&lt;&gt;"Psicoterapia",F788&lt;&gt;"Otros")),"Tipo o categoría inválido",IF(COUNTA(A788:J788)=0,"",IF(OR(A788="",B788="",C788="",G788=""),"Faltan datos",IF(COUNTIF($A$7:$A$2006,A788)&gt;1,"ID duplicado",IF(OR(B788&lt;DATE(Configuración!$C$5,1,1),B788&gt;=DATE(Configuración!$C$5+1,1,1)),"Fecha fuera del año",IF(OR(G788&lt;0,H788&lt;0),"Revisar signo",IF(AND(C788&lt;&gt;"Servicio",H788&lt;&gt;0),"IVA solo en Servicio",IF(AND(C788="Servicio",F788=""),"Falta servicio","OK")))))))))</f>
        <v/>
      </c>
    </row>
    <row r="789" spans="1:12" ht="22" customHeight="1">
      <c r="A789" s="3"/>
      <c r="B789" s="7"/>
      <c r="C789" s="3"/>
      <c r="D789" s="3"/>
      <c r="E789" s="3"/>
      <c r="F789" s="3"/>
      <c r="G789" s="4"/>
      <c r="H789" s="4"/>
      <c r="I789" s="3"/>
      <c r="J789" s="3"/>
      <c r="K789" s="8" t="str">
        <f t="shared" si="12"/>
        <v/>
      </c>
      <c r="L789" s="1" t="str">
        <f>IF(COUNTA(A789:J789)=0,"",IF(OR(AND(C789&lt;&gt;"Servicio",C789&lt;&gt;"Cobro",C789&lt;&gt;"Anticipo",C789&lt;&gt;"Aplicación anticipo",C789&lt;&gt;"Retención ISR",C789&lt;&gt;"Retención IVA"),AND(C789="Servicio",F789&lt;&gt;"TMS",F789&lt;&gt;"Valoración",F789&lt;&gt;"EEG",F789&lt;&gt;"Neurofeedback",F789&lt;&gt;"Fotobiomodulación",F789&lt;&gt;"Psicoterapia",F789&lt;&gt;"Otros")),"Tipo o categoría inválido",IF(COUNTA(A789:J789)=0,"",IF(OR(A789="",B789="",C789="",G789=""),"Faltan datos",IF(COUNTIF($A$7:$A$2006,A789)&gt;1,"ID duplicado",IF(OR(B789&lt;DATE(Configuración!$C$5,1,1),B789&gt;=DATE(Configuración!$C$5+1,1,1)),"Fecha fuera del año",IF(OR(G789&lt;0,H789&lt;0),"Revisar signo",IF(AND(C789&lt;&gt;"Servicio",H789&lt;&gt;0),"IVA solo en Servicio",IF(AND(C789="Servicio",F789=""),"Falta servicio","OK")))))))))</f>
        <v/>
      </c>
    </row>
    <row r="790" spans="1:12" ht="22" customHeight="1">
      <c r="A790" s="3"/>
      <c r="B790" s="7"/>
      <c r="C790" s="3"/>
      <c r="D790" s="3"/>
      <c r="E790" s="3"/>
      <c r="F790" s="3"/>
      <c r="G790" s="4"/>
      <c r="H790" s="4"/>
      <c r="I790" s="3"/>
      <c r="J790" s="3"/>
      <c r="K790" s="8" t="str">
        <f t="shared" si="12"/>
        <v/>
      </c>
      <c r="L790" s="1" t="str">
        <f>IF(COUNTA(A790:J790)=0,"",IF(OR(AND(C790&lt;&gt;"Servicio",C790&lt;&gt;"Cobro",C790&lt;&gt;"Anticipo",C790&lt;&gt;"Aplicación anticipo",C790&lt;&gt;"Retención ISR",C790&lt;&gt;"Retención IVA"),AND(C790="Servicio",F790&lt;&gt;"TMS",F790&lt;&gt;"Valoración",F790&lt;&gt;"EEG",F790&lt;&gt;"Neurofeedback",F790&lt;&gt;"Fotobiomodulación",F790&lt;&gt;"Psicoterapia",F790&lt;&gt;"Otros")),"Tipo o categoría inválido",IF(COUNTA(A790:J790)=0,"",IF(OR(A790="",B790="",C790="",G790=""),"Faltan datos",IF(COUNTIF($A$7:$A$2006,A790)&gt;1,"ID duplicado",IF(OR(B790&lt;DATE(Configuración!$C$5,1,1),B790&gt;=DATE(Configuración!$C$5+1,1,1)),"Fecha fuera del año",IF(OR(G790&lt;0,H790&lt;0),"Revisar signo",IF(AND(C790&lt;&gt;"Servicio",H790&lt;&gt;0),"IVA solo en Servicio",IF(AND(C790="Servicio",F790=""),"Falta servicio","OK")))))))))</f>
        <v/>
      </c>
    </row>
    <row r="791" spans="1:12" ht="22" customHeight="1">
      <c r="A791" s="3"/>
      <c r="B791" s="7"/>
      <c r="C791" s="3"/>
      <c r="D791" s="3"/>
      <c r="E791" s="3"/>
      <c r="F791" s="3"/>
      <c r="G791" s="4"/>
      <c r="H791" s="4"/>
      <c r="I791" s="3"/>
      <c r="J791" s="3"/>
      <c r="K791" s="8" t="str">
        <f t="shared" si="12"/>
        <v/>
      </c>
      <c r="L791" s="1" t="str">
        <f>IF(COUNTA(A791:J791)=0,"",IF(OR(AND(C791&lt;&gt;"Servicio",C791&lt;&gt;"Cobro",C791&lt;&gt;"Anticipo",C791&lt;&gt;"Aplicación anticipo",C791&lt;&gt;"Retención ISR",C791&lt;&gt;"Retención IVA"),AND(C791="Servicio",F791&lt;&gt;"TMS",F791&lt;&gt;"Valoración",F791&lt;&gt;"EEG",F791&lt;&gt;"Neurofeedback",F791&lt;&gt;"Fotobiomodulación",F791&lt;&gt;"Psicoterapia",F791&lt;&gt;"Otros")),"Tipo o categoría inválido",IF(COUNTA(A791:J791)=0,"",IF(OR(A791="",B791="",C791="",G791=""),"Faltan datos",IF(COUNTIF($A$7:$A$2006,A791)&gt;1,"ID duplicado",IF(OR(B791&lt;DATE(Configuración!$C$5,1,1),B791&gt;=DATE(Configuración!$C$5+1,1,1)),"Fecha fuera del año",IF(OR(G791&lt;0,H791&lt;0),"Revisar signo",IF(AND(C791&lt;&gt;"Servicio",H791&lt;&gt;0),"IVA solo en Servicio",IF(AND(C791="Servicio",F791=""),"Falta servicio","OK")))))))))</f>
        <v/>
      </c>
    </row>
    <row r="792" spans="1:12" ht="22" customHeight="1">
      <c r="A792" s="3"/>
      <c r="B792" s="7"/>
      <c r="C792" s="3"/>
      <c r="D792" s="3"/>
      <c r="E792" s="3"/>
      <c r="F792" s="3"/>
      <c r="G792" s="4"/>
      <c r="H792" s="4"/>
      <c r="I792" s="3"/>
      <c r="J792" s="3"/>
      <c r="K792" s="8" t="str">
        <f t="shared" si="12"/>
        <v/>
      </c>
      <c r="L792" s="1" t="str">
        <f>IF(COUNTA(A792:J792)=0,"",IF(OR(AND(C792&lt;&gt;"Servicio",C792&lt;&gt;"Cobro",C792&lt;&gt;"Anticipo",C792&lt;&gt;"Aplicación anticipo",C792&lt;&gt;"Retención ISR",C792&lt;&gt;"Retención IVA"),AND(C792="Servicio",F792&lt;&gt;"TMS",F792&lt;&gt;"Valoración",F792&lt;&gt;"EEG",F792&lt;&gt;"Neurofeedback",F792&lt;&gt;"Fotobiomodulación",F792&lt;&gt;"Psicoterapia",F792&lt;&gt;"Otros")),"Tipo o categoría inválido",IF(COUNTA(A792:J792)=0,"",IF(OR(A792="",B792="",C792="",G792=""),"Faltan datos",IF(COUNTIF($A$7:$A$2006,A792)&gt;1,"ID duplicado",IF(OR(B792&lt;DATE(Configuración!$C$5,1,1),B792&gt;=DATE(Configuración!$C$5+1,1,1)),"Fecha fuera del año",IF(OR(G792&lt;0,H792&lt;0),"Revisar signo",IF(AND(C792&lt;&gt;"Servicio",H792&lt;&gt;0),"IVA solo en Servicio",IF(AND(C792="Servicio",F792=""),"Falta servicio","OK")))))))))</f>
        <v/>
      </c>
    </row>
    <row r="793" spans="1:12" ht="22" customHeight="1">
      <c r="A793" s="3"/>
      <c r="B793" s="7"/>
      <c r="C793" s="3"/>
      <c r="D793" s="3"/>
      <c r="E793" s="3"/>
      <c r="F793" s="3"/>
      <c r="G793" s="4"/>
      <c r="H793" s="4"/>
      <c r="I793" s="3"/>
      <c r="J793" s="3"/>
      <c r="K793" s="8" t="str">
        <f t="shared" si="12"/>
        <v/>
      </c>
      <c r="L793" s="1" t="str">
        <f>IF(COUNTA(A793:J793)=0,"",IF(OR(AND(C793&lt;&gt;"Servicio",C793&lt;&gt;"Cobro",C793&lt;&gt;"Anticipo",C793&lt;&gt;"Aplicación anticipo",C793&lt;&gt;"Retención ISR",C793&lt;&gt;"Retención IVA"),AND(C793="Servicio",F793&lt;&gt;"TMS",F793&lt;&gt;"Valoración",F793&lt;&gt;"EEG",F793&lt;&gt;"Neurofeedback",F793&lt;&gt;"Fotobiomodulación",F793&lt;&gt;"Psicoterapia",F793&lt;&gt;"Otros")),"Tipo o categoría inválido",IF(COUNTA(A793:J793)=0,"",IF(OR(A793="",B793="",C793="",G793=""),"Faltan datos",IF(COUNTIF($A$7:$A$2006,A793)&gt;1,"ID duplicado",IF(OR(B793&lt;DATE(Configuración!$C$5,1,1),B793&gt;=DATE(Configuración!$C$5+1,1,1)),"Fecha fuera del año",IF(OR(G793&lt;0,H793&lt;0),"Revisar signo",IF(AND(C793&lt;&gt;"Servicio",H793&lt;&gt;0),"IVA solo en Servicio",IF(AND(C793="Servicio",F793=""),"Falta servicio","OK")))))))))</f>
        <v/>
      </c>
    </row>
    <row r="794" spans="1:12" ht="22" customHeight="1">
      <c r="A794" s="3"/>
      <c r="B794" s="7"/>
      <c r="C794" s="3"/>
      <c r="D794" s="3"/>
      <c r="E794" s="3"/>
      <c r="F794" s="3"/>
      <c r="G794" s="4"/>
      <c r="H794" s="4"/>
      <c r="I794" s="3"/>
      <c r="J794" s="3"/>
      <c r="K794" s="8" t="str">
        <f t="shared" si="12"/>
        <v/>
      </c>
      <c r="L794" s="1" t="str">
        <f>IF(COUNTA(A794:J794)=0,"",IF(OR(AND(C794&lt;&gt;"Servicio",C794&lt;&gt;"Cobro",C794&lt;&gt;"Anticipo",C794&lt;&gt;"Aplicación anticipo",C794&lt;&gt;"Retención ISR",C794&lt;&gt;"Retención IVA"),AND(C794="Servicio",F794&lt;&gt;"TMS",F794&lt;&gt;"Valoración",F794&lt;&gt;"EEG",F794&lt;&gt;"Neurofeedback",F794&lt;&gt;"Fotobiomodulación",F794&lt;&gt;"Psicoterapia",F794&lt;&gt;"Otros")),"Tipo o categoría inválido",IF(COUNTA(A794:J794)=0,"",IF(OR(A794="",B794="",C794="",G794=""),"Faltan datos",IF(COUNTIF($A$7:$A$2006,A794)&gt;1,"ID duplicado",IF(OR(B794&lt;DATE(Configuración!$C$5,1,1),B794&gt;=DATE(Configuración!$C$5+1,1,1)),"Fecha fuera del año",IF(OR(G794&lt;0,H794&lt;0),"Revisar signo",IF(AND(C794&lt;&gt;"Servicio",H794&lt;&gt;0),"IVA solo en Servicio",IF(AND(C794="Servicio",F794=""),"Falta servicio","OK")))))))))</f>
        <v/>
      </c>
    </row>
    <row r="795" spans="1:12" ht="22" customHeight="1">
      <c r="A795" s="3"/>
      <c r="B795" s="7"/>
      <c r="C795" s="3"/>
      <c r="D795" s="3"/>
      <c r="E795" s="3"/>
      <c r="F795" s="3"/>
      <c r="G795" s="4"/>
      <c r="H795" s="4"/>
      <c r="I795" s="3"/>
      <c r="J795" s="3"/>
      <c r="K795" s="8" t="str">
        <f t="shared" si="12"/>
        <v/>
      </c>
      <c r="L795" s="1" t="str">
        <f>IF(COUNTA(A795:J795)=0,"",IF(OR(AND(C795&lt;&gt;"Servicio",C795&lt;&gt;"Cobro",C795&lt;&gt;"Anticipo",C795&lt;&gt;"Aplicación anticipo",C795&lt;&gt;"Retención ISR",C795&lt;&gt;"Retención IVA"),AND(C795="Servicio",F795&lt;&gt;"TMS",F795&lt;&gt;"Valoración",F795&lt;&gt;"EEG",F795&lt;&gt;"Neurofeedback",F795&lt;&gt;"Fotobiomodulación",F795&lt;&gt;"Psicoterapia",F795&lt;&gt;"Otros")),"Tipo o categoría inválido",IF(COUNTA(A795:J795)=0,"",IF(OR(A795="",B795="",C795="",G795=""),"Faltan datos",IF(COUNTIF($A$7:$A$2006,A795)&gt;1,"ID duplicado",IF(OR(B795&lt;DATE(Configuración!$C$5,1,1),B795&gt;=DATE(Configuración!$C$5+1,1,1)),"Fecha fuera del año",IF(OR(G795&lt;0,H795&lt;0),"Revisar signo",IF(AND(C795&lt;&gt;"Servicio",H795&lt;&gt;0),"IVA solo en Servicio",IF(AND(C795="Servicio",F795=""),"Falta servicio","OK")))))))))</f>
        <v/>
      </c>
    </row>
    <row r="796" spans="1:12" ht="22" customHeight="1">
      <c r="A796" s="3"/>
      <c r="B796" s="7"/>
      <c r="C796" s="3"/>
      <c r="D796" s="3"/>
      <c r="E796" s="3"/>
      <c r="F796" s="3"/>
      <c r="G796" s="4"/>
      <c r="H796" s="4"/>
      <c r="I796" s="3"/>
      <c r="J796" s="3"/>
      <c r="K796" s="8" t="str">
        <f t="shared" si="12"/>
        <v/>
      </c>
      <c r="L796" s="1" t="str">
        <f>IF(COUNTA(A796:J796)=0,"",IF(OR(AND(C796&lt;&gt;"Servicio",C796&lt;&gt;"Cobro",C796&lt;&gt;"Anticipo",C796&lt;&gt;"Aplicación anticipo",C796&lt;&gt;"Retención ISR",C796&lt;&gt;"Retención IVA"),AND(C796="Servicio",F796&lt;&gt;"TMS",F796&lt;&gt;"Valoración",F796&lt;&gt;"EEG",F796&lt;&gt;"Neurofeedback",F796&lt;&gt;"Fotobiomodulación",F796&lt;&gt;"Psicoterapia",F796&lt;&gt;"Otros")),"Tipo o categoría inválido",IF(COUNTA(A796:J796)=0,"",IF(OR(A796="",B796="",C796="",G796=""),"Faltan datos",IF(COUNTIF($A$7:$A$2006,A796)&gt;1,"ID duplicado",IF(OR(B796&lt;DATE(Configuración!$C$5,1,1),B796&gt;=DATE(Configuración!$C$5+1,1,1)),"Fecha fuera del año",IF(OR(G796&lt;0,H796&lt;0),"Revisar signo",IF(AND(C796&lt;&gt;"Servicio",H796&lt;&gt;0),"IVA solo en Servicio",IF(AND(C796="Servicio",F796=""),"Falta servicio","OK")))))))))</f>
        <v/>
      </c>
    </row>
    <row r="797" spans="1:12" ht="22" customHeight="1">
      <c r="A797" s="3"/>
      <c r="B797" s="7"/>
      <c r="C797" s="3"/>
      <c r="D797" s="3"/>
      <c r="E797" s="3"/>
      <c r="F797" s="3"/>
      <c r="G797" s="4"/>
      <c r="H797" s="4"/>
      <c r="I797" s="3"/>
      <c r="J797" s="3"/>
      <c r="K797" s="8" t="str">
        <f t="shared" si="12"/>
        <v/>
      </c>
      <c r="L797" s="1" t="str">
        <f>IF(COUNTA(A797:J797)=0,"",IF(OR(AND(C797&lt;&gt;"Servicio",C797&lt;&gt;"Cobro",C797&lt;&gt;"Anticipo",C797&lt;&gt;"Aplicación anticipo",C797&lt;&gt;"Retención ISR",C797&lt;&gt;"Retención IVA"),AND(C797="Servicio",F797&lt;&gt;"TMS",F797&lt;&gt;"Valoración",F797&lt;&gt;"EEG",F797&lt;&gt;"Neurofeedback",F797&lt;&gt;"Fotobiomodulación",F797&lt;&gt;"Psicoterapia",F797&lt;&gt;"Otros")),"Tipo o categoría inválido",IF(COUNTA(A797:J797)=0,"",IF(OR(A797="",B797="",C797="",G797=""),"Faltan datos",IF(COUNTIF($A$7:$A$2006,A797)&gt;1,"ID duplicado",IF(OR(B797&lt;DATE(Configuración!$C$5,1,1),B797&gt;=DATE(Configuración!$C$5+1,1,1)),"Fecha fuera del año",IF(OR(G797&lt;0,H797&lt;0),"Revisar signo",IF(AND(C797&lt;&gt;"Servicio",H797&lt;&gt;0),"IVA solo en Servicio",IF(AND(C797="Servicio",F797=""),"Falta servicio","OK")))))))))</f>
        <v/>
      </c>
    </row>
    <row r="798" spans="1:12" ht="22" customHeight="1">
      <c r="A798" s="3"/>
      <c r="B798" s="7"/>
      <c r="C798" s="3"/>
      <c r="D798" s="3"/>
      <c r="E798" s="3"/>
      <c r="F798" s="3"/>
      <c r="G798" s="4"/>
      <c r="H798" s="4"/>
      <c r="I798" s="3"/>
      <c r="J798" s="3"/>
      <c r="K798" s="8" t="str">
        <f t="shared" si="12"/>
        <v/>
      </c>
      <c r="L798" s="1" t="str">
        <f>IF(COUNTA(A798:J798)=0,"",IF(OR(AND(C798&lt;&gt;"Servicio",C798&lt;&gt;"Cobro",C798&lt;&gt;"Anticipo",C798&lt;&gt;"Aplicación anticipo",C798&lt;&gt;"Retención ISR",C798&lt;&gt;"Retención IVA"),AND(C798="Servicio",F798&lt;&gt;"TMS",F798&lt;&gt;"Valoración",F798&lt;&gt;"EEG",F798&lt;&gt;"Neurofeedback",F798&lt;&gt;"Fotobiomodulación",F798&lt;&gt;"Psicoterapia",F798&lt;&gt;"Otros")),"Tipo o categoría inválido",IF(COUNTA(A798:J798)=0,"",IF(OR(A798="",B798="",C798="",G798=""),"Faltan datos",IF(COUNTIF($A$7:$A$2006,A798)&gt;1,"ID duplicado",IF(OR(B798&lt;DATE(Configuración!$C$5,1,1),B798&gt;=DATE(Configuración!$C$5+1,1,1)),"Fecha fuera del año",IF(OR(G798&lt;0,H798&lt;0),"Revisar signo",IF(AND(C798&lt;&gt;"Servicio",H798&lt;&gt;0),"IVA solo en Servicio",IF(AND(C798="Servicio",F798=""),"Falta servicio","OK")))))))))</f>
        <v/>
      </c>
    </row>
    <row r="799" spans="1:12" ht="22" customHeight="1">
      <c r="A799" s="3"/>
      <c r="B799" s="7"/>
      <c r="C799" s="3"/>
      <c r="D799" s="3"/>
      <c r="E799" s="3"/>
      <c r="F799" s="3"/>
      <c r="G799" s="4"/>
      <c r="H799" s="4"/>
      <c r="I799" s="3"/>
      <c r="J799" s="3"/>
      <c r="K799" s="8" t="str">
        <f t="shared" si="12"/>
        <v/>
      </c>
      <c r="L799" s="1" t="str">
        <f>IF(COUNTA(A799:J799)=0,"",IF(OR(AND(C799&lt;&gt;"Servicio",C799&lt;&gt;"Cobro",C799&lt;&gt;"Anticipo",C799&lt;&gt;"Aplicación anticipo",C799&lt;&gt;"Retención ISR",C799&lt;&gt;"Retención IVA"),AND(C799="Servicio",F799&lt;&gt;"TMS",F799&lt;&gt;"Valoración",F799&lt;&gt;"EEG",F799&lt;&gt;"Neurofeedback",F799&lt;&gt;"Fotobiomodulación",F799&lt;&gt;"Psicoterapia",F799&lt;&gt;"Otros")),"Tipo o categoría inválido",IF(COUNTA(A799:J799)=0,"",IF(OR(A799="",B799="",C799="",G799=""),"Faltan datos",IF(COUNTIF($A$7:$A$2006,A799)&gt;1,"ID duplicado",IF(OR(B799&lt;DATE(Configuración!$C$5,1,1),B799&gt;=DATE(Configuración!$C$5+1,1,1)),"Fecha fuera del año",IF(OR(G799&lt;0,H799&lt;0),"Revisar signo",IF(AND(C799&lt;&gt;"Servicio",H799&lt;&gt;0),"IVA solo en Servicio",IF(AND(C799="Servicio",F799=""),"Falta servicio","OK")))))))))</f>
        <v/>
      </c>
    </row>
    <row r="800" spans="1:12" ht="22" customHeight="1">
      <c r="A800" s="3"/>
      <c r="B800" s="7"/>
      <c r="C800" s="3"/>
      <c r="D800" s="3"/>
      <c r="E800" s="3"/>
      <c r="F800" s="3"/>
      <c r="G800" s="4"/>
      <c r="H800" s="4"/>
      <c r="I800" s="3"/>
      <c r="J800" s="3"/>
      <c r="K800" s="8" t="str">
        <f t="shared" si="12"/>
        <v/>
      </c>
      <c r="L800" s="1" t="str">
        <f>IF(COUNTA(A800:J800)=0,"",IF(OR(AND(C800&lt;&gt;"Servicio",C800&lt;&gt;"Cobro",C800&lt;&gt;"Anticipo",C800&lt;&gt;"Aplicación anticipo",C800&lt;&gt;"Retención ISR",C800&lt;&gt;"Retención IVA"),AND(C800="Servicio",F800&lt;&gt;"TMS",F800&lt;&gt;"Valoración",F800&lt;&gt;"EEG",F800&lt;&gt;"Neurofeedback",F800&lt;&gt;"Fotobiomodulación",F800&lt;&gt;"Psicoterapia",F800&lt;&gt;"Otros")),"Tipo o categoría inválido",IF(COUNTA(A800:J800)=0,"",IF(OR(A800="",B800="",C800="",G800=""),"Faltan datos",IF(COUNTIF($A$7:$A$2006,A800)&gt;1,"ID duplicado",IF(OR(B800&lt;DATE(Configuración!$C$5,1,1),B800&gt;=DATE(Configuración!$C$5+1,1,1)),"Fecha fuera del año",IF(OR(G800&lt;0,H800&lt;0),"Revisar signo",IF(AND(C800&lt;&gt;"Servicio",H800&lt;&gt;0),"IVA solo en Servicio",IF(AND(C800="Servicio",F800=""),"Falta servicio","OK")))))))))</f>
        <v/>
      </c>
    </row>
    <row r="801" spans="1:12" ht="22" customHeight="1">
      <c r="A801" s="3"/>
      <c r="B801" s="7"/>
      <c r="C801" s="3"/>
      <c r="D801" s="3"/>
      <c r="E801" s="3"/>
      <c r="F801" s="3"/>
      <c r="G801" s="4"/>
      <c r="H801" s="4"/>
      <c r="I801" s="3"/>
      <c r="J801" s="3"/>
      <c r="K801" s="8" t="str">
        <f t="shared" si="12"/>
        <v/>
      </c>
      <c r="L801" s="1" t="str">
        <f>IF(COUNTA(A801:J801)=0,"",IF(OR(AND(C801&lt;&gt;"Servicio",C801&lt;&gt;"Cobro",C801&lt;&gt;"Anticipo",C801&lt;&gt;"Aplicación anticipo",C801&lt;&gt;"Retención ISR",C801&lt;&gt;"Retención IVA"),AND(C801="Servicio",F801&lt;&gt;"TMS",F801&lt;&gt;"Valoración",F801&lt;&gt;"EEG",F801&lt;&gt;"Neurofeedback",F801&lt;&gt;"Fotobiomodulación",F801&lt;&gt;"Psicoterapia",F801&lt;&gt;"Otros")),"Tipo o categoría inválido",IF(COUNTA(A801:J801)=0,"",IF(OR(A801="",B801="",C801="",G801=""),"Faltan datos",IF(COUNTIF($A$7:$A$2006,A801)&gt;1,"ID duplicado",IF(OR(B801&lt;DATE(Configuración!$C$5,1,1),B801&gt;=DATE(Configuración!$C$5+1,1,1)),"Fecha fuera del año",IF(OR(G801&lt;0,H801&lt;0),"Revisar signo",IF(AND(C801&lt;&gt;"Servicio",H801&lt;&gt;0),"IVA solo en Servicio",IF(AND(C801="Servicio",F801=""),"Falta servicio","OK")))))))))</f>
        <v/>
      </c>
    </row>
    <row r="802" spans="1:12" ht="22" customHeight="1">
      <c r="A802" s="3"/>
      <c r="B802" s="7"/>
      <c r="C802" s="3"/>
      <c r="D802" s="3"/>
      <c r="E802" s="3"/>
      <c r="F802" s="3"/>
      <c r="G802" s="4"/>
      <c r="H802" s="4"/>
      <c r="I802" s="3"/>
      <c r="J802" s="3"/>
      <c r="K802" s="8" t="str">
        <f t="shared" si="12"/>
        <v/>
      </c>
      <c r="L802" s="1" t="str">
        <f>IF(COUNTA(A802:J802)=0,"",IF(OR(AND(C802&lt;&gt;"Servicio",C802&lt;&gt;"Cobro",C802&lt;&gt;"Anticipo",C802&lt;&gt;"Aplicación anticipo",C802&lt;&gt;"Retención ISR",C802&lt;&gt;"Retención IVA"),AND(C802="Servicio",F802&lt;&gt;"TMS",F802&lt;&gt;"Valoración",F802&lt;&gt;"EEG",F802&lt;&gt;"Neurofeedback",F802&lt;&gt;"Fotobiomodulación",F802&lt;&gt;"Psicoterapia",F802&lt;&gt;"Otros")),"Tipo o categoría inválido",IF(COUNTA(A802:J802)=0,"",IF(OR(A802="",B802="",C802="",G802=""),"Faltan datos",IF(COUNTIF($A$7:$A$2006,A802)&gt;1,"ID duplicado",IF(OR(B802&lt;DATE(Configuración!$C$5,1,1),B802&gt;=DATE(Configuración!$C$5+1,1,1)),"Fecha fuera del año",IF(OR(G802&lt;0,H802&lt;0),"Revisar signo",IF(AND(C802&lt;&gt;"Servicio",H802&lt;&gt;0),"IVA solo en Servicio",IF(AND(C802="Servicio",F802=""),"Falta servicio","OK")))))))))</f>
        <v/>
      </c>
    </row>
    <row r="803" spans="1:12" ht="22" customHeight="1">
      <c r="A803" s="3"/>
      <c r="B803" s="7"/>
      <c r="C803" s="3"/>
      <c r="D803" s="3"/>
      <c r="E803" s="3"/>
      <c r="F803" s="3"/>
      <c r="G803" s="4"/>
      <c r="H803" s="4"/>
      <c r="I803" s="3"/>
      <c r="J803" s="3"/>
      <c r="K803" s="8" t="str">
        <f t="shared" si="12"/>
        <v/>
      </c>
      <c r="L803" s="1" t="str">
        <f>IF(COUNTA(A803:J803)=0,"",IF(OR(AND(C803&lt;&gt;"Servicio",C803&lt;&gt;"Cobro",C803&lt;&gt;"Anticipo",C803&lt;&gt;"Aplicación anticipo",C803&lt;&gt;"Retención ISR",C803&lt;&gt;"Retención IVA"),AND(C803="Servicio",F803&lt;&gt;"TMS",F803&lt;&gt;"Valoración",F803&lt;&gt;"EEG",F803&lt;&gt;"Neurofeedback",F803&lt;&gt;"Fotobiomodulación",F803&lt;&gt;"Psicoterapia",F803&lt;&gt;"Otros")),"Tipo o categoría inválido",IF(COUNTA(A803:J803)=0,"",IF(OR(A803="",B803="",C803="",G803=""),"Faltan datos",IF(COUNTIF($A$7:$A$2006,A803)&gt;1,"ID duplicado",IF(OR(B803&lt;DATE(Configuración!$C$5,1,1),B803&gt;=DATE(Configuración!$C$5+1,1,1)),"Fecha fuera del año",IF(OR(G803&lt;0,H803&lt;0),"Revisar signo",IF(AND(C803&lt;&gt;"Servicio",H803&lt;&gt;0),"IVA solo en Servicio",IF(AND(C803="Servicio",F803=""),"Falta servicio","OK")))))))))</f>
        <v/>
      </c>
    </row>
    <row r="804" spans="1:12" ht="22" customHeight="1">
      <c r="A804" s="3"/>
      <c r="B804" s="7"/>
      <c r="C804" s="3"/>
      <c r="D804" s="3"/>
      <c r="E804" s="3"/>
      <c r="F804" s="3"/>
      <c r="G804" s="4"/>
      <c r="H804" s="4"/>
      <c r="I804" s="3"/>
      <c r="J804" s="3"/>
      <c r="K804" s="8" t="str">
        <f t="shared" si="12"/>
        <v/>
      </c>
      <c r="L804" s="1" t="str">
        <f>IF(COUNTA(A804:J804)=0,"",IF(OR(AND(C804&lt;&gt;"Servicio",C804&lt;&gt;"Cobro",C804&lt;&gt;"Anticipo",C804&lt;&gt;"Aplicación anticipo",C804&lt;&gt;"Retención ISR",C804&lt;&gt;"Retención IVA"),AND(C804="Servicio",F804&lt;&gt;"TMS",F804&lt;&gt;"Valoración",F804&lt;&gt;"EEG",F804&lt;&gt;"Neurofeedback",F804&lt;&gt;"Fotobiomodulación",F804&lt;&gt;"Psicoterapia",F804&lt;&gt;"Otros")),"Tipo o categoría inválido",IF(COUNTA(A804:J804)=0,"",IF(OR(A804="",B804="",C804="",G804=""),"Faltan datos",IF(COUNTIF($A$7:$A$2006,A804)&gt;1,"ID duplicado",IF(OR(B804&lt;DATE(Configuración!$C$5,1,1),B804&gt;=DATE(Configuración!$C$5+1,1,1)),"Fecha fuera del año",IF(OR(G804&lt;0,H804&lt;0),"Revisar signo",IF(AND(C804&lt;&gt;"Servicio",H804&lt;&gt;0),"IVA solo en Servicio",IF(AND(C804="Servicio",F804=""),"Falta servicio","OK")))))))))</f>
        <v/>
      </c>
    </row>
    <row r="805" spans="1:12" ht="22" customHeight="1">
      <c r="A805" s="3"/>
      <c r="B805" s="7"/>
      <c r="C805" s="3"/>
      <c r="D805" s="3"/>
      <c r="E805" s="3"/>
      <c r="F805" s="3"/>
      <c r="G805" s="4"/>
      <c r="H805" s="4"/>
      <c r="I805" s="3"/>
      <c r="J805" s="3"/>
      <c r="K805" s="8" t="str">
        <f t="shared" si="12"/>
        <v/>
      </c>
      <c r="L805" s="1" t="str">
        <f>IF(COUNTA(A805:J805)=0,"",IF(OR(AND(C805&lt;&gt;"Servicio",C805&lt;&gt;"Cobro",C805&lt;&gt;"Anticipo",C805&lt;&gt;"Aplicación anticipo",C805&lt;&gt;"Retención ISR",C805&lt;&gt;"Retención IVA"),AND(C805="Servicio",F805&lt;&gt;"TMS",F805&lt;&gt;"Valoración",F805&lt;&gt;"EEG",F805&lt;&gt;"Neurofeedback",F805&lt;&gt;"Fotobiomodulación",F805&lt;&gt;"Psicoterapia",F805&lt;&gt;"Otros")),"Tipo o categoría inválido",IF(COUNTA(A805:J805)=0,"",IF(OR(A805="",B805="",C805="",G805=""),"Faltan datos",IF(COUNTIF($A$7:$A$2006,A805)&gt;1,"ID duplicado",IF(OR(B805&lt;DATE(Configuración!$C$5,1,1),B805&gt;=DATE(Configuración!$C$5+1,1,1)),"Fecha fuera del año",IF(OR(G805&lt;0,H805&lt;0),"Revisar signo",IF(AND(C805&lt;&gt;"Servicio",H805&lt;&gt;0),"IVA solo en Servicio",IF(AND(C805="Servicio",F805=""),"Falta servicio","OK")))))))))</f>
        <v/>
      </c>
    </row>
    <row r="806" spans="1:12" ht="22" customHeight="1">
      <c r="A806" s="3"/>
      <c r="B806" s="7"/>
      <c r="C806" s="3"/>
      <c r="D806" s="3"/>
      <c r="E806" s="3"/>
      <c r="F806" s="3"/>
      <c r="G806" s="4"/>
      <c r="H806" s="4"/>
      <c r="I806" s="3"/>
      <c r="J806" s="3"/>
      <c r="K806" s="8" t="str">
        <f t="shared" si="12"/>
        <v/>
      </c>
      <c r="L806" s="1" t="str">
        <f>IF(COUNTA(A806:J806)=0,"",IF(OR(AND(C806&lt;&gt;"Servicio",C806&lt;&gt;"Cobro",C806&lt;&gt;"Anticipo",C806&lt;&gt;"Aplicación anticipo",C806&lt;&gt;"Retención ISR",C806&lt;&gt;"Retención IVA"),AND(C806="Servicio",F806&lt;&gt;"TMS",F806&lt;&gt;"Valoración",F806&lt;&gt;"EEG",F806&lt;&gt;"Neurofeedback",F806&lt;&gt;"Fotobiomodulación",F806&lt;&gt;"Psicoterapia",F806&lt;&gt;"Otros")),"Tipo o categoría inválido",IF(COUNTA(A806:J806)=0,"",IF(OR(A806="",B806="",C806="",G806=""),"Faltan datos",IF(COUNTIF($A$7:$A$2006,A806)&gt;1,"ID duplicado",IF(OR(B806&lt;DATE(Configuración!$C$5,1,1),B806&gt;=DATE(Configuración!$C$5+1,1,1)),"Fecha fuera del año",IF(OR(G806&lt;0,H806&lt;0),"Revisar signo",IF(AND(C806&lt;&gt;"Servicio",H806&lt;&gt;0),"IVA solo en Servicio",IF(AND(C806="Servicio",F806=""),"Falta servicio","OK")))))))))</f>
        <v/>
      </c>
    </row>
    <row r="807" spans="1:12" ht="22" customHeight="1">
      <c r="A807" s="3"/>
      <c r="B807" s="7"/>
      <c r="C807" s="3"/>
      <c r="D807" s="3"/>
      <c r="E807" s="3"/>
      <c r="F807" s="3"/>
      <c r="G807" s="4"/>
      <c r="H807" s="4"/>
      <c r="I807" s="3"/>
      <c r="J807" s="3"/>
      <c r="K807" s="8" t="str">
        <f t="shared" si="12"/>
        <v/>
      </c>
      <c r="L807" s="1" t="str">
        <f>IF(COUNTA(A807:J807)=0,"",IF(OR(AND(C807&lt;&gt;"Servicio",C807&lt;&gt;"Cobro",C807&lt;&gt;"Anticipo",C807&lt;&gt;"Aplicación anticipo",C807&lt;&gt;"Retención ISR",C807&lt;&gt;"Retención IVA"),AND(C807="Servicio",F807&lt;&gt;"TMS",F807&lt;&gt;"Valoración",F807&lt;&gt;"EEG",F807&lt;&gt;"Neurofeedback",F807&lt;&gt;"Fotobiomodulación",F807&lt;&gt;"Psicoterapia",F807&lt;&gt;"Otros")),"Tipo o categoría inválido",IF(COUNTA(A807:J807)=0,"",IF(OR(A807="",B807="",C807="",G807=""),"Faltan datos",IF(COUNTIF($A$7:$A$2006,A807)&gt;1,"ID duplicado",IF(OR(B807&lt;DATE(Configuración!$C$5,1,1),B807&gt;=DATE(Configuración!$C$5+1,1,1)),"Fecha fuera del año",IF(OR(G807&lt;0,H807&lt;0),"Revisar signo",IF(AND(C807&lt;&gt;"Servicio",H807&lt;&gt;0),"IVA solo en Servicio",IF(AND(C807="Servicio",F807=""),"Falta servicio","OK")))))))))</f>
        <v/>
      </c>
    </row>
    <row r="808" spans="1:12" ht="22" customHeight="1">
      <c r="A808" s="3"/>
      <c r="B808" s="7"/>
      <c r="C808" s="3"/>
      <c r="D808" s="3"/>
      <c r="E808" s="3"/>
      <c r="F808" s="3"/>
      <c r="G808" s="4"/>
      <c r="H808" s="4"/>
      <c r="I808" s="3"/>
      <c r="J808" s="3"/>
      <c r="K808" s="8" t="str">
        <f t="shared" si="12"/>
        <v/>
      </c>
      <c r="L808" s="1" t="str">
        <f>IF(COUNTA(A808:J808)=0,"",IF(OR(AND(C808&lt;&gt;"Servicio",C808&lt;&gt;"Cobro",C808&lt;&gt;"Anticipo",C808&lt;&gt;"Aplicación anticipo",C808&lt;&gt;"Retención ISR",C808&lt;&gt;"Retención IVA"),AND(C808="Servicio",F808&lt;&gt;"TMS",F808&lt;&gt;"Valoración",F808&lt;&gt;"EEG",F808&lt;&gt;"Neurofeedback",F808&lt;&gt;"Fotobiomodulación",F808&lt;&gt;"Psicoterapia",F808&lt;&gt;"Otros")),"Tipo o categoría inválido",IF(COUNTA(A808:J808)=0,"",IF(OR(A808="",B808="",C808="",G808=""),"Faltan datos",IF(COUNTIF($A$7:$A$2006,A808)&gt;1,"ID duplicado",IF(OR(B808&lt;DATE(Configuración!$C$5,1,1),B808&gt;=DATE(Configuración!$C$5+1,1,1)),"Fecha fuera del año",IF(OR(G808&lt;0,H808&lt;0),"Revisar signo",IF(AND(C808&lt;&gt;"Servicio",H808&lt;&gt;0),"IVA solo en Servicio",IF(AND(C808="Servicio",F808=""),"Falta servicio","OK")))))))))</f>
        <v/>
      </c>
    </row>
    <row r="809" spans="1:12" ht="22" customHeight="1">
      <c r="A809" s="3"/>
      <c r="B809" s="7"/>
      <c r="C809" s="3"/>
      <c r="D809" s="3"/>
      <c r="E809" s="3"/>
      <c r="F809" s="3"/>
      <c r="G809" s="4"/>
      <c r="H809" s="4"/>
      <c r="I809" s="3"/>
      <c r="J809" s="3"/>
      <c r="K809" s="8" t="str">
        <f t="shared" si="12"/>
        <v/>
      </c>
      <c r="L809" s="1" t="str">
        <f>IF(COUNTA(A809:J809)=0,"",IF(OR(AND(C809&lt;&gt;"Servicio",C809&lt;&gt;"Cobro",C809&lt;&gt;"Anticipo",C809&lt;&gt;"Aplicación anticipo",C809&lt;&gt;"Retención ISR",C809&lt;&gt;"Retención IVA"),AND(C809="Servicio",F809&lt;&gt;"TMS",F809&lt;&gt;"Valoración",F809&lt;&gt;"EEG",F809&lt;&gt;"Neurofeedback",F809&lt;&gt;"Fotobiomodulación",F809&lt;&gt;"Psicoterapia",F809&lt;&gt;"Otros")),"Tipo o categoría inválido",IF(COUNTA(A809:J809)=0,"",IF(OR(A809="",B809="",C809="",G809=""),"Faltan datos",IF(COUNTIF($A$7:$A$2006,A809)&gt;1,"ID duplicado",IF(OR(B809&lt;DATE(Configuración!$C$5,1,1),B809&gt;=DATE(Configuración!$C$5+1,1,1)),"Fecha fuera del año",IF(OR(G809&lt;0,H809&lt;0),"Revisar signo",IF(AND(C809&lt;&gt;"Servicio",H809&lt;&gt;0),"IVA solo en Servicio",IF(AND(C809="Servicio",F809=""),"Falta servicio","OK")))))))))</f>
        <v/>
      </c>
    </row>
    <row r="810" spans="1:12" ht="22" customHeight="1">
      <c r="A810" s="3"/>
      <c r="B810" s="7"/>
      <c r="C810" s="3"/>
      <c r="D810" s="3"/>
      <c r="E810" s="3"/>
      <c r="F810" s="3"/>
      <c r="G810" s="4"/>
      <c r="H810" s="4"/>
      <c r="I810" s="3"/>
      <c r="J810" s="3"/>
      <c r="K810" s="8" t="str">
        <f t="shared" si="12"/>
        <v/>
      </c>
      <c r="L810" s="1" t="str">
        <f>IF(COUNTA(A810:J810)=0,"",IF(OR(AND(C810&lt;&gt;"Servicio",C810&lt;&gt;"Cobro",C810&lt;&gt;"Anticipo",C810&lt;&gt;"Aplicación anticipo",C810&lt;&gt;"Retención ISR",C810&lt;&gt;"Retención IVA"),AND(C810="Servicio",F810&lt;&gt;"TMS",F810&lt;&gt;"Valoración",F810&lt;&gt;"EEG",F810&lt;&gt;"Neurofeedback",F810&lt;&gt;"Fotobiomodulación",F810&lt;&gt;"Psicoterapia",F810&lt;&gt;"Otros")),"Tipo o categoría inválido",IF(COUNTA(A810:J810)=0,"",IF(OR(A810="",B810="",C810="",G810=""),"Faltan datos",IF(COUNTIF($A$7:$A$2006,A810)&gt;1,"ID duplicado",IF(OR(B810&lt;DATE(Configuración!$C$5,1,1),B810&gt;=DATE(Configuración!$C$5+1,1,1)),"Fecha fuera del año",IF(OR(G810&lt;0,H810&lt;0),"Revisar signo",IF(AND(C810&lt;&gt;"Servicio",H810&lt;&gt;0),"IVA solo en Servicio",IF(AND(C810="Servicio",F810=""),"Falta servicio","OK")))))))))</f>
        <v/>
      </c>
    </row>
    <row r="811" spans="1:12" ht="22" customHeight="1">
      <c r="A811" s="3"/>
      <c r="B811" s="7"/>
      <c r="C811" s="3"/>
      <c r="D811" s="3"/>
      <c r="E811" s="3"/>
      <c r="F811" s="3"/>
      <c r="G811" s="4"/>
      <c r="H811" s="4"/>
      <c r="I811" s="3"/>
      <c r="J811" s="3"/>
      <c r="K811" s="8" t="str">
        <f t="shared" si="12"/>
        <v/>
      </c>
      <c r="L811" s="1" t="str">
        <f>IF(COUNTA(A811:J811)=0,"",IF(OR(AND(C811&lt;&gt;"Servicio",C811&lt;&gt;"Cobro",C811&lt;&gt;"Anticipo",C811&lt;&gt;"Aplicación anticipo",C811&lt;&gt;"Retención ISR",C811&lt;&gt;"Retención IVA"),AND(C811="Servicio",F811&lt;&gt;"TMS",F811&lt;&gt;"Valoración",F811&lt;&gt;"EEG",F811&lt;&gt;"Neurofeedback",F811&lt;&gt;"Fotobiomodulación",F811&lt;&gt;"Psicoterapia",F811&lt;&gt;"Otros")),"Tipo o categoría inválido",IF(COUNTA(A811:J811)=0,"",IF(OR(A811="",B811="",C811="",G811=""),"Faltan datos",IF(COUNTIF($A$7:$A$2006,A811)&gt;1,"ID duplicado",IF(OR(B811&lt;DATE(Configuración!$C$5,1,1),B811&gt;=DATE(Configuración!$C$5+1,1,1)),"Fecha fuera del año",IF(OR(G811&lt;0,H811&lt;0),"Revisar signo",IF(AND(C811&lt;&gt;"Servicio",H811&lt;&gt;0),"IVA solo en Servicio",IF(AND(C811="Servicio",F811=""),"Falta servicio","OK")))))))))</f>
        <v/>
      </c>
    </row>
    <row r="812" spans="1:12" ht="22" customHeight="1">
      <c r="A812" s="3"/>
      <c r="B812" s="7"/>
      <c r="C812" s="3"/>
      <c r="D812" s="3"/>
      <c r="E812" s="3"/>
      <c r="F812" s="3"/>
      <c r="G812" s="4"/>
      <c r="H812" s="4"/>
      <c r="I812" s="3"/>
      <c r="J812" s="3"/>
      <c r="K812" s="8" t="str">
        <f t="shared" si="12"/>
        <v/>
      </c>
      <c r="L812" s="1" t="str">
        <f>IF(COUNTA(A812:J812)=0,"",IF(OR(AND(C812&lt;&gt;"Servicio",C812&lt;&gt;"Cobro",C812&lt;&gt;"Anticipo",C812&lt;&gt;"Aplicación anticipo",C812&lt;&gt;"Retención ISR",C812&lt;&gt;"Retención IVA"),AND(C812="Servicio",F812&lt;&gt;"TMS",F812&lt;&gt;"Valoración",F812&lt;&gt;"EEG",F812&lt;&gt;"Neurofeedback",F812&lt;&gt;"Fotobiomodulación",F812&lt;&gt;"Psicoterapia",F812&lt;&gt;"Otros")),"Tipo o categoría inválido",IF(COUNTA(A812:J812)=0,"",IF(OR(A812="",B812="",C812="",G812=""),"Faltan datos",IF(COUNTIF($A$7:$A$2006,A812)&gt;1,"ID duplicado",IF(OR(B812&lt;DATE(Configuración!$C$5,1,1),B812&gt;=DATE(Configuración!$C$5+1,1,1)),"Fecha fuera del año",IF(OR(G812&lt;0,H812&lt;0),"Revisar signo",IF(AND(C812&lt;&gt;"Servicio",H812&lt;&gt;0),"IVA solo en Servicio",IF(AND(C812="Servicio",F812=""),"Falta servicio","OK")))))))))</f>
        <v/>
      </c>
    </row>
    <row r="813" spans="1:12" ht="22" customHeight="1">
      <c r="A813" s="3"/>
      <c r="B813" s="7"/>
      <c r="C813" s="3"/>
      <c r="D813" s="3"/>
      <c r="E813" s="3"/>
      <c r="F813" s="3"/>
      <c r="G813" s="4"/>
      <c r="H813" s="4"/>
      <c r="I813" s="3"/>
      <c r="J813" s="3"/>
      <c r="K813" s="8" t="str">
        <f t="shared" si="12"/>
        <v/>
      </c>
      <c r="L813" s="1" t="str">
        <f>IF(COUNTA(A813:J813)=0,"",IF(OR(AND(C813&lt;&gt;"Servicio",C813&lt;&gt;"Cobro",C813&lt;&gt;"Anticipo",C813&lt;&gt;"Aplicación anticipo",C813&lt;&gt;"Retención ISR",C813&lt;&gt;"Retención IVA"),AND(C813="Servicio",F813&lt;&gt;"TMS",F813&lt;&gt;"Valoración",F813&lt;&gt;"EEG",F813&lt;&gt;"Neurofeedback",F813&lt;&gt;"Fotobiomodulación",F813&lt;&gt;"Psicoterapia",F813&lt;&gt;"Otros")),"Tipo o categoría inválido",IF(COUNTA(A813:J813)=0,"",IF(OR(A813="",B813="",C813="",G813=""),"Faltan datos",IF(COUNTIF($A$7:$A$2006,A813)&gt;1,"ID duplicado",IF(OR(B813&lt;DATE(Configuración!$C$5,1,1),B813&gt;=DATE(Configuración!$C$5+1,1,1)),"Fecha fuera del año",IF(OR(G813&lt;0,H813&lt;0),"Revisar signo",IF(AND(C813&lt;&gt;"Servicio",H813&lt;&gt;0),"IVA solo en Servicio",IF(AND(C813="Servicio",F813=""),"Falta servicio","OK")))))))))</f>
        <v/>
      </c>
    </row>
    <row r="814" spans="1:12" ht="22" customHeight="1">
      <c r="A814" s="3"/>
      <c r="B814" s="7"/>
      <c r="C814" s="3"/>
      <c r="D814" s="3"/>
      <c r="E814" s="3"/>
      <c r="F814" s="3"/>
      <c r="G814" s="4"/>
      <c r="H814" s="4"/>
      <c r="I814" s="3"/>
      <c r="J814" s="3"/>
      <c r="K814" s="8" t="str">
        <f t="shared" si="12"/>
        <v/>
      </c>
      <c r="L814" s="1" t="str">
        <f>IF(COUNTA(A814:J814)=0,"",IF(OR(AND(C814&lt;&gt;"Servicio",C814&lt;&gt;"Cobro",C814&lt;&gt;"Anticipo",C814&lt;&gt;"Aplicación anticipo",C814&lt;&gt;"Retención ISR",C814&lt;&gt;"Retención IVA"),AND(C814="Servicio",F814&lt;&gt;"TMS",F814&lt;&gt;"Valoración",F814&lt;&gt;"EEG",F814&lt;&gt;"Neurofeedback",F814&lt;&gt;"Fotobiomodulación",F814&lt;&gt;"Psicoterapia",F814&lt;&gt;"Otros")),"Tipo o categoría inválido",IF(COUNTA(A814:J814)=0,"",IF(OR(A814="",B814="",C814="",G814=""),"Faltan datos",IF(COUNTIF($A$7:$A$2006,A814)&gt;1,"ID duplicado",IF(OR(B814&lt;DATE(Configuración!$C$5,1,1),B814&gt;=DATE(Configuración!$C$5+1,1,1)),"Fecha fuera del año",IF(OR(G814&lt;0,H814&lt;0),"Revisar signo",IF(AND(C814&lt;&gt;"Servicio",H814&lt;&gt;0),"IVA solo en Servicio",IF(AND(C814="Servicio",F814=""),"Falta servicio","OK")))))))))</f>
        <v/>
      </c>
    </row>
    <row r="815" spans="1:12" ht="22" customHeight="1">
      <c r="A815" s="3"/>
      <c r="B815" s="7"/>
      <c r="C815" s="3"/>
      <c r="D815" s="3"/>
      <c r="E815" s="3"/>
      <c r="F815" s="3"/>
      <c r="G815" s="4"/>
      <c r="H815" s="4"/>
      <c r="I815" s="3"/>
      <c r="J815" s="3"/>
      <c r="K815" s="8" t="str">
        <f t="shared" si="12"/>
        <v/>
      </c>
      <c r="L815" s="1" t="str">
        <f>IF(COUNTA(A815:J815)=0,"",IF(OR(AND(C815&lt;&gt;"Servicio",C815&lt;&gt;"Cobro",C815&lt;&gt;"Anticipo",C815&lt;&gt;"Aplicación anticipo",C815&lt;&gt;"Retención ISR",C815&lt;&gt;"Retención IVA"),AND(C815="Servicio",F815&lt;&gt;"TMS",F815&lt;&gt;"Valoración",F815&lt;&gt;"EEG",F815&lt;&gt;"Neurofeedback",F815&lt;&gt;"Fotobiomodulación",F815&lt;&gt;"Psicoterapia",F815&lt;&gt;"Otros")),"Tipo o categoría inválido",IF(COUNTA(A815:J815)=0,"",IF(OR(A815="",B815="",C815="",G815=""),"Faltan datos",IF(COUNTIF($A$7:$A$2006,A815)&gt;1,"ID duplicado",IF(OR(B815&lt;DATE(Configuración!$C$5,1,1),B815&gt;=DATE(Configuración!$C$5+1,1,1)),"Fecha fuera del año",IF(OR(G815&lt;0,H815&lt;0),"Revisar signo",IF(AND(C815&lt;&gt;"Servicio",H815&lt;&gt;0),"IVA solo en Servicio",IF(AND(C815="Servicio",F815=""),"Falta servicio","OK")))))))))</f>
        <v/>
      </c>
    </row>
    <row r="816" spans="1:12" ht="22" customHeight="1">
      <c r="A816" s="3"/>
      <c r="B816" s="7"/>
      <c r="C816" s="3"/>
      <c r="D816" s="3"/>
      <c r="E816" s="3"/>
      <c r="F816" s="3"/>
      <c r="G816" s="4"/>
      <c r="H816" s="4"/>
      <c r="I816" s="3"/>
      <c r="J816" s="3"/>
      <c r="K816" s="8" t="str">
        <f t="shared" si="12"/>
        <v/>
      </c>
      <c r="L816" s="1" t="str">
        <f>IF(COUNTA(A816:J816)=0,"",IF(OR(AND(C816&lt;&gt;"Servicio",C816&lt;&gt;"Cobro",C816&lt;&gt;"Anticipo",C816&lt;&gt;"Aplicación anticipo",C816&lt;&gt;"Retención ISR",C816&lt;&gt;"Retención IVA"),AND(C816="Servicio",F816&lt;&gt;"TMS",F816&lt;&gt;"Valoración",F816&lt;&gt;"EEG",F816&lt;&gt;"Neurofeedback",F816&lt;&gt;"Fotobiomodulación",F816&lt;&gt;"Psicoterapia",F816&lt;&gt;"Otros")),"Tipo o categoría inválido",IF(COUNTA(A816:J816)=0,"",IF(OR(A816="",B816="",C816="",G816=""),"Faltan datos",IF(COUNTIF($A$7:$A$2006,A816)&gt;1,"ID duplicado",IF(OR(B816&lt;DATE(Configuración!$C$5,1,1),B816&gt;=DATE(Configuración!$C$5+1,1,1)),"Fecha fuera del año",IF(OR(G816&lt;0,H816&lt;0),"Revisar signo",IF(AND(C816&lt;&gt;"Servicio",H816&lt;&gt;0),"IVA solo en Servicio",IF(AND(C816="Servicio",F816=""),"Falta servicio","OK")))))))))</f>
        <v/>
      </c>
    </row>
    <row r="817" spans="1:12" ht="22" customHeight="1">
      <c r="A817" s="3"/>
      <c r="B817" s="7"/>
      <c r="C817" s="3"/>
      <c r="D817" s="3"/>
      <c r="E817" s="3"/>
      <c r="F817" s="3"/>
      <c r="G817" s="4"/>
      <c r="H817" s="4"/>
      <c r="I817" s="3"/>
      <c r="J817" s="3"/>
      <c r="K817" s="8" t="str">
        <f t="shared" si="12"/>
        <v/>
      </c>
      <c r="L817" s="1" t="str">
        <f>IF(COUNTA(A817:J817)=0,"",IF(OR(AND(C817&lt;&gt;"Servicio",C817&lt;&gt;"Cobro",C817&lt;&gt;"Anticipo",C817&lt;&gt;"Aplicación anticipo",C817&lt;&gt;"Retención ISR",C817&lt;&gt;"Retención IVA"),AND(C817="Servicio",F817&lt;&gt;"TMS",F817&lt;&gt;"Valoración",F817&lt;&gt;"EEG",F817&lt;&gt;"Neurofeedback",F817&lt;&gt;"Fotobiomodulación",F817&lt;&gt;"Psicoterapia",F817&lt;&gt;"Otros")),"Tipo o categoría inválido",IF(COUNTA(A817:J817)=0,"",IF(OR(A817="",B817="",C817="",G817=""),"Faltan datos",IF(COUNTIF($A$7:$A$2006,A817)&gt;1,"ID duplicado",IF(OR(B817&lt;DATE(Configuración!$C$5,1,1),B817&gt;=DATE(Configuración!$C$5+1,1,1)),"Fecha fuera del año",IF(OR(G817&lt;0,H817&lt;0),"Revisar signo",IF(AND(C817&lt;&gt;"Servicio",H817&lt;&gt;0),"IVA solo en Servicio",IF(AND(C817="Servicio",F817=""),"Falta servicio","OK")))))))))</f>
        <v/>
      </c>
    </row>
    <row r="818" spans="1:12" ht="22" customHeight="1">
      <c r="A818" s="3"/>
      <c r="B818" s="7"/>
      <c r="C818" s="3"/>
      <c r="D818" s="3"/>
      <c r="E818" s="3"/>
      <c r="F818" s="3"/>
      <c r="G818" s="4"/>
      <c r="H818" s="4"/>
      <c r="I818" s="3"/>
      <c r="J818" s="3"/>
      <c r="K818" s="8" t="str">
        <f t="shared" si="12"/>
        <v/>
      </c>
      <c r="L818" s="1" t="str">
        <f>IF(COUNTA(A818:J818)=0,"",IF(OR(AND(C818&lt;&gt;"Servicio",C818&lt;&gt;"Cobro",C818&lt;&gt;"Anticipo",C818&lt;&gt;"Aplicación anticipo",C818&lt;&gt;"Retención ISR",C818&lt;&gt;"Retención IVA"),AND(C818="Servicio",F818&lt;&gt;"TMS",F818&lt;&gt;"Valoración",F818&lt;&gt;"EEG",F818&lt;&gt;"Neurofeedback",F818&lt;&gt;"Fotobiomodulación",F818&lt;&gt;"Psicoterapia",F818&lt;&gt;"Otros")),"Tipo o categoría inválido",IF(COUNTA(A818:J818)=0,"",IF(OR(A818="",B818="",C818="",G818=""),"Faltan datos",IF(COUNTIF($A$7:$A$2006,A818)&gt;1,"ID duplicado",IF(OR(B818&lt;DATE(Configuración!$C$5,1,1),B818&gt;=DATE(Configuración!$C$5+1,1,1)),"Fecha fuera del año",IF(OR(G818&lt;0,H818&lt;0),"Revisar signo",IF(AND(C818&lt;&gt;"Servicio",H818&lt;&gt;0),"IVA solo en Servicio",IF(AND(C818="Servicio",F818=""),"Falta servicio","OK")))))))))</f>
        <v/>
      </c>
    </row>
    <row r="819" spans="1:12" ht="22" customHeight="1">
      <c r="A819" s="3"/>
      <c r="B819" s="7"/>
      <c r="C819" s="3"/>
      <c r="D819" s="3"/>
      <c r="E819" s="3"/>
      <c r="F819" s="3"/>
      <c r="G819" s="4"/>
      <c r="H819" s="4"/>
      <c r="I819" s="3"/>
      <c r="J819" s="3"/>
      <c r="K819" s="8" t="str">
        <f t="shared" si="12"/>
        <v/>
      </c>
      <c r="L819" s="1" t="str">
        <f>IF(COUNTA(A819:J819)=0,"",IF(OR(AND(C819&lt;&gt;"Servicio",C819&lt;&gt;"Cobro",C819&lt;&gt;"Anticipo",C819&lt;&gt;"Aplicación anticipo",C819&lt;&gt;"Retención ISR",C819&lt;&gt;"Retención IVA"),AND(C819="Servicio",F819&lt;&gt;"TMS",F819&lt;&gt;"Valoración",F819&lt;&gt;"EEG",F819&lt;&gt;"Neurofeedback",F819&lt;&gt;"Fotobiomodulación",F819&lt;&gt;"Psicoterapia",F819&lt;&gt;"Otros")),"Tipo o categoría inválido",IF(COUNTA(A819:J819)=0,"",IF(OR(A819="",B819="",C819="",G819=""),"Faltan datos",IF(COUNTIF($A$7:$A$2006,A819)&gt;1,"ID duplicado",IF(OR(B819&lt;DATE(Configuración!$C$5,1,1),B819&gt;=DATE(Configuración!$C$5+1,1,1)),"Fecha fuera del año",IF(OR(G819&lt;0,H819&lt;0),"Revisar signo",IF(AND(C819&lt;&gt;"Servicio",H819&lt;&gt;0),"IVA solo en Servicio",IF(AND(C819="Servicio",F819=""),"Falta servicio","OK")))))))))</f>
        <v/>
      </c>
    </row>
    <row r="820" spans="1:12" ht="22" customHeight="1">
      <c r="A820" s="3"/>
      <c r="B820" s="7"/>
      <c r="C820" s="3"/>
      <c r="D820" s="3"/>
      <c r="E820" s="3"/>
      <c r="F820" s="3"/>
      <c r="G820" s="4"/>
      <c r="H820" s="4"/>
      <c r="I820" s="3"/>
      <c r="J820" s="3"/>
      <c r="K820" s="8" t="str">
        <f t="shared" si="12"/>
        <v/>
      </c>
      <c r="L820" s="1" t="str">
        <f>IF(COUNTA(A820:J820)=0,"",IF(OR(AND(C820&lt;&gt;"Servicio",C820&lt;&gt;"Cobro",C820&lt;&gt;"Anticipo",C820&lt;&gt;"Aplicación anticipo",C820&lt;&gt;"Retención ISR",C820&lt;&gt;"Retención IVA"),AND(C820="Servicio",F820&lt;&gt;"TMS",F820&lt;&gt;"Valoración",F820&lt;&gt;"EEG",F820&lt;&gt;"Neurofeedback",F820&lt;&gt;"Fotobiomodulación",F820&lt;&gt;"Psicoterapia",F820&lt;&gt;"Otros")),"Tipo o categoría inválido",IF(COUNTA(A820:J820)=0,"",IF(OR(A820="",B820="",C820="",G820=""),"Faltan datos",IF(COUNTIF($A$7:$A$2006,A820)&gt;1,"ID duplicado",IF(OR(B820&lt;DATE(Configuración!$C$5,1,1),B820&gt;=DATE(Configuración!$C$5+1,1,1)),"Fecha fuera del año",IF(OR(G820&lt;0,H820&lt;0),"Revisar signo",IF(AND(C820&lt;&gt;"Servicio",H820&lt;&gt;0),"IVA solo en Servicio",IF(AND(C820="Servicio",F820=""),"Falta servicio","OK")))))))))</f>
        <v/>
      </c>
    </row>
    <row r="821" spans="1:12" ht="22" customHeight="1">
      <c r="A821" s="3"/>
      <c r="B821" s="7"/>
      <c r="C821" s="3"/>
      <c r="D821" s="3"/>
      <c r="E821" s="3"/>
      <c r="F821" s="3"/>
      <c r="G821" s="4"/>
      <c r="H821" s="4"/>
      <c r="I821" s="3"/>
      <c r="J821" s="3"/>
      <c r="K821" s="8" t="str">
        <f t="shared" si="12"/>
        <v/>
      </c>
      <c r="L821" s="1" t="str">
        <f>IF(COUNTA(A821:J821)=0,"",IF(OR(AND(C821&lt;&gt;"Servicio",C821&lt;&gt;"Cobro",C821&lt;&gt;"Anticipo",C821&lt;&gt;"Aplicación anticipo",C821&lt;&gt;"Retención ISR",C821&lt;&gt;"Retención IVA"),AND(C821="Servicio",F821&lt;&gt;"TMS",F821&lt;&gt;"Valoración",F821&lt;&gt;"EEG",F821&lt;&gt;"Neurofeedback",F821&lt;&gt;"Fotobiomodulación",F821&lt;&gt;"Psicoterapia",F821&lt;&gt;"Otros")),"Tipo o categoría inválido",IF(COUNTA(A821:J821)=0,"",IF(OR(A821="",B821="",C821="",G821=""),"Faltan datos",IF(COUNTIF($A$7:$A$2006,A821)&gt;1,"ID duplicado",IF(OR(B821&lt;DATE(Configuración!$C$5,1,1),B821&gt;=DATE(Configuración!$C$5+1,1,1)),"Fecha fuera del año",IF(OR(G821&lt;0,H821&lt;0),"Revisar signo",IF(AND(C821&lt;&gt;"Servicio",H821&lt;&gt;0),"IVA solo en Servicio",IF(AND(C821="Servicio",F821=""),"Falta servicio","OK")))))))))</f>
        <v/>
      </c>
    </row>
    <row r="822" spans="1:12" ht="22" customHeight="1">
      <c r="A822" s="3"/>
      <c r="B822" s="7"/>
      <c r="C822" s="3"/>
      <c r="D822" s="3"/>
      <c r="E822" s="3"/>
      <c r="F822" s="3"/>
      <c r="G822" s="4"/>
      <c r="H822" s="4"/>
      <c r="I822" s="3"/>
      <c r="J822" s="3"/>
      <c r="K822" s="8" t="str">
        <f t="shared" si="12"/>
        <v/>
      </c>
      <c r="L822" s="1" t="str">
        <f>IF(COUNTA(A822:J822)=0,"",IF(OR(AND(C822&lt;&gt;"Servicio",C822&lt;&gt;"Cobro",C822&lt;&gt;"Anticipo",C822&lt;&gt;"Aplicación anticipo",C822&lt;&gt;"Retención ISR",C822&lt;&gt;"Retención IVA"),AND(C822="Servicio",F822&lt;&gt;"TMS",F822&lt;&gt;"Valoración",F822&lt;&gt;"EEG",F822&lt;&gt;"Neurofeedback",F822&lt;&gt;"Fotobiomodulación",F822&lt;&gt;"Psicoterapia",F822&lt;&gt;"Otros")),"Tipo o categoría inválido",IF(COUNTA(A822:J822)=0,"",IF(OR(A822="",B822="",C822="",G822=""),"Faltan datos",IF(COUNTIF($A$7:$A$2006,A822)&gt;1,"ID duplicado",IF(OR(B822&lt;DATE(Configuración!$C$5,1,1),B822&gt;=DATE(Configuración!$C$5+1,1,1)),"Fecha fuera del año",IF(OR(G822&lt;0,H822&lt;0),"Revisar signo",IF(AND(C822&lt;&gt;"Servicio",H822&lt;&gt;0),"IVA solo en Servicio",IF(AND(C822="Servicio",F822=""),"Falta servicio","OK")))))))))</f>
        <v/>
      </c>
    </row>
    <row r="823" spans="1:12" ht="22" customHeight="1">
      <c r="A823" s="3"/>
      <c r="B823" s="7"/>
      <c r="C823" s="3"/>
      <c r="D823" s="3"/>
      <c r="E823" s="3"/>
      <c r="F823" s="3"/>
      <c r="G823" s="4"/>
      <c r="H823" s="4"/>
      <c r="I823" s="3"/>
      <c r="J823" s="3"/>
      <c r="K823" s="8" t="str">
        <f t="shared" si="12"/>
        <v/>
      </c>
      <c r="L823" s="1" t="str">
        <f>IF(COUNTA(A823:J823)=0,"",IF(OR(AND(C823&lt;&gt;"Servicio",C823&lt;&gt;"Cobro",C823&lt;&gt;"Anticipo",C823&lt;&gt;"Aplicación anticipo",C823&lt;&gt;"Retención ISR",C823&lt;&gt;"Retención IVA"),AND(C823="Servicio",F823&lt;&gt;"TMS",F823&lt;&gt;"Valoración",F823&lt;&gt;"EEG",F823&lt;&gt;"Neurofeedback",F823&lt;&gt;"Fotobiomodulación",F823&lt;&gt;"Psicoterapia",F823&lt;&gt;"Otros")),"Tipo o categoría inválido",IF(COUNTA(A823:J823)=0,"",IF(OR(A823="",B823="",C823="",G823=""),"Faltan datos",IF(COUNTIF($A$7:$A$2006,A823)&gt;1,"ID duplicado",IF(OR(B823&lt;DATE(Configuración!$C$5,1,1),B823&gt;=DATE(Configuración!$C$5+1,1,1)),"Fecha fuera del año",IF(OR(G823&lt;0,H823&lt;0),"Revisar signo",IF(AND(C823&lt;&gt;"Servicio",H823&lt;&gt;0),"IVA solo en Servicio",IF(AND(C823="Servicio",F823=""),"Falta servicio","OK")))))))))</f>
        <v/>
      </c>
    </row>
    <row r="824" spans="1:12" ht="22" customHeight="1">
      <c r="A824" s="3"/>
      <c r="B824" s="7"/>
      <c r="C824" s="3"/>
      <c r="D824" s="3"/>
      <c r="E824" s="3"/>
      <c r="F824" s="3"/>
      <c r="G824" s="4"/>
      <c r="H824" s="4"/>
      <c r="I824" s="3"/>
      <c r="J824" s="3"/>
      <c r="K824" s="8" t="str">
        <f t="shared" si="12"/>
        <v/>
      </c>
      <c r="L824" s="1" t="str">
        <f>IF(COUNTA(A824:J824)=0,"",IF(OR(AND(C824&lt;&gt;"Servicio",C824&lt;&gt;"Cobro",C824&lt;&gt;"Anticipo",C824&lt;&gt;"Aplicación anticipo",C824&lt;&gt;"Retención ISR",C824&lt;&gt;"Retención IVA"),AND(C824="Servicio",F824&lt;&gt;"TMS",F824&lt;&gt;"Valoración",F824&lt;&gt;"EEG",F824&lt;&gt;"Neurofeedback",F824&lt;&gt;"Fotobiomodulación",F824&lt;&gt;"Psicoterapia",F824&lt;&gt;"Otros")),"Tipo o categoría inválido",IF(COUNTA(A824:J824)=0,"",IF(OR(A824="",B824="",C824="",G824=""),"Faltan datos",IF(COUNTIF($A$7:$A$2006,A824)&gt;1,"ID duplicado",IF(OR(B824&lt;DATE(Configuración!$C$5,1,1),B824&gt;=DATE(Configuración!$C$5+1,1,1)),"Fecha fuera del año",IF(OR(G824&lt;0,H824&lt;0),"Revisar signo",IF(AND(C824&lt;&gt;"Servicio",H824&lt;&gt;0),"IVA solo en Servicio",IF(AND(C824="Servicio",F824=""),"Falta servicio","OK")))))))))</f>
        <v/>
      </c>
    </row>
    <row r="825" spans="1:12" ht="22" customHeight="1">
      <c r="A825" s="3"/>
      <c r="B825" s="7"/>
      <c r="C825" s="3"/>
      <c r="D825" s="3"/>
      <c r="E825" s="3"/>
      <c r="F825" s="3"/>
      <c r="G825" s="4"/>
      <c r="H825" s="4"/>
      <c r="I825" s="3"/>
      <c r="J825" s="3"/>
      <c r="K825" s="8" t="str">
        <f t="shared" si="12"/>
        <v/>
      </c>
      <c r="L825" s="1" t="str">
        <f>IF(COUNTA(A825:J825)=0,"",IF(OR(AND(C825&lt;&gt;"Servicio",C825&lt;&gt;"Cobro",C825&lt;&gt;"Anticipo",C825&lt;&gt;"Aplicación anticipo",C825&lt;&gt;"Retención ISR",C825&lt;&gt;"Retención IVA"),AND(C825="Servicio",F825&lt;&gt;"TMS",F825&lt;&gt;"Valoración",F825&lt;&gt;"EEG",F825&lt;&gt;"Neurofeedback",F825&lt;&gt;"Fotobiomodulación",F825&lt;&gt;"Psicoterapia",F825&lt;&gt;"Otros")),"Tipo o categoría inválido",IF(COUNTA(A825:J825)=0,"",IF(OR(A825="",B825="",C825="",G825=""),"Faltan datos",IF(COUNTIF($A$7:$A$2006,A825)&gt;1,"ID duplicado",IF(OR(B825&lt;DATE(Configuración!$C$5,1,1),B825&gt;=DATE(Configuración!$C$5+1,1,1)),"Fecha fuera del año",IF(OR(G825&lt;0,H825&lt;0),"Revisar signo",IF(AND(C825&lt;&gt;"Servicio",H825&lt;&gt;0),"IVA solo en Servicio",IF(AND(C825="Servicio",F825=""),"Falta servicio","OK")))))))))</f>
        <v/>
      </c>
    </row>
    <row r="826" spans="1:12" ht="22" customHeight="1">
      <c r="A826" s="3"/>
      <c r="B826" s="7"/>
      <c r="C826" s="3"/>
      <c r="D826" s="3"/>
      <c r="E826" s="3"/>
      <c r="F826" s="3"/>
      <c r="G826" s="4"/>
      <c r="H826" s="4"/>
      <c r="I826" s="3"/>
      <c r="J826" s="3"/>
      <c r="K826" s="8" t="str">
        <f t="shared" si="12"/>
        <v/>
      </c>
      <c r="L826" s="1" t="str">
        <f>IF(COUNTA(A826:J826)=0,"",IF(OR(AND(C826&lt;&gt;"Servicio",C826&lt;&gt;"Cobro",C826&lt;&gt;"Anticipo",C826&lt;&gt;"Aplicación anticipo",C826&lt;&gt;"Retención ISR",C826&lt;&gt;"Retención IVA"),AND(C826="Servicio",F826&lt;&gt;"TMS",F826&lt;&gt;"Valoración",F826&lt;&gt;"EEG",F826&lt;&gt;"Neurofeedback",F826&lt;&gt;"Fotobiomodulación",F826&lt;&gt;"Psicoterapia",F826&lt;&gt;"Otros")),"Tipo o categoría inválido",IF(COUNTA(A826:J826)=0,"",IF(OR(A826="",B826="",C826="",G826=""),"Faltan datos",IF(COUNTIF($A$7:$A$2006,A826)&gt;1,"ID duplicado",IF(OR(B826&lt;DATE(Configuración!$C$5,1,1),B826&gt;=DATE(Configuración!$C$5+1,1,1)),"Fecha fuera del año",IF(OR(G826&lt;0,H826&lt;0),"Revisar signo",IF(AND(C826&lt;&gt;"Servicio",H826&lt;&gt;0),"IVA solo en Servicio",IF(AND(C826="Servicio",F826=""),"Falta servicio","OK")))))))))</f>
        <v/>
      </c>
    </row>
    <row r="827" spans="1:12" ht="22" customHeight="1">
      <c r="A827" s="3"/>
      <c r="B827" s="7"/>
      <c r="C827" s="3"/>
      <c r="D827" s="3"/>
      <c r="E827" s="3"/>
      <c r="F827" s="3"/>
      <c r="G827" s="4"/>
      <c r="H827" s="4"/>
      <c r="I827" s="3"/>
      <c r="J827" s="3"/>
      <c r="K827" s="8" t="str">
        <f t="shared" si="12"/>
        <v/>
      </c>
      <c r="L827" s="1" t="str">
        <f>IF(COUNTA(A827:J827)=0,"",IF(OR(AND(C827&lt;&gt;"Servicio",C827&lt;&gt;"Cobro",C827&lt;&gt;"Anticipo",C827&lt;&gt;"Aplicación anticipo",C827&lt;&gt;"Retención ISR",C827&lt;&gt;"Retención IVA"),AND(C827="Servicio",F827&lt;&gt;"TMS",F827&lt;&gt;"Valoración",F827&lt;&gt;"EEG",F827&lt;&gt;"Neurofeedback",F827&lt;&gt;"Fotobiomodulación",F827&lt;&gt;"Psicoterapia",F827&lt;&gt;"Otros")),"Tipo o categoría inválido",IF(COUNTA(A827:J827)=0,"",IF(OR(A827="",B827="",C827="",G827=""),"Faltan datos",IF(COUNTIF($A$7:$A$2006,A827)&gt;1,"ID duplicado",IF(OR(B827&lt;DATE(Configuración!$C$5,1,1),B827&gt;=DATE(Configuración!$C$5+1,1,1)),"Fecha fuera del año",IF(OR(G827&lt;0,H827&lt;0),"Revisar signo",IF(AND(C827&lt;&gt;"Servicio",H827&lt;&gt;0),"IVA solo en Servicio",IF(AND(C827="Servicio",F827=""),"Falta servicio","OK")))))))))</f>
        <v/>
      </c>
    </row>
    <row r="828" spans="1:12" ht="22" customHeight="1">
      <c r="A828" s="3"/>
      <c r="B828" s="7"/>
      <c r="C828" s="3"/>
      <c r="D828" s="3"/>
      <c r="E828" s="3"/>
      <c r="F828" s="3"/>
      <c r="G828" s="4"/>
      <c r="H828" s="4"/>
      <c r="I828" s="3"/>
      <c r="J828" s="3"/>
      <c r="K828" s="8" t="str">
        <f t="shared" si="12"/>
        <v/>
      </c>
      <c r="L828" s="1" t="str">
        <f>IF(COUNTA(A828:J828)=0,"",IF(OR(AND(C828&lt;&gt;"Servicio",C828&lt;&gt;"Cobro",C828&lt;&gt;"Anticipo",C828&lt;&gt;"Aplicación anticipo",C828&lt;&gt;"Retención ISR",C828&lt;&gt;"Retención IVA"),AND(C828="Servicio",F828&lt;&gt;"TMS",F828&lt;&gt;"Valoración",F828&lt;&gt;"EEG",F828&lt;&gt;"Neurofeedback",F828&lt;&gt;"Fotobiomodulación",F828&lt;&gt;"Psicoterapia",F828&lt;&gt;"Otros")),"Tipo o categoría inválido",IF(COUNTA(A828:J828)=0,"",IF(OR(A828="",B828="",C828="",G828=""),"Faltan datos",IF(COUNTIF($A$7:$A$2006,A828)&gt;1,"ID duplicado",IF(OR(B828&lt;DATE(Configuración!$C$5,1,1),B828&gt;=DATE(Configuración!$C$5+1,1,1)),"Fecha fuera del año",IF(OR(G828&lt;0,H828&lt;0),"Revisar signo",IF(AND(C828&lt;&gt;"Servicio",H828&lt;&gt;0),"IVA solo en Servicio",IF(AND(C828="Servicio",F828=""),"Falta servicio","OK")))))))))</f>
        <v/>
      </c>
    </row>
    <row r="829" spans="1:12" ht="22" customHeight="1">
      <c r="A829" s="3"/>
      <c r="B829" s="7"/>
      <c r="C829" s="3"/>
      <c r="D829" s="3"/>
      <c r="E829" s="3"/>
      <c r="F829" s="3"/>
      <c r="G829" s="4"/>
      <c r="H829" s="4"/>
      <c r="I829" s="3"/>
      <c r="J829" s="3"/>
      <c r="K829" s="8" t="str">
        <f t="shared" si="12"/>
        <v/>
      </c>
      <c r="L829" s="1" t="str">
        <f>IF(COUNTA(A829:J829)=0,"",IF(OR(AND(C829&lt;&gt;"Servicio",C829&lt;&gt;"Cobro",C829&lt;&gt;"Anticipo",C829&lt;&gt;"Aplicación anticipo",C829&lt;&gt;"Retención ISR",C829&lt;&gt;"Retención IVA"),AND(C829="Servicio",F829&lt;&gt;"TMS",F829&lt;&gt;"Valoración",F829&lt;&gt;"EEG",F829&lt;&gt;"Neurofeedback",F829&lt;&gt;"Fotobiomodulación",F829&lt;&gt;"Psicoterapia",F829&lt;&gt;"Otros")),"Tipo o categoría inválido",IF(COUNTA(A829:J829)=0,"",IF(OR(A829="",B829="",C829="",G829=""),"Faltan datos",IF(COUNTIF($A$7:$A$2006,A829)&gt;1,"ID duplicado",IF(OR(B829&lt;DATE(Configuración!$C$5,1,1),B829&gt;=DATE(Configuración!$C$5+1,1,1)),"Fecha fuera del año",IF(OR(G829&lt;0,H829&lt;0),"Revisar signo",IF(AND(C829&lt;&gt;"Servicio",H829&lt;&gt;0),"IVA solo en Servicio",IF(AND(C829="Servicio",F829=""),"Falta servicio","OK")))))))))</f>
        <v/>
      </c>
    </row>
    <row r="830" spans="1:12" ht="22" customHeight="1">
      <c r="A830" s="3"/>
      <c r="B830" s="7"/>
      <c r="C830" s="3"/>
      <c r="D830" s="3"/>
      <c r="E830" s="3"/>
      <c r="F830" s="3"/>
      <c r="G830" s="4"/>
      <c r="H830" s="4"/>
      <c r="I830" s="3"/>
      <c r="J830" s="3"/>
      <c r="K830" s="8" t="str">
        <f t="shared" si="12"/>
        <v/>
      </c>
      <c r="L830" s="1" t="str">
        <f>IF(COUNTA(A830:J830)=0,"",IF(OR(AND(C830&lt;&gt;"Servicio",C830&lt;&gt;"Cobro",C830&lt;&gt;"Anticipo",C830&lt;&gt;"Aplicación anticipo",C830&lt;&gt;"Retención ISR",C830&lt;&gt;"Retención IVA"),AND(C830="Servicio",F830&lt;&gt;"TMS",F830&lt;&gt;"Valoración",F830&lt;&gt;"EEG",F830&lt;&gt;"Neurofeedback",F830&lt;&gt;"Fotobiomodulación",F830&lt;&gt;"Psicoterapia",F830&lt;&gt;"Otros")),"Tipo o categoría inválido",IF(COUNTA(A830:J830)=0,"",IF(OR(A830="",B830="",C830="",G830=""),"Faltan datos",IF(COUNTIF($A$7:$A$2006,A830)&gt;1,"ID duplicado",IF(OR(B830&lt;DATE(Configuración!$C$5,1,1),B830&gt;=DATE(Configuración!$C$5+1,1,1)),"Fecha fuera del año",IF(OR(G830&lt;0,H830&lt;0),"Revisar signo",IF(AND(C830&lt;&gt;"Servicio",H830&lt;&gt;0),"IVA solo en Servicio",IF(AND(C830="Servicio",F830=""),"Falta servicio","OK")))))))))</f>
        <v/>
      </c>
    </row>
    <row r="831" spans="1:12" ht="22" customHeight="1">
      <c r="A831" s="3"/>
      <c r="B831" s="7"/>
      <c r="C831" s="3"/>
      <c r="D831" s="3"/>
      <c r="E831" s="3"/>
      <c r="F831" s="3"/>
      <c r="G831" s="4"/>
      <c r="H831" s="4"/>
      <c r="I831" s="3"/>
      <c r="J831" s="3"/>
      <c r="K831" s="8" t="str">
        <f t="shared" si="12"/>
        <v/>
      </c>
      <c r="L831" s="1" t="str">
        <f>IF(COUNTA(A831:J831)=0,"",IF(OR(AND(C831&lt;&gt;"Servicio",C831&lt;&gt;"Cobro",C831&lt;&gt;"Anticipo",C831&lt;&gt;"Aplicación anticipo",C831&lt;&gt;"Retención ISR",C831&lt;&gt;"Retención IVA"),AND(C831="Servicio",F831&lt;&gt;"TMS",F831&lt;&gt;"Valoración",F831&lt;&gt;"EEG",F831&lt;&gt;"Neurofeedback",F831&lt;&gt;"Fotobiomodulación",F831&lt;&gt;"Psicoterapia",F831&lt;&gt;"Otros")),"Tipo o categoría inválido",IF(COUNTA(A831:J831)=0,"",IF(OR(A831="",B831="",C831="",G831=""),"Faltan datos",IF(COUNTIF($A$7:$A$2006,A831)&gt;1,"ID duplicado",IF(OR(B831&lt;DATE(Configuración!$C$5,1,1),B831&gt;=DATE(Configuración!$C$5+1,1,1)),"Fecha fuera del año",IF(OR(G831&lt;0,H831&lt;0),"Revisar signo",IF(AND(C831&lt;&gt;"Servicio",H831&lt;&gt;0),"IVA solo en Servicio",IF(AND(C831="Servicio",F831=""),"Falta servicio","OK")))))))))</f>
        <v/>
      </c>
    </row>
    <row r="832" spans="1:12" ht="22" customHeight="1">
      <c r="A832" s="3"/>
      <c r="B832" s="7"/>
      <c r="C832" s="3"/>
      <c r="D832" s="3"/>
      <c r="E832" s="3"/>
      <c r="F832" s="3"/>
      <c r="G832" s="4"/>
      <c r="H832" s="4"/>
      <c r="I832" s="3"/>
      <c r="J832" s="3"/>
      <c r="K832" s="8" t="str">
        <f t="shared" si="12"/>
        <v/>
      </c>
      <c r="L832" s="1" t="str">
        <f>IF(COUNTA(A832:J832)=0,"",IF(OR(AND(C832&lt;&gt;"Servicio",C832&lt;&gt;"Cobro",C832&lt;&gt;"Anticipo",C832&lt;&gt;"Aplicación anticipo",C832&lt;&gt;"Retención ISR",C832&lt;&gt;"Retención IVA"),AND(C832="Servicio",F832&lt;&gt;"TMS",F832&lt;&gt;"Valoración",F832&lt;&gt;"EEG",F832&lt;&gt;"Neurofeedback",F832&lt;&gt;"Fotobiomodulación",F832&lt;&gt;"Psicoterapia",F832&lt;&gt;"Otros")),"Tipo o categoría inválido",IF(COUNTA(A832:J832)=0,"",IF(OR(A832="",B832="",C832="",G832=""),"Faltan datos",IF(COUNTIF($A$7:$A$2006,A832)&gt;1,"ID duplicado",IF(OR(B832&lt;DATE(Configuración!$C$5,1,1),B832&gt;=DATE(Configuración!$C$5+1,1,1)),"Fecha fuera del año",IF(OR(G832&lt;0,H832&lt;0),"Revisar signo",IF(AND(C832&lt;&gt;"Servicio",H832&lt;&gt;0),"IVA solo en Servicio",IF(AND(C832="Servicio",F832=""),"Falta servicio","OK")))))))))</f>
        <v/>
      </c>
    </row>
    <row r="833" spans="1:12" ht="22" customHeight="1">
      <c r="A833" s="3"/>
      <c r="B833" s="7"/>
      <c r="C833" s="3"/>
      <c r="D833" s="3"/>
      <c r="E833" s="3"/>
      <c r="F833" s="3"/>
      <c r="G833" s="4"/>
      <c r="H833" s="4"/>
      <c r="I833" s="3"/>
      <c r="J833" s="3"/>
      <c r="K833" s="8" t="str">
        <f t="shared" si="12"/>
        <v/>
      </c>
      <c r="L833" s="1" t="str">
        <f>IF(COUNTA(A833:J833)=0,"",IF(OR(AND(C833&lt;&gt;"Servicio",C833&lt;&gt;"Cobro",C833&lt;&gt;"Anticipo",C833&lt;&gt;"Aplicación anticipo",C833&lt;&gt;"Retención ISR",C833&lt;&gt;"Retención IVA"),AND(C833="Servicio",F833&lt;&gt;"TMS",F833&lt;&gt;"Valoración",F833&lt;&gt;"EEG",F833&lt;&gt;"Neurofeedback",F833&lt;&gt;"Fotobiomodulación",F833&lt;&gt;"Psicoterapia",F833&lt;&gt;"Otros")),"Tipo o categoría inválido",IF(COUNTA(A833:J833)=0,"",IF(OR(A833="",B833="",C833="",G833=""),"Faltan datos",IF(COUNTIF($A$7:$A$2006,A833)&gt;1,"ID duplicado",IF(OR(B833&lt;DATE(Configuración!$C$5,1,1),B833&gt;=DATE(Configuración!$C$5+1,1,1)),"Fecha fuera del año",IF(OR(G833&lt;0,H833&lt;0),"Revisar signo",IF(AND(C833&lt;&gt;"Servicio",H833&lt;&gt;0),"IVA solo en Servicio",IF(AND(C833="Servicio",F833=""),"Falta servicio","OK")))))))))</f>
        <v/>
      </c>
    </row>
    <row r="834" spans="1:12" ht="22" customHeight="1">
      <c r="A834" s="3"/>
      <c r="B834" s="7"/>
      <c r="C834" s="3"/>
      <c r="D834" s="3"/>
      <c r="E834" s="3"/>
      <c r="F834" s="3"/>
      <c r="G834" s="4"/>
      <c r="H834" s="4"/>
      <c r="I834" s="3"/>
      <c r="J834" s="3"/>
      <c r="K834" s="8" t="str">
        <f t="shared" si="12"/>
        <v/>
      </c>
      <c r="L834" s="1" t="str">
        <f>IF(COUNTA(A834:J834)=0,"",IF(OR(AND(C834&lt;&gt;"Servicio",C834&lt;&gt;"Cobro",C834&lt;&gt;"Anticipo",C834&lt;&gt;"Aplicación anticipo",C834&lt;&gt;"Retención ISR",C834&lt;&gt;"Retención IVA"),AND(C834="Servicio",F834&lt;&gt;"TMS",F834&lt;&gt;"Valoración",F834&lt;&gt;"EEG",F834&lt;&gt;"Neurofeedback",F834&lt;&gt;"Fotobiomodulación",F834&lt;&gt;"Psicoterapia",F834&lt;&gt;"Otros")),"Tipo o categoría inválido",IF(COUNTA(A834:J834)=0,"",IF(OR(A834="",B834="",C834="",G834=""),"Faltan datos",IF(COUNTIF($A$7:$A$2006,A834)&gt;1,"ID duplicado",IF(OR(B834&lt;DATE(Configuración!$C$5,1,1),B834&gt;=DATE(Configuración!$C$5+1,1,1)),"Fecha fuera del año",IF(OR(G834&lt;0,H834&lt;0),"Revisar signo",IF(AND(C834&lt;&gt;"Servicio",H834&lt;&gt;0),"IVA solo en Servicio",IF(AND(C834="Servicio",F834=""),"Falta servicio","OK")))))))))</f>
        <v/>
      </c>
    </row>
    <row r="835" spans="1:12" ht="22" customHeight="1">
      <c r="A835" s="3"/>
      <c r="B835" s="7"/>
      <c r="C835" s="3"/>
      <c r="D835" s="3"/>
      <c r="E835" s="3"/>
      <c r="F835" s="3"/>
      <c r="G835" s="4"/>
      <c r="H835" s="4"/>
      <c r="I835" s="3"/>
      <c r="J835" s="3"/>
      <c r="K835" s="8" t="str">
        <f t="shared" si="12"/>
        <v/>
      </c>
      <c r="L835" s="1" t="str">
        <f>IF(COUNTA(A835:J835)=0,"",IF(OR(AND(C835&lt;&gt;"Servicio",C835&lt;&gt;"Cobro",C835&lt;&gt;"Anticipo",C835&lt;&gt;"Aplicación anticipo",C835&lt;&gt;"Retención ISR",C835&lt;&gt;"Retención IVA"),AND(C835="Servicio",F835&lt;&gt;"TMS",F835&lt;&gt;"Valoración",F835&lt;&gt;"EEG",F835&lt;&gt;"Neurofeedback",F835&lt;&gt;"Fotobiomodulación",F835&lt;&gt;"Psicoterapia",F835&lt;&gt;"Otros")),"Tipo o categoría inválido",IF(COUNTA(A835:J835)=0,"",IF(OR(A835="",B835="",C835="",G835=""),"Faltan datos",IF(COUNTIF($A$7:$A$2006,A835)&gt;1,"ID duplicado",IF(OR(B835&lt;DATE(Configuración!$C$5,1,1),B835&gt;=DATE(Configuración!$C$5+1,1,1)),"Fecha fuera del año",IF(OR(G835&lt;0,H835&lt;0),"Revisar signo",IF(AND(C835&lt;&gt;"Servicio",H835&lt;&gt;0),"IVA solo en Servicio",IF(AND(C835="Servicio",F835=""),"Falta servicio","OK")))))))))</f>
        <v/>
      </c>
    </row>
    <row r="836" spans="1:12" ht="22" customHeight="1">
      <c r="A836" s="3"/>
      <c r="B836" s="7"/>
      <c r="C836" s="3"/>
      <c r="D836" s="3"/>
      <c r="E836" s="3"/>
      <c r="F836" s="3"/>
      <c r="G836" s="4"/>
      <c r="H836" s="4"/>
      <c r="I836" s="3"/>
      <c r="J836" s="3"/>
      <c r="K836" s="8" t="str">
        <f t="shared" si="12"/>
        <v/>
      </c>
      <c r="L836" s="1" t="str">
        <f>IF(COUNTA(A836:J836)=0,"",IF(OR(AND(C836&lt;&gt;"Servicio",C836&lt;&gt;"Cobro",C836&lt;&gt;"Anticipo",C836&lt;&gt;"Aplicación anticipo",C836&lt;&gt;"Retención ISR",C836&lt;&gt;"Retención IVA"),AND(C836="Servicio",F836&lt;&gt;"TMS",F836&lt;&gt;"Valoración",F836&lt;&gt;"EEG",F836&lt;&gt;"Neurofeedback",F836&lt;&gt;"Fotobiomodulación",F836&lt;&gt;"Psicoterapia",F836&lt;&gt;"Otros")),"Tipo o categoría inválido",IF(COUNTA(A836:J836)=0,"",IF(OR(A836="",B836="",C836="",G836=""),"Faltan datos",IF(COUNTIF($A$7:$A$2006,A836)&gt;1,"ID duplicado",IF(OR(B836&lt;DATE(Configuración!$C$5,1,1),B836&gt;=DATE(Configuración!$C$5+1,1,1)),"Fecha fuera del año",IF(OR(G836&lt;0,H836&lt;0),"Revisar signo",IF(AND(C836&lt;&gt;"Servicio",H836&lt;&gt;0),"IVA solo en Servicio",IF(AND(C836="Servicio",F836=""),"Falta servicio","OK")))))))))</f>
        <v/>
      </c>
    </row>
    <row r="837" spans="1:12" ht="22" customHeight="1">
      <c r="A837" s="3"/>
      <c r="B837" s="7"/>
      <c r="C837" s="3"/>
      <c r="D837" s="3"/>
      <c r="E837" s="3"/>
      <c r="F837" s="3"/>
      <c r="G837" s="4"/>
      <c r="H837" s="4"/>
      <c r="I837" s="3"/>
      <c r="J837" s="3"/>
      <c r="K837" s="8" t="str">
        <f t="shared" si="12"/>
        <v/>
      </c>
      <c r="L837" s="1" t="str">
        <f>IF(COUNTA(A837:J837)=0,"",IF(OR(AND(C837&lt;&gt;"Servicio",C837&lt;&gt;"Cobro",C837&lt;&gt;"Anticipo",C837&lt;&gt;"Aplicación anticipo",C837&lt;&gt;"Retención ISR",C837&lt;&gt;"Retención IVA"),AND(C837="Servicio",F837&lt;&gt;"TMS",F837&lt;&gt;"Valoración",F837&lt;&gt;"EEG",F837&lt;&gt;"Neurofeedback",F837&lt;&gt;"Fotobiomodulación",F837&lt;&gt;"Psicoterapia",F837&lt;&gt;"Otros")),"Tipo o categoría inválido",IF(COUNTA(A837:J837)=0,"",IF(OR(A837="",B837="",C837="",G837=""),"Faltan datos",IF(COUNTIF($A$7:$A$2006,A837)&gt;1,"ID duplicado",IF(OR(B837&lt;DATE(Configuración!$C$5,1,1),B837&gt;=DATE(Configuración!$C$5+1,1,1)),"Fecha fuera del año",IF(OR(G837&lt;0,H837&lt;0),"Revisar signo",IF(AND(C837&lt;&gt;"Servicio",H837&lt;&gt;0),"IVA solo en Servicio",IF(AND(C837="Servicio",F837=""),"Falta servicio","OK")))))))))</f>
        <v/>
      </c>
    </row>
    <row r="838" spans="1:12" ht="22" customHeight="1">
      <c r="A838" s="3"/>
      <c r="B838" s="7"/>
      <c r="C838" s="3"/>
      <c r="D838" s="3"/>
      <c r="E838" s="3"/>
      <c r="F838" s="3"/>
      <c r="G838" s="4"/>
      <c r="H838" s="4"/>
      <c r="I838" s="3"/>
      <c r="J838" s="3"/>
      <c r="K838" s="8" t="str">
        <f t="shared" si="12"/>
        <v/>
      </c>
      <c r="L838" s="1" t="str">
        <f>IF(COUNTA(A838:J838)=0,"",IF(OR(AND(C838&lt;&gt;"Servicio",C838&lt;&gt;"Cobro",C838&lt;&gt;"Anticipo",C838&lt;&gt;"Aplicación anticipo",C838&lt;&gt;"Retención ISR",C838&lt;&gt;"Retención IVA"),AND(C838="Servicio",F838&lt;&gt;"TMS",F838&lt;&gt;"Valoración",F838&lt;&gt;"EEG",F838&lt;&gt;"Neurofeedback",F838&lt;&gt;"Fotobiomodulación",F838&lt;&gt;"Psicoterapia",F838&lt;&gt;"Otros")),"Tipo o categoría inválido",IF(COUNTA(A838:J838)=0,"",IF(OR(A838="",B838="",C838="",G838=""),"Faltan datos",IF(COUNTIF($A$7:$A$2006,A838)&gt;1,"ID duplicado",IF(OR(B838&lt;DATE(Configuración!$C$5,1,1),B838&gt;=DATE(Configuración!$C$5+1,1,1)),"Fecha fuera del año",IF(OR(G838&lt;0,H838&lt;0),"Revisar signo",IF(AND(C838&lt;&gt;"Servicio",H838&lt;&gt;0),"IVA solo en Servicio",IF(AND(C838="Servicio",F838=""),"Falta servicio","OK")))))))))</f>
        <v/>
      </c>
    </row>
    <row r="839" spans="1:12" ht="22" customHeight="1">
      <c r="A839" s="3"/>
      <c r="B839" s="7"/>
      <c r="C839" s="3"/>
      <c r="D839" s="3"/>
      <c r="E839" s="3"/>
      <c r="F839" s="3"/>
      <c r="G839" s="4"/>
      <c r="H839" s="4"/>
      <c r="I839" s="3"/>
      <c r="J839" s="3"/>
      <c r="K839" s="8" t="str">
        <f t="shared" ref="K839:K902" si="13">IF(A839="","",G839+H839)</f>
        <v/>
      </c>
      <c r="L839" s="1" t="str">
        <f>IF(COUNTA(A839:J839)=0,"",IF(OR(AND(C839&lt;&gt;"Servicio",C839&lt;&gt;"Cobro",C839&lt;&gt;"Anticipo",C839&lt;&gt;"Aplicación anticipo",C839&lt;&gt;"Retención ISR",C839&lt;&gt;"Retención IVA"),AND(C839="Servicio",F839&lt;&gt;"TMS",F839&lt;&gt;"Valoración",F839&lt;&gt;"EEG",F839&lt;&gt;"Neurofeedback",F839&lt;&gt;"Fotobiomodulación",F839&lt;&gt;"Psicoterapia",F839&lt;&gt;"Otros")),"Tipo o categoría inválido",IF(COUNTA(A839:J839)=0,"",IF(OR(A839="",B839="",C839="",G839=""),"Faltan datos",IF(COUNTIF($A$7:$A$2006,A839)&gt;1,"ID duplicado",IF(OR(B839&lt;DATE(Configuración!$C$5,1,1),B839&gt;=DATE(Configuración!$C$5+1,1,1)),"Fecha fuera del año",IF(OR(G839&lt;0,H839&lt;0),"Revisar signo",IF(AND(C839&lt;&gt;"Servicio",H839&lt;&gt;0),"IVA solo en Servicio",IF(AND(C839="Servicio",F839=""),"Falta servicio","OK")))))))))</f>
        <v/>
      </c>
    </row>
    <row r="840" spans="1:12" ht="22" customHeight="1">
      <c r="A840" s="3"/>
      <c r="B840" s="7"/>
      <c r="C840" s="3"/>
      <c r="D840" s="3"/>
      <c r="E840" s="3"/>
      <c r="F840" s="3"/>
      <c r="G840" s="4"/>
      <c r="H840" s="4"/>
      <c r="I840" s="3"/>
      <c r="J840" s="3"/>
      <c r="K840" s="8" t="str">
        <f t="shared" si="13"/>
        <v/>
      </c>
      <c r="L840" s="1" t="str">
        <f>IF(COUNTA(A840:J840)=0,"",IF(OR(AND(C840&lt;&gt;"Servicio",C840&lt;&gt;"Cobro",C840&lt;&gt;"Anticipo",C840&lt;&gt;"Aplicación anticipo",C840&lt;&gt;"Retención ISR",C840&lt;&gt;"Retención IVA"),AND(C840="Servicio",F840&lt;&gt;"TMS",F840&lt;&gt;"Valoración",F840&lt;&gt;"EEG",F840&lt;&gt;"Neurofeedback",F840&lt;&gt;"Fotobiomodulación",F840&lt;&gt;"Psicoterapia",F840&lt;&gt;"Otros")),"Tipo o categoría inválido",IF(COUNTA(A840:J840)=0,"",IF(OR(A840="",B840="",C840="",G840=""),"Faltan datos",IF(COUNTIF($A$7:$A$2006,A840)&gt;1,"ID duplicado",IF(OR(B840&lt;DATE(Configuración!$C$5,1,1),B840&gt;=DATE(Configuración!$C$5+1,1,1)),"Fecha fuera del año",IF(OR(G840&lt;0,H840&lt;0),"Revisar signo",IF(AND(C840&lt;&gt;"Servicio",H840&lt;&gt;0),"IVA solo en Servicio",IF(AND(C840="Servicio",F840=""),"Falta servicio","OK")))))))))</f>
        <v/>
      </c>
    </row>
    <row r="841" spans="1:12" ht="22" customHeight="1">
      <c r="A841" s="3"/>
      <c r="B841" s="7"/>
      <c r="C841" s="3"/>
      <c r="D841" s="3"/>
      <c r="E841" s="3"/>
      <c r="F841" s="3"/>
      <c r="G841" s="4"/>
      <c r="H841" s="4"/>
      <c r="I841" s="3"/>
      <c r="J841" s="3"/>
      <c r="K841" s="8" t="str">
        <f t="shared" si="13"/>
        <v/>
      </c>
      <c r="L841" s="1" t="str">
        <f>IF(COUNTA(A841:J841)=0,"",IF(OR(AND(C841&lt;&gt;"Servicio",C841&lt;&gt;"Cobro",C841&lt;&gt;"Anticipo",C841&lt;&gt;"Aplicación anticipo",C841&lt;&gt;"Retención ISR",C841&lt;&gt;"Retención IVA"),AND(C841="Servicio",F841&lt;&gt;"TMS",F841&lt;&gt;"Valoración",F841&lt;&gt;"EEG",F841&lt;&gt;"Neurofeedback",F841&lt;&gt;"Fotobiomodulación",F841&lt;&gt;"Psicoterapia",F841&lt;&gt;"Otros")),"Tipo o categoría inválido",IF(COUNTA(A841:J841)=0,"",IF(OR(A841="",B841="",C841="",G841=""),"Faltan datos",IF(COUNTIF($A$7:$A$2006,A841)&gt;1,"ID duplicado",IF(OR(B841&lt;DATE(Configuración!$C$5,1,1),B841&gt;=DATE(Configuración!$C$5+1,1,1)),"Fecha fuera del año",IF(OR(G841&lt;0,H841&lt;0),"Revisar signo",IF(AND(C841&lt;&gt;"Servicio",H841&lt;&gt;0),"IVA solo en Servicio",IF(AND(C841="Servicio",F841=""),"Falta servicio","OK")))))))))</f>
        <v/>
      </c>
    </row>
    <row r="842" spans="1:12" ht="22" customHeight="1">
      <c r="A842" s="3"/>
      <c r="B842" s="7"/>
      <c r="C842" s="3"/>
      <c r="D842" s="3"/>
      <c r="E842" s="3"/>
      <c r="F842" s="3"/>
      <c r="G842" s="4"/>
      <c r="H842" s="4"/>
      <c r="I842" s="3"/>
      <c r="J842" s="3"/>
      <c r="K842" s="8" t="str">
        <f t="shared" si="13"/>
        <v/>
      </c>
      <c r="L842" s="1" t="str">
        <f>IF(COUNTA(A842:J842)=0,"",IF(OR(AND(C842&lt;&gt;"Servicio",C842&lt;&gt;"Cobro",C842&lt;&gt;"Anticipo",C842&lt;&gt;"Aplicación anticipo",C842&lt;&gt;"Retención ISR",C842&lt;&gt;"Retención IVA"),AND(C842="Servicio",F842&lt;&gt;"TMS",F842&lt;&gt;"Valoración",F842&lt;&gt;"EEG",F842&lt;&gt;"Neurofeedback",F842&lt;&gt;"Fotobiomodulación",F842&lt;&gt;"Psicoterapia",F842&lt;&gt;"Otros")),"Tipo o categoría inválido",IF(COUNTA(A842:J842)=0,"",IF(OR(A842="",B842="",C842="",G842=""),"Faltan datos",IF(COUNTIF($A$7:$A$2006,A842)&gt;1,"ID duplicado",IF(OR(B842&lt;DATE(Configuración!$C$5,1,1),B842&gt;=DATE(Configuración!$C$5+1,1,1)),"Fecha fuera del año",IF(OR(G842&lt;0,H842&lt;0),"Revisar signo",IF(AND(C842&lt;&gt;"Servicio",H842&lt;&gt;0),"IVA solo en Servicio",IF(AND(C842="Servicio",F842=""),"Falta servicio","OK")))))))))</f>
        <v/>
      </c>
    </row>
    <row r="843" spans="1:12" ht="22" customHeight="1">
      <c r="A843" s="3"/>
      <c r="B843" s="7"/>
      <c r="C843" s="3"/>
      <c r="D843" s="3"/>
      <c r="E843" s="3"/>
      <c r="F843" s="3"/>
      <c r="G843" s="4"/>
      <c r="H843" s="4"/>
      <c r="I843" s="3"/>
      <c r="J843" s="3"/>
      <c r="K843" s="8" t="str">
        <f t="shared" si="13"/>
        <v/>
      </c>
      <c r="L843" s="1" t="str">
        <f>IF(COUNTA(A843:J843)=0,"",IF(OR(AND(C843&lt;&gt;"Servicio",C843&lt;&gt;"Cobro",C843&lt;&gt;"Anticipo",C843&lt;&gt;"Aplicación anticipo",C843&lt;&gt;"Retención ISR",C843&lt;&gt;"Retención IVA"),AND(C843="Servicio",F843&lt;&gt;"TMS",F843&lt;&gt;"Valoración",F843&lt;&gt;"EEG",F843&lt;&gt;"Neurofeedback",F843&lt;&gt;"Fotobiomodulación",F843&lt;&gt;"Psicoterapia",F843&lt;&gt;"Otros")),"Tipo o categoría inválido",IF(COUNTA(A843:J843)=0,"",IF(OR(A843="",B843="",C843="",G843=""),"Faltan datos",IF(COUNTIF($A$7:$A$2006,A843)&gt;1,"ID duplicado",IF(OR(B843&lt;DATE(Configuración!$C$5,1,1),B843&gt;=DATE(Configuración!$C$5+1,1,1)),"Fecha fuera del año",IF(OR(G843&lt;0,H843&lt;0),"Revisar signo",IF(AND(C843&lt;&gt;"Servicio",H843&lt;&gt;0),"IVA solo en Servicio",IF(AND(C843="Servicio",F843=""),"Falta servicio","OK")))))))))</f>
        <v/>
      </c>
    </row>
    <row r="844" spans="1:12" ht="22" customHeight="1">
      <c r="A844" s="3"/>
      <c r="B844" s="7"/>
      <c r="C844" s="3"/>
      <c r="D844" s="3"/>
      <c r="E844" s="3"/>
      <c r="F844" s="3"/>
      <c r="G844" s="4"/>
      <c r="H844" s="4"/>
      <c r="I844" s="3"/>
      <c r="J844" s="3"/>
      <c r="K844" s="8" t="str">
        <f t="shared" si="13"/>
        <v/>
      </c>
      <c r="L844" s="1" t="str">
        <f>IF(COUNTA(A844:J844)=0,"",IF(OR(AND(C844&lt;&gt;"Servicio",C844&lt;&gt;"Cobro",C844&lt;&gt;"Anticipo",C844&lt;&gt;"Aplicación anticipo",C844&lt;&gt;"Retención ISR",C844&lt;&gt;"Retención IVA"),AND(C844="Servicio",F844&lt;&gt;"TMS",F844&lt;&gt;"Valoración",F844&lt;&gt;"EEG",F844&lt;&gt;"Neurofeedback",F844&lt;&gt;"Fotobiomodulación",F844&lt;&gt;"Psicoterapia",F844&lt;&gt;"Otros")),"Tipo o categoría inválido",IF(COUNTA(A844:J844)=0,"",IF(OR(A844="",B844="",C844="",G844=""),"Faltan datos",IF(COUNTIF($A$7:$A$2006,A844)&gt;1,"ID duplicado",IF(OR(B844&lt;DATE(Configuración!$C$5,1,1),B844&gt;=DATE(Configuración!$C$5+1,1,1)),"Fecha fuera del año",IF(OR(G844&lt;0,H844&lt;0),"Revisar signo",IF(AND(C844&lt;&gt;"Servicio",H844&lt;&gt;0),"IVA solo en Servicio",IF(AND(C844="Servicio",F844=""),"Falta servicio","OK")))))))))</f>
        <v/>
      </c>
    </row>
    <row r="845" spans="1:12" ht="22" customHeight="1">
      <c r="A845" s="3"/>
      <c r="B845" s="7"/>
      <c r="C845" s="3"/>
      <c r="D845" s="3"/>
      <c r="E845" s="3"/>
      <c r="F845" s="3"/>
      <c r="G845" s="4"/>
      <c r="H845" s="4"/>
      <c r="I845" s="3"/>
      <c r="J845" s="3"/>
      <c r="K845" s="8" t="str">
        <f t="shared" si="13"/>
        <v/>
      </c>
      <c r="L845" s="1" t="str">
        <f>IF(COUNTA(A845:J845)=0,"",IF(OR(AND(C845&lt;&gt;"Servicio",C845&lt;&gt;"Cobro",C845&lt;&gt;"Anticipo",C845&lt;&gt;"Aplicación anticipo",C845&lt;&gt;"Retención ISR",C845&lt;&gt;"Retención IVA"),AND(C845="Servicio",F845&lt;&gt;"TMS",F845&lt;&gt;"Valoración",F845&lt;&gt;"EEG",F845&lt;&gt;"Neurofeedback",F845&lt;&gt;"Fotobiomodulación",F845&lt;&gt;"Psicoterapia",F845&lt;&gt;"Otros")),"Tipo o categoría inválido",IF(COUNTA(A845:J845)=0,"",IF(OR(A845="",B845="",C845="",G845=""),"Faltan datos",IF(COUNTIF($A$7:$A$2006,A845)&gt;1,"ID duplicado",IF(OR(B845&lt;DATE(Configuración!$C$5,1,1),B845&gt;=DATE(Configuración!$C$5+1,1,1)),"Fecha fuera del año",IF(OR(G845&lt;0,H845&lt;0),"Revisar signo",IF(AND(C845&lt;&gt;"Servicio",H845&lt;&gt;0),"IVA solo en Servicio",IF(AND(C845="Servicio",F845=""),"Falta servicio","OK")))))))))</f>
        <v/>
      </c>
    </row>
    <row r="846" spans="1:12" ht="22" customHeight="1">
      <c r="A846" s="3"/>
      <c r="B846" s="7"/>
      <c r="C846" s="3"/>
      <c r="D846" s="3"/>
      <c r="E846" s="3"/>
      <c r="F846" s="3"/>
      <c r="G846" s="4"/>
      <c r="H846" s="4"/>
      <c r="I846" s="3"/>
      <c r="J846" s="3"/>
      <c r="K846" s="8" t="str">
        <f t="shared" si="13"/>
        <v/>
      </c>
      <c r="L846" s="1" t="str">
        <f>IF(COUNTA(A846:J846)=0,"",IF(OR(AND(C846&lt;&gt;"Servicio",C846&lt;&gt;"Cobro",C846&lt;&gt;"Anticipo",C846&lt;&gt;"Aplicación anticipo",C846&lt;&gt;"Retención ISR",C846&lt;&gt;"Retención IVA"),AND(C846="Servicio",F846&lt;&gt;"TMS",F846&lt;&gt;"Valoración",F846&lt;&gt;"EEG",F846&lt;&gt;"Neurofeedback",F846&lt;&gt;"Fotobiomodulación",F846&lt;&gt;"Psicoterapia",F846&lt;&gt;"Otros")),"Tipo o categoría inválido",IF(COUNTA(A846:J846)=0,"",IF(OR(A846="",B846="",C846="",G846=""),"Faltan datos",IF(COUNTIF($A$7:$A$2006,A846)&gt;1,"ID duplicado",IF(OR(B846&lt;DATE(Configuración!$C$5,1,1),B846&gt;=DATE(Configuración!$C$5+1,1,1)),"Fecha fuera del año",IF(OR(G846&lt;0,H846&lt;0),"Revisar signo",IF(AND(C846&lt;&gt;"Servicio",H846&lt;&gt;0),"IVA solo en Servicio",IF(AND(C846="Servicio",F846=""),"Falta servicio","OK")))))))))</f>
        <v/>
      </c>
    </row>
    <row r="847" spans="1:12" ht="22" customHeight="1">
      <c r="A847" s="3"/>
      <c r="B847" s="7"/>
      <c r="C847" s="3"/>
      <c r="D847" s="3"/>
      <c r="E847" s="3"/>
      <c r="F847" s="3"/>
      <c r="G847" s="4"/>
      <c r="H847" s="4"/>
      <c r="I847" s="3"/>
      <c r="J847" s="3"/>
      <c r="K847" s="8" t="str">
        <f t="shared" si="13"/>
        <v/>
      </c>
      <c r="L847" s="1" t="str">
        <f>IF(COUNTA(A847:J847)=0,"",IF(OR(AND(C847&lt;&gt;"Servicio",C847&lt;&gt;"Cobro",C847&lt;&gt;"Anticipo",C847&lt;&gt;"Aplicación anticipo",C847&lt;&gt;"Retención ISR",C847&lt;&gt;"Retención IVA"),AND(C847="Servicio",F847&lt;&gt;"TMS",F847&lt;&gt;"Valoración",F847&lt;&gt;"EEG",F847&lt;&gt;"Neurofeedback",F847&lt;&gt;"Fotobiomodulación",F847&lt;&gt;"Psicoterapia",F847&lt;&gt;"Otros")),"Tipo o categoría inválido",IF(COUNTA(A847:J847)=0,"",IF(OR(A847="",B847="",C847="",G847=""),"Faltan datos",IF(COUNTIF($A$7:$A$2006,A847)&gt;1,"ID duplicado",IF(OR(B847&lt;DATE(Configuración!$C$5,1,1),B847&gt;=DATE(Configuración!$C$5+1,1,1)),"Fecha fuera del año",IF(OR(G847&lt;0,H847&lt;0),"Revisar signo",IF(AND(C847&lt;&gt;"Servicio",H847&lt;&gt;0),"IVA solo en Servicio",IF(AND(C847="Servicio",F847=""),"Falta servicio","OK")))))))))</f>
        <v/>
      </c>
    </row>
    <row r="848" spans="1:12" ht="22" customHeight="1">
      <c r="A848" s="3"/>
      <c r="B848" s="7"/>
      <c r="C848" s="3"/>
      <c r="D848" s="3"/>
      <c r="E848" s="3"/>
      <c r="F848" s="3"/>
      <c r="G848" s="4"/>
      <c r="H848" s="4"/>
      <c r="I848" s="3"/>
      <c r="J848" s="3"/>
      <c r="K848" s="8" t="str">
        <f t="shared" si="13"/>
        <v/>
      </c>
      <c r="L848" s="1" t="str">
        <f>IF(COUNTA(A848:J848)=0,"",IF(OR(AND(C848&lt;&gt;"Servicio",C848&lt;&gt;"Cobro",C848&lt;&gt;"Anticipo",C848&lt;&gt;"Aplicación anticipo",C848&lt;&gt;"Retención ISR",C848&lt;&gt;"Retención IVA"),AND(C848="Servicio",F848&lt;&gt;"TMS",F848&lt;&gt;"Valoración",F848&lt;&gt;"EEG",F848&lt;&gt;"Neurofeedback",F848&lt;&gt;"Fotobiomodulación",F848&lt;&gt;"Psicoterapia",F848&lt;&gt;"Otros")),"Tipo o categoría inválido",IF(COUNTA(A848:J848)=0,"",IF(OR(A848="",B848="",C848="",G848=""),"Faltan datos",IF(COUNTIF($A$7:$A$2006,A848)&gt;1,"ID duplicado",IF(OR(B848&lt;DATE(Configuración!$C$5,1,1),B848&gt;=DATE(Configuración!$C$5+1,1,1)),"Fecha fuera del año",IF(OR(G848&lt;0,H848&lt;0),"Revisar signo",IF(AND(C848&lt;&gt;"Servicio",H848&lt;&gt;0),"IVA solo en Servicio",IF(AND(C848="Servicio",F848=""),"Falta servicio","OK")))))))))</f>
        <v/>
      </c>
    </row>
    <row r="849" spans="1:12" ht="22" customHeight="1">
      <c r="A849" s="3"/>
      <c r="B849" s="7"/>
      <c r="C849" s="3"/>
      <c r="D849" s="3"/>
      <c r="E849" s="3"/>
      <c r="F849" s="3"/>
      <c r="G849" s="4"/>
      <c r="H849" s="4"/>
      <c r="I849" s="3"/>
      <c r="J849" s="3"/>
      <c r="K849" s="8" t="str">
        <f t="shared" si="13"/>
        <v/>
      </c>
      <c r="L849" s="1" t="str">
        <f>IF(COUNTA(A849:J849)=0,"",IF(OR(AND(C849&lt;&gt;"Servicio",C849&lt;&gt;"Cobro",C849&lt;&gt;"Anticipo",C849&lt;&gt;"Aplicación anticipo",C849&lt;&gt;"Retención ISR",C849&lt;&gt;"Retención IVA"),AND(C849="Servicio",F849&lt;&gt;"TMS",F849&lt;&gt;"Valoración",F849&lt;&gt;"EEG",F849&lt;&gt;"Neurofeedback",F849&lt;&gt;"Fotobiomodulación",F849&lt;&gt;"Psicoterapia",F849&lt;&gt;"Otros")),"Tipo o categoría inválido",IF(COUNTA(A849:J849)=0,"",IF(OR(A849="",B849="",C849="",G849=""),"Faltan datos",IF(COUNTIF($A$7:$A$2006,A849)&gt;1,"ID duplicado",IF(OR(B849&lt;DATE(Configuración!$C$5,1,1),B849&gt;=DATE(Configuración!$C$5+1,1,1)),"Fecha fuera del año",IF(OR(G849&lt;0,H849&lt;0),"Revisar signo",IF(AND(C849&lt;&gt;"Servicio",H849&lt;&gt;0),"IVA solo en Servicio",IF(AND(C849="Servicio",F849=""),"Falta servicio","OK")))))))))</f>
        <v/>
      </c>
    </row>
    <row r="850" spans="1:12" ht="22" customHeight="1">
      <c r="A850" s="3"/>
      <c r="B850" s="7"/>
      <c r="C850" s="3"/>
      <c r="D850" s="3"/>
      <c r="E850" s="3"/>
      <c r="F850" s="3"/>
      <c r="G850" s="4"/>
      <c r="H850" s="4"/>
      <c r="I850" s="3"/>
      <c r="J850" s="3"/>
      <c r="K850" s="8" t="str">
        <f t="shared" si="13"/>
        <v/>
      </c>
      <c r="L850" s="1" t="str">
        <f>IF(COUNTA(A850:J850)=0,"",IF(OR(AND(C850&lt;&gt;"Servicio",C850&lt;&gt;"Cobro",C850&lt;&gt;"Anticipo",C850&lt;&gt;"Aplicación anticipo",C850&lt;&gt;"Retención ISR",C850&lt;&gt;"Retención IVA"),AND(C850="Servicio",F850&lt;&gt;"TMS",F850&lt;&gt;"Valoración",F850&lt;&gt;"EEG",F850&lt;&gt;"Neurofeedback",F850&lt;&gt;"Fotobiomodulación",F850&lt;&gt;"Psicoterapia",F850&lt;&gt;"Otros")),"Tipo o categoría inválido",IF(COUNTA(A850:J850)=0,"",IF(OR(A850="",B850="",C850="",G850=""),"Faltan datos",IF(COUNTIF($A$7:$A$2006,A850)&gt;1,"ID duplicado",IF(OR(B850&lt;DATE(Configuración!$C$5,1,1),B850&gt;=DATE(Configuración!$C$5+1,1,1)),"Fecha fuera del año",IF(OR(G850&lt;0,H850&lt;0),"Revisar signo",IF(AND(C850&lt;&gt;"Servicio",H850&lt;&gt;0),"IVA solo en Servicio",IF(AND(C850="Servicio",F850=""),"Falta servicio","OK")))))))))</f>
        <v/>
      </c>
    </row>
    <row r="851" spans="1:12" ht="22" customHeight="1">
      <c r="A851" s="3"/>
      <c r="B851" s="7"/>
      <c r="C851" s="3"/>
      <c r="D851" s="3"/>
      <c r="E851" s="3"/>
      <c r="F851" s="3"/>
      <c r="G851" s="4"/>
      <c r="H851" s="4"/>
      <c r="I851" s="3"/>
      <c r="J851" s="3"/>
      <c r="K851" s="8" t="str">
        <f t="shared" si="13"/>
        <v/>
      </c>
      <c r="L851" s="1" t="str">
        <f>IF(COUNTA(A851:J851)=0,"",IF(OR(AND(C851&lt;&gt;"Servicio",C851&lt;&gt;"Cobro",C851&lt;&gt;"Anticipo",C851&lt;&gt;"Aplicación anticipo",C851&lt;&gt;"Retención ISR",C851&lt;&gt;"Retención IVA"),AND(C851="Servicio",F851&lt;&gt;"TMS",F851&lt;&gt;"Valoración",F851&lt;&gt;"EEG",F851&lt;&gt;"Neurofeedback",F851&lt;&gt;"Fotobiomodulación",F851&lt;&gt;"Psicoterapia",F851&lt;&gt;"Otros")),"Tipo o categoría inválido",IF(COUNTA(A851:J851)=0,"",IF(OR(A851="",B851="",C851="",G851=""),"Faltan datos",IF(COUNTIF($A$7:$A$2006,A851)&gt;1,"ID duplicado",IF(OR(B851&lt;DATE(Configuración!$C$5,1,1),B851&gt;=DATE(Configuración!$C$5+1,1,1)),"Fecha fuera del año",IF(OR(G851&lt;0,H851&lt;0),"Revisar signo",IF(AND(C851&lt;&gt;"Servicio",H851&lt;&gt;0),"IVA solo en Servicio",IF(AND(C851="Servicio",F851=""),"Falta servicio","OK")))))))))</f>
        <v/>
      </c>
    </row>
    <row r="852" spans="1:12" ht="22" customHeight="1">
      <c r="A852" s="3"/>
      <c r="B852" s="7"/>
      <c r="C852" s="3"/>
      <c r="D852" s="3"/>
      <c r="E852" s="3"/>
      <c r="F852" s="3"/>
      <c r="G852" s="4"/>
      <c r="H852" s="4"/>
      <c r="I852" s="3"/>
      <c r="J852" s="3"/>
      <c r="K852" s="8" t="str">
        <f t="shared" si="13"/>
        <v/>
      </c>
      <c r="L852" s="1" t="str">
        <f>IF(COUNTA(A852:J852)=0,"",IF(OR(AND(C852&lt;&gt;"Servicio",C852&lt;&gt;"Cobro",C852&lt;&gt;"Anticipo",C852&lt;&gt;"Aplicación anticipo",C852&lt;&gt;"Retención ISR",C852&lt;&gt;"Retención IVA"),AND(C852="Servicio",F852&lt;&gt;"TMS",F852&lt;&gt;"Valoración",F852&lt;&gt;"EEG",F852&lt;&gt;"Neurofeedback",F852&lt;&gt;"Fotobiomodulación",F852&lt;&gt;"Psicoterapia",F852&lt;&gt;"Otros")),"Tipo o categoría inválido",IF(COUNTA(A852:J852)=0,"",IF(OR(A852="",B852="",C852="",G852=""),"Faltan datos",IF(COUNTIF($A$7:$A$2006,A852)&gt;1,"ID duplicado",IF(OR(B852&lt;DATE(Configuración!$C$5,1,1),B852&gt;=DATE(Configuración!$C$5+1,1,1)),"Fecha fuera del año",IF(OR(G852&lt;0,H852&lt;0),"Revisar signo",IF(AND(C852&lt;&gt;"Servicio",H852&lt;&gt;0),"IVA solo en Servicio",IF(AND(C852="Servicio",F852=""),"Falta servicio","OK")))))))))</f>
        <v/>
      </c>
    </row>
    <row r="853" spans="1:12" ht="22" customHeight="1">
      <c r="A853" s="3"/>
      <c r="B853" s="7"/>
      <c r="C853" s="3"/>
      <c r="D853" s="3"/>
      <c r="E853" s="3"/>
      <c r="F853" s="3"/>
      <c r="G853" s="4"/>
      <c r="H853" s="4"/>
      <c r="I853" s="3"/>
      <c r="J853" s="3"/>
      <c r="K853" s="8" t="str">
        <f t="shared" si="13"/>
        <v/>
      </c>
      <c r="L853" s="1" t="str">
        <f>IF(COUNTA(A853:J853)=0,"",IF(OR(AND(C853&lt;&gt;"Servicio",C853&lt;&gt;"Cobro",C853&lt;&gt;"Anticipo",C853&lt;&gt;"Aplicación anticipo",C853&lt;&gt;"Retención ISR",C853&lt;&gt;"Retención IVA"),AND(C853="Servicio",F853&lt;&gt;"TMS",F853&lt;&gt;"Valoración",F853&lt;&gt;"EEG",F853&lt;&gt;"Neurofeedback",F853&lt;&gt;"Fotobiomodulación",F853&lt;&gt;"Psicoterapia",F853&lt;&gt;"Otros")),"Tipo o categoría inválido",IF(COUNTA(A853:J853)=0,"",IF(OR(A853="",B853="",C853="",G853=""),"Faltan datos",IF(COUNTIF($A$7:$A$2006,A853)&gt;1,"ID duplicado",IF(OR(B853&lt;DATE(Configuración!$C$5,1,1),B853&gt;=DATE(Configuración!$C$5+1,1,1)),"Fecha fuera del año",IF(OR(G853&lt;0,H853&lt;0),"Revisar signo",IF(AND(C853&lt;&gt;"Servicio",H853&lt;&gt;0),"IVA solo en Servicio",IF(AND(C853="Servicio",F853=""),"Falta servicio","OK")))))))))</f>
        <v/>
      </c>
    </row>
    <row r="854" spans="1:12" ht="22" customHeight="1">
      <c r="A854" s="3"/>
      <c r="B854" s="7"/>
      <c r="C854" s="3"/>
      <c r="D854" s="3"/>
      <c r="E854" s="3"/>
      <c r="F854" s="3"/>
      <c r="G854" s="4"/>
      <c r="H854" s="4"/>
      <c r="I854" s="3"/>
      <c r="J854" s="3"/>
      <c r="K854" s="8" t="str">
        <f t="shared" si="13"/>
        <v/>
      </c>
      <c r="L854" s="1" t="str">
        <f>IF(COUNTA(A854:J854)=0,"",IF(OR(AND(C854&lt;&gt;"Servicio",C854&lt;&gt;"Cobro",C854&lt;&gt;"Anticipo",C854&lt;&gt;"Aplicación anticipo",C854&lt;&gt;"Retención ISR",C854&lt;&gt;"Retención IVA"),AND(C854="Servicio",F854&lt;&gt;"TMS",F854&lt;&gt;"Valoración",F854&lt;&gt;"EEG",F854&lt;&gt;"Neurofeedback",F854&lt;&gt;"Fotobiomodulación",F854&lt;&gt;"Psicoterapia",F854&lt;&gt;"Otros")),"Tipo o categoría inválido",IF(COUNTA(A854:J854)=0,"",IF(OR(A854="",B854="",C854="",G854=""),"Faltan datos",IF(COUNTIF($A$7:$A$2006,A854)&gt;1,"ID duplicado",IF(OR(B854&lt;DATE(Configuración!$C$5,1,1),B854&gt;=DATE(Configuración!$C$5+1,1,1)),"Fecha fuera del año",IF(OR(G854&lt;0,H854&lt;0),"Revisar signo",IF(AND(C854&lt;&gt;"Servicio",H854&lt;&gt;0),"IVA solo en Servicio",IF(AND(C854="Servicio",F854=""),"Falta servicio","OK")))))))))</f>
        <v/>
      </c>
    </row>
    <row r="855" spans="1:12" ht="22" customHeight="1">
      <c r="A855" s="3"/>
      <c r="B855" s="7"/>
      <c r="C855" s="3"/>
      <c r="D855" s="3"/>
      <c r="E855" s="3"/>
      <c r="F855" s="3"/>
      <c r="G855" s="4"/>
      <c r="H855" s="4"/>
      <c r="I855" s="3"/>
      <c r="J855" s="3"/>
      <c r="K855" s="8" t="str">
        <f t="shared" si="13"/>
        <v/>
      </c>
      <c r="L855" s="1" t="str">
        <f>IF(COUNTA(A855:J855)=0,"",IF(OR(AND(C855&lt;&gt;"Servicio",C855&lt;&gt;"Cobro",C855&lt;&gt;"Anticipo",C855&lt;&gt;"Aplicación anticipo",C855&lt;&gt;"Retención ISR",C855&lt;&gt;"Retención IVA"),AND(C855="Servicio",F855&lt;&gt;"TMS",F855&lt;&gt;"Valoración",F855&lt;&gt;"EEG",F855&lt;&gt;"Neurofeedback",F855&lt;&gt;"Fotobiomodulación",F855&lt;&gt;"Psicoterapia",F855&lt;&gt;"Otros")),"Tipo o categoría inválido",IF(COUNTA(A855:J855)=0,"",IF(OR(A855="",B855="",C855="",G855=""),"Faltan datos",IF(COUNTIF($A$7:$A$2006,A855)&gt;1,"ID duplicado",IF(OR(B855&lt;DATE(Configuración!$C$5,1,1),B855&gt;=DATE(Configuración!$C$5+1,1,1)),"Fecha fuera del año",IF(OR(G855&lt;0,H855&lt;0),"Revisar signo",IF(AND(C855&lt;&gt;"Servicio",H855&lt;&gt;0),"IVA solo en Servicio",IF(AND(C855="Servicio",F855=""),"Falta servicio","OK")))))))))</f>
        <v/>
      </c>
    </row>
    <row r="856" spans="1:12" ht="22" customHeight="1">
      <c r="A856" s="3"/>
      <c r="B856" s="7"/>
      <c r="C856" s="3"/>
      <c r="D856" s="3"/>
      <c r="E856" s="3"/>
      <c r="F856" s="3"/>
      <c r="G856" s="4"/>
      <c r="H856" s="4"/>
      <c r="I856" s="3"/>
      <c r="J856" s="3"/>
      <c r="K856" s="8" t="str">
        <f t="shared" si="13"/>
        <v/>
      </c>
      <c r="L856" s="1" t="str">
        <f>IF(COUNTA(A856:J856)=0,"",IF(OR(AND(C856&lt;&gt;"Servicio",C856&lt;&gt;"Cobro",C856&lt;&gt;"Anticipo",C856&lt;&gt;"Aplicación anticipo",C856&lt;&gt;"Retención ISR",C856&lt;&gt;"Retención IVA"),AND(C856="Servicio",F856&lt;&gt;"TMS",F856&lt;&gt;"Valoración",F856&lt;&gt;"EEG",F856&lt;&gt;"Neurofeedback",F856&lt;&gt;"Fotobiomodulación",F856&lt;&gt;"Psicoterapia",F856&lt;&gt;"Otros")),"Tipo o categoría inválido",IF(COUNTA(A856:J856)=0,"",IF(OR(A856="",B856="",C856="",G856=""),"Faltan datos",IF(COUNTIF($A$7:$A$2006,A856)&gt;1,"ID duplicado",IF(OR(B856&lt;DATE(Configuración!$C$5,1,1),B856&gt;=DATE(Configuración!$C$5+1,1,1)),"Fecha fuera del año",IF(OR(G856&lt;0,H856&lt;0),"Revisar signo",IF(AND(C856&lt;&gt;"Servicio",H856&lt;&gt;0),"IVA solo en Servicio",IF(AND(C856="Servicio",F856=""),"Falta servicio","OK")))))))))</f>
        <v/>
      </c>
    </row>
    <row r="857" spans="1:12" ht="22" customHeight="1">
      <c r="A857" s="3"/>
      <c r="B857" s="7"/>
      <c r="C857" s="3"/>
      <c r="D857" s="3"/>
      <c r="E857" s="3"/>
      <c r="F857" s="3"/>
      <c r="G857" s="4"/>
      <c r="H857" s="4"/>
      <c r="I857" s="3"/>
      <c r="J857" s="3"/>
      <c r="K857" s="8" t="str">
        <f t="shared" si="13"/>
        <v/>
      </c>
      <c r="L857" s="1" t="str">
        <f>IF(COUNTA(A857:J857)=0,"",IF(OR(AND(C857&lt;&gt;"Servicio",C857&lt;&gt;"Cobro",C857&lt;&gt;"Anticipo",C857&lt;&gt;"Aplicación anticipo",C857&lt;&gt;"Retención ISR",C857&lt;&gt;"Retención IVA"),AND(C857="Servicio",F857&lt;&gt;"TMS",F857&lt;&gt;"Valoración",F857&lt;&gt;"EEG",F857&lt;&gt;"Neurofeedback",F857&lt;&gt;"Fotobiomodulación",F857&lt;&gt;"Psicoterapia",F857&lt;&gt;"Otros")),"Tipo o categoría inválido",IF(COUNTA(A857:J857)=0,"",IF(OR(A857="",B857="",C857="",G857=""),"Faltan datos",IF(COUNTIF($A$7:$A$2006,A857)&gt;1,"ID duplicado",IF(OR(B857&lt;DATE(Configuración!$C$5,1,1),B857&gt;=DATE(Configuración!$C$5+1,1,1)),"Fecha fuera del año",IF(OR(G857&lt;0,H857&lt;0),"Revisar signo",IF(AND(C857&lt;&gt;"Servicio",H857&lt;&gt;0),"IVA solo en Servicio",IF(AND(C857="Servicio",F857=""),"Falta servicio","OK")))))))))</f>
        <v/>
      </c>
    </row>
    <row r="858" spans="1:12" ht="22" customHeight="1">
      <c r="A858" s="3"/>
      <c r="B858" s="7"/>
      <c r="C858" s="3"/>
      <c r="D858" s="3"/>
      <c r="E858" s="3"/>
      <c r="F858" s="3"/>
      <c r="G858" s="4"/>
      <c r="H858" s="4"/>
      <c r="I858" s="3"/>
      <c r="J858" s="3"/>
      <c r="K858" s="8" t="str">
        <f t="shared" si="13"/>
        <v/>
      </c>
      <c r="L858" s="1" t="str">
        <f>IF(COUNTA(A858:J858)=0,"",IF(OR(AND(C858&lt;&gt;"Servicio",C858&lt;&gt;"Cobro",C858&lt;&gt;"Anticipo",C858&lt;&gt;"Aplicación anticipo",C858&lt;&gt;"Retención ISR",C858&lt;&gt;"Retención IVA"),AND(C858="Servicio",F858&lt;&gt;"TMS",F858&lt;&gt;"Valoración",F858&lt;&gt;"EEG",F858&lt;&gt;"Neurofeedback",F858&lt;&gt;"Fotobiomodulación",F858&lt;&gt;"Psicoterapia",F858&lt;&gt;"Otros")),"Tipo o categoría inválido",IF(COUNTA(A858:J858)=0,"",IF(OR(A858="",B858="",C858="",G858=""),"Faltan datos",IF(COUNTIF($A$7:$A$2006,A858)&gt;1,"ID duplicado",IF(OR(B858&lt;DATE(Configuración!$C$5,1,1),B858&gt;=DATE(Configuración!$C$5+1,1,1)),"Fecha fuera del año",IF(OR(G858&lt;0,H858&lt;0),"Revisar signo",IF(AND(C858&lt;&gt;"Servicio",H858&lt;&gt;0),"IVA solo en Servicio",IF(AND(C858="Servicio",F858=""),"Falta servicio","OK")))))))))</f>
        <v/>
      </c>
    </row>
    <row r="859" spans="1:12" ht="22" customHeight="1">
      <c r="A859" s="3"/>
      <c r="B859" s="7"/>
      <c r="C859" s="3"/>
      <c r="D859" s="3"/>
      <c r="E859" s="3"/>
      <c r="F859" s="3"/>
      <c r="G859" s="4"/>
      <c r="H859" s="4"/>
      <c r="I859" s="3"/>
      <c r="J859" s="3"/>
      <c r="K859" s="8" t="str">
        <f t="shared" si="13"/>
        <v/>
      </c>
      <c r="L859" s="1" t="str">
        <f>IF(COUNTA(A859:J859)=0,"",IF(OR(AND(C859&lt;&gt;"Servicio",C859&lt;&gt;"Cobro",C859&lt;&gt;"Anticipo",C859&lt;&gt;"Aplicación anticipo",C859&lt;&gt;"Retención ISR",C859&lt;&gt;"Retención IVA"),AND(C859="Servicio",F859&lt;&gt;"TMS",F859&lt;&gt;"Valoración",F859&lt;&gt;"EEG",F859&lt;&gt;"Neurofeedback",F859&lt;&gt;"Fotobiomodulación",F859&lt;&gt;"Psicoterapia",F859&lt;&gt;"Otros")),"Tipo o categoría inválido",IF(COUNTA(A859:J859)=0,"",IF(OR(A859="",B859="",C859="",G859=""),"Faltan datos",IF(COUNTIF($A$7:$A$2006,A859)&gt;1,"ID duplicado",IF(OR(B859&lt;DATE(Configuración!$C$5,1,1),B859&gt;=DATE(Configuración!$C$5+1,1,1)),"Fecha fuera del año",IF(OR(G859&lt;0,H859&lt;0),"Revisar signo",IF(AND(C859&lt;&gt;"Servicio",H859&lt;&gt;0),"IVA solo en Servicio",IF(AND(C859="Servicio",F859=""),"Falta servicio","OK")))))))))</f>
        <v/>
      </c>
    </row>
    <row r="860" spans="1:12" ht="22" customHeight="1">
      <c r="A860" s="3"/>
      <c r="B860" s="7"/>
      <c r="C860" s="3"/>
      <c r="D860" s="3"/>
      <c r="E860" s="3"/>
      <c r="F860" s="3"/>
      <c r="G860" s="4"/>
      <c r="H860" s="4"/>
      <c r="I860" s="3"/>
      <c r="J860" s="3"/>
      <c r="K860" s="8" t="str">
        <f t="shared" si="13"/>
        <v/>
      </c>
      <c r="L860" s="1" t="str">
        <f>IF(COUNTA(A860:J860)=0,"",IF(OR(AND(C860&lt;&gt;"Servicio",C860&lt;&gt;"Cobro",C860&lt;&gt;"Anticipo",C860&lt;&gt;"Aplicación anticipo",C860&lt;&gt;"Retención ISR",C860&lt;&gt;"Retención IVA"),AND(C860="Servicio",F860&lt;&gt;"TMS",F860&lt;&gt;"Valoración",F860&lt;&gt;"EEG",F860&lt;&gt;"Neurofeedback",F860&lt;&gt;"Fotobiomodulación",F860&lt;&gt;"Psicoterapia",F860&lt;&gt;"Otros")),"Tipo o categoría inválido",IF(COUNTA(A860:J860)=0,"",IF(OR(A860="",B860="",C860="",G860=""),"Faltan datos",IF(COUNTIF($A$7:$A$2006,A860)&gt;1,"ID duplicado",IF(OR(B860&lt;DATE(Configuración!$C$5,1,1),B860&gt;=DATE(Configuración!$C$5+1,1,1)),"Fecha fuera del año",IF(OR(G860&lt;0,H860&lt;0),"Revisar signo",IF(AND(C860&lt;&gt;"Servicio",H860&lt;&gt;0),"IVA solo en Servicio",IF(AND(C860="Servicio",F860=""),"Falta servicio","OK")))))))))</f>
        <v/>
      </c>
    </row>
    <row r="861" spans="1:12" ht="22" customHeight="1">
      <c r="A861" s="3"/>
      <c r="B861" s="7"/>
      <c r="C861" s="3"/>
      <c r="D861" s="3"/>
      <c r="E861" s="3"/>
      <c r="F861" s="3"/>
      <c r="G861" s="4"/>
      <c r="H861" s="4"/>
      <c r="I861" s="3"/>
      <c r="J861" s="3"/>
      <c r="K861" s="8" t="str">
        <f t="shared" si="13"/>
        <v/>
      </c>
      <c r="L861" s="1" t="str">
        <f>IF(COUNTA(A861:J861)=0,"",IF(OR(AND(C861&lt;&gt;"Servicio",C861&lt;&gt;"Cobro",C861&lt;&gt;"Anticipo",C861&lt;&gt;"Aplicación anticipo",C861&lt;&gt;"Retención ISR",C861&lt;&gt;"Retención IVA"),AND(C861="Servicio",F861&lt;&gt;"TMS",F861&lt;&gt;"Valoración",F861&lt;&gt;"EEG",F861&lt;&gt;"Neurofeedback",F861&lt;&gt;"Fotobiomodulación",F861&lt;&gt;"Psicoterapia",F861&lt;&gt;"Otros")),"Tipo o categoría inválido",IF(COUNTA(A861:J861)=0,"",IF(OR(A861="",B861="",C861="",G861=""),"Faltan datos",IF(COUNTIF($A$7:$A$2006,A861)&gt;1,"ID duplicado",IF(OR(B861&lt;DATE(Configuración!$C$5,1,1),B861&gt;=DATE(Configuración!$C$5+1,1,1)),"Fecha fuera del año",IF(OR(G861&lt;0,H861&lt;0),"Revisar signo",IF(AND(C861&lt;&gt;"Servicio",H861&lt;&gt;0),"IVA solo en Servicio",IF(AND(C861="Servicio",F861=""),"Falta servicio","OK")))))))))</f>
        <v/>
      </c>
    </row>
    <row r="862" spans="1:12" ht="22" customHeight="1">
      <c r="A862" s="3"/>
      <c r="B862" s="7"/>
      <c r="C862" s="3"/>
      <c r="D862" s="3"/>
      <c r="E862" s="3"/>
      <c r="F862" s="3"/>
      <c r="G862" s="4"/>
      <c r="H862" s="4"/>
      <c r="I862" s="3"/>
      <c r="J862" s="3"/>
      <c r="K862" s="8" t="str">
        <f t="shared" si="13"/>
        <v/>
      </c>
      <c r="L862" s="1" t="str">
        <f>IF(COUNTA(A862:J862)=0,"",IF(OR(AND(C862&lt;&gt;"Servicio",C862&lt;&gt;"Cobro",C862&lt;&gt;"Anticipo",C862&lt;&gt;"Aplicación anticipo",C862&lt;&gt;"Retención ISR",C862&lt;&gt;"Retención IVA"),AND(C862="Servicio",F862&lt;&gt;"TMS",F862&lt;&gt;"Valoración",F862&lt;&gt;"EEG",F862&lt;&gt;"Neurofeedback",F862&lt;&gt;"Fotobiomodulación",F862&lt;&gt;"Psicoterapia",F862&lt;&gt;"Otros")),"Tipo o categoría inválido",IF(COUNTA(A862:J862)=0,"",IF(OR(A862="",B862="",C862="",G862=""),"Faltan datos",IF(COUNTIF($A$7:$A$2006,A862)&gt;1,"ID duplicado",IF(OR(B862&lt;DATE(Configuración!$C$5,1,1),B862&gt;=DATE(Configuración!$C$5+1,1,1)),"Fecha fuera del año",IF(OR(G862&lt;0,H862&lt;0),"Revisar signo",IF(AND(C862&lt;&gt;"Servicio",H862&lt;&gt;0),"IVA solo en Servicio",IF(AND(C862="Servicio",F862=""),"Falta servicio","OK")))))))))</f>
        <v/>
      </c>
    </row>
    <row r="863" spans="1:12" ht="22" customHeight="1">
      <c r="A863" s="3"/>
      <c r="B863" s="7"/>
      <c r="C863" s="3"/>
      <c r="D863" s="3"/>
      <c r="E863" s="3"/>
      <c r="F863" s="3"/>
      <c r="G863" s="4"/>
      <c r="H863" s="4"/>
      <c r="I863" s="3"/>
      <c r="J863" s="3"/>
      <c r="K863" s="8" t="str">
        <f t="shared" si="13"/>
        <v/>
      </c>
      <c r="L863" s="1" t="str">
        <f>IF(COUNTA(A863:J863)=0,"",IF(OR(AND(C863&lt;&gt;"Servicio",C863&lt;&gt;"Cobro",C863&lt;&gt;"Anticipo",C863&lt;&gt;"Aplicación anticipo",C863&lt;&gt;"Retención ISR",C863&lt;&gt;"Retención IVA"),AND(C863="Servicio",F863&lt;&gt;"TMS",F863&lt;&gt;"Valoración",F863&lt;&gt;"EEG",F863&lt;&gt;"Neurofeedback",F863&lt;&gt;"Fotobiomodulación",F863&lt;&gt;"Psicoterapia",F863&lt;&gt;"Otros")),"Tipo o categoría inválido",IF(COUNTA(A863:J863)=0,"",IF(OR(A863="",B863="",C863="",G863=""),"Faltan datos",IF(COUNTIF($A$7:$A$2006,A863)&gt;1,"ID duplicado",IF(OR(B863&lt;DATE(Configuración!$C$5,1,1),B863&gt;=DATE(Configuración!$C$5+1,1,1)),"Fecha fuera del año",IF(OR(G863&lt;0,H863&lt;0),"Revisar signo",IF(AND(C863&lt;&gt;"Servicio",H863&lt;&gt;0),"IVA solo en Servicio",IF(AND(C863="Servicio",F863=""),"Falta servicio","OK")))))))))</f>
        <v/>
      </c>
    </row>
    <row r="864" spans="1:12" ht="22" customHeight="1">
      <c r="A864" s="3"/>
      <c r="B864" s="7"/>
      <c r="C864" s="3"/>
      <c r="D864" s="3"/>
      <c r="E864" s="3"/>
      <c r="F864" s="3"/>
      <c r="G864" s="4"/>
      <c r="H864" s="4"/>
      <c r="I864" s="3"/>
      <c r="J864" s="3"/>
      <c r="K864" s="8" t="str">
        <f t="shared" si="13"/>
        <v/>
      </c>
      <c r="L864" s="1" t="str">
        <f>IF(COUNTA(A864:J864)=0,"",IF(OR(AND(C864&lt;&gt;"Servicio",C864&lt;&gt;"Cobro",C864&lt;&gt;"Anticipo",C864&lt;&gt;"Aplicación anticipo",C864&lt;&gt;"Retención ISR",C864&lt;&gt;"Retención IVA"),AND(C864="Servicio",F864&lt;&gt;"TMS",F864&lt;&gt;"Valoración",F864&lt;&gt;"EEG",F864&lt;&gt;"Neurofeedback",F864&lt;&gt;"Fotobiomodulación",F864&lt;&gt;"Psicoterapia",F864&lt;&gt;"Otros")),"Tipo o categoría inválido",IF(COUNTA(A864:J864)=0,"",IF(OR(A864="",B864="",C864="",G864=""),"Faltan datos",IF(COUNTIF($A$7:$A$2006,A864)&gt;1,"ID duplicado",IF(OR(B864&lt;DATE(Configuración!$C$5,1,1),B864&gt;=DATE(Configuración!$C$5+1,1,1)),"Fecha fuera del año",IF(OR(G864&lt;0,H864&lt;0),"Revisar signo",IF(AND(C864&lt;&gt;"Servicio",H864&lt;&gt;0),"IVA solo en Servicio",IF(AND(C864="Servicio",F864=""),"Falta servicio","OK")))))))))</f>
        <v/>
      </c>
    </row>
    <row r="865" spans="1:12" ht="22" customHeight="1">
      <c r="A865" s="3"/>
      <c r="B865" s="7"/>
      <c r="C865" s="3"/>
      <c r="D865" s="3"/>
      <c r="E865" s="3"/>
      <c r="F865" s="3"/>
      <c r="G865" s="4"/>
      <c r="H865" s="4"/>
      <c r="I865" s="3"/>
      <c r="J865" s="3"/>
      <c r="K865" s="8" t="str">
        <f t="shared" si="13"/>
        <v/>
      </c>
      <c r="L865" s="1" t="str">
        <f>IF(COUNTA(A865:J865)=0,"",IF(OR(AND(C865&lt;&gt;"Servicio",C865&lt;&gt;"Cobro",C865&lt;&gt;"Anticipo",C865&lt;&gt;"Aplicación anticipo",C865&lt;&gt;"Retención ISR",C865&lt;&gt;"Retención IVA"),AND(C865="Servicio",F865&lt;&gt;"TMS",F865&lt;&gt;"Valoración",F865&lt;&gt;"EEG",F865&lt;&gt;"Neurofeedback",F865&lt;&gt;"Fotobiomodulación",F865&lt;&gt;"Psicoterapia",F865&lt;&gt;"Otros")),"Tipo o categoría inválido",IF(COUNTA(A865:J865)=0,"",IF(OR(A865="",B865="",C865="",G865=""),"Faltan datos",IF(COUNTIF($A$7:$A$2006,A865)&gt;1,"ID duplicado",IF(OR(B865&lt;DATE(Configuración!$C$5,1,1),B865&gt;=DATE(Configuración!$C$5+1,1,1)),"Fecha fuera del año",IF(OR(G865&lt;0,H865&lt;0),"Revisar signo",IF(AND(C865&lt;&gt;"Servicio",H865&lt;&gt;0),"IVA solo en Servicio",IF(AND(C865="Servicio",F865=""),"Falta servicio","OK")))))))))</f>
        <v/>
      </c>
    </row>
    <row r="866" spans="1:12" ht="22" customHeight="1">
      <c r="A866" s="3"/>
      <c r="B866" s="7"/>
      <c r="C866" s="3"/>
      <c r="D866" s="3"/>
      <c r="E866" s="3"/>
      <c r="F866" s="3"/>
      <c r="G866" s="4"/>
      <c r="H866" s="4"/>
      <c r="I866" s="3"/>
      <c r="J866" s="3"/>
      <c r="K866" s="8" t="str">
        <f t="shared" si="13"/>
        <v/>
      </c>
      <c r="L866" s="1" t="str">
        <f>IF(COUNTA(A866:J866)=0,"",IF(OR(AND(C866&lt;&gt;"Servicio",C866&lt;&gt;"Cobro",C866&lt;&gt;"Anticipo",C866&lt;&gt;"Aplicación anticipo",C866&lt;&gt;"Retención ISR",C866&lt;&gt;"Retención IVA"),AND(C866="Servicio",F866&lt;&gt;"TMS",F866&lt;&gt;"Valoración",F866&lt;&gt;"EEG",F866&lt;&gt;"Neurofeedback",F866&lt;&gt;"Fotobiomodulación",F866&lt;&gt;"Psicoterapia",F866&lt;&gt;"Otros")),"Tipo o categoría inválido",IF(COUNTA(A866:J866)=0,"",IF(OR(A866="",B866="",C866="",G866=""),"Faltan datos",IF(COUNTIF($A$7:$A$2006,A866)&gt;1,"ID duplicado",IF(OR(B866&lt;DATE(Configuración!$C$5,1,1),B866&gt;=DATE(Configuración!$C$5+1,1,1)),"Fecha fuera del año",IF(OR(G866&lt;0,H866&lt;0),"Revisar signo",IF(AND(C866&lt;&gt;"Servicio",H866&lt;&gt;0),"IVA solo en Servicio",IF(AND(C866="Servicio",F866=""),"Falta servicio","OK")))))))))</f>
        <v/>
      </c>
    </row>
    <row r="867" spans="1:12" ht="22" customHeight="1">
      <c r="A867" s="3"/>
      <c r="B867" s="7"/>
      <c r="C867" s="3"/>
      <c r="D867" s="3"/>
      <c r="E867" s="3"/>
      <c r="F867" s="3"/>
      <c r="G867" s="4"/>
      <c r="H867" s="4"/>
      <c r="I867" s="3"/>
      <c r="J867" s="3"/>
      <c r="K867" s="8" t="str">
        <f t="shared" si="13"/>
        <v/>
      </c>
      <c r="L867" s="1" t="str">
        <f>IF(COUNTA(A867:J867)=0,"",IF(OR(AND(C867&lt;&gt;"Servicio",C867&lt;&gt;"Cobro",C867&lt;&gt;"Anticipo",C867&lt;&gt;"Aplicación anticipo",C867&lt;&gt;"Retención ISR",C867&lt;&gt;"Retención IVA"),AND(C867="Servicio",F867&lt;&gt;"TMS",F867&lt;&gt;"Valoración",F867&lt;&gt;"EEG",F867&lt;&gt;"Neurofeedback",F867&lt;&gt;"Fotobiomodulación",F867&lt;&gt;"Psicoterapia",F867&lt;&gt;"Otros")),"Tipo o categoría inválido",IF(COUNTA(A867:J867)=0,"",IF(OR(A867="",B867="",C867="",G867=""),"Faltan datos",IF(COUNTIF($A$7:$A$2006,A867)&gt;1,"ID duplicado",IF(OR(B867&lt;DATE(Configuración!$C$5,1,1),B867&gt;=DATE(Configuración!$C$5+1,1,1)),"Fecha fuera del año",IF(OR(G867&lt;0,H867&lt;0),"Revisar signo",IF(AND(C867&lt;&gt;"Servicio",H867&lt;&gt;0),"IVA solo en Servicio",IF(AND(C867="Servicio",F867=""),"Falta servicio","OK")))))))))</f>
        <v/>
      </c>
    </row>
    <row r="868" spans="1:12" ht="22" customHeight="1">
      <c r="A868" s="3"/>
      <c r="B868" s="7"/>
      <c r="C868" s="3"/>
      <c r="D868" s="3"/>
      <c r="E868" s="3"/>
      <c r="F868" s="3"/>
      <c r="G868" s="4"/>
      <c r="H868" s="4"/>
      <c r="I868" s="3"/>
      <c r="J868" s="3"/>
      <c r="K868" s="8" t="str">
        <f t="shared" si="13"/>
        <v/>
      </c>
      <c r="L868" s="1" t="str">
        <f>IF(COUNTA(A868:J868)=0,"",IF(OR(AND(C868&lt;&gt;"Servicio",C868&lt;&gt;"Cobro",C868&lt;&gt;"Anticipo",C868&lt;&gt;"Aplicación anticipo",C868&lt;&gt;"Retención ISR",C868&lt;&gt;"Retención IVA"),AND(C868="Servicio",F868&lt;&gt;"TMS",F868&lt;&gt;"Valoración",F868&lt;&gt;"EEG",F868&lt;&gt;"Neurofeedback",F868&lt;&gt;"Fotobiomodulación",F868&lt;&gt;"Psicoterapia",F868&lt;&gt;"Otros")),"Tipo o categoría inválido",IF(COUNTA(A868:J868)=0,"",IF(OR(A868="",B868="",C868="",G868=""),"Faltan datos",IF(COUNTIF($A$7:$A$2006,A868)&gt;1,"ID duplicado",IF(OR(B868&lt;DATE(Configuración!$C$5,1,1),B868&gt;=DATE(Configuración!$C$5+1,1,1)),"Fecha fuera del año",IF(OR(G868&lt;0,H868&lt;0),"Revisar signo",IF(AND(C868&lt;&gt;"Servicio",H868&lt;&gt;0),"IVA solo en Servicio",IF(AND(C868="Servicio",F868=""),"Falta servicio","OK")))))))))</f>
        <v/>
      </c>
    </row>
    <row r="869" spans="1:12" ht="22" customHeight="1">
      <c r="A869" s="3"/>
      <c r="B869" s="7"/>
      <c r="C869" s="3"/>
      <c r="D869" s="3"/>
      <c r="E869" s="3"/>
      <c r="F869" s="3"/>
      <c r="G869" s="4"/>
      <c r="H869" s="4"/>
      <c r="I869" s="3"/>
      <c r="J869" s="3"/>
      <c r="K869" s="8" t="str">
        <f t="shared" si="13"/>
        <v/>
      </c>
      <c r="L869" s="1" t="str">
        <f>IF(COUNTA(A869:J869)=0,"",IF(OR(AND(C869&lt;&gt;"Servicio",C869&lt;&gt;"Cobro",C869&lt;&gt;"Anticipo",C869&lt;&gt;"Aplicación anticipo",C869&lt;&gt;"Retención ISR",C869&lt;&gt;"Retención IVA"),AND(C869="Servicio",F869&lt;&gt;"TMS",F869&lt;&gt;"Valoración",F869&lt;&gt;"EEG",F869&lt;&gt;"Neurofeedback",F869&lt;&gt;"Fotobiomodulación",F869&lt;&gt;"Psicoterapia",F869&lt;&gt;"Otros")),"Tipo o categoría inválido",IF(COUNTA(A869:J869)=0,"",IF(OR(A869="",B869="",C869="",G869=""),"Faltan datos",IF(COUNTIF($A$7:$A$2006,A869)&gt;1,"ID duplicado",IF(OR(B869&lt;DATE(Configuración!$C$5,1,1),B869&gt;=DATE(Configuración!$C$5+1,1,1)),"Fecha fuera del año",IF(OR(G869&lt;0,H869&lt;0),"Revisar signo",IF(AND(C869&lt;&gt;"Servicio",H869&lt;&gt;0),"IVA solo en Servicio",IF(AND(C869="Servicio",F869=""),"Falta servicio","OK")))))))))</f>
        <v/>
      </c>
    </row>
    <row r="870" spans="1:12" ht="22" customHeight="1">
      <c r="A870" s="3"/>
      <c r="B870" s="7"/>
      <c r="C870" s="3"/>
      <c r="D870" s="3"/>
      <c r="E870" s="3"/>
      <c r="F870" s="3"/>
      <c r="G870" s="4"/>
      <c r="H870" s="4"/>
      <c r="I870" s="3"/>
      <c r="J870" s="3"/>
      <c r="K870" s="8" t="str">
        <f t="shared" si="13"/>
        <v/>
      </c>
      <c r="L870" s="1" t="str">
        <f>IF(COUNTA(A870:J870)=0,"",IF(OR(AND(C870&lt;&gt;"Servicio",C870&lt;&gt;"Cobro",C870&lt;&gt;"Anticipo",C870&lt;&gt;"Aplicación anticipo",C870&lt;&gt;"Retención ISR",C870&lt;&gt;"Retención IVA"),AND(C870="Servicio",F870&lt;&gt;"TMS",F870&lt;&gt;"Valoración",F870&lt;&gt;"EEG",F870&lt;&gt;"Neurofeedback",F870&lt;&gt;"Fotobiomodulación",F870&lt;&gt;"Psicoterapia",F870&lt;&gt;"Otros")),"Tipo o categoría inválido",IF(COUNTA(A870:J870)=0,"",IF(OR(A870="",B870="",C870="",G870=""),"Faltan datos",IF(COUNTIF($A$7:$A$2006,A870)&gt;1,"ID duplicado",IF(OR(B870&lt;DATE(Configuración!$C$5,1,1),B870&gt;=DATE(Configuración!$C$5+1,1,1)),"Fecha fuera del año",IF(OR(G870&lt;0,H870&lt;0),"Revisar signo",IF(AND(C870&lt;&gt;"Servicio",H870&lt;&gt;0),"IVA solo en Servicio",IF(AND(C870="Servicio",F870=""),"Falta servicio","OK")))))))))</f>
        <v/>
      </c>
    </row>
    <row r="871" spans="1:12" ht="22" customHeight="1">
      <c r="A871" s="3"/>
      <c r="B871" s="7"/>
      <c r="C871" s="3"/>
      <c r="D871" s="3"/>
      <c r="E871" s="3"/>
      <c r="F871" s="3"/>
      <c r="G871" s="4"/>
      <c r="H871" s="4"/>
      <c r="I871" s="3"/>
      <c r="J871" s="3"/>
      <c r="K871" s="8" t="str">
        <f t="shared" si="13"/>
        <v/>
      </c>
      <c r="L871" s="1" t="str">
        <f>IF(COUNTA(A871:J871)=0,"",IF(OR(AND(C871&lt;&gt;"Servicio",C871&lt;&gt;"Cobro",C871&lt;&gt;"Anticipo",C871&lt;&gt;"Aplicación anticipo",C871&lt;&gt;"Retención ISR",C871&lt;&gt;"Retención IVA"),AND(C871="Servicio",F871&lt;&gt;"TMS",F871&lt;&gt;"Valoración",F871&lt;&gt;"EEG",F871&lt;&gt;"Neurofeedback",F871&lt;&gt;"Fotobiomodulación",F871&lt;&gt;"Psicoterapia",F871&lt;&gt;"Otros")),"Tipo o categoría inválido",IF(COUNTA(A871:J871)=0,"",IF(OR(A871="",B871="",C871="",G871=""),"Faltan datos",IF(COUNTIF($A$7:$A$2006,A871)&gt;1,"ID duplicado",IF(OR(B871&lt;DATE(Configuración!$C$5,1,1),B871&gt;=DATE(Configuración!$C$5+1,1,1)),"Fecha fuera del año",IF(OR(G871&lt;0,H871&lt;0),"Revisar signo",IF(AND(C871&lt;&gt;"Servicio",H871&lt;&gt;0),"IVA solo en Servicio",IF(AND(C871="Servicio",F871=""),"Falta servicio","OK")))))))))</f>
        <v/>
      </c>
    </row>
    <row r="872" spans="1:12" ht="22" customHeight="1">
      <c r="A872" s="3"/>
      <c r="B872" s="7"/>
      <c r="C872" s="3"/>
      <c r="D872" s="3"/>
      <c r="E872" s="3"/>
      <c r="F872" s="3"/>
      <c r="G872" s="4"/>
      <c r="H872" s="4"/>
      <c r="I872" s="3"/>
      <c r="J872" s="3"/>
      <c r="K872" s="8" t="str">
        <f t="shared" si="13"/>
        <v/>
      </c>
      <c r="L872" s="1" t="str">
        <f>IF(COUNTA(A872:J872)=0,"",IF(OR(AND(C872&lt;&gt;"Servicio",C872&lt;&gt;"Cobro",C872&lt;&gt;"Anticipo",C872&lt;&gt;"Aplicación anticipo",C872&lt;&gt;"Retención ISR",C872&lt;&gt;"Retención IVA"),AND(C872="Servicio",F872&lt;&gt;"TMS",F872&lt;&gt;"Valoración",F872&lt;&gt;"EEG",F872&lt;&gt;"Neurofeedback",F872&lt;&gt;"Fotobiomodulación",F872&lt;&gt;"Psicoterapia",F872&lt;&gt;"Otros")),"Tipo o categoría inválido",IF(COUNTA(A872:J872)=0,"",IF(OR(A872="",B872="",C872="",G872=""),"Faltan datos",IF(COUNTIF($A$7:$A$2006,A872)&gt;1,"ID duplicado",IF(OR(B872&lt;DATE(Configuración!$C$5,1,1),B872&gt;=DATE(Configuración!$C$5+1,1,1)),"Fecha fuera del año",IF(OR(G872&lt;0,H872&lt;0),"Revisar signo",IF(AND(C872&lt;&gt;"Servicio",H872&lt;&gt;0),"IVA solo en Servicio",IF(AND(C872="Servicio",F872=""),"Falta servicio","OK")))))))))</f>
        <v/>
      </c>
    </row>
    <row r="873" spans="1:12" ht="22" customHeight="1">
      <c r="A873" s="3"/>
      <c r="B873" s="7"/>
      <c r="C873" s="3"/>
      <c r="D873" s="3"/>
      <c r="E873" s="3"/>
      <c r="F873" s="3"/>
      <c r="G873" s="4"/>
      <c r="H873" s="4"/>
      <c r="I873" s="3"/>
      <c r="J873" s="3"/>
      <c r="K873" s="8" t="str">
        <f t="shared" si="13"/>
        <v/>
      </c>
      <c r="L873" s="1" t="str">
        <f>IF(COUNTA(A873:J873)=0,"",IF(OR(AND(C873&lt;&gt;"Servicio",C873&lt;&gt;"Cobro",C873&lt;&gt;"Anticipo",C873&lt;&gt;"Aplicación anticipo",C873&lt;&gt;"Retención ISR",C873&lt;&gt;"Retención IVA"),AND(C873="Servicio",F873&lt;&gt;"TMS",F873&lt;&gt;"Valoración",F873&lt;&gt;"EEG",F873&lt;&gt;"Neurofeedback",F873&lt;&gt;"Fotobiomodulación",F873&lt;&gt;"Psicoterapia",F873&lt;&gt;"Otros")),"Tipo o categoría inválido",IF(COUNTA(A873:J873)=0,"",IF(OR(A873="",B873="",C873="",G873=""),"Faltan datos",IF(COUNTIF($A$7:$A$2006,A873)&gt;1,"ID duplicado",IF(OR(B873&lt;DATE(Configuración!$C$5,1,1),B873&gt;=DATE(Configuración!$C$5+1,1,1)),"Fecha fuera del año",IF(OR(G873&lt;0,H873&lt;0),"Revisar signo",IF(AND(C873&lt;&gt;"Servicio",H873&lt;&gt;0),"IVA solo en Servicio",IF(AND(C873="Servicio",F873=""),"Falta servicio","OK")))))))))</f>
        <v/>
      </c>
    </row>
    <row r="874" spans="1:12" ht="22" customHeight="1">
      <c r="A874" s="3"/>
      <c r="B874" s="7"/>
      <c r="C874" s="3"/>
      <c r="D874" s="3"/>
      <c r="E874" s="3"/>
      <c r="F874" s="3"/>
      <c r="G874" s="4"/>
      <c r="H874" s="4"/>
      <c r="I874" s="3"/>
      <c r="J874" s="3"/>
      <c r="K874" s="8" t="str">
        <f t="shared" si="13"/>
        <v/>
      </c>
      <c r="L874" s="1" t="str">
        <f>IF(COUNTA(A874:J874)=0,"",IF(OR(AND(C874&lt;&gt;"Servicio",C874&lt;&gt;"Cobro",C874&lt;&gt;"Anticipo",C874&lt;&gt;"Aplicación anticipo",C874&lt;&gt;"Retención ISR",C874&lt;&gt;"Retención IVA"),AND(C874="Servicio",F874&lt;&gt;"TMS",F874&lt;&gt;"Valoración",F874&lt;&gt;"EEG",F874&lt;&gt;"Neurofeedback",F874&lt;&gt;"Fotobiomodulación",F874&lt;&gt;"Psicoterapia",F874&lt;&gt;"Otros")),"Tipo o categoría inválido",IF(COUNTA(A874:J874)=0,"",IF(OR(A874="",B874="",C874="",G874=""),"Faltan datos",IF(COUNTIF($A$7:$A$2006,A874)&gt;1,"ID duplicado",IF(OR(B874&lt;DATE(Configuración!$C$5,1,1),B874&gt;=DATE(Configuración!$C$5+1,1,1)),"Fecha fuera del año",IF(OR(G874&lt;0,H874&lt;0),"Revisar signo",IF(AND(C874&lt;&gt;"Servicio",H874&lt;&gt;0),"IVA solo en Servicio",IF(AND(C874="Servicio",F874=""),"Falta servicio","OK")))))))))</f>
        <v/>
      </c>
    </row>
    <row r="875" spans="1:12" ht="22" customHeight="1">
      <c r="A875" s="3"/>
      <c r="B875" s="7"/>
      <c r="C875" s="3"/>
      <c r="D875" s="3"/>
      <c r="E875" s="3"/>
      <c r="F875" s="3"/>
      <c r="G875" s="4"/>
      <c r="H875" s="4"/>
      <c r="I875" s="3"/>
      <c r="J875" s="3"/>
      <c r="K875" s="8" t="str">
        <f t="shared" si="13"/>
        <v/>
      </c>
      <c r="L875" s="1" t="str">
        <f>IF(COUNTA(A875:J875)=0,"",IF(OR(AND(C875&lt;&gt;"Servicio",C875&lt;&gt;"Cobro",C875&lt;&gt;"Anticipo",C875&lt;&gt;"Aplicación anticipo",C875&lt;&gt;"Retención ISR",C875&lt;&gt;"Retención IVA"),AND(C875="Servicio",F875&lt;&gt;"TMS",F875&lt;&gt;"Valoración",F875&lt;&gt;"EEG",F875&lt;&gt;"Neurofeedback",F875&lt;&gt;"Fotobiomodulación",F875&lt;&gt;"Psicoterapia",F875&lt;&gt;"Otros")),"Tipo o categoría inválido",IF(COUNTA(A875:J875)=0,"",IF(OR(A875="",B875="",C875="",G875=""),"Faltan datos",IF(COUNTIF($A$7:$A$2006,A875)&gt;1,"ID duplicado",IF(OR(B875&lt;DATE(Configuración!$C$5,1,1),B875&gt;=DATE(Configuración!$C$5+1,1,1)),"Fecha fuera del año",IF(OR(G875&lt;0,H875&lt;0),"Revisar signo",IF(AND(C875&lt;&gt;"Servicio",H875&lt;&gt;0),"IVA solo en Servicio",IF(AND(C875="Servicio",F875=""),"Falta servicio","OK")))))))))</f>
        <v/>
      </c>
    </row>
    <row r="876" spans="1:12" ht="22" customHeight="1">
      <c r="A876" s="3"/>
      <c r="B876" s="7"/>
      <c r="C876" s="3"/>
      <c r="D876" s="3"/>
      <c r="E876" s="3"/>
      <c r="F876" s="3"/>
      <c r="G876" s="4"/>
      <c r="H876" s="4"/>
      <c r="I876" s="3"/>
      <c r="J876" s="3"/>
      <c r="K876" s="8" t="str">
        <f t="shared" si="13"/>
        <v/>
      </c>
      <c r="L876" s="1" t="str">
        <f>IF(COUNTA(A876:J876)=0,"",IF(OR(AND(C876&lt;&gt;"Servicio",C876&lt;&gt;"Cobro",C876&lt;&gt;"Anticipo",C876&lt;&gt;"Aplicación anticipo",C876&lt;&gt;"Retención ISR",C876&lt;&gt;"Retención IVA"),AND(C876="Servicio",F876&lt;&gt;"TMS",F876&lt;&gt;"Valoración",F876&lt;&gt;"EEG",F876&lt;&gt;"Neurofeedback",F876&lt;&gt;"Fotobiomodulación",F876&lt;&gt;"Psicoterapia",F876&lt;&gt;"Otros")),"Tipo o categoría inválido",IF(COUNTA(A876:J876)=0,"",IF(OR(A876="",B876="",C876="",G876=""),"Faltan datos",IF(COUNTIF($A$7:$A$2006,A876)&gt;1,"ID duplicado",IF(OR(B876&lt;DATE(Configuración!$C$5,1,1),B876&gt;=DATE(Configuración!$C$5+1,1,1)),"Fecha fuera del año",IF(OR(G876&lt;0,H876&lt;0),"Revisar signo",IF(AND(C876&lt;&gt;"Servicio",H876&lt;&gt;0),"IVA solo en Servicio",IF(AND(C876="Servicio",F876=""),"Falta servicio","OK")))))))))</f>
        <v/>
      </c>
    </row>
    <row r="877" spans="1:12" ht="22" customHeight="1">
      <c r="A877" s="3"/>
      <c r="B877" s="7"/>
      <c r="C877" s="3"/>
      <c r="D877" s="3"/>
      <c r="E877" s="3"/>
      <c r="F877" s="3"/>
      <c r="G877" s="4"/>
      <c r="H877" s="4"/>
      <c r="I877" s="3"/>
      <c r="J877" s="3"/>
      <c r="K877" s="8" t="str">
        <f t="shared" si="13"/>
        <v/>
      </c>
      <c r="L877" s="1" t="str">
        <f>IF(COUNTA(A877:J877)=0,"",IF(OR(AND(C877&lt;&gt;"Servicio",C877&lt;&gt;"Cobro",C877&lt;&gt;"Anticipo",C877&lt;&gt;"Aplicación anticipo",C877&lt;&gt;"Retención ISR",C877&lt;&gt;"Retención IVA"),AND(C877="Servicio",F877&lt;&gt;"TMS",F877&lt;&gt;"Valoración",F877&lt;&gt;"EEG",F877&lt;&gt;"Neurofeedback",F877&lt;&gt;"Fotobiomodulación",F877&lt;&gt;"Psicoterapia",F877&lt;&gt;"Otros")),"Tipo o categoría inválido",IF(COUNTA(A877:J877)=0,"",IF(OR(A877="",B877="",C877="",G877=""),"Faltan datos",IF(COUNTIF($A$7:$A$2006,A877)&gt;1,"ID duplicado",IF(OR(B877&lt;DATE(Configuración!$C$5,1,1),B877&gt;=DATE(Configuración!$C$5+1,1,1)),"Fecha fuera del año",IF(OR(G877&lt;0,H877&lt;0),"Revisar signo",IF(AND(C877&lt;&gt;"Servicio",H877&lt;&gt;0),"IVA solo en Servicio",IF(AND(C877="Servicio",F877=""),"Falta servicio","OK")))))))))</f>
        <v/>
      </c>
    </row>
    <row r="878" spans="1:12" ht="22" customHeight="1">
      <c r="A878" s="3"/>
      <c r="B878" s="7"/>
      <c r="C878" s="3"/>
      <c r="D878" s="3"/>
      <c r="E878" s="3"/>
      <c r="F878" s="3"/>
      <c r="G878" s="4"/>
      <c r="H878" s="4"/>
      <c r="I878" s="3"/>
      <c r="J878" s="3"/>
      <c r="K878" s="8" t="str">
        <f t="shared" si="13"/>
        <v/>
      </c>
      <c r="L878" s="1" t="str">
        <f>IF(COUNTA(A878:J878)=0,"",IF(OR(AND(C878&lt;&gt;"Servicio",C878&lt;&gt;"Cobro",C878&lt;&gt;"Anticipo",C878&lt;&gt;"Aplicación anticipo",C878&lt;&gt;"Retención ISR",C878&lt;&gt;"Retención IVA"),AND(C878="Servicio",F878&lt;&gt;"TMS",F878&lt;&gt;"Valoración",F878&lt;&gt;"EEG",F878&lt;&gt;"Neurofeedback",F878&lt;&gt;"Fotobiomodulación",F878&lt;&gt;"Psicoterapia",F878&lt;&gt;"Otros")),"Tipo o categoría inválido",IF(COUNTA(A878:J878)=0,"",IF(OR(A878="",B878="",C878="",G878=""),"Faltan datos",IF(COUNTIF($A$7:$A$2006,A878)&gt;1,"ID duplicado",IF(OR(B878&lt;DATE(Configuración!$C$5,1,1),B878&gt;=DATE(Configuración!$C$5+1,1,1)),"Fecha fuera del año",IF(OR(G878&lt;0,H878&lt;0),"Revisar signo",IF(AND(C878&lt;&gt;"Servicio",H878&lt;&gt;0),"IVA solo en Servicio",IF(AND(C878="Servicio",F878=""),"Falta servicio","OK")))))))))</f>
        <v/>
      </c>
    </row>
    <row r="879" spans="1:12" ht="22" customHeight="1">
      <c r="A879" s="3"/>
      <c r="B879" s="7"/>
      <c r="C879" s="3"/>
      <c r="D879" s="3"/>
      <c r="E879" s="3"/>
      <c r="F879" s="3"/>
      <c r="G879" s="4"/>
      <c r="H879" s="4"/>
      <c r="I879" s="3"/>
      <c r="J879" s="3"/>
      <c r="K879" s="8" t="str">
        <f t="shared" si="13"/>
        <v/>
      </c>
      <c r="L879" s="1" t="str">
        <f>IF(COUNTA(A879:J879)=0,"",IF(OR(AND(C879&lt;&gt;"Servicio",C879&lt;&gt;"Cobro",C879&lt;&gt;"Anticipo",C879&lt;&gt;"Aplicación anticipo",C879&lt;&gt;"Retención ISR",C879&lt;&gt;"Retención IVA"),AND(C879="Servicio",F879&lt;&gt;"TMS",F879&lt;&gt;"Valoración",F879&lt;&gt;"EEG",F879&lt;&gt;"Neurofeedback",F879&lt;&gt;"Fotobiomodulación",F879&lt;&gt;"Psicoterapia",F879&lt;&gt;"Otros")),"Tipo o categoría inválido",IF(COUNTA(A879:J879)=0,"",IF(OR(A879="",B879="",C879="",G879=""),"Faltan datos",IF(COUNTIF($A$7:$A$2006,A879)&gt;1,"ID duplicado",IF(OR(B879&lt;DATE(Configuración!$C$5,1,1),B879&gt;=DATE(Configuración!$C$5+1,1,1)),"Fecha fuera del año",IF(OR(G879&lt;0,H879&lt;0),"Revisar signo",IF(AND(C879&lt;&gt;"Servicio",H879&lt;&gt;0),"IVA solo en Servicio",IF(AND(C879="Servicio",F879=""),"Falta servicio","OK")))))))))</f>
        <v/>
      </c>
    </row>
    <row r="880" spans="1:12" ht="22" customHeight="1">
      <c r="A880" s="3"/>
      <c r="B880" s="7"/>
      <c r="C880" s="3"/>
      <c r="D880" s="3"/>
      <c r="E880" s="3"/>
      <c r="F880" s="3"/>
      <c r="G880" s="4"/>
      <c r="H880" s="4"/>
      <c r="I880" s="3"/>
      <c r="J880" s="3"/>
      <c r="K880" s="8" t="str">
        <f t="shared" si="13"/>
        <v/>
      </c>
      <c r="L880" s="1" t="str">
        <f>IF(COUNTA(A880:J880)=0,"",IF(OR(AND(C880&lt;&gt;"Servicio",C880&lt;&gt;"Cobro",C880&lt;&gt;"Anticipo",C880&lt;&gt;"Aplicación anticipo",C880&lt;&gt;"Retención ISR",C880&lt;&gt;"Retención IVA"),AND(C880="Servicio",F880&lt;&gt;"TMS",F880&lt;&gt;"Valoración",F880&lt;&gt;"EEG",F880&lt;&gt;"Neurofeedback",F880&lt;&gt;"Fotobiomodulación",F880&lt;&gt;"Psicoterapia",F880&lt;&gt;"Otros")),"Tipo o categoría inválido",IF(COUNTA(A880:J880)=0,"",IF(OR(A880="",B880="",C880="",G880=""),"Faltan datos",IF(COUNTIF($A$7:$A$2006,A880)&gt;1,"ID duplicado",IF(OR(B880&lt;DATE(Configuración!$C$5,1,1),B880&gt;=DATE(Configuración!$C$5+1,1,1)),"Fecha fuera del año",IF(OR(G880&lt;0,H880&lt;0),"Revisar signo",IF(AND(C880&lt;&gt;"Servicio",H880&lt;&gt;0),"IVA solo en Servicio",IF(AND(C880="Servicio",F880=""),"Falta servicio","OK")))))))))</f>
        <v/>
      </c>
    </row>
    <row r="881" spans="1:12" ht="22" customHeight="1">
      <c r="A881" s="3"/>
      <c r="B881" s="7"/>
      <c r="C881" s="3"/>
      <c r="D881" s="3"/>
      <c r="E881" s="3"/>
      <c r="F881" s="3"/>
      <c r="G881" s="4"/>
      <c r="H881" s="4"/>
      <c r="I881" s="3"/>
      <c r="J881" s="3"/>
      <c r="K881" s="8" t="str">
        <f t="shared" si="13"/>
        <v/>
      </c>
      <c r="L881" s="1" t="str">
        <f>IF(COUNTA(A881:J881)=0,"",IF(OR(AND(C881&lt;&gt;"Servicio",C881&lt;&gt;"Cobro",C881&lt;&gt;"Anticipo",C881&lt;&gt;"Aplicación anticipo",C881&lt;&gt;"Retención ISR",C881&lt;&gt;"Retención IVA"),AND(C881="Servicio",F881&lt;&gt;"TMS",F881&lt;&gt;"Valoración",F881&lt;&gt;"EEG",F881&lt;&gt;"Neurofeedback",F881&lt;&gt;"Fotobiomodulación",F881&lt;&gt;"Psicoterapia",F881&lt;&gt;"Otros")),"Tipo o categoría inválido",IF(COUNTA(A881:J881)=0,"",IF(OR(A881="",B881="",C881="",G881=""),"Faltan datos",IF(COUNTIF($A$7:$A$2006,A881)&gt;1,"ID duplicado",IF(OR(B881&lt;DATE(Configuración!$C$5,1,1),B881&gt;=DATE(Configuración!$C$5+1,1,1)),"Fecha fuera del año",IF(OR(G881&lt;0,H881&lt;0),"Revisar signo",IF(AND(C881&lt;&gt;"Servicio",H881&lt;&gt;0),"IVA solo en Servicio",IF(AND(C881="Servicio",F881=""),"Falta servicio","OK")))))))))</f>
        <v/>
      </c>
    </row>
    <row r="882" spans="1:12" ht="22" customHeight="1">
      <c r="A882" s="3"/>
      <c r="B882" s="7"/>
      <c r="C882" s="3"/>
      <c r="D882" s="3"/>
      <c r="E882" s="3"/>
      <c r="F882" s="3"/>
      <c r="G882" s="4"/>
      <c r="H882" s="4"/>
      <c r="I882" s="3"/>
      <c r="J882" s="3"/>
      <c r="K882" s="8" t="str">
        <f t="shared" si="13"/>
        <v/>
      </c>
      <c r="L882" s="1" t="str">
        <f>IF(COUNTA(A882:J882)=0,"",IF(OR(AND(C882&lt;&gt;"Servicio",C882&lt;&gt;"Cobro",C882&lt;&gt;"Anticipo",C882&lt;&gt;"Aplicación anticipo",C882&lt;&gt;"Retención ISR",C882&lt;&gt;"Retención IVA"),AND(C882="Servicio",F882&lt;&gt;"TMS",F882&lt;&gt;"Valoración",F882&lt;&gt;"EEG",F882&lt;&gt;"Neurofeedback",F882&lt;&gt;"Fotobiomodulación",F882&lt;&gt;"Psicoterapia",F882&lt;&gt;"Otros")),"Tipo o categoría inválido",IF(COUNTA(A882:J882)=0,"",IF(OR(A882="",B882="",C882="",G882=""),"Faltan datos",IF(COUNTIF($A$7:$A$2006,A882)&gt;1,"ID duplicado",IF(OR(B882&lt;DATE(Configuración!$C$5,1,1),B882&gt;=DATE(Configuración!$C$5+1,1,1)),"Fecha fuera del año",IF(OR(G882&lt;0,H882&lt;0),"Revisar signo",IF(AND(C882&lt;&gt;"Servicio",H882&lt;&gt;0),"IVA solo en Servicio",IF(AND(C882="Servicio",F882=""),"Falta servicio","OK")))))))))</f>
        <v/>
      </c>
    </row>
    <row r="883" spans="1:12" ht="22" customHeight="1">
      <c r="A883" s="3"/>
      <c r="B883" s="7"/>
      <c r="C883" s="3"/>
      <c r="D883" s="3"/>
      <c r="E883" s="3"/>
      <c r="F883" s="3"/>
      <c r="G883" s="4"/>
      <c r="H883" s="4"/>
      <c r="I883" s="3"/>
      <c r="J883" s="3"/>
      <c r="K883" s="8" t="str">
        <f t="shared" si="13"/>
        <v/>
      </c>
      <c r="L883" s="1" t="str">
        <f>IF(COUNTA(A883:J883)=0,"",IF(OR(AND(C883&lt;&gt;"Servicio",C883&lt;&gt;"Cobro",C883&lt;&gt;"Anticipo",C883&lt;&gt;"Aplicación anticipo",C883&lt;&gt;"Retención ISR",C883&lt;&gt;"Retención IVA"),AND(C883="Servicio",F883&lt;&gt;"TMS",F883&lt;&gt;"Valoración",F883&lt;&gt;"EEG",F883&lt;&gt;"Neurofeedback",F883&lt;&gt;"Fotobiomodulación",F883&lt;&gt;"Psicoterapia",F883&lt;&gt;"Otros")),"Tipo o categoría inválido",IF(COUNTA(A883:J883)=0,"",IF(OR(A883="",B883="",C883="",G883=""),"Faltan datos",IF(COUNTIF($A$7:$A$2006,A883)&gt;1,"ID duplicado",IF(OR(B883&lt;DATE(Configuración!$C$5,1,1),B883&gt;=DATE(Configuración!$C$5+1,1,1)),"Fecha fuera del año",IF(OR(G883&lt;0,H883&lt;0),"Revisar signo",IF(AND(C883&lt;&gt;"Servicio",H883&lt;&gt;0),"IVA solo en Servicio",IF(AND(C883="Servicio",F883=""),"Falta servicio","OK")))))))))</f>
        <v/>
      </c>
    </row>
    <row r="884" spans="1:12" ht="22" customHeight="1">
      <c r="A884" s="3"/>
      <c r="B884" s="7"/>
      <c r="C884" s="3"/>
      <c r="D884" s="3"/>
      <c r="E884" s="3"/>
      <c r="F884" s="3"/>
      <c r="G884" s="4"/>
      <c r="H884" s="4"/>
      <c r="I884" s="3"/>
      <c r="J884" s="3"/>
      <c r="K884" s="8" t="str">
        <f t="shared" si="13"/>
        <v/>
      </c>
      <c r="L884" s="1" t="str">
        <f>IF(COUNTA(A884:J884)=0,"",IF(OR(AND(C884&lt;&gt;"Servicio",C884&lt;&gt;"Cobro",C884&lt;&gt;"Anticipo",C884&lt;&gt;"Aplicación anticipo",C884&lt;&gt;"Retención ISR",C884&lt;&gt;"Retención IVA"),AND(C884="Servicio",F884&lt;&gt;"TMS",F884&lt;&gt;"Valoración",F884&lt;&gt;"EEG",F884&lt;&gt;"Neurofeedback",F884&lt;&gt;"Fotobiomodulación",F884&lt;&gt;"Psicoterapia",F884&lt;&gt;"Otros")),"Tipo o categoría inválido",IF(COUNTA(A884:J884)=0,"",IF(OR(A884="",B884="",C884="",G884=""),"Faltan datos",IF(COUNTIF($A$7:$A$2006,A884)&gt;1,"ID duplicado",IF(OR(B884&lt;DATE(Configuración!$C$5,1,1),B884&gt;=DATE(Configuración!$C$5+1,1,1)),"Fecha fuera del año",IF(OR(G884&lt;0,H884&lt;0),"Revisar signo",IF(AND(C884&lt;&gt;"Servicio",H884&lt;&gt;0),"IVA solo en Servicio",IF(AND(C884="Servicio",F884=""),"Falta servicio","OK")))))))))</f>
        <v/>
      </c>
    </row>
    <row r="885" spans="1:12" ht="22" customHeight="1">
      <c r="A885" s="3"/>
      <c r="B885" s="7"/>
      <c r="C885" s="3"/>
      <c r="D885" s="3"/>
      <c r="E885" s="3"/>
      <c r="F885" s="3"/>
      <c r="G885" s="4"/>
      <c r="H885" s="4"/>
      <c r="I885" s="3"/>
      <c r="J885" s="3"/>
      <c r="K885" s="8" t="str">
        <f t="shared" si="13"/>
        <v/>
      </c>
      <c r="L885" s="1" t="str">
        <f>IF(COUNTA(A885:J885)=0,"",IF(OR(AND(C885&lt;&gt;"Servicio",C885&lt;&gt;"Cobro",C885&lt;&gt;"Anticipo",C885&lt;&gt;"Aplicación anticipo",C885&lt;&gt;"Retención ISR",C885&lt;&gt;"Retención IVA"),AND(C885="Servicio",F885&lt;&gt;"TMS",F885&lt;&gt;"Valoración",F885&lt;&gt;"EEG",F885&lt;&gt;"Neurofeedback",F885&lt;&gt;"Fotobiomodulación",F885&lt;&gt;"Psicoterapia",F885&lt;&gt;"Otros")),"Tipo o categoría inválido",IF(COUNTA(A885:J885)=0,"",IF(OR(A885="",B885="",C885="",G885=""),"Faltan datos",IF(COUNTIF($A$7:$A$2006,A885)&gt;1,"ID duplicado",IF(OR(B885&lt;DATE(Configuración!$C$5,1,1),B885&gt;=DATE(Configuración!$C$5+1,1,1)),"Fecha fuera del año",IF(OR(G885&lt;0,H885&lt;0),"Revisar signo",IF(AND(C885&lt;&gt;"Servicio",H885&lt;&gt;0),"IVA solo en Servicio",IF(AND(C885="Servicio",F885=""),"Falta servicio","OK")))))))))</f>
        <v/>
      </c>
    </row>
    <row r="886" spans="1:12" ht="22" customHeight="1">
      <c r="A886" s="3"/>
      <c r="B886" s="7"/>
      <c r="C886" s="3"/>
      <c r="D886" s="3"/>
      <c r="E886" s="3"/>
      <c r="F886" s="3"/>
      <c r="G886" s="4"/>
      <c r="H886" s="4"/>
      <c r="I886" s="3"/>
      <c r="J886" s="3"/>
      <c r="K886" s="8" t="str">
        <f t="shared" si="13"/>
        <v/>
      </c>
      <c r="L886" s="1" t="str">
        <f>IF(COUNTA(A886:J886)=0,"",IF(OR(AND(C886&lt;&gt;"Servicio",C886&lt;&gt;"Cobro",C886&lt;&gt;"Anticipo",C886&lt;&gt;"Aplicación anticipo",C886&lt;&gt;"Retención ISR",C886&lt;&gt;"Retención IVA"),AND(C886="Servicio",F886&lt;&gt;"TMS",F886&lt;&gt;"Valoración",F886&lt;&gt;"EEG",F886&lt;&gt;"Neurofeedback",F886&lt;&gt;"Fotobiomodulación",F886&lt;&gt;"Psicoterapia",F886&lt;&gt;"Otros")),"Tipo o categoría inválido",IF(COUNTA(A886:J886)=0,"",IF(OR(A886="",B886="",C886="",G886=""),"Faltan datos",IF(COUNTIF($A$7:$A$2006,A886)&gt;1,"ID duplicado",IF(OR(B886&lt;DATE(Configuración!$C$5,1,1),B886&gt;=DATE(Configuración!$C$5+1,1,1)),"Fecha fuera del año",IF(OR(G886&lt;0,H886&lt;0),"Revisar signo",IF(AND(C886&lt;&gt;"Servicio",H886&lt;&gt;0),"IVA solo en Servicio",IF(AND(C886="Servicio",F886=""),"Falta servicio","OK")))))))))</f>
        <v/>
      </c>
    </row>
    <row r="887" spans="1:12" ht="22" customHeight="1">
      <c r="A887" s="3"/>
      <c r="B887" s="7"/>
      <c r="C887" s="3"/>
      <c r="D887" s="3"/>
      <c r="E887" s="3"/>
      <c r="F887" s="3"/>
      <c r="G887" s="4"/>
      <c r="H887" s="4"/>
      <c r="I887" s="3"/>
      <c r="J887" s="3"/>
      <c r="K887" s="8" t="str">
        <f t="shared" si="13"/>
        <v/>
      </c>
      <c r="L887" s="1" t="str">
        <f>IF(COUNTA(A887:J887)=0,"",IF(OR(AND(C887&lt;&gt;"Servicio",C887&lt;&gt;"Cobro",C887&lt;&gt;"Anticipo",C887&lt;&gt;"Aplicación anticipo",C887&lt;&gt;"Retención ISR",C887&lt;&gt;"Retención IVA"),AND(C887="Servicio",F887&lt;&gt;"TMS",F887&lt;&gt;"Valoración",F887&lt;&gt;"EEG",F887&lt;&gt;"Neurofeedback",F887&lt;&gt;"Fotobiomodulación",F887&lt;&gt;"Psicoterapia",F887&lt;&gt;"Otros")),"Tipo o categoría inválido",IF(COUNTA(A887:J887)=0,"",IF(OR(A887="",B887="",C887="",G887=""),"Faltan datos",IF(COUNTIF($A$7:$A$2006,A887)&gt;1,"ID duplicado",IF(OR(B887&lt;DATE(Configuración!$C$5,1,1),B887&gt;=DATE(Configuración!$C$5+1,1,1)),"Fecha fuera del año",IF(OR(G887&lt;0,H887&lt;0),"Revisar signo",IF(AND(C887&lt;&gt;"Servicio",H887&lt;&gt;0),"IVA solo en Servicio",IF(AND(C887="Servicio",F887=""),"Falta servicio","OK")))))))))</f>
        <v/>
      </c>
    </row>
    <row r="888" spans="1:12" ht="22" customHeight="1">
      <c r="A888" s="3"/>
      <c r="B888" s="7"/>
      <c r="C888" s="3"/>
      <c r="D888" s="3"/>
      <c r="E888" s="3"/>
      <c r="F888" s="3"/>
      <c r="G888" s="4"/>
      <c r="H888" s="4"/>
      <c r="I888" s="3"/>
      <c r="J888" s="3"/>
      <c r="K888" s="8" t="str">
        <f t="shared" si="13"/>
        <v/>
      </c>
      <c r="L888" s="1" t="str">
        <f>IF(COUNTA(A888:J888)=0,"",IF(OR(AND(C888&lt;&gt;"Servicio",C888&lt;&gt;"Cobro",C888&lt;&gt;"Anticipo",C888&lt;&gt;"Aplicación anticipo",C888&lt;&gt;"Retención ISR",C888&lt;&gt;"Retención IVA"),AND(C888="Servicio",F888&lt;&gt;"TMS",F888&lt;&gt;"Valoración",F888&lt;&gt;"EEG",F888&lt;&gt;"Neurofeedback",F888&lt;&gt;"Fotobiomodulación",F888&lt;&gt;"Psicoterapia",F888&lt;&gt;"Otros")),"Tipo o categoría inválido",IF(COUNTA(A888:J888)=0,"",IF(OR(A888="",B888="",C888="",G888=""),"Faltan datos",IF(COUNTIF($A$7:$A$2006,A888)&gt;1,"ID duplicado",IF(OR(B888&lt;DATE(Configuración!$C$5,1,1),B888&gt;=DATE(Configuración!$C$5+1,1,1)),"Fecha fuera del año",IF(OR(G888&lt;0,H888&lt;0),"Revisar signo",IF(AND(C888&lt;&gt;"Servicio",H888&lt;&gt;0),"IVA solo en Servicio",IF(AND(C888="Servicio",F888=""),"Falta servicio","OK")))))))))</f>
        <v/>
      </c>
    </row>
    <row r="889" spans="1:12" ht="22" customHeight="1">
      <c r="A889" s="3"/>
      <c r="B889" s="7"/>
      <c r="C889" s="3"/>
      <c r="D889" s="3"/>
      <c r="E889" s="3"/>
      <c r="F889" s="3"/>
      <c r="G889" s="4"/>
      <c r="H889" s="4"/>
      <c r="I889" s="3"/>
      <c r="J889" s="3"/>
      <c r="K889" s="8" t="str">
        <f t="shared" si="13"/>
        <v/>
      </c>
      <c r="L889" s="1" t="str">
        <f>IF(COUNTA(A889:J889)=0,"",IF(OR(AND(C889&lt;&gt;"Servicio",C889&lt;&gt;"Cobro",C889&lt;&gt;"Anticipo",C889&lt;&gt;"Aplicación anticipo",C889&lt;&gt;"Retención ISR",C889&lt;&gt;"Retención IVA"),AND(C889="Servicio",F889&lt;&gt;"TMS",F889&lt;&gt;"Valoración",F889&lt;&gt;"EEG",F889&lt;&gt;"Neurofeedback",F889&lt;&gt;"Fotobiomodulación",F889&lt;&gt;"Psicoterapia",F889&lt;&gt;"Otros")),"Tipo o categoría inválido",IF(COUNTA(A889:J889)=0,"",IF(OR(A889="",B889="",C889="",G889=""),"Faltan datos",IF(COUNTIF($A$7:$A$2006,A889)&gt;1,"ID duplicado",IF(OR(B889&lt;DATE(Configuración!$C$5,1,1),B889&gt;=DATE(Configuración!$C$5+1,1,1)),"Fecha fuera del año",IF(OR(G889&lt;0,H889&lt;0),"Revisar signo",IF(AND(C889&lt;&gt;"Servicio",H889&lt;&gt;0),"IVA solo en Servicio",IF(AND(C889="Servicio",F889=""),"Falta servicio","OK")))))))))</f>
        <v/>
      </c>
    </row>
    <row r="890" spans="1:12" ht="22" customHeight="1">
      <c r="A890" s="3"/>
      <c r="B890" s="7"/>
      <c r="C890" s="3"/>
      <c r="D890" s="3"/>
      <c r="E890" s="3"/>
      <c r="F890" s="3"/>
      <c r="G890" s="4"/>
      <c r="H890" s="4"/>
      <c r="I890" s="3"/>
      <c r="J890" s="3"/>
      <c r="K890" s="8" t="str">
        <f t="shared" si="13"/>
        <v/>
      </c>
      <c r="L890" s="1" t="str">
        <f>IF(COUNTA(A890:J890)=0,"",IF(OR(AND(C890&lt;&gt;"Servicio",C890&lt;&gt;"Cobro",C890&lt;&gt;"Anticipo",C890&lt;&gt;"Aplicación anticipo",C890&lt;&gt;"Retención ISR",C890&lt;&gt;"Retención IVA"),AND(C890="Servicio",F890&lt;&gt;"TMS",F890&lt;&gt;"Valoración",F890&lt;&gt;"EEG",F890&lt;&gt;"Neurofeedback",F890&lt;&gt;"Fotobiomodulación",F890&lt;&gt;"Psicoterapia",F890&lt;&gt;"Otros")),"Tipo o categoría inválido",IF(COUNTA(A890:J890)=0,"",IF(OR(A890="",B890="",C890="",G890=""),"Faltan datos",IF(COUNTIF($A$7:$A$2006,A890)&gt;1,"ID duplicado",IF(OR(B890&lt;DATE(Configuración!$C$5,1,1),B890&gt;=DATE(Configuración!$C$5+1,1,1)),"Fecha fuera del año",IF(OR(G890&lt;0,H890&lt;0),"Revisar signo",IF(AND(C890&lt;&gt;"Servicio",H890&lt;&gt;0),"IVA solo en Servicio",IF(AND(C890="Servicio",F890=""),"Falta servicio","OK")))))))))</f>
        <v/>
      </c>
    </row>
    <row r="891" spans="1:12" ht="22" customHeight="1">
      <c r="A891" s="3"/>
      <c r="B891" s="7"/>
      <c r="C891" s="3"/>
      <c r="D891" s="3"/>
      <c r="E891" s="3"/>
      <c r="F891" s="3"/>
      <c r="G891" s="4"/>
      <c r="H891" s="4"/>
      <c r="I891" s="3"/>
      <c r="J891" s="3"/>
      <c r="K891" s="8" t="str">
        <f t="shared" si="13"/>
        <v/>
      </c>
      <c r="L891" s="1" t="str">
        <f>IF(COUNTA(A891:J891)=0,"",IF(OR(AND(C891&lt;&gt;"Servicio",C891&lt;&gt;"Cobro",C891&lt;&gt;"Anticipo",C891&lt;&gt;"Aplicación anticipo",C891&lt;&gt;"Retención ISR",C891&lt;&gt;"Retención IVA"),AND(C891="Servicio",F891&lt;&gt;"TMS",F891&lt;&gt;"Valoración",F891&lt;&gt;"EEG",F891&lt;&gt;"Neurofeedback",F891&lt;&gt;"Fotobiomodulación",F891&lt;&gt;"Psicoterapia",F891&lt;&gt;"Otros")),"Tipo o categoría inválido",IF(COUNTA(A891:J891)=0,"",IF(OR(A891="",B891="",C891="",G891=""),"Faltan datos",IF(COUNTIF($A$7:$A$2006,A891)&gt;1,"ID duplicado",IF(OR(B891&lt;DATE(Configuración!$C$5,1,1),B891&gt;=DATE(Configuración!$C$5+1,1,1)),"Fecha fuera del año",IF(OR(G891&lt;0,H891&lt;0),"Revisar signo",IF(AND(C891&lt;&gt;"Servicio",H891&lt;&gt;0),"IVA solo en Servicio",IF(AND(C891="Servicio",F891=""),"Falta servicio","OK")))))))))</f>
        <v/>
      </c>
    </row>
    <row r="892" spans="1:12" ht="22" customHeight="1">
      <c r="A892" s="3"/>
      <c r="B892" s="7"/>
      <c r="C892" s="3"/>
      <c r="D892" s="3"/>
      <c r="E892" s="3"/>
      <c r="F892" s="3"/>
      <c r="G892" s="4"/>
      <c r="H892" s="4"/>
      <c r="I892" s="3"/>
      <c r="J892" s="3"/>
      <c r="K892" s="8" t="str">
        <f t="shared" si="13"/>
        <v/>
      </c>
      <c r="L892" s="1" t="str">
        <f>IF(COUNTA(A892:J892)=0,"",IF(OR(AND(C892&lt;&gt;"Servicio",C892&lt;&gt;"Cobro",C892&lt;&gt;"Anticipo",C892&lt;&gt;"Aplicación anticipo",C892&lt;&gt;"Retención ISR",C892&lt;&gt;"Retención IVA"),AND(C892="Servicio",F892&lt;&gt;"TMS",F892&lt;&gt;"Valoración",F892&lt;&gt;"EEG",F892&lt;&gt;"Neurofeedback",F892&lt;&gt;"Fotobiomodulación",F892&lt;&gt;"Psicoterapia",F892&lt;&gt;"Otros")),"Tipo o categoría inválido",IF(COUNTA(A892:J892)=0,"",IF(OR(A892="",B892="",C892="",G892=""),"Faltan datos",IF(COUNTIF($A$7:$A$2006,A892)&gt;1,"ID duplicado",IF(OR(B892&lt;DATE(Configuración!$C$5,1,1),B892&gt;=DATE(Configuración!$C$5+1,1,1)),"Fecha fuera del año",IF(OR(G892&lt;0,H892&lt;0),"Revisar signo",IF(AND(C892&lt;&gt;"Servicio",H892&lt;&gt;0),"IVA solo en Servicio",IF(AND(C892="Servicio",F892=""),"Falta servicio","OK")))))))))</f>
        <v/>
      </c>
    </row>
    <row r="893" spans="1:12" ht="22" customHeight="1">
      <c r="A893" s="3"/>
      <c r="B893" s="7"/>
      <c r="C893" s="3"/>
      <c r="D893" s="3"/>
      <c r="E893" s="3"/>
      <c r="F893" s="3"/>
      <c r="G893" s="4"/>
      <c r="H893" s="4"/>
      <c r="I893" s="3"/>
      <c r="J893" s="3"/>
      <c r="K893" s="8" t="str">
        <f t="shared" si="13"/>
        <v/>
      </c>
      <c r="L893" s="1" t="str">
        <f>IF(COUNTA(A893:J893)=0,"",IF(OR(AND(C893&lt;&gt;"Servicio",C893&lt;&gt;"Cobro",C893&lt;&gt;"Anticipo",C893&lt;&gt;"Aplicación anticipo",C893&lt;&gt;"Retención ISR",C893&lt;&gt;"Retención IVA"),AND(C893="Servicio",F893&lt;&gt;"TMS",F893&lt;&gt;"Valoración",F893&lt;&gt;"EEG",F893&lt;&gt;"Neurofeedback",F893&lt;&gt;"Fotobiomodulación",F893&lt;&gt;"Psicoterapia",F893&lt;&gt;"Otros")),"Tipo o categoría inválido",IF(COUNTA(A893:J893)=0,"",IF(OR(A893="",B893="",C893="",G893=""),"Faltan datos",IF(COUNTIF($A$7:$A$2006,A893)&gt;1,"ID duplicado",IF(OR(B893&lt;DATE(Configuración!$C$5,1,1),B893&gt;=DATE(Configuración!$C$5+1,1,1)),"Fecha fuera del año",IF(OR(G893&lt;0,H893&lt;0),"Revisar signo",IF(AND(C893&lt;&gt;"Servicio",H893&lt;&gt;0),"IVA solo en Servicio",IF(AND(C893="Servicio",F893=""),"Falta servicio","OK")))))))))</f>
        <v/>
      </c>
    </row>
    <row r="894" spans="1:12" ht="22" customHeight="1">
      <c r="A894" s="3"/>
      <c r="B894" s="7"/>
      <c r="C894" s="3"/>
      <c r="D894" s="3"/>
      <c r="E894" s="3"/>
      <c r="F894" s="3"/>
      <c r="G894" s="4"/>
      <c r="H894" s="4"/>
      <c r="I894" s="3"/>
      <c r="J894" s="3"/>
      <c r="K894" s="8" t="str">
        <f t="shared" si="13"/>
        <v/>
      </c>
      <c r="L894" s="1" t="str">
        <f>IF(COUNTA(A894:J894)=0,"",IF(OR(AND(C894&lt;&gt;"Servicio",C894&lt;&gt;"Cobro",C894&lt;&gt;"Anticipo",C894&lt;&gt;"Aplicación anticipo",C894&lt;&gt;"Retención ISR",C894&lt;&gt;"Retención IVA"),AND(C894="Servicio",F894&lt;&gt;"TMS",F894&lt;&gt;"Valoración",F894&lt;&gt;"EEG",F894&lt;&gt;"Neurofeedback",F894&lt;&gt;"Fotobiomodulación",F894&lt;&gt;"Psicoterapia",F894&lt;&gt;"Otros")),"Tipo o categoría inválido",IF(COUNTA(A894:J894)=0,"",IF(OR(A894="",B894="",C894="",G894=""),"Faltan datos",IF(COUNTIF($A$7:$A$2006,A894)&gt;1,"ID duplicado",IF(OR(B894&lt;DATE(Configuración!$C$5,1,1),B894&gt;=DATE(Configuración!$C$5+1,1,1)),"Fecha fuera del año",IF(OR(G894&lt;0,H894&lt;0),"Revisar signo",IF(AND(C894&lt;&gt;"Servicio",H894&lt;&gt;0),"IVA solo en Servicio",IF(AND(C894="Servicio",F894=""),"Falta servicio","OK")))))))))</f>
        <v/>
      </c>
    </row>
    <row r="895" spans="1:12" ht="22" customHeight="1">
      <c r="A895" s="3"/>
      <c r="B895" s="7"/>
      <c r="C895" s="3"/>
      <c r="D895" s="3"/>
      <c r="E895" s="3"/>
      <c r="F895" s="3"/>
      <c r="G895" s="4"/>
      <c r="H895" s="4"/>
      <c r="I895" s="3"/>
      <c r="J895" s="3"/>
      <c r="K895" s="8" t="str">
        <f t="shared" si="13"/>
        <v/>
      </c>
      <c r="L895" s="1" t="str">
        <f>IF(COUNTA(A895:J895)=0,"",IF(OR(AND(C895&lt;&gt;"Servicio",C895&lt;&gt;"Cobro",C895&lt;&gt;"Anticipo",C895&lt;&gt;"Aplicación anticipo",C895&lt;&gt;"Retención ISR",C895&lt;&gt;"Retención IVA"),AND(C895="Servicio",F895&lt;&gt;"TMS",F895&lt;&gt;"Valoración",F895&lt;&gt;"EEG",F895&lt;&gt;"Neurofeedback",F895&lt;&gt;"Fotobiomodulación",F895&lt;&gt;"Psicoterapia",F895&lt;&gt;"Otros")),"Tipo o categoría inválido",IF(COUNTA(A895:J895)=0,"",IF(OR(A895="",B895="",C895="",G895=""),"Faltan datos",IF(COUNTIF($A$7:$A$2006,A895)&gt;1,"ID duplicado",IF(OR(B895&lt;DATE(Configuración!$C$5,1,1),B895&gt;=DATE(Configuración!$C$5+1,1,1)),"Fecha fuera del año",IF(OR(G895&lt;0,H895&lt;0),"Revisar signo",IF(AND(C895&lt;&gt;"Servicio",H895&lt;&gt;0),"IVA solo en Servicio",IF(AND(C895="Servicio",F895=""),"Falta servicio","OK")))))))))</f>
        <v/>
      </c>
    </row>
    <row r="896" spans="1:12" ht="22" customHeight="1">
      <c r="A896" s="3"/>
      <c r="B896" s="7"/>
      <c r="C896" s="3"/>
      <c r="D896" s="3"/>
      <c r="E896" s="3"/>
      <c r="F896" s="3"/>
      <c r="G896" s="4"/>
      <c r="H896" s="4"/>
      <c r="I896" s="3"/>
      <c r="J896" s="3"/>
      <c r="K896" s="8" t="str">
        <f t="shared" si="13"/>
        <v/>
      </c>
      <c r="L896" s="1" t="str">
        <f>IF(COUNTA(A896:J896)=0,"",IF(OR(AND(C896&lt;&gt;"Servicio",C896&lt;&gt;"Cobro",C896&lt;&gt;"Anticipo",C896&lt;&gt;"Aplicación anticipo",C896&lt;&gt;"Retención ISR",C896&lt;&gt;"Retención IVA"),AND(C896="Servicio",F896&lt;&gt;"TMS",F896&lt;&gt;"Valoración",F896&lt;&gt;"EEG",F896&lt;&gt;"Neurofeedback",F896&lt;&gt;"Fotobiomodulación",F896&lt;&gt;"Psicoterapia",F896&lt;&gt;"Otros")),"Tipo o categoría inválido",IF(COUNTA(A896:J896)=0,"",IF(OR(A896="",B896="",C896="",G896=""),"Faltan datos",IF(COUNTIF($A$7:$A$2006,A896)&gt;1,"ID duplicado",IF(OR(B896&lt;DATE(Configuración!$C$5,1,1),B896&gt;=DATE(Configuración!$C$5+1,1,1)),"Fecha fuera del año",IF(OR(G896&lt;0,H896&lt;0),"Revisar signo",IF(AND(C896&lt;&gt;"Servicio",H896&lt;&gt;0),"IVA solo en Servicio",IF(AND(C896="Servicio",F896=""),"Falta servicio","OK")))))))))</f>
        <v/>
      </c>
    </row>
    <row r="897" spans="1:12" ht="22" customHeight="1">
      <c r="A897" s="3"/>
      <c r="B897" s="7"/>
      <c r="C897" s="3"/>
      <c r="D897" s="3"/>
      <c r="E897" s="3"/>
      <c r="F897" s="3"/>
      <c r="G897" s="4"/>
      <c r="H897" s="4"/>
      <c r="I897" s="3"/>
      <c r="J897" s="3"/>
      <c r="K897" s="8" t="str">
        <f t="shared" si="13"/>
        <v/>
      </c>
      <c r="L897" s="1" t="str">
        <f>IF(COUNTA(A897:J897)=0,"",IF(OR(AND(C897&lt;&gt;"Servicio",C897&lt;&gt;"Cobro",C897&lt;&gt;"Anticipo",C897&lt;&gt;"Aplicación anticipo",C897&lt;&gt;"Retención ISR",C897&lt;&gt;"Retención IVA"),AND(C897="Servicio",F897&lt;&gt;"TMS",F897&lt;&gt;"Valoración",F897&lt;&gt;"EEG",F897&lt;&gt;"Neurofeedback",F897&lt;&gt;"Fotobiomodulación",F897&lt;&gt;"Psicoterapia",F897&lt;&gt;"Otros")),"Tipo o categoría inválido",IF(COUNTA(A897:J897)=0,"",IF(OR(A897="",B897="",C897="",G897=""),"Faltan datos",IF(COUNTIF($A$7:$A$2006,A897)&gt;1,"ID duplicado",IF(OR(B897&lt;DATE(Configuración!$C$5,1,1),B897&gt;=DATE(Configuración!$C$5+1,1,1)),"Fecha fuera del año",IF(OR(G897&lt;0,H897&lt;0),"Revisar signo",IF(AND(C897&lt;&gt;"Servicio",H897&lt;&gt;0),"IVA solo en Servicio",IF(AND(C897="Servicio",F897=""),"Falta servicio","OK")))))))))</f>
        <v/>
      </c>
    </row>
    <row r="898" spans="1:12" ht="22" customHeight="1">
      <c r="A898" s="3"/>
      <c r="B898" s="7"/>
      <c r="C898" s="3"/>
      <c r="D898" s="3"/>
      <c r="E898" s="3"/>
      <c r="F898" s="3"/>
      <c r="G898" s="4"/>
      <c r="H898" s="4"/>
      <c r="I898" s="3"/>
      <c r="J898" s="3"/>
      <c r="K898" s="8" t="str">
        <f t="shared" si="13"/>
        <v/>
      </c>
      <c r="L898" s="1" t="str">
        <f>IF(COUNTA(A898:J898)=0,"",IF(OR(AND(C898&lt;&gt;"Servicio",C898&lt;&gt;"Cobro",C898&lt;&gt;"Anticipo",C898&lt;&gt;"Aplicación anticipo",C898&lt;&gt;"Retención ISR",C898&lt;&gt;"Retención IVA"),AND(C898="Servicio",F898&lt;&gt;"TMS",F898&lt;&gt;"Valoración",F898&lt;&gt;"EEG",F898&lt;&gt;"Neurofeedback",F898&lt;&gt;"Fotobiomodulación",F898&lt;&gt;"Psicoterapia",F898&lt;&gt;"Otros")),"Tipo o categoría inválido",IF(COUNTA(A898:J898)=0,"",IF(OR(A898="",B898="",C898="",G898=""),"Faltan datos",IF(COUNTIF($A$7:$A$2006,A898)&gt;1,"ID duplicado",IF(OR(B898&lt;DATE(Configuración!$C$5,1,1),B898&gt;=DATE(Configuración!$C$5+1,1,1)),"Fecha fuera del año",IF(OR(G898&lt;0,H898&lt;0),"Revisar signo",IF(AND(C898&lt;&gt;"Servicio",H898&lt;&gt;0),"IVA solo en Servicio",IF(AND(C898="Servicio",F898=""),"Falta servicio","OK")))))))))</f>
        <v/>
      </c>
    </row>
    <row r="899" spans="1:12" ht="22" customHeight="1">
      <c r="A899" s="3"/>
      <c r="B899" s="7"/>
      <c r="C899" s="3"/>
      <c r="D899" s="3"/>
      <c r="E899" s="3"/>
      <c r="F899" s="3"/>
      <c r="G899" s="4"/>
      <c r="H899" s="4"/>
      <c r="I899" s="3"/>
      <c r="J899" s="3"/>
      <c r="K899" s="8" t="str">
        <f t="shared" si="13"/>
        <v/>
      </c>
      <c r="L899" s="1" t="str">
        <f>IF(COUNTA(A899:J899)=0,"",IF(OR(AND(C899&lt;&gt;"Servicio",C899&lt;&gt;"Cobro",C899&lt;&gt;"Anticipo",C899&lt;&gt;"Aplicación anticipo",C899&lt;&gt;"Retención ISR",C899&lt;&gt;"Retención IVA"),AND(C899="Servicio",F899&lt;&gt;"TMS",F899&lt;&gt;"Valoración",F899&lt;&gt;"EEG",F899&lt;&gt;"Neurofeedback",F899&lt;&gt;"Fotobiomodulación",F899&lt;&gt;"Psicoterapia",F899&lt;&gt;"Otros")),"Tipo o categoría inválido",IF(COUNTA(A899:J899)=0,"",IF(OR(A899="",B899="",C899="",G899=""),"Faltan datos",IF(COUNTIF($A$7:$A$2006,A899)&gt;1,"ID duplicado",IF(OR(B899&lt;DATE(Configuración!$C$5,1,1),B899&gt;=DATE(Configuración!$C$5+1,1,1)),"Fecha fuera del año",IF(OR(G899&lt;0,H899&lt;0),"Revisar signo",IF(AND(C899&lt;&gt;"Servicio",H899&lt;&gt;0),"IVA solo en Servicio",IF(AND(C899="Servicio",F899=""),"Falta servicio","OK")))))))))</f>
        <v/>
      </c>
    </row>
    <row r="900" spans="1:12" ht="22" customHeight="1">
      <c r="A900" s="3"/>
      <c r="B900" s="7"/>
      <c r="C900" s="3"/>
      <c r="D900" s="3"/>
      <c r="E900" s="3"/>
      <c r="F900" s="3"/>
      <c r="G900" s="4"/>
      <c r="H900" s="4"/>
      <c r="I900" s="3"/>
      <c r="J900" s="3"/>
      <c r="K900" s="8" t="str">
        <f t="shared" si="13"/>
        <v/>
      </c>
      <c r="L900" s="1" t="str">
        <f>IF(COUNTA(A900:J900)=0,"",IF(OR(AND(C900&lt;&gt;"Servicio",C900&lt;&gt;"Cobro",C900&lt;&gt;"Anticipo",C900&lt;&gt;"Aplicación anticipo",C900&lt;&gt;"Retención ISR",C900&lt;&gt;"Retención IVA"),AND(C900="Servicio",F900&lt;&gt;"TMS",F900&lt;&gt;"Valoración",F900&lt;&gt;"EEG",F900&lt;&gt;"Neurofeedback",F900&lt;&gt;"Fotobiomodulación",F900&lt;&gt;"Psicoterapia",F900&lt;&gt;"Otros")),"Tipo o categoría inválido",IF(COUNTA(A900:J900)=0,"",IF(OR(A900="",B900="",C900="",G900=""),"Faltan datos",IF(COUNTIF($A$7:$A$2006,A900)&gt;1,"ID duplicado",IF(OR(B900&lt;DATE(Configuración!$C$5,1,1),B900&gt;=DATE(Configuración!$C$5+1,1,1)),"Fecha fuera del año",IF(OR(G900&lt;0,H900&lt;0),"Revisar signo",IF(AND(C900&lt;&gt;"Servicio",H900&lt;&gt;0),"IVA solo en Servicio",IF(AND(C900="Servicio",F900=""),"Falta servicio","OK")))))))))</f>
        <v/>
      </c>
    </row>
    <row r="901" spans="1:12" ht="22" customHeight="1">
      <c r="A901" s="3"/>
      <c r="B901" s="7"/>
      <c r="C901" s="3"/>
      <c r="D901" s="3"/>
      <c r="E901" s="3"/>
      <c r="F901" s="3"/>
      <c r="G901" s="4"/>
      <c r="H901" s="4"/>
      <c r="I901" s="3"/>
      <c r="J901" s="3"/>
      <c r="K901" s="8" t="str">
        <f t="shared" si="13"/>
        <v/>
      </c>
      <c r="L901" s="1" t="str">
        <f>IF(COUNTA(A901:J901)=0,"",IF(OR(AND(C901&lt;&gt;"Servicio",C901&lt;&gt;"Cobro",C901&lt;&gt;"Anticipo",C901&lt;&gt;"Aplicación anticipo",C901&lt;&gt;"Retención ISR",C901&lt;&gt;"Retención IVA"),AND(C901="Servicio",F901&lt;&gt;"TMS",F901&lt;&gt;"Valoración",F901&lt;&gt;"EEG",F901&lt;&gt;"Neurofeedback",F901&lt;&gt;"Fotobiomodulación",F901&lt;&gt;"Psicoterapia",F901&lt;&gt;"Otros")),"Tipo o categoría inválido",IF(COUNTA(A901:J901)=0,"",IF(OR(A901="",B901="",C901="",G901=""),"Faltan datos",IF(COUNTIF($A$7:$A$2006,A901)&gt;1,"ID duplicado",IF(OR(B901&lt;DATE(Configuración!$C$5,1,1),B901&gt;=DATE(Configuración!$C$5+1,1,1)),"Fecha fuera del año",IF(OR(G901&lt;0,H901&lt;0),"Revisar signo",IF(AND(C901&lt;&gt;"Servicio",H901&lt;&gt;0),"IVA solo en Servicio",IF(AND(C901="Servicio",F901=""),"Falta servicio","OK")))))))))</f>
        <v/>
      </c>
    </row>
    <row r="902" spans="1:12" ht="22" customHeight="1">
      <c r="A902" s="3"/>
      <c r="B902" s="7"/>
      <c r="C902" s="3"/>
      <c r="D902" s="3"/>
      <c r="E902" s="3"/>
      <c r="F902" s="3"/>
      <c r="G902" s="4"/>
      <c r="H902" s="4"/>
      <c r="I902" s="3"/>
      <c r="J902" s="3"/>
      <c r="K902" s="8" t="str">
        <f t="shared" si="13"/>
        <v/>
      </c>
      <c r="L902" s="1" t="str">
        <f>IF(COUNTA(A902:J902)=0,"",IF(OR(AND(C902&lt;&gt;"Servicio",C902&lt;&gt;"Cobro",C902&lt;&gt;"Anticipo",C902&lt;&gt;"Aplicación anticipo",C902&lt;&gt;"Retención ISR",C902&lt;&gt;"Retención IVA"),AND(C902="Servicio",F902&lt;&gt;"TMS",F902&lt;&gt;"Valoración",F902&lt;&gt;"EEG",F902&lt;&gt;"Neurofeedback",F902&lt;&gt;"Fotobiomodulación",F902&lt;&gt;"Psicoterapia",F902&lt;&gt;"Otros")),"Tipo o categoría inválido",IF(COUNTA(A902:J902)=0,"",IF(OR(A902="",B902="",C902="",G902=""),"Faltan datos",IF(COUNTIF($A$7:$A$2006,A902)&gt;1,"ID duplicado",IF(OR(B902&lt;DATE(Configuración!$C$5,1,1),B902&gt;=DATE(Configuración!$C$5+1,1,1)),"Fecha fuera del año",IF(OR(G902&lt;0,H902&lt;0),"Revisar signo",IF(AND(C902&lt;&gt;"Servicio",H902&lt;&gt;0),"IVA solo en Servicio",IF(AND(C902="Servicio",F902=""),"Falta servicio","OK")))))))))</f>
        <v/>
      </c>
    </row>
    <row r="903" spans="1:12" ht="22" customHeight="1">
      <c r="A903" s="3"/>
      <c r="B903" s="7"/>
      <c r="C903" s="3"/>
      <c r="D903" s="3"/>
      <c r="E903" s="3"/>
      <c r="F903" s="3"/>
      <c r="G903" s="4"/>
      <c r="H903" s="4"/>
      <c r="I903" s="3"/>
      <c r="J903" s="3"/>
      <c r="K903" s="8" t="str">
        <f t="shared" ref="K903:K966" si="14">IF(A903="","",G903+H903)</f>
        <v/>
      </c>
      <c r="L903" s="1" t="str">
        <f>IF(COUNTA(A903:J903)=0,"",IF(OR(AND(C903&lt;&gt;"Servicio",C903&lt;&gt;"Cobro",C903&lt;&gt;"Anticipo",C903&lt;&gt;"Aplicación anticipo",C903&lt;&gt;"Retención ISR",C903&lt;&gt;"Retención IVA"),AND(C903="Servicio",F903&lt;&gt;"TMS",F903&lt;&gt;"Valoración",F903&lt;&gt;"EEG",F903&lt;&gt;"Neurofeedback",F903&lt;&gt;"Fotobiomodulación",F903&lt;&gt;"Psicoterapia",F903&lt;&gt;"Otros")),"Tipo o categoría inválido",IF(COUNTA(A903:J903)=0,"",IF(OR(A903="",B903="",C903="",G903=""),"Faltan datos",IF(COUNTIF($A$7:$A$2006,A903)&gt;1,"ID duplicado",IF(OR(B903&lt;DATE(Configuración!$C$5,1,1),B903&gt;=DATE(Configuración!$C$5+1,1,1)),"Fecha fuera del año",IF(OR(G903&lt;0,H903&lt;0),"Revisar signo",IF(AND(C903&lt;&gt;"Servicio",H903&lt;&gt;0),"IVA solo en Servicio",IF(AND(C903="Servicio",F903=""),"Falta servicio","OK")))))))))</f>
        <v/>
      </c>
    </row>
    <row r="904" spans="1:12" ht="22" customHeight="1">
      <c r="A904" s="3"/>
      <c r="B904" s="7"/>
      <c r="C904" s="3"/>
      <c r="D904" s="3"/>
      <c r="E904" s="3"/>
      <c r="F904" s="3"/>
      <c r="G904" s="4"/>
      <c r="H904" s="4"/>
      <c r="I904" s="3"/>
      <c r="J904" s="3"/>
      <c r="K904" s="8" t="str">
        <f t="shared" si="14"/>
        <v/>
      </c>
      <c r="L904" s="1" t="str">
        <f>IF(COUNTA(A904:J904)=0,"",IF(OR(AND(C904&lt;&gt;"Servicio",C904&lt;&gt;"Cobro",C904&lt;&gt;"Anticipo",C904&lt;&gt;"Aplicación anticipo",C904&lt;&gt;"Retención ISR",C904&lt;&gt;"Retención IVA"),AND(C904="Servicio",F904&lt;&gt;"TMS",F904&lt;&gt;"Valoración",F904&lt;&gt;"EEG",F904&lt;&gt;"Neurofeedback",F904&lt;&gt;"Fotobiomodulación",F904&lt;&gt;"Psicoterapia",F904&lt;&gt;"Otros")),"Tipo o categoría inválido",IF(COUNTA(A904:J904)=0,"",IF(OR(A904="",B904="",C904="",G904=""),"Faltan datos",IF(COUNTIF($A$7:$A$2006,A904)&gt;1,"ID duplicado",IF(OR(B904&lt;DATE(Configuración!$C$5,1,1),B904&gt;=DATE(Configuración!$C$5+1,1,1)),"Fecha fuera del año",IF(OR(G904&lt;0,H904&lt;0),"Revisar signo",IF(AND(C904&lt;&gt;"Servicio",H904&lt;&gt;0),"IVA solo en Servicio",IF(AND(C904="Servicio",F904=""),"Falta servicio","OK")))))))))</f>
        <v/>
      </c>
    </row>
    <row r="905" spans="1:12" ht="22" customHeight="1">
      <c r="A905" s="3"/>
      <c r="B905" s="7"/>
      <c r="C905" s="3"/>
      <c r="D905" s="3"/>
      <c r="E905" s="3"/>
      <c r="F905" s="3"/>
      <c r="G905" s="4"/>
      <c r="H905" s="4"/>
      <c r="I905" s="3"/>
      <c r="J905" s="3"/>
      <c r="K905" s="8" t="str">
        <f t="shared" si="14"/>
        <v/>
      </c>
      <c r="L905" s="1" t="str">
        <f>IF(COUNTA(A905:J905)=0,"",IF(OR(AND(C905&lt;&gt;"Servicio",C905&lt;&gt;"Cobro",C905&lt;&gt;"Anticipo",C905&lt;&gt;"Aplicación anticipo",C905&lt;&gt;"Retención ISR",C905&lt;&gt;"Retención IVA"),AND(C905="Servicio",F905&lt;&gt;"TMS",F905&lt;&gt;"Valoración",F905&lt;&gt;"EEG",F905&lt;&gt;"Neurofeedback",F905&lt;&gt;"Fotobiomodulación",F905&lt;&gt;"Psicoterapia",F905&lt;&gt;"Otros")),"Tipo o categoría inválido",IF(COUNTA(A905:J905)=0,"",IF(OR(A905="",B905="",C905="",G905=""),"Faltan datos",IF(COUNTIF($A$7:$A$2006,A905)&gt;1,"ID duplicado",IF(OR(B905&lt;DATE(Configuración!$C$5,1,1),B905&gt;=DATE(Configuración!$C$5+1,1,1)),"Fecha fuera del año",IF(OR(G905&lt;0,H905&lt;0),"Revisar signo",IF(AND(C905&lt;&gt;"Servicio",H905&lt;&gt;0),"IVA solo en Servicio",IF(AND(C905="Servicio",F905=""),"Falta servicio","OK")))))))))</f>
        <v/>
      </c>
    </row>
    <row r="906" spans="1:12" ht="22" customHeight="1">
      <c r="A906" s="3"/>
      <c r="B906" s="7"/>
      <c r="C906" s="3"/>
      <c r="D906" s="3"/>
      <c r="E906" s="3"/>
      <c r="F906" s="3"/>
      <c r="G906" s="4"/>
      <c r="H906" s="4"/>
      <c r="I906" s="3"/>
      <c r="J906" s="3"/>
      <c r="K906" s="8" t="str">
        <f t="shared" si="14"/>
        <v/>
      </c>
      <c r="L906" s="1" t="str">
        <f>IF(COUNTA(A906:J906)=0,"",IF(OR(AND(C906&lt;&gt;"Servicio",C906&lt;&gt;"Cobro",C906&lt;&gt;"Anticipo",C906&lt;&gt;"Aplicación anticipo",C906&lt;&gt;"Retención ISR",C906&lt;&gt;"Retención IVA"),AND(C906="Servicio",F906&lt;&gt;"TMS",F906&lt;&gt;"Valoración",F906&lt;&gt;"EEG",F906&lt;&gt;"Neurofeedback",F906&lt;&gt;"Fotobiomodulación",F906&lt;&gt;"Psicoterapia",F906&lt;&gt;"Otros")),"Tipo o categoría inválido",IF(COUNTA(A906:J906)=0,"",IF(OR(A906="",B906="",C906="",G906=""),"Faltan datos",IF(COUNTIF($A$7:$A$2006,A906)&gt;1,"ID duplicado",IF(OR(B906&lt;DATE(Configuración!$C$5,1,1),B906&gt;=DATE(Configuración!$C$5+1,1,1)),"Fecha fuera del año",IF(OR(G906&lt;0,H906&lt;0),"Revisar signo",IF(AND(C906&lt;&gt;"Servicio",H906&lt;&gt;0),"IVA solo en Servicio",IF(AND(C906="Servicio",F906=""),"Falta servicio","OK")))))))))</f>
        <v/>
      </c>
    </row>
    <row r="907" spans="1:12" ht="22" customHeight="1">
      <c r="A907" s="3"/>
      <c r="B907" s="7"/>
      <c r="C907" s="3"/>
      <c r="D907" s="3"/>
      <c r="E907" s="3"/>
      <c r="F907" s="3"/>
      <c r="G907" s="4"/>
      <c r="H907" s="4"/>
      <c r="I907" s="3"/>
      <c r="J907" s="3"/>
      <c r="K907" s="8" t="str">
        <f t="shared" si="14"/>
        <v/>
      </c>
      <c r="L907" s="1" t="str">
        <f>IF(COUNTA(A907:J907)=0,"",IF(OR(AND(C907&lt;&gt;"Servicio",C907&lt;&gt;"Cobro",C907&lt;&gt;"Anticipo",C907&lt;&gt;"Aplicación anticipo",C907&lt;&gt;"Retención ISR",C907&lt;&gt;"Retención IVA"),AND(C907="Servicio",F907&lt;&gt;"TMS",F907&lt;&gt;"Valoración",F907&lt;&gt;"EEG",F907&lt;&gt;"Neurofeedback",F907&lt;&gt;"Fotobiomodulación",F907&lt;&gt;"Psicoterapia",F907&lt;&gt;"Otros")),"Tipo o categoría inválido",IF(COUNTA(A907:J907)=0,"",IF(OR(A907="",B907="",C907="",G907=""),"Faltan datos",IF(COUNTIF($A$7:$A$2006,A907)&gt;1,"ID duplicado",IF(OR(B907&lt;DATE(Configuración!$C$5,1,1),B907&gt;=DATE(Configuración!$C$5+1,1,1)),"Fecha fuera del año",IF(OR(G907&lt;0,H907&lt;0),"Revisar signo",IF(AND(C907&lt;&gt;"Servicio",H907&lt;&gt;0),"IVA solo en Servicio",IF(AND(C907="Servicio",F907=""),"Falta servicio","OK")))))))))</f>
        <v/>
      </c>
    </row>
    <row r="908" spans="1:12" ht="22" customHeight="1">
      <c r="A908" s="3"/>
      <c r="B908" s="7"/>
      <c r="C908" s="3"/>
      <c r="D908" s="3"/>
      <c r="E908" s="3"/>
      <c r="F908" s="3"/>
      <c r="G908" s="4"/>
      <c r="H908" s="4"/>
      <c r="I908" s="3"/>
      <c r="J908" s="3"/>
      <c r="K908" s="8" t="str">
        <f t="shared" si="14"/>
        <v/>
      </c>
      <c r="L908" s="1" t="str">
        <f>IF(COUNTA(A908:J908)=0,"",IF(OR(AND(C908&lt;&gt;"Servicio",C908&lt;&gt;"Cobro",C908&lt;&gt;"Anticipo",C908&lt;&gt;"Aplicación anticipo",C908&lt;&gt;"Retención ISR",C908&lt;&gt;"Retención IVA"),AND(C908="Servicio",F908&lt;&gt;"TMS",F908&lt;&gt;"Valoración",F908&lt;&gt;"EEG",F908&lt;&gt;"Neurofeedback",F908&lt;&gt;"Fotobiomodulación",F908&lt;&gt;"Psicoterapia",F908&lt;&gt;"Otros")),"Tipo o categoría inválido",IF(COUNTA(A908:J908)=0,"",IF(OR(A908="",B908="",C908="",G908=""),"Faltan datos",IF(COUNTIF($A$7:$A$2006,A908)&gt;1,"ID duplicado",IF(OR(B908&lt;DATE(Configuración!$C$5,1,1),B908&gt;=DATE(Configuración!$C$5+1,1,1)),"Fecha fuera del año",IF(OR(G908&lt;0,H908&lt;0),"Revisar signo",IF(AND(C908&lt;&gt;"Servicio",H908&lt;&gt;0),"IVA solo en Servicio",IF(AND(C908="Servicio",F908=""),"Falta servicio","OK")))))))))</f>
        <v/>
      </c>
    </row>
    <row r="909" spans="1:12" ht="22" customHeight="1">
      <c r="A909" s="3"/>
      <c r="B909" s="7"/>
      <c r="C909" s="3"/>
      <c r="D909" s="3"/>
      <c r="E909" s="3"/>
      <c r="F909" s="3"/>
      <c r="G909" s="4"/>
      <c r="H909" s="4"/>
      <c r="I909" s="3"/>
      <c r="J909" s="3"/>
      <c r="K909" s="8" t="str">
        <f t="shared" si="14"/>
        <v/>
      </c>
      <c r="L909" s="1" t="str">
        <f>IF(COUNTA(A909:J909)=0,"",IF(OR(AND(C909&lt;&gt;"Servicio",C909&lt;&gt;"Cobro",C909&lt;&gt;"Anticipo",C909&lt;&gt;"Aplicación anticipo",C909&lt;&gt;"Retención ISR",C909&lt;&gt;"Retención IVA"),AND(C909="Servicio",F909&lt;&gt;"TMS",F909&lt;&gt;"Valoración",F909&lt;&gt;"EEG",F909&lt;&gt;"Neurofeedback",F909&lt;&gt;"Fotobiomodulación",F909&lt;&gt;"Psicoterapia",F909&lt;&gt;"Otros")),"Tipo o categoría inválido",IF(COUNTA(A909:J909)=0,"",IF(OR(A909="",B909="",C909="",G909=""),"Faltan datos",IF(COUNTIF($A$7:$A$2006,A909)&gt;1,"ID duplicado",IF(OR(B909&lt;DATE(Configuración!$C$5,1,1),B909&gt;=DATE(Configuración!$C$5+1,1,1)),"Fecha fuera del año",IF(OR(G909&lt;0,H909&lt;0),"Revisar signo",IF(AND(C909&lt;&gt;"Servicio",H909&lt;&gt;0),"IVA solo en Servicio",IF(AND(C909="Servicio",F909=""),"Falta servicio","OK")))))))))</f>
        <v/>
      </c>
    </row>
    <row r="910" spans="1:12" ht="22" customHeight="1">
      <c r="A910" s="3"/>
      <c r="B910" s="7"/>
      <c r="C910" s="3"/>
      <c r="D910" s="3"/>
      <c r="E910" s="3"/>
      <c r="F910" s="3"/>
      <c r="G910" s="4"/>
      <c r="H910" s="4"/>
      <c r="I910" s="3"/>
      <c r="J910" s="3"/>
      <c r="K910" s="8" t="str">
        <f t="shared" si="14"/>
        <v/>
      </c>
      <c r="L910" s="1" t="str">
        <f>IF(COUNTA(A910:J910)=0,"",IF(OR(AND(C910&lt;&gt;"Servicio",C910&lt;&gt;"Cobro",C910&lt;&gt;"Anticipo",C910&lt;&gt;"Aplicación anticipo",C910&lt;&gt;"Retención ISR",C910&lt;&gt;"Retención IVA"),AND(C910="Servicio",F910&lt;&gt;"TMS",F910&lt;&gt;"Valoración",F910&lt;&gt;"EEG",F910&lt;&gt;"Neurofeedback",F910&lt;&gt;"Fotobiomodulación",F910&lt;&gt;"Psicoterapia",F910&lt;&gt;"Otros")),"Tipo o categoría inválido",IF(COUNTA(A910:J910)=0,"",IF(OR(A910="",B910="",C910="",G910=""),"Faltan datos",IF(COUNTIF($A$7:$A$2006,A910)&gt;1,"ID duplicado",IF(OR(B910&lt;DATE(Configuración!$C$5,1,1),B910&gt;=DATE(Configuración!$C$5+1,1,1)),"Fecha fuera del año",IF(OR(G910&lt;0,H910&lt;0),"Revisar signo",IF(AND(C910&lt;&gt;"Servicio",H910&lt;&gt;0),"IVA solo en Servicio",IF(AND(C910="Servicio",F910=""),"Falta servicio","OK")))))))))</f>
        <v/>
      </c>
    </row>
    <row r="911" spans="1:12" ht="22" customHeight="1">
      <c r="A911" s="3"/>
      <c r="B911" s="7"/>
      <c r="C911" s="3"/>
      <c r="D911" s="3"/>
      <c r="E911" s="3"/>
      <c r="F911" s="3"/>
      <c r="G911" s="4"/>
      <c r="H911" s="4"/>
      <c r="I911" s="3"/>
      <c r="J911" s="3"/>
      <c r="K911" s="8" t="str">
        <f t="shared" si="14"/>
        <v/>
      </c>
      <c r="L911" s="1" t="str">
        <f>IF(COUNTA(A911:J911)=0,"",IF(OR(AND(C911&lt;&gt;"Servicio",C911&lt;&gt;"Cobro",C911&lt;&gt;"Anticipo",C911&lt;&gt;"Aplicación anticipo",C911&lt;&gt;"Retención ISR",C911&lt;&gt;"Retención IVA"),AND(C911="Servicio",F911&lt;&gt;"TMS",F911&lt;&gt;"Valoración",F911&lt;&gt;"EEG",F911&lt;&gt;"Neurofeedback",F911&lt;&gt;"Fotobiomodulación",F911&lt;&gt;"Psicoterapia",F911&lt;&gt;"Otros")),"Tipo o categoría inválido",IF(COUNTA(A911:J911)=0,"",IF(OR(A911="",B911="",C911="",G911=""),"Faltan datos",IF(COUNTIF($A$7:$A$2006,A911)&gt;1,"ID duplicado",IF(OR(B911&lt;DATE(Configuración!$C$5,1,1),B911&gt;=DATE(Configuración!$C$5+1,1,1)),"Fecha fuera del año",IF(OR(G911&lt;0,H911&lt;0),"Revisar signo",IF(AND(C911&lt;&gt;"Servicio",H911&lt;&gt;0),"IVA solo en Servicio",IF(AND(C911="Servicio",F911=""),"Falta servicio","OK")))))))))</f>
        <v/>
      </c>
    </row>
    <row r="912" spans="1:12" ht="22" customHeight="1">
      <c r="A912" s="3"/>
      <c r="B912" s="7"/>
      <c r="C912" s="3"/>
      <c r="D912" s="3"/>
      <c r="E912" s="3"/>
      <c r="F912" s="3"/>
      <c r="G912" s="4"/>
      <c r="H912" s="4"/>
      <c r="I912" s="3"/>
      <c r="J912" s="3"/>
      <c r="K912" s="8" t="str">
        <f t="shared" si="14"/>
        <v/>
      </c>
      <c r="L912" s="1" t="str">
        <f>IF(COUNTA(A912:J912)=0,"",IF(OR(AND(C912&lt;&gt;"Servicio",C912&lt;&gt;"Cobro",C912&lt;&gt;"Anticipo",C912&lt;&gt;"Aplicación anticipo",C912&lt;&gt;"Retención ISR",C912&lt;&gt;"Retención IVA"),AND(C912="Servicio",F912&lt;&gt;"TMS",F912&lt;&gt;"Valoración",F912&lt;&gt;"EEG",F912&lt;&gt;"Neurofeedback",F912&lt;&gt;"Fotobiomodulación",F912&lt;&gt;"Psicoterapia",F912&lt;&gt;"Otros")),"Tipo o categoría inválido",IF(COUNTA(A912:J912)=0,"",IF(OR(A912="",B912="",C912="",G912=""),"Faltan datos",IF(COUNTIF($A$7:$A$2006,A912)&gt;1,"ID duplicado",IF(OR(B912&lt;DATE(Configuración!$C$5,1,1),B912&gt;=DATE(Configuración!$C$5+1,1,1)),"Fecha fuera del año",IF(OR(G912&lt;0,H912&lt;0),"Revisar signo",IF(AND(C912&lt;&gt;"Servicio",H912&lt;&gt;0),"IVA solo en Servicio",IF(AND(C912="Servicio",F912=""),"Falta servicio","OK")))))))))</f>
        <v/>
      </c>
    </row>
    <row r="913" spans="1:12" ht="22" customHeight="1">
      <c r="A913" s="3"/>
      <c r="B913" s="7"/>
      <c r="C913" s="3"/>
      <c r="D913" s="3"/>
      <c r="E913" s="3"/>
      <c r="F913" s="3"/>
      <c r="G913" s="4"/>
      <c r="H913" s="4"/>
      <c r="I913" s="3"/>
      <c r="J913" s="3"/>
      <c r="K913" s="8" t="str">
        <f t="shared" si="14"/>
        <v/>
      </c>
      <c r="L913" s="1" t="str">
        <f>IF(COUNTA(A913:J913)=0,"",IF(OR(AND(C913&lt;&gt;"Servicio",C913&lt;&gt;"Cobro",C913&lt;&gt;"Anticipo",C913&lt;&gt;"Aplicación anticipo",C913&lt;&gt;"Retención ISR",C913&lt;&gt;"Retención IVA"),AND(C913="Servicio",F913&lt;&gt;"TMS",F913&lt;&gt;"Valoración",F913&lt;&gt;"EEG",F913&lt;&gt;"Neurofeedback",F913&lt;&gt;"Fotobiomodulación",F913&lt;&gt;"Psicoterapia",F913&lt;&gt;"Otros")),"Tipo o categoría inválido",IF(COUNTA(A913:J913)=0,"",IF(OR(A913="",B913="",C913="",G913=""),"Faltan datos",IF(COUNTIF($A$7:$A$2006,A913)&gt;1,"ID duplicado",IF(OR(B913&lt;DATE(Configuración!$C$5,1,1),B913&gt;=DATE(Configuración!$C$5+1,1,1)),"Fecha fuera del año",IF(OR(G913&lt;0,H913&lt;0),"Revisar signo",IF(AND(C913&lt;&gt;"Servicio",H913&lt;&gt;0),"IVA solo en Servicio",IF(AND(C913="Servicio",F913=""),"Falta servicio","OK")))))))))</f>
        <v/>
      </c>
    </row>
    <row r="914" spans="1:12" ht="22" customHeight="1">
      <c r="A914" s="3"/>
      <c r="B914" s="7"/>
      <c r="C914" s="3"/>
      <c r="D914" s="3"/>
      <c r="E914" s="3"/>
      <c r="F914" s="3"/>
      <c r="G914" s="4"/>
      <c r="H914" s="4"/>
      <c r="I914" s="3"/>
      <c r="J914" s="3"/>
      <c r="K914" s="8" t="str">
        <f t="shared" si="14"/>
        <v/>
      </c>
      <c r="L914" s="1" t="str">
        <f>IF(COUNTA(A914:J914)=0,"",IF(OR(AND(C914&lt;&gt;"Servicio",C914&lt;&gt;"Cobro",C914&lt;&gt;"Anticipo",C914&lt;&gt;"Aplicación anticipo",C914&lt;&gt;"Retención ISR",C914&lt;&gt;"Retención IVA"),AND(C914="Servicio",F914&lt;&gt;"TMS",F914&lt;&gt;"Valoración",F914&lt;&gt;"EEG",F914&lt;&gt;"Neurofeedback",F914&lt;&gt;"Fotobiomodulación",F914&lt;&gt;"Psicoterapia",F914&lt;&gt;"Otros")),"Tipo o categoría inválido",IF(COUNTA(A914:J914)=0,"",IF(OR(A914="",B914="",C914="",G914=""),"Faltan datos",IF(COUNTIF($A$7:$A$2006,A914)&gt;1,"ID duplicado",IF(OR(B914&lt;DATE(Configuración!$C$5,1,1),B914&gt;=DATE(Configuración!$C$5+1,1,1)),"Fecha fuera del año",IF(OR(G914&lt;0,H914&lt;0),"Revisar signo",IF(AND(C914&lt;&gt;"Servicio",H914&lt;&gt;0),"IVA solo en Servicio",IF(AND(C914="Servicio",F914=""),"Falta servicio","OK")))))))))</f>
        <v/>
      </c>
    </row>
    <row r="915" spans="1:12" ht="22" customHeight="1">
      <c r="A915" s="3"/>
      <c r="B915" s="7"/>
      <c r="C915" s="3"/>
      <c r="D915" s="3"/>
      <c r="E915" s="3"/>
      <c r="F915" s="3"/>
      <c r="G915" s="4"/>
      <c r="H915" s="4"/>
      <c r="I915" s="3"/>
      <c r="J915" s="3"/>
      <c r="K915" s="8" t="str">
        <f t="shared" si="14"/>
        <v/>
      </c>
      <c r="L915" s="1" t="str">
        <f>IF(COUNTA(A915:J915)=0,"",IF(OR(AND(C915&lt;&gt;"Servicio",C915&lt;&gt;"Cobro",C915&lt;&gt;"Anticipo",C915&lt;&gt;"Aplicación anticipo",C915&lt;&gt;"Retención ISR",C915&lt;&gt;"Retención IVA"),AND(C915="Servicio",F915&lt;&gt;"TMS",F915&lt;&gt;"Valoración",F915&lt;&gt;"EEG",F915&lt;&gt;"Neurofeedback",F915&lt;&gt;"Fotobiomodulación",F915&lt;&gt;"Psicoterapia",F915&lt;&gt;"Otros")),"Tipo o categoría inválido",IF(COUNTA(A915:J915)=0,"",IF(OR(A915="",B915="",C915="",G915=""),"Faltan datos",IF(COUNTIF($A$7:$A$2006,A915)&gt;1,"ID duplicado",IF(OR(B915&lt;DATE(Configuración!$C$5,1,1),B915&gt;=DATE(Configuración!$C$5+1,1,1)),"Fecha fuera del año",IF(OR(G915&lt;0,H915&lt;0),"Revisar signo",IF(AND(C915&lt;&gt;"Servicio",H915&lt;&gt;0),"IVA solo en Servicio",IF(AND(C915="Servicio",F915=""),"Falta servicio","OK")))))))))</f>
        <v/>
      </c>
    </row>
    <row r="916" spans="1:12" ht="22" customHeight="1">
      <c r="A916" s="3"/>
      <c r="B916" s="7"/>
      <c r="C916" s="3"/>
      <c r="D916" s="3"/>
      <c r="E916" s="3"/>
      <c r="F916" s="3"/>
      <c r="G916" s="4"/>
      <c r="H916" s="4"/>
      <c r="I916" s="3"/>
      <c r="J916" s="3"/>
      <c r="K916" s="8" t="str">
        <f t="shared" si="14"/>
        <v/>
      </c>
      <c r="L916" s="1" t="str">
        <f>IF(COUNTA(A916:J916)=0,"",IF(OR(AND(C916&lt;&gt;"Servicio",C916&lt;&gt;"Cobro",C916&lt;&gt;"Anticipo",C916&lt;&gt;"Aplicación anticipo",C916&lt;&gt;"Retención ISR",C916&lt;&gt;"Retención IVA"),AND(C916="Servicio",F916&lt;&gt;"TMS",F916&lt;&gt;"Valoración",F916&lt;&gt;"EEG",F916&lt;&gt;"Neurofeedback",F916&lt;&gt;"Fotobiomodulación",F916&lt;&gt;"Psicoterapia",F916&lt;&gt;"Otros")),"Tipo o categoría inválido",IF(COUNTA(A916:J916)=0,"",IF(OR(A916="",B916="",C916="",G916=""),"Faltan datos",IF(COUNTIF($A$7:$A$2006,A916)&gt;1,"ID duplicado",IF(OR(B916&lt;DATE(Configuración!$C$5,1,1),B916&gt;=DATE(Configuración!$C$5+1,1,1)),"Fecha fuera del año",IF(OR(G916&lt;0,H916&lt;0),"Revisar signo",IF(AND(C916&lt;&gt;"Servicio",H916&lt;&gt;0),"IVA solo en Servicio",IF(AND(C916="Servicio",F916=""),"Falta servicio","OK")))))))))</f>
        <v/>
      </c>
    </row>
    <row r="917" spans="1:12" ht="22" customHeight="1">
      <c r="A917" s="3"/>
      <c r="B917" s="7"/>
      <c r="C917" s="3"/>
      <c r="D917" s="3"/>
      <c r="E917" s="3"/>
      <c r="F917" s="3"/>
      <c r="G917" s="4"/>
      <c r="H917" s="4"/>
      <c r="I917" s="3"/>
      <c r="J917" s="3"/>
      <c r="K917" s="8" t="str">
        <f t="shared" si="14"/>
        <v/>
      </c>
      <c r="L917" s="1" t="str">
        <f>IF(COUNTA(A917:J917)=0,"",IF(OR(AND(C917&lt;&gt;"Servicio",C917&lt;&gt;"Cobro",C917&lt;&gt;"Anticipo",C917&lt;&gt;"Aplicación anticipo",C917&lt;&gt;"Retención ISR",C917&lt;&gt;"Retención IVA"),AND(C917="Servicio",F917&lt;&gt;"TMS",F917&lt;&gt;"Valoración",F917&lt;&gt;"EEG",F917&lt;&gt;"Neurofeedback",F917&lt;&gt;"Fotobiomodulación",F917&lt;&gt;"Psicoterapia",F917&lt;&gt;"Otros")),"Tipo o categoría inválido",IF(COUNTA(A917:J917)=0,"",IF(OR(A917="",B917="",C917="",G917=""),"Faltan datos",IF(COUNTIF($A$7:$A$2006,A917)&gt;1,"ID duplicado",IF(OR(B917&lt;DATE(Configuración!$C$5,1,1),B917&gt;=DATE(Configuración!$C$5+1,1,1)),"Fecha fuera del año",IF(OR(G917&lt;0,H917&lt;0),"Revisar signo",IF(AND(C917&lt;&gt;"Servicio",H917&lt;&gt;0),"IVA solo en Servicio",IF(AND(C917="Servicio",F917=""),"Falta servicio","OK")))))))))</f>
        <v/>
      </c>
    </row>
    <row r="918" spans="1:12" ht="22" customHeight="1">
      <c r="A918" s="3"/>
      <c r="B918" s="7"/>
      <c r="C918" s="3"/>
      <c r="D918" s="3"/>
      <c r="E918" s="3"/>
      <c r="F918" s="3"/>
      <c r="G918" s="4"/>
      <c r="H918" s="4"/>
      <c r="I918" s="3"/>
      <c r="J918" s="3"/>
      <c r="K918" s="8" t="str">
        <f t="shared" si="14"/>
        <v/>
      </c>
      <c r="L918" s="1" t="str">
        <f>IF(COUNTA(A918:J918)=0,"",IF(OR(AND(C918&lt;&gt;"Servicio",C918&lt;&gt;"Cobro",C918&lt;&gt;"Anticipo",C918&lt;&gt;"Aplicación anticipo",C918&lt;&gt;"Retención ISR",C918&lt;&gt;"Retención IVA"),AND(C918="Servicio",F918&lt;&gt;"TMS",F918&lt;&gt;"Valoración",F918&lt;&gt;"EEG",F918&lt;&gt;"Neurofeedback",F918&lt;&gt;"Fotobiomodulación",F918&lt;&gt;"Psicoterapia",F918&lt;&gt;"Otros")),"Tipo o categoría inválido",IF(COUNTA(A918:J918)=0,"",IF(OR(A918="",B918="",C918="",G918=""),"Faltan datos",IF(COUNTIF($A$7:$A$2006,A918)&gt;1,"ID duplicado",IF(OR(B918&lt;DATE(Configuración!$C$5,1,1),B918&gt;=DATE(Configuración!$C$5+1,1,1)),"Fecha fuera del año",IF(OR(G918&lt;0,H918&lt;0),"Revisar signo",IF(AND(C918&lt;&gt;"Servicio",H918&lt;&gt;0),"IVA solo en Servicio",IF(AND(C918="Servicio",F918=""),"Falta servicio","OK")))))))))</f>
        <v/>
      </c>
    </row>
    <row r="919" spans="1:12" ht="22" customHeight="1">
      <c r="A919" s="3"/>
      <c r="B919" s="7"/>
      <c r="C919" s="3"/>
      <c r="D919" s="3"/>
      <c r="E919" s="3"/>
      <c r="F919" s="3"/>
      <c r="G919" s="4"/>
      <c r="H919" s="4"/>
      <c r="I919" s="3"/>
      <c r="J919" s="3"/>
      <c r="K919" s="8" t="str">
        <f t="shared" si="14"/>
        <v/>
      </c>
      <c r="L919" s="1" t="str">
        <f>IF(COUNTA(A919:J919)=0,"",IF(OR(AND(C919&lt;&gt;"Servicio",C919&lt;&gt;"Cobro",C919&lt;&gt;"Anticipo",C919&lt;&gt;"Aplicación anticipo",C919&lt;&gt;"Retención ISR",C919&lt;&gt;"Retención IVA"),AND(C919="Servicio",F919&lt;&gt;"TMS",F919&lt;&gt;"Valoración",F919&lt;&gt;"EEG",F919&lt;&gt;"Neurofeedback",F919&lt;&gt;"Fotobiomodulación",F919&lt;&gt;"Psicoterapia",F919&lt;&gt;"Otros")),"Tipo o categoría inválido",IF(COUNTA(A919:J919)=0,"",IF(OR(A919="",B919="",C919="",G919=""),"Faltan datos",IF(COUNTIF($A$7:$A$2006,A919)&gt;1,"ID duplicado",IF(OR(B919&lt;DATE(Configuración!$C$5,1,1),B919&gt;=DATE(Configuración!$C$5+1,1,1)),"Fecha fuera del año",IF(OR(G919&lt;0,H919&lt;0),"Revisar signo",IF(AND(C919&lt;&gt;"Servicio",H919&lt;&gt;0),"IVA solo en Servicio",IF(AND(C919="Servicio",F919=""),"Falta servicio","OK")))))))))</f>
        <v/>
      </c>
    </row>
    <row r="920" spans="1:12" ht="22" customHeight="1">
      <c r="A920" s="3"/>
      <c r="B920" s="7"/>
      <c r="C920" s="3"/>
      <c r="D920" s="3"/>
      <c r="E920" s="3"/>
      <c r="F920" s="3"/>
      <c r="G920" s="4"/>
      <c r="H920" s="4"/>
      <c r="I920" s="3"/>
      <c r="J920" s="3"/>
      <c r="K920" s="8" t="str">
        <f t="shared" si="14"/>
        <v/>
      </c>
      <c r="L920" s="1" t="str">
        <f>IF(COUNTA(A920:J920)=0,"",IF(OR(AND(C920&lt;&gt;"Servicio",C920&lt;&gt;"Cobro",C920&lt;&gt;"Anticipo",C920&lt;&gt;"Aplicación anticipo",C920&lt;&gt;"Retención ISR",C920&lt;&gt;"Retención IVA"),AND(C920="Servicio",F920&lt;&gt;"TMS",F920&lt;&gt;"Valoración",F920&lt;&gt;"EEG",F920&lt;&gt;"Neurofeedback",F920&lt;&gt;"Fotobiomodulación",F920&lt;&gt;"Psicoterapia",F920&lt;&gt;"Otros")),"Tipo o categoría inválido",IF(COUNTA(A920:J920)=0,"",IF(OR(A920="",B920="",C920="",G920=""),"Faltan datos",IF(COUNTIF($A$7:$A$2006,A920)&gt;1,"ID duplicado",IF(OR(B920&lt;DATE(Configuración!$C$5,1,1),B920&gt;=DATE(Configuración!$C$5+1,1,1)),"Fecha fuera del año",IF(OR(G920&lt;0,H920&lt;0),"Revisar signo",IF(AND(C920&lt;&gt;"Servicio",H920&lt;&gt;0),"IVA solo en Servicio",IF(AND(C920="Servicio",F920=""),"Falta servicio","OK")))))))))</f>
        <v/>
      </c>
    </row>
    <row r="921" spans="1:12" ht="22" customHeight="1">
      <c r="A921" s="3"/>
      <c r="B921" s="7"/>
      <c r="C921" s="3"/>
      <c r="D921" s="3"/>
      <c r="E921" s="3"/>
      <c r="F921" s="3"/>
      <c r="G921" s="4"/>
      <c r="H921" s="4"/>
      <c r="I921" s="3"/>
      <c r="J921" s="3"/>
      <c r="K921" s="8" t="str">
        <f t="shared" si="14"/>
        <v/>
      </c>
      <c r="L921" s="1" t="str">
        <f>IF(COUNTA(A921:J921)=0,"",IF(OR(AND(C921&lt;&gt;"Servicio",C921&lt;&gt;"Cobro",C921&lt;&gt;"Anticipo",C921&lt;&gt;"Aplicación anticipo",C921&lt;&gt;"Retención ISR",C921&lt;&gt;"Retención IVA"),AND(C921="Servicio",F921&lt;&gt;"TMS",F921&lt;&gt;"Valoración",F921&lt;&gt;"EEG",F921&lt;&gt;"Neurofeedback",F921&lt;&gt;"Fotobiomodulación",F921&lt;&gt;"Psicoterapia",F921&lt;&gt;"Otros")),"Tipo o categoría inválido",IF(COUNTA(A921:J921)=0,"",IF(OR(A921="",B921="",C921="",G921=""),"Faltan datos",IF(COUNTIF($A$7:$A$2006,A921)&gt;1,"ID duplicado",IF(OR(B921&lt;DATE(Configuración!$C$5,1,1),B921&gt;=DATE(Configuración!$C$5+1,1,1)),"Fecha fuera del año",IF(OR(G921&lt;0,H921&lt;0),"Revisar signo",IF(AND(C921&lt;&gt;"Servicio",H921&lt;&gt;0),"IVA solo en Servicio",IF(AND(C921="Servicio",F921=""),"Falta servicio","OK")))))))))</f>
        <v/>
      </c>
    </row>
    <row r="922" spans="1:12" ht="22" customHeight="1">
      <c r="A922" s="3"/>
      <c r="B922" s="7"/>
      <c r="C922" s="3"/>
      <c r="D922" s="3"/>
      <c r="E922" s="3"/>
      <c r="F922" s="3"/>
      <c r="G922" s="4"/>
      <c r="H922" s="4"/>
      <c r="I922" s="3"/>
      <c r="J922" s="3"/>
      <c r="K922" s="8" t="str">
        <f t="shared" si="14"/>
        <v/>
      </c>
      <c r="L922" s="1" t="str">
        <f>IF(COUNTA(A922:J922)=0,"",IF(OR(AND(C922&lt;&gt;"Servicio",C922&lt;&gt;"Cobro",C922&lt;&gt;"Anticipo",C922&lt;&gt;"Aplicación anticipo",C922&lt;&gt;"Retención ISR",C922&lt;&gt;"Retención IVA"),AND(C922="Servicio",F922&lt;&gt;"TMS",F922&lt;&gt;"Valoración",F922&lt;&gt;"EEG",F922&lt;&gt;"Neurofeedback",F922&lt;&gt;"Fotobiomodulación",F922&lt;&gt;"Psicoterapia",F922&lt;&gt;"Otros")),"Tipo o categoría inválido",IF(COUNTA(A922:J922)=0,"",IF(OR(A922="",B922="",C922="",G922=""),"Faltan datos",IF(COUNTIF($A$7:$A$2006,A922)&gt;1,"ID duplicado",IF(OR(B922&lt;DATE(Configuración!$C$5,1,1),B922&gt;=DATE(Configuración!$C$5+1,1,1)),"Fecha fuera del año",IF(OR(G922&lt;0,H922&lt;0),"Revisar signo",IF(AND(C922&lt;&gt;"Servicio",H922&lt;&gt;0),"IVA solo en Servicio",IF(AND(C922="Servicio",F922=""),"Falta servicio","OK")))))))))</f>
        <v/>
      </c>
    </row>
    <row r="923" spans="1:12" ht="22" customHeight="1">
      <c r="A923" s="3"/>
      <c r="B923" s="7"/>
      <c r="C923" s="3"/>
      <c r="D923" s="3"/>
      <c r="E923" s="3"/>
      <c r="F923" s="3"/>
      <c r="G923" s="4"/>
      <c r="H923" s="4"/>
      <c r="I923" s="3"/>
      <c r="J923" s="3"/>
      <c r="K923" s="8" t="str">
        <f t="shared" si="14"/>
        <v/>
      </c>
      <c r="L923" s="1" t="str">
        <f>IF(COUNTA(A923:J923)=0,"",IF(OR(AND(C923&lt;&gt;"Servicio",C923&lt;&gt;"Cobro",C923&lt;&gt;"Anticipo",C923&lt;&gt;"Aplicación anticipo",C923&lt;&gt;"Retención ISR",C923&lt;&gt;"Retención IVA"),AND(C923="Servicio",F923&lt;&gt;"TMS",F923&lt;&gt;"Valoración",F923&lt;&gt;"EEG",F923&lt;&gt;"Neurofeedback",F923&lt;&gt;"Fotobiomodulación",F923&lt;&gt;"Psicoterapia",F923&lt;&gt;"Otros")),"Tipo o categoría inválido",IF(COUNTA(A923:J923)=0,"",IF(OR(A923="",B923="",C923="",G923=""),"Faltan datos",IF(COUNTIF($A$7:$A$2006,A923)&gt;1,"ID duplicado",IF(OR(B923&lt;DATE(Configuración!$C$5,1,1),B923&gt;=DATE(Configuración!$C$5+1,1,1)),"Fecha fuera del año",IF(OR(G923&lt;0,H923&lt;0),"Revisar signo",IF(AND(C923&lt;&gt;"Servicio",H923&lt;&gt;0),"IVA solo en Servicio",IF(AND(C923="Servicio",F923=""),"Falta servicio","OK")))))))))</f>
        <v/>
      </c>
    </row>
    <row r="924" spans="1:12" ht="22" customHeight="1">
      <c r="A924" s="3"/>
      <c r="B924" s="7"/>
      <c r="C924" s="3"/>
      <c r="D924" s="3"/>
      <c r="E924" s="3"/>
      <c r="F924" s="3"/>
      <c r="G924" s="4"/>
      <c r="H924" s="4"/>
      <c r="I924" s="3"/>
      <c r="J924" s="3"/>
      <c r="K924" s="8" t="str">
        <f t="shared" si="14"/>
        <v/>
      </c>
      <c r="L924" s="1" t="str">
        <f>IF(COUNTA(A924:J924)=0,"",IF(OR(AND(C924&lt;&gt;"Servicio",C924&lt;&gt;"Cobro",C924&lt;&gt;"Anticipo",C924&lt;&gt;"Aplicación anticipo",C924&lt;&gt;"Retención ISR",C924&lt;&gt;"Retención IVA"),AND(C924="Servicio",F924&lt;&gt;"TMS",F924&lt;&gt;"Valoración",F924&lt;&gt;"EEG",F924&lt;&gt;"Neurofeedback",F924&lt;&gt;"Fotobiomodulación",F924&lt;&gt;"Psicoterapia",F924&lt;&gt;"Otros")),"Tipo o categoría inválido",IF(COUNTA(A924:J924)=0,"",IF(OR(A924="",B924="",C924="",G924=""),"Faltan datos",IF(COUNTIF($A$7:$A$2006,A924)&gt;1,"ID duplicado",IF(OR(B924&lt;DATE(Configuración!$C$5,1,1),B924&gt;=DATE(Configuración!$C$5+1,1,1)),"Fecha fuera del año",IF(OR(G924&lt;0,H924&lt;0),"Revisar signo",IF(AND(C924&lt;&gt;"Servicio",H924&lt;&gt;0),"IVA solo en Servicio",IF(AND(C924="Servicio",F924=""),"Falta servicio","OK")))))))))</f>
        <v/>
      </c>
    </row>
    <row r="925" spans="1:12" ht="22" customHeight="1">
      <c r="A925" s="3"/>
      <c r="B925" s="7"/>
      <c r="C925" s="3"/>
      <c r="D925" s="3"/>
      <c r="E925" s="3"/>
      <c r="F925" s="3"/>
      <c r="G925" s="4"/>
      <c r="H925" s="4"/>
      <c r="I925" s="3"/>
      <c r="J925" s="3"/>
      <c r="K925" s="8" t="str">
        <f t="shared" si="14"/>
        <v/>
      </c>
      <c r="L925" s="1" t="str">
        <f>IF(COUNTA(A925:J925)=0,"",IF(OR(AND(C925&lt;&gt;"Servicio",C925&lt;&gt;"Cobro",C925&lt;&gt;"Anticipo",C925&lt;&gt;"Aplicación anticipo",C925&lt;&gt;"Retención ISR",C925&lt;&gt;"Retención IVA"),AND(C925="Servicio",F925&lt;&gt;"TMS",F925&lt;&gt;"Valoración",F925&lt;&gt;"EEG",F925&lt;&gt;"Neurofeedback",F925&lt;&gt;"Fotobiomodulación",F925&lt;&gt;"Psicoterapia",F925&lt;&gt;"Otros")),"Tipo o categoría inválido",IF(COUNTA(A925:J925)=0,"",IF(OR(A925="",B925="",C925="",G925=""),"Faltan datos",IF(COUNTIF($A$7:$A$2006,A925)&gt;1,"ID duplicado",IF(OR(B925&lt;DATE(Configuración!$C$5,1,1),B925&gt;=DATE(Configuración!$C$5+1,1,1)),"Fecha fuera del año",IF(OR(G925&lt;0,H925&lt;0),"Revisar signo",IF(AND(C925&lt;&gt;"Servicio",H925&lt;&gt;0),"IVA solo en Servicio",IF(AND(C925="Servicio",F925=""),"Falta servicio","OK")))))))))</f>
        <v/>
      </c>
    </row>
    <row r="926" spans="1:12" ht="22" customHeight="1">
      <c r="A926" s="3"/>
      <c r="B926" s="7"/>
      <c r="C926" s="3"/>
      <c r="D926" s="3"/>
      <c r="E926" s="3"/>
      <c r="F926" s="3"/>
      <c r="G926" s="4"/>
      <c r="H926" s="4"/>
      <c r="I926" s="3"/>
      <c r="J926" s="3"/>
      <c r="K926" s="8" t="str">
        <f t="shared" si="14"/>
        <v/>
      </c>
      <c r="L926" s="1" t="str">
        <f>IF(COUNTA(A926:J926)=0,"",IF(OR(AND(C926&lt;&gt;"Servicio",C926&lt;&gt;"Cobro",C926&lt;&gt;"Anticipo",C926&lt;&gt;"Aplicación anticipo",C926&lt;&gt;"Retención ISR",C926&lt;&gt;"Retención IVA"),AND(C926="Servicio",F926&lt;&gt;"TMS",F926&lt;&gt;"Valoración",F926&lt;&gt;"EEG",F926&lt;&gt;"Neurofeedback",F926&lt;&gt;"Fotobiomodulación",F926&lt;&gt;"Psicoterapia",F926&lt;&gt;"Otros")),"Tipo o categoría inválido",IF(COUNTA(A926:J926)=0,"",IF(OR(A926="",B926="",C926="",G926=""),"Faltan datos",IF(COUNTIF($A$7:$A$2006,A926)&gt;1,"ID duplicado",IF(OR(B926&lt;DATE(Configuración!$C$5,1,1),B926&gt;=DATE(Configuración!$C$5+1,1,1)),"Fecha fuera del año",IF(OR(G926&lt;0,H926&lt;0),"Revisar signo",IF(AND(C926&lt;&gt;"Servicio",H926&lt;&gt;0),"IVA solo en Servicio",IF(AND(C926="Servicio",F926=""),"Falta servicio","OK")))))))))</f>
        <v/>
      </c>
    </row>
    <row r="927" spans="1:12" ht="22" customHeight="1">
      <c r="A927" s="3"/>
      <c r="B927" s="7"/>
      <c r="C927" s="3"/>
      <c r="D927" s="3"/>
      <c r="E927" s="3"/>
      <c r="F927" s="3"/>
      <c r="G927" s="4"/>
      <c r="H927" s="4"/>
      <c r="I927" s="3"/>
      <c r="J927" s="3"/>
      <c r="K927" s="8" t="str">
        <f t="shared" si="14"/>
        <v/>
      </c>
      <c r="L927" s="1" t="str">
        <f>IF(COUNTA(A927:J927)=0,"",IF(OR(AND(C927&lt;&gt;"Servicio",C927&lt;&gt;"Cobro",C927&lt;&gt;"Anticipo",C927&lt;&gt;"Aplicación anticipo",C927&lt;&gt;"Retención ISR",C927&lt;&gt;"Retención IVA"),AND(C927="Servicio",F927&lt;&gt;"TMS",F927&lt;&gt;"Valoración",F927&lt;&gt;"EEG",F927&lt;&gt;"Neurofeedback",F927&lt;&gt;"Fotobiomodulación",F927&lt;&gt;"Psicoterapia",F927&lt;&gt;"Otros")),"Tipo o categoría inválido",IF(COUNTA(A927:J927)=0,"",IF(OR(A927="",B927="",C927="",G927=""),"Faltan datos",IF(COUNTIF($A$7:$A$2006,A927)&gt;1,"ID duplicado",IF(OR(B927&lt;DATE(Configuración!$C$5,1,1),B927&gt;=DATE(Configuración!$C$5+1,1,1)),"Fecha fuera del año",IF(OR(G927&lt;0,H927&lt;0),"Revisar signo",IF(AND(C927&lt;&gt;"Servicio",H927&lt;&gt;0),"IVA solo en Servicio",IF(AND(C927="Servicio",F927=""),"Falta servicio","OK")))))))))</f>
        <v/>
      </c>
    </row>
    <row r="928" spans="1:12" ht="22" customHeight="1">
      <c r="A928" s="3"/>
      <c r="B928" s="7"/>
      <c r="C928" s="3"/>
      <c r="D928" s="3"/>
      <c r="E928" s="3"/>
      <c r="F928" s="3"/>
      <c r="G928" s="4"/>
      <c r="H928" s="4"/>
      <c r="I928" s="3"/>
      <c r="J928" s="3"/>
      <c r="K928" s="8" t="str">
        <f t="shared" si="14"/>
        <v/>
      </c>
      <c r="L928" s="1" t="str">
        <f>IF(COUNTA(A928:J928)=0,"",IF(OR(AND(C928&lt;&gt;"Servicio",C928&lt;&gt;"Cobro",C928&lt;&gt;"Anticipo",C928&lt;&gt;"Aplicación anticipo",C928&lt;&gt;"Retención ISR",C928&lt;&gt;"Retención IVA"),AND(C928="Servicio",F928&lt;&gt;"TMS",F928&lt;&gt;"Valoración",F928&lt;&gt;"EEG",F928&lt;&gt;"Neurofeedback",F928&lt;&gt;"Fotobiomodulación",F928&lt;&gt;"Psicoterapia",F928&lt;&gt;"Otros")),"Tipo o categoría inválido",IF(COUNTA(A928:J928)=0,"",IF(OR(A928="",B928="",C928="",G928=""),"Faltan datos",IF(COUNTIF($A$7:$A$2006,A928)&gt;1,"ID duplicado",IF(OR(B928&lt;DATE(Configuración!$C$5,1,1),B928&gt;=DATE(Configuración!$C$5+1,1,1)),"Fecha fuera del año",IF(OR(G928&lt;0,H928&lt;0),"Revisar signo",IF(AND(C928&lt;&gt;"Servicio",H928&lt;&gt;0),"IVA solo en Servicio",IF(AND(C928="Servicio",F928=""),"Falta servicio","OK")))))))))</f>
        <v/>
      </c>
    </row>
    <row r="929" spans="1:12" ht="22" customHeight="1">
      <c r="A929" s="3"/>
      <c r="B929" s="7"/>
      <c r="C929" s="3"/>
      <c r="D929" s="3"/>
      <c r="E929" s="3"/>
      <c r="F929" s="3"/>
      <c r="G929" s="4"/>
      <c r="H929" s="4"/>
      <c r="I929" s="3"/>
      <c r="J929" s="3"/>
      <c r="K929" s="8" t="str">
        <f t="shared" si="14"/>
        <v/>
      </c>
      <c r="L929" s="1" t="str">
        <f>IF(COUNTA(A929:J929)=0,"",IF(OR(AND(C929&lt;&gt;"Servicio",C929&lt;&gt;"Cobro",C929&lt;&gt;"Anticipo",C929&lt;&gt;"Aplicación anticipo",C929&lt;&gt;"Retención ISR",C929&lt;&gt;"Retención IVA"),AND(C929="Servicio",F929&lt;&gt;"TMS",F929&lt;&gt;"Valoración",F929&lt;&gt;"EEG",F929&lt;&gt;"Neurofeedback",F929&lt;&gt;"Fotobiomodulación",F929&lt;&gt;"Psicoterapia",F929&lt;&gt;"Otros")),"Tipo o categoría inválido",IF(COUNTA(A929:J929)=0,"",IF(OR(A929="",B929="",C929="",G929=""),"Faltan datos",IF(COUNTIF($A$7:$A$2006,A929)&gt;1,"ID duplicado",IF(OR(B929&lt;DATE(Configuración!$C$5,1,1),B929&gt;=DATE(Configuración!$C$5+1,1,1)),"Fecha fuera del año",IF(OR(G929&lt;0,H929&lt;0),"Revisar signo",IF(AND(C929&lt;&gt;"Servicio",H929&lt;&gt;0),"IVA solo en Servicio",IF(AND(C929="Servicio",F929=""),"Falta servicio","OK")))))))))</f>
        <v/>
      </c>
    </row>
    <row r="930" spans="1:12" ht="22" customHeight="1">
      <c r="A930" s="3"/>
      <c r="B930" s="7"/>
      <c r="C930" s="3"/>
      <c r="D930" s="3"/>
      <c r="E930" s="3"/>
      <c r="F930" s="3"/>
      <c r="G930" s="4"/>
      <c r="H930" s="4"/>
      <c r="I930" s="3"/>
      <c r="J930" s="3"/>
      <c r="K930" s="8" t="str">
        <f t="shared" si="14"/>
        <v/>
      </c>
      <c r="L930" s="1" t="str">
        <f>IF(COUNTA(A930:J930)=0,"",IF(OR(AND(C930&lt;&gt;"Servicio",C930&lt;&gt;"Cobro",C930&lt;&gt;"Anticipo",C930&lt;&gt;"Aplicación anticipo",C930&lt;&gt;"Retención ISR",C930&lt;&gt;"Retención IVA"),AND(C930="Servicio",F930&lt;&gt;"TMS",F930&lt;&gt;"Valoración",F930&lt;&gt;"EEG",F930&lt;&gt;"Neurofeedback",F930&lt;&gt;"Fotobiomodulación",F930&lt;&gt;"Psicoterapia",F930&lt;&gt;"Otros")),"Tipo o categoría inválido",IF(COUNTA(A930:J930)=0,"",IF(OR(A930="",B930="",C930="",G930=""),"Faltan datos",IF(COUNTIF($A$7:$A$2006,A930)&gt;1,"ID duplicado",IF(OR(B930&lt;DATE(Configuración!$C$5,1,1),B930&gt;=DATE(Configuración!$C$5+1,1,1)),"Fecha fuera del año",IF(OR(G930&lt;0,H930&lt;0),"Revisar signo",IF(AND(C930&lt;&gt;"Servicio",H930&lt;&gt;0),"IVA solo en Servicio",IF(AND(C930="Servicio",F930=""),"Falta servicio","OK")))))))))</f>
        <v/>
      </c>
    </row>
    <row r="931" spans="1:12" ht="22" customHeight="1">
      <c r="A931" s="3"/>
      <c r="B931" s="7"/>
      <c r="C931" s="3"/>
      <c r="D931" s="3"/>
      <c r="E931" s="3"/>
      <c r="F931" s="3"/>
      <c r="G931" s="4"/>
      <c r="H931" s="4"/>
      <c r="I931" s="3"/>
      <c r="J931" s="3"/>
      <c r="K931" s="8" t="str">
        <f t="shared" si="14"/>
        <v/>
      </c>
      <c r="L931" s="1" t="str">
        <f>IF(COUNTA(A931:J931)=0,"",IF(OR(AND(C931&lt;&gt;"Servicio",C931&lt;&gt;"Cobro",C931&lt;&gt;"Anticipo",C931&lt;&gt;"Aplicación anticipo",C931&lt;&gt;"Retención ISR",C931&lt;&gt;"Retención IVA"),AND(C931="Servicio",F931&lt;&gt;"TMS",F931&lt;&gt;"Valoración",F931&lt;&gt;"EEG",F931&lt;&gt;"Neurofeedback",F931&lt;&gt;"Fotobiomodulación",F931&lt;&gt;"Psicoterapia",F931&lt;&gt;"Otros")),"Tipo o categoría inválido",IF(COUNTA(A931:J931)=0,"",IF(OR(A931="",B931="",C931="",G931=""),"Faltan datos",IF(COUNTIF($A$7:$A$2006,A931)&gt;1,"ID duplicado",IF(OR(B931&lt;DATE(Configuración!$C$5,1,1),B931&gt;=DATE(Configuración!$C$5+1,1,1)),"Fecha fuera del año",IF(OR(G931&lt;0,H931&lt;0),"Revisar signo",IF(AND(C931&lt;&gt;"Servicio",H931&lt;&gt;0),"IVA solo en Servicio",IF(AND(C931="Servicio",F931=""),"Falta servicio","OK")))))))))</f>
        <v/>
      </c>
    </row>
    <row r="932" spans="1:12" ht="22" customHeight="1">
      <c r="A932" s="3"/>
      <c r="B932" s="7"/>
      <c r="C932" s="3"/>
      <c r="D932" s="3"/>
      <c r="E932" s="3"/>
      <c r="F932" s="3"/>
      <c r="G932" s="4"/>
      <c r="H932" s="4"/>
      <c r="I932" s="3"/>
      <c r="J932" s="3"/>
      <c r="K932" s="8" t="str">
        <f t="shared" si="14"/>
        <v/>
      </c>
      <c r="L932" s="1" t="str">
        <f>IF(COUNTA(A932:J932)=0,"",IF(OR(AND(C932&lt;&gt;"Servicio",C932&lt;&gt;"Cobro",C932&lt;&gt;"Anticipo",C932&lt;&gt;"Aplicación anticipo",C932&lt;&gt;"Retención ISR",C932&lt;&gt;"Retención IVA"),AND(C932="Servicio",F932&lt;&gt;"TMS",F932&lt;&gt;"Valoración",F932&lt;&gt;"EEG",F932&lt;&gt;"Neurofeedback",F932&lt;&gt;"Fotobiomodulación",F932&lt;&gt;"Psicoterapia",F932&lt;&gt;"Otros")),"Tipo o categoría inválido",IF(COUNTA(A932:J932)=0,"",IF(OR(A932="",B932="",C932="",G932=""),"Faltan datos",IF(COUNTIF($A$7:$A$2006,A932)&gt;1,"ID duplicado",IF(OR(B932&lt;DATE(Configuración!$C$5,1,1),B932&gt;=DATE(Configuración!$C$5+1,1,1)),"Fecha fuera del año",IF(OR(G932&lt;0,H932&lt;0),"Revisar signo",IF(AND(C932&lt;&gt;"Servicio",H932&lt;&gt;0),"IVA solo en Servicio",IF(AND(C932="Servicio",F932=""),"Falta servicio","OK")))))))))</f>
        <v/>
      </c>
    </row>
    <row r="933" spans="1:12" ht="22" customHeight="1">
      <c r="A933" s="3"/>
      <c r="B933" s="7"/>
      <c r="C933" s="3"/>
      <c r="D933" s="3"/>
      <c r="E933" s="3"/>
      <c r="F933" s="3"/>
      <c r="G933" s="4"/>
      <c r="H933" s="4"/>
      <c r="I933" s="3"/>
      <c r="J933" s="3"/>
      <c r="K933" s="8" t="str">
        <f t="shared" si="14"/>
        <v/>
      </c>
      <c r="L933" s="1" t="str">
        <f>IF(COUNTA(A933:J933)=0,"",IF(OR(AND(C933&lt;&gt;"Servicio",C933&lt;&gt;"Cobro",C933&lt;&gt;"Anticipo",C933&lt;&gt;"Aplicación anticipo",C933&lt;&gt;"Retención ISR",C933&lt;&gt;"Retención IVA"),AND(C933="Servicio",F933&lt;&gt;"TMS",F933&lt;&gt;"Valoración",F933&lt;&gt;"EEG",F933&lt;&gt;"Neurofeedback",F933&lt;&gt;"Fotobiomodulación",F933&lt;&gt;"Psicoterapia",F933&lt;&gt;"Otros")),"Tipo o categoría inválido",IF(COUNTA(A933:J933)=0,"",IF(OR(A933="",B933="",C933="",G933=""),"Faltan datos",IF(COUNTIF($A$7:$A$2006,A933)&gt;1,"ID duplicado",IF(OR(B933&lt;DATE(Configuración!$C$5,1,1),B933&gt;=DATE(Configuración!$C$5+1,1,1)),"Fecha fuera del año",IF(OR(G933&lt;0,H933&lt;0),"Revisar signo",IF(AND(C933&lt;&gt;"Servicio",H933&lt;&gt;0),"IVA solo en Servicio",IF(AND(C933="Servicio",F933=""),"Falta servicio","OK")))))))))</f>
        <v/>
      </c>
    </row>
    <row r="934" spans="1:12" ht="22" customHeight="1">
      <c r="A934" s="3"/>
      <c r="B934" s="7"/>
      <c r="C934" s="3"/>
      <c r="D934" s="3"/>
      <c r="E934" s="3"/>
      <c r="F934" s="3"/>
      <c r="G934" s="4"/>
      <c r="H934" s="4"/>
      <c r="I934" s="3"/>
      <c r="J934" s="3"/>
      <c r="K934" s="8" t="str">
        <f t="shared" si="14"/>
        <v/>
      </c>
      <c r="L934" s="1" t="str">
        <f>IF(COUNTA(A934:J934)=0,"",IF(OR(AND(C934&lt;&gt;"Servicio",C934&lt;&gt;"Cobro",C934&lt;&gt;"Anticipo",C934&lt;&gt;"Aplicación anticipo",C934&lt;&gt;"Retención ISR",C934&lt;&gt;"Retención IVA"),AND(C934="Servicio",F934&lt;&gt;"TMS",F934&lt;&gt;"Valoración",F934&lt;&gt;"EEG",F934&lt;&gt;"Neurofeedback",F934&lt;&gt;"Fotobiomodulación",F934&lt;&gt;"Psicoterapia",F934&lt;&gt;"Otros")),"Tipo o categoría inválido",IF(COUNTA(A934:J934)=0,"",IF(OR(A934="",B934="",C934="",G934=""),"Faltan datos",IF(COUNTIF($A$7:$A$2006,A934)&gt;1,"ID duplicado",IF(OR(B934&lt;DATE(Configuración!$C$5,1,1),B934&gt;=DATE(Configuración!$C$5+1,1,1)),"Fecha fuera del año",IF(OR(G934&lt;0,H934&lt;0),"Revisar signo",IF(AND(C934&lt;&gt;"Servicio",H934&lt;&gt;0),"IVA solo en Servicio",IF(AND(C934="Servicio",F934=""),"Falta servicio","OK")))))))))</f>
        <v/>
      </c>
    </row>
    <row r="935" spans="1:12" ht="22" customHeight="1">
      <c r="A935" s="3"/>
      <c r="B935" s="7"/>
      <c r="C935" s="3"/>
      <c r="D935" s="3"/>
      <c r="E935" s="3"/>
      <c r="F935" s="3"/>
      <c r="G935" s="4"/>
      <c r="H935" s="4"/>
      <c r="I935" s="3"/>
      <c r="J935" s="3"/>
      <c r="K935" s="8" t="str">
        <f t="shared" si="14"/>
        <v/>
      </c>
      <c r="L935" s="1" t="str">
        <f>IF(COUNTA(A935:J935)=0,"",IF(OR(AND(C935&lt;&gt;"Servicio",C935&lt;&gt;"Cobro",C935&lt;&gt;"Anticipo",C935&lt;&gt;"Aplicación anticipo",C935&lt;&gt;"Retención ISR",C935&lt;&gt;"Retención IVA"),AND(C935="Servicio",F935&lt;&gt;"TMS",F935&lt;&gt;"Valoración",F935&lt;&gt;"EEG",F935&lt;&gt;"Neurofeedback",F935&lt;&gt;"Fotobiomodulación",F935&lt;&gt;"Psicoterapia",F935&lt;&gt;"Otros")),"Tipo o categoría inválido",IF(COUNTA(A935:J935)=0,"",IF(OR(A935="",B935="",C935="",G935=""),"Faltan datos",IF(COUNTIF($A$7:$A$2006,A935)&gt;1,"ID duplicado",IF(OR(B935&lt;DATE(Configuración!$C$5,1,1),B935&gt;=DATE(Configuración!$C$5+1,1,1)),"Fecha fuera del año",IF(OR(G935&lt;0,H935&lt;0),"Revisar signo",IF(AND(C935&lt;&gt;"Servicio",H935&lt;&gt;0),"IVA solo en Servicio",IF(AND(C935="Servicio",F935=""),"Falta servicio","OK")))))))))</f>
        <v/>
      </c>
    </row>
    <row r="936" spans="1:12" ht="22" customHeight="1">
      <c r="A936" s="3"/>
      <c r="B936" s="7"/>
      <c r="C936" s="3"/>
      <c r="D936" s="3"/>
      <c r="E936" s="3"/>
      <c r="F936" s="3"/>
      <c r="G936" s="4"/>
      <c r="H936" s="4"/>
      <c r="I936" s="3"/>
      <c r="J936" s="3"/>
      <c r="K936" s="8" t="str">
        <f t="shared" si="14"/>
        <v/>
      </c>
      <c r="L936" s="1" t="str">
        <f>IF(COUNTA(A936:J936)=0,"",IF(OR(AND(C936&lt;&gt;"Servicio",C936&lt;&gt;"Cobro",C936&lt;&gt;"Anticipo",C936&lt;&gt;"Aplicación anticipo",C936&lt;&gt;"Retención ISR",C936&lt;&gt;"Retención IVA"),AND(C936="Servicio",F936&lt;&gt;"TMS",F936&lt;&gt;"Valoración",F936&lt;&gt;"EEG",F936&lt;&gt;"Neurofeedback",F936&lt;&gt;"Fotobiomodulación",F936&lt;&gt;"Psicoterapia",F936&lt;&gt;"Otros")),"Tipo o categoría inválido",IF(COUNTA(A936:J936)=0,"",IF(OR(A936="",B936="",C936="",G936=""),"Faltan datos",IF(COUNTIF($A$7:$A$2006,A936)&gt;1,"ID duplicado",IF(OR(B936&lt;DATE(Configuración!$C$5,1,1),B936&gt;=DATE(Configuración!$C$5+1,1,1)),"Fecha fuera del año",IF(OR(G936&lt;0,H936&lt;0),"Revisar signo",IF(AND(C936&lt;&gt;"Servicio",H936&lt;&gt;0),"IVA solo en Servicio",IF(AND(C936="Servicio",F936=""),"Falta servicio","OK")))))))))</f>
        <v/>
      </c>
    </row>
    <row r="937" spans="1:12" ht="22" customHeight="1">
      <c r="A937" s="3"/>
      <c r="B937" s="7"/>
      <c r="C937" s="3"/>
      <c r="D937" s="3"/>
      <c r="E937" s="3"/>
      <c r="F937" s="3"/>
      <c r="G937" s="4"/>
      <c r="H937" s="4"/>
      <c r="I937" s="3"/>
      <c r="J937" s="3"/>
      <c r="K937" s="8" t="str">
        <f t="shared" si="14"/>
        <v/>
      </c>
      <c r="L937" s="1" t="str">
        <f>IF(COUNTA(A937:J937)=0,"",IF(OR(AND(C937&lt;&gt;"Servicio",C937&lt;&gt;"Cobro",C937&lt;&gt;"Anticipo",C937&lt;&gt;"Aplicación anticipo",C937&lt;&gt;"Retención ISR",C937&lt;&gt;"Retención IVA"),AND(C937="Servicio",F937&lt;&gt;"TMS",F937&lt;&gt;"Valoración",F937&lt;&gt;"EEG",F937&lt;&gt;"Neurofeedback",F937&lt;&gt;"Fotobiomodulación",F937&lt;&gt;"Psicoterapia",F937&lt;&gt;"Otros")),"Tipo o categoría inválido",IF(COUNTA(A937:J937)=0,"",IF(OR(A937="",B937="",C937="",G937=""),"Faltan datos",IF(COUNTIF($A$7:$A$2006,A937)&gt;1,"ID duplicado",IF(OR(B937&lt;DATE(Configuración!$C$5,1,1),B937&gt;=DATE(Configuración!$C$5+1,1,1)),"Fecha fuera del año",IF(OR(G937&lt;0,H937&lt;0),"Revisar signo",IF(AND(C937&lt;&gt;"Servicio",H937&lt;&gt;0),"IVA solo en Servicio",IF(AND(C937="Servicio",F937=""),"Falta servicio","OK")))))))))</f>
        <v/>
      </c>
    </row>
    <row r="938" spans="1:12" ht="22" customHeight="1">
      <c r="A938" s="3"/>
      <c r="B938" s="7"/>
      <c r="C938" s="3"/>
      <c r="D938" s="3"/>
      <c r="E938" s="3"/>
      <c r="F938" s="3"/>
      <c r="G938" s="4"/>
      <c r="H938" s="4"/>
      <c r="I938" s="3"/>
      <c r="J938" s="3"/>
      <c r="K938" s="8" t="str">
        <f t="shared" si="14"/>
        <v/>
      </c>
      <c r="L938" s="1" t="str">
        <f>IF(COUNTA(A938:J938)=0,"",IF(OR(AND(C938&lt;&gt;"Servicio",C938&lt;&gt;"Cobro",C938&lt;&gt;"Anticipo",C938&lt;&gt;"Aplicación anticipo",C938&lt;&gt;"Retención ISR",C938&lt;&gt;"Retención IVA"),AND(C938="Servicio",F938&lt;&gt;"TMS",F938&lt;&gt;"Valoración",F938&lt;&gt;"EEG",F938&lt;&gt;"Neurofeedback",F938&lt;&gt;"Fotobiomodulación",F938&lt;&gt;"Psicoterapia",F938&lt;&gt;"Otros")),"Tipo o categoría inválido",IF(COUNTA(A938:J938)=0,"",IF(OR(A938="",B938="",C938="",G938=""),"Faltan datos",IF(COUNTIF($A$7:$A$2006,A938)&gt;1,"ID duplicado",IF(OR(B938&lt;DATE(Configuración!$C$5,1,1),B938&gt;=DATE(Configuración!$C$5+1,1,1)),"Fecha fuera del año",IF(OR(G938&lt;0,H938&lt;0),"Revisar signo",IF(AND(C938&lt;&gt;"Servicio",H938&lt;&gt;0),"IVA solo en Servicio",IF(AND(C938="Servicio",F938=""),"Falta servicio","OK")))))))))</f>
        <v/>
      </c>
    </row>
    <row r="939" spans="1:12" ht="22" customHeight="1">
      <c r="A939" s="3"/>
      <c r="B939" s="7"/>
      <c r="C939" s="3"/>
      <c r="D939" s="3"/>
      <c r="E939" s="3"/>
      <c r="F939" s="3"/>
      <c r="G939" s="4"/>
      <c r="H939" s="4"/>
      <c r="I939" s="3"/>
      <c r="J939" s="3"/>
      <c r="K939" s="8" t="str">
        <f t="shared" si="14"/>
        <v/>
      </c>
      <c r="L939" s="1" t="str">
        <f>IF(COUNTA(A939:J939)=0,"",IF(OR(AND(C939&lt;&gt;"Servicio",C939&lt;&gt;"Cobro",C939&lt;&gt;"Anticipo",C939&lt;&gt;"Aplicación anticipo",C939&lt;&gt;"Retención ISR",C939&lt;&gt;"Retención IVA"),AND(C939="Servicio",F939&lt;&gt;"TMS",F939&lt;&gt;"Valoración",F939&lt;&gt;"EEG",F939&lt;&gt;"Neurofeedback",F939&lt;&gt;"Fotobiomodulación",F939&lt;&gt;"Psicoterapia",F939&lt;&gt;"Otros")),"Tipo o categoría inválido",IF(COUNTA(A939:J939)=0,"",IF(OR(A939="",B939="",C939="",G939=""),"Faltan datos",IF(COUNTIF($A$7:$A$2006,A939)&gt;1,"ID duplicado",IF(OR(B939&lt;DATE(Configuración!$C$5,1,1),B939&gt;=DATE(Configuración!$C$5+1,1,1)),"Fecha fuera del año",IF(OR(G939&lt;0,H939&lt;0),"Revisar signo",IF(AND(C939&lt;&gt;"Servicio",H939&lt;&gt;0),"IVA solo en Servicio",IF(AND(C939="Servicio",F939=""),"Falta servicio","OK")))))))))</f>
        <v/>
      </c>
    </row>
    <row r="940" spans="1:12" ht="22" customHeight="1">
      <c r="A940" s="3"/>
      <c r="B940" s="7"/>
      <c r="C940" s="3"/>
      <c r="D940" s="3"/>
      <c r="E940" s="3"/>
      <c r="F940" s="3"/>
      <c r="G940" s="4"/>
      <c r="H940" s="4"/>
      <c r="I940" s="3"/>
      <c r="J940" s="3"/>
      <c r="K940" s="8" t="str">
        <f t="shared" si="14"/>
        <v/>
      </c>
      <c r="L940" s="1" t="str">
        <f>IF(COUNTA(A940:J940)=0,"",IF(OR(AND(C940&lt;&gt;"Servicio",C940&lt;&gt;"Cobro",C940&lt;&gt;"Anticipo",C940&lt;&gt;"Aplicación anticipo",C940&lt;&gt;"Retención ISR",C940&lt;&gt;"Retención IVA"),AND(C940="Servicio",F940&lt;&gt;"TMS",F940&lt;&gt;"Valoración",F940&lt;&gt;"EEG",F940&lt;&gt;"Neurofeedback",F940&lt;&gt;"Fotobiomodulación",F940&lt;&gt;"Psicoterapia",F940&lt;&gt;"Otros")),"Tipo o categoría inválido",IF(COUNTA(A940:J940)=0,"",IF(OR(A940="",B940="",C940="",G940=""),"Faltan datos",IF(COUNTIF($A$7:$A$2006,A940)&gt;1,"ID duplicado",IF(OR(B940&lt;DATE(Configuración!$C$5,1,1),B940&gt;=DATE(Configuración!$C$5+1,1,1)),"Fecha fuera del año",IF(OR(G940&lt;0,H940&lt;0),"Revisar signo",IF(AND(C940&lt;&gt;"Servicio",H940&lt;&gt;0),"IVA solo en Servicio",IF(AND(C940="Servicio",F940=""),"Falta servicio","OK")))))))))</f>
        <v/>
      </c>
    </row>
    <row r="941" spans="1:12" ht="22" customHeight="1">
      <c r="A941" s="3"/>
      <c r="B941" s="7"/>
      <c r="C941" s="3"/>
      <c r="D941" s="3"/>
      <c r="E941" s="3"/>
      <c r="F941" s="3"/>
      <c r="G941" s="4"/>
      <c r="H941" s="4"/>
      <c r="I941" s="3"/>
      <c r="J941" s="3"/>
      <c r="K941" s="8" t="str">
        <f t="shared" si="14"/>
        <v/>
      </c>
      <c r="L941" s="1" t="str">
        <f>IF(COUNTA(A941:J941)=0,"",IF(OR(AND(C941&lt;&gt;"Servicio",C941&lt;&gt;"Cobro",C941&lt;&gt;"Anticipo",C941&lt;&gt;"Aplicación anticipo",C941&lt;&gt;"Retención ISR",C941&lt;&gt;"Retención IVA"),AND(C941="Servicio",F941&lt;&gt;"TMS",F941&lt;&gt;"Valoración",F941&lt;&gt;"EEG",F941&lt;&gt;"Neurofeedback",F941&lt;&gt;"Fotobiomodulación",F941&lt;&gt;"Psicoterapia",F941&lt;&gt;"Otros")),"Tipo o categoría inválido",IF(COUNTA(A941:J941)=0,"",IF(OR(A941="",B941="",C941="",G941=""),"Faltan datos",IF(COUNTIF($A$7:$A$2006,A941)&gt;1,"ID duplicado",IF(OR(B941&lt;DATE(Configuración!$C$5,1,1),B941&gt;=DATE(Configuración!$C$5+1,1,1)),"Fecha fuera del año",IF(OR(G941&lt;0,H941&lt;0),"Revisar signo",IF(AND(C941&lt;&gt;"Servicio",H941&lt;&gt;0),"IVA solo en Servicio",IF(AND(C941="Servicio",F941=""),"Falta servicio","OK")))))))))</f>
        <v/>
      </c>
    </row>
    <row r="942" spans="1:12" ht="22" customHeight="1">
      <c r="A942" s="3"/>
      <c r="B942" s="7"/>
      <c r="C942" s="3"/>
      <c r="D942" s="3"/>
      <c r="E942" s="3"/>
      <c r="F942" s="3"/>
      <c r="G942" s="4"/>
      <c r="H942" s="4"/>
      <c r="I942" s="3"/>
      <c r="J942" s="3"/>
      <c r="K942" s="8" t="str">
        <f t="shared" si="14"/>
        <v/>
      </c>
      <c r="L942" s="1" t="str">
        <f>IF(COUNTA(A942:J942)=0,"",IF(OR(AND(C942&lt;&gt;"Servicio",C942&lt;&gt;"Cobro",C942&lt;&gt;"Anticipo",C942&lt;&gt;"Aplicación anticipo",C942&lt;&gt;"Retención ISR",C942&lt;&gt;"Retención IVA"),AND(C942="Servicio",F942&lt;&gt;"TMS",F942&lt;&gt;"Valoración",F942&lt;&gt;"EEG",F942&lt;&gt;"Neurofeedback",F942&lt;&gt;"Fotobiomodulación",F942&lt;&gt;"Psicoterapia",F942&lt;&gt;"Otros")),"Tipo o categoría inválido",IF(COUNTA(A942:J942)=0,"",IF(OR(A942="",B942="",C942="",G942=""),"Faltan datos",IF(COUNTIF($A$7:$A$2006,A942)&gt;1,"ID duplicado",IF(OR(B942&lt;DATE(Configuración!$C$5,1,1),B942&gt;=DATE(Configuración!$C$5+1,1,1)),"Fecha fuera del año",IF(OR(G942&lt;0,H942&lt;0),"Revisar signo",IF(AND(C942&lt;&gt;"Servicio",H942&lt;&gt;0),"IVA solo en Servicio",IF(AND(C942="Servicio",F942=""),"Falta servicio","OK")))))))))</f>
        <v/>
      </c>
    </row>
    <row r="943" spans="1:12" ht="22" customHeight="1">
      <c r="A943" s="3"/>
      <c r="B943" s="7"/>
      <c r="C943" s="3"/>
      <c r="D943" s="3"/>
      <c r="E943" s="3"/>
      <c r="F943" s="3"/>
      <c r="G943" s="4"/>
      <c r="H943" s="4"/>
      <c r="I943" s="3"/>
      <c r="J943" s="3"/>
      <c r="K943" s="8" t="str">
        <f t="shared" si="14"/>
        <v/>
      </c>
      <c r="L943" s="1" t="str">
        <f>IF(COUNTA(A943:J943)=0,"",IF(OR(AND(C943&lt;&gt;"Servicio",C943&lt;&gt;"Cobro",C943&lt;&gt;"Anticipo",C943&lt;&gt;"Aplicación anticipo",C943&lt;&gt;"Retención ISR",C943&lt;&gt;"Retención IVA"),AND(C943="Servicio",F943&lt;&gt;"TMS",F943&lt;&gt;"Valoración",F943&lt;&gt;"EEG",F943&lt;&gt;"Neurofeedback",F943&lt;&gt;"Fotobiomodulación",F943&lt;&gt;"Psicoterapia",F943&lt;&gt;"Otros")),"Tipo o categoría inválido",IF(COUNTA(A943:J943)=0,"",IF(OR(A943="",B943="",C943="",G943=""),"Faltan datos",IF(COUNTIF($A$7:$A$2006,A943)&gt;1,"ID duplicado",IF(OR(B943&lt;DATE(Configuración!$C$5,1,1),B943&gt;=DATE(Configuración!$C$5+1,1,1)),"Fecha fuera del año",IF(OR(G943&lt;0,H943&lt;0),"Revisar signo",IF(AND(C943&lt;&gt;"Servicio",H943&lt;&gt;0),"IVA solo en Servicio",IF(AND(C943="Servicio",F943=""),"Falta servicio","OK")))))))))</f>
        <v/>
      </c>
    </row>
    <row r="944" spans="1:12" ht="22" customHeight="1">
      <c r="A944" s="3"/>
      <c r="B944" s="7"/>
      <c r="C944" s="3"/>
      <c r="D944" s="3"/>
      <c r="E944" s="3"/>
      <c r="F944" s="3"/>
      <c r="G944" s="4"/>
      <c r="H944" s="4"/>
      <c r="I944" s="3"/>
      <c r="J944" s="3"/>
      <c r="K944" s="8" t="str">
        <f t="shared" si="14"/>
        <v/>
      </c>
      <c r="L944" s="1" t="str">
        <f>IF(COUNTA(A944:J944)=0,"",IF(OR(AND(C944&lt;&gt;"Servicio",C944&lt;&gt;"Cobro",C944&lt;&gt;"Anticipo",C944&lt;&gt;"Aplicación anticipo",C944&lt;&gt;"Retención ISR",C944&lt;&gt;"Retención IVA"),AND(C944="Servicio",F944&lt;&gt;"TMS",F944&lt;&gt;"Valoración",F944&lt;&gt;"EEG",F944&lt;&gt;"Neurofeedback",F944&lt;&gt;"Fotobiomodulación",F944&lt;&gt;"Psicoterapia",F944&lt;&gt;"Otros")),"Tipo o categoría inválido",IF(COUNTA(A944:J944)=0,"",IF(OR(A944="",B944="",C944="",G944=""),"Faltan datos",IF(COUNTIF($A$7:$A$2006,A944)&gt;1,"ID duplicado",IF(OR(B944&lt;DATE(Configuración!$C$5,1,1),B944&gt;=DATE(Configuración!$C$5+1,1,1)),"Fecha fuera del año",IF(OR(G944&lt;0,H944&lt;0),"Revisar signo",IF(AND(C944&lt;&gt;"Servicio",H944&lt;&gt;0),"IVA solo en Servicio",IF(AND(C944="Servicio",F944=""),"Falta servicio","OK")))))))))</f>
        <v/>
      </c>
    </row>
    <row r="945" spans="1:12" ht="22" customHeight="1">
      <c r="A945" s="3"/>
      <c r="B945" s="7"/>
      <c r="C945" s="3"/>
      <c r="D945" s="3"/>
      <c r="E945" s="3"/>
      <c r="F945" s="3"/>
      <c r="G945" s="4"/>
      <c r="H945" s="4"/>
      <c r="I945" s="3"/>
      <c r="J945" s="3"/>
      <c r="K945" s="8" t="str">
        <f t="shared" si="14"/>
        <v/>
      </c>
      <c r="L945" s="1" t="str">
        <f>IF(COUNTA(A945:J945)=0,"",IF(OR(AND(C945&lt;&gt;"Servicio",C945&lt;&gt;"Cobro",C945&lt;&gt;"Anticipo",C945&lt;&gt;"Aplicación anticipo",C945&lt;&gt;"Retención ISR",C945&lt;&gt;"Retención IVA"),AND(C945="Servicio",F945&lt;&gt;"TMS",F945&lt;&gt;"Valoración",F945&lt;&gt;"EEG",F945&lt;&gt;"Neurofeedback",F945&lt;&gt;"Fotobiomodulación",F945&lt;&gt;"Psicoterapia",F945&lt;&gt;"Otros")),"Tipo o categoría inválido",IF(COUNTA(A945:J945)=0,"",IF(OR(A945="",B945="",C945="",G945=""),"Faltan datos",IF(COUNTIF($A$7:$A$2006,A945)&gt;1,"ID duplicado",IF(OR(B945&lt;DATE(Configuración!$C$5,1,1),B945&gt;=DATE(Configuración!$C$5+1,1,1)),"Fecha fuera del año",IF(OR(G945&lt;0,H945&lt;0),"Revisar signo",IF(AND(C945&lt;&gt;"Servicio",H945&lt;&gt;0),"IVA solo en Servicio",IF(AND(C945="Servicio",F945=""),"Falta servicio","OK")))))))))</f>
        <v/>
      </c>
    </row>
    <row r="946" spans="1:12" ht="22" customHeight="1">
      <c r="A946" s="3"/>
      <c r="B946" s="7"/>
      <c r="C946" s="3"/>
      <c r="D946" s="3"/>
      <c r="E946" s="3"/>
      <c r="F946" s="3"/>
      <c r="G946" s="4"/>
      <c r="H946" s="4"/>
      <c r="I946" s="3"/>
      <c r="J946" s="3"/>
      <c r="K946" s="8" t="str">
        <f t="shared" si="14"/>
        <v/>
      </c>
      <c r="L946" s="1" t="str">
        <f>IF(COUNTA(A946:J946)=0,"",IF(OR(AND(C946&lt;&gt;"Servicio",C946&lt;&gt;"Cobro",C946&lt;&gt;"Anticipo",C946&lt;&gt;"Aplicación anticipo",C946&lt;&gt;"Retención ISR",C946&lt;&gt;"Retención IVA"),AND(C946="Servicio",F946&lt;&gt;"TMS",F946&lt;&gt;"Valoración",F946&lt;&gt;"EEG",F946&lt;&gt;"Neurofeedback",F946&lt;&gt;"Fotobiomodulación",F946&lt;&gt;"Psicoterapia",F946&lt;&gt;"Otros")),"Tipo o categoría inválido",IF(COUNTA(A946:J946)=0,"",IF(OR(A946="",B946="",C946="",G946=""),"Faltan datos",IF(COUNTIF($A$7:$A$2006,A946)&gt;1,"ID duplicado",IF(OR(B946&lt;DATE(Configuración!$C$5,1,1),B946&gt;=DATE(Configuración!$C$5+1,1,1)),"Fecha fuera del año",IF(OR(G946&lt;0,H946&lt;0),"Revisar signo",IF(AND(C946&lt;&gt;"Servicio",H946&lt;&gt;0),"IVA solo en Servicio",IF(AND(C946="Servicio",F946=""),"Falta servicio","OK")))))))))</f>
        <v/>
      </c>
    </row>
    <row r="947" spans="1:12" ht="22" customHeight="1">
      <c r="A947" s="3"/>
      <c r="B947" s="7"/>
      <c r="C947" s="3"/>
      <c r="D947" s="3"/>
      <c r="E947" s="3"/>
      <c r="F947" s="3"/>
      <c r="G947" s="4"/>
      <c r="H947" s="4"/>
      <c r="I947" s="3"/>
      <c r="J947" s="3"/>
      <c r="K947" s="8" t="str">
        <f t="shared" si="14"/>
        <v/>
      </c>
      <c r="L947" s="1" t="str">
        <f>IF(COUNTA(A947:J947)=0,"",IF(OR(AND(C947&lt;&gt;"Servicio",C947&lt;&gt;"Cobro",C947&lt;&gt;"Anticipo",C947&lt;&gt;"Aplicación anticipo",C947&lt;&gt;"Retención ISR",C947&lt;&gt;"Retención IVA"),AND(C947="Servicio",F947&lt;&gt;"TMS",F947&lt;&gt;"Valoración",F947&lt;&gt;"EEG",F947&lt;&gt;"Neurofeedback",F947&lt;&gt;"Fotobiomodulación",F947&lt;&gt;"Psicoterapia",F947&lt;&gt;"Otros")),"Tipo o categoría inválido",IF(COUNTA(A947:J947)=0,"",IF(OR(A947="",B947="",C947="",G947=""),"Faltan datos",IF(COUNTIF($A$7:$A$2006,A947)&gt;1,"ID duplicado",IF(OR(B947&lt;DATE(Configuración!$C$5,1,1),B947&gt;=DATE(Configuración!$C$5+1,1,1)),"Fecha fuera del año",IF(OR(G947&lt;0,H947&lt;0),"Revisar signo",IF(AND(C947&lt;&gt;"Servicio",H947&lt;&gt;0),"IVA solo en Servicio",IF(AND(C947="Servicio",F947=""),"Falta servicio","OK")))))))))</f>
        <v/>
      </c>
    </row>
    <row r="948" spans="1:12" ht="22" customHeight="1">
      <c r="A948" s="3"/>
      <c r="B948" s="7"/>
      <c r="C948" s="3"/>
      <c r="D948" s="3"/>
      <c r="E948" s="3"/>
      <c r="F948" s="3"/>
      <c r="G948" s="4"/>
      <c r="H948" s="4"/>
      <c r="I948" s="3"/>
      <c r="J948" s="3"/>
      <c r="K948" s="8" t="str">
        <f t="shared" si="14"/>
        <v/>
      </c>
      <c r="L948" s="1" t="str">
        <f>IF(COUNTA(A948:J948)=0,"",IF(OR(AND(C948&lt;&gt;"Servicio",C948&lt;&gt;"Cobro",C948&lt;&gt;"Anticipo",C948&lt;&gt;"Aplicación anticipo",C948&lt;&gt;"Retención ISR",C948&lt;&gt;"Retención IVA"),AND(C948="Servicio",F948&lt;&gt;"TMS",F948&lt;&gt;"Valoración",F948&lt;&gt;"EEG",F948&lt;&gt;"Neurofeedback",F948&lt;&gt;"Fotobiomodulación",F948&lt;&gt;"Psicoterapia",F948&lt;&gt;"Otros")),"Tipo o categoría inválido",IF(COUNTA(A948:J948)=0,"",IF(OR(A948="",B948="",C948="",G948=""),"Faltan datos",IF(COUNTIF($A$7:$A$2006,A948)&gt;1,"ID duplicado",IF(OR(B948&lt;DATE(Configuración!$C$5,1,1),B948&gt;=DATE(Configuración!$C$5+1,1,1)),"Fecha fuera del año",IF(OR(G948&lt;0,H948&lt;0),"Revisar signo",IF(AND(C948&lt;&gt;"Servicio",H948&lt;&gt;0),"IVA solo en Servicio",IF(AND(C948="Servicio",F948=""),"Falta servicio","OK")))))))))</f>
        <v/>
      </c>
    </row>
    <row r="949" spans="1:12" ht="22" customHeight="1">
      <c r="A949" s="3"/>
      <c r="B949" s="7"/>
      <c r="C949" s="3"/>
      <c r="D949" s="3"/>
      <c r="E949" s="3"/>
      <c r="F949" s="3"/>
      <c r="G949" s="4"/>
      <c r="H949" s="4"/>
      <c r="I949" s="3"/>
      <c r="J949" s="3"/>
      <c r="K949" s="8" t="str">
        <f t="shared" si="14"/>
        <v/>
      </c>
      <c r="L949" s="1" t="str">
        <f>IF(COUNTA(A949:J949)=0,"",IF(OR(AND(C949&lt;&gt;"Servicio",C949&lt;&gt;"Cobro",C949&lt;&gt;"Anticipo",C949&lt;&gt;"Aplicación anticipo",C949&lt;&gt;"Retención ISR",C949&lt;&gt;"Retención IVA"),AND(C949="Servicio",F949&lt;&gt;"TMS",F949&lt;&gt;"Valoración",F949&lt;&gt;"EEG",F949&lt;&gt;"Neurofeedback",F949&lt;&gt;"Fotobiomodulación",F949&lt;&gt;"Psicoterapia",F949&lt;&gt;"Otros")),"Tipo o categoría inválido",IF(COUNTA(A949:J949)=0,"",IF(OR(A949="",B949="",C949="",G949=""),"Faltan datos",IF(COUNTIF($A$7:$A$2006,A949)&gt;1,"ID duplicado",IF(OR(B949&lt;DATE(Configuración!$C$5,1,1),B949&gt;=DATE(Configuración!$C$5+1,1,1)),"Fecha fuera del año",IF(OR(G949&lt;0,H949&lt;0),"Revisar signo",IF(AND(C949&lt;&gt;"Servicio",H949&lt;&gt;0),"IVA solo en Servicio",IF(AND(C949="Servicio",F949=""),"Falta servicio","OK")))))))))</f>
        <v/>
      </c>
    </row>
    <row r="950" spans="1:12" ht="22" customHeight="1">
      <c r="A950" s="3"/>
      <c r="B950" s="7"/>
      <c r="C950" s="3"/>
      <c r="D950" s="3"/>
      <c r="E950" s="3"/>
      <c r="F950" s="3"/>
      <c r="G950" s="4"/>
      <c r="H950" s="4"/>
      <c r="I950" s="3"/>
      <c r="J950" s="3"/>
      <c r="K950" s="8" t="str">
        <f t="shared" si="14"/>
        <v/>
      </c>
      <c r="L950" s="1" t="str">
        <f>IF(COUNTA(A950:J950)=0,"",IF(OR(AND(C950&lt;&gt;"Servicio",C950&lt;&gt;"Cobro",C950&lt;&gt;"Anticipo",C950&lt;&gt;"Aplicación anticipo",C950&lt;&gt;"Retención ISR",C950&lt;&gt;"Retención IVA"),AND(C950="Servicio",F950&lt;&gt;"TMS",F950&lt;&gt;"Valoración",F950&lt;&gt;"EEG",F950&lt;&gt;"Neurofeedback",F950&lt;&gt;"Fotobiomodulación",F950&lt;&gt;"Psicoterapia",F950&lt;&gt;"Otros")),"Tipo o categoría inválido",IF(COUNTA(A950:J950)=0,"",IF(OR(A950="",B950="",C950="",G950=""),"Faltan datos",IF(COUNTIF($A$7:$A$2006,A950)&gt;1,"ID duplicado",IF(OR(B950&lt;DATE(Configuración!$C$5,1,1),B950&gt;=DATE(Configuración!$C$5+1,1,1)),"Fecha fuera del año",IF(OR(G950&lt;0,H950&lt;0),"Revisar signo",IF(AND(C950&lt;&gt;"Servicio",H950&lt;&gt;0),"IVA solo en Servicio",IF(AND(C950="Servicio",F950=""),"Falta servicio","OK")))))))))</f>
        <v/>
      </c>
    </row>
    <row r="951" spans="1:12" ht="22" customHeight="1">
      <c r="A951" s="3"/>
      <c r="B951" s="7"/>
      <c r="C951" s="3"/>
      <c r="D951" s="3"/>
      <c r="E951" s="3"/>
      <c r="F951" s="3"/>
      <c r="G951" s="4"/>
      <c r="H951" s="4"/>
      <c r="I951" s="3"/>
      <c r="J951" s="3"/>
      <c r="K951" s="8" t="str">
        <f t="shared" si="14"/>
        <v/>
      </c>
      <c r="L951" s="1" t="str">
        <f>IF(COUNTA(A951:J951)=0,"",IF(OR(AND(C951&lt;&gt;"Servicio",C951&lt;&gt;"Cobro",C951&lt;&gt;"Anticipo",C951&lt;&gt;"Aplicación anticipo",C951&lt;&gt;"Retención ISR",C951&lt;&gt;"Retención IVA"),AND(C951="Servicio",F951&lt;&gt;"TMS",F951&lt;&gt;"Valoración",F951&lt;&gt;"EEG",F951&lt;&gt;"Neurofeedback",F951&lt;&gt;"Fotobiomodulación",F951&lt;&gt;"Psicoterapia",F951&lt;&gt;"Otros")),"Tipo o categoría inválido",IF(COUNTA(A951:J951)=0,"",IF(OR(A951="",B951="",C951="",G951=""),"Faltan datos",IF(COUNTIF($A$7:$A$2006,A951)&gt;1,"ID duplicado",IF(OR(B951&lt;DATE(Configuración!$C$5,1,1),B951&gt;=DATE(Configuración!$C$5+1,1,1)),"Fecha fuera del año",IF(OR(G951&lt;0,H951&lt;0),"Revisar signo",IF(AND(C951&lt;&gt;"Servicio",H951&lt;&gt;0),"IVA solo en Servicio",IF(AND(C951="Servicio",F951=""),"Falta servicio","OK")))))))))</f>
        <v/>
      </c>
    </row>
    <row r="952" spans="1:12" ht="22" customHeight="1">
      <c r="A952" s="3"/>
      <c r="B952" s="7"/>
      <c r="C952" s="3"/>
      <c r="D952" s="3"/>
      <c r="E952" s="3"/>
      <c r="F952" s="3"/>
      <c r="G952" s="4"/>
      <c r="H952" s="4"/>
      <c r="I952" s="3"/>
      <c r="J952" s="3"/>
      <c r="K952" s="8" t="str">
        <f t="shared" si="14"/>
        <v/>
      </c>
      <c r="L952" s="1" t="str">
        <f>IF(COUNTA(A952:J952)=0,"",IF(OR(AND(C952&lt;&gt;"Servicio",C952&lt;&gt;"Cobro",C952&lt;&gt;"Anticipo",C952&lt;&gt;"Aplicación anticipo",C952&lt;&gt;"Retención ISR",C952&lt;&gt;"Retención IVA"),AND(C952="Servicio",F952&lt;&gt;"TMS",F952&lt;&gt;"Valoración",F952&lt;&gt;"EEG",F952&lt;&gt;"Neurofeedback",F952&lt;&gt;"Fotobiomodulación",F952&lt;&gt;"Psicoterapia",F952&lt;&gt;"Otros")),"Tipo o categoría inválido",IF(COUNTA(A952:J952)=0,"",IF(OR(A952="",B952="",C952="",G952=""),"Faltan datos",IF(COUNTIF($A$7:$A$2006,A952)&gt;1,"ID duplicado",IF(OR(B952&lt;DATE(Configuración!$C$5,1,1),B952&gt;=DATE(Configuración!$C$5+1,1,1)),"Fecha fuera del año",IF(OR(G952&lt;0,H952&lt;0),"Revisar signo",IF(AND(C952&lt;&gt;"Servicio",H952&lt;&gt;0),"IVA solo en Servicio",IF(AND(C952="Servicio",F952=""),"Falta servicio","OK")))))))))</f>
        <v/>
      </c>
    </row>
    <row r="953" spans="1:12" ht="22" customHeight="1">
      <c r="A953" s="3"/>
      <c r="B953" s="7"/>
      <c r="C953" s="3"/>
      <c r="D953" s="3"/>
      <c r="E953" s="3"/>
      <c r="F953" s="3"/>
      <c r="G953" s="4"/>
      <c r="H953" s="4"/>
      <c r="I953" s="3"/>
      <c r="J953" s="3"/>
      <c r="K953" s="8" t="str">
        <f t="shared" si="14"/>
        <v/>
      </c>
      <c r="L953" s="1" t="str">
        <f>IF(COUNTA(A953:J953)=0,"",IF(OR(AND(C953&lt;&gt;"Servicio",C953&lt;&gt;"Cobro",C953&lt;&gt;"Anticipo",C953&lt;&gt;"Aplicación anticipo",C953&lt;&gt;"Retención ISR",C953&lt;&gt;"Retención IVA"),AND(C953="Servicio",F953&lt;&gt;"TMS",F953&lt;&gt;"Valoración",F953&lt;&gt;"EEG",F953&lt;&gt;"Neurofeedback",F953&lt;&gt;"Fotobiomodulación",F953&lt;&gt;"Psicoterapia",F953&lt;&gt;"Otros")),"Tipo o categoría inválido",IF(COUNTA(A953:J953)=0,"",IF(OR(A953="",B953="",C953="",G953=""),"Faltan datos",IF(COUNTIF($A$7:$A$2006,A953)&gt;1,"ID duplicado",IF(OR(B953&lt;DATE(Configuración!$C$5,1,1),B953&gt;=DATE(Configuración!$C$5+1,1,1)),"Fecha fuera del año",IF(OR(G953&lt;0,H953&lt;0),"Revisar signo",IF(AND(C953&lt;&gt;"Servicio",H953&lt;&gt;0),"IVA solo en Servicio",IF(AND(C953="Servicio",F953=""),"Falta servicio","OK")))))))))</f>
        <v/>
      </c>
    </row>
    <row r="954" spans="1:12" ht="22" customHeight="1">
      <c r="A954" s="3"/>
      <c r="B954" s="7"/>
      <c r="C954" s="3"/>
      <c r="D954" s="3"/>
      <c r="E954" s="3"/>
      <c r="F954" s="3"/>
      <c r="G954" s="4"/>
      <c r="H954" s="4"/>
      <c r="I954" s="3"/>
      <c r="J954" s="3"/>
      <c r="K954" s="8" t="str">
        <f t="shared" si="14"/>
        <v/>
      </c>
      <c r="L954" s="1" t="str">
        <f>IF(COUNTA(A954:J954)=0,"",IF(OR(AND(C954&lt;&gt;"Servicio",C954&lt;&gt;"Cobro",C954&lt;&gt;"Anticipo",C954&lt;&gt;"Aplicación anticipo",C954&lt;&gt;"Retención ISR",C954&lt;&gt;"Retención IVA"),AND(C954="Servicio",F954&lt;&gt;"TMS",F954&lt;&gt;"Valoración",F954&lt;&gt;"EEG",F954&lt;&gt;"Neurofeedback",F954&lt;&gt;"Fotobiomodulación",F954&lt;&gt;"Psicoterapia",F954&lt;&gt;"Otros")),"Tipo o categoría inválido",IF(COUNTA(A954:J954)=0,"",IF(OR(A954="",B954="",C954="",G954=""),"Faltan datos",IF(COUNTIF($A$7:$A$2006,A954)&gt;1,"ID duplicado",IF(OR(B954&lt;DATE(Configuración!$C$5,1,1),B954&gt;=DATE(Configuración!$C$5+1,1,1)),"Fecha fuera del año",IF(OR(G954&lt;0,H954&lt;0),"Revisar signo",IF(AND(C954&lt;&gt;"Servicio",H954&lt;&gt;0),"IVA solo en Servicio",IF(AND(C954="Servicio",F954=""),"Falta servicio","OK")))))))))</f>
        <v/>
      </c>
    </row>
    <row r="955" spans="1:12" ht="22" customHeight="1">
      <c r="A955" s="3"/>
      <c r="B955" s="7"/>
      <c r="C955" s="3"/>
      <c r="D955" s="3"/>
      <c r="E955" s="3"/>
      <c r="F955" s="3"/>
      <c r="G955" s="4"/>
      <c r="H955" s="4"/>
      <c r="I955" s="3"/>
      <c r="J955" s="3"/>
      <c r="K955" s="8" t="str">
        <f t="shared" si="14"/>
        <v/>
      </c>
      <c r="L955" s="1" t="str">
        <f>IF(COUNTA(A955:J955)=0,"",IF(OR(AND(C955&lt;&gt;"Servicio",C955&lt;&gt;"Cobro",C955&lt;&gt;"Anticipo",C955&lt;&gt;"Aplicación anticipo",C955&lt;&gt;"Retención ISR",C955&lt;&gt;"Retención IVA"),AND(C955="Servicio",F955&lt;&gt;"TMS",F955&lt;&gt;"Valoración",F955&lt;&gt;"EEG",F955&lt;&gt;"Neurofeedback",F955&lt;&gt;"Fotobiomodulación",F955&lt;&gt;"Psicoterapia",F955&lt;&gt;"Otros")),"Tipo o categoría inválido",IF(COUNTA(A955:J955)=0,"",IF(OR(A955="",B955="",C955="",G955=""),"Faltan datos",IF(COUNTIF($A$7:$A$2006,A955)&gt;1,"ID duplicado",IF(OR(B955&lt;DATE(Configuración!$C$5,1,1),B955&gt;=DATE(Configuración!$C$5+1,1,1)),"Fecha fuera del año",IF(OR(G955&lt;0,H955&lt;0),"Revisar signo",IF(AND(C955&lt;&gt;"Servicio",H955&lt;&gt;0),"IVA solo en Servicio",IF(AND(C955="Servicio",F955=""),"Falta servicio","OK")))))))))</f>
        <v/>
      </c>
    </row>
    <row r="956" spans="1:12" ht="22" customHeight="1">
      <c r="A956" s="3"/>
      <c r="B956" s="7"/>
      <c r="C956" s="3"/>
      <c r="D956" s="3"/>
      <c r="E956" s="3"/>
      <c r="F956" s="3"/>
      <c r="G956" s="4"/>
      <c r="H956" s="4"/>
      <c r="I956" s="3"/>
      <c r="J956" s="3"/>
      <c r="K956" s="8" t="str">
        <f t="shared" si="14"/>
        <v/>
      </c>
      <c r="L956" s="1" t="str">
        <f>IF(COUNTA(A956:J956)=0,"",IF(OR(AND(C956&lt;&gt;"Servicio",C956&lt;&gt;"Cobro",C956&lt;&gt;"Anticipo",C956&lt;&gt;"Aplicación anticipo",C956&lt;&gt;"Retención ISR",C956&lt;&gt;"Retención IVA"),AND(C956="Servicio",F956&lt;&gt;"TMS",F956&lt;&gt;"Valoración",F956&lt;&gt;"EEG",F956&lt;&gt;"Neurofeedback",F956&lt;&gt;"Fotobiomodulación",F956&lt;&gt;"Psicoterapia",F956&lt;&gt;"Otros")),"Tipo o categoría inválido",IF(COUNTA(A956:J956)=0,"",IF(OR(A956="",B956="",C956="",G956=""),"Faltan datos",IF(COUNTIF($A$7:$A$2006,A956)&gt;1,"ID duplicado",IF(OR(B956&lt;DATE(Configuración!$C$5,1,1),B956&gt;=DATE(Configuración!$C$5+1,1,1)),"Fecha fuera del año",IF(OR(G956&lt;0,H956&lt;0),"Revisar signo",IF(AND(C956&lt;&gt;"Servicio",H956&lt;&gt;0),"IVA solo en Servicio",IF(AND(C956="Servicio",F956=""),"Falta servicio","OK")))))))))</f>
        <v/>
      </c>
    </row>
    <row r="957" spans="1:12" ht="22" customHeight="1">
      <c r="A957" s="3"/>
      <c r="B957" s="7"/>
      <c r="C957" s="3"/>
      <c r="D957" s="3"/>
      <c r="E957" s="3"/>
      <c r="F957" s="3"/>
      <c r="G957" s="4"/>
      <c r="H957" s="4"/>
      <c r="I957" s="3"/>
      <c r="J957" s="3"/>
      <c r="K957" s="8" t="str">
        <f t="shared" si="14"/>
        <v/>
      </c>
      <c r="L957" s="1" t="str">
        <f>IF(COUNTA(A957:J957)=0,"",IF(OR(AND(C957&lt;&gt;"Servicio",C957&lt;&gt;"Cobro",C957&lt;&gt;"Anticipo",C957&lt;&gt;"Aplicación anticipo",C957&lt;&gt;"Retención ISR",C957&lt;&gt;"Retención IVA"),AND(C957="Servicio",F957&lt;&gt;"TMS",F957&lt;&gt;"Valoración",F957&lt;&gt;"EEG",F957&lt;&gt;"Neurofeedback",F957&lt;&gt;"Fotobiomodulación",F957&lt;&gt;"Psicoterapia",F957&lt;&gt;"Otros")),"Tipo o categoría inválido",IF(COUNTA(A957:J957)=0,"",IF(OR(A957="",B957="",C957="",G957=""),"Faltan datos",IF(COUNTIF($A$7:$A$2006,A957)&gt;1,"ID duplicado",IF(OR(B957&lt;DATE(Configuración!$C$5,1,1),B957&gt;=DATE(Configuración!$C$5+1,1,1)),"Fecha fuera del año",IF(OR(G957&lt;0,H957&lt;0),"Revisar signo",IF(AND(C957&lt;&gt;"Servicio",H957&lt;&gt;0),"IVA solo en Servicio",IF(AND(C957="Servicio",F957=""),"Falta servicio","OK")))))))))</f>
        <v/>
      </c>
    </row>
    <row r="958" spans="1:12" ht="22" customHeight="1">
      <c r="A958" s="3"/>
      <c r="B958" s="7"/>
      <c r="C958" s="3"/>
      <c r="D958" s="3"/>
      <c r="E958" s="3"/>
      <c r="F958" s="3"/>
      <c r="G958" s="4"/>
      <c r="H958" s="4"/>
      <c r="I958" s="3"/>
      <c r="J958" s="3"/>
      <c r="K958" s="8" t="str">
        <f t="shared" si="14"/>
        <v/>
      </c>
      <c r="L958" s="1" t="str">
        <f>IF(COUNTA(A958:J958)=0,"",IF(OR(AND(C958&lt;&gt;"Servicio",C958&lt;&gt;"Cobro",C958&lt;&gt;"Anticipo",C958&lt;&gt;"Aplicación anticipo",C958&lt;&gt;"Retención ISR",C958&lt;&gt;"Retención IVA"),AND(C958="Servicio",F958&lt;&gt;"TMS",F958&lt;&gt;"Valoración",F958&lt;&gt;"EEG",F958&lt;&gt;"Neurofeedback",F958&lt;&gt;"Fotobiomodulación",F958&lt;&gt;"Psicoterapia",F958&lt;&gt;"Otros")),"Tipo o categoría inválido",IF(COUNTA(A958:J958)=0,"",IF(OR(A958="",B958="",C958="",G958=""),"Faltan datos",IF(COUNTIF($A$7:$A$2006,A958)&gt;1,"ID duplicado",IF(OR(B958&lt;DATE(Configuración!$C$5,1,1),B958&gt;=DATE(Configuración!$C$5+1,1,1)),"Fecha fuera del año",IF(OR(G958&lt;0,H958&lt;0),"Revisar signo",IF(AND(C958&lt;&gt;"Servicio",H958&lt;&gt;0),"IVA solo en Servicio",IF(AND(C958="Servicio",F958=""),"Falta servicio","OK")))))))))</f>
        <v/>
      </c>
    </row>
    <row r="959" spans="1:12" ht="22" customHeight="1">
      <c r="A959" s="3"/>
      <c r="B959" s="7"/>
      <c r="C959" s="3"/>
      <c r="D959" s="3"/>
      <c r="E959" s="3"/>
      <c r="F959" s="3"/>
      <c r="G959" s="4"/>
      <c r="H959" s="4"/>
      <c r="I959" s="3"/>
      <c r="J959" s="3"/>
      <c r="K959" s="8" t="str">
        <f t="shared" si="14"/>
        <v/>
      </c>
      <c r="L959" s="1" t="str">
        <f>IF(COUNTA(A959:J959)=0,"",IF(OR(AND(C959&lt;&gt;"Servicio",C959&lt;&gt;"Cobro",C959&lt;&gt;"Anticipo",C959&lt;&gt;"Aplicación anticipo",C959&lt;&gt;"Retención ISR",C959&lt;&gt;"Retención IVA"),AND(C959="Servicio",F959&lt;&gt;"TMS",F959&lt;&gt;"Valoración",F959&lt;&gt;"EEG",F959&lt;&gt;"Neurofeedback",F959&lt;&gt;"Fotobiomodulación",F959&lt;&gt;"Psicoterapia",F959&lt;&gt;"Otros")),"Tipo o categoría inválido",IF(COUNTA(A959:J959)=0,"",IF(OR(A959="",B959="",C959="",G959=""),"Faltan datos",IF(COUNTIF($A$7:$A$2006,A959)&gt;1,"ID duplicado",IF(OR(B959&lt;DATE(Configuración!$C$5,1,1),B959&gt;=DATE(Configuración!$C$5+1,1,1)),"Fecha fuera del año",IF(OR(G959&lt;0,H959&lt;0),"Revisar signo",IF(AND(C959&lt;&gt;"Servicio",H959&lt;&gt;0),"IVA solo en Servicio",IF(AND(C959="Servicio",F959=""),"Falta servicio","OK")))))))))</f>
        <v/>
      </c>
    </row>
    <row r="960" spans="1:12" ht="22" customHeight="1">
      <c r="A960" s="3"/>
      <c r="B960" s="7"/>
      <c r="C960" s="3"/>
      <c r="D960" s="3"/>
      <c r="E960" s="3"/>
      <c r="F960" s="3"/>
      <c r="G960" s="4"/>
      <c r="H960" s="4"/>
      <c r="I960" s="3"/>
      <c r="J960" s="3"/>
      <c r="K960" s="8" t="str">
        <f t="shared" si="14"/>
        <v/>
      </c>
      <c r="L960" s="1" t="str">
        <f>IF(COUNTA(A960:J960)=0,"",IF(OR(AND(C960&lt;&gt;"Servicio",C960&lt;&gt;"Cobro",C960&lt;&gt;"Anticipo",C960&lt;&gt;"Aplicación anticipo",C960&lt;&gt;"Retención ISR",C960&lt;&gt;"Retención IVA"),AND(C960="Servicio",F960&lt;&gt;"TMS",F960&lt;&gt;"Valoración",F960&lt;&gt;"EEG",F960&lt;&gt;"Neurofeedback",F960&lt;&gt;"Fotobiomodulación",F960&lt;&gt;"Psicoterapia",F960&lt;&gt;"Otros")),"Tipo o categoría inválido",IF(COUNTA(A960:J960)=0,"",IF(OR(A960="",B960="",C960="",G960=""),"Faltan datos",IF(COUNTIF($A$7:$A$2006,A960)&gt;1,"ID duplicado",IF(OR(B960&lt;DATE(Configuración!$C$5,1,1),B960&gt;=DATE(Configuración!$C$5+1,1,1)),"Fecha fuera del año",IF(OR(G960&lt;0,H960&lt;0),"Revisar signo",IF(AND(C960&lt;&gt;"Servicio",H960&lt;&gt;0),"IVA solo en Servicio",IF(AND(C960="Servicio",F960=""),"Falta servicio","OK")))))))))</f>
        <v/>
      </c>
    </row>
    <row r="961" spans="1:12" ht="22" customHeight="1">
      <c r="A961" s="3"/>
      <c r="B961" s="7"/>
      <c r="C961" s="3"/>
      <c r="D961" s="3"/>
      <c r="E961" s="3"/>
      <c r="F961" s="3"/>
      <c r="G961" s="4"/>
      <c r="H961" s="4"/>
      <c r="I961" s="3"/>
      <c r="J961" s="3"/>
      <c r="K961" s="8" t="str">
        <f t="shared" si="14"/>
        <v/>
      </c>
      <c r="L961" s="1" t="str">
        <f>IF(COUNTA(A961:J961)=0,"",IF(OR(AND(C961&lt;&gt;"Servicio",C961&lt;&gt;"Cobro",C961&lt;&gt;"Anticipo",C961&lt;&gt;"Aplicación anticipo",C961&lt;&gt;"Retención ISR",C961&lt;&gt;"Retención IVA"),AND(C961="Servicio",F961&lt;&gt;"TMS",F961&lt;&gt;"Valoración",F961&lt;&gt;"EEG",F961&lt;&gt;"Neurofeedback",F961&lt;&gt;"Fotobiomodulación",F961&lt;&gt;"Psicoterapia",F961&lt;&gt;"Otros")),"Tipo o categoría inválido",IF(COUNTA(A961:J961)=0,"",IF(OR(A961="",B961="",C961="",G961=""),"Faltan datos",IF(COUNTIF($A$7:$A$2006,A961)&gt;1,"ID duplicado",IF(OR(B961&lt;DATE(Configuración!$C$5,1,1),B961&gt;=DATE(Configuración!$C$5+1,1,1)),"Fecha fuera del año",IF(OR(G961&lt;0,H961&lt;0),"Revisar signo",IF(AND(C961&lt;&gt;"Servicio",H961&lt;&gt;0),"IVA solo en Servicio",IF(AND(C961="Servicio",F961=""),"Falta servicio","OK")))))))))</f>
        <v/>
      </c>
    </row>
    <row r="962" spans="1:12" ht="22" customHeight="1">
      <c r="A962" s="3"/>
      <c r="B962" s="7"/>
      <c r="C962" s="3"/>
      <c r="D962" s="3"/>
      <c r="E962" s="3"/>
      <c r="F962" s="3"/>
      <c r="G962" s="4"/>
      <c r="H962" s="4"/>
      <c r="I962" s="3"/>
      <c r="J962" s="3"/>
      <c r="K962" s="8" t="str">
        <f t="shared" si="14"/>
        <v/>
      </c>
      <c r="L962" s="1" t="str">
        <f>IF(COUNTA(A962:J962)=0,"",IF(OR(AND(C962&lt;&gt;"Servicio",C962&lt;&gt;"Cobro",C962&lt;&gt;"Anticipo",C962&lt;&gt;"Aplicación anticipo",C962&lt;&gt;"Retención ISR",C962&lt;&gt;"Retención IVA"),AND(C962="Servicio",F962&lt;&gt;"TMS",F962&lt;&gt;"Valoración",F962&lt;&gt;"EEG",F962&lt;&gt;"Neurofeedback",F962&lt;&gt;"Fotobiomodulación",F962&lt;&gt;"Psicoterapia",F962&lt;&gt;"Otros")),"Tipo o categoría inválido",IF(COUNTA(A962:J962)=0,"",IF(OR(A962="",B962="",C962="",G962=""),"Faltan datos",IF(COUNTIF($A$7:$A$2006,A962)&gt;1,"ID duplicado",IF(OR(B962&lt;DATE(Configuración!$C$5,1,1),B962&gt;=DATE(Configuración!$C$5+1,1,1)),"Fecha fuera del año",IF(OR(G962&lt;0,H962&lt;0),"Revisar signo",IF(AND(C962&lt;&gt;"Servicio",H962&lt;&gt;0),"IVA solo en Servicio",IF(AND(C962="Servicio",F962=""),"Falta servicio","OK")))))))))</f>
        <v/>
      </c>
    </row>
    <row r="963" spans="1:12" ht="22" customHeight="1">
      <c r="A963" s="3"/>
      <c r="B963" s="7"/>
      <c r="C963" s="3"/>
      <c r="D963" s="3"/>
      <c r="E963" s="3"/>
      <c r="F963" s="3"/>
      <c r="G963" s="4"/>
      <c r="H963" s="4"/>
      <c r="I963" s="3"/>
      <c r="J963" s="3"/>
      <c r="K963" s="8" t="str">
        <f t="shared" si="14"/>
        <v/>
      </c>
      <c r="L963" s="1" t="str">
        <f>IF(COUNTA(A963:J963)=0,"",IF(OR(AND(C963&lt;&gt;"Servicio",C963&lt;&gt;"Cobro",C963&lt;&gt;"Anticipo",C963&lt;&gt;"Aplicación anticipo",C963&lt;&gt;"Retención ISR",C963&lt;&gt;"Retención IVA"),AND(C963="Servicio",F963&lt;&gt;"TMS",F963&lt;&gt;"Valoración",F963&lt;&gt;"EEG",F963&lt;&gt;"Neurofeedback",F963&lt;&gt;"Fotobiomodulación",F963&lt;&gt;"Psicoterapia",F963&lt;&gt;"Otros")),"Tipo o categoría inválido",IF(COUNTA(A963:J963)=0,"",IF(OR(A963="",B963="",C963="",G963=""),"Faltan datos",IF(COUNTIF($A$7:$A$2006,A963)&gt;1,"ID duplicado",IF(OR(B963&lt;DATE(Configuración!$C$5,1,1),B963&gt;=DATE(Configuración!$C$5+1,1,1)),"Fecha fuera del año",IF(OR(G963&lt;0,H963&lt;0),"Revisar signo",IF(AND(C963&lt;&gt;"Servicio",H963&lt;&gt;0),"IVA solo en Servicio",IF(AND(C963="Servicio",F963=""),"Falta servicio","OK")))))))))</f>
        <v/>
      </c>
    </row>
    <row r="964" spans="1:12" ht="22" customHeight="1">
      <c r="A964" s="3"/>
      <c r="B964" s="7"/>
      <c r="C964" s="3"/>
      <c r="D964" s="3"/>
      <c r="E964" s="3"/>
      <c r="F964" s="3"/>
      <c r="G964" s="4"/>
      <c r="H964" s="4"/>
      <c r="I964" s="3"/>
      <c r="J964" s="3"/>
      <c r="K964" s="8" t="str">
        <f t="shared" si="14"/>
        <v/>
      </c>
      <c r="L964" s="1" t="str">
        <f>IF(COUNTA(A964:J964)=0,"",IF(OR(AND(C964&lt;&gt;"Servicio",C964&lt;&gt;"Cobro",C964&lt;&gt;"Anticipo",C964&lt;&gt;"Aplicación anticipo",C964&lt;&gt;"Retención ISR",C964&lt;&gt;"Retención IVA"),AND(C964="Servicio",F964&lt;&gt;"TMS",F964&lt;&gt;"Valoración",F964&lt;&gt;"EEG",F964&lt;&gt;"Neurofeedback",F964&lt;&gt;"Fotobiomodulación",F964&lt;&gt;"Psicoterapia",F964&lt;&gt;"Otros")),"Tipo o categoría inválido",IF(COUNTA(A964:J964)=0,"",IF(OR(A964="",B964="",C964="",G964=""),"Faltan datos",IF(COUNTIF($A$7:$A$2006,A964)&gt;1,"ID duplicado",IF(OR(B964&lt;DATE(Configuración!$C$5,1,1),B964&gt;=DATE(Configuración!$C$5+1,1,1)),"Fecha fuera del año",IF(OR(G964&lt;0,H964&lt;0),"Revisar signo",IF(AND(C964&lt;&gt;"Servicio",H964&lt;&gt;0),"IVA solo en Servicio",IF(AND(C964="Servicio",F964=""),"Falta servicio","OK")))))))))</f>
        <v/>
      </c>
    </row>
    <row r="965" spans="1:12" ht="22" customHeight="1">
      <c r="A965" s="3"/>
      <c r="B965" s="7"/>
      <c r="C965" s="3"/>
      <c r="D965" s="3"/>
      <c r="E965" s="3"/>
      <c r="F965" s="3"/>
      <c r="G965" s="4"/>
      <c r="H965" s="4"/>
      <c r="I965" s="3"/>
      <c r="J965" s="3"/>
      <c r="K965" s="8" t="str">
        <f t="shared" si="14"/>
        <v/>
      </c>
      <c r="L965" s="1" t="str">
        <f>IF(COUNTA(A965:J965)=0,"",IF(OR(AND(C965&lt;&gt;"Servicio",C965&lt;&gt;"Cobro",C965&lt;&gt;"Anticipo",C965&lt;&gt;"Aplicación anticipo",C965&lt;&gt;"Retención ISR",C965&lt;&gt;"Retención IVA"),AND(C965="Servicio",F965&lt;&gt;"TMS",F965&lt;&gt;"Valoración",F965&lt;&gt;"EEG",F965&lt;&gt;"Neurofeedback",F965&lt;&gt;"Fotobiomodulación",F965&lt;&gt;"Psicoterapia",F965&lt;&gt;"Otros")),"Tipo o categoría inválido",IF(COUNTA(A965:J965)=0,"",IF(OR(A965="",B965="",C965="",G965=""),"Faltan datos",IF(COUNTIF($A$7:$A$2006,A965)&gt;1,"ID duplicado",IF(OR(B965&lt;DATE(Configuración!$C$5,1,1),B965&gt;=DATE(Configuración!$C$5+1,1,1)),"Fecha fuera del año",IF(OR(G965&lt;0,H965&lt;0),"Revisar signo",IF(AND(C965&lt;&gt;"Servicio",H965&lt;&gt;0),"IVA solo en Servicio",IF(AND(C965="Servicio",F965=""),"Falta servicio","OK")))))))))</f>
        <v/>
      </c>
    </row>
    <row r="966" spans="1:12" ht="22" customHeight="1">
      <c r="A966" s="3"/>
      <c r="B966" s="7"/>
      <c r="C966" s="3"/>
      <c r="D966" s="3"/>
      <c r="E966" s="3"/>
      <c r="F966" s="3"/>
      <c r="G966" s="4"/>
      <c r="H966" s="4"/>
      <c r="I966" s="3"/>
      <c r="J966" s="3"/>
      <c r="K966" s="8" t="str">
        <f t="shared" si="14"/>
        <v/>
      </c>
      <c r="L966" s="1" t="str">
        <f>IF(COUNTA(A966:J966)=0,"",IF(OR(AND(C966&lt;&gt;"Servicio",C966&lt;&gt;"Cobro",C966&lt;&gt;"Anticipo",C966&lt;&gt;"Aplicación anticipo",C966&lt;&gt;"Retención ISR",C966&lt;&gt;"Retención IVA"),AND(C966="Servicio",F966&lt;&gt;"TMS",F966&lt;&gt;"Valoración",F966&lt;&gt;"EEG",F966&lt;&gt;"Neurofeedback",F966&lt;&gt;"Fotobiomodulación",F966&lt;&gt;"Psicoterapia",F966&lt;&gt;"Otros")),"Tipo o categoría inválido",IF(COUNTA(A966:J966)=0,"",IF(OR(A966="",B966="",C966="",G966=""),"Faltan datos",IF(COUNTIF($A$7:$A$2006,A966)&gt;1,"ID duplicado",IF(OR(B966&lt;DATE(Configuración!$C$5,1,1),B966&gt;=DATE(Configuración!$C$5+1,1,1)),"Fecha fuera del año",IF(OR(G966&lt;0,H966&lt;0),"Revisar signo",IF(AND(C966&lt;&gt;"Servicio",H966&lt;&gt;0),"IVA solo en Servicio",IF(AND(C966="Servicio",F966=""),"Falta servicio","OK")))))))))</f>
        <v/>
      </c>
    </row>
    <row r="967" spans="1:12" ht="22" customHeight="1">
      <c r="A967" s="3"/>
      <c r="B967" s="7"/>
      <c r="C967" s="3"/>
      <c r="D967" s="3"/>
      <c r="E967" s="3"/>
      <c r="F967" s="3"/>
      <c r="G967" s="4"/>
      <c r="H967" s="4"/>
      <c r="I967" s="3"/>
      <c r="J967" s="3"/>
      <c r="K967" s="8" t="str">
        <f t="shared" ref="K967:K1030" si="15">IF(A967="","",G967+H967)</f>
        <v/>
      </c>
      <c r="L967" s="1" t="str">
        <f>IF(COUNTA(A967:J967)=0,"",IF(OR(AND(C967&lt;&gt;"Servicio",C967&lt;&gt;"Cobro",C967&lt;&gt;"Anticipo",C967&lt;&gt;"Aplicación anticipo",C967&lt;&gt;"Retención ISR",C967&lt;&gt;"Retención IVA"),AND(C967="Servicio",F967&lt;&gt;"TMS",F967&lt;&gt;"Valoración",F967&lt;&gt;"EEG",F967&lt;&gt;"Neurofeedback",F967&lt;&gt;"Fotobiomodulación",F967&lt;&gt;"Psicoterapia",F967&lt;&gt;"Otros")),"Tipo o categoría inválido",IF(COUNTA(A967:J967)=0,"",IF(OR(A967="",B967="",C967="",G967=""),"Faltan datos",IF(COUNTIF($A$7:$A$2006,A967)&gt;1,"ID duplicado",IF(OR(B967&lt;DATE(Configuración!$C$5,1,1),B967&gt;=DATE(Configuración!$C$5+1,1,1)),"Fecha fuera del año",IF(OR(G967&lt;0,H967&lt;0),"Revisar signo",IF(AND(C967&lt;&gt;"Servicio",H967&lt;&gt;0),"IVA solo en Servicio",IF(AND(C967="Servicio",F967=""),"Falta servicio","OK")))))))))</f>
        <v/>
      </c>
    </row>
    <row r="968" spans="1:12" ht="22" customHeight="1">
      <c r="A968" s="3"/>
      <c r="B968" s="7"/>
      <c r="C968" s="3"/>
      <c r="D968" s="3"/>
      <c r="E968" s="3"/>
      <c r="F968" s="3"/>
      <c r="G968" s="4"/>
      <c r="H968" s="4"/>
      <c r="I968" s="3"/>
      <c r="J968" s="3"/>
      <c r="K968" s="8" t="str">
        <f t="shared" si="15"/>
        <v/>
      </c>
      <c r="L968" s="1" t="str">
        <f>IF(COUNTA(A968:J968)=0,"",IF(OR(AND(C968&lt;&gt;"Servicio",C968&lt;&gt;"Cobro",C968&lt;&gt;"Anticipo",C968&lt;&gt;"Aplicación anticipo",C968&lt;&gt;"Retención ISR",C968&lt;&gt;"Retención IVA"),AND(C968="Servicio",F968&lt;&gt;"TMS",F968&lt;&gt;"Valoración",F968&lt;&gt;"EEG",F968&lt;&gt;"Neurofeedback",F968&lt;&gt;"Fotobiomodulación",F968&lt;&gt;"Psicoterapia",F968&lt;&gt;"Otros")),"Tipo o categoría inválido",IF(COUNTA(A968:J968)=0,"",IF(OR(A968="",B968="",C968="",G968=""),"Faltan datos",IF(COUNTIF($A$7:$A$2006,A968)&gt;1,"ID duplicado",IF(OR(B968&lt;DATE(Configuración!$C$5,1,1),B968&gt;=DATE(Configuración!$C$5+1,1,1)),"Fecha fuera del año",IF(OR(G968&lt;0,H968&lt;0),"Revisar signo",IF(AND(C968&lt;&gt;"Servicio",H968&lt;&gt;0),"IVA solo en Servicio",IF(AND(C968="Servicio",F968=""),"Falta servicio","OK")))))))))</f>
        <v/>
      </c>
    </row>
    <row r="969" spans="1:12" ht="22" customHeight="1">
      <c r="A969" s="3"/>
      <c r="B969" s="7"/>
      <c r="C969" s="3"/>
      <c r="D969" s="3"/>
      <c r="E969" s="3"/>
      <c r="F969" s="3"/>
      <c r="G969" s="4"/>
      <c r="H969" s="4"/>
      <c r="I969" s="3"/>
      <c r="J969" s="3"/>
      <c r="K969" s="8" t="str">
        <f t="shared" si="15"/>
        <v/>
      </c>
      <c r="L969" s="1" t="str">
        <f>IF(COUNTA(A969:J969)=0,"",IF(OR(AND(C969&lt;&gt;"Servicio",C969&lt;&gt;"Cobro",C969&lt;&gt;"Anticipo",C969&lt;&gt;"Aplicación anticipo",C969&lt;&gt;"Retención ISR",C969&lt;&gt;"Retención IVA"),AND(C969="Servicio",F969&lt;&gt;"TMS",F969&lt;&gt;"Valoración",F969&lt;&gt;"EEG",F969&lt;&gt;"Neurofeedback",F969&lt;&gt;"Fotobiomodulación",F969&lt;&gt;"Psicoterapia",F969&lt;&gt;"Otros")),"Tipo o categoría inválido",IF(COUNTA(A969:J969)=0,"",IF(OR(A969="",B969="",C969="",G969=""),"Faltan datos",IF(COUNTIF($A$7:$A$2006,A969)&gt;1,"ID duplicado",IF(OR(B969&lt;DATE(Configuración!$C$5,1,1),B969&gt;=DATE(Configuración!$C$5+1,1,1)),"Fecha fuera del año",IF(OR(G969&lt;0,H969&lt;0),"Revisar signo",IF(AND(C969&lt;&gt;"Servicio",H969&lt;&gt;0),"IVA solo en Servicio",IF(AND(C969="Servicio",F969=""),"Falta servicio","OK")))))))))</f>
        <v/>
      </c>
    </row>
    <row r="970" spans="1:12" ht="22" customHeight="1">
      <c r="A970" s="3"/>
      <c r="B970" s="7"/>
      <c r="C970" s="3"/>
      <c r="D970" s="3"/>
      <c r="E970" s="3"/>
      <c r="F970" s="3"/>
      <c r="G970" s="4"/>
      <c r="H970" s="4"/>
      <c r="I970" s="3"/>
      <c r="J970" s="3"/>
      <c r="K970" s="8" t="str">
        <f t="shared" si="15"/>
        <v/>
      </c>
      <c r="L970" s="1" t="str">
        <f>IF(COUNTA(A970:J970)=0,"",IF(OR(AND(C970&lt;&gt;"Servicio",C970&lt;&gt;"Cobro",C970&lt;&gt;"Anticipo",C970&lt;&gt;"Aplicación anticipo",C970&lt;&gt;"Retención ISR",C970&lt;&gt;"Retención IVA"),AND(C970="Servicio",F970&lt;&gt;"TMS",F970&lt;&gt;"Valoración",F970&lt;&gt;"EEG",F970&lt;&gt;"Neurofeedback",F970&lt;&gt;"Fotobiomodulación",F970&lt;&gt;"Psicoterapia",F970&lt;&gt;"Otros")),"Tipo o categoría inválido",IF(COUNTA(A970:J970)=0,"",IF(OR(A970="",B970="",C970="",G970=""),"Faltan datos",IF(COUNTIF($A$7:$A$2006,A970)&gt;1,"ID duplicado",IF(OR(B970&lt;DATE(Configuración!$C$5,1,1),B970&gt;=DATE(Configuración!$C$5+1,1,1)),"Fecha fuera del año",IF(OR(G970&lt;0,H970&lt;0),"Revisar signo",IF(AND(C970&lt;&gt;"Servicio",H970&lt;&gt;0),"IVA solo en Servicio",IF(AND(C970="Servicio",F970=""),"Falta servicio","OK")))))))))</f>
        <v/>
      </c>
    </row>
    <row r="971" spans="1:12" ht="22" customHeight="1">
      <c r="A971" s="3"/>
      <c r="B971" s="7"/>
      <c r="C971" s="3"/>
      <c r="D971" s="3"/>
      <c r="E971" s="3"/>
      <c r="F971" s="3"/>
      <c r="G971" s="4"/>
      <c r="H971" s="4"/>
      <c r="I971" s="3"/>
      <c r="J971" s="3"/>
      <c r="K971" s="8" t="str">
        <f t="shared" si="15"/>
        <v/>
      </c>
      <c r="L971" s="1" t="str">
        <f>IF(COUNTA(A971:J971)=0,"",IF(OR(AND(C971&lt;&gt;"Servicio",C971&lt;&gt;"Cobro",C971&lt;&gt;"Anticipo",C971&lt;&gt;"Aplicación anticipo",C971&lt;&gt;"Retención ISR",C971&lt;&gt;"Retención IVA"),AND(C971="Servicio",F971&lt;&gt;"TMS",F971&lt;&gt;"Valoración",F971&lt;&gt;"EEG",F971&lt;&gt;"Neurofeedback",F971&lt;&gt;"Fotobiomodulación",F971&lt;&gt;"Psicoterapia",F971&lt;&gt;"Otros")),"Tipo o categoría inválido",IF(COUNTA(A971:J971)=0,"",IF(OR(A971="",B971="",C971="",G971=""),"Faltan datos",IF(COUNTIF($A$7:$A$2006,A971)&gt;1,"ID duplicado",IF(OR(B971&lt;DATE(Configuración!$C$5,1,1),B971&gt;=DATE(Configuración!$C$5+1,1,1)),"Fecha fuera del año",IF(OR(G971&lt;0,H971&lt;0),"Revisar signo",IF(AND(C971&lt;&gt;"Servicio",H971&lt;&gt;0),"IVA solo en Servicio",IF(AND(C971="Servicio",F971=""),"Falta servicio","OK")))))))))</f>
        <v/>
      </c>
    </row>
    <row r="972" spans="1:12" ht="22" customHeight="1">
      <c r="A972" s="3"/>
      <c r="B972" s="7"/>
      <c r="C972" s="3"/>
      <c r="D972" s="3"/>
      <c r="E972" s="3"/>
      <c r="F972" s="3"/>
      <c r="G972" s="4"/>
      <c r="H972" s="4"/>
      <c r="I972" s="3"/>
      <c r="J972" s="3"/>
      <c r="K972" s="8" t="str">
        <f t="shared" si="15"/>
        <v/>
      </c>
      <c r="L972" s="1" t="str">
        <f>IF(COUNTA(A972:J972)=0,"",IF(OR(AND(C972&lt;&gt;"Servicio",C972&lt;&gt;"Cobro",C972&lt;&gt;"Anticipo",C972&lt;&gt;"Aplicación anticipo",C972&lt;&gt;"Retención ISR",C972&lt;&gt;"Retención IVA"),AND(C972="Servicio",F972&lt;&gt;"TMS",F972&lt;&gt;"Valoración",F972&lt;&gt;"EEG",F972&lt;&gt;"Neurofeedback",F972&lt;&gt;"Fotobiomodulación",F972&lt;&gt;"Psicoterapia",F972&lt;&gt;"Otros")),"Tipo o categoría inválido",IF(COUNTA(A972:J972)=0,"",IF(OR(A972="",B972="",C972="",G972=""),"Faltan datos",IF(COUNTIF($A$7:$A$2006,A972)&gt;1,"ID duplicado",IF(OR(B972&lt;DATE(Configuración!$C$5,1,1),B972&gt;=DATE(Configuración!$C$5+1,1,1)),"Fecha fuera del año",IF(OR(G972&lt;0,H972&lt;0),"Revisar signo",IF(AND(C972&lt;&gt;"Servicio",H972&lt;&gt;0),"IVA solo en Servicio",IF(AND(C972="Servicio",F972=""),"Falta servicio","OK")))))))))</f>
        <v/>
      </c>
    </row>
    <row r="973" spans="1:12" ht="22" customHeight="1">
      <c r="A973" s="3"/>
      <c r="B973" s="7"/>
      <c r="C973" s="3"/>
      <c r="D973" s="3"/>
      <c r="E973" s="3"/>
      <c r="F973" s="3"/>
      <c r="G973" s="4"/>
      <c r="H973" s="4"/>
      <c r="I973" s="3"/>
      <c r="J973" s="3"/>
      <c r="K973" s="8" t="str">
        <f t="shared" si="15"/>
        <v/>
      </c>
      <c r="L973" s="1" t="str">
        <f>IF(COUNTA(A973:J973)=0,"",IF(OR(AND(C973&lt;&gt;"Servicio",C973&lt;&gt;"Cobro",C973&lt;&gt;"Anticipo",C973&lt;&gt;"Aplicación anticipo",C973&lt;&gt;"Retención ISR",C973&lt;&gt;"Retención IVA"),AND(C973="Servicio",F973&lt;&gt;"TMS",F973&lt;&gt;"Valoración",F973&lt;&gt;"EEG",F973&lt;&gt;"Neurofeedback",F973&lt;&gt;"Fotobiomodulación",F973&lt;&gt;"Psicoterapia",F973&lt;&gt;"Otros")),"Tipo o categoría inválido",IF(COUNTA(A973:J973)=0,"",IF(OR(A973="",B973="",C973="",G973=""),"Faltan datos",IF(COUNTIF($A$7:$A$2006,A973)&gt;1,"ID duplicado",IF(OR(B973&lt;DATE(Configuración!$C$5,1,1),B973&gt;=DATE(Configuración!$C$5+1,1,1)),"Fecha fuera del año",IF(OR(G973&lt;0,H973&lt;0),"Revisar signo",IF(AND(C973&lt;&gt;"Servicio",H973&lt;&gt;0),"IVA solo en Servicio",IF(AND(C973="Servicio",F973=""),"Falta servicio","OK")))))))))</f>
        <v/>
      </c>
    </row>
    <row r="974" spans="1:12" ht="22" customHeight="1">
      <c r="A974" s="3"/>
      <c r="B974" s="7"/>
      <c r="C974" s="3"/>
      <c r="D974" s="3"/>
      <c r="E974" s="3"/>
      <c r="F974" s="3"/>
      <c r="G974" s="4"/>
      <c r="H974" s="4"/>
      <c r="I974" s="3"/>
      <c r="J974" s="3"/>
      <c r="K974" s="8" t="str">
        <f t="shared" si="15"/>
        <v/>
      </c>
      <c r="L974" s="1" t="str">
        <f>IF(COUNTA(A974:J974)=0,"",IF(OR(AND(C974&lt;&gt;"Servicio",C974&lt;&gt;"Cobro",C974&lt;&gt;"Anticipo",C974&lt;&gt;"Aplicación anticipo",C974&lt;&gt;"Retención ISR",C974&lt;&gt;"Retención IVA"),AND(C974="Servicio",F974&lt;&gt;"TMS",F974&lt;&gt;"Valoración",F974&lt;&gt;"EEG",F974&lt;&gt;"Neurofeedback",F974&lt;&gt;"Fotobiomodulación",F974&lt;&gt;"Psicoterapia",F974&lt;&gt;"Otros")),"Tipo o categoría inválido",IF(COUNTA(A974:J974)=0,"",IF(OR(A974="",B974="",C974="",G974=""),"Faltan datos",IF(COUNTIF($A$7:$A$2006,A974)&gt;1,"ID duplicado",IF(OR(B974&lt;DATE(Configuración!$C$5,1,1),B974&gt;=DATE(Configuración!$C$5+1,1,1)),"Fecha fuera del año",IF(OR(G974&lt;0,H974&lt;0),"Revisar signo",IF(AND(C974&lt;&gt;"Servicio",H974&lt;&gt;0),"IVA solo en Servicio",IF(AND(C974="Servicio",F974=""),"Falta servicio","OK")))))))))</f>
        <v/>
      </c>
    </row>
    <row r="975" spans="1:12" ht="22" customHeight="1">
      <c r="A975" s="3"/>
      <c r="B975" s="7"/>
      <c r="C975" s="3"/>
      <c r="D975" s="3"/>
      <c r="E975" s="3"/>
      <c r="F975" s="3"/>
      <c r="G975" s="4"/>
      <c r="H975" s="4"/>
      <c r="I975" s="3"/>
      <c r="J975" s="3"/>
      <c r="K975" s="8" t="str">
        <f t="shared" si="15"/>
        <v/>
      </c>
      <c r="L975" s="1" t="str">
        <f>IF(COUNTA(A975:J975)=0,"",IF(OR(AND(C975&lt;&gt;"Servicio",C975&lt;&gt;"Cobro",C975&lt;&gt;"Anticipo",C975&lt;&gt;"Aplicación anticipo",C975&lt;&gt;"Retención ISR",C975&lt;&gt;"Retención IVA"),AND(C975="Servicio",F975&lt;&gt;"TMS",F975&lt;&gt;"Valoración",F975&lt;&gt;"EEG",F975&lt;&gt;"Neurofeedback",F975&lt;&gt;"Fotobiomodulación",F975&lt;&gt;"Psicoterapia",F975&lt;&gt;"Otros")),"Tipo o categoría inválido",IF(COUNTA(A975:J975)=0,"",IF(OR(A975="",B975="",C975="",G975=""),"Faltan datos",IF(COUNTIF($A$7:$A$2006,A975)&gt;1,"ID duplicado",IF(OR(B975&lt;DATE(Configuración!$C$5,1,1),B975&gt;=DATE(Configuración!$C$5+1,1,1)),"Fecha fuera del año",IF(OR(G975&lt;0,H975&lt;0),"Revisar signo",IF(AND(C975&lt;&gt;"Servicio",H975&lt;&gt;0),"IVA solo en Servicio",IF(AND(C975="Servicio",F975=""),"Falta servicio","OK")))))))))</f>
        <v/>
      </c>
    </row>
    <row r="976" spans="1:12" ht="22" customHeight="1">
      <c r="A976" s="3"/>
      <c r="B976" s="7"/>
      <c r="C976" s="3"/>
      <c r="D976" s="3"/>
      <c r="E976" s="3"/>
      <c r="F976" s="3"/>
      <c r="G976" s="4"/>
      <c r="H976" s="4"/>
      <c r="I976" s="3"/>
      <c r="J976" s="3"/>
      <c r="K976" s="8" t="str">
        <f t="shared" si="15"/>
        <v/>
      </c>
      <c r="L976" s="1" t="str">
        <f>IF(COUNTA(A976:J976)=0,"",IF(OR(AND(C976&lt;&gt;"Servicio",C976&lt;&gt;"Cobro",C976&lt;&gt;"Anticipo",C976&lt;&gt;"Aplicación anticipo",C976&lt;&gt;"Retención ISR",C976&lt;&gt;"Retención IVA"),AND(C976="Servicio",F976&lt;&gt;"TMS",F976&lt;&gt;"Valoración",F976&lt;&gt;"EEG",F976&lt;&gt;"Neurofeedback",F976&lt;&gt;"Fotobiomodulación",F976&lt;&gt;"Psicoterapia",F976&lt;&gt;"Otros")),"Tipo o categoría inválido",IF(COUNTA(A976:J976)=0,"",IF(OR(A976="",B976="",C976="",G976=""),"Faltan datos",IF(COUNTIF($A$7:$A$2006,A976)&gt;1,"ID duplicado",IF(OR(B976&lt;DATE(Configuración!$C$5,1,1),B976&gt;=DATE(Configuración!$C$5+1,1,1)),"Fecha fuera del año",IF(OR(G976&lt;0,H976&lt;0),"Revisar signo",IF(AND(C976&lt;&gt;"Servicio",H976&lt;&gt;0),"IVA solo en Servicio",IF(AND(C976="Servicio",F976=""),"Falta servicio","OK")))))))))</f>
        <v/>
      </c>
    </row>
    <row r="977" spans="1:12" ht="22" customHeight="1">
      <c r="A977" s="3"/>
      <c r="B977" s="7"/>
      <c r="C977" s="3"/>
      <c r="D977" s="3"/>
      <c r="E977" s="3"/>
      <c r="F977" s="3"/>
      <c r="G977" s="4"/>
      <c r="H977" s="4"/>
      <c r="I977" s="3"/>
      <c r="J977" s="3"/>
      <c r="K977" s="8" t="str">
        <f t="shared" si="15"/>
        <v/>
      </c>
      <c r="L977" s="1" t="str">
        <f>IF(COUNTA(A977:J977)=0,"",IF(OR(AND(C977&lt;&gt;"Servicio",C977&lt;&gt;"Cobro",C977&lt;&gt;"Anticipo",C977&lt;&gt;"Aplicación anticipo",C977&lt;&gt;"Retención ISR",C977&lt;&gt;"Retención IVA"),AND(C977="Servicio",F977&lt;&gt;"TMS",F977&lt;&gt;"Valoración",F977&lt;&gt;"EEG",F977&lt;&gt;"Neurofeedback",F977&lt;&gt;"Fotobiomodulación",F977&lt;&gt;"Psicoterapia",F977&lt;&gt;"Otros")),"Tipo o categoría inválido",IF(COUNTA(A977:J977)=0,"",IF(OR(A977="",B977="",C977="",G977=""),"Faltan datos",IF(COUNTIF($A$7:$A$2006,A977)&gt;1,"ID duplicado",IF(OR(B977&lt;DATE(Configuración!$C$5,1,1),B977&gt;=DATE(Configuración!$C$5+1,1,1)),"Fecha fuera del año",IF(OR(G977&lt;0,H977&lt;0),"Revisar signo",IF(AND(C977&lt;&gt;"Servicio",H977&lt;&gt;0),"IVA solo en Servicio",IF(AND(C977="Servicio",F977=""),"Falta servicio","OK")))))))))</f>
        <v/>
      </c>
    </row>
    <row r="978" spans="1:12" ht="22" customHeight="1">
      <c r="A978" s="3"/>
      <c r="B978" s="7"/>
      <c r="C978" s="3"/>
      <c r="D978" s="3"/>
      <c r="E978" s="3"/>
      <c r="F978" s="3"/>
      <c r="G978" s="4"/>
      <c r="H978" s="4"/>
      <c r="I978" s="3"/>
      <c r="J978" s="3"/>
      <c r="K978" s="8" t="str">
        <f t="shared" si="15"/>
        <v/>
      </c>
      <c r="L978" s="1" t="str">
        <f>IF(COUNTA(A978:J978)=0,"",IF(OR(AND(C978&lt;&gt;"Servicio",C978&lt;&gt;"Cobro",C978&lt;&gt;"Anticipo",C978&lt;&gt;"Aplicación anticipo",C978&lt;&gt;"Retención ISR",C978&lt;&gt;"Retención IVA"),AND(C978="Servicio",F978&lt;&gt;"TMS",F978&lt;&gt;"Valoración",F978&lt;&gt;"EEG",F978&lt;&gt;"Neurofeedback",F978&lt;&gt;"Fotobiomodulación",F978&lt;&gt;"Psicoterapia",F978&lt;&gt;"Otros")),"Tipo o categoría inválido",IF(COUNTA(A978:J978)=0,"",IF(OR(A978="",B978="",C978="",G978=""),"Faltan datos",IF(COUNTIF($A$7:$A$2006,A978)&gt;1,"ID duplicado",IF(OR(B978&lt;DATE(Configuración!$C$5,1,1),B978&gt;=DATE(Configuración!$C$5+1,1,1)),"Fecha fuera del año",IF(OR(G978&lt;0,H978&lt;0),"Revisar signo",IF(AND(C978&lt;&gt;"Servicio",H978&lt;&gt;0),"IVA solo en Servicio",IF(AND(C978="Servicio",F978=""),"Falta servicio","OK")))))))))</f>
        <v/>
      </c>
    </row>
    <row r="979" spans="1:12" ht="22" customHeight="1">
      <c r="A979" s="3"/>
      <c r="B979" s="7"/>
      <c r="C979" s="3"/>
      <c r="D979" s="3"/>
      <c r="E979" s="3"/>
      <c r="F979" s="3"/>
      <c r="G979" s="4"/>
      <c r="H979" s="4"/>
      <c r="I979" s="3"/>
      <c r="J979" s="3"/>
      <c r="K979" s="8" t="str">
        <f t="shared" si="15"/>
        <v/>
      </c>
      <c r="L979" s="1" t="str">
        <f>IF(COUNTA(A979:J979)=0,"",IF(OR(AND(C979&lt;&gt;"Servicio",C979&lt;&gt;"Cobro",C979&lt;&gt;"Anticipo",C979&lt;&gt;"Aplicación anticipo",C979&lt;&gt;"Retención ISR",C979&lt;&gt;"Retención IVA"),AND(C979="Servicio",F979&lt;&gt;"TMS",F979&lt;&gt;"Valoración",F979&lt;&gt;"EEG",F979&lt;&gt;"Neurofeedback",F979&lt;&gt;"Fotobiomodulación",F979&lt;&gt;"Psicoterapia",F979&lt;&gt;"Otros")),"Tipo o categoría inválido",IF(COUNTA(A979:J979)=0,"",IF(OR(A979="",B979="",C979="",G979=""),"Faltan datos",IF(COUNTIF($A$7:$A$2006,A979)&gt;1,"ID duplicado",IF(OR(B979&lt;DATE(Configuración!$C$5,1,1),B979&gt;=DATE(Configuración!$C$5+1,1,1)),"Fecha fuera del año",IF(OR(G979&lt;0,H979&lt;0),"Revisar signo",IF(AND(C979&lt;&gt;"Servicio",H979&lt;&gt;0),"IVA solo en Servicio",IF(AND(C979="Servicio",F979=""),"Falta servicio","OK")))))))))</f>
        <v/>
      </c>
    </row>
    <row r="980" spans="1:12" ht="22" customHeight="1">
      <c r="A980" s="3"/>
      <c r="B980" s="7"/>
      <c r="C980" s="3"/>
      <c r="D980" s="3"/>
      <c r="E980" s="3"/>
      <c r="F980" s="3"/>
      <c r="G980" s="4"/>
      <c r="H980" s="4"/>
      <c r="I980" s="3"/>
      <c r="J980" s="3"/>
      <c r="K980" s="8" t="str">
        <f t="shared" si="15"/>
        <v/>
      </c>
      <c r="L980" s="1" t="str">
        <f>IF(COUNTA(A980:J980)=0,"",IF(OR(AND(C980&lt;&gt;"Servicio",C980&lt;&gt;"Cobro",C980&lt;&gt;"Anticipo",C980&lt;&gt;"Aplicación anticipo",C980&lt;&gt;"Retención ISR",C980&lt;&gt;"Retención IVA"),AND(C980="Servicio",F980&lt;&gt;"TMS",F980&lt;&gt;"Valoración",F980&lt;&gt;"EEG",F980&lt;&gt;"Neurofeedback",F980&lt;&gt;"Fotobiomodulación",F980&lt;&gt;"Psicoterapia",F980&lt;&gt;"Otros")),"Tipo o categoría inválido",IF(COUNTA(A980:J980)=0,"",IF(OR(A980="",B980="",C980="",G980=""),"Faltan datos",IF(COUNTIF($A$7:$A$2006,A980)&gt;1,"ID duplicado",IF(OR(B980&lt;DATE(Configuración!$C$5,1,1),B980&gt;=DATE(Configuración!$C$5+1,1,1)),"Fecha fuera del año",IF(OR(G980&lt;0,H980&lt;0),"Revisar signo",IF(AND(C980&lt;&gt;"Servicio",H980&lt;&gt;0),"IVA solo en Servicio",IF(AND(C980="Servicio",F980=""),"Falta servicio","OK")))))))))</f>
        <v/>
      </c>
    </row>
    <row r="981" spans="1:12" ht="22" customHeight="1">
      <c r="A981" s="3"/>
      <c r="B981" s="7"/>
      <c r="C981" s="3"/>
      <c r="D981" s="3"/>
      <c r="E981" s="3"/>
      <c r="F981" s="3"/>
      <c r="G981" s="4"/>
      <c r="H981" s="4"/>
      <c r="I981" s="3"/>
      <c r="J981" s="3"/>
      <c r="K981" s="8" t="str">
        <f t="shared" si="15"/>
        <v/>
      </c>
      <c r="L981" s="1" t="str">
        <f>IF(COUNTA(A981:J981)=0,"",IF(OR(AND(C981&lt;&gt;"Servicio",C981&lt;&gt;"Cobro",C981&lt;&gt;"Anticipo",C981&lt;&gt;"Aplicación anticipo",C981&lt;&gt;"Retención ISR",C981&lt;&gt;"Retención IVA"),AND(C981="Servicio",F981&lt;&gt;"TMS",F981&lt;&gt;"Valoración",F981&lt;&gt;"EEG",F981&lt;&gt;"Neurofeedback",F981&lt;&gt;"Fotobiomodulación",F981&lt;&gt;"Psicoterapia",F981&lt;&gt;"Otros")),"Tipo o categoría inválido",IF(COUNTA(A981:J981)=0,"",IF(OR(A981="",B981="",C981="",G981=""),"Faltan datos",IF(COUNTIF($A$7:$A$2006,A981)&gt;1,"ID duplicado",IF(OR(B981&lt;DATE(Configuración!$C$5,1,1),B981&gt;=DATE(Configuración!$C$5+1,1,1)),"Fecha fuera del año",IF(OR(G981&lt;0,H981&lt;0),"Revisar signo",IF(AND(C981&lt;&gt;"Servicio",H981&lt;&gt;0),"IVA solo en Servicio",IF(AND(C981="Servicio",F981=""),"Falta servicio","OK")))))))))</f>
        <v/>
      </c>
    </row>
    <row r="982" spans="1:12" ht="22" customHeight="1">
      <c r="A982" s="3"/>
      <c r="B982" s="7"/>
      <c r="C982" s="3"/>
      <c r="D982" s="3"/>
      <c r="E982" s="3"/>
      <c r="F982" s="3"/>
      <c r="G982" s="4"/>
      <c r="H982" s="4"/>
      <c r="I982" s="3"/>
      <c r="J982" s="3"/>
      <c r="K982" s="8" t="str">
        <f t="shared" si="15"/>
        <v/>
      </c>
      <c r="L982" s="1" t="str">
        <f>IF(COUNTA(A982:J982)=0,"",IF(OR(AND(C982&lt;&gt;"Servicio",C982&lt;&gt;"Cobro",C982&lt;&gt;"Anticipo",C982&lt;&gt;"Aplicación anticipo",C982&lt;&gt;"Retención ISR",C982&lt;&gt;"Retención IVA"),AND(C982="Servicio",F982&lt;&gt;"TMS",F982&lt;&gt;"Valoración",F982&lt;&gt;"EEG",F982&lt;&gt;"Neurofeedback",F982&lt;&gt;"Fotobiomodulación",F982&lt;&gt;"Psicoterapia",F982&lt;&gt;"Otros")),"Tipo o categoría inválido",IF(COUNTA(A982:J982)=0,"",IF(OR(A982="",B982="",C982="",G982=""),"Faltan datos",IF(COUNTIF($A$7:$A$2006,A982)&gt;1,"ID duplicado",IF(OR(B982&lt;DATE(Configuración!$C$5,1,1),B982&gt;=DATE(Configuración!$C$5+1,1,1)),"Fecha fuera del año",IF(OR(G982&lt;0,H982&lt;0),"Revisar signo",IF(AND(C982&lt;&gt;"Servicio",H982&lt;&gt;0),"IVA solo en Servicio",IF(AND(C982="Servicio",F982=""),"Falta servicio","OK")))))))))</f>
        <v/>
      </c>
    </row>
    <row r="983" spans="1:12" ht="22" customHeight="1">
      <c r="A983" s="3"/>
      <c r="B983" s="7"/>
      <c r="C983" s="3"/>
      <c r="D983" s="3"/>
      <c r="E983" s="3"/>
      <c r="F983" s="3"/>
      <c r="G983" s="4"/>
      <c r="H983" s="4"/>
      <c r="I983" s="3"/>
      <c r="J983" s="3"/>
      <c r="K983" s="8" t="str">
        <f t="shared" si="15"/>
        <v/>
      </c>
      <c r="L983" s="1" t="str">
        <f>IF(COUNTA(A983:J983)=0,"",IF(OR(AND(C983&lt;&gt;"Servicio",C983&lt;&gt;"Cobro",C983&lt;&gt;"Anticipo",C983&lt;&gt;"Aplicación anticipo",C983&lt;&gt;"Retención ISR",C983&lt;&gt;"Retención IVA"),AND(C983="Servicio",F983&lt;&gt;"TMS",F983&lt;&gt;"Valoración",F983&lt;&gt;"EEG",F983&lt;&gt;"Neurofeedback",F983&lt;&gt;"Fotobiomodulación",F983&lt;&gt;"Psicoterapia",F983&lt;&gt;"Otros")),"Tipo o categoría inválido",IF(COUNTA(A983:J983)=0,"",IF(OR(A983="",B983="",C983="",G983=""),"Faltan datos",IF(COUNTIF($A$7:$A$2006,A983)&gt;1,"ID duplicado",IF(OR(B983&lt;DATE(Configuración!$C$5,1,1),B983&gt;=DATE(Configuración!$C$5+1,1,1)),"Fecha fuera del año",IF(OR(G983&lt;0,H983&lt;0),"Revisar signo",IF(AND(C983&lt;&gt;"Servicio",H983&lt;&gt;0),"IVA solo en Servicio",IF(AND(C983="Servicio",F983=""),"Falta servicio","OK")))))))))</f>
        <v/>
      </c>
    </row>
    <row r="984" spans="1:12" ht="22" customHeight="1">
      <c r="A984" s="3"/>
      <c r="B984" s="7"/>
      <c r="C984" s="3"/>
      <c r="D984" s="3"/>
      <c r="E984" s="3"/>
      <c r="F984" s="3"/>
      <c r="G984" s="4"/>
      <c r="H984" s="4"/>
      <c r="I984" s="3"/>
      <c r="J984" s="3"/>
      <c r="K984" s="8" t="str">
        <f t="shared" si="15"/>
        <v/>
      </c>
      <c r="L984" s="1" t="str">
        <f>IF(COUNTA(A984:J984)=0,"",IF(OR(AND(C984&lt;&gt;"Servicio",C984&lt;&gt;"Cobro",C984&lt;&gt;"Anticipo",C984&lt;&gt;"Aplicación anticipo",C984&lt;&gt;"Retención ISR",C984&lt;&gt;"Retención IVA"),AND(C984="Servicio",F984&lt;&gt;"TMS",F984&lt;&gt;"Valoración",F984&lt;&gt;"EEG",F984&lt;&gt;"Neurofeedback",F984&lt;&gt;"Fotobiomodulación",F984&lt;&gt;"Psicoterapia",F984&lt;&gt;"Otros")),"Tipo o categoría inválido",IF(COUNTA(A984:J984)=0,"",IF(OR(A984="",B984="",C984="",G984=""),"Faltan datos",IF(COUNTIF($A$7:$A$2006,A984)&gt;1,"ID duplicado",IF(OR(B984&lt;DATE(Configuración!$C$5,1,1),B984&gt;=DATE(Configuración!$C$5+1,1,1)),"Fecha fuera del año",IF(OR(G984&lt;0,H984&lt;0),"Revisar signo",IF(AND(C984&lt;&gt;"Servicio",H984&lt;&gt;0),"IVA solo en Servicio",IF(AND(C984="Servicio",F984=""),"Falta servicio","OK")))))))))</f>
        <v/>
      </c>
    </row>
    <row r="985" spans="1:12" ht="22" customHeight="1">
      <c r="A985" s="3"/>
      <c r="B985" s="7"/>
      <c r="C985" s="3"/>
      <c r="D985" s="3"/>
      <c r="E985" s="3"/>
      <c r="F985" s="3"/>
      <c r="G985" s="4"/>
      <c r="H985" s="4"/>
      <c r="I985" s="3"/>
      <c r="J985" s="3"/>
      <c r="K985" s="8" t="str">
        <f t="shared" si="15"/>
        <v/>
      </c>
      <c r="L985" s="1" t="str">
        <f>IF(COUNTA(A985:J985)=0,"",IF(OR(AND(C985&lt;&gt;"Servicio",C985&lt;&gt;"Cobro",C985&lt;&gt;"Anticipo",C985&lt;&gt;"Aplicación anticipo",C985&lt;&gt;"Retención ISR",C985&lt;&gt;"Retención IVA"),AND(C985="Servicio",F985&lt;&gt;"TMS",F985&lt;&gt;"Valoración",F985&lt;&gt;"EEG",F985&lt;&gt;"Neurofeedback",F985&lt;&gt;"Fotobiomodulación",F985&lt;&gt;"Psicoterapia",F985&lt;&gt;"Otros")),"Tipo o categoría inválido",IF(COUNTA(A985:J985)=0,"",IF(OR(A985="",B985="",C985="",G985=""),"Faltan datos",IF(COUNTIF($A$7:$A$2006,A985)&gt;1,"ID duplicado",IF(OR(B985&lt;DATE(Configuración!$C$5,1,1),B985&gt;=DATE(Configuración!$C$5+1,1,1)),"Fecha fuera del año",IF(OR(G985&lt;0,H985&lt;0),"Revisar signo",IF(AND(C985&lt;&gt;"Servicio",H985&lt;&gt;0),"IVA solo en Servicio",IF(AND(C985="Servicio",F985=""),"Falta servicio","OK")))))))))</f>
        <v/>
      </c>
    </row>
    <row r="986" spans="1:12" ht="22" customHeight="1">
      <c r="A986" s="3"/>
      <c r="B986" s="7"/>
      <c r="C986" s="3"/>
      <c r="D986" s="3"/>
      <c r="E986" s="3"/>
      <c r="F986" s="3"/>
      <c r="G986" s="4"/>
      <c r="H986" s="4"/>
      <c r="I986" s="3"/>
      <c r="J986" s="3"/>
      <c r="K986" s="8" t="str">
        <f t="shared" si="15"/>
        <v/>
      </c>
      <c r="L986" s="1" t="str">
        <f>IF(COUNTA(A986:J986)=0,"",IF(OR(AND(C986&lt;&gt;"Servicio",C986&lt;&gt;"Cobro",C986&lt;&gt;"Anticipo",C986&lt;&gt;"Aplicación anticipo",C986&lt;&gt;"Retención ISR",C986&lt;&gt;"Retención IVA"),AND(C986="Servicio",F986&lt;&gt;"TMS",F986&lt;&gt;"Valoración",F986&lt;&gt;"EEG",F986&lt;&gt;"Neurofeedback",F986&lt;&gt;"Fotobiomodulación",F986&lt;&gt;"Psicoterapia",F986&lt;&gt;"Otros")),"Tipo o categoría inválido",IF(COUNTA(A986:J986)=0,"",IF(OR(A986="",B986="",C986="",G986=""),"Faltan datos",IF(COUNTIF($A$7:$A$2006,A986)&gt;1,"ID duplicado",IF(OR(B986&lt;DATE(Configuración!$C$5,1,1),B986&gt;=DATE(Configuración!$C$5+1,1,1)),"Fecha fuera del año",IF(OR(G986&lt;0,H986&lt;0),"Revisar signo",IF(AND(C986&lt;&gt;"Servicio",H986&lt;&gt;0),"IVA solo en Servicio",IF(AND(C986="Servicio",F986=""),"Falta servicio","OK")))))))))</f>
        <v/>
      </c>
    </row>
    <row r="987" spans="1:12" ht="22" customHeight="1">
      <c r="A987" s="3"/>
      <c r="B987" s="7"/>
      <c r="C987" s="3"/>
      <c r="D987" s="3"/>
      <c r="E987" s="3"/>
      <c r="F987" s="3"/>
      <c r="G987" s="4"/>
      <c r="H987" s="4"/>
      <c r="I987" s="3"/>
      <c r="J987" s="3"/>
      <c r="K987" s="8" t="str">
        <f t="shared" si="15"/>
        <v/>
      </c>
      <c r="L987" s="1" t="str">
        <f>IF(COUNTA(A987:J987)=0,"",IF(OR(AND(C987&lt;&gt;"Servicio",C987&lt;&gt;"Cobro",C987&lt;&gt;"Anticipo",C987&lt;&gt;"Aplicación anticipo",C987&lt;&gt;"Retención ISR",C987&lt;&gt;"Retención IVA"),AND(C987="Servicio",F987&lt;&gt;"TMS",F987&lt;&gt;"Valoración",F987&lt;&gt;"EEG",F987&lt;&gt;"Neurofeedback",F987&lt;&gt;"Fotobiomodulación",F987&lt;&gt;"Psicoterapia",F987&lt;&gt;"Otros")),"Tipo o categoría inválido",IF(COUNTA(A987:J987)=0,"",IF(OR(A987="",B987="",C987="",G987=""),"Faltan datos",IF(COUNTIF($A$7:$A$2006,A987)&gt;1,"ID duplicado",IF(OR(B987&lt;DATE(Configuración!$C$5,1,1),B987&gt;=DATE(Configuración!$C$5+1,1,1)),"Fecha fuera del año",IF(OR(G987&lt;0,H987&lt;0),"Revisar signo",IF(AND(C987&lt;&gt;"Servicio",H987&lt;&gt;0),"IVA solo en Servicio",IF(AND(C987="Servicio",F987=""),"Falta servicio","OK")))))))))</f>
        <v/>
      </c>
    </row>
    <row r="988" spans="1:12" ht="22" customHeight="1">
      <c r="A988" s="3"/>
      <c r="B988" s="7"/>
      <c r="C988" s="3"/>
      <c r="D988" s="3"/>
      <c r="E988" s="3"/>
      <c r="F988" s="3"/>
      <c r="G988" s="4"/>
      <c r="H988" s="4"/>
      <c r="I988" s="3"/>
      <c r="J988" s="3"/>
      <c r="K988" s="8" t="str">
        <f t="shared" si="15"/>
        <v/>
      </c>
      <c r="L988" s="1" t="str">
        <f>IF(COUNTA(A988:J988)=0,"",IF(OR(AND(C988&lt;&gt;"Servicio",C988&lt;&gt;"Cobro",C988&lt;&gt;"Anticipo",C988&lt;&gt;"Aplicación anticipo",C988&lt;&gt;"Retención ISR",C988&lt;&gt;"Retención IVA"),AND(C988="Servicio",F988&lt;&gt;"TMS",F988&lt;&gt;"Valoración",F988&lt;&gt;"EEG",F988&lt;&gt;"Neurofeedback",F988&lt;&gt;"Fotobiomodulación",F988&lt;&gt;"Psicoterapia",F988&lt;&gt;"Otros")),"Tipo o categoría inválido",IF(COUNTA(A988:J988)=0,"",IF(OR(A988="",B988="",C988="",G988=""),"Faltan datos",IF(COUNTIF($A$7:$A$2006,A988)&gt;1,"ID duplicado",IF(OR(B988&lt;DATE(Configuración!$C$5,1,1),B988&gt;=DATE(Configuración!$C$5+1,1,1)),"Fecha fuera del año",IF(OR(G988&lt;0,H988&lt;0),"Revisar signo",IF(AND(C988&lt;&gt;"Servicio",H988&lt;&gt;0),"IVA solo en Servicio",IF(AND(C988="Servicio",F988=""),"Falta servicio","OK")))))))))</f>
        <v/>
      </c>
    </row>
    <row r="989" spans="1:12" ht="22" customHeight="1">
      <c r="A989" s="3"/>
      <c r="B989" s="7"/>
      <c r="C989" s="3"/>
      <c r="D989" s="3"/>
      <c r="E989" s="3"/>
      <c r="F989" s="3"/>
      <c r="G989" s="4"/>
      <c r="H989" s="4"/>
      <c r="I989" s="3"/>
      <c r="J989" s="3"/>
      <c r="K989" s="8" t="str">
        <f t="shared" si="15"/>
        <v/>
      </c>
      <c r="L989" s="1" t="str">
        <f>IF(COUNTA(A989:J989)=0,"",IF(OR(AND(C989&lt;&gt;"Servicio",C989&lt;&gt;"Cobro",C989&lt;&gt;"Anticipo",C989&lt;&gt;"Aplicación anticipo",C989&lt;&gt;"Retención ISR",C989&lt;&gt;"Retención IVA"),AND(C989="Servicio",F989&lt;&gt;"TMS",F989&lt;&gt;"Valoración",F989&lt;&gt;"EEG",F989&lt;&gt;"Neurofeedback",F989&lt;&gt;"Fotobiomodulación",F989&lt;&gt;"Psicoterapia",F989&lt;&gt;"Otros")),"Tipo o categoría inválido",IF(COUNTA(A989:J989)=0,"",IF(OR(A989="",B989="",C989="",G989=""),"Faltan datos",IF(COUNTIF($A$7:$A$2006,A989)&gt;1,"ID duplicado",IF(OR(B989&lt;DATE(Configuración!$C$5,1,1),B989&gt;=DATE(Configuración!$C$5+1,1,1)),"Fecha fuera del año",IF(OR(G989&lt;0,H989&lt;0),"Revisar signo",IF(AND(C989&lt;&gt;"Servicio",H989&lt;&gt;0),"IVA solo en Servicio",IF(AND(C989="Servicio",F989=""),"Falta servicio","OK")))))))))</f>
        <v/>
      </c>
    </row>
    <row r="990" spans="1:12" ht="22" customHeight="1">
      <c r="A990" s="3"/>
      <c r="B990" s="7"/>
      <c r="C990" s="3"/>
      <c r="D990" s="3"/>
      <c r="E990" s="3"/>
      <c r="F990" s="3"/>
      <c r="G990" s="4"/>
      <c r="H990" s="4"/>
      <c r="I990" s="3"/>
      <c r="J990" s="3"/>
      <c r="K990" s="8" t="str">
        <f t="shared" si="15"/>
        <v/>
      </c>
      <c r="L990" s="1" t="str">
        <f>IF(COUNTA(A990:J990)=0,"",IF(OR(AND(C990&lt;&gt;"Servicio",C990&lt;&gt;"Cobro",C990&lt;&gt;"Anticipo",C990&lt;&gt;"Aplicación anticipo",C990&lt;&gt;"Retención ISR",C990&lt;&gt;"Retención IVA"),AND(C990="Servicio",F990&lt;&gt;"TMS",F990&lt;&gt;"Valoración",F990&lt;&gt;"EEG",F990&lt;&gt;"Neurofeedback",F990&lt;&gt;"Fotobiomodulación",F990&lt;&gt;"Psicoterapia",F990&lt;&gt;"Otros")),"Tipo o categoría inválido",IF(COUNTA(A990:J990)=0,"",IF(OR(A990="",B990="",C990="",G990=""),"Faltan datos",IF(COUNTIF($A$7:$A$2006,A990)&gt;1,"ID duplicado",IF(OR(B990&lt;DATE(Configuración!$C$5,1,1),B990&gt;=DATE(Configuración!$C$5+1,1,1)),"Fecha fuera del año",IF(OR(G990&lt;0,H990&lt;0),"Revisar signo",IF(AND(C990&lt;&gt;"Servicio",H990&lt;&gt;0),"IVA solo en Servicio",IF(AND(C990="Servicio",F990=""),"Falta servicio","OK")))))))))</f>
        <v/>
      </c>
    </row>
    <row r="991" spans="1:12" ht="22" customHeight="1">
      <c r="A991" s="3"/>
      <c r="B991" s="7"/>
      <c r="C991" s="3"/>
      <c r="D991" s="3"/>
      <c r="E991" s="3"/>
      <c r="F991" s="3"/>
      <c r="G991" s="4"/>
      <c r="H991" s="4"/>
      <c r="I991" s="3"/>
      <c r="J991" s="3"/>
      <c r="K991" s="8" t="str">
        <f t="shared" si="15"/>
        <v/>
      </c>
      <c r="L991" s="1" t="str">
        <f>IF(COUNTA(A991:J991)=0,"",IF(OR(AND(C991&lt;&gt;"Servicio",C991&lt;&gt;"Cobro",C991&lt;&gt;"Anticipo",C991&lt;&gt;"Aplicación anticipo",C991&lt;&gt;"Retención ISR",C991&lt;&gt;"Retención IVA"),AND(C991="Servicio",F991&lt;&gt;"TMS",F991&lt;&gt;"Valoración",F991&lt;&gt;"EEG",F991&lt;&gt;"Neurofeedback",F991&lt;&gt;"Fotobiomodulación",F991&lt;&gt;"Psicoterapia",F991&lt;&gt;"Otros")),"Tipo o categoría inválido",IF(COUNTA(A991:J991)=0,"",IF(OR(A991="",B991="",C991="",G991=""),"Faltan datos",IF(COUNTIF($A$7:$A$2006,A991)&gt;1,"ID duplicado",IF(OR(B991&lt;DATE(Configuración!$C$5,1,1),B991&gt;=DATE(Configuración!$C$5+1,1,1)),"Fecha fuera del año",IF(OR(G991&lt;0,H991&lt;0),"Revisar signo",IF(AND(C991&lt;&gt;"Servicio",H991&lt;&gt;0),"IVA solo en Servicio",IF(AND(C991="Servicio",F991=""),"Falta servicio","OK")))))))))</f>
        <v/>
      </c>
    </row>
    <row r="992" spans="1:12" ht="22" customHeight="1">
      <c r="A992" s="3"/>
      <c r="B992" s="7"/>
      <c r="C992" s="3"/>
      <c r="D992" s="3"/>
      <c r="E992" s="3"/>
      <c r="F992" s="3"/>
      <c r="G992" s="4"/>
      <c r="H992" s="4"/>
      <c r="I992" s="3"/>
      <c r="J992" s="3"/>
      <c r="K992" s="8" t="str">
        <f t="shared" si="15"/>
        <v/>
      </c>
      <c r="L992" s="1" t="str">
        <f>IF(COUNTA(A992:J992)=0,"",IF(OR(AND(C992&lt;&gt;"Servicio",C992&lt;&gt;"Cobro",C992&lt;&gt;"Anticipo",C992&lt;&gt;"Aplicación anticipo",C992&lt;&gt;"Retención ISR",C992&lt;&gt;"Retención IVA"),AND(C992="Servicio",F992&lt;&gt;"TMS",F992&lt;&gt;"Valoración",F992&lt;&gt;"EEG",F992&lt;&gt;"Neurofeedback",F992&lt;&gt;"Fotobiomodulación",F992&lt;&gt;"Psicoterapia",F992&lt;&gt;"Otros")),"Tipo o categoría inválido",IF(COUNTA(A992:J992)=0,"",IF(OR(A992="",B992="",C992="",G992=""),"Faltan datos",IF(COUNTIF($A$7:$A$2006,A992)&gt;1,"ID duplicado",IF(OR(B992&lt;DATE(Configuración!$C$5,1,1),B992&gt;=DATE(Configuración!$C$5+1,1,1)),"Fecha fuera del año",IF(OR(G992&lt;0,H992&lt;0),"Revisar signo",IF(AND(C992&lt;&gt;"Servicio",H992&lt;&gt;0),"IVA solo en Servicio",IF(AND(C992="Servicio",F992=""),"Falta servicio","OK")))))))))</f>
        <v/>
      </c>
    </row>
    <row r="993" spans="1:12" ht="22" customHeight="1">
      <c r="A993" s="3"/>
      <c r="B993" s="7"/>
      <c r="C993" s="3"/>
      <c r="D993" s="3"/>
      <c r="E993" s="3"/>
      <c r="F993" s="3"/>
      <c r="G993" s="4"/>
      <c r="H993" s="4"/>
      <c r="I993" s="3"/>
      <c r="J993" s="3"/>
      <c r="K993" s="8" t="str">
        <f t="shared" si="15"/>
        <v/>
      </c>
      <c r="L993" s="1" t="str">
        <f>IF(COUNTA(A993:J993)=0,"",IF(OR(AND(C993&lt;&gt;"Servicio",C993&lt;&gt;"Cobro",C993&lt;&gt;"Anticipo",C993&lt;&gt;"Aplicación anticipo",C993&lt;&gt;"Retención ISR",C993&lt;&gt;"Retención IVA"),AND(C993="Servicio",F993&lt;&gt;"TMS",F993&lt;&gt;"Valoración",F993&lt;&gt;"EEG",F993&lt;&gt;"Neurofeedback",F993&lt;&gt;"Fotobiomodulación",F993&lt;&gt;"Psicoterapia",F993&lt;&gt;"Otros")),"Tipo o categoría inválido",IF(COUNTA(A993:J993)=0,"",IF(OR(A993="",B993="",C993="",G993=""),"Faltan datos",IF(COUNTIF($A$7:$A$2006,A993)&gt;1,"ID duplicado",IF(OR(B993&lt;DATE(Configuración!$C$5,1,1),B993&gt;=DATE(Configuración!$C$5+1,1,1)),"Fecha fuera del año",IF(OR(G993&lt;0,H993&lt;0),"Revisar signo",IF(AND(C993&lt;&gt;"Servicio",H993&lt;&gt;0),"IVA solo en Servicio",IF(AND(C993="Servicio",F993=""),"Falta servicio","OK")))))))))</f>
        <v/>
      </c>
    </row>
    <row r="994" spans="1:12" ht="22" customHeight="1">
      <c r="A994" s="3"/>
      <c r="B994" s="7"/>
      <c r="C994" s="3"/>
      <c r="D994" s="3"/>
      <c r="E994" s="3"/>
      <c r="F994" s="3"/>
      <c r="G994" s="4"/>
      <c r="H994" s="4"/>
      <c r="I994" s="3"/>
      <c r="J994" s="3"/>
      <c r="K994" s="8" t="str">
        <f t="shared" si="15"/>
        <v/>
      </c>
      <c r="L994" s="1" t="str">
        <f>IF(COUNTA(A994:J994)=0,"",IF(OR(AND(C994&lt;&gt;"Servicio",C994&lt;&gt;"Cobro",C994&lt;&gt;"Anticipo",C994&lt;&gt;"Aplicación anticipo",C994&lt;&gt;"Retención ISR",C994&lt;&gt;"Retención IVA"),AND(C994="Servicio",F994&lt;&gt;"TMS",F994&lt;&gt;"Valoración",F994&lt;&gt;"EEG",F994&lt;&gt;"Neurofeedback",F994&lt;&gt;"Fotobiomodulación",F994&lt;&gt;"Psicoterapia",F994&lt;&gt;"Otros")),"Tipo o categoría inválido",IF(COUNTA(A994:J994)=0,"",IF(OR(A994="",B994="",C994="",G994=""),"Faltan datos",IF(COUNTIF($A$7:$A$2006,A994)&gt;1,"ID duplicado",IF(OR(B994&lt;DATE(Configuración!$C$5,1,1),B994&gt;=DATE(Configuración!$C$5+1,1,1)),"Fecha fuera del año",IF(OR(G994&lt;0,H994&lt;0),"Revisar signo",IF(AND(C994&lt;&gt;"Servicio",H994&lt;&gt;0),"IVA solo en Servicio",IF(AND(C994="Servicio",F994=""),"Falta servicio","OK")))))))))</f>
        <v/>
      </c>
    </row>
    <row r="995" spans="1:12" ht="22" customHeight="1">
      <c r="A995" s="3"/>
      <c r="B995" s="7"/>
      <c r="C995" s="3"/>
      <c r="D995" s="3"/>
      <c r="E995" s="3"/>
      <c r="F995" s="3"/>
      <c r="G995" s="4"/>
      <c r="H995" s="4"/>
      <c r="I995" s="3"/>
      <c r="J995" s="3"/>
      <c r="K995" s="8" t="str">
        <f t="shared" si="15"/>
        <v/>
      </c>
      <c r="L995" s="1" t="str">
        <f>IF(COUNTA(A995:J995)=0,"",IF(OR(AND(C995&lt;&gt;"Servicio",C995&lt;&gt;"Cobro",C995&lt;&gt;"Anticipo",C995&lt;&gt;"Aplicación anticipo",C995&lt;&gt;"Retención ISR",C995&lt;&gt;"Retención IVA"),AND(C995="Servicio",F995&lt;&gt;"TMS",F995&lt;&gt;"Valoración",F995&lt;&gt;"EEG",F995&lt;&gt;"Neurofeedback",F995&lt;&gt;"Fotobiomodulación",F995&lt;&gt;"Psicoterapia",F995&lt;&gt;"Otros")),"Tipo o categoría inválido",IF(COUNTA(A995:J995)=0,"",IF(OR(A995="",B995="",C995="",G995=""),"Faltan datos",IF(COUNTIF($A$7:$A$2006,A995)&gt;1,"ID duplicado",IF(OR(B995&lt;DATE(Configuración!$C$5,1,1),B995&gt;=DATE(Configuración!$C$5+1,1,1)),"Fecha fuera del año",IF(OR(G995&lt;0,H995&lt;0),"Revisar signo",IF(AND(C995&lt;&gt;"Servicio",H995&lt;&gt;0),"IVA solo en Servicio",IF(AND(C995="Servicio",F995=""),"Falta servicio","OK")))))))))</f>
        <v/>
      </c>
    </row>
    <row r="996" spans="1:12" ht="22" customHeight="1">
      <c r="A996" s="3"/>
      <c r="B996" s="7"/>
      <c r="C996" s="3"/>
      <c r="D996" s="3"/>
      <c r="E996" s="3"/>
      <c r="F996" s="3"/>
      <c r="G996" s="4"/>
      <c r="H996" s="4"/>
      <c r="I996" s="3"/>
      <c r="J996" s="3"/>
      <c r="K996" s="8" t="str">
        <f t="shared" si="15"/>
        <v/>
      </c>
      <c r="L996" s="1" t="str">
        <f>IF(COUNTA(A996:J996)=0,"",IF(OR(AND(C996&lt;&gt;"Servicio",C996&lt;&gt;"Cobro",C996&lt;&gt;"Anticipo",C996&lt;&gt;"Aplicación anticipo",C996&lt;&gt;"Retención ISR",C996&lt;&gt;"Retención IVA"),AND(C996="Servicio",F996&lt;&gt;"TMS",F996&lt;&gt;"Valoración",F996&lt;&gt;"EEG",F996&lt;&gt;"Neurofeedback",F996&lt;&gt;"Fotobiomodulación",F996&lt;&gt;"Psicoterapia",F996&lt;&gt;"Otros")),"Tipo o categoría inválido",IF(COUNTA(A996:J996)=0,"",IF(OR(A996="",B996="",C996="",G996=""),"Faltan datos",IF(COUNTIF($A$7:$A$2006,A996)&gt;1,"ID duplicado",IF(OR(B996&lt;DATE(Configuración!$C$5,1,1),B996&gt;=DATE(Configuración!$C$5+1,1,1)),"Fecha fuera del año",IF(OR(G996&lt;0,H996&lt;0),"Revisar signo",IF(AND(C996&lt;&gt;"Servicio",H996&lt;&gt;0),"IVA solo en Servicio",IF(AND(C996="Servicio",F996=""),"Falta servicio","OK")))))))))</f>
        <v/>
      </c>
    </row>
    <row r="997" spans="1:12" ht="22" customHeight="1">
      <c r="A997" s="3"/>
      <c r="B997" s="7"/>
      <c r="C997" s="3"/>
      <c r="D997" s="3"/>
      <c r="E997" s="3"/>
      <c r="F997" s="3"/>
      <c r="G997" s="4"/>
      <c r="H997" s="4"/>
      <c r="I997" s="3"/>
      <c r="J997" s="3"/>
      <c r="K997" s="8" t="str">
        <f t="shared" si="15"/>
        <v/>
      </c>
      <c r="L997" s="1" t="str">
        <f>IF(COUNTA(A997:J997)=0,"",IF(OR(AND(C997&lt;&gt;"Servicio",C997&lt;&gt;"Cobro",C997&lt;&gt;"Anticipo",C997&lt;&gt;"Aplicación anticipo",C997&lt;&gt;"Retención ISR",C997&lt;&gt;"Retención IVA"),AND(C997="Servicio",F997&lt;&gt;"TMS",F997&lt;&gt;"Valoración",F997&lt;&gt;"EEG",F997&lt;&gt;"Neurofeedback",F997&lt;&gt;"Fotobiomodulación",F997&lt;&gt;"Psicoterapia",F997&lt;&gt;"Otros")),"Tipo o categoría inválido",IF(COUNTA(A997:J997)=0,"",IF(OR(A997="",B997="",C997="",G997=""),"Faltan datos",IF(COUNTIF($A$7:$A$2006,A997)&gt;1,"ID duplicado",IF(OR(B997&lt;DATE(Configuración!$C$5,1,1),B997&gt;=DATE(Configuración!$C$5+1,1,1)),"Fecha fuera del año",IF(OR(G997&lt;0,H997&lt;0),"Revisar signo",IF(AND(C997&lt;&gt;"Servicio",H997&lt;&gt;0),"IVA solo en Servicio",IF(AND(C997="Servicio",F997=""),"Falta servicio","OK")))))))))</f>
        <v/>
      </c>
    </row>
    <row r="998" spans="1:12" ht="22" customHeight="1">
      <c r="A998" s="3"/>
      <c r="B998" s="7"/>
      <c r="C998" s="3"/>
      <c r="D998" s="3"/>
      <c r="E998" s="3"/>
      <c r="F998" s="3"/>
      <c r="G998" s="4"/>
      <c r="H998" s="4"/>
      <c r="I998" s="3"/>
      <c r="J998" s="3"/>
      <c r="K998" s="8" t="str">
        <f t="shared" si="15"/>
        <v/>
      </c>
      <c r="L998" s="1" t="str">
        <f>IF(COUNTA(A998:J998)=0,"",IF(OR(AND(C998&lt;&gt;"Servicio",C998&lt;&gt;"Cobro",C998&lt;&gt;"Anticipo",C998&lt;&gt;"Aplicación anticipo",C998&lt;&gt;"Retención ISR",C998&lt;&gt;"Retención IVA"),AND(C998="Servicio",F998&lt;&gt;"TMS",F998&lt;&gt;"Valoración",F998&lt;&gt;"EEG",F998&lt;&gt;"Neurofeedback",F998&lt;&gt;"Fotobiomodulación",F998&lt;&gt;"Psicoterapia",F998&lt;&gt;"Otros")),"Tipo o categoría inválido",IF(COUNTA(A998:J998)=0,"",IF(OR(A998="",B998="",C998="",G998=""),"Faltan datos",IF(COUNTIF($A$7:$A$2006,A998)&gt;1,"ID duplicado",IF(OR(B998&lt;DATE(Configuración!$C$5,1,1),B998&gt;=DATE(Configuración!$C$5+1,1,1)),"Fecha fuera del año",IF(OR(G998&lt;0,H998&lt;0),"Revisar signo",IF(AND(C998&lt;&gt;"Servicio",H998&lt;&gt;0),"IVA solo en Servicio",IF(AND(C998="Servicio",F998=""),"Falta servicio","OK")))))))))</f>
        <v/>
      </c>
    </row>
    <row r="999" spans="1:12" ht="22" customHeight="1">
      <c r="A999" s="3"/>
      <c r="B999" s="7"/>
      <c r="C999" s="3"/>
      <c r="D999" s="3"/>
      <c r="E999" s="3"/>
      <c r="F999" s="3"/>
      <c r="G999" s="4"/>
      <c r="H999" s="4"/>
      <c r="I999" s="3"/>
      <c r="J999" s="3"/>
      <c r="K999" s="8" t="str">
        <f t="shared" si="15"/>
        <v/>
      </c>
      <c r="L999" s="1" t="str">
        <f>IF(COUNTA(A999:J999)=0,"",IF(OR(AND(C999&lt;&gt;"Servicio",C999&lt;&gt;"Cobro",C999&lt;&gt;"Anticipo",C999&lt;&gt;"Aplicación anticipo",C999&lt;&gt;"Retención ISR",C999&lt;&gt;"Retención IVA"),AND(C999="Servicio",F999&lt;&gt;"TMS",F999&lt;&gt;"Valoración",F999&lt;&gt;"EEG",F999&lt;&gt;"Neurofeedback",F999&lt;&gt;"Fotobiomodulación",F999&lt;&gt;"Psicoterapia",F999&lt;&gt;"Otros")),"Tipo o categoría inválido",IF(COUNTA(A999:J999)=0,"",IF(OR(A999="",B999="",C999="",G999=""),"Faltan datos",IF(COUNTIF($A$7:$A$2006,A999)&gt;1,"ID duplicado",IF(OR(B999&lt;DATE(Configuración!$C$5,1,1),B999&gt;=DATE(Configuración!$C$5+1,1,1)),"Fecha fuera del año",IF(OR(G999&lt;0,H999&lt;0),"Revisar signo",IF(AND(C999&lt;&gt;"Servicio",H999&lt;&gt;0),"IVA solo en Servicio",IF(AND(C999="Servicio",F999=""),"Falta servicio","OK")))))))))</f>
        <v/>
      </c>
    </row>
    <row r="1000" spans="1:12" ht="22" customHeight="1">
      <c r="A1000" s="3"/>
      <c r="B1000" s="7"/>
      <c r="C1000" s="3"/>
      <c r="D1000" s="3"/>
      <c r="E1000" s="3"/>
      <c r="F1000" s="3"/>
      <c r="G1000" s="4"/>
      <c r="H1000" s="4"/>
      <c r="I1000" s="3"/>
      <c r="J1000" s="3"/>
      <c r="K1000" s="8" t="str">
        <f t="shared" si="15"/>
        <v/>
      </c>
      <c r="L1000" s="1" t="str">
        <f>IF(COUNTA(A1000:J1000)=0,"",IF(OR(AND(C1000&lt;&gt;"Servicio",C1000&lt;&gt;"Cobro",C1000&lt;&gt;"Anticipo",C1000&lt;&gt;"Aplicación anticipo",C1000&lt;&gt;"Retención ISR",C1000&lt;&gt;"Retención IVA"),AND(C1000="Servicio",F1000&lt;&gt;"TMS",F1000&lt;&gt;"Valoración",F1000&lt;&gt;"EEG",F1000&lt;&gt;"Neurofeedback",F1000&lt;&gt;"Fotobiomodulación",F1000&lt;&gt;"Psicoterapia",F1000&lt;&gt;"Otros")),"Tipo o categoría inválido",IF(COUNTA(A1000:J1000)=0,"",IF(OR(A1000="",B1000="",C1000="",G1000=""),"Faltan datos",IF(COUNTIF($A$7:$A$2006,A1000)&gt;1,"ID duplicado",IF(OR(B1000&lt;DATE(Configuración!$C$5,1,1),B1000&gt;=DATE(Configuración!$C$5+1,1,1)),"Fecha fuera del año",IF(OR(G1000&lt;0,H1000&lt;0),"Revisar signo",IF(AND(C1000&lt;&gt;"Servicio",H1000&lt;&gt;0),"IVA solo en Servicio",IF(AND(C1000="Servicio",F1000=""),"Falta servicio","OK")))))))))</f>
        <v/>
      </c>
    </row>
    <row r="1001" spans="1:12" ht="22" customHeight="1">
      <c r="A1001" s="3"/>
      <c r="B1001" s="7"/>
      <c r="C1001" s="3"/>
      <c r="D1001" s="3"/>
      <c r="E1001" s="3"/>
      <c r="F1001" s="3"/>
      <c r="G1001" s="4"/>
      <c r="H1001" s="4"/>
      <c r="I1001" s="3"/>
      <c r="J1001" s="3"/>
      <c r="K1001" s="8" t="str">
        <f t="shared" si="15"/>
        <v/>
      </c>
      <c r="L1001" s="1" t="str">
        <f>IF(COUNTA(A1001:J1001)=0,"",IF(OR(AND(C1001&lt;&gt;"Servicio",C1001&lt;&gt;"Cobro",C1001&lt;&gt;"Anticipo",C1001&lt;&gt;"Aplicación anticipo",C1001&lt;&gt;"Retención ISR",C1001&lt;&gt;"Retención IVA"),AND(C1001="Servicio",F1001&lt;&gt;"TMS",F1001&lt;&gt;"Valoración",F1001&lt;&gt;"EEG",F1001&lt;&gt;"Neurofeedback",F1001&lt;&gt;"Fotobiomodulación",F1001&lt;&gt;"Psicoterapia",F1001&lt;&gt;"Otros")),"Tipo o categoría inválido",IF(COUNTA(A1001:J1001)=0,"",IF(OR(A1001="",B1001="",C1001="",G1001=""),"Faltan datos",IF(COUNTIF($A$7:$A$2006,A1001)&gt;1,"ID duplicado",IF(OR(B1001&lt;DATE(Configuración!$C$5,1,1),B1001&gt;=DATE(Configuración!$C$5+1,1,1)),"Fecha fuera del año",IF(OR(G1001&lt;0,H1001&lt;0),"Revisar signo",IF(AND(C1001&lt;&gt;"Servicio",H1001&lt;&gt;0),"IVA solo en Servicio",IF(AND(C1001="Servicio",F1001=""),"Falta servicio","OK")))))))))</f>
        <v/>
      </c>
    </row>
    <row r="1002" spans="1:12" ht="22" customHeight="1">
      <c r="A1002" s="3"/>
      <c r="B1002" s="7"/>
      <c r="C1002" s="3"/>
      <c r="D1002" s="3"/>
      <c r="E1002" s="3"/>
      <c r="F1002" s="3"/>
      <c r="G1002" s="4"/>
      <c r="H1002" s="4"/>
      <c r="I1002" s="3"/>
      <c r="J1002" s="3"/>
      <c r="K1002" s="8" t="str">
        <f t="shared" si="15"/>
        <v/>
      </c>
      <c r="L1002" s="1" t="str">
        <f>IF(COUNTA(A1002:J1002)=0,"",IF(OR(AND(C1002&lt;&gt;"Servicio",C1002&lt;&gt;"Cobro",C1002&lt;&gt;"Anticipo",C1002&lt;&gt;"Aplicación anticipo",C1002&lt;&gt;"Retención ISR",C1002&lt;&gt;"Retención IVA"),AND(C1002="Servicio",F1002&lt;&gt;"TMS",F1002&lt;&gt;"Valoración",F1002&lt;&gt;"EEG",F1002&lt;&gt;"Neurofeedback",F1002&lt;&gt;"Fotobiomodulación",F1002&lt;&gt;"Psicoterapia",F1002&lt;&gt;"Otros")),"Tipo o categoría inválido",IF(COUNTA(A1002:J1002)=0,"",IF(OR(A1002="",B1002="",C1002="",G1002=""),"Faltan datos",IF(COUNTIF($A$7:$A$2006,A1002)&gt;1,"ID duplicado",IF(OR(B1002&lt;DATE(Configuración!$C$5,1,1),B1002&gt;=DATE(Configuración!$C$5+1,1,1)),"Fecha fuera del año",IF(OR(G1002&lt;0,H1002&lt;0),"Revisar signo",IF(AND(C1002&lt;&gt;"Servicio",H1002&lt;&gt;0),"IVA solo en Servicio",IF(AND(C1002="Servicio",F1002=""),"Falta servicio","OK")))))))))</f>
        <v/>
      </c>
    </row>
    <row r="1003" spans="1:12" ht="22" customHeight="1">
      <c r="A1003" s="3"/>
      <c r="B1003" s="7"/>
      <c r="C1003" s="3"/>
      <c r="D1003" s="3"/>
      <c r="E1003" s="3"/>
      <c r="F1003" s="3"/>
      <c r="G1003" s="4"/>
      <c r="H1003" s="4"/>
      <c r="I1003" s="3"/>
      <c r="J1003" s="3"/>
      <c r="K1003" s="8" t="str">
        <f t="shared" si="15"/>
        <v/>
      </c>
      <c r="L1003" s="1" t="str">
        <f>IF(COUNTA(A1003:J1003)=0,"",IF(OR(AND(C1003&lt;&gt;"Servicio",C1003&lt;&gt;"Cobro",C1003&lt;&gt;"Anticipo",C1003&lt;&gt;"Aplicación anticipo",C1003&lt;&gt;"Retención ISR",C1003&lt;&gt;"Retención IVA"),AND(C1003="Servicio",F1003&lt;&gt;"TMS",F1003&lt;&gt;"Valoración",F1003&lt;&gt;"EEG",F1003&lt;&gt;"Neurofeedback",F1003&lt;&gt;"Fotobiomodulación",F1003&lt;&gt;"Psicoterapia",F1003&lt;&gt;"Otros")),"Tipo o categoría inválido",IF(COUNTA(A1003:J1003)=0,"",IF(OR(A1003="",B1003="",C1003="",G1003=""),"Faltan datos",IF(COUNTIF($A$7:$A$2006,A1003)&gt;1,"ID duplicado",IF(OR(B1003&lt;DATE(Configuración!$C$5,1,1),B1003&gt;=DATE(Configuración!$C$5+1,1,1)),"Fecha fuera del año",IF(OR(G1003&lt;0,H1003&lt;0),"Revisar signo",IF(AND(C1003&lt;&gt;"Servicio",H1003&lt;&gt;0),"IVA solo en Servicio",IF(AND(C1003="Servicio",F1003=""),"Falta servicio","OK")))))))))</f>
        <v/>
      </c>
    </row>
    <row r="1004" spans="1:12" ht="22" customHeight="1">
      <c r="A1004" s="3"/>
      <c r="B1004" s="7"/>
      <c r="C1004" s="3"/>
      <c r="D1004" s="3"/>
      <c r="E1004" s="3"/>
      <c r="F1004" s="3"/>
      <c r="G1004" s="4"/>
      <c r="H1004" s="4"/>
      <c r="I1004" s="3"/>
      <c r="J1004" s="3"/>
      <c r="K1004" s="8" t="str">
        <f t="shared" si="15"/>
        <v/>
      </c>
      <c r="L1004" s="1" t="str">
        <f>IF(COUNTA(A1004:J1004)=0,"",IF(OR(AND(C1004&lt;&gt;"Servicio",C1004&lt;&gt;"Cobro",C1004&lt;&gt;"Anticipo",C1004&lt;&gt;"Aplicación anticipo",C1004&lt;&gt;"Retención ISR",C1004&lt;&gt;"Retención IVA"),AND(C1004="Servicio",F1004&lt;&gt;"TMS",F1004&lt;&gt;"Valoración",F1004&lt;&gt;"EEG",F1004&lt;&gt;"Neurofeedback",F1004&lt;&gt;"Fotobiomodulación",F1004&lt;&gt;"Psicoterapia",F1004&lt;&gt;"Otros")),"Tipo o categoría inválido",IF(COUNTA(A1004:J1004)=0,"",IF(OR(A1004="",B1004="",C1004="",G1004=""),"Faltan datos",IF(COUNTIF($A$7:$A$2006,A1004)&gt;1,"ID duplicado",IF(OR(B1004&lt;DATE(Configuración!$C$5,1,1),B1004&gt;=DATE(Configuración!$C$5+1,1,1)),"Fecha fuera del año",IF(OR(G1004&lt;0,H1004&lt;0),"Revisar signo",IF(AND(C1004&lt;&gt;"Servicio",H1004&lt;&gt;0),"IVA solo en Servicio",IF(AND(C1004="Servicio",F1004=""),"Falta servicio","OK")))))))))</f>
        <v/>
      </c>
    </row>
    <row r="1005" spans="1:12" ht="22" customHeight="1">
      <c r="A1005" s="3"/>
      <c r="B1005" s="7"/>
      <c r="C1005" s="3"/>
      <c r="D1005" s="3"/>
      <c r="E1005" s="3"/>
      <c r="F1005" s="3"/>
      <c r="G1005" s="4"/>
      <c r="H1005" s="4"/>
      <c r="I1005" s="3"/>
      <c r="J1005" s="3"/>
      <c r="K1005" s="8" t="str">
        <f t="shared" si="15"/>
        <v/>
      </c>
      <c r="L1005" s="1" t="str">
        <f>IF(COUNTA(A1005:J1005)=0,"",IF(OR(AND(C1005&lt;&gt;"Servicio",C1005&lt;&gt;"Cobro",C1005&lt;&gt;"Anticipo",C1005&lt;&gt;"Aplicación anticipo",C1005&lt;&gt;"Retención ISR",C1005&lt;&gt;"Retención IVA"),AND(C1005="Servicio",F1005&lt;&gt;"TMS",F1005&lt;&gt;"Valoración",F1005&lt;&gt;"EEG",F1005&lt;&gt;"Neurofeedback",F1005&lt;&gt;"Fotobiomodulación",F1005&lt;&gt;"Psicoterapia",F1005&lt;&gt;"Otros")),"Tipo o categoría inválido",IF(COUNTA(A1005:J1005)=0,"",IF(OR(A1005="",B1005="",C1005="",G1005=""),"Faltan datos",IF(COUNTIF($A$7:$A$2006,A1005)&gt;1,"ID duplicado",IF(OR(B1005&lt;DATE(Configuración!$C$5,1,1),B1005&gt;=DATE(Configuración!$C$5+1,1,1)),"Fecha fuera del año",IF(OR(G1005&lt;0,H1005&lt;0),"Revisar signo",IF(AND(C1005&lt;&gt;"Servicio",H1005&lt;&gt;0),"IVA solo en Servicio",IF(AND(C1005="Servicio",F1005=""),"Falta servicio","OK")))))))))</f>
        <v/>
      </c>
    </row>
    <row r="1006" spans="1:12" ht="22" customHeight="1">
      <c r="A1006" s="3"/>
      <c r="B1006" s="7"/>
      <c r="C1006" s="3"/>
      <c r="D1006" s="3"/>
      <c r="E1006" s="3"/>
      <c r="F1006" s="3"/>
      <c r="G1006" s="4"/>
      <c r="H1006" s="4"/>
      <c r="I1006" s="3"/>
      <c r="J1006" s="3"/>
      <c r="K1006" s="8" t="str">
        <f t="shared" si="15"/>
        <v/>
      </c>
      <c r="L1006" s="1" t="str">
        <f>IF(COUNTA(A1006:J1006)=0,"",IF(OR(AND(C1006&lt;&gt;"Servicio",C1006&lt;&gt;"Cobro",C1006&lt;&gt;"Anticipo",C1006&lt;&gt;"Aplicación anticipo",C1006&lt;&gt;"Retención ISR",C1006&lt;&gt;"Retención IVA"),AND(C1006="Servicio",F1006&lt;&gt;"TMS",F1006&lt;&gt;"Valoración",F1006&lt;&gt;"EEG",F1006&lt;&gt;"Neurofeedback",F1006&lt;&gt;"Fotobiomodulación",F1006&lt;&gt;"Psicoterapia",F1006&lt;&gt;"Otros")),"Tipo o categoría inválido",IF(COUNTA(A1006:J1006)=0,"",IF(OR(A1006="",B1006="",C1006="",G1006=""),"Faltan datos",IF(COUNTIF($A$7:$A$2006,A1006)&gt;1,"ID duplicado",IF(OR(B1006&lt;DATE(Configuración!$C$5,1,1),B1006&gt;=DATE(Configuración!$C$5+1,1,1)),"Fecha fuera del año",IF(OR(G1006&lt;0,H1006&lt;0),"Revisar signo",IF(AND(C1006&lt;&gt;"Servicio",H1006&lt;&gt;0),"IVA solo en Servicio",IF(AND(C1006="Servicio",F1006=""),"Falta servicio","OK")))))))))</f>
        <v/>
      </c>
    </row>
    <row r="1007" spans="1:12" ht="22" customHeight="1">
      <c r="A1007" s="3"/>
      <c r="B1007" s="7"/>
      <c r="C1007" s="3"/>
      <c r="D1007" s="3"/>
      <c r="E1007" s="3"/>
      <c r="F1007" s="3"/>
      <c r="G1007" s="4"/>
      <c r="H1007" s="4"/>
      <c r="I1007" s="3"/>
      <c r="J1007" s="3"/>
      <c r="K1007" s="8" t="str">
        <f t="shared" si="15"/>
        <v/>
      </c>
      <c r="L1007" s="1" t="str">
        <f>IF(COUNTA(A1007:J1007)=0,"",IF(OR(AND(C1007&lt;&gt;"Servicio",C1007&lt;&gt;"Cobro",C1007&lt;&gt;"Anticipo",C1007&lt;&gt;"Aplicación anticipo",C1007&lt;&gt;"Retención ISR",C1007&lt;&gt;"Retención IVA"),AND(C1007="Servicio",F1007&lt;&gt;"TMS",F1007&lt;&gt;"Valoración",F1007&lt;&gt;"EEG",F1007&lt;&gt;"Neurofeedback",F1007&lt;&gt;"Fotobiomodulación",F1007&lt;&gt;"Psicoterapia",F1007&lt;&gt;"Otros")),"Tipo o categoría inválido",IF(COUNTA(A1007:J1007)=0,"",IF(OR(A1007="",B1007="",C1007="",G1007=""),"Faltan datos",IF(COUNTIF($A$7:$A$2006,A1007)&gt;1,"ID duplicado",IF(OR(B1007&lt;DATE(Configuración!$C$5,1,1),B1007&gt;=DATE(Configuración!$C$5+1,1,1)),"Fecha fuera del año",IF(OR(G1007&lt;0,H1007&lt;0),"Revisar signo",IF(AND(C1007&lt;&gt;"Servicio",H1007&lt;&gt;0),"IVA solo en Servicio",IF(AND(C1007="Servicio",F1007=""),"Falta servicio","OK")))))))))</f>
        <v/>
      </c>
    </row>
    <row r="1008" spans="1:12" ht="22" customHeight="1">
      <c r="A1008" s="3"/>
      <c r="B1008" s="7"/>
      <c r="C1008" s="3"/>
      <c r="D1008" s="3"/>
      <c r="E1008" s="3"/>
      <c r="F1008" s="3"/>
      <c r="G1008" s="4"/>
      <c r="H1008" s="4"/>
      <c r="I1008" s="3"/>
      <c r="J1008" s="3"/>
      <c r="K1008" s="8" t="str">
        <f t="shared" si="15"/>
        <v/>
      </c>
      <c r="L1008" s="1" t="str">
        <f>IF(COUNTA(A1008:J1008)=0,"",IF(OR(AND(C1008&lt;&gt;"Servicio",C1008&lt;&gt;"Cobro",C1008&lt;&gt;"Anticipo",C1008&lt;&gt;"Aplicación anticipo",C1008&lt;&gt;"Retención ISR",C1008&lt;&gt;"Retención IVA"),AND(C1008="Servicio",F1008&lt;&gt;"TMS",F1008&lt;&gt;"Valoración",F1008&lt;&gt;"EEG",F1008&lt;&gt;"Neurofeedback",F1008&lt;&gt;"Fotobiomodulación",F1008&lt;&gt;"Psicoterapia",F1008&lt;&gt;"Otros")),"Tipo o categoría inválido",IF(COUNTA(A1008:J1008)=0,"",IF(OR(A1008="",B1008="",C1008="",G1008=""),"Faltan datos",IF(COUNTIF($A$7:$A$2006,A1008)&gt;1,"ID duplicado",IF(OR(B1008&lt;DATE(Configuración!$C$5,1,1),B1008&gt;=DATE(Configuración!$C$5+1,1,1)),"Fecha fuera del año",IF(OR(G1008&lt;0,H1008&lt;0),"Revisar signo",IF(AND(C1008&lt;&gt;"Servicio",H1008&lt;&gt;0),"IVA solo en Servicio",IF(AND(C1008="Servicio",F1008=""),"Falta servicio","OK")))))))))</f>
        <v/>
      </c>
    </row>
    <row r="1009" spans="1:12" ht="22" customHeight="1">
      <c r="A1009" s="3"/>
      <c r="B1009" s="7"/>
      <c r="C1009" s="3"/>
      <c r="D1009" s="3"/>
      <c r="E1009" s="3"/>
      <c r="F1009" s="3"/>
      <c r="G1009" s="4"/>
      <c r="H1009" s="4"/>
      <c r="I1009" s="3"/>
      <c r="J1009" s="3"/>
      <c r="K1009" s="8" t="str">
        <f t="shared" si="15"/>
        <v/>
      </c>
      <c r="L1009" s="1" t="str">
        <f>IF(COUNTA(A1009:J1009)=0,"",IF(OR(AND(C1009&lt;&gt;"Servicio",C1009&lt;&gt;"Cobro",C1009&lt;&gt;"Anticipo",C1009&lt;&gt;"Aplicación anticipo",C1009&lt;&gt;"Retención ISR",C1009&lt;&gt;"Retención IVA"),AND(C1009="Servicio",F1009&lt;&gt;"TMS",F1009&lt;&gt;"Valoración",F1009&lt;&gt;"EEG",F1009&lt;&gt;"Neurofeedback",F1009&lt;&gt;"Fotobiomodulación",F1009&lt;&gt;"Psicoterapia",F1009&lt;&gt;"Otros")),"Tipo o categoría inválido",IF(COUNTA(A1009:J1009)=0,"",IF(OR(A1009="",B1009="",C1009="",G1009=""),"Faltan datos",IF(COUNTIF($A$7:$A$2006,A1009)&gt;1,"ID duplicado",IF(OR(B1009&lt;DATE(Configuración!$C$5,1,1),B1009&gt;=DATE(Configuración!$C$5+1,1,1)),"Fecha fuera del año",IF(OR(G1009&lt;0,H1009&lt;0),"Revisar signo",IF(AND(C1009&lt;&gt;"Servicio",H1009&lt;&gt;0),"IVA solo en Servicio",IF(AND(C1009="Servicio",F1009=""),"Falta servicio","OK")))))))))</f>
        <v/>
      </c>
    </row>
    <row r="1010" spans="1:12" ht="22" customHeight="1">
      <c r="A1010" s="3"/>
      <c r="B1010" s="7"/>
      <c r="C1010" s="3"/>
      <c r="D1010" s="3"/>
      <c r="E1010" s="3"/>
      <c r="F1010" s="3"/>
      <c r="G1010" s="4"/>
      <c r="H1010" s="4"/>
      <c r="I1010" s="3"/>
      <c r="J1010" s="3"/>
      <c r="K1010" s="8" t="str">
        <f t="shared" si="15"/>
        <v/>
      </c>
      <c r="L1010" s="1" t="str">
        <f>IF(COUNTA(A1010:J1010)=0,"",IF(OR(AND(C1010&lt;&gt;"Servicio",C1010&lt;&gt;"Cobro",C1010&lt;&gt;"Anticipo",C1010&lt;&gt;"Aplicación anticipo",C1010&lt;&gt;"Retención ISR",C1010&lt;&gt;"Retención IVA"),AND(C1010="Servicio",F1010&lt;&gt;"TMS",F1010&lt;&gt;"Valoración",F1010&lt;&gt;"EEG",F1010&lt;&gt;"Neurofeedback",F1010&lt;&gt;"Fotobiomodulación",F1010&lt;&gt;"Psicoterapia",F1010&lt;&gt;"Otros")),"Tipo o categoría inválido",IF(COUNTA(A1010:J1010)=0,"",IF(OR(A1010="",B1010="",C1010="",G1010=""),"Faltan datos",IF(COUNTIF($A$7:$A$2006,A1010)&gt;1,"ID duplicado",IF(OR(B1010&lt;DATE(Configuración!$C$5,1,1),B1010&gt;=DATE(Configuración!$C$5+1,1,1)),"Fecha fuera del año",IF(OR(G1010&lt;0,H1010&lt;0),"Revisar signo",IF(AND(C1010&lt;&gt;"Servicio",H1010&lt;&gt;0),"IVA solo en Servicio",IF(AND(C1010="Servicio",F1010=""),"Falta servicio","OK")))))))))</f>
        <v/>
      </c>
    </row>
    <row r="1011" spans="1:12" ht="22" customHeight="1">
      <c r="A1011" s="3"/>
      <c r="B1011" s="7"/>
      <c r="C1011" s="3"/>
      <c r="D1011" s="3"/>
      <c r="E1011" s="3"/>
      <c r="F1011" s="3"/>
      <c r="G1011" s="4"/>
      <c r="H1011" s="4"/>
      <c r="I1011" s="3"/>
      <c r="J1011" s="3"/>
      <c r="K1011" s="8" t="str">
        <f t="shared" si="15"/>
        <v/>
      </c>
      <c r="L1011" s="1" t="str">
        <f>IF(COUNTA(A1011:J1011)=0,"",IF(OR(AND(C1011&lt;&gt;"Servicio",C1011&lt;&gt;"Cobro",C1011&lt;&gt;"Anticipo",C1011&lt;&gt;"Aplicación anticipo",C1011&lt;&gt;"Retención ISR",C1011&lt;&gt;"Retención IVA"),AND(C1011="Servicio",F1011&lt;&gt;"TMS",F1011&lt;&gt;"Valoración",F1011&lt;&gt;"EEG",F1011&lt;&gt;"Neurofeedback",F1011&lt;&gt;"Fotobiomodulación",F1011&lt;&gt;"Psicoterapia",F1011&lt;&gt;"Otros")),"Tipo o categoría inválido",IF(COUNTA(A1011:J1011)=0,"",IF(OR(A1011="",B1011="",C1011="",G1011=""),"Faltan datos",IF(COUNTIF($A$7:$A$2006,A1011)&gt;1,"ID duplicado",IF(OR(B1011&lt;DATE(Configuración!$C$5,1,1),B1011&gt;=DATE(Configuración!$C$5+1,1,1)),"Fecha fuera del año",IF(OR(G1011&lt;0,H1011&lt;0),"Revisar signo",IF(AND(C1011&lt;&gt;"Servicio",H1011&lt;&gt;0),"IVA solo en Servicio",IF(AND(C1011="Servicio",F1011=""),"Falta servicio","OK")))))))))</f>
        <v/>
      </c>
    </row>
    <row r="1012" spans="1:12" ht="22" customHeight="1">
      <c r="A1012" s="3"/>
      <c r="B1012" s="7"/>
      <c r="C1012" s="3"/>
      <c r="D1012" s="3"/>
      <c r="E1012" s="3"/>
      <c r="F1012" s="3"/>
      <c r="G1012" s="4"/>
      <c r="H1012" s="4"/>
      <c r="I1012" s="3"/>
      <c r="J1012" s="3"/>
      <c r="K1012" s="8" t="str">
        <f t="shared" si="15"/>
        <v/>
      </c>
      <c r="L1012" s="1" t="str">
        <f>IF(COUNTA(A1012:J1012)=0,"",IF(OR(AND(C1012&lt;&gt;"Servicio",C1012&lt;&gt;"Cobro",C1012&lt;&gt;"Anticipo",C1012&lt;&gt;"Aplicación anticipo",C1012&lt;&gt;"Retención ISR",C1012&lt;&gt;"Retención IVA"),AND(C1012="Servicio",F1012&lt;&gt;"TMS",F1012&lt;&gt;"Valoración",F1012&lt;&gt;"EEG",F1012&lt;&gt;"Neurofeedback",F1012&lt;&gt;"Fotobiomodulación",F1012&lt;&gt;"Psicoterapia",F1012&lt;&gt;"Otros")),"Tipo o categoría inválido",IF(COUNTA(A1012:J1012)=0,"",IF(OR(A1012="",B1012="",C1012="",G1012=""),"Faltan datos",IF(COUNTIF($A$7:$A$2006,A1012)&gt;1,"ID duplicado",IF(OR(B1012&lt;DATE(Configuración!$C$5,1,1),B1012&gt;=DATE(Configuración!$C$5+1,1,1)),"Fecha fuera del año",IF(OR(G1012&lt;0,H1012&lt;0),"Revisar signo",IF(AND(C1012&lt;&gt;"Servicio",H1012&lt;&gt;0),"IVA solo en Servicio",IF(AND(C1012="Servicio",F1012=""),"Falta servicio","OK")))))))))</f>
        <v/>
      </c>
    </row>
    <row r="1013" spans="1:12" ht="22" customHeight="1">
      <c r="A1013" s="3"/>
      <c r="B1013" s="7"/>
      <c r="C1013" s="3"/>
      <c r="D1013" s="3"/>
      <c r="E1013" s="3"/>
      <c r="F1013" s="3"/>
      <c r="G1013" s="4"/>
      <c r="H1013" s="4"/>
      <c r="I1013" s="3"/>
      <c r="J1013" s="3"/>
      <c r="K1013" s="8" t="str">
        <f t="shared" si="15"/>
        <v/>
      </c>
      <c r="L1013" s="1" t="str">
        <f>IF(COUNTA(A1013:J1013)=0,"",IF(OR(AND(C1013&lt;&gt;"Servicio",C1013&lt;&gt;"Cobro",C1013&lt;&gt;"Anticipo",C1013&lt;&gt;"Aplicación anticipo",C1013&lt;&gt;"Retención ISR",C1013&lt;&gt;"Retención IVA"),AND(C1013="Servicio",F1013&lt;&gt;"TMS",F1013&lt;&gt;"Valoración",F1013&lt;&gt;"EEG",F1013&lt;&gt;"Neurofeedback",F1013&lt;&gt;"Fotobiomodulación",F1013&lt;&gt;"Psicoterapia",F1013&lt;&gt;"Otros")),"Tipo o categoría inválido",IF(COUNTA(A1013:J1013)=0,"",IF(OR(A1013="",B1013="",C1013="",G1013=""),"Faltan datos",IF(COUNTIF($A$7:$A$2006,A1013)&gt;1,"ID duplicado",IF(OR(B1013&lt;DATE(Configuración!$C$5,1,1),B1013&gt;=DATE(Configuración!$C$5+1,1,1)),"Fecha fuera del año",IF(OR(G1013&lt;0,H1013&lt;0),"Revisar signo",IF(AND(C1013&lt;&gt;"Servicio",H1013&lt;&gt;0),"IVA solo en Servicio",IF(AND(C1013="Servicio",F1013=""),"Falta servicio","OK")))))))))</f>
        <v/>
      </c>
    </row>
    <row r="1014" spans="1:12" ht="22" customHeight="1">
      <c r="A1014" s="3"/>
      <c r="B1014" s="7"/>
      <c r="C1014" s="3"/>
      <c r="D1014" s="3"/>
      <c r="E1014" s="3"/>
      <c r="F1014" s="3"/>
      <c r="G1014" s="4"/>
      <c r="H1014" s="4"/>
      <c r="I1014" s="3"/>
      <c r="J1014" s="3"/>
      <c r="K1014" s="8" t="str">
        <f t="shared" si="15"/>
        <v/>
      </c>
      <c r="L1014" s="1" t="str">
        <f>IF(COUNTA(A1014:J1014)=0,"",IF(OR(AND(C1014&lt;&gt;"Servicio",C1014&lt;&gt;"Cobro",C1014&lt;&gt;"Anticipo",C1014&lt;&gt;"Aplicación anticipo",C1014&lt;&gt;"Retención ISR",C1014&lt;&gt;"Retención IVA"),AND(C1014="Servicio",F1014&lt;&gt;"TMS",F1014&lt;&gt;"Valoración",F1014&lt;&gt;"EEG",F1014&lt;&gt;"Neurofeedback",F1014&lt;&gt;"Fotobiomodulación",F1014&lt;&gt;"Psicoterapia",F1014&lt;&gt;"Otros")),"Tipo o categoría inválido",IF(COUNTA(A1014:J1014)=0,"",IF(OR(A1014="",B1014="",C1014="",G1014=""),"Faltan datos",IF(COUNTIF($A$7:$A$2006,A1014)&gt;1,"ID duplicado",IF(OR(B1014&lt;DATE(Configuración!$C$5,1,1),B1014&gt;=DATE(Configuración!$C$5+1,1,1)),"Fecha fuera del año",IF(OR(G1014&lt;0,H1014&lt;0),"Revisar signo",IF(AND(C1014&lt;&gt;"Servicio",H1014&lt;&gt;0),"IVA solo en Servicio",IF(AND(C1014="Servicio",F1014=""),"Falta servicio","OK")))))))))</f>
        <v/>
      </c>
    </row>
    <row r="1015" spans="1:12" ht="22" customHeight="1">
      <c r="A1015" s="3"/>
      <c r="B1015" s="7"/>
      <c r="C1015" s="3"/>
      <c r="D1015" s="3"/>
      <c r="E1015" s="3"/>
      <c r="F1015" s="3"/>
      <c r="G1015" s="4"/>
      <c r="H1015" s="4"/>
      <c r="I1015" s="3"/>
      <c r="J1015" s="3"/>
      <c r="K1015" s="8" t="str">
        <f t="shared" si="15"/>
        <v/>
      </c>
      <c r="L1015" s="1" t="str">
        <f>IF(COUNTA(A1015:J1015)=0,"",IF(OR(AND(C1015&lt;&gt;"Servicio",C1015&lt;&gt;"Cobro",C1015&lt;&gt;"Anticipo",C1015&lt;&gt;"Aplicación anticipo",C1015&lt;&gt;"Retención ISR",C1015&lt;&gt;"Retención IVA"),AND(C1015="Servicio",F1015&lt;&gt;"TMS",F1015&lt;&gt;"Valoración",F1015&lt;&gt;"EEG",F1015&lt;&gt;"Neurofeedback",F1015&lt;&gt;"Fotobiomodulación",F1015&lt;&gt;"Psicoterapia",F1015&lt;&gt;"Otros")),"Tipo o categoría inválido",IF(COUNTA(A1015:J1015)=0,"",IF(OR(A1015="",B1015="",C1015="",G1015=""),"Faltan datos",IF(COUNTIF($A$7:$A$2006,A1015)&gt;1,"ID duplicado",IF(OR(B1015&lt;DATE(Configuración!$C$5,1,1),B1015&gt;=DATE(Configuración!$C$5+1,1,1)),"Fecha fuera del año",IF(OR(G1015&lt;0,H1015&lt;0),"Revisar signo",IF(AND(C1015&lt;&gt;"Servicio",H1015&lt;&gt;0),"IVA solo en Servicio",IF(AND(C1015="Servicio",F1015=""),"Falta servicio","OK")))))))))</f>
        <v/>
      </c>
    </row>
    <row r="1016" spans="1:12" ht="22" customHeight="1">
      <c r="A1016" s="3"/>
      <c r="B1016" s="7"/>
      <c r="C1016" s="3"/>
      <c r="D1016" s="3"/>
      <c r="E1016" s="3"/>
      <c r="F1016" s="3"/>
      <c r="G1016" s="4"/>
      <c r="H1016" s="4"/>
      <c r="I1016" s="3"/>
      <c r="J1016" s="3"/>
      <c r="K1016" s="8" t="str">
        <f t="shared" si="15"/>
        <v/>
      </c>
      <c r="L1016" s="1" t="str">
        <f>IF(COUNTA(A1016:J1016)=0,"",IF(OR(AND(C1016&lt;&gt;"Servicio",C1016&lt;&gt;"Cobro",C1016&lt;&gt;"Anticipo",C1016&lt;&gt;"Aplicación anticipo",C1016&lt;&gt;"Retención ISR",C1016&lt;&gt;"Retención IVA"),AND(C1016="Servicio",F1016&lt;&gt;"TMS",F1016&lt;&gt;"Valoración",F1016&lt;&gt;"EEG",F1016&lt;&gt;"Neurofeedback",F1016&lt;&gt;"Fotobiomodulación",F1016&lt;&gt;"Psicoterapia",F1016&lt;&gt;"Otros")),"Tipo o categoría inválido",IF(COUNTA(A1016:J1016)=0,"",IF(OR(A1016="",B1016="",C1016="",G1016=""),"Faltan datos",IF(COUNTIF($A$7:$A$2006,A1016)&gt;1,"ID duplicado",IF(OR(B1016&lt;DATE(Configuración!$C$5,1,1),B1016&gt;=DATE(Configuración!$C$5+1,1,1)),"Fecha fuera del año",IF(OR(G1016&lt;0,H1016&lt;0),"Revisar signo",IF(AND(C1016&lt;&gt;"Servicio",H1016&lt;&gt;0),"IVA solo en Servicio",IF(AND(C1016="Servicio",F1016=""),"Falta servicio","OK")))))))))</f>
        <v/>
      </c>
    </row>
    <row r="1017" spans="1:12" ht="22" customHeight="1">
      <c r="A1017" s="3"/>
      <c r="B1017" s="7"/>
      <c r="C1017" s="3"/>
      <c r="D1017" s="3"/>
      <c r="E1017" s="3"/>
      <c r="F1017" s="3"/>
      <c r="G1017" s="4"/>
      <c r="H1017" s="4"/>
      <c r="I1017" s="3"/>
      <c r="J1017" s="3"/>
      <c r="K1017" s="8" t="str">
        <f t="shared" si="15"/>
        <v/>
      </c>
      <c r="L1017" s="1" t="str">
        <f>IF(COUNTA(A1017:J1017)=0,"",IF(OR(AND(C1017&lt;&gt;"Servicio",C1017&lt;&gt;"Cobro",C1017&lt;&gt;"Anticipo",C1017&lt;&gt;"Aplicación anticipo",C1017&lt;&gt;"Retención ISR",C1017&lt;&gt;"Retención IVA"),AND(C1017="Servicio",F1017&lt;&gt;"TMS",F1017&lt;&gt;"Valoración",F1017&lt;&gt;"EEG",F1017&lt;&gt;"Neurofeedback",F1017&lt;&gt;"Fotobiomodulación",F1017&lt;&gt;"Psicoterapia",F1017&lt;&gt;"Otros")),"Tipo o categoría inválido",IF(COUNTA(A1017:J1017)=0,"",IF(OR(A1017="",B1017="",C1017="",G1017=""),"Faltan datos",IF(COUNTIF($A$7:$A$2006,A1017)&gt;1,"ID duplicado",IF(OR(B1017&lt;DATE(Configuración!$C$5,1,1),B1017&gt;=DATE(Configuración!$C$5+1,1,1)),"Fecha fuera del año",IF(OR(G1017&lt;0,H1017&lt;0),"Revisar signo",IF(AND(C1017&lt;&gt;"Servicio",H1017&lt;&gt;0),"IVA solo en Servicio",IF(AND(C1017="Servicio",F1017=""),"Falta servicio","OK")))))))))</f>
        <v/>
      </c>
    </row>
    <row r="1018" spans="1:12" ht="22" customHeight="1">
      <c r="A1018" s="3"/>
      <c r="B1018" s="7"/>
      <c r="C1018" s="3"/>
      <c r="D1018" s="3"/>
      <c r="E1018" s="3"/>
      <c r="F1018" s="3"/>
      <c r="G1018" s="4"/>
      <c r="H1018" s="4"/>
      <c r="I1018" s="3"/>
      <c r="J1018" s="3"/>
      <c r="K1018" s="8" t="str">
        <f t="shared" si="15"/>
        <v/>
      </c>
      <c r="L1018" s="1" t="str">
        <f>IF(COUNTA(A1018:J1018)=0,"",IF(OR(AND(C1018&lt;&gt;"Servicio",C1018&lt;&gt;"Cobro",C1018&lt;&gt;"Anticipo",C1018&lt;&gt;"Aplicación anticipo",C1018&lt;&gt;"Retención ISR",C1018&lt;&gt;"Retención IVA"),AND(C1018="Servicio",F1018&lt;&gt;"TMS",F1018&lt;&gt;"Valoración",F1018&lt;&gt;"EEG",F1018&lt;&gt;"Neurofeedback",F1018&lt;&gt;"Fotobiomodulación",F1018&lt;&gt;"Psicoterapia",F1018&lt;&gt;"Otros")),"Tipo o categoría inválido",IF(COUNTA(A1018:J1018)=0,"",IF(OR(A1018="",B1018="",C1018="",G1018=""),"Faltan datos",IF(COUNTIF($A$7:$A$2006,A1018)&gt;1,"ID duplicado",IF(OR(B1018&lt;DATE(Configuración!$C$5,1,1),B1018&gt;=DATE(Configuración!$C$5+1,1,1)),"Fecha fuera del año",IF(OR(G1018&lt;0,H1018&lt;0),"Revisar signo",IF(AND(C1018&lt;&gt;"Servicio",H1018&lt;&gt;0),"IVA solo en Servicio",IF(AND(C1018="Servicio",F1018=""),"Falta servicio","OK")))))))))</f>
        <v/>
      </c>
    </row>
    <row r="1019" spans="1:12" ht="22" customHeight="1">
      <c r="A1019" s="3"/>
      <c r="B1019" s="7"/>
      <c r="C1019" s="3"/>
      <c r="D1019" s="3"/>
      <c r="E1019" s="3"/>
      <c r="F1019" s="3"/>
      <c r="G1019" s="4"/>
      <c r="H1019" s="4"/>
      <c r="I1019" s="3"/>
      <c r="J1019" s="3"/>
      <c r="K1019" s="8" t="str">
        <f t="shared" si="15"/>
        <v/>
      </c>
      <c r="L1019" s="1" t="str">
        <f>IF(COUNTA(A1019:J1019)=0,"",IF(OR(AND(C1019&lt;&gt;"Servicio",C1019&lt;&gt;"Cobro",C1019&lt;&gt;"Anticipo",C1019&lt;&gt;"Aplicación anticipo",C1019&lt;&gt;"Retención ISR",C1019&lt;&gt;"Retención IVA"),AND(C1019="Servicio",F1019&lt;&gt;"TMS",F1019&lt;&gt;"Valoración",F1019&lt;&gt;"EEG",F1019&lt;&gt;"Neurofeedback",F1019&lt;&gt;"Fotobiomodulación",F1019&lt;&gt;"Psicoterapia",F1019&lt;&gt;"Otros")),"Tipo o categoría inválido",IF(COUNTA(A1019:J1019)=0,"",IF(OR(A1019="",B1019="",C1019="",G1019=""),"Faltan datos",IF(COUNTIF($A$7:$A$2006,A1019)&gt;1,"ID duplicado",IF(OR(B1019&lt;DATE(Configuración!$C$5,1,1),B1019&gt;=DATE(Configuración!$C$5+1,1,1)),"Fecha fuera del año",IF(OR(G1019&lt;0,H1019&lt;0),"Revisar signo",IF(AND(C1019&lt;&gt;"Servicio",H1019&lt;&gt;0),"IVA solo en Servicio",IF(AND(C1019="Servicio",F1019=""),"Falta servicio","OK")))))))))</f>
        <v/>
      </c>
    </row>
    <row r="1020" spans="1:12" ht="22" customHeight="1">
      <c r="A1020" s="3"/>
      <c r="B1020" s="7"/>
      <c r="C1020" s="3"/>
      <c r="D1020" s="3"/>
      <c r="E1020" s="3"/>
      <c r="F1020" s="3"/>
      <c r="G1020" s="4"/>
      <c r="H1020" s="4"/>
      <c r="I1020" s="3"/>
      <c r="J1020" s="3"/>
      <c r="K1020" s="8" t="str">
        <f t="shared" si="15"/>
        <v/>
      </c>
      <c r="L1020" s="1" t="str">
        <f>IF(COUNTA(A1020:J1020)=0,"",IF(OR(AND(C1020&lt;&gt;"Servicio",C1020&lt;&gt;"Cobro",C1020&lt;&gt;"Anticipo",C1020&lt;&gt;"Aplicación anticipo",C1020&lt;&gt;"Retención ISR",C1020&lt;&gt;"Retención IVA"),AND(C1020="Servicio",F1020&lt;&gt;"TMS",F1020&lt;&gt;"Valoración",F1020&lt;&gt;"EEG",F1020&lt;&gt;"Neurofeedback",F1020&lt;&gt;"Fotobiomodulación",F1020&lt;&gt;"Psicoterapia",F1020&lt;&gt;"Otros")),"Tipo o categoría inválido",IF(COUNTA(A1020:J1020)=0,"",IF(OR(A1020="",B1020="",C1020="",G1020=""),"Faltan datos",IF(COUNTIF($A$7:$A$2006,A1020)&gt;1,"ID duplicado",IF(OR(B1020&lt;DATE(Configuración!$C$5,1,1),B1020&gt;=DATE(Configuración!$C$5+1,1,1)),"Fecha fuera del año",IF(OR(G1020&lt;0,H1020&lt;0),"Revisar signo",IF(AND(C1020&lt;&gt;"Servicio",H1020&lt;&gt;0),"IVA solo en Servicio",IF(AND(C1020="Servicio",F1020=""),"Falta servicio","OK")))))))))</f>
        <v/>
      </c>
    </row>
    <row r="1021" spans="1:12" ht="22" customHeight="1">
      <c r="A1021" s="3"/>
      <c r="B1021" s="7"/>
      <c r="C1021" s="3"/>
      <c r="D1021" s="3"/>
      <c r="E1021" s="3"/>
      <c r="F1021" s="3"/>
      <c r="G1021" s="4"/>
      <c r="H1021" s="4"/>
      <c r="I1021" s="3"/>
      <c r="J1021" s="3"/>
      <c r="K1021" s="8" t="str">
        <f t="shared" si="15"/>
        <v/>
      </c>
      <c r="L1021" s="1" t="str">
        <f>IF(COUNTA(A1021:J1021)=0,"",IF(OR(AND(C1021&lt;&gt;"Servicio",C1021&lt;&gt;"Cobro",C1021&lt;&gt;"Anticipo",C1021&lt;&gt;"Aplicación anticipo",C1021&lt;&gt;"Retención ISR",C1021&lt;&gt;"Retención IVA"),AND(C1021="Servicio",F1021&lt;&gt;"TMS",F1021&lt;&gt;"Valoración",F1021&lt;&gt;"EEG",F1021&lt;&gt;"Neurofeedback",F1021&lt;&gt;"Fotobiomodulación",F1021&lt;&gt;"Psicoterapia",F1021&lt;&gt;"Otros")),"Tipo o categoría inválido",IF(COUNTA(A1021:J1021)=0,"",IF(OR(A1021="",B1021="",C1021="",G1021=""),"Faltan datos",IF(COUNTIF($A$7:$A$2006,A1021)&gt;1,"ID duplicado",IF(OR(B1021&lt;DATE(Configuración!$C$5,1,1),B1021&gt;=DATE(Configuración!$C$5+1,1,1)),"Fecha fuera del año",IF(OR(G1021&lt;0,H1021&lt;0),"Revisar signo",IF(AND(C1021&lt;&gt;"Servicio",H1021&lt;&gt;0),"IVA solo en Servicio",IF(AND(C1021="Servicio",F1021=""),"Falta servicio","OK")))))))))</f>
        <v/>
      </c>
    </row>
    <row r="1022" spans="1:12" ht="22" customHeight="1">
      <c r="A1022" s="3"/>
      <c r="B1022" s="7"/>
      <c r="C1022" s="3"/>
      <c r="D1022" s="3"/>
      <c r="E1022" s="3"/>
      <c r="F1022" s="3"/>
      <c r="G1022" s="4"/>
      <c r="H1022" s="4"/>
      <c r="I1022" s="3"/>
      <c r="J1022" s="3"/>
      <c r="K1022" s="8" t="str">
        <f t="shared" si="15"/>
        <v/>
      </c>
      <c r="L1022" s="1" t="str">
        <f>IF(COUNTA(A1022:J1022)=0,"",IF(OR(AND(C1022&lt;&gt;"Servicio",C1022&lt;&gt;"Cobro",C1022&lt;&gt;"Anticipo",C1022&lt;&gt;"Aplicación anticipo",C1022&lt;&gt;"Retención ISR",C1022&lt;&gt;"Retención IVA"),AND(C1022="Servicio",F1022&lt;&gt;"TMS",F1022&lt;&gt;"Valoración",F1022&lt;&gt;"EEG",F1022&lt;&gt;"Neurofeedback",F1022&lt;&gt;"Fotobiomodulación",F1022&lt;&gt;"Psicoterapia",F1022&lt;&gt;"Otros")),"Tipo o categoría inválido",IF(COUNTA(A1022:J1022)=0,"",IF(OR(A1022="",B1022="",C1022="",G1022=""),"Faltan datos",IF(COUNTIF($A$7:$A$2006,A1022)&gt;1,"ID duplicado",IF(OR(B1022&lt;DATE(Configuración!$C$5,1,1),B1022&gt;=DATE(Configuración!$C$5+1,1,1)),"Fecha fuera del año",IF(OR(G1022&lt;0,H1022&lt;0),"Revisar signo",IF(AND(C1022&lt;&gt;"Servicio",H1022&lt;&gt;0),"IVA solo en Servicio",IF(AND(C1022="Servicio",F1022=""),"Falta servicio","OK")))))))))</f>
        <v/>
      </c>
    </row>
    <row r="1023" spans="1:12" ht="22" customHeight="1">
      <c r="A1023" s="3"/>
      <c r="B1023" s="7"/>
      <c r="C1023" s="3"/>
      <c r="D1023" s="3"/>
      <c r="E1023" s="3"/>
      <c r="F1023" s="3"/>
      <c r="G1023" s="4"/>
      <c r="H1023" s="4"/>
      <c r="I1023" s="3"/>
      <c r="J1023" s="3"/>
      <c r="K1023" s="8" t="str">
        <f t="shared" si="15"/>
        <v/>
      </c>
      <c r="L1023" s="1" t="str">
        <f>IF(COUNTA(A1023:J1023)=0,"",IF(OR(AND(C1023&lt;&gt;"Servicio",C1023&lt;&gt;"Cobro",C1023&lt;&gt;"Anticipo",C1023&lt;&gt;"Aplicación anticipo",C1023&lt;&gt;"Retención ISR",C1023&lt;&gt;"Retención IVA"),AND(C1023="Servicio",F1023&lt;&gt;"TMS",F1023&lt;&gt;"Valoración",F1023&lt;&gt;"EEG",F1023&lt;&gt;"Neurofeedback",F1023&lt;&gt;"Fotobiomodulación",F1023&lt;&gt;"Psicoterapia",F1023&lt;&gt;"Otros")),"Tipo o categoría inválido",IF(COUNTA(A1023:J1023)=0,"",IF(OR(A1023="",B1023="",C1023="",G1023=""),"Faltan datos",IF(COUNTIF($A$7:$A$2006,A1023)&gt;1,"ID duplicado",IF(OR(B1023&lt;DATE(Configuración!$C$5,1,1),B1023&gt;=DATE(Configuración!$C$5+1,1,1)),"Fecha fuera del año",IF(OR(G1023&lt;0,H1023&lt;0),"Revisar signo",IF(AND(C1023&lt;&gt;"Servicio",H1023&lt;&gt;0),"IVA solo en Servicio",IF(AND(C1023="Servicio",F1023=""),"Falta servicio","OK")))))))))</f>
        <v/>
      </c>
    </row>
    <row r="1024" spans="1:12" ht="22" customHeight="1">
      <c r="A1024" s="3"/>
      <c r="B1024" s="7"/>
      <c r="C1024" s="3"/>
      <c r="D1024" s="3"/>
      <c r="E1024" s="3"/>
      <c r="F1024" s="3"/>
      <c r="G1024" s="4"/>
      <c r="H1024" s="4"/>
      <c r="I1024" s="3"/>
      <c r="J1024" s="3"/>
      <c r="K1024" s="8" t="str">
        <f t="shared" si="15"/>
        <v/>
      </c>
      <c r="L1024" s="1" t="str">
        <f>IF(COUNTA(A1024:J1024)=0,"",IF(OR(AND(C1024&lt;&gt;"Servicio",C1024&lt;&gt;"Cobro",C1024&lt;&gt;"Anticipo",C1024&lt;&gt;"Aplicación anticipo",C1024&lt;&gt;"Retención ISR",C1024&lt;&gt;"Retención IVA"),AND(C1024="Servicio",F1024&lt;&gt;"TMS",F1024&lt;&gt;"Valoración",F1024&lt;&gt;"EEG",F1024&lt;&gt;"Neurofeedback",F1024&lt;&gt;"Fotobiomodulación",F1024&lt;&gt;"Psicoterapia",F1024&lt;&gt;"Otros")),"Tipo o categoría inválido",IF(COUNTA(A1024:J1024)=0,"",IF(OR(A1024="",B1024="",C1024="",G1024=""),"Faltan datos",IF(COUNTIF($A$7:$A$2006,A1024)&gt;1,"ID duplicado",IF(OR(B1024&lt;DATE(Configuración!$C$5,1,1),B1024&gt;=DATE(Configuración!$C$5+1,1,1)),"Fecha fuera del año",IF(OR(G1024&lt;0,H1024&lt;0),"Revisar signo",IF(AND(C1024&lt;&gt;"Servicio",H1024&lt;&gt;0),"IVA solo en Servicio",IF(AND(C1024="Servicio",F1024=""),"Falta servicio","OK")))))))))</f>
        <v/>
      </c>
    </row>
    <row r="1025" spans="1:12" ht="22" customHeight="1">
      <c r="A1025" s="3"/>
      <c r="B1025" s="7"/>
      <c r="C1025" s="3"/>
      <c r="D1025" s="3"/>
      <c r="E1025" s="3"/>
      <c r="F1025" s="3"/>
      <c r="G1025" s="4"/>
      <c r="H1025" s="4"/>
      <c r="I1025" s="3"/>
      <c r="J1025" s="3"/>
      <c r="K1025" s="8" t="str">
        <f t="shared" si="15"/>
        <v/>
      </c>
      <c r="L1025" s="1" t="str">
        <f>IF(COUNTA(A1025:J1025)=0,"",IF(OR(AND(C1025&lt;&gt;"Servicio",C1025&lt;&gt;"Cobro",C1025&lt;&gt;"Anticipo",C1025&lt;&gt;"Aplicación anticipo",C1025&lt;&gt;"Retención ISR",C1025&lt;&gt;"Retención IVA"),AND(C1025="Servicio",F1025&lt;&gt;"TMS",F1025&lt;&gt;"Valoración",F1025&lt;&gt;"EEG",F1025&lt;&gt;"Neurofeedback",F1025&lt;&gt;"Fotobiomodulación",F1025&lt;&gt;"Psicoterapia",F1025&lt;&gt;"Otros")),"Tipo o categoría inválido",IF(COUNTA(A1025:J1025)=0,"",IF(OR(A1025="",B1025="",C1025="",G1025=""),"Faltan datos",IF(COUNTIF($A$7:$A$2006,A1025)&gt;1,"ID duplicado",IF(OR(B1025&lt;DATE(Configuración!$C$5,1,1),B1025&gt;=DATE(Configuración!$C$5+1,1,1)),"Fecha fuera del año",IF(OR(G1025&lt;0,H1025&lt;0),"Revisar signo",IF(AND(C1025&lt;&gt;"Servicio",H1025&lt;&gt;0),"IVA solo en Servicio",IF(AND(C1025="Servicio",F1025=""),"Falta servicio","OK")))))))))</f>
        <v/>
      </c>
    </row>
    <row r="1026" spans="1:12" ht="22" customHeight="1">
      <c r="A1026" s="3"/>
      <c r="B1026" s="7"/>
      <c r="C1026" s="3"/>
      <c r="D1026" s="3"/>
      <c r="E1026" s="3"/>
      <c r="F1026" s="3"/>
      <c r="G1026" s="4"/>
      <c r="H1026" s="4"/>
      <c r="I1026" s="3"/>
      <c r="J1026" s="3"/>
      <c r="K1026" s="8" t="str">
        <f t="shared" si="15"/>
        <v/>
      </c>
      <c r="L1026" s="1" t="str">
        <f>IF(COUNTA(A1026:J1026)=0,"",IF(OR(AND(C1026&lt;&gt;"Servicio",C1026&lt;&gt;"Cobro",C1026&lt;&gt;"Anticipo",C1026&lt;&gt;"Aplicación anticipo",C1026&lt;&gt;"Retención ISR",C1026&lt;&gt;"Retención IVA"),AND(C1026="Servicio",F1026&lt;&gt;"TMS",F1026&lt;&gt;"Valoración",F1026&lt;&gt;"EEG",F1026&lt;&gt;"Neurofeedback",F1026&lt;&gt;"Fotobiomodulación",F1026&lt;&gt;"Psicoterapia",F1026&lt;&gt;"Otros")),"Tipo o categoría inválido",IF(COUNTA(A1026:J1026)=0,"",IF(OR(A1026="",B1026="",C1026="",G1026=""),"Faltan datos",IF(COUNTIF($A$7:$A$2006,A1026)&gt;1,"ID duplicado",IF(OR(B1026&lt;DATE(Configuración!$C$5,1,1),B1026&gt;=DATE(Configuración!$C$5+1,1,1)),"Fecha fuera del año",IF(OR(G1026&lt;0,H1026&lt;0),"Revisar signo",IF(AND(C1026&lt;&gt;"Servicio",H1026&lt;&gt;0),"IVA solo en Servicio",IF(AND(C1026="Servicio",F1026=""),"Falta servicio","OK")))))))))</f>
        <v/>
      </c>
    </row>
    <row r="1027" spans="1:12" ht="22" customHeight="1">
      <c r="A1027" s="3"/>
      <c r="B1027" s="7"/>
      <c r="C1027" s="3"/>
      <c r="D1027" s="3"/>
      <c r="E1027" s="3"/>
      <c r="F1027" s="3"/>
      <c r="G1027" s="4"/>
      <c r="H1027" s="4"/>
      <c r="I1027" s="3"/>
      <c r="J1027" s="3"/>
      <c r="K1027" s="8" t="str">
        <f t="shared" si="15"/>
        <v/>
      </c>
      <c r="L1027" s="1" t="str">
        <f>IF(COUNTA(A1027:J1027)=0,"",IF(OR(AND(C1027&lt;&gt;"Servicio",C1027&lt;&gt;"Cobro",C1027&lt;&gt;"Anticipo",C1027&lt;&gt;"Aplicación anticipo",C1027&lt;&gt;"Retención ISR",C1027&lt;&gt;"Retención IVA"),AND(C1027="Servicio",F1027&lt;&gt;"TMS",F1027&lt;&gt;"Valoración",F1027&lt;&gt;"EEG",F1027&lt;&gt;"Neurofeedback",F1027&lt;&gt;"Fotobiomodulación",F1027&lt;&gt;"Psicoterapia",F1027&lt;&gt;"Otros")),"Tipo o categoría inválido",IF(COUNTA(A1027:J1027)=0,"",IF(OR(A1027="",B1027="",C1027="",G1027=""),"Faltan datos",IF(COUNTIF($A$7:$A$2006,A1027)&gt;1,"ID duplicado",IF(OR(B1027&lt;DATE(Configuración!$C$5,1,1),B1027&gt;=DATE(Configuración!$C$5+1,1,1)),"Fecha fuera del año",IF(OR(G1027&lt;0,H1027&lt;0),"Revisar signo",IF(AND(C1027&lt;&gt;"Servicio",H1027&lt;&gt;0),"IVA solo en Servicio",IF(AND(C1027="Servicio",F1027=""),"Falta servicio","OK")))))))))</f>
        <v/>
      </c>
    </row>
    <row r="1028" spans="1:12" ht="22" customHeight="1">
      <c r="A1028" s="3"/>
      <c r="B1028" s="7"/>
      <c r="C1028" s="3"/>
      <c r="D1028" s="3"/>
      <c r="E1028" s="3"/>
      <c r="F1028" s="3"/>
      <c r="G1028" s="4"/>
      <c r="H1028" s="4"/>
      <c r="I1028" s="3"/>
      <c r="J1028" s="3"/>
      <c r="K1028" s="8" t="str">
        <f t="shared" si="15"/>
        <v/>
      </c>
      <c r="L1028" s="1" t="str">
        <f>IF(COUNTA(A1028:J1028)=0,"",IF(OR(AND(C1028&lt;&gt;"Servicio",C1028&lt;&gt;"Cobro",C1028&lt;&gt;"Anticipo",C1028&lt;&gt;"Aplicación anticipo",C1028&lt;&gt;"Retención ISR",C1028&lt;&gt;"Retención IVA"),AND(C1028="Servicio",F1028&lt;&gt;"TMS",F1028&lt;&gt;"Valoración",F1028&lt;&gt;"EEG",F1028&lt;&gt;"Neurofeedback",F1028&lt;&gt;"Fotobiomodulación",F1028&lt;&gt;"Psicoterapia",F1028&lt;&gt;"Otros")),"Tipo o categoría inválido",IF(COUNTA(A1028:J1028)=0,"",IF(OR(A1028="",B1028="",C1028="",G1028=""),"Faltan datos",IF(COUNTIF($A$7:$A$2006,A1028)&gt;1,"ID duplicado",IF(OR(B1028&lt;DATE(Configuración!$C$5,1,1),B1028&gt;=DATE(Configuración!$C$5+1,1,1)),"Fecha fuera del año",IF(OR(G1028&lt;0,H1028&lt;0),"Revisar signo",IF(AND(C1028&lt;&gt;"Servicio",H1028&lt;&gt;0),"IVA solo en Servicio",IF(AND(C1028="Servicio",F1028=""),"Falta servicio","OK")))))))))</f>
        <v/>
      </c>
    </row>
    <row r="1029" spans="1:12" ht="22" customHeight="1">
      <c r="A1029" s="3"/>
      <c r="B1029" s="7"/>
      <c r="C1029" s="3"/>
      <c r="D1029" s="3"/>
      <c r="E1029" s="3"/>
      <c r="F1029" s="3"/>
      <c r="G1029" s="4"/>
      <c r="H1029" s="4"/>
      <c r="I1029" s="3"/>
      <c r="J1029" s="3"/>
      <c r="K1029" s="8" t="str">
        <f t="shared" si="15"/>
        <v/>
      </c>
      <c r="L1029" s="1" t="str">
        <f>IF(COUNTA(A1029:J1029)=0,"",IF(OR(AND(C1029&lt;&gt;"Servicio",C1029&lt;&gt;"Cobro",C1029&lt;&gt;"Anticipo",C1029&lt;&gt;"Aplicación anticipo",C1029&lt;&gt;"Retención ISR",C1029&lt;&gt;"Retención IVA"),AND(C1029="Servicio",F1029&lt;&gt;"TMS",F1029&lt;&gt;"Valoración",F1029&lt;&gt;"EEG",F1029&lt;&gt;"Neurofeedback",F1029&lt;&gt;"Fotobiomodulación",F1029&lt;&gt;"Psicoterapia",F1029&lt;&gt;"Otros")),"Tipo o categoría inválido",IF(COUNTA(A1029:J1029)=0,"",IF(OR(A1029="",B1029="",C1029="",G1029=""),"Faltan datos",IF(COUNTIF($A$7:$A$2006,A1029)&gt;1,"ID duplicado",IF(OR(B1029&lt;DATE(Configuración!$C$5,1,1),B1029&gt;=DATE(Configuración!$C$5+1,1,1)),"Fecha fuera del año",IF(OR(G1029&lt;0,H1029&lt;0),"Revisar signo",IF(AND(C1029&lt;&gt;"Servicio",H1029&lt;&gt;0),"IVA solo en Servicio",IF(AND(C1029="Servicio",F1029=""),"Falta servicio","OK")))))))))</f>
        <v/>
      </c>
    </row>
    <row r="1030" spans="1:12" ht="22" customHeight="1">
      <c r="A1030" s="3"/>
      <c r="B1030" s="7"/>
      <c r="C1030" s="3"/>
      <c r="D1030" s="3"/>
      <c r="E1030" s="3"/>
      <c r="F1030" s="3"/>
      <c r="G1030" s="4"/>
      <c r="H1030" s="4"/>
      <c r="I1030" s="3"/>
      <c r="J1030" s="3"/>
      <c r="K1030" s="8" t="str">
        <f t="shared" si="15"/>
        <v/>
      </c>
      <c r="L1030" s="1" t="str">
        <f>IF(COUNTA(A1030:J1030)=0,"",IF(OR(AND(C1030&lt;&gt;"Servicio",C1030&lt;&gt;"Cobro",C1030&lt;&gt;"Anticipo",C1030&lt;&gt;"Aplicación anticipo",C1030&lt;&gt;"Retención ISR",C1030&lt;&gt;"Retención IVA"),AND(C1030="Servicio",F1030&lt;&gt;"TMS",F1030&lt;&gt;"Valoración",F1030&lt;&gt;"EEG",F1030&lt;&gt;"Neurofeedback",F1030&lt;&gt;"Fotobiomodulación",F1030&lt;&gt;"Psicoterapia",F1030&lt;&gt;"Otros")),"Tipo o categoría inválido",IF(COUNTA(A1030:J1030)=0,"",IF(OR(A1030="",B1030="",C1030="",G1030=""),"Faltan datos",IF(COUNTIF($A$7:$A$2006,A1030)&gt;1,"ID duplicado",IF(OR(B1030&lt;DATE(Configuración!$C$5,1,1),B1030&gt;=DATE(Configuración!$C$5+1,1,1)),"Fecha fuera del año",IF(OR(G1030&lt;0,H1030&lt;0),"Revisar signo",IF(AND(C1030&lt;&gt;"Servicio",H1030&lt;&gt;0),"IVA solo en Servicio",IF(AND(C1030="Servicio",F1030=""),"Falta servicio","OK")))))))))</f>
        <v/>
      </c>
    </row>
    <row r="1031" spans="1:12" ht="22" customHeight="1">
      <c r="A1031" s="3"/>
      <c r="B1031" s="7"/>
      <c r="C1031" s="3"/>
      <c r="D1031" s="3"/>
      <c r="E1031" s="3"/>
      <c r="F1031" s="3"/>
      <c r="G1031" s="4"/>
      <c r="H1031" s="4"/>
      <c r="I1031" s="3"/>
      <c r="J1031" s="3"/>
      <c r="K1031" s="8" t="str">
        <f t="shared" ref="K1031:K1094" si="16">IF(A1031="","",G1031+H1031)</f>
        <v/>
      </c>
      <c r="L1031" s="1" t="str">
        <f>IF(COUNTA(A1031:J1031)=0,"",IF(OR(AND(C1031&lt;&gt;"Servicio",C1031&lt;&gt;"Cobro",C1031&lt;&gt;"Anticipo",C1031&lt;&gt;"Aplicación anticipo",C1031&lt;&gt;"Retención ISR",C1031&lt;&gt;"Retención IVA"),AND(C1031="Servicio",F1031&lt;&gt;"TMS",F1031&lt;&gt;"Valoración",F1031&lt;&gt;"EEG",F1031&lt;&gt;"Neurofeedback",F1031&lt;&gt;"Fotobiomodulación",F1031&lt;&gt;"Psicoterapia",F1031&lt;&gt;"Otros")),"Tipo o categoría inválido",IF(COUNTA(A1031:J1031)=0,"",IF(OR(A1031="",B1031="",C1031="",G1031=""),"Faltan datos",IF(COUNTIF($A$7:$A$2006,A1031)&gt;1,"ID duplicado",IF(OR(B1031&lt;DATE(Configuración!$C$5,1,1),B1031&gt;=DATE(Configuración!$C$5+1,1,1)),"Fecha fuera del año",IF(OR(G1031&lt;0,H1031&lt;0),"Revisar signo",IF(AND(C1031&lt;&gt;"Servicio",H1031&lt;&gt;0),"IVA solo en Servicio",IF(AND(C1031="Servicio",F1031=""),"Falta servicio","OK")))))))))</f>
        <v/>
      </c>
    </row>
    <row r="1032" spans="1:12" ht="22" customHeight="1">
      <c r="A1032" s="3"/>
      <c r="B1032" s="7"/>
      <c r="C1032" s="3"/>
      <c r="D1032" s="3"/>
      <c r="E1032" s="3"/>
      <c r="F1032" s="3"/>
      <c r="G1032" s="4"/>
      <c r="H1032" s="4"/>
      <c r="I1032" s="3"/>
      <c r="J1032" s="3"/>
      <c r="K1032" s="8" t="str">
        <f t="shared" si="16"/>
        <v/>
      </c>
      <c r="L1032" s="1" t="str">
        <f>IF(COUNTA(A1032:J1032)=0,"",IF(OR(AND(C1032&lt;&gt;"Servicio",C1032&lt;&gt;"Cobro",C1032&lt;&gt;"Anticipo",C1032&lt;&gt;"Aplicación anticipo",C1032&lt;&gt;"Retención ISR",C1032&lt;&gt;"Retención IVA"),AND(C1032="Servicio",F1032&lt;&gt;"TMS",F1032&lt;&gt;"Valoración",F1032&lt;&gt;"EEG",F1032&lt;&gt;"Neurofeedback",F1032&lt;&gt;"Fotobiomodulación",F1032&lt;&gt;"Psicoterapia",F1032&lt;&gt;"Otros")),"Tipo o categoría inválido",IF(COUNTA(A1032:J1032)=0,"",IF(OR(A1032="",B1032="",C1032="",G1032=""),"Faltan datos",IF(COUNTIF($A$7:$A$2006,A1032)&gt;1,"ID duplicado",IF(OR(B1032&lt;DATE(Configuración!$C$5,1,1),B1032&gt;=DATE(Configuración!$C$5+1,1,1)),"Fecha fuera del año",IF(OR(G1032&lt;0,H1032&lt;0),"Revisar signo",IF(AND(C1032&lt;&gt;"Servicio",H1032&lt;&gt;0),"IVA solo en Servicio",IF(AND(C1032="Servicio",F1032=""),"Falta servicio","OK")))))))))</f>
        <v/>
      </c>
    </row>
    <row r="1033" spans="1:12" ht="22" customHeight="1">
      <c r="A1033" s="3"/>
      <c r="B1033" s="7"/>
      <c r="C1033" s="3"/>
      <c r="D1033" s="3"/>
      <c r="E1033" s="3"/>
      <c r="F1033" s="3"/>
      <c r="G1033" s="4"/>
      <c r="H1033" s="4"/>
      <c r="I1033" s="3"/>
      <c r="J1033" s="3"/>
      <c r="K1033" s="8" t="str">
        <f t="shared" si="16"/>
        <v/>
      </c>
      <c r="L1033" s="1" t="str">
        <f>IF(COUNTA(A1033:J1033)=0,"",IF(OR(AND(C1033&lt;&gt;"Servicio",C1033&lt;&gt;"Cobro",C1033&lt;&gt;"Anticipo",C1033&lt;&gt;"Aplicación anticipo",C1033&lt;&gt;"Retención ISR",C1033&lt;&gt;"Retención IVA"),AND(C1033="Servicio",F1033&lt;&gt;"TMS",F1033&lt;&gt;"Valoración",F1033&lt;&gt;"EEG",F1033&lt;&gt;"Neurofeedback",F1033&lt;&gt;"Fotobiomodulación",F1033&lt;&gt;"Psicoterapia",F1033&lt;&gt;"Otros")),"Tipo o categoría inválido",IF(COUNTA(A1033:J1033)=0,"",IF(OR(A1033="",B1033="",C1033="",G1033=""),"Faltan datos",IF(COUNTIF($A$7:$A$2006,A1033)&gt;1,"ID duplicado",IF(OR(B1033&lt;DATE(Configuración!$C$5,1,1),B1033&gt;=DATE(Configuración!$C$5+1,1,1)),"Fecha fuera del año",IF(OR(G1033&lt;0,H1033&lt;0),"Revisar signo",IF(AND(C1033&lt;&gt;"Servicio",H1033&lt;&gt;0),"IVA solo en Servicio",IF(AND(C1033="Servicio",F1033=""),"Falta servicio","OK")))))))))</f>
        <v/>
      </c>
    </row>
    <row r="1034" spans="1:12" ht="22" customHeight="1">
      <c r="A1034" s="3"/>
      <c r="B1034" s="7"/>
      <c r="C1034" s="3"/>
      <c r="D1034" s="3"/>
      <c r="E1034" s="3"/>
      <c r="F1034" s="3"/>
      <c r="G1034" s="4"/>
      <c r="H1034" s="4"/>
      <c r="I1034" s="3"/>
      <c r="J1034" s="3"/>
      <c r="K1034" s="8" t="str">
        <f t="shared" si="16"/>
        <v/>
      </c>
      <c r="L1034" s="1" t="str">
        <f>IF(COUNTA(A1034:J1034)=0,"",IF(OR(AND(C1034&lt;&gt;"Servicio",C1034&lt;&gt;"Cobro",C1034&lt;&gt;"Anticipo",C1034&lt;&gt;"Aplicación anticipo",C1034&lt;&gt;"Retención ISR",C1034&lt;&gt;"Retención IVA"),AND(C1034="Servicio",F1034&lt;&gt;"TMS",F1034&lt;&gt;"Valoración",F1034&lt;&gt;"EEG",F1034&lt;&gt;"Neurofeedback",F1034&lt;&gt;"Fotobiomodulación",F1034&lt;&gt;"Psicoterapia",F1034&lt;&gt;"Otros")),"Tipo o categoría inválido",IF(COUNTA(A1034:J1034)=0,"",IF(OR(A1034="",B1034="",C1034="",G1034=""),"Faltan datos",IF(COUNTIF($A$7:$A$2006,A1034)&gt;1,"ID duplicado",IF(OR(B1034&lt;DATE(Configuración!$C$5,1,1),B1034&gt;=DATE(Configuración!$C$5+1,1,1)),"Fecha fuera del año",IF(OR(G1034&lt;0,H1034&lt;0),"Revisar signo",IF(AND(C1034&lt;&gt;"Servicio",H1034&lt;&gt;0),"IVA solo en Servicio",IF(AND(C1034="Servicio",F1034=""),"Falta servicio","OK")))))))))</f>
        <v/>
      </c>
    </row>
    <row r="1035" spans="1:12" ht="22" customHeight="1">
      <c r="A1035" s="3"/>
      <c r="B1035" s="7"/>
      <c r="C1035" s="3"/>
      <c r="D1035" s="3"/>
      <c r="E1035" s="3"/>
      <c r="F1035" s="3"/>
      <c r="G1035" s="4"/>
      <c r="H1035" s="4"/>
      <c r="I1035" s="3"/>
      <c r="J1035" s="3"/>
      <c r="K1035" s="8" t="str">
        <f t="shared" si="16"/>
        <v/>
      </c>
      <c r="L1035" s="1" t="str">
        <f>IF(COUNTA(A1035:J1035)=0,"",IF(OR(AND(C1035&lt;&gt;"Servicio",C1035&lt;&gt;"Cobro",C1035&lt;&gt;"Anticipo",C1035&lt;&gt;"Aplicación anticipo",C1035&lt;&gt;"Retención ISR",C1035&lt;&gt;"Retención IVA"),AND(C1035="Servicio",F1035&lt;&gt;"TMS",F1035&lt;&gt;"Valoración",F1035&lt;&gt;"EEG",F1035&lt;&gt;"Neurofeedback",F1035&lt;&gt;"Fotobiomodulación",F1035&lt;&gt;"Psicoterapia",F1035&lt;&gt;"Otros")),"Tipo o categoría inválido",IF(COUNTA(A1035:J1035)=0,"",IF(OR(A1035="",B1035="",C1035="",G1035=""),"Faltan datos",IF(COUNTIF($A$7:$A$2006,A1035)&gt;1,"ID duplicado",IF(OR(B1035&lt;DATE(Configuración!$C$5,1,1),B1035&gt;=DATE(Configuración!$C$5+1,1,1)),"Fecha fuera del año",IF(OR(G1035&lt;0,H1035&lt;0),"Revisar signo",IF(AND(C1035&lt;&gt;"Servicio",H1035&lt;&gt;0),"IVA solo en Servicio",IF(AND(C1035="Servicio",F1035=""),"Falta servicio","OK")))))))))</f>
        <v/>
      </c>
    </row>
    <row r="1036" spans="1:12" ht="22" customHeight="1">
      <c r="A1036" s="3"/>
      <c r="B1036" s="7"/>
      <c r="C1036" s="3"/>
      <c r="D1036" s="3"/>
      <c r="E1036" s="3"/>
      <c r="F1036" s="3"/>
      <c r="G1036" s="4"/>
      <c r="H1036" s="4"/>
      <c r="I1036" s="3"/>
      <c r="J1036" s="3"/>
      <c r="K1036" s="8" t="str">
        <f t="shared" si="16"/>
        <v/>
      </c>
      <c r="L1036" s="1" t="str">
        <f>IF(COUNTA(A1036:J1036)=0,"",IF(OR(AND(C1036&lt;&gt;"Servicio",C1036&lt;&gt;"Cobro",C1036&lt;&gt;"Anticipo",C1036&lt;&gt;"Aplicación anticipo",C1036&lt;&gt;"Retención ISR",C1036&lt;&gt;"Retención IVA"),AND(C1036="Servicio",F1036&lt;&gt;"TMS",F1036&lt;&gt;"Valoración",F1036&lt;&gt;"EEG",F1036&lt;&gt;"Neurofeedback",F1036&lt;&gt;"Fotobiomodulación",F1036&lt;&gt;"Psicoterapia",F1036&lt;&gt;"Otros")),"Tipo o categoría inválido",IF(COUNTA(A1036:J1036)=0,"",IF(OR(A1036="",B1036="",C1036="",G1036=""),"Faltan datos",IF(COUNTIF($A$7:$A$2006,A1036)&gt;1,"ID duplicado",IF(OR(B1036&lt;DATE(Configuración!$C$5,1,1),B1036&gt;=DATE(Configuración!$C$5+1,1,1)),"Fecha fuera del año",IF(OR(G1036&lt;0,H1036&lt;0),"Revisar signo",IF(AND(C1036&lt;&gt;"Servicio",H1036&lt;&gt;0),"IVA solo en Servicio",IF(AND(C1036="Servicio",F1036=""),"Falta servicio","OK")))))))))</f>
        <v/>
      </c>
    </row>
    <row r="1037" spans="1:12" ht="22" customHeight="1">
      <c r="A1037" s="3"/>
      <c r="B1037" s="7"/>
      <c r="C1037" s="3"/>
      <c r="D1037" s="3"/>
      <c r="E1037" s="3"/>
      <c r="F1037" s="3"/>
      <c r="G1037" s="4"/>
      <c r="H1037" s="4"/>
      <c r="I1037" s="3"/>
      <c r="J1037" s="3"/>
      <c r="K1037" s="8" t="str">
        <f t="shared" si="16"/>
        <v/>
      </c>
      <c r="L1037" s="1" t="str">
        <f>IF(COUNTA(A1037:J1037)=0,"",IF(OR(AND(C1037&lt;&gt;"Servicio",C1037&lt;&gt;"Cobro",C1037&lt;&gt;"Anticipo",C1037&lt;&gt;"Aplicación anticipo",C1037&lt;&gt;"Retención ISR",C1037&lt;&gt;"Retención IVA"),AND(C1037="Servicio",F1037&lt;&gt;"TMS",F1037&lt;&gt;"Valoración",F1037&lt;&gt;"EEG",F1037&lt;&gt;"Neurofeedback",F1037&lt;&gt;"Fotobiomodulación",F1037&lt;&gt;"Psicoterapia",F1037&lt;&gt;"Otros")),"Tipo o categoría inválido",IF(COUNTA(A1037:J1037)=0,"",IF(OR(A1037="",B1037="",C1037="",G1037=""),"Faltan datos",IF(COUNTIF($A$7:$A$2006,A1037)&gt;1,"ID duplicado",IF(OR(B1037&lt;DATE(Configuración!$C$5,1,1),B1037&gt;=DATE(Configuración!$C$5+1,1,1)),"Fecha fuera del año",IF(OR(G1037&lt;0,H1037&lt;0),"Revisar signo",IF(AND(C1037&lt;&gt;"Servicio",H1037&lt;&gt;0),"IVA solo en Servicio",IF(AND(C1037="Servicio",F1037=""),"Falta servicio","OK")))))))))</f>
        <v/>
      </c>
    </row>
    <row r="1038" spans="1:12" ht="22" customHeight="1">
      <c r="A1038" s="3"/>
      <c r="B1038" s="7"/>
      <c r="C1038" s="3"/>
      <c r="D1038" s="3"/>
      <c r="E1038" s="3"/>
      <c r="F1038" s="3"/>
      <c r="G1038" s="4"/>
      <c r="H1038" s="4"/>
      <c r="I1038" s="3"/>
      <c r="J1038" s="3"/>
      <c r="K1038" s="8" t="str">
        <f t="shared" si="16"/>
        <v/>
      </c>
      <c r="L1038" s="1" t="str">
        <f>IF(COUNTA(A1038:J1038)=0,"",IF(OR(AND(C1038&lt;&gt;"Servicio",C1038&lt;&gt;"Cobro",C1038&lt;&gt;"Anticipo",C1038&lt;&gt;"Aplicación anticipo",C1038&lt;&gt;"Retención ISR",C1038&lt;&gt;"Retención IVA"),AND(C1038="Servicio",F1038&lt;&gt;"TMS",F1038&lt;&gt;"Valoración",F1038&lt;&gt;"EEG",F1038&lt;&gt;"Neurofeedback",F1038&lt;&gt;"Fotobiomodulación",F1038&lt;&gt;"Psicoterapia",F1038&lt;&gt;"Otros")),"Tipo o categoría inválido",IF(COUNTA(A1038:J1038)=0,"",IF(OR(A1038="",B1038="",C1038="",G1038=""),"Faltan datos",IF(COUNTIF($A$7:$A$2006,A1038)&gt;1,"ID duplicado",IF(OR(B1038&lt;DATE(Configuración!$C$5,1,1),B1038&gt;=DATE(Configuración!$C$5+1,1,1)),"Fecha fuera del año",IF(OR(G1038&lt;0,H1038&lt;0),"Revisar signo",IF(AND(C1038&lt;&gt;"Servicio",H1038&lt;&gt;0),"IVA solo en Servicio",IF(AND(C1038="Servicio",F1038=""),"Falta servicio","OK")))))))))</f>
        <v/>
      </c>
    </row>
    <row r="1039" spans="1:12" ht="22" customHeight="1">
      <c r="A1039" s="3"/>
      <c r="B1039" s="7"/>
      <c r="C1039" s="3"/>
      <c r="D1039" s="3"/>
      <c r="E1039" s="3"/>
      <c r="F1039" s="3"/>
      <c r="G1039" s="4"/>
      <c r="H1039" s="4"/>
      <c r="I1039" s="3"/>
      <c r="J1039" s="3"/>
      <c r="K1039" s="8" t="str">
        <f t="shared" si="16"/>
        <v/>
      </c>
      <c r="L1039" s="1" t="str">
        <f>IF(COUNTA(A1039:J1039)=0,"",IF(OR(AND(C1039&lt;&gt;"Servicio",C1039&lt;&gt;"Cobro",C1039&lt;&gt;"Anticipo",C1039&lt;&gt;"Aplicación anticipo",C1039&lt;&gt;"Retención ISR",C1039&lt;&gt;"Retención IVA"),AND(C1039="Servicio",F1039&lt;&gt;"TMS",F1039&lt;&gt;"Valoración",F1039&lt;&gt;"EEG",F1039&lt;&gt;"Neurofeedback",F1039&lt;&gt;"Fotobiomodulación",F1039&lt;&gt;"Psicoterapia",F1039&lt;&gt;"Otros")),"Tipo o categoría inválido",IF(COUNTA(A1039:J1039)=0,"",IF(OR(A1039="",B1039="",C1039="",G1039=""),"Faltan datos",IF(COUNTIF($A$7:$A$2006,A1039)&gt;1,"ID duplicado",IF(OR(B1039&lt;DATE(Configuración!$C$5,1,1),B1039&gt;=DATE(Configuración!$C$5+1,1,1)),"Fecha fuera del año",IF(OR(G1039&lt;0,H1039&lt;0),"Revisar signo",IF(AND(C1039&lt;&gt;"Servicio",H1039&lt;&gt;0),"IVA solo en Servicio",IF(AND(C1039="Servicio",F1039=""),"Falta servicio","OK")))))))))</f>
        <v/>
      </c>
    </row>
    <row r="1040" spans="1:12" ht="22" customHeight="1">
      <c r="A1040" s="3"/>
      <c r="B1040" s="7"/>
      <c r="C1040" s="3"/>
      <c r="D1040" s="3"/>
      <c r="E1040" s="3"/>
      <c r="F1040" s="3"/>
      <c r="G1040" s="4"/>
      <c r="H1040" s="4"/>
      <c r="I1040" s="3"/>
      <c r="J1040" s="3"/>
      <c r="K1040" s="8" t="str">
        <f t="shared" si="16"/>
        <v/>
      </c>
      <c r="L1040" s="1" t="str">
        <f>IF(COUNTA(A1040:J1040)=0,"",IF(OR(AND(C1040&lt;&gt;"Servicio",C1040&lt;&gt;"Cobro",C1040&lt;&gt;"Anticipo",C1040&lt;&gt;"Aplicación anticipo",C1040&lt;&gt;"Retención ISR",C1040&lt;&gt;"Retención IVA"),AND(C1040="Servicio",F1040&lt;&gt;"TMS",F1040&lt;&gt;"Valoración",F1040&lt;&gt;"EEG",F1040&lt;&gt;"Neurofeedback",F1040&lt;&gt;"Fotobiomodulación",F1040&lt;&gt;"Psicoterapia",F1040&lt;&gt;"Otros")),"Tipo o categoría inválido",IF(COUNTA(A1040:J1040)=0,"",IF(OR(A1040="",B1040="",C1040="",G1040=""),"Faltan datos",IF(COUNTIF($A$7:$A$2006,A1040)&gt;1,"ID duplicado",IF(OR(B1040&lt;DATE(Configuración!$C$5,1,1),B1040&gt;=DATE(Configuración!$C$5+1,1,1)),"Fecha fuera del año",IF(OR(G1040&lt;0,H1040&lt;0),"Revisar signo",IF(AND(C1040&lt;&gt;"Servicio",H1040&lt;&gt;0),"IVA solo en Servicio",IF(AND(C1040="Servicio",F1040=""),"Falta servicio","OK")))))))))</f>
        <v/>
      </c>
    </row>
    <row r="1041" spans="1:12" ht="22" customHeight="1">
      <c r="A1041" s="3"/>
      <c r="B1041" s="7"/>
      <c r="C1041" s="3"/>
      <c r="D1041" s="3"/>
      <c r="E1041" s="3"/>
      <c r="F1041" s="3"/>
      <c r="G1041" s="4"/>
      <c r="H1041" s="4"/>
      <c r="I1041" s="3"/>
      <c r="J1041" s="3"/>
      <c r="K1041" s="8" t="str">
        <f t="shared" si="16"/>
        <v/>
      </c>
      <c r="L1041" s="1" t="str">
        <f>IF(COUNTA(A1041:J1041)=0,"",IF(OR(AND(C1041&lt;&gt;"Servicio",C1041&lt;&gt;"Cobro",C1041&lt;&gt;"Anticipo",C1041&lt;&gt;"Aplicación anticipo",C1041&lt;&gt;"Retención ISR",C1041&lt;&gt;"Retención IVA"),AND(C1041="Servicio",F1041&lt;&gt;"TMS",F1041&lt;&gt;"Valoración",F1041&lt;&gt;"EEG",F1041&lt;&gt;"Neurofeedback",F1041&lt;&gt;"Fotobiomodulación",F1041&lt;&gt;"Psicoterapia",F1041&lt;&gt;"Otros")),"Tipo o categoría inválido",IF(COUNTA(A1041:J1041)=0,"",IF(OR(A1041="",B1041="",C1041="",G1041=""),"Faltan datos",IF(COUNTIF($A$7:$A$2006,A1041)&gt;1,"ID duplicado",IF(OR(B1041&lt;DATE(Configuración!$C$5,1,1),B1041&gt;=DATE(Configuración!$C$5+1,1,1)),"Fecha fuera del año",IF(OR(G1041&lt;0,H1041&lt;0),"Revisar signo",IF(AND(C1041&lt;&gt;"Servicio",H1041&lt;&gt;0),"IVA solo en Servicio",IF(AND(C1041="Servicio",F1041=""),"Falta servicio","OK")))))))))</f>
        <v/>
      </c>
    </row>
    <row r="1042" spans="1:12" ht="22" customHeight="1">
      <c r="A1042" s="3"/>
      <c r="B1042" s="7"/>
      <c r="C1042" s="3"/>
      <c r="D1042" s="3"/>
      <c r="E1042" s="3"/>
      <c r="F1042" s="3"/>
      <c r="G1042" s="4"/>
      <c r="H1042" s="4"/>
      <c r="I1042" s="3"/>
      <c r="J1042" s="3"/>
      <c r="K1042" s="8" t="str">
        <f t="shared" si="16"/>
        <v/>
      </c>
      <c r="L1042" s="1" t="str">
        <f>IF(COUNTA(A1042:J1042)=0,"",IF(OR(AND(C1042&lt;&gt;"Servicio",C1042&lt;&gt;"Cobro",C1042&lt;&gt;"Anticipo",C1042&lt;&gt;"Aplicación anticipo",C1042&lt;&gt;"Retención ISR",C1042&lt;&gt;"Retención IVA"),AND(C1042="Servicio",F1042&lt;&gt;"TMS",F1042&lt;&gt;"Valoración",F1042&lt;&gt;"EEG",F1042&lt;&gt;"Neurofeedback",F1042&lt;&gt;"Fotobiomodulación",F1042&lt;&gt;"Psicoterapia",F1042&lt;&gt;"Otros")),"Tipo o categoría inválido",IF(COUNTA(A1042:J1042)=0,"",IF(OR(A1042="",B1042="",C1042="",G1042=""),"Faltan datos",IF(COUNTIF($A$7:$A$2006,A1042)&gt;1,"ID duplicado",IF(OR(B1042&lt;DATE(Configuración!$C$5,1,1),B1042&gt;=DATE(Configuración!$C$5+1,1,1)),"Fecha fuera del año",IF(OR(G1042&lt;0,H1042&lt;0),"Revisar signo",IF(AND(C1042&lt;&gt;"Servicio",H1042&lt;&gt;0),"IVA solo en Servicio",IF(AND(C1042="Servicio",F1042=""),"Falta servicio","OK")))))))))</f>
        <v/>
      </c>
    </row>
    <row r="1043" spans="1:12" ht="22" customHeight="1">
      <c r="A1043" s="3"/>
      <c r="B1043" s="7"/>
      <c r="C1043" s="3"/>
      <c r="D1043" s="3"/>
      <c r="E1043" s="3"/>
      <c r="F1043" s="3"/>
      <c r="G1043" s="4"/>
      <c r="H1043" s="4"/>
      <c r="I1043" s="3"/>
      <c r="J1043" s="3"/>
      <c r="K1043" s="8" t="str">
        <f t="shared" si="16"/>
        <v/>
      </c>
      <c r="L1043" s="1" t="str">
        <f>IF(COUNTA(A1043:J1043)=0,"",IF(OR(AND(C1043&lt;&gt;"Servicio",C1043&lt;&gt;"Cobro",C1043&lt;&gt;"Anticipo",C1043&lt;&gt;"Aplicación anticipo",C1043&lt;&gt;"Retención ISR",C1043&lt;&gt;"Retención IVA"),AND(C1043="Servicio",F1043&lt;&gt;"TMS",F1043&lt;&gt;"Valoración",F1043&lt;&gt;"EEG",F1043&lt;&gt;"Neurofeedback",F1043&lt;&gt;"Fotobiomodulación",F1043&lt;&gt;"Psicoterapia",F1043&lt;&gt;"Otros")),"Tipo o categoría inválido",IF(COUNTA(A1043:J1043)=0,"",IF(OR(A1043="",B1043="",C1043="",G1043=""),"Faltan datos",IF(COUNTIF($A$7:$A$2006,A1043)&gt;1,"ID duplicado",IF(OR(B1043&lt;DATE(Configuración!$C$5,1,1),B1043&gt;=DATE(Configuración!$C$5+1,1,1)),"Fecha fuera del año",IF(OR(G1043&lt;0,H1043&lt;0),"Revisar signo",IF(AND(C1043&lt;&gt;"Servicio",H1043&lt;&gt;0),"IVA solo en Servicio",IF(AND(C1043="Servicio",F1043=""),"Falta servicio","OK")))))))))</f>
        <v/>
      </c>
    </row>
    <row r="1044" spans="1:12" ht="22" customHeight="1">
      <c r="A1044" s="3"/>
      <c r="B1044" s="7"/>
      <c r="C1044" s="3"/>
      <c r="D1044" s="3"/>
      <c r="E1044" s="3"/>
      <c r="F1044" s="3"/>
      <c r="G1044" s="4"/>
      <c r="H1044" s="4"/>
      <c r="I1044" s="3"/>
      <c r="J1044" s="3"/>
      <c r="K1044" s="8" t="str">
        <f t="shared" si="16"/>
        <v/>
      </c>
      <c r="L1044" s="1" t="str">
        <f>IF(COUNTA(A1044:J1044)=0,"",IF(OR(AND(C1044&lt;&gt;"Servicio",C1044&lt;&gt;"Cobro",C1044&lt;&gt;"Anticipo",C1044&lt;&gt;"Aplicación anticipo",C1044&lt;&gt;"Retención ISR",C1044&lt;&gt;"Retención IVA"),AND(C1044="Servicio",F1044&lt;&gt;"TMS",F1044&lt;&gt;"Valoración",F1044&lt;&gt;"EEG",F1044&lt;&gt;"Neurofeedback",F1044&lt;&gt;"Fotobiomodulación",F1044&lt;&gt;"Psicoterapia",F1044&lt;&gt;"Otros")),"Tipo o categoría inválido",IF(COUNTA(A1044:J1044)=0,"",IF(OR(A1044="",B1044="",C1044="",G1044=""),"Faltan datos",IF(COUNTIF($A$7:$A$2006,A1044)&gt;1,"ID duplicado",IF(OR(B1044&lt;DATE(Configuración!$C$5,1,1),B1044&gt;=DATE(Configuración!$C$5+1,1,1)),"Fecha fuera del año",IF(OR(G1044&lt;0,H1044&lt;0),"Revisar signo",IF(AND(C1044&lt;&gt;"Servicio",H1044&lt;&gt;0),"IVA solo en Servicio",IF(AND(C1044="Servicio",F1044=""),"Falta servicio","OK")))))))))</f>
        <v/>
      </c>
    </row>
    <row r="1045" spans="1:12" ht="22" customHeight="1">
      <c r="A1045" s="3"/>
      <c r="B1045" s="7"/>
      <c r="C1045" s="3"/>
      <c r="D1045" s="3"/>
      <c r="E1045" s="3"/>
      <c r="F1045" s="3"/>
      <c r="G1045" s="4"/>
      <c r="H1045" s="4"/>
      <c r="I1045" s="3"/>
      <c r="J1045" s="3"/>
      <c r="K1045" s="8" t="str">
        <f t="shared" si="16"/>
        <v/>
      </c>
      <c r="L1045" s="1" t="str">
        <f>IF(COUNTA(A1045:J1045)=0,"",IF(OR(AND(C1045&lt;&gt;"Servicio",C1045&lt;&gt;"Cobro",C1045&lt;&gt;"Anticipo",C1045&lt;&gt;"Aplicación anticipo",C1045&lt;&gt;"Retención ISR",C1045&lt;&gt;"Retención IVA"),AND(C1045="Servicio",F1045&lt;&gt;"TMS",F1045&lt;&gt;"Valoración",F1045&lt;&gt;"EEG",F1045&lt;&gt;"Neurofeedback",F1045&lt;&gt;"Fotobiomodulación",F1045&lt;&gt;"Psicoterapia",F1045&lt;&gt;"Otros")),"Tipo o categoría inválido",IF(COUNTA(A1045:J1045)=0,"",IF(OR(A1045="",B1045="",C1045="",G1045=""),"Faltan datos",IF(COUNTIF($A$7:$A$2006,A1045)&gt;1,"ID duplicado",IF(OR(B1045&lt;DATE(Configuración!$C$5,1,1),B1045&gt;=DATE(Configuración!$C$5+1,1,1)),"Fecha fuera del año",IF(OR(G1045&lt;0,H1045&lt;0),"Revisar signo",IF(AND(C1045&lt;&gt;"Servicio",H1045&lt;&gt;0),"IVA solo en Servicio",IF(AND(C1045="Servicio",F1045=""),"Falta servicio","OK")))))))))</f>
        <v/>
      </c>
    </row>
    <row r="1046" spans="1:12" ht="22" customHeight="1">
      <c r="A1046" s="3"/>
      <c r="B1046" s="7"/>
      <c r="C1046" s="3"/>
      <c r="D1046" s="3"/>
      <c r="E1046" s="3"/>
      <c r="F1046" s="3"/>
      <c r="G1046" s="4"/>
      <c r="H1046" s="4"/>
      <c r="I1046" s="3"/>
      <c r="J1046" s="3"/>
      <c r="K1046" s="8" t="str">
        <f t="shared" si="16"/>
        <v/>
      </c>
      <c r="L1046" s="1" t="str">
        <f>IF(COUNTA(A1046:J1046)=0,"",IF(OR(AND(C1046&lt;&gt;"Servicio",C1046&lt;&gt;"Cobro",C1046&lt;&gt;"Anticipo",C1046&lt;&gt;"Aplicación anticipo",C1046&lt;&gt;"Retención ISR",C1046&lt;&gt;"Retención IVA"),AND(C1046="Servicio",F1046&lt;&gt;"TMS",F1046&lt;&gt;"Valoración",F1046&lt;&gt;"EEG",F1046&lt;&gt;"Neurofeedback",F1046&lt;&gt;"Fotobiomodulación",F1046&lt;&gt;"Psicoterapia",F1046&lt;&gt;"Otros")),"Tipo o categoría inválido",IF(COUNTA(A1046:J1046)=0,"",IF(OR(A1046="",B1046="",C1046="",G1046=""),"Faltan datos",IF(COUNTIF($A$7:$A$2006,A1046)&gt;1,"ID duplicado",IF(OR(B1046&lt;DATE(Configuración!$C$5,1,1),B1046&gt;=DATE(Configuración!$C$5+1,1,1)),"Fecha fuera del año",IF(OR(G1046&lt;0,H1046&lt;0),"Revisar signo",IF(AND(C1046&lt;&gt;"Servicio",H1046&lt;&gt;0),"IVA solo en Servicio",IF(AND(C1046="Servicio",F1046=""),"Falta servicio","OK")))))))))</f>
        <v/>
      </c>
    </row>
    <row r="1047" spans="1:12" ht="22" customHeight="1">
      <c r="A1047" s="3"/>
      <c r="B1047" s="7"/>
      <c r="C1047" s="3"/>
      <c r="D1047" s="3"/>
      <c r="E1047" s="3"/>
      <c r="F1047" s="3"/>
      <c r="G1047" s="4"/>
      <c r="H1047" s="4"/>
      <c r="I1047" s="3"/>
      <c r="J1047" s="3"/>
      <c r="K1047" s="8" t="str">
        <f t="shared" si="16"/>
        <v/>
      </c>
      <c r="L1047" s="1" t="str">
        <f>IF(COUNTA(A1047:J1047)=0,"",IF(OR(AND(C1047&lt;&gt;"Servicio",C1047&lt;&gt;"Cobro",C1047&lt;&gt;"Anticipo",C1047&lt;&gt;"Aplicación anticipo",C1047&lt;&gt;"Retención ISR",C1047&lt;&gt;"Retención IVA"),AND(C1047="Servicio",F1047&lt;&gt;"TMS",F1047&lt;&gt;"Valoración",F1047&lt;&gt;"EEG",F1047&lt;&gt;"Neurofeedback",F1047&lt;&gt;"Fotobiomodulación",F1047&lt;&gt;"Psicoterapia",F1047&lt;&gt;"Otros")),"Tipo o categoría inválido",IF(COUNTA(A1047:J1047)=0,"",IF(OR(A1047="",B1047="",C1047="",G1047=""),"Faltan datos",IF(COUNTIF($A$7:$A$2006,A1047)&gt;1,"ID duplicado",IF(OR(B1047&lt;DATE(Configuración!$C$5,1,1),B1047&gt;=DATE(Configuración!$C$5+1,1,1)),"Fecha fuera del año",IF(OR(G1047&lt;0,H1047&lt;0),"Revisar signo",IF(AND(C1047&lt;&gt;"Servicio",H1047&lt;&gt;0),"IVA solo en Servicio",IF(AND(C1047="Servicio",F1047=""),"Falta servicio","OK")))))))))</f>
        <v/>
      </c>
    </row>
    <row r="1048" spans="1:12" ht="22" customHeight="1">
      <c r="A1048" s="3"/>
      <c r="B1048" s="7"/>
      <c r="C1048" s="3"/>
      <c r="D1048" s="3"/>
      <c r="E1048" s="3"/>
      <c r="F1048" s="3"/>
      <c r="G1048" s="4"/>
      <c r="H1048" s="4"/>
      <c r="I1048" s="3"/>
      <c r="J1048" s="3"/>
      <c r="K1048" s="8" t="str">
        <f t="shared" si="16"/>
        <v/>
      </c>
      <c r="L1048" s="1" t="str">
        <f>IF(COUNTA(A1048:J1048)=0,"",IF(OR(AND(C1048&lt;&gt;"Servicio",C1048&lt;&gt;"Cobro",C1048&lt;&gt;"Anticipo",C1048&lt;&gt;"Aplicación anticipo",C1048&lt;&gt;"Retención ISR",C1048&lt;&gt;"Retención IVA"),AND(C1048="Servicio",F1048&lt;&gt;"TMS",F1048&lt;&gt;"Valoración",F1048&lt;&gt;"EEG",F1048&lt;&gt;"Neurofeedback",F1048&lt;&gt;"Fotobiomodulación",F1048&lt;&gt;"Psicoterapia",F1048&lt;&gt;"Otros")),"Tipo o categoría inválido",IF(COUNTA(A1048:J1048)=0,"",IF(OR(A1048="",B1048="",C1048="",G1048=""),"Faltan datos",IF(COUNTIF($A$7:$A$2006,A1048)&gt;1,"ID duplicado",IF(OR(B1048&lt;DATE(Configuración!$C$5,1,1),B1048&gt;=DATE(Configuración!$C$5+1,1,1)),"Fecha fuera del año",IF(OR(G1048&lt;0,H1048&lt;0),"Revisar signo",IF(AND(C1048&lt;&gt;"Servicio",H1048&lt;&gt;0),"IVA solo en Servicio",IF(AND(C1048="Servicio",F1048=""),"Falta servicio","OK")))))))))</f>
        <v/>
      </c>
    </row>
    <row r="1049" spans="1:12" ht="22" customHeight="1">
      <c r="A1049" s="3"/>
      <c r="B1049" s="7"/>
      <c r="C1049" s="3"/>
      <c r="D1049" s="3"/>
      <c r="E1049" s="3"/>
      <c r="F1049" s="3"/>
      <c r="G1049" s="4"/>
      <c r="H1049" s="4"/>
      <c r="I1049" s="3"/>
      <c r="J1049" s="3"/>
      <c r="K1049" s="8" t="str">
        <f t="shared" si="16"/>
        <v/>
      </c>
      <c r="L1049" s="1" t="str">
        <f>IF(COUNTA(A1049:J1049)=0,"",IF(OR(AND(C1049&lt;&gt;"Servicio",C1049&lt;&gt;"Cobro",C1049&lt;&gt;"Anticipo",C1049&lt;&gt;"Aplicación anticipo",C1049&lt;&gt;"Retención ISR",C1049&lt;&gt;"Retención IVA"),AND(C1049="Servicio",F1049&lt;&gt;"TMS",F1049&lt;&gt;"Valoración",F1049&lt;&gt;"EEG",F1049&lt;&gt;"Neurofeedback",F1049&lt;&gt;"Fotobiomodulación",F1049&lt;&gt;"Psicoterapia",F1049&lt;&gt;"Otros")),"Tipo o categoría inválido",IF(COUNTA(A1049:J1049)=0,"",IF(OR(A1049="",B1049="",C1049="",G1049=""),"Faltan datos",IF(COUNTIF($A$7:$A$2006,A1049)&gt;1,"ID duplicado",IF(OR(B1049&lt;DATE(Configuración!$C$5,1,1),B1049&gt;=DATE(Configuración!$C$5+1,1,1)),"Fecha fuera del año",IF(OR(G1049&lt;0,H1049&lt;0),"Revisar signo",IF(AND(C1049&lt;&gt;"Servicio",H1049&lt;&gt;0),"IVA solo en Servicio",IF(AND(C1049="Servicio",F1049=""),"Falta servicio","OK")))))))))</f>
        <v/>
      </c>
    </row>
    <row r="1050" spans="1:12" ht="22" customHeight="1">
      <c r="A1050" s="3"/>
      <c r="B1050" s="7"/>
      <c r="C1050" s="3"/>
      <c r="D1050" s="3"/>
      <c r="E1050" s="3"/>
      <c r="F1050" s="3"/>
      <c r="G1050" s="4"/>
      <c r="H1050" s="4"/>
      <c r="I1050" s="3"/>
      <c r="J1050" s="3"/>
      <c r="K1050" s="8" t="str">
        <f t="shared" si="16"/>
        <v/>
      </c>
      <c r="L1050" s="1" t="str">
        <f>IF(COUNTA(A1050:J1050)=0,"",IF(OR(AND(C1050&lt;&gt;"Servicio",C1050&lt;&gt;"Cobro",C1050&lt;&gt;"Anticipo",C1050&lt;&gt;"Aplicación anticipo",C1050&lt;&gt;"Retención ISR",C1050&lt;&gt;"Retención IVA"),AND(C1050="Servicio",F1050&lt;&gt;"TMS",F1050&lt;&gt;"Valoración",F1050&lt;&gt;"EEG",F1050&lt;&gt;"Neurofeedback",F1050&lt;&gt;"Fotobiomodulación",F1050&lt;&gt;"Psicoterapia",F1050&lt;&gt;"Otros")),"Tipo o categoría inválido",IF(COUNTA(A1050:J1050)=0,"",IF(OR(A1050="",B1050="",C1050="",G1050=""),"Faltan datos",IF(COUNTIF($A$7:$A$2006,A1050)&gt;1,"ID duplicado",IF(OR(B1050&lt;DATE(Configuración!$C$5,1,1),B1050&gt;=DATE(Configuración!$C$5+1,1,1)),"Fecha fuera del año",IF(OR(G1050&lt;0,H1050&lt;0),"Revisar signo",IF(AND(C1050&lt;&gt;"Servicio",H1050&lt;&gt;0),"IVA solo en Servicio",IF(AND(C1050="Servicio",F1050=""),"Falta servicio","OK")))))))))</f>
        <v/>
      </c>
    </row>
    <row r="1051" spans="1:12" ht="22" customHeight="1">
      <c r="A1051" s="3"/>
      <c r="B1051" s="7"/>
      <c r="C1051" s="3"/>
      <c r="D1051" s="3"/>
      <c r="E1051" s="3"/>
      <c r="F1051" s="3"/>
      <c r="G1051" s="4"/>
      <c r="H1051" s="4"/>
      <c r="I1051" s="3"/>
      <c r="J1051" s="3"/>
      <c r="K1051" s="8" t="str">
        <f t="shared" si="16"/>
        <v/>
      </c>
      <c r="L1051" s="1" t="str">
        <f>IF(COUNTA(A1051:J1051)=0,"",IF(OR(AND(C1051&lt;&gt;"Servicio",C1051&lt;&gt;"Cobro",C1051&lt;&gt;"Anticipo",C1051&lt;&gt;"Aplicación anticipo",C1051&lt;&gt;"Retención ISR",C1051&lt;&gt;"Retención IVA"),AND(C1051="Servicio",F1051&lt;&gt;"TMS",F1051&lt;&gt;"Valoración",F1051&lt;&gt;"EEG",F1051&lt;&gt;"Neurofeedback",F1051&lt;&gt;"Fotobiomodulación",F1051&lt;&gt;"Psicoterapia",F1051&lt;&gt;"Otros")),"Tipo o categoría inválido",IF(COUNTA(A1051:J1051)=0,"",IF(OR(A1051="",B1051="",C1051="",G1051=""),"Faltan datos",IF(COUNTIF($A$7:$A$2006,A1051)&gt;1,"ID duplicado",IF(OR(B1051&lt;DATE(Configuración!$C$5,1,1),B1051&gt;=DATE(Configuración!$C$5+1,1,1)),"Fecha fuera del año",IF(OR(G1051&lt;0,H1051&lt;0),"Revisar signo",IF(AND(C1051&lt;&gt;"Servicio",H1051&lt;&gt;0),"IVA solo en Servicio",IF(AND(C1051="Servicio",F1051=""),"Falta servicio","OK")))))))))</f>
        <v/>
      </c>
    </row>
    <row r="1052" spans="1:12" ht="22" customHeight="1">
      <c r="A1052" s="3"/>
      <c r="B1052" s="7"/>
      <c r="C1052" s="3"/>
      <c r="D1052" s="3"/>
      <c r="E1052" s="3"/>
      <c r="F1052" s="3"/>
      <c r="G1052" s="4"/>
      <c r="H1052" s="4"/>
      <c r="I1052" s="3"/>
      <c r="J1052" s="3"/>
      <c r="K1052" s="8" t="str">
        <f t="shared" si="16"/>
        <v/>
      </c>
      <c r="L1052" s="1" t="str">
        <f>IF(COUNTA(A1052:J1052)=0,"",IF(OR(AND(C1052&lt;&gt;"Servicio",C1052&lt;&gt;"Cobro",C1052&lt;&gt;"Anticipo",C1052&lt;&gt;"Aplicación anticipo",C1052&lt;&gt;"Retención ISR",C1052&lt;&gt;"Retención IVA"),AND(C1052="Servicio",F1052&lt;&gt;"TMS",F1052&lt;&gt;"Valoración",F1052&lt;&gt;"EEG",F1052&lt;&gt;"Neurofeedback",F1052&lt;&gt;"Fotobiomodulación",F1052&lt;&gt;"Psicoterapia",F1052&lt;&gt;"Otros")),"Tipo o categoría inválido",IF(COUNTA(A1052:J1052)=0,"",IF(OR(A1052="",B1052="",C1052="",G1052=""),"Faltan datos",IF(COUNTIF($A$7:$A$2006,A1052)&gt;1,"ID duplicado",IF(OR(B1052&lt;DATE(Configuración!$C$5,1,1),B1052&gt;=DATE(Configuración!$C$5+1,1,1)),"Fecha fuera del año",IF(OR(G1052&lt;0,H1052&lt;0),"Revisar signo",IF(AND(C1052&lt;&gt;"Servicio",H1052&lt;&gt;0),"IVA solo en Servicio",IF(AND(C1052="Servicio",F1052=""),"Falta servicio","OK")))))))))</f>
        <v/>
      </c>
    </row>
    <row r="1053" spans="1:12" ht="22" customHeight="1">
      <c r="A1053" s="3"/>
      <c r="B1053" s="7"/>
      <c r="C1053" s="3"/>
      <c r="D1053" s="3"/>
      <c r="E1053" s="3"/>
      <c r="F1053" s="3"/>
      <c r="G1053" s="4"/>
      <c r="H1053" s="4"/>
      <c r="I1053" s="3"/>
      <c r="J1053" s="3"/>
      <c r="K1053" s="8" t="str">
        <f t="shared" si="16"/>
        <v/>
      </c>
      <c r="L1053" s="1" t="str">
        <f>IF(COUNTA(A1053:J1053)=0,"",IF(OR(AND(C1053&lt;&gt;"Servicio",C1053&lt;&gt;"Cobro",C1053&lt;&gt;"Anticipo",C1053&lt;&gt;"Aplicación anticipo",C1053&lt;&gt;"Retención ISR",C1053&lt;&gt;"Retención IVA"),AND(C1053="Servicio",F1053&lt;&gt;"TMS",F1053&lt;&gt;"Valoración",F1053&lt;&gt;"EEG",F1053&lt;&gt;"Neurofeedback",F1053&lt;&gt;"Fotobiomodulación",F1053&lt;&gt;"Psicoterapia",F1053&lt;&gt;"Otros")),"Tipo o categoría inválido",IF(COUNTA(A1053:J1053)=0,"",IF(OR(A1053="",B1053="",C1053="",G1053=""),"Faltan datos",IF(COUNTIF($A$7:$A$2006,A1053)&gt;1,"ID duplicado",IF(OR(B1053&lt;DATE(Configuración!$C$5,1,1),B1053&gt;=DATE(Configuración!$C$5+1,1,1)),"Fecha fuera del año",IF(OR(G1053&lt;0,H1053&lt;0),"Revisar signo",IF(AND(C1053&lt;&gt;"Servicio",H1053&lt;&gt;0),"IVA solo en Servicio",IF(AND(C1053="Servicio",F1053=""),"Falta servicio","OK")))))))))</f>
        <v/>
      </c>
    </row>
    <row r="1054" spans="1:12" ht="22" customHeight="1">
      <c r="A1054" s="3"/>
      <c r="B1054" s="7"/>
      <c r="C1054" s="3"/>
      <c r="D1054" s="3"/>
      <c r="E1054" s="3"/>
      <c r="F1054" s="3"/>
      <c r="G1054" s="4"/>
      <c r="H1054" s="4"/>
      <c r="I1054" s="3"/>
      <c r="J1054" s="3"/>
      <c r="K1054" s="8" t="str">
        <f t="shared" si="16"/>
        <v/>
      </c>
      <c r="L1054" s="1" t="str">
        <f>IF(COUNTA(A1054:J1054)=0,"",IF(OR(AND(C1054&lt;&gt;"Servicio",C1054&lt;&gt;"Cobro",C1054&lt;&gt;"Anticipo",C1054&lt;&gt;"Aplicación anticipo",C1054&lt;&gt;"Retención ISR",C1054&lt;&gt;"Retención IVA"),AND(C1054="Servicio",F1054&lt;&gt;"TMS",F1054&lt;&gt;"Valoración",F1054&lt;&gt;"EEG",F1054&lt;&gt;"Neurofeedback",F1054&lt;&gt;"Fotobiomodulación",F1054&lt;&gt;"Psicoterapia",F1054&lt;&gt;"Otros")),"Tipo o categoría inválido",IF(COUNTA(A1054:J1054)=0,"",IF(OR(A1054="",B1054="",C1054="",G1054=""),"Faltan datos",IF(COUNTIF($A$7:$A$2006,A1054)&gt;1,"ID duplicado",IF(OR(B1054&lt;DATE(Configuración!$C$5,1,1),B1054&gt;=DATE(Configuración!$C$5+1,1,1)),"Fecha fuera del año",IF(OR(G1054&lt;0,H1054&lt;0),"Revisar signo",IF(AND(C1054&lt;&gt;"Servicio",H1054&lt;&gt;0),"IVA solo en Servicio",IF(AND(C1054="Servicio",F1054=""),"Falta servicio","OK")))))))))</f>
        <v/>
      </c>
    </row>
    <row r="1055" spans="1:12" ht="22" customHeight="1">
      <c r="A1055" s="3"/>
      <c r="B1055" s="7"/>
      <c r="C1055" s="3"/>
      <c r="D1055" s="3"/>
      <c r="E1055" s="3"/>
      <c r="F1055" s="3"/>
      <c r="G1055" s="4"/>
      <c r="H1055" s="4"/>
      <c r="I1055" s="3"/>
      <c r="J1055" s="3"/>
      <c r="K1055" s="8" t="str">
        <f t="shared" si="16"/>
        <v/>
      </c>
      <c r="L1055" s="1" t="str">
        <f>IF(COUNTA(A1055:J1055)=0,"",IF(OR(AND(C1055&lt;&gt;"Servicio",C1055&lt;&gt;"Cobro",C1055&lt;&gt;"Anticipo",C1055&lt;&gt;"Aplicación anticipo",C1055&lt;&gt;"Retención ISR",C1055&lt;&gt;"Retención IVA"),AND(C1055="Servicio",F1055&lt;&gt;"TMS",F1055&lt;&gt;"Valoración",F1055&lt;&gt;"EEG",F1055&lt;&gt;"Neurofeedback",F1055&lt;&gt;"Fotobiomodulación",F1055&lt;&gt;"Psicoterapia",F1055&lt;&gt;"Otros")),"Tipo o categoría inválido",IF(COUNTA(A1055:J1055)=0,"",IF(OR(A1055="",B1055="",C1055="",G1055=""),"Faltan datos",IF(COUNTIF($A$7:$A$2006,A1055)&gt;1,"ID duplicado",IF(OR(B1055&lt;DATE(Configuración!$C$5,1,1),B1055&gt;=DATE(Configuración!$C$5+1,1,1)),"Fecha fuera del año",IF(OR(G1055&lt;0,H1055&lt;0),"Revisar signo",IF(AND(C1055&lt;&gt;"Servicio",H1055&lt;&gt;0),"IVA solo en Servicio",IF(AND(C1055="Servicio",F1055=""),"Falta servicio","OK")))))))))</f>
        <v/>
      </c>
    </row>
    <row r="1056" spans="1:12" ht="22" customHeight="1">
      <c r="A1056" s="3"/>
      <c r="B1056" s="7"/>
      <c r="C1056" s="3"/>
      <c r="D1056" s="3"/>
      <c r="E1056" s="3"/>
      <c r="F1056" s="3"/>
      <c r="G1056" s="4"/>
      <c r="H1056" s="4"/>
      <c r="I1056" s="3"/>
      <c r="J1056" s="3"/>
      <c r="K1056" s="8" t="str">
        <f t="shared" si="16"/>
        <v/>
      </c>
      <c r="L1056" s="1" t="str">
        <f>IF(COUNTA(A1056:J1056)=0,"",IF(OR(AND(C1056&lt;&gt;"Servicio",C1056&lt;&gt;"Cobro",C1056&lt;&gt;"Anticipo",C1056&lt;&gt;"Aplicación anticipo",C1056&lt;&gt;"Retención ISR",C1056&lt;&gt;"Retención IVA"),AND(C1056="Servicio",F1056&lt;&gt;"TMS",F1056&lt;&gt;"Valoración",F1056&lt;&gt;"EEG",F1056&lt;&gt;"Neurofeedback",F1056&lt;&gt;"Fotobiomodulación",F1056&lt;&gt;"Psicoterapia",F1056&lt;&gt;"Otros")),"Tipo o categoría inválido",IF(COUNTA(A1056:J1056)=0,"",IF(OR(A1056="",B1056="",C1056="",G1056=""),"Faltan datos",IF(COUNTIF($A$7:$A$2006,A1056)&gt;1,"ID duplicado",IF(OR(B1056&lt;DATE(Configuración!$C$5,1,1),B1056&gt;=DATE(Configuración!$C$5+1,1,1)),"Fecha fuera del año",IF(OR(G1056&lt;0,H1056&lt;0),"Revisar signo",IF(AND(C1056&lt;&gt;"Servicio",H1056&lt;&gt;0),"IVA solo en Servicio",IF(AND(C1056="Servicio",F1056=""),"Falta servicio","OK")))))))))</f>
        <v/>
      </c>
    </row>
    <row r="1057" spans="1:12" ht="22" customHeight="1">
      <c r="A1057" s="3"/>
      <c r="B1057" s="7"/>
      <c r="C1057" s="3"/>
      <c r="D1057" s="3"/>
      <c r="E1057" s="3"/>
      <c r="F1057" s="3"/>
      <c r="G1057" s="4"/>
      <c r="H1057" s="4"/>
      <c r="I1057" s="3"/>
      <c r="J1057" s="3"/>
      <c r="K1057" s="8" t="str">
        <f t="shared" si="16"/>
        <v/>
      </c>
      <c r="L1057" s="1" t="str">
        <f>IF(COUNTA(A1057:J1057)=0,"",IF(OR(AND(C1057&lt;&gt;"Servicio",C1057&lt;&gt;"Cobro",C1057&lt;&gt;"Anticipo",C1057&lt;&gt;"Aplicación anticipo",C1057&lt;&gt;"Retención ISR",C1057&lt;&gt;"Retención IVA"),AND(C1057="Servicio",F1057&lt;&gt;"TMS",F1057&lt;&gt;"Valoración",F1057&lt;&gt;"EEG",F1057&lt;&gt;"Neurofeedback",F1057&lt;&gt;"Fotobiomodulación",F1057&lt;&gt;"Psicoterapia",F1057&lt;&gt;"Otros")),"Tipo o categoría inválido",IF(COUNTA(A1057:J1057)=0,"",IF(OR(A1057="",B1057="",C1057="",G1057=""),"Faltan datos",IF(COUNTIF($A$7:$A$2006,A1057)&gt;1,"ID duplicado",IF(OR(B1057&lt;DATE(Configuración!$C$5,1,1),B1057&gt;=DATE(Configuración!$C$5+1,1,1)),"Fecha fuera del año",IF(OR(G1057&lt;0,H1057&lt;0),"Revisar signo",IF(AND(C1057&lt;&gt;"Servicio",H1057&lt;&gt;0),"IVA solo en Servicio",IF(AND(C1057="Servicio",F1057=""),"Falta servicio","OK")))))))))</f>
        <v/>
      </c>
    </row>
    <row r="1058" spans="1:12" ht="22" customHeight="1">
      <c r="A1058" s="3"/>
      <c r="B1058" s="7"/>
      <c r="C1058" s="3"/>
      <c r="D1058" s="3"/>
      <c r="E1058" s="3"/>
      <c r="F1058" s="3"/>
      <c r="G1058" s="4"/>
      <c r="H1058" s="4"/>
      <c r="I1058" s="3"/>
      <c r="J1058" s="3"/>
      <c r="K1058" s="8" t="str">
        <f t="shared" si="16"/>
        <v/>
      </c>
      <c r="L1058" s="1" t="str">
        <f>IF(COUNTA(A1058:J1058)=0,"",IF(OR(AND(C1058&lt;&gt;"Servicio",C1058&lt;&gt;"Cobro",C1058&lt;&gt;"Anticipo",C1058&lt;&gt;"Aplicación anticipo",C1058&lt;&gt;"Retención ISR",C1058&lt;&gt;"Retención IVA"),AND(C1058="Servicio",F1058&lt;&gt;"TMS",F1058&lt;&gt;"Valoración",F1058&lt;&gt;"EEG",F1058&lt;&gt;"Neurofeedback",F1058&lt;&gt;"Fotobiomodulación",F1058&lt;&gt;"Psicoterapia",F1058&lt;&gt;"Otros")),"Tipo o categoría inválido",IF(COUNTA(A1058:J1058)=0,"",IF(OR(A1058="",B1058="",C1058="",G1058=""),"Faltan datos",IF(COUNTIF($A$7:$A$2006,A1058)&gt;1,"ID duplicado",IF(OR(B1058&lt;DATE(Configuración!$C$5,1,1),B1058&gt;=DATE(Configuración!$C$5+1,1,1)),"Fecha fuera del año",IF(OR(G1058&lt;0,H1058&lt;0),"Revisar signo",IF(AND(C1058&lt;&gt;"Servicio",H1058&lt;&gt;0),"IVA solo en Servicio",IF(AND(C1058="Servicio",F1058=""),"Falta servicio","OK")))))))))</f>
        <v/>
      </c>
    </row>
    <row r="1059" spans="1:12" ht="22" customHeight="1">
      <c r="A1059" s="3"/>
      <c r="B1059" s="7"/>
      <c r="C1059" s="3"/>
      <c r="D1059" s="3"/>
      <c r="E1059" s="3"/>
      <c r="F1059" s="3"/>
      <c r="G1059" s="4"/>
      <c r="H1059" s="4"/>
      <c r="I1059" s="3"/>
      <c r="J1059" s="3"/>
      <c r="K1059" s="8" t="str">
        <f t="shared" si="16"/>
        <v/>
      </c>
      <c r="L1059" s="1" t="str">
        <f>IF(COUNTA(A1059:J1059)=0,"",IF(OR(AND(C1059&lt;&gt;"Servicio",C1059&lt;&gt;"Cobro",C1059&lt;&gt;"Anticipo",C1059&lt;&gt;"Aplicación anticipo",C1059&lt;&gt;"Retención ISR",C1059&lt;&gt;"Retención IVA"),AND(C1059="Servicio",F1059&lt;&gt;"TMS",F1059&lt;&gt;"Valoración",F1059&lt;&gt;"EEG",F1059&lt;&gt;"Neurofeedback",F1059&lt;&gt;"Fotobiomodulación",F1059&lt;&gt;"Psicoterapia",F1059&lt;&gt;"Otros")),"Tipo o categoría inválido",IF(COUNTA(A1059:J1059)=0,"",IF(OR(A1059="",B1059="",C1059="",G1059=""),"Faltan datos",IF(COUNTIF($A$7:$A$2006,A1059)&gt;1,"ID duplicado",IF(OR(B1059&lt;DATE(Configuración!$C$5,1,1),B1059&gt;=DATE(Configuración!$C$5+1,1,1)),"Fecha fuera del año",IF(OR(G1059&lt;0,H1059&lt;0),"Revisar signo",IF(AND(C1059&lt;&gt;"Servicio",H1059&lt;&gt;0),"IVA solo en Servicio",IF(AND(C1059="Servicio",F1059=""),"Falta servicio","OK")))))))))</f>
        <v/>
      </c>
    </row>
    <row r="1060" spans="1:12" ht="22" customHeight="1">
      <c r="A1060" s="3"/>
      <c r="B1060" s="7"/>
      <c r="C1060" s="3"/>
      <c r="D1060" s="3"/>
      <c r="E1060" s="3"/>
      <c r="F1060" s="3"/>
      <c r="G1060" s="4"/>
      <c r="H1060" s="4"/>
      <c r="I1060" s="3"/>
      <c r="J1060" s="3"/>
      <c r="K1060" s="8" t="str">
        <f t="shared" si="16"/>
        <v/>
      </c>
      <c r="L1060" s="1" t="str">
        <f>IF(COUNTA(A1060:J1060)=0,"",IF(OR(AND(C1060&lt;&gt;"Servicio",C1060&lt;&gt;"Cobro",C1060&lt;&gt;"Anticipo",C1060&lt;&gt;"Aplicación anticipo",C1060&lt;&gt;"Retención ISR",C1060&lt;&gt;"Retención IVA"),AND(C1060="Servicio",F1060&lt;&gt;"TMS",F1060&lt;&gt;"Valoración",F1060&lt;&gt;"EEG",F1060&lt;&gt;"Neurofeedback",F1060&lt;&gt;"Fotobiomodulación",F1060&lt;&gt;"Psicoterapia",F1060&lt;&gt;"Otros")),"Tipo o categoría inválido",IF(COUNTA(A1060:J1060)=0,"",IF(OR(A1060="",B1060="",C1060="",G1060=""),"Faltan datos",IF(COUNTIF($A$7:$A$2006,A1060)&gt;1,"ID duplicado",IF(OR(B1060&lt;DATE(Configuración!$C$5,1,1),B1060&gt;=DATE(Configuración!$C$5+1,1,1)),"Fecha fuera del año",IF(OR(G1060&lt;0,H1060&lt;0),"Revisar signo",IF(AND(C1060&lt;&gt;"Servicio",H1060&lt;&gt;0),"IVA solo en Servicio",IF(AND(C1060="Servicio",F1060=""),"Falta servicio","OK")))))))))</f>
        <v/>
      </c>
    </row>
    <row r="1061" spans="1:12" ht="22" customHeight="1">
      <c r="A1061" s="3"/>
      <c r="B1061" s="7"/>
      <c r="C1061" s="3"/>
      <c r="D1061" s="3"/>
      <c r="E1061" s="3"/>
      <c r="F1061" s="3"/>
      <c r="G1061" s="4"/>
      <c r="H1061" s="4"/>
      <c r="I1061" s="3"/>
      <c r="J1061" s="3"/>
      <c r="K1061" s="8" t="str">
        <f t="shared" si="16"/>
        <v/>
      </c>
      <c r="L1061" s="1" t="str">
        <f>IF(COUNTA(A1061:J1061)=0,"",IF(OR(AND(C1061&lt;&gt;"Servicio",C1061&lt;&gt;"Cobro",C1061&lt;&gt;"Anticipo",C1061&lt;&gt;"Aplicación anticipo",C1061&lt;&gt;"Retención ISR",C1061&lt;&gt;"Retención IVA"),AND(C1061="Servicio",F1061&lt;&gt;"TMS",F1061&lt;&gt;"Valoración",F1061&lt;&gt;"EEG",F1061&lt;&gt;"Neurofeedback",F1061&lt;&gt;"Fotobiomodulación",F1061&lt;&gt;"Psicoterapia",F1061&lt;&gt;"Otros")),"Tipo o categoría inválido",IF(COUNTA(A1061:J1061)=0,"",IF(OR(A1061="",B1061="",C1061="",G1061=""),"Faltan datos",IF(COUNTIF($A$7:$A$2006,A1061)&gt;1,"ID duplicado",IF(OR(B1061&lt;DATE(Configuración!$C$5,1,1),B1061&gt;=DATE(Configuración!$C$5+1,1,1)),"Fecha fuera del año",IF(OR(G1061&lt;0,H1061&lt;0),"Revisar signo",IF(AND(C1061&lt;&gt;"Servicio",H1061&lt;&gt;0),"IVA solo en Servicio",IF(AND(C1061="Servicio",F1061=""),"Falta servicio","OK")))))))))</f>
        <v/>
      </c>
    </row>
    <row r="1062" spans="1:12" ht="22" customHeight="1">
      <c r="A1062" s="3"/>
      <c r="B1062" s="7"/>
      <c r="C1062" s="3"/>
      <c r="D1062" s="3"/>
      <c r="E1062" s="3"/>
      <c r="F1062" s="3"/>
      <c r="G1062" s="4"/>
      <c r="H1062" s="4"/>
      <c r="I1062" s="3"/>
      <c r="J1062" s="3"/>
      <c r="K1062" s="8" t="str">
        <f t="shared" si="16"/>
        <v/>
      </c>
      <c r="L1062" s="1" t="str">
        <f>IF(COUNTA(A1062:J1062)=0,"",IF(OR(AND(C1062&lt;&gt;"Servicio",C1062&lt;&gt;"Cobro",C1062&lt;&gt;"Anticipo",C1062&lt;&gt;"Aplicación anticipo",C1062&lt;&gt;"Retención ISR",C1062&lt;&gt;"Retención IVA"),AND(C1062="Servicio",F1062&lt;&gt;"TMS",F1062&lt;&gt;"Valoración",F1062&lt;&gt;"EEG",F1062&lt;&gt;"Neurofeedback",F1062&lt;&gt;"Fotobiomodulación",F1062&lt;&gt;"Psicoterapia",F1062&lt;&gt;"Otros")),"Tipo o categoría inválido",IF(COUNTA(A1062:J1062)=0,"",IF(OR(A1062="",B1062="",C1062="",G1062=""),"Faltan datos",IF(COUNTIF($A$7:$A$2006,A1062)&gt;1,"ID duplicado",IF(OR(B1062&lt;DATE(Configuración!$C$5,1,1),B1062&gt;=DATE(Configuración!$C$5+1,1,1)),"Fecha fuera del año",IF(OR(G1062&lt;0,H1062&lt;0),"Revisar signo",IF(AND(C1062&lt;&gt;"Servicio",H1062&lt;&gt;0),"IVA solo en Servicio",IF(AND(C1062="Servicio",F1062=""),"Falta servicio","OK")))))))))</f>
        <v/>
      </c>
    </row>
    <row r="1063" spans="1:12" ht="22" customHeight="1">
      <c r="A1063" s="3"/>
      <c r="B1063" s="7"/>
      <c r="C1063" s="3"/>
      <c r="D1063" s="3"/>
      <c r="E1063" s="3"/>
      <c r="F1063" s="3"/>
      <c r="G1063" s="4"/>
      <c r="H1063" s="4"/>
      <c r="I1063" s="3"/>
      <c r="J1063" s="3"/>
      <c r="K1063" s="8" t="str">
        <f t="shared" si="16"/>
        <v/>
      </c>
      <c r="L1063" s="1" t="str">
        <f>IF(COUNTA(A1063:J1063)=0,"",IF(OR(AND(C1063&lt;&gt;"Servicio",C1063&lt;&gt;"Cobro",C1063&lt;&gt;"Anticipo",C1063&lt;&gt;"Aplicación anticipo",C1063&lt;&gt;"Retención ISR",C1063&lt;&gt;"Retención IVA"),AND(C1063="Servicio",F1063&lt;&gt;"TMS",F1063&lt;&gt;"Valoración",F1063&lt;&gt;"EEG",F1063&lt;&gt;"Neurofeedback",F1063&lt;&gt;"Fotobiomodulación",F1063&lt;&gt;"Psicoterapia",F1063&lt;&gt;"Otros")),"Tipo o categoría inválido",IF(COUNTA(A1063:J1063)=0,"",IF(OR(A1063="",B1063="",C1063="",G1063=""),"Faltan datos",IF(COUNTIF($A$7:$A$2006,A1063)&gt;1,"ID duplicado",IF(OR(B1063&lt;DATE(Configuración!$C$5,1,1),B1063&gt;=DATE(Configuración!$C$5+1,1,1)),"Fecha fuera del año",IF(OR(G1063&lt;0,H1063&lt;0),"Revisar signo",IF(AND(C1063&lt;&gt;"Servicio",H1063&lt;&gt;0),"IVA solo en Servicio",IF(AND(C1063="Servicio",F1063=""),"Falta servicio","OK")))))))))</f>
        <v/>
      </c>
    </row>
    <row r="1064" spans="1:12" ht="22" customHeight="1">
      <c r="A1064" s="3"/>
      <c r="B1064" s="7"/>
      <c r="C1064" s="3"/>
      <c r="D1064" s="3"/>
      <c r="E1064" s="3"/>
      <c r="F1064" s="3"/>
      <c r="G1064" s="4"/>
      <c r="H1064" s="4"/>
      <c r="I1064" s="3"/>
      <c r="J1064" s="3"/>
      <c r="K1064" s="8" t="str">
        <f t="shared" si="16"/>
        <v/>
      </c>
      <c r="L1064" s="1" t="str">
        <f>IF(COUNTA(A1064:J1064)=0,"",IF(OR(AND(C1064&lt;&gt;"Servicio",C1064&lt;&gt;"Cobro",C1064&lt;&gt;"Anticipo",C1064&lt;&gt;"Aplicación anticipo",C1064&lt;&gt;"Retención ISR",C1064&lt;&gt;"Retención IVA"),AND(C1064="Servicio",F1064&lt;&gt;"TMS",F1064&lt;&gt;"Valoración",F1064&lt;&gt;"EEG",F1064&lt;&gt;"Neurofeedback",F1064&lt;&gt;"Fotobiomodulación",F1064&lt;&gt;"Psicoterapia",F1064&lt;&gt;"Otros")),"Tipo o categoría inválido",IF(COUNTA(A1064:J1064)=0,"",IF(OR(A1064="",B1064="",C1064="",G1064=""),"Faltan datos",IF(COUNTIF($A$7:$A$2006,A1064)&gt;1,"ID duplicado",IF(OR(B1064&lt;DATE(Configuración!$C$5,1,1),B1064&gt;=DATE(Configuración!$C$5+1,1,1)),"Fecha fuera del año",IF(OR(G1064&lt;0,H1064&lt;0),"Revisar signo",IF(AND(C1064&lt;&gt;"Servicio",H1064&lt;&gt;0),"IVA solo en Servicio",IF(AND(C1064="Servicio",F1064=""),"Falta servicio","OK")))))))))</f>
        <v/>
      </c>
    </row>
    <row r="1065" spans="1:12" ht="22" customHeight="1">
      <c r="A1065" s="3"/>
      <c r="B1065" s="7"/>
      <c r="C1065" s="3"/>
      <c r="D1065" s="3"/>
      <c r="E1065" s="3"/>
      <c r="F1065" s="3"/>
      <c r="G1065" s="4"/>
      <c r="H1065" s="4"/>
      <c r="I1065" s="3"/>
      <c r="J1065" s="3"/>
      <c r="K1065" s="8" t="str">
        <f t="shared" si="16"/>
        <v/>
      </c>
      <c r="L1065" s="1" t="str">
        <f>IF(COUNTA(A1065:J1065)=0,"",IF(OR(AND(C1065&lt;&gt;"Servicio",C1065&lt;&gt;"Cobro",C1065&lt;&gt;"Anticipo",C1065&lt;&gt;"Aplicación anticipo",C1065&lt;&gt;"Retención ISR",C1065&lt;&gt;"Retención IVA"),AND(C1065="Servicio",F1065&lt;&gt;"TMS",F1065&lt;&gt;"Valoración",F1065&lt;&gt;"EEG",F1065&lt;&gt;"Neurofeedback",F1065&lt;&gt;"Fotobiomodulación",F1065&lt;&gt;"Psicoterapia",F1065&lt;&gt;"Otros")),"Tipo o categoría inválido",IF(COUNTA(A1065:J1065)=0,"",IF(OR(A1065="",B1065="",C1065="",G1065=""),"Faltan datos",IF(COUNTIF($A$7:$A$2006,A1065)&gt;1,"ID duplicado",IF(OR(B1065&lt;DATE(Configuración!$C$5,1,1),B1065&gt;=DATE(Configuración!$C$5+1,1,1)),"Fecha fuera del año",IF(OR(G1065&lt;0,H1065&lt;0),"Revisar signo",IF(AND(C1065&lt;&gt;"Servicio",H1065&lt;&gt;0),"IVA solo en Servicio",IF(AND(C1065="Servicio",F1065=""),"Falta servicio","OK")))))))))</f>
        <v/>
      </c>
    </row>
    <row r="1066" spans="1:12" ht="22" customHeight="1">
      <c r="A1066" s="3"/>
      <c r="B1066" s="7"/>
      <c r="C1066" s="3"/>
      <c r="D1066" s="3"/>
      <c r="E1066" s="3"/>
      <c r="F1066" s="3"/>
      <c r="G1066" s="4"/>
      <c r="H1066" s="4"/>
      <c r="I1066" s="3"/>
      <c r="J1066" s="3"/>
      <c r="K1066" s="8" t="str">
        <f t="shared" si="16"/>
        <v/>
      </c>
      <c r="L1066" s="1" t="str">
        <f>IF(COUNTA(A1066:J1066)=0,"",IF(OR(AND(C1066&lt;&gt;"Servicio",C1066&lt;&gt;"Cobro",C1066&lt;&gt;"Anticipo",C1066&lt;&gt;"Aplicación anticipo",C1066&lt;&gt;"Retención ISR",C1066&lt;&gt;"Retención IVA"),AND(C1066="Servicio",F1066&lt;&gt;"TMS",F1066&lt;&gt;"Valoración",F1066&lt;&gt;"EEG",F1066&lt;&gt;"Neurofeedback",F1066&lt;&gt;"Fotobiomodulación",F1066&lt;&gt;"Psicoterapia",F1066&lt;&gt;"Otros")),"Tipo o categoría inválido",IF(COUNTA(A1066:J1066)=0,"",IF(OR(A1066="",B1066="",C1066="",G1066=""),"Faltan datos",IF(COUNTIF($A$7:$A$2006,A1066)&gt;1,"ID duplicado",IF(OR(B1066&lt;DATE(Configuración!$C$5,1,1),B1066&gt;=DATE(Configuración!$C$5+1,1,1)),"Fecha fuera del año",IF(OR(G1066&lt;0,H1066&lt;0),"Revisar signo",IF(AND(C1066&lt;&gt;"Servicio",H1066&lt;&gt;0),"IVA solo en Servicio",IF(AND(C1066="Servicio",F1066=""),"Falta servicio","OK")))))))))</f>
        <v/>
      </c>
    </row>
    <row r="1067" spans="1:12" ht="22" customHeight="1">
      <c r="A1067" s="3"/>
      <c r="B1067" s="7"/>
      <c r="C1067" s="3"/>
      <c r="D1067" s="3"/>
      <c r="E1067" s="3"/>
      <c r="F1067" s="3"/>
      <c r="G1067" s="4"/>
      <c r="H1067" s="4"/>
      <c r="I1067" s="3"/>
      <c r="J1067" s="3"/>
      <c r="K1067" s="8" t="str">
        <f t="shared" si="16"/>
        <v/>
      </c>
      <c r="L1067" s="1" t="str">
        <f>IF(COUNTA(A1067:J1067)=0,"",IF(OR(AND(C1067&lt;&gt;"Servicio",C1067&lt;&gt;"Cobro",C1067&lt;&gt;"Anticipo",C1067&lt;&gt;"Aplicación anticipo",C1067&lt;&gt;"Retención ISR",C1067&lt;&gt;"Retención IVA"),AND(C1067="Servicio",F1067&lt;&gt;"TMS",F1067&lt;&gt;"Valoración",F1067&lt;&gt;"EEG",F1067&lt;&gt;"Neurofeedback",F1067&lt;&gt;"Fotobiomodulación",F1067&lt;&gt;"Psicoterapia",F1067&lt;&gt;"Otros")),"Tipo o categoría inválido",IF(COUNTA(A1067:J1067)=0,"",IF(OR(A1067="",B1067="",C1067="",G1067=""),"Faltan datos",IF(COUNTIF($A$7:$A$2006,A1067)&gt;1,"ID duplicado",IF(OR(B1067&lt;DATE(Configuración!$C$5,1,1),B1067&gt;=DATE(Configuración!$C$5+1,1,1)),"Fecha fuera del año",IF(OR(G1067&lt;0,H1067&lt;0),"Revisar signo",IF(AND(C1067&lt;&gt;"Servicio",H1067&lt;&gt;0),"IVA solo en Servicio",IF(AND(C1067="Servicio",F1067=""),"Falta servicio","OK")))))))))</f>
        <v/>
      </c>
    </row>
    <row r="1068" spans="1:12" ht="22" customHeight="1">
      <c r="A1068" s="3"/>
      <c r="B1068" s="7"/>
      <c r="C1068" s="3"/>
      <c r="D1068" s="3"/>
      <c r="E1068" s="3"/>
      <c r="F1068" s="3"/>
      <c r="G1068" s="4"/>
      <c r="H1068" s="4"/>
      <c r="I1068" s="3"/>
      <c r="J1068" s="3"/>
      <c r="K1068" s="8" t="str">
        <f t="shared" si="16"/>
        <v/>
      </c>
      <c r="L1068" s="1" t="str">
        <f>IF(COUNTA(A1068:J1068)=0,"",IF(OR(AND(C1068&lt;&gt;"Servicio",C1068&lt;&gt;"Cobro",C1068&lt;&gt;"Anticipo",C1068&lt;&gt;"Aplicación anticipo",C1068&lt;&gt;"Retención ISR",C1068&lt;&gt;"Retención IVA"),AND(C1068="Servicio",F1068&lt;&gt;"TMS",F1068&lt;&gt;"Valoración",F1068&lt;&gt;"EEG",F1068&lt;&gt;"Neurofeedback",F1068&lt;&gt;"Fotobiomodulación",F1068&lt;&gt;"Psicoterapia",F1068&lt;&gt;"Otros")),"Tipo o categoría inválido",IF(COUNTA(A1068:J1068)=0,"",IF(OR(A1068="",B1068="",C1068="",G1068=""),"Faltan datos",IF(COUNTIF($A$7:$A$2006,A1068)&gt;1,"ID duplicado",IF(OR(B1068&lt;DATE(Configuración!$C$5,1,1),B1068&gt;=DATE(Configuración!$C$5+1,1,1)),"Fecha fuera del año",IF(OR(G1068&lt;0,H1068&lt;0),"Revisar signo",IF(AND(C1068&lt;&gt;"Servicio",H1068&lt;&gt;0),"IVA solo en Servicio",IF(AND(C1068="Servicio",F1068=""),"Falta servicio","OK")))))))))</f>
        <v/>
      </c>
    </row>
    <row r="1069" spans="1:12" ht="22" customHeight="1">
      <c r="A1069" s="3"/>
      <c r="B1069" s="7"/>
      <c r="C1069" s="3"/>
      <c r="D1069" s="3"/>
      <c r="E1069" s="3"/>
      <c r="F1069" s="3"/>
      <c r="G1069" s="4"/>
      <c r="H1069" s="4"/>
      <c r="I1069" s="3"/>
      <c r="J1069" s="3"/>
      <c r="K1069" s="8" t="str">
        <f t="shared" si="16"/>
        <v/>
      </c>
      <c r="L1069" s="1" t="str">
        <f>IF(COUNTA(A1069:J1069)=0,"",IF(OR(AND(C1069&lt;&gt;"Servicio",C1069&lt;&gt;"Cobro",C1069&lt;&gt;"Anticipo",C1069&lt;&gt;"Aplicación anticipo",C1069&lt;&gt;"Retención ISR",C1069&lt;&gt;"Retención IVA"),AND(C1069="Servicio",F1069&lt;&gt;"TMS",F1069&lt;&gt;"Valoración",F1069&lt;&gt;"EEG",F1069&lt;&gt;"Neurofeedback",F1069&lt;&gt;"Fotobiomodulación",F1069&lt;&gt;"Psicoterapia",F1069&lt;&gt;"Otros")),"Tipo o categoría inválido",IF(COUNTA(A1069:J1069)=0,"",IF(OR(A1069="",B1069="",C1069="",G1069=""),"Faltan datos",IF(COUNTIF($A$7:$A$2006,A1069)&gt;1,"ID duplicado",IF(OR(B1069&lt;DATE(Configuración!$C$5,1,1),B1069&gt;=DATE(Configuración!$C$5+1,1,1)),"Fecha fuera del año",IF(OR(G1069&lt;0,H1069&lt;0),"Revisar signo",IF(AND(C1069&lt;&gt;"Servicio",H1069&lt;&gt;0),"IVA solo en Servicio",IF(AND(C1069="Servicio",F1069=""),"Falta servicio","OK")))))))))</f>
        <v/>
      </c>
    </row>
    <row r="1070" spans="1:12" ht="22" customHeight="1">
      <c r="A1070" s="3"/>
      <c r="B1070" s="7"/>
      <c r="C1070" s="3"/>
      <c r="D1070" s="3"/>
      <c r="E1070" s="3"/>
      <c r="F1070" s="3"/>
      <c r="G1070" s="4"/>
      <c r="H1070" s="4"/>
      <c r="I1070" s="3"/>
      <c r="J1070" s="3"/>
      <c r="K1070" s="8" t="str">
        <f t="shared" si="16"/>
        <v/>
      </c>
      <c r="L1070" s="1" t="str">
        <f>IF(COUNTA(A1070:J1070)=0,"",IF(OR(AND(C1070&lt;&gt;"Servicio",C1070&lt;&gt;"Cobro",C1070&lt;&gt;"Anticipo",C1070&lt;&gt;"Aplicación anticipo",C1070&lt;&gt;"Retención ISR",C1070&lt;&gt;"Retención IVA"),AND(C1070="Servicio",F1070&lt;&gt;"TMS",F1070&lt;&gt;"Valoración",F1070&lt;&gt;"EEG",F1070&lt;&gt;"Neurofeedback",F1070&lt;&gt;"Fotobiomodulación",F1070&lt;&gt;"Psicoterapia",F1070&lt;&gt;"Otros")),"Tipo o categoría inválido",IF(COUNTA(A1070:J1070)=0,"",IF(OR(A1070="",B1070="",C1070="",G1070=""),"Faltan datos",IF(COUNTIF($A$7:$A$2006,A1070)&gt;1,"ID duplicado",IF(OR(B1070&lt;DATE(Configuración!$C$5,1,1),B1070&gt;=DATE(Configuración!$C$5+1,1,1)),"Fecha fuera del año",IF(OR(G1070&lt;0,H1070&lt;0),"Revisar signo",IF(AND(C1070&lt;&gt;"Servicio",H1070&lt;&gt;0),"IVA solo en Servicio",IF(AND(C1070="Servicio",F1070=""),"Falta servicio","OK")))))))))</f>
        <v/>
      </c>
    </row>
    <row r="1071" spans="1:12" ht="22" customHeight="1">
      <c r="A1071" s="3"/>
      <c r="B1071" s="7"/>
      <c r="C1071" s="3"/>
      <c r="D1071" s="3"/>
      <c r="E1071" s="3"/>
      <c r="F1071" s="3"/>
      <c r="G1071" s="4"/>
      <c r="H1071" s="4"/>
      <c r="I1071" s="3"/>
      <c r="J1071" s="3"/>
      <c r="K1071" s="8" t="str">
        <f t="shared" si="16"/>
        <v/>
      </c>
      <c r="L1071" s="1" t="str">
        <f>IF(COUNTA(A1071:J1071)=0,"",IF(OR(AND(C1071&lt;&gt;"Servicio",C1071&lt;&gt;"Cobro",C1071&lt;&gt;"Anticipo",C1071&lt;&gt;"Aplicación anticipo",C1071&lt;&gt;"Retención ISR",C1071&lt;&gt;"Retención IVA"),AND(C1071="Servicio",F1071&lt;&gt;"TMS",F1071&lt;&gt;"Valoración",F1071&lt;&gt;"EEG",F1071&lt;&gt;"Neurofeedback",F1071&lt;&gt;"Fotobiomodulación",F1071&lt;&gt;"Psicoterapia",F1071&lt;&gt;"Otros")),"Tipo o categoría inválido",IF(COUNTA(A1071:J1071)=0,"",IF(OR(A1071="",B1071="",C1071="",G1071=""),"Faltan datos",IF(COUNTIF($A$7:$A$2006,A1071)&gt;1,"ID duplicado",IF(OR(B1071&lt;DATE(Configuración!$C$5,1,1),B1071&gt;=DATE(Configuración!$C$5+1,1,1)),"Fecha fuera del año",IF(OR(G1071&lt;0,H1071&lt;0),"Revisar signo",IF(AND(C1071&lt;&gt;"Servicio",H1071&lt;&gt;0),"IVA solo en Servicio",IF(AND(C1071="Servicio",F1071=""),"Falta servicio","OK")))))))))</f>
        <v/>
      </c>
    </row>
    <row r="1072" spans="1:12" ht="22" customHeight="1">
      <c r="A1072" s="3"/>
      <c r="B1072" s="7"/>
      <c r="C1072" s="3"/>
      <c r="D1072" s="3"/>
      <c r="E1072" s="3"/>
      <c r="F1072" s="3"/>
      <c r="G1072" s="4"/>
      <c r="H1072" s="4"/>
      <c r="I1072" s="3"/>
      <c r="J1072" s="3"/>
      <c r="K1072" s="8" t="str">
        <f t="shared" si="16"/>
        <v/>
      </c>
      <c r="L1072" s="1" t="str">
        <f>IF(COUNTA(A1072:J1072)=0,"",IF(OR(AND(C1072&lt;&gt;"Servicio",C1072&lt;&gt;"Cobro",C1072&lt;&gt;"Anticipo",C1072&lt;&gt;"Aplicación anticipo",C1072&lt;&gt;"Retención ISR",C1072&lt;&gt;"Retención IVA"),AND(C1072="Servicio",F1072&lt;&gt;"TMS",F1072&lt;&gt;"Valoración",F1072&lt;&gt;"EEG",F1072&lt;&gt;"Neurofeedback",F1072&lt;&gt;"Fotobiomodulación",F1072&lt;&gt;"Psicoterapia",F1072&lt;&gt;"Otros")),"Tipo o categoría inválido",IF(COUNTA(A1072:J1072)=0,"",IF(OR(A1072="",B1072="",C1072="",G1072=""),"Faltan datos",IF(COUNTIF($A$7:$A$2006,A1072)&gt;1,"ID duplicado",IF(OR(B1072&lt;DATE(Configuración!$C$5,1,1),B1072&gt;=DATE(Configuración!$C$5+1,1,1)),"Fecha fuera del año",IF(OR(G1072&lt;0,H1072&lt;0),"Revisar signo",IF(AND(C1072&lt;&gt;"Servicio",H1072&lt;&gt;0),"IVA solo en Servicio",IF(AND(C1072="Servicio",F1072=""),"Falta servicio","OK")))))))))</f>
        <v/>
      </c>
    </row>
    <row r="1073" spans="1:12" ht="22" customHeight="1">
      <c r="A1073" s="3"/>
      <c r="B1073" s="7"/>
      <c r="C1073" s="3"/>
      <c r="D1073" s="3"/>
      <c r="E1073" s="3"/>
      <c r="F1073" s="3"/>
      <c r="G1073" s="4"/>
      <c r="H1073" s="4"/>
      <c r="I1073" s="3"/>
      <c r="J1073" s="3"/>
      <c r="K1073" s="8" t="str">
        <f t="shared" si="16"/>
        <v/>
      </c>
      <c r="L1073" s="1" t="str">
        <f>IF(COUNTA(A1073:J1073)=0,"",IF(OR(AND(C1073&lt;&gt;"Servicio",C1073&lt;&gt;"Cobro",C1073&lt;&gt;"Anticipo",C1073&lt;&gt;"Aplicación anticipo",C1073&lt;&gt;"Retención ISR",C1073&lt;&gt;"Retención IVA"),AND(C1073="Servicio",F1073&lt;&gt;"TMS",F1073&lt;&gt;"Valoración",F1073&lt;&gt;"EEG",F1073&lt;&gt;"Neurofeedback",F1073&lt;&gt;"Fotobiomodulación",F1073&lt;&gt;"Psicoterapia",F1073&lt;&gt;"Otros")),"Tipo o categoría inválido",IF(COUNTA(A1073:J1073)=0,"",IF(OR(A1073="",B1073="",C1073="",G1073=""),"Faltan datos",IF(COUNTIF($A$7:$A$2006,A1073)&gt;1,"ID duplicado",IF(OR(B1073&lt;DATE(Configuración!$C$5,1,1),B1073&gt;=DATE(Configuración!$C$5+1,1,1)),"Fecha fuera del año",IF(OR(G1073&lt;0,H1073&lt;0),"Revisar signo",IF(AND(C1073&lt;&gt;"Servicio",H1073&lt;&gt;0),"IVA solo en Servicio",IF(AND(C1073="Servicio",F1073=""),"Falta servicio","OK")))))))))</f>
        <v/>
      </c>
    </row>
    <row r="1074" spans="1:12" ht="22" customHeight="1">
      <c r="A1074" s="3"/>
      <c r="B1074" s="7"/>
      <c r="C1074" s="3"/>
      <c r="D1074" s="3"/>
      <c r="E1074" s="3"/>
      <c r="F1074" s="3"/>
      <c r="G1074" s="4"/>
      <c r="H1074" s="4"/>
      <c r="I1074" s="3"/>
      <c r="J1074" s="3"/>
      <c r="K1074" s="8" t="str">
        <f t="shared" si="16"/>
        <v/>
      </c>
      <c r="L1074" s="1" t="str">
        <f>IF(COUNTA(A1074:J1074)=0,"",IF(OR(AND(C1074&lt;&gt;"Servicio",C1074&lt;&gt;"Cobro",C1074&lt;&gt;"Anticipo",C1074&lt;&gt;"Aplicación anticipo",C1074&lt;&gt;"Retención ISR",C1074&lt;&gt;"Retención IVA"),AND(C1074="Servicio",F1074&lt;&gt;"TMS",F1074&lt;&gt;"Valoración",F1074&lt;&gt;"EEG",F1074&lt;&gt;"Neurofeedback",F1074&lt;&gt;"Fotobiomodulación",F1074&lt;&gt;"Psicoterapia",F1074&lt;&gt;"Otros")),"Tipo o categoría inválido",IF(COUNTA(A1074:J1074)=0,"",IF(OR(A1074="",B1074="",C1074="",G1074=""),"Faltan datos",IF(COUNTIF($A$7:$A$2006,A1074)&gt;1,"ID duplicado",IF(OR(B1074&lt;DATE(Configuración!$C$5,1,1),B1074&gt;=DATE(Configuración!$C$5+1,1,1)),"Fecha fuera del año",IF(OR(G1074&lt;0,H1074&lt;0),"Revisar signo",IF(AND(C1074&lt;&gt;"Servicio",H1074&lt;&gt;0),"IVA solo en Servicio",IF(AND(C1074="Servicio",F1074=""),"Falta servicio","OK")))))))))</f>
        <v/>
      </c>
    </row>
    <row r="1075" spans="1:12" ht="22" customHeight="1">
      <c r="A1075" s="3"/>
      <c r="B1075" s="7"/>
      <c r="C1075" s="3"/>
      <c r="D1075" s="3"/>
      <c r="E1075" s="3"/>
      <c r="F1075" s="3"/>
      <c r="G1075" s="4"/>
      <c r="H1075" s="4"/>
      <c r="I1075" s="3"/>
      <c r="J1075" s="3"/>
      <c r="K1075" s="8" t="str">
        <f t="shared" si="16"/>
        <v/>
      </c>
      <c r="L1075" s="1" t="str">
        <f>IF(COUNTA(A1075:J1075)=0,"",IF(OR(AND(C1075&lt;&gt;"Servicio",C1075&lt;&gt;"Cobro",C1075&lt;&gt;"Anticipo",C1075&lt;&gt;"Aplicación anticipo",C1075&lt;&gt;"Retención ISR",C1075&lt;&gt;"Retención IVA"),AND(C1075="Servicio",F1075&lt;&gt;"TMS",F1075&lt;&gt;"Valoración",F1075&lt;&gt;"EEG",F1075&lt;&gt;"Neurofeedback",F1075&lt;&gt;"Fotobiomodulación",F1075&lt;&gt;"Psicoterapia",F1075&lt;&gt;"Otros")),"Tipo o categoría inválido",IF(COUNTA(A1075:J1075)=0,"",IF(OR(A1075="",B1075="",C1075="",G1075=""),"Faltan datos",IF(COUNTIF($A$7:$A$2006,A1075)&gt;1,"ID duplicado",IF(OR(B1075&lt;DATE(Configuración!$C$5,1,1),B1075&gt;=DATE(Configuración!$C$5+1,1,1)),"Fecha fuera del año",IF(OR(G1075&lt;0,H1075&lt;0),"Revisar signo",IF(AND(C1075&lt;&gt;"Servicio",H1075&lt;&gt;0),"IVA solo en Servicio",IF(AND(C1075="Servicio",F1075=""),"Falta servicio","OK")))))))))</f>
        <v/>
      </c>
    </row>
    <row r="1076" spans="1:12" ht="22" customHeight="1">
      <c r="A1076" s="3"/>
      <c r="B1076" s="7"/>
      <c r="C1076" s="3"/>
      <c r="D1076" s="3"/>
      <c r="E1076" s="3"/>
      <c r="F1076" s="3"/>
      <c r="G1076" s="4"/>
      <c r="H1076" s="4"/>
      <c r="I1076" s="3"/>
      <c r="J1076" s="3"/>
      <c r="K1076" s="8" t="str">
        <f t="shared" si="16"/>
        <v/>
      </c>
      <c r="L1076" s="1" t="str">
        <f>IF(COUNTA(A1076:J1076)=0,"",IF(OR(AND(C1076&lt;&gt;"Servicio",C1076&lt;&gt;"Cobro",C1076&lt;&gt;"Anticipo",C1076&lt;&gt;"Aplicación anticipo",C1076&lt;&gt;"Retención ISR",C1076&lt;&gt;"Retención IVA"),AND(C1076="Servicio",F1076&lt;&gt;"TMS",F1076&lt;&gt;"Valoración",F1076&lt;&gt;"EEG",F1076&lt;&gt;"Neurofeedback",F1076&lt;&gt;"Fotobiomodulación",F1076&lt;&gt;"Psicoterapia",F1076&lt;&gt;"Otros")),"Tipo o categoría inválido",IF(COUNTA(A1076:J1076)=0,"",IF(OR(A1076="",B1076="",C1076="",G1076=""),"Faltan datos",IF(COUNTIF($A$7:$A$2006,A1076)&gt;1,"ID duplicado",IF(OR(B1076&lt;DATE(Configuración!$C$5,1,1),B1076&gt;=DATE(Configuración!$C$5+1,1,1)),"Fecha fuera del año",IF(OR(G1076&lt;0,H1076&lt;0),"Revisar signo",IF(AND(C1076&lt;&gt;"Servicio",H1076&lt;&gt;0),"IVA solo en Servicio",IF(AND(C1076="Servicio",F1076=""),"Falta servicio","OK")))))))))</f>
        <v/>
      </c>
    </row>
    <row r="1077" spans="1:12" ht="22" customHeight="1">
      <c r="A1077" s="3"/>
      <c r="B1077" s="7"/>
      <c r="C1077" s="3"/>
      <c r="D1077" s="3"/>
      <c r="E1077" s="3"/>
      <c r="F1077" s="3"/>
      <c r="G1077" s="4"/>
      <c r="H1077" s="4"/>
      <c r="I1077" s="3"/>
      <c r="J1077" s="3"/>
      <c r="K1077" s="8" t="str">
        <f t="shared" si="16"/>
        <v/>
      </c>
      <c r="L1077" s="1" t="str">
        <f>IF(COUNTA(A1077:J1077)=0,"",IF(OR(AND(C1077&lt;&gt;"Servicio",C1077&lt;&gt;"Cobro",C1077&lt;&gt;"Anticipo",C1077&lt;&gt;"Aplicación anticipo",C1077&lt;&gt;"Retención ISR",C1077&lt;&gt;"Retención IVA"),AND(C1077="Servicio",F1077&lt;&gt;"TMS",F1077&lt;&gt;"Valoración",F1077&lt;&gt;"EEG",F1077&lt;&gt;"Neurofeedback",F1077&lt;&gt;"Fotobiomodulación",F1077&lt;&gt;"Psicoterapia",F1077&lt;&gt;"Otros")),"Tipo o categoría inválido",IF(COUNTA(A1077:J1077)=0,"",IF(OR(A1077="",B1077="",C1077="",G1077=""),"Faltan datos",IF(COUNTIF($A$7:$A$2006,A1077)&gt;1,"ID duplicado",IF(OR(B1077&lt;DATE(Configuración!$C$5,1,1),B1077&gt;=DATE(Configuración!$C$5+1,1,1)),"Fecha fuera del año",IF(OR(G1077&lt;0,H1077&lt;0),"Revisar signo",IF(AND(C1077&lt;&gt;"Servicio",H1077&lt;&gt;0),"IVA solo en Servicio",IF(AND(C1077="Servicio",F1077=""),"Falta servicio","OK")))))))))</f>
        <v/>
      </c>
    </row>
    <row r="1078" spans="1:12" ht="22" customHeight="1">
      <c r="A1078" s="3"/>
      <c r="B1078" s="7"/>
      <c r="C1078" s="3"/>
      <c r="D1078" s="3"/>
      <c r="E1078" s="3"/>
      <c r="F1078" s="3"/>
      <c r="G1078" s="4"/>
      <c r="H1078" s="4"/>
      <c r="I1078" s="3"/>
      <c r="J1078" s="3"/>
      <c r="K1078" s="8" t="str">
        <f t="shared" si="16"/>
        <v/>
      </c>
      <c r="L1078" s="1" t="str">
        <f>IF(COUNTA(A1078:J1078)=0,"",IF(OR(AND(C1078&lt;&gt;"Servicio",C1078&lt;&gt;"Cobro",C1078&lt;&gt;"Anticipo",C1078&lt;&gt;"Aplicación anticipo",C1078&lt;&gt;"Retención ISR",C1078&lt;&gt;"Retención IVA"),AND(C1078="Servicio",F1078&lt;&gt;"TMS",F1078&lt;&gt;"Valoración",F1078&lt;&gt;"EEG",F1078&lt;&gt;"Neurofeedback",F1078&lt;&gt;"Fotobiomodulación",F1078&lt;&gt;"Psicoterapia",F1078&lt;&gt;"Otros")),"Tipo o categoría inválido",IF(COUNTA(A1078:J1078)=0,"",IF(OR(A1078="",B1078="",C1078="",G1078=""),"Faltan datos",IF(COUNTIF($A$7:$A$2006,A1078)&gt;1,"ID duplicado",IF(OR(B1078&lt;DATE(Configuración!$C$5,1,1),B1078&gt;=DATE(Configuración!$C$5+1,1,1)),"Fecha fuera del año",IF(OR(G1078&lt;0,H1078&lt;0),"Revisar signo",IF(AND(C1078&lt;&gt;"Servicio",H1078&lt;&gt;0),"IVA solo en Servicio",IF(AND(C1078="Servicio",F1078=""),"Falta servicio","OK")))))))))</f>
        <v/>
      </c>
    </row>
    <row r="1079" spans="1:12" ht="22" customHeight="1">
      <c r="A1079" s="3"/>
      <c r="B1079" s="7"/>
      <c r="C1079" s="3"/>
      <c r="D1079" s="3"/>
      <c r="E1079" s="3"/>
      <c r="F1079" s="3"/>
      <c r="G1079" s="4"/>
      <c r="H1079" s="4"/>
      <c r="I1079" s="3"/>
      <c r="J1079" s="3"/>
      <c r="K1079" s="8" t="str">
        <f t="shared" si="16"/>
        <v/>
      </c>
      <c r="L1079" s="1" t="str">
        <f>IF(COUNTA(A1079:J1079)=0,"",IF(OR(AND(C1079&lt;&gt;"Servicio",C1079&lt;&gt;"Cobro",C1079&lt;&gt;"Anticipo",C1079&lt;&gt;"Aplicación anticipo",C1079&lt;&gt;"Retención ISR",C1079&lt;&gt;"Retención IVA"),AND(C1079="Servicio",F1079&lt;&gt;"TMS",F1079&lt;&gt;"Valoración",F1079&lt;&gt;"EEG",F1079&lt;&gt;"Neurofeedback",F1079&lt;&gt;"Fotobiomodulación",F1079&lt;&gt;"Psicoterapia",F1079&lt;&gt;"Otros")),"Tipo o categoría inválido",IF(COUNTA(A1079:J1079)=0,"",IF(OR(A1079="",B1079="",C1079="",G1079=""),"Faltan datos",IF(COUNTIF($A$7:$A$2006,A1079)&gt;1,"ID duplicado",IF(OR(B1079&lt;DATE(Configuración!$C$5,1,1),B1079&gt;=DATE(Configuración!$C$5+1,1,1)),"Fecha fuera del año",IF(OR(G1079&lt;0,H1079&lt;0),"Revisar signo",IF(AND(C1079&lt;&gt;"Servicio",H1079&lt;&gt;0),"IVA solo en Servicio",IF(AND(C1079="Servicio",F1079=""),"Falta servicio","OK")))))))))</f>
        <v/>
      </c>
    </row>
    <row r="1080" spans="1:12" ht="22" customHeight="1">
      <c r="A1080" s="3"/>
      <c r="B1080" s="7"/>
      <c r="C1080" s="3"/>
      <c r="D1080" s="3"/>
      <c r="E1080" s="3"/>
      <c r="F1080" s="3"/>
      <c r="G1080" s="4"/>
      <c r="H1080" s="4"/>
      <c r="I1080" s="3"/>
      <c r="J1080" s="3"/>
      <c r="K1080" s="8" t="str">
        <f t="shared" si="16"/>
        <v/>
      </c>
      <c r="L1080" s="1" t="str">
        <f>IF(COUNTA(A1080:J1080)=0,"",IF(OR(AND(C1080&lt;&gt;"Servicio",C1080&lt;&gt;"Cobro",C1080&lt;&gt;"Anticipo",C1080&lt;&gt;"Aplicación anticipo",C1080&lt;&gt;"Retención ISR",C1080&lt;&gt;"Retención IVA"),AND(C1080="Servicio",F1080&lt;&gt;"TMS",F1080&lt;&gt;"Valoración",F1080&lt;&gt;"EEG",F1080&lt;&gt;"Neurofeedback",F1080&lt;&gt;"Fotobiomodulación",F1080&lt;&gt;"Psicoterapia",F1080&lt;&gt;"Otros")),"Tipo o categoría inválido",IF(COUNTA(A1080:J1080)=0,"",IF(OR(A1080="",B1080="",C1080="",G1080=""),"Faltan datos",IF(COUNTIF($A$7:$A$2006,A1080)&gt;1,"ID duplicado",IF(OR(B1080&lt;DATE(Configuración!$C$5,1,1),B1080&gt;=DATE(Configuración!$C$5+1,1,1)),"Fecha fuera del año",IF(OR(G1080&lt;0,H1080&lt;0),"Revisar signo",IF(AND(C1080&lt;&gt;"Servicio",H1080&lt;&gt;0),"IVA solo en Servicio",IF(AND(C1080="Servicio",F1080=""),"Falta servicio","OK")))))))))</f>
        <v/>
      </c>
    </row>
    <row r="1081" spans="1:12" ht="22" customHeight="1">
      <c r="A1081" s="3"/>
      <c r="B1081" s="7"/>
      <c r="C1081" s="3"/>
      <c r="D1081" s="3"/>
      <c r="E1081" s="3"/>
      <c r="F1081" s="3"/>
      <c r="G1081" s="4"/>
      <c r="H1081" s="4"/>
      <c r="I1081" s="3"/>
      <c r="J1081" s="3"/>
      <c r="K1081" s="8" t="str">
        <f t="shared" si="16"/>
        <v/>
      </c>
      <c r="L1081" s="1" t="str">
        <f>IF(COUNTA(A1081:J1081)=0,"",IF(OR(AND(C1081&lt;&gt;"Servicio",C1081&lt;&gt;"Cobro",C1081&lt;&gt;"Anticipo",C1081&lt;&gt;"Aplicación anticipo",C1081&lt;&gt;"Retención ISR",C1081&lt;&gt;"Retención IVA"),AND(C1081="Servicio",F1081&lt;&gt;"TMS",F1081&lt;&gt;"Valoración",F1081&lt;&gt;"EEG",F1081&lt;&gt;"Neurofeedback",F1081&lt;&gt;"Fotobiomodulación",F1081&lt;&gt;"Psicoterapia",F1081&lt;&gt;"Otros")),"Tipo o categoría inválido",IF(COUNTA(A1081:J1081)=0,"",IF(OR(A1081="",B1081="",C1081="",G1081=""),"Faltan datos",IF(COUNTIF($A$7:$A$2006,A1081)&gt;1,"ID duplicado",IF(OR(B1081&lt;DATE(Configuración!$C$5,1,1),B1081&gt;=DATE(Configuración!$C$5+1,1,1)),"Fecha fuera del año",IF(OR(G1081&lt;0,H1081&lt;0),"Revisar signo",IF(AND(C1081&lt;&gt;"Servicio",H1081&lt;&gt;0),"IVA solo en Servicio",IF(AND(C1081="Servicio",F1081=""),"Falta servicio","OK")))))))))</f>
        <v/>
      </c>
    </row>
    <row r="1082" spans="1:12" ht="22" customHeight="1">
      <c r="A1082" s="3"/>
      <c r="B1082" s="7"/>
      <c r="C1082" s="3"/>
      <c r="D1082" s="3"/>
      <c r="E1082" s="3"/>
      <c r="F1082" s="3"/>
      <c r="G1082" s="4"/>
      <c r="H1082" s="4"/>
      <c r="I1082" s="3"/>
      <c r="J1082" s="3"/>
      <c r="K1082" s="8" t="str">
        <f t="shared" si="16"/>
        <v/>
      </c>
      <c r="L1082" s="1" t="str">
        <f>IF(COUNTA(A1082:J1082)=0,"",IF(OR(AND(C1082&lt;&gt;"Servicio",C1082&lt;&gt;"Cobro",C1082&lt;&gt;"Anticipo",C1082&lt;&gt;"Aplicación anticipo",C1082&lt;&gt;"Retención ISR",C1082&lt;&gt;"Retención IVA"),AND(C1082="Servicio",F1082&lt;&gt;"TMS",F1082&lt;&gt;"Valoración",F1082&lt;&gt;"EEG",F1082&lt;&gt;"Neurofeedback",F1082&lt;&gt;"Fotobiomodulación",F1082&lt;&gt;"Psicoterapia",F1082&lt;&gt;"Otros")),"Tipo o categoría inválido",IF(COUNTA(A1082:J1082)=0,"",IF(OR(A1082="",B1082="",C1082="",G1082=""),"Faltan datos",IF(COUNTIF($A$7:$A$2006,A1082)&gt;1,"ID duplicado",IF(OR(B1082&lt;DATE(Configuración!$C$5,1,1),B1082&gt;=DATE(Configuración!$C$5+1,1,1)),"Fecha fuera del año",IF(OR(G1082&lt;0,H1082&lt;0),"Revisar signo",IF(AND(C1082&lt;&gt;"Servicio",H1082&lt;&gt;0),"IVA solo en Servicio",IF(AND(C1082="Servicio",F1082=""),"Falta servicio","OK")))))))))</f>
        <v/>
      </c>
    </row>
    <row r="1083" spans="1:12" ht="22" customHeight="1">
      <c r="A1083" s="3"/>
      <c r="B1083" s="7"/>
      <c r="C1083" s="3"/>
      <c r="D1083" s="3"/>
      <c r="E1083" s="3"/>
      <c r="F1083" s="3"/>
      <c r="G1083" s="4"/>
      <c r="H1083" s="4"/>
      <c r="I1083" s="3"/>
      <c r="J1083" s="3"/>
      <c r="K1083" s="8" t="str">
        <f t="shared" si="16"/>
        <v/>
      </c>
      <c r="L1083" s="1" t="str">
        <f>IF(COUNTA(A1083:J1083)=0,"",IF(OR(AND(C1083&lt;&gt;"Servicio",C1083&lt;&gt;"Cobro",C1083&lt;&gt;"Anticipo",C1083&lt;&gt;"Aplicación anticipo",C1083&lt;&gt;"Retención ISR",C1083&lt;&gt;"Retención IVA"),AND(C1083="Servicio",F1083&lt;&gt;"TMS",F1083&lt;&gt;"Valoración",F1083&lt;&gt;"EEG",F1083&lt;&gt;"Neurofeedback",F1083&lt;&gt;"Fotobiomodulación",F1083&lt;&gt;"Psicoterapia",F1083&lt;&gt;"Otros")),"Tipo o categoría inválido",IF(COUNTA(A1083:J1083)=0,"",IF(OR(A1083="",B1083="",C1083="",G1083=""),"Faltan datos",IF(COUNTIF($A$7:$A$2006,A1083)&gt;1,"ID duplicado",IF(OR(B1083&lt;DATE(Configuración!$C$5,1,1),B1083&gt;=DATE(Configuración!$C$5+1,1,1)),"Fecha fuera del año",IF(OR(G1083&lt;0,H1083&lt;0),"Revisar signo",IF(AND(C1083&lt;&gt;"Servicio",H1083&lt;&gt;0),"IVA solo en Servicio",IF(AND(C1083="Servicio",F1083=""),"Falta servicio","OK")))))))))</f>
        <v/>
      </c>
    </row>
    <row r="1084" spans="1:12" ht="22" customHeight="1">
      <c r="A1084" s="3"/>
      <c r="B1084" s="7"/>
      <c r="C1084" s="3"/>
      <c r="D1084" s="3"/>
      <c r="E1084" s="3"/>
      <c r="F1084" s="3"/>
      <c r="G1084" s="4"/>
      <c r="H1084" s="4"/>
      <c r="I1084" s="3"/>
      <c r="J1084" s="3"/>
      <c r="K1084" s="8" t="str">
        <f t="shared" si="16"/>
        <v/>
      </c>
      <c r="L1084" s="1" t="str">
        <f>IF(COUNTA(A1084:J1084)=0,"",IF(OR(AND(C1084&lt;&gt;"Servicio",C1084&lt;&gt;"Cobro",C1084&lt;&gt;"Anticipo",C1084&lt;&gt;"Aplicación anticipo",C1084&lt;&gt;"Retención ISR",C1084&lt;&gt;"Retención IVA"),AND(C1084="Servicio",F1084&lt;&gt;"TMS",F1084&lt;&gt;"Valoración",F1084&lt;&gt;"EEG",F1084&lt;&gt;"Neurofeedback",F1084&lt;&gt;"Fotobiomodulación",F1084&lt;&gt;"Psicoterapia",F1084&lt;&gt;"Otros")),"Tipo o categoría inválido",IF(COUNTA(A1084:J1084)=0,"",IF(OR(A1084="",B1084="",C1084="",G1084=""),"Faltan datos",IF(COUNTIF($A$7:$A$2006,A1084)&gt;1,"ID duplicado",IF(OR(B1084&lt;DATE(Configuración!$C$5,1,1),B1084&gt;=DATE(Configuración!$C$5+1,1,1)),"Fecha fuera del año",IF(OR(G1084&lt;0,H1084&lt;0),"Revisar signo",IF(AND(C1084&lt;&gt;"Servicio",H1084&lt;&gt;0),"IVA solo en Servicio",IF(AND(C1084="Servicio",F1084=""),"Falta servicio","OK")))))))))</f>
        <v/>
      </c>
    </row>
    <row r="1085" spans="1:12" ht="22" customHeight="1">
      <c r="A1085" s="3"/>
      <c r="B1085" s="7"/>
      <c r="C1085" s="3"/>
      <c r="D1085" s="3"/>
      <c r="E1085" s="3"/>
      <c r="F1085" s="3"/>
      <c r="G1085" s="4"/>
      <c r="H1085" s="4"/>
      <c r="I1085" s="3"/>
      <c r="J1085" s="3"/>
      <c r="K1085" s="8" t="str">
        <f t="shared" si="16"/>
        <v/>
      </c>
      <c r="L1085" s="1" t="str">
        <f>IF(COUNTA(A1085:J1085)=0,"",IF(OR(AND(C1085&lt;&gt;"Servicio",C1085&lt;&gt;"Cobro",C1085&lt;&gt;"Anticipo",C1085&lt;&gt;"Aplicación anticipo",C1085&lt;&gt;"Retención ISR",C1085&lt;&gt;"Retención IVA"),AND(C1085="Servicio",F1085&lt;&gt;"TMS",F1085&lt;&gt;"Valoración",F1085&lt;&gt;"EEG",F1085&lt;&gt;"Neurofeedback",F1085&lt;&gt;"Fotobiomodulación",F1085&lt;&gt;"Psicoterapia",F1085&lt;&gt;"Otros")),"Tipo o categoría inválido",IF(COUNTA(A1085:J1085)=0,"",IF(OR(A1085="",B1085="",C1085="",G1085=""),"Faltan datos",IF(COUNTIF($A$7:$A$2006,A1085)&gt;1,"ID duplicado",IF(OR(B1085&lt;DATE(Configuración!$C$5,1,1),B1085&gt;=DATE(Configuración!$C$5+1,1,1)),"Fecha fuera del año",IF(OR(G1085&lt;0,H1085&lt;0),"Revisar signo",IF(AND(C1085&lt;&gt;"Servicio",H1085&lt;&gt;0),"IVA solo en Servicio",IF(AND(C1085="Servicio",F1085=""),"Falta servicio","OK")))))))))</f>
        <v/>
      </c>
    </row>
    <row r="1086" spans="1:12" ht="22" customHeight="1">
      <c r="A1086" s="3"/>
      <c r="B1086" s="7"/>
      <c r="C1086" s="3"/>
      <c r="D1086" s="3"/>
      <c r="E1086" s="3"/>
      <c r="F1086" s="3"/>
      <c r="G1086" s="4"/>
      <c r="H1086" s="4"/>
      <c r="I1086" s="3"/>
      <c r="J1086" s="3"/>
      <c r="K1086" s="8" t="str">
        <f t="shared" si="16"/>
        <v/>
      </c>
      <c r="L1086" s="1" t="str">
        <f>IF(COUNTA(A1086:J1086)=0,"",IF(OR(AND(C1086&lt;&gt;"Servicio",C1086&lt;&gt;"Cobro",C1086&lt;&gt;"Anticipo",C1086&lt;&gt;"Aplicación anticipo",C1086&lt;&gt;"Retención ISR",C1086&lt;&gt;"Retención IVA"),AND(C1086="Servicio",F1086&lt;&gt;"TMS",F1086&lt;&gt;"Valoración",F1086&lt;&gt;"EEG",F1086&lt;&gt;"Neurofeedback",F1086&lt;&gt;"Fotobiomodulación",F1086&lt;&gt;"Psicoterapia",F1086&lt;&gt;"Otros")),"Tipo o categoría inválido",IF(COUNTA(A1086:J1086)=0,"",IF(OR(A1086="",B1086="",C1086="",G1086=""),"Faltan datos",IF(COUNTIF($A$7:$A$2006,A1086)&gt;1,"ID duplicado",IF(OR(B1086&lt;DATE(Configuración!$C$5,1,1),B1086&gt;=DATE(Configuración!$C$5+1,1,1)),"Fecha fuera del año",IF(OR(G1086&lt;0,H1086&lt;0),"Revisar signo",IF(AND(C1086&lt;&gt;"Servicio",H1086&lt;&gt;0),"IVA solo en Servicio",IF(AND(C1086="Servicio",F1086=""),"Falta servicio","OK")))))))))</f>
        <v/>
      </c>
    </row>
    <row r="1087" spans="1:12" ht="22" customHeight="1">
      <c r="A1087" s="3"/>
      <c r="B1087" s="7"/>
      <c r="C1087" s="3"/>
      <c r="D1087" s="3"/>
      <c r="E1087" s="3"/>
      <c r="F1087" s="3"/>
      <c r="G1087" s="4"/>
      <c r="H1087" s="4"/>
      <c r="I1087" s="3"/>
      <c r="J1087" s="3"/>
      <c r="K1087" s="8" t="str">
        <f t="shared" si="16"/>
        <v/>
      </c>
      <c r="L1087" s="1" t="str">
        <f>IF(COUNTA(A1087:J1087)=0,"",IF(OR(AND(C1087&lt;&gt;"Servicio",C1087&lt;&gt;"Cobro",C1087&lt;&gt;"Anticipo",C1087&lt;&gt;"Aplicación anticipo",C1087&lt;&gt;"Retención ISR",C1087&lt;&gt;"Retención IVA"),AND(C1087="Servicio",F1087&lt;&gt;"TMS",F1087&lt;&gt;"Valoración",F1087&lt;&gt;"EEG",F1087&lt;&gt;"Neurofeedback",F1087&lt;&gt;"Fotobiomodulación",F1087&lt;&gt;"Psicoterapia",F1087&lt;&gt;"Otros")),"Tipo o categoría inválido",IF(COUNTA(A1087:J1087)=0,"",IF(OR(A1087="",B1087="",C1087="",G1087=""),"Faltan datos",IF(COUNTIF($A$7:$A$2006,A1087)&gt;1,"ID duplicado",IF(OR(B1087&lt;DATE(Configuración!$C$5,1,1),B1087&gt;=DATE(Configuración!$C$5+1,1,1)),"Fecha fuera del año",IF(OR(G1087&lt;0,H1087&lt;0),"Revisar signo",IF(AND(C1087&lt;&gt;"Servicio",H1087&lt;&gt;0),"IVA solo en Servicio",IF(AND(C1087="Servicio",F1087=""),"Falta servicio","OK")))))))))</f>
        <v/>
      </c>
    </row>
    <row r="1088" spans="1:12" ht="22" customHeight="1">
      <c r="A1088" s="3"/>
      <c r="B1088" s="7"/>
      <c r="C1088" s="3"/>
      <c r="D1088" s="3"/>
      <c r="E1088" s="3"/>
      <c r="F1088" s="3"/>
      <c r="G1088" s="4"/>
      <c r="H1088" s="4"/>
      <c r="I1088" s="3"/>
      <c r="J1088" s="3"/>
      <c r="K1088" s="8" t="str">
        <f t="shared" si="16"/>
        <v/>
      </c>
      <c r="L1088" s="1" t="str">
        <f>IF(COUNTA(A1088:J1088)=0,"",IF(OR(AND(C1088&lt;&gt;"Servicio",C1088&lt;&gt;"Cobro",C1088&lt;&gt;"Anticipo",C1088&lt;&gt;"Aplicación anticipo",C1088&lt;&gt;"Retención ISR",C1088&lt;&gt;"Retención IVA"),AND(C1088="Servicio",F1088&lt;&gt;"TMS",F1088&lt;&gt;"Valoración",F1088&lt;&gt;"EEG",F1088&lt;&gt;"Neurofeedback",F1088&lt;&gt;"Fotobiomodulación",F1088&lt;&gt;"Psicoterapia",F1088&lt;&gt;"Otros")),"Tipo o categoría inválido",IF(COUNTA(A1088:J1088)=0,"",IF(OR(A1088="",B1088="",C1088="",G1088=""),"Faltan datos",IF(COUNTIF($A$7:$A$2006,A1088)&gt;1,"ID duplicado",IF(OR(B1088&lt;DATE(Configuración!$C$5,1,1),B1088&gt;=DATE(Configuración!$C$5+1,1,1)),"Fecha fuera del año",IF(OR(G1088&lt;0,H1088&lt;0),"Revisar signo",IF(AND(C1088&lt;&gt;"Servicio",H1088&lt;&gt;0),"IVA solo en Servicio",IF(AND(C1088="Servicio",F1088=""),"Falta servicio","OK")))))))))</f>
        <v/>
      </c>
    </row>
    <row r="1089" spans="1:12" ht="22" customHeight="1">
      <c r="A1089" s="3"/>
      <c r="B1089" s="7"/>
      <c r="C1089" s="3"/>
      <c r="D1089" s="3"/>
      <c r="E1089" s="3"/>
      <c r="F1089" s="3"/>
      <c r="G1089" s="4"/>
      <c r="H1089" s="4"/>
      <c r="I1089" s="3"/>
      <c r="J1089" s="3"/>
      <c r="K1089" s="8" t="str">
        <f t="shared" si="16"/>
        <v/>
      </c>
      <c r="L1089" s="1" t="str">
        <f>IF(COUNTA(A1089:J1089)=0,"",IF(OR(AND(C1089&lt;&gt;"Servicio",C1089&lt;&gt;"Cobro",C1089&lt;&gt;"Anticipo",C1089&lt;&gt;"Aplicación anticipo",C1089&lt;&gt;"Retención ISR",C1089&lt;&gt;"Retención IVA"),AND(C1089="Servicio",F1089&lt;&gt;"TMS",F1089&lt;&gt;"Valoración",F1089&lt;&gt;"EEG",F1089&lt;&gt;"Neurofeedback",F1089&lt;&gt;"Fotobiomodulación",F1089&lt;&gt;"Psicoterapia",F1089&lt;&gt;"Otros")),"Tipo o categoría inválido",IF(COUNTA(A1089:J1089)=0,"",IF(OR(A1089="",B1089="",C1089="",G1089=""),"Faltan datos",IF(COUNTIF($A$7:$A$2006,A1089)&gt;1,"ID duplicado",IF(OR(B1089&lt;DATE(Configuración!$C$5,1,1),B1089&gt;=DATE(Configuración!$C$5+1,1,1)),"Fecha fuera del año",IF(OR(G1089&lt;0,H1089&lt;0),"Revisar signo",IF(AND(C1089&lt;&gt;"Servicio",H1089&lt;&gt;0),"IVA solo en Servicio",IF(AND(C1089="Servicio",F1089=""),"Falta servicio","OK")))))))))</f>
        <v/>
      </c>
    </row>
    <row r="1090" spans="1:12" ht="22" customHeight="1">
      <c r="A1090" s="3"/>
      <c r="B1090" s="7"/>
      <c r="C1090" s="3"/>
      <c r="D1090" s="3"/>
      <c r="E1090" s="3"/>
      <c r="F1090" s="3"/>
      <c r="G1090" s="4"/>
      <c r="H1090" s="4"/>
      <c r="I1090" s="3"/>
      <c r="J1090" s="3"/>
      <c r="K1090" s="8" t="str">
        <f t="shared" si="16"/>
        <v/>
      </c>
      <c r="L1090" s="1" t="str">
        <f>IF(COUNTA(A1090:J1090)=0,"",IF(OR(AND(C1090&lt;&gt;"Servicio",C1090&lt;&gt;"Cobro",C1090&lt;&gt;"Anticipo",C1090&lt;&gt;"Aplicación anticipo",C1090&lt;&gt;"Retención ISR",C1090&lt;&gt;"Retención IVA"),AND(C1090="Servicio",F1090&lt;&gt;"TMS",F1090&lt;&gt;"Valoración",F1090&lt;&gt;"EEG",F1090&lt;&gt;"Neurofeedback",F1090&lt;&gt;"Fotobiomodulación",F1090&lt;&gt;"Psicoterapia",F1090&lt;&gt;"Otros")),"Tipo o categoría inválido",IF(COUNTA(A1090:J1090)=0,"",IF(OR(A1090="",B1090="",C1090="",G1090=""),"Faltan datos",IF(COUNTIF($A$7:$A$2006,A1090)&gt;1,"ID duplicado",IF(OR(B1090&lt;DATE(Configuración!$C$5,1,1),B1090&gt;=DATE(Configuración!$C$5+1,1,1)),"Fecha fuera del año",IF(OR(G1090&lt;0,H1090&lt;0),"Revisar signo",IF(AND(C1090&lt;&gt;"Servicio",H1090&lt;&gt;0),"IVA solo en Servicio",IF(AND(C1090="Servicio",F1090=""),"Falta servicio","OK")))))))))</f>
        <v/>
      </c>
    </row>
    <row r="1091" spans="1:12" ht="22" customHeight="1">
      <c r="A1091" s="3"/>
      <c r="B1091" s="7"/>
      <c r="C1091" s="3"/>
      <c r="D1091" s="3"/>
      <c r="E1091" s="3"/>
      <c r="F1091" s="3"/>
      <c r="G1091" s="4"/>
      <c r="H1091" s="4"/>
      <c r="I1091" s="3"/>
      <c r="J1091" s="3"/>
      <c r="K1091" s="8" t="str">
        <f t="shared" si="16"/>
        <v/>
      </c>
      <c r="L1091" s="1" t="str">
        <f>IF(COUNTA(A1091:J1091)=0,"",IF(OR(AND(C1091&lt;&gt;"Servicio",C1091&lt;&gt;"Cobro",C1091&lt;&gt;"Anticipo",C1091&lt;&gt;"Aplicación anticipo",C1091&lt;&gt;"Retención ISR",C1091&lt;&gt;"Retención IVA"),AND(C1091="Servicio",F1091&lt;&gt;"TMS",F1091&lt;&gt;"Valoración",F1091&lt;&gt;"EEG",F1091&lt;&gt;"Neurofeedback",F1091&lt;&gt;"Fotobiomodulación",F1091&lt;&gt;"Psicoterapia",F1091&lt;&gt;"Otros")),"Tipo o categoría inválido",IF(COUNTA(A1091:J1091)=0,"",IF(OR(A1091="",B1091="",C1091="",G1091=""),"Faltan datos",IF(COUNTIF($A$7:$A$2006,A1091)&gt;1,"ID duplicado",IF(OR(B1091&lt;DATE(Configuración!$C$5,1,1),B1091&gt;=DATE(Configuración!$C$5+1,1,1)),"Fecha fuera del año",IF(OR(G1091&lt;0,H1091&lt;0),"Revisar signo",IF(AND(C1091&lt;&gt;"Servicio",H1091&lt;&gt;0),"IVA solo en Servicio",IF(AND(C1091="Servicio",F1091=""),"Falta servicio","OK")))))))))</f>
        <v/>
      </c>
    </row>
    <row r="1092" spans="1:12" ht="22" customHeight="1">
      <c r="A1092" s="3"/>
      <c r="B1092" s="7"/>
      <c r="C1092" s="3"/>
      <c r="D1092" s="3"/>
      <c r="E1092" s="3"/>
      <c r="F1092" s="3"/>
      <c r="G1092" s="4"/>
      <c r="H1092" s="4"/>
      <c r="I1092" s="3"/>
      <c r="J1092" s="3"/>
      <c r="K1092" s="8" t="str">
        <f t="shared" si="16"/>
        <v/>
      </c>
      <c r="L1092" s="1" t="str">
        <f>IF(COUNTA(A1092:J1092)=0,"",IF(OR(AND(C1092&lt;&gt;"Servicio",C1092&lt;&gt;"Cobro",C1092&lt;&gt;"Anticipo",C1092&lt;&gt;"Aplicación anticipo",C1092&lt;&gt;"Retención ISR",C1092&lt;&gt;"Retención IVA"),AND(C1092="Servicio",F1092&lt;&gt;"TMS",F1092&lt;&gt;"Valoración",F1092&lt;&gt;"EEG",F1092&lt;&gt;"Neurofeedback",F1092&lt;&gt;"Fotobiomodulación",F1092&lt;&gt;"Psicoterapia",F1092&lt;&gt;"Otros")),"Tipo o categoría inválido",IF(COUNTA(A1092:J1092)=0,"",IF(OR(A1092="",B1092="",C1092="",G1092=""),"Faltan datos",IF(COUNTIF($A$7:$A$2006,A1092)&gt;1,"ID duplicado",IF(OR(B1092&lt;DATE(Configuración!$C$5,1,1),B1092&gt;=DATE(Configuración!$C$5+1,1,1)),"Fecha fuera del año",IF(OR(G1092&lt;0,H1092&lt;0),"Revisar signo",IF(AND(C1092&lt;&gt;"Servicio",H1092&lt;&gt;0),"IVA solo en Servicio",IF(AND(C1092="Servicio",F1092=""),"Falta servicio","OK")))))))))</f>
        <v/>
      </c>
    </row>
    <row r="1093" spans="1:12" ht="22" customHeight="1">
      <c r="A1093" s="3"/>
      <c r="B1093" s="7"/>
      <c r="C1093" s="3"/>
      <c r="D1093" s="3"/>
      <c r="E1093" s="3"/>
      <c r="F1093" s="3"/>
      <c r="G1093" s="4"/>
      <c r="H1093" s="4"/>
      <c r="I1093" s="3"/>
      <c r="J1093" s="3"/>
      <c r="K1093" s="8" t="str">
        <f t="shared" si="16"/>
        <v/>
      </c>
      <c r="L1093" s="1" t="str">
        <f>IF(COUNTA(A1093:J1093)=0,"",IF(OR(AND(C1093&lt;&gt;"Servicio",C1093&lt;&gt;"Cobro",C1093&lt;&gt;"Anticipo",C1093&lt;&gt;"Aplicación anticipo",C1093&lt;&gt;"Retención ISR",C1093&lt;&gt;"Retención IVA"),AND(C1093="Servicio",F1093&lt;&gt;"TMS",F1093&lt;&gt;"Valoración",F1093&lt;&gt;"EEG",F1093&lt;&gt;"Neurofeedback",F1093&lt;&gt;"Fotobiomodulación",F1093&lt;&gt;"Psicoterapia",F1093&lt;&gt;"Otros")),"Tipo o categoría inválido",IF(COUNTA(A1093:J1093)=0,"",IF(OR(A1093="",B1093="",C1093="",G1093=""),"Faltan datos",IF(COUNTIF($A$7:$A$2006,A1093)&gt;1,"ID duplicado",IF(OR(B1093&lt;DATE(Configuración!$C$5,1,1),B1093&gt;=DATE(Configuración!$C$5+1,1,1)),"Fecha fuera del año",IF(OR(G1093&lt;0,H1093&lt;0),"Revisar signo",IF(AND(C1093&lt;&gt;"Servicio",H1093&lt;&gt;0),"IVA solo en Servicio",IF(AND(C1093="Servicio",F1093=""),"Falta servicio","OK")))))))))</f>
        <v/>
      </c>
    </row>
    <row r="1094" spans="1:12" ht="22" customHeight="1">
      <c r="A1094" s="3"/>
      <c r="B1094" s="7"/>
      <c r="C1094" s="3"/>
      <c r="D1094" s="3"/>
      <c r="E1094" s="3"/>
      <c r="F1094" s="3"/>
      <c r="G1094" s="4"/>
      <c r="H1094" s="4"/>
      <c r="I1094" s="3"/>
      <c r="J1094" s="3"/>
      <c r="K1094" s="8" t="str">
        <f t="shared" si="16"/>
        <v/>
      </c>
      <c r="L1094" s="1" t="str">
        <f>IF(COUNTA(A1094:J1094)=0,"",IF(OR(AND(C1094&lt;&gt;"Servicio",C1094&lt;&gt;"Cobro",C1094&lt;&gt;"Anticipo",C1094&lt;&gt;"Aplicación anticipo",C1094&lt;&gt;"Retención ISR",C1094&lt;&gt;"Retención IVA"),AND(C1094="Servicio",F1094&lt;&gt;"TMS",F1094&lt;&gt;"Valoración",F1094&lt;&gt;"EEG",F1094&lt;&gt;"Neurofeedback",F1094&lt;&gt;"Fotobiomodulación",F1094&lt;&gt;"Psicoterapia",F1094&lt;&gt;"Otros")),"Tipo o categoría inválido",IF(COUNTA(A1094:J1094)=0,"",IF(OR(A1094="",B1094="",C1094="",G1094=""),"Faltan datos",IF(COUNTIF($A$7:$A$2006,A1094)&gt;1,"ID duplicado",IF(OR(B1094&lt;DATE(Configuración!$C$5,1,1),B1094&gt;=DATE(Configuración!$C$5+1,1,1)),"Fecha fuera del año",IF(OR(G1094&lt;0,H1094&lt;0),"Revisar signo",IF(AND(C1094&lt;&gt;"Servicio",H1094&lt;&gt;0),"IVA solo en Servicio",IF(AND(C1094="Servicio",F1094=""),"Falta servicio","OK")))))))))</f>
        <v/>
      </c>
    </row>
    <row r="1095" spans="1:12" ht="22" customHeight="1">
      <c r="A1095" s="3"/>
      <c r="B1095" s="7"/>
      <c r="C1095" s="3"/>
      <c r="D1095" s="3"/>
      <c r="E1095" s="3"/>
      <c r="F1095" s="3"/>
      <c r="G1095" s="4"/>
      <c r="H1095" s="4"/>
      <c r="I1095" s="3"/>
      <c r="J1095" s="3"/>
      <c r="K1095" s="8" t="str">
        <f t="shared" ref="K1095:K1158" si="17">IF(A1095="","",G1095+H1095)</f>
        <v/>
      </c>
      <c r="L1095" s="1" t="str">
        <f>IF(COUNTA(A1095:J1095)=0,"",IF(OR(AND(C1095&lt;&gt;"Servicio",C1095&lt;&gt;"Cobro",C1095&lt;&gt;"Anticipo",C1095&lt;&gt;"Aplicación anticipo",C1095&lt;&gt;"Retención ISR",C1095&lt;&gt;"Retención IVA"),AND(C1095="Servicio",F1095&lt;&gt;"TMS",F1095&lt;&gt;"Valoración",F1095&lt;&gt;"EEG",F1095&lt;&gt;"Neurofeedback",F1095&lt;&gt;"Fotobiomodulación",F1095&lt;&gt;"Psicoterapia",F1095&lt;&gt;"Otros")),"Tipo o categoría inválido",IF(COUNTA(A1095:J1095)=0,"",IF(OR(A1095="",B1095="",C1095="",G1095=""),"Faltan datos",IF(COUNTIF($A$7:$A$2006,A1095)&gt;1,"ID duplicado",IF(OR(B1095&lt;DATE(Configuración!$C$5,1,1),B1095&gt;=DATE(Configuración!$C$5+1,1,1)),"Fecha fuera del año",IF(OR(G1095&lt;0,H1095&lt;0),"Revisar signo",IF(AND(C1095&lt;&gt;"Servicio",H1095&lt;&gt;0),"IVA solo en Servicio",IF(AND(C1095="Servicio",F1095=""),"Falta servicio","OK")))))))))</f>
        <v/>
      </c>
    </row>
    <row r="1096" spans="1:12" ht="22" customHeight="1">
      <c r="A1096" s="3"/>
      <c r="B1096" s="7"/>
      <c r="C1096" s="3"/>
      <c r="D1096" s="3"/>
      <c r="E1096" s="3"/>
      <c r="F1096" s="3"/>
      <c r="G1096" s="4"/>
      <c r="H1096" s="4"/>
      <c r="I1096" s="3"/>
      <c r="J1096" s="3"/>
      <c r="K1096" s="8" t="str">
        <f t="shared" si="17"/>
        <v/>
      </c>
      <c r="L1096" s="1" t="str">
        <f>IF(COUNTA(A1096:J1096)=0,"",IF(OR(AND(C1096&lt;&gt;"Servicio",C1096&lt;&gt;"Cobro",C1096&lt;&gt;"Anticipo",C1096&lt;&gt;"Aplicación anticipo",C1096&lt;&gt;"Retención ISR",C1096&lt;&gt;"Retención IVA"),AND(C1096="Servicio",F1096&lt;&gt;"TMS",F1096&lt;&gt;"Valoración",F1096&lt;&gt;"EEG",F1096&lt;&gt;"Neurofeedback",F1096&lt;&gt;"Fotobiomodulación",F1096&lt;&gt;"Psicoterapia",F1096&lt;&gt;"Otros")),"Tipo o categoría inválido",IF(COUNTA(A1096:J1096)=0,"",IF(OR(A1096="",B1096="",C1096="",G1096=""),"Faltan datos",IF(COUNTIF($A$7:$A$2006,A1096)&gt;1,"ID duplicado",IF(OR(B1096&lt;DATE(Configuración!$C$5,1,1),B1096&gt;=DATE(Configuración!$C$5+1,1,1)),"Fecha fuera del año",IF(OR(G1096&lt;0,H1096&lt;0),"Revisar signo",IF(AND(C1096&lt;&gt;"Servicio",H1096&lt;&gt;0),"IVA solo en Servicio",IF(AND(C1096="Servicio",F1096=""),"Falta servicio","OK")))))))))</f>
        <v/>
      </c>
    </row>
    <row r="1097" spans="1:12" ht="22" customHeight="1">
      <c r="A1097" s="3"/>
      <c r="B1097" s="7"/>
      <c r="C1097" s="3"/>
      <c r="D1097" s="3"/>
      <c r="E1097" s="3"/>
      <c r="F1097" s="3"/>
      <c r="G1097" s="4"/>
      <c r="H1097" s="4"/>
      <c r="I1097" s="3"/>
      <c r="J1097" s="3"/>
      <c r="K1097" s="8" t="str">
        <f t="shared" si="17"/>
        <v/>
      </c>
      <c r="L1097" s="1" t="str">
        <f>IF(COUNTA(A1097:J1097)=0,"",IF(OR(AND(C1097&lt;&gt;"Servicio",C1097&lt;&gt;"Cobro",C1097&lt;&gt;"Anticipo",C1097&lt;&gt;"Aplicación anticipo",C1097&lt;&gt;"Retención ISR",C1097&lt;&gt;"Retención IVA"),AND(C1097="Servicio",F1097&lt;&gt;"TMS",F1097&lt;&gt;"Valoración",F1097&lt;&gt;"EEG",F1097&lt;&gt;"Neurofeedback",F1097&lt;&gt;"Fotobiomodulación",F1097&lt;&gt;"Psicoterapia",F1097&lt;&gt;"Otros")),"Tipo o categoría inválido",IF(COUNTA(A1097:J1097)=0,"",IF(OR(A1097="",B1097="",C1097="",G1097=""),"Faltan datos",IF(COUNTIF($A$7:$A$2006,A1097)&gt;1,"ID duplicado",IF(OR(B1097&lt;DATE(Configuración!$C$5,1,1),B1097&gt;=DATE(Configuración!$C$5+1,1,1)),"Fecha fuera del año",IF(OR(G1097&lt;0,H1097&lt;0),"Revisar signo",IF(AND(C1097&lt;&gt;"Servicio",H1097&lt;&gt;0),"IVA solo en Servicio",IF(AND(C1097="Servicio",F1097=""),"Falta servicio","OK")))))))))</f>
        <v/>
      </c>
    </row>
    <row r="1098" spans="1:12" ht="22" customHeight="1">
      <c r="A1098" s="3"/>
      <c r="B1098" s="7"/>
      <c r="C1098" s="3"/>
      <c r="D1098" s="3"/>
      <c r="E1098" s="3"/>
      <c r="F1098" s="3"/>
      <c r="G1098" s="4"/>
      <c r="H1098" s="4"/>
      <c r="I1098" s="3"/>
      <c r="J1098" s="3"/>
      <c r="K1098" s="8" t="str">
        <f t="shared" si="17"/>
        <v/>
      </c>
      <c r="L1098" s="1" t="str">
        <f>IF(COUNTA(A1098:J1098)=0,"",IF(OR(AND(C1098&lt;&gt;"Servicio",C1098&lt;&gt;"Cobro",C1098&lt;&gt;"Anticipo",C1098&lt;&gt;"Aplicación anticipo",C1098&lt;&gt;"Retención ISR",C1098&lt;&gt;"Retención IVA"),AND(C1098="Servicio",F1098&lt;&gt;"TMS",F1098&lt;&gt;"Valoración",F1098&lt;&gt;"EEG",F1098&lt;&gt;"Neurofeedback",F1098&lt;&gt;"Fotobiomodulación",F1098&lt;&gt;"Psicoterapia",F1098&lt;&gt;"Otros")),"Tipo o categoría inválido",IF(COUNTA(A1098:J1098)=0,"",IF(OR(A1098="",B1098="",C1098="",G1098=""),"Faltan datos",IF(COUNTIF($A$7:$A$2006,A1098)&gt;1,"ID duplicado",IF(OR(B1098&lt;DATE(Configuración!$C$5,1,1),B1098&gt;=DATE(Configuración!$C$5+1,1,1)),"Fecha fuera del año",IF(OR(G1098&lt;0,H1098&lt;0),"Revisar signo",IF(AND(C1098&lt;&gt;"Servicio",H1098&lt;&gt;0),"IVA solo en Servicio",IF(AND(C1098="Servicio",F1098=""),"Falta servicio","OK")))))))))</f>
        <v/>
      </c>
    </row>
    <row r="1099" spans="1:12" ht="22" customHeight="1">
      <c r="A1099" s="3"/>
      <c r="B1099" s="7"/>
      <c r="C1099" s="3"/>
      <c r="D1099" s="3"/>
      <c r="E1099" s="3"/>
      <c r="F1099" s="3"/>
      <c r="G1099" s="4"/>
      <c r="H1099" s="4"/>
      <c r="I1099" s="3"/>
      <c r="J1099" s="3"/>
      <c r="K1099" s="8" t="str">
        <f t="shared" si="17"/>
        <v/>
      </c>
      <c r="L1099" s="1" t="str">
        <f>IF(COUNTA(A1099:J1099)=0,"",IF(OR(AND(C1099&lt;&gt;"Servicio",C1099&lt;&gt;"Cobro",C1099&lt;&gt;"Anticipo",C1099&lt;&gt;"Aplicación anticipo",C1099&lt;&gt;"Retención ISR",C1099&lt;&gt;"Retención IVA"),AND(C1099="Servicio",F1099&lt;&gt;"TMS",F1099&lt;&gt;"Valoración",F1099&lt;&gt;"EEG",F1099&lt;&gt;"Neurofeedback",F1099&lt;&gt;"Fotobiomodulación",F1099&lt;&gt;"Psicoterapia",F1099&lt;&gt;"Otros")),"Tipo o categoría inválido",IF(COUNTA(A1099:J1099)=0,"",IF(OR(A1099="",B1099="",C1099="",G1099=""),"Faltan datos",IF(COUNTIF($A$7:$A$2006,A1099)&gt;1,"ID duplicado",IF(OR(B1099&lt;DATE(Configuración!$C$5,1,1),B1099&gt;=DATE(Configuración!$C$5+1,1,1)),"Fecha fuera del año",IF(OR(G1099&lt;0,H1099&lt;0),"Revisar signo",IF(AND(C1099&lt;&gt;"Servicio",H1099&lt;&gt;0),"IVA solo en Servicio",IF(AND(C1099="Servicio",F1099=""),"Falta servicio","OK")))))))))</f>
        <v/>
      </c>
    </row>
    <row r="1100" spans="1:12" ht="22" customHeight="1">
      <c r="A1100" s="3"/>
      <c r="B1100" s="7"/>
      <c r="C1100" s="3"/>
      <c r="D1100" s="3"/>
      <c r="E1100" s="3"/>
      <c r="F1100" s="3"/>
      <c r="G1100" s="4"/>
      <c r="H1100" s="4"/>
      <c r="I1100" s="3"/>
      <c r="J1100" s="3"/>
      <c r="K1100" s="8" t="str">
        <f t="shared" si="17"/>
        <v/>
      </c>
      <c r="L1100" s="1" t="str">
        <f>IF(COUNTA(A1100:J1100)=0,"",IF(OR(AND(C1100&lt;&gt;"Servicio",C1100&lt;&gt;"Cobro",C1100&lt;&gt;"Anticipo",C1100&lt;&gt;"Aplicación anticipo",C1100&lt;&gt;"Retención ISR",C1100&lt;&gt;"Retención IVA"),AND(C1100="Servicio",F1100&lt;&gt;"TMS",F1100&lt;&gt;"Valoración",F1100&lt;&gt;"EEG",F1100&lt;&gt;"Neurofeedback",F1100&lt;&gt;"Fotobiomodulación",F1100&lt;&gt;"Psicoterapia",F1100&lt;&gt;"Otros")),"Tipo o categoría inválido",IF(COUNTA(A1100:J1100)=0,"",IF(OR(A1100="",B1100="",C1100="",G1100=""),"Faltan datos",IF(COUNTIF($A$7:$A$2006,A1100)&gt;1,"ID duplicado",IF(OR(B1100&lt;DATE(Configuración!$C$5,1,1),B1100&gt;=DATE(Configuración!$C$5+1,1,1)),"Fecha fuera del año",IF(OR(G1100&lt;0,H1100&lt;0),"Revisar signo",IF(AND(C1100&lt;&gt;"Servicio",H1100&lt;&gt;0),"IVA solo en Servicio",IF(AND(C1100="Servicio",F1100=""),"Falta servicio","OK")))))))))</f>
        <v/>
      </c>
    </row>
    <row r="1101" spans="1:12" ht="22" customHeight="1">
      <c r="A1101" s="3"/>
      <c r="B1101" s="7"/>
      <c r="C1101" s="3"/>
      <c r="D1101" s="3"/>
      <c r="E1101" s="3"/>
      <c r="F1101" s="3"/>
      <c r="G1101" s="4"/>
      <c r="H1101" s="4"/>
      <c r="I1101" s="3"/>
      <c r="J1101" s="3"/>
      <c r="K1101" s="8" t="str">
        <f t="shared" si="17"/>
        <v/>
      </c>
      <c r="L1101" s="1" t="str">
        <f>IF(COUNTA(A1101:J1101)=0,"",IF(OR(AND(C1101&lt;&gt;"Servicio",C1101&lt;&gt;"Cobro",C1101&lt;&gt;"Anticipo",C1101&lt;&gt;"Aplicación anticipo",C1101&lt;&gt;"Retención ISR",C1101&lt;&gt;"Retención IVA"),AND(C1101="Servicio",F1101&lt;&gt;"TMS",F1101&lt;&gt;"Valoración",F1101&lt;&gt;"EEG",F1101&lt;&gt;"Neurofeedback",F1101&lt;&gt;"Fotobiomodulación",F1101&lt;&gt;"Psicoterapia",F1101&lt;&gt;"Otros")),"Tipo o categoría inválido",IF(COUNTA(A1101:J1101)=0,"",IF(OR(A1101="",B1101="",C1101="",G1101=""),"Faltan datos",IF(COUNTIF($A$7:$A$2006,A1101)&gt;1,"ID duplicado",IF(OR(B1101&lt;DATE(Configuración!$C$5,1,1),B1101&gt;=DATE(Configuración!$C$5+1,1,1)),"Fecha fuera del año",IF(OR(G1101&lt;0,H1101&lt;0),"Revisar signo",IF(AND(C1101&lt;&gt;"Servicio",H1101&lt;&gt;0),"IVA solo en Servicio",IF(AND(C1101="Servicio",F1101=""),"Falta servicio","OK")))))))))</f>
        <v/>
      </c>
    </row>
    <row r="1102" spans="1:12" ht="22" customHeight="1">
      <c r="A1102" s="3"/>
      <c r="B1102" s="7"/>
      <c r="C1102" s="3"/>
      <c r="D1102" s="3"/>
      <c r="E1102" s="3"/>
      <c r="F1102" s="3"/>
      <c r="G1102" s="4"/>
      <c r="H1102" s="4"/>
      <c r="I1102" s="3"/>
      <c r="J1102" s="3"/>
      <c r="K1102" s="8" t="str">
        <f t="shared" si="17"/>
        <v/>
      </c>
      <c r="L1102" s="1" t="str">
        <f>IF(COUNTA(A1102:J1102)=0,"",IF(OR(AND(C1102&lt;&gt;"Servicio",C1102&lt;&gt;"Cobro",C1102&lt;&gt;"Anticipo",C1102&lt;&gt;"Aplicación anticipo",C1102&lt;&gt;"Retención ISR",C1102&lt;&gt;"Retención IVA"),AND(C1102="Servicio",F1102&lt;&gt;"TMS",F1102&lt;&gt;"Valoración",F1102&lt;&gt;"EEG",F1102&lt;&gt;"Neurofeedback",F1102&lt;&gt;"Fotobiomodulación",F1102&lt;&gt;"Psicoterapia",F1102&lt;&gt;"Otros")),"Tipo o categoría inválido",IF(COUNTA(A1102:J1102)=0,"",IF(OR(A1102="",B1102="",C1102="",G1102=""),"Faltan datos",IF(COUNTIF($A$7:$A$2006,A1102)&gt;1,"ID duplicado",IF(OR(B1102&lt;DATE(Configuración!$C$5,1,1),B1102&gt;=DATE(Configuración!$C$5+1,1,1)),"Fecha fuera del año",IF(OR(G1102&lt;0,H1102&lt;0),"Revisar signo",IF(AND(C1102&lt;&gt;"Servicio",H1102&lt;&gt;0),"IVA solo en Servicio",IF(AND(C1102="Servicio",F1102=""),"Falta servicio","OK")))))))))</f>
        <v/>
      </c>
    </row>
    <row r="1103" spans="1:12" ht="22" customHeight="1">
      <c r="A1103" s="3"/>
      <c r="B1103" s="7"/>
      <c r="C1103" s="3"/>
      <c r="D1103" s="3"/>
      <c r="E1103" s="3"/>
      <c r="F1103" s="3"/>
      <c r="G1103" s="4"/>
      <c r="H1103" s="4"/>
      <c r="I1103" s="3"/>
      <c r="J1103" s="3"/>
      <c r="K1103" s="8" t="str">
        <f t="shared" si="17"/>
        <v/>
      </c>
      <c r="L1103" s="1" t="str">
        <f>IF(COUNTA(A1103:J1103)=0,"",IF(OR(AND(C1103&lt;&gt;"Servicio",C1103&lt;&gt;"Cobro",C1103&lt;&gt;"Anticipo",C1103&lt;&gt;"Aplicación anticipo",C1103&lt;&gt;"Retención ISR",C1103&lt;&gt;"Retención IVA"),AND(C1103="Servicio",F1103&lt;&gt;"TMS",F1103&lt;&gt;"Valoración",F1103&lt;&gt;"EEG",F1103&lt;&gt;"Neurofeedback",F1103&lt;&gt;"Fotobiomodulación",F1103&lt;&gt;"Psicoterapia",F1103&lt;&gt;"Otros")),"Tipo o categoría inválido",IF(COUNTA(A1103:J1103)=0,"",IF(OR(A1103="",B1103="",C1103="",G1103=""),"Faltan datos",IF(COUNTIF($A$7:$A$2006,A1103)&gt;1,"ID duplicado",IF(OR(B1103&lt;DATE(Configuración!$C$5,1,1),B1103&gt;=DATE(Configuración!$C$5+1,1,1)),"Fecha fuera del año",IF(OR(G1103&lt;0,H1103&lt;0),"Revisar signo",IF(AND(C1103&lt;&gt;"Servicio",H1103&lt;&gt;0),"IVA solo en Servicio",IF(AND(C1103="Servicio",F1103=""),"Falta servicio","OK")))))))))</f>
        <v/>
      </c>
    </row>
    <row r="1104" spans="1:12" ht="22" customHeight="1">
      <c r="A1104" s="3"/>
      <c r="B1104" s="7"/>
      <c r="C1104" s="3"/>
      <c r="D1104" s="3"/>
      <c r="E1104" s="3"/>
      <c r="F1104" s="3"/>
      <c r="G1104" s="4"/>
      <c r="H1104" s="4"/>
      <c r="I1104" s="3"/>
      <c r="J1104" s="3"/>
      <c r="K1104" s="8" t="str">
        <f t="shared" si="17"/>
        <v/>
      </c>
      <c r="L1104" s="1" t="str">
        <f>IF(COUNTA(A1104:J1104)=0,"",IF(OR(AND(C1104&lt;&gt;"Servicio",C1104&lt;&gt;"Cobro",C1104&lt;&gt;"Anticipo",C1104&lt;&gt;"Aplicación anticipo",C1104&lt;&gt;"Retención ISR",C1104&lt;&gt;"Retención IVA"),AND(C1104="Servicio",F1104&lt;&gt;"TMS",F1104&lt;&gt;"Valoración",F1104&lt;&gt;"EEG",F1104&lt;&gt;"Neurofeedback",F1104&lt;&gt;"Fotobiomodulación",F1104&lt;&gt;"Psicoterapia",F1104&lt;&gt;"Otros")),"Tipo o categoría inválido",IF(COUNTA(A1104:J1104)=0,"",IF(OR(A1104="",B1104="",C1104="",G1104=""),"Faltan datos",IF(COUNTIF($A$7:$A$2006,A1104)&gt;1,"ID duplicado",IF(OR(B1104&lt;DATE(Configuración!$C$5,1,1),B1104&gt;=DATE(Configuración!$C$5+1,1,1)),"Fecha fuera del año",IF(OR(G1104&lt;0,H1104&lt;0),"Revisar signo",IF(AND(C1104&lt;&gt;"Servicio",H1104&lt;&gt;0),"IVA solo en Servicio",IF(AND(C1104="Servicio",F1104=""),"Falta servicio","OK")))))))))</f>
        <v/>
      </c>
    </row>
    <row r="1105" spans="1:12" ht="22" customHeight="1">
      <c r="A1105" s="3"/>
      <c r="B1105" s="7"/>
      <c r="C1105" s="3"/>
      <c r="D1105" s="3"/>
      <c r="E1105" s="3"/>
      <c r="F1105" s="3"/>
      <c r="G1105" s="4"/>
      <c r="H1105" s="4"/>
      <c r="I1105" s="3"/>
      <c r="J1105" s="3"/>
      <c r="K1105" s="8" t="str">
        <f t="shared" si="17"/>
        <v/>
      </c>
      <c r="L1105" s="1" t="str">
        <f>IF(COUNTA(A1105:J1105)=0,"",IF(OR(AND(C1105&lt;&gt;"Servicio",C1105&lt;&gt;"Cobro",C1105&lt;&gt;"Anticipo",C1105&lt;&gt;"Aplicación anticipo",C1105&lt;&gt;"Retención ISR",C1105&lt;&gt;"Retención IVA"),AND(C1105="Servicio",F1105&lt;&gt;"TMS",F1105&lt;&gt;"Valoración",F1105&lt;&gt;"EEG",F1105&lt;&gt;"Neurofeedback",F1105&lt;&gt;"Fotobiomodulación",F1105&lt;&gt;"Psicoterapia",F1105&lt;&gt;"Otros")),"Tipo o categoría inválido",IF(COUNTA(A1105:J1105)=0,"",IF(OR(A1105="",B1105="",C1105="",G1105=""),"Faltan datos",IF(COUNTIF($A$7:$A$2006,A1105)&gt;1,"ID duplicado",IF(OR(B1105&lt;DATE(Configuración!$C$5,1,1),B1105&gt;=DATE(Configuración!$C$5+1,1,1)),"Fecha fuera del año",IF(OR(G1105&lt;0,H1105&lt;0),"Revisar signo",IF(AND(C1105&lt;&gt;"Servicio",H1105&lt;&gt;0),"IVA solo en Servicio",IF(AND(C1105="Servicio",F1105=""),"Falta servicio","OK")))))))))</f>
        <v/>
      </c>
    </row>
    <row r="1106" spans="1:12" ht="22" customHeight="1">
      <c r="A1106" s="3"/>
      <c r="B1106" s="7"/>
      <c r="C1106" s="3"/>
      <c r="D1106" s="3"/>
      <c r="E1106" s="3"/>
      <c r="F1106" s="3"/>
      <c r="G1106" s="4"/>
      <c r="H1106" s="4"/>
      <c r="I1106" s="3"/>
      <c r="J1106" s="3"/>
      <c r="K1106" s="8" t="str">
        <f t="shared" si="17"/>
        <v/>
      </c>
      <c r="L1106" s="1" t="str">
        <f>IF(COUNTA(A1106:J1106)=0,"",IF(OR(AND(C1106&lt;&gt;"Servicio",C1106&lt;&gt;"Cobro",C1106&lt;&gt;"Anticipo",C1106&lt;&gt;"Aplicación anticipo",C1106&lt;&gt;"Retención ISR",C1106&lt;&gt;"Retención IVA"),AND(C1106="Servicio",F1106&lt;&gt;"TMS",F1106&lt;&gt;"Valoración",F1106&lt;&gt;"EEG",F1106&lt;&gt;"Neurofeedback",F1106&lt;&gt;"Fotobiomodulación",F1106&lt;&gt;"Psicoterapia",F1106&lt;&gt;"Otros")),"Tipo o categoría inválido",IF(COUNTA(A1106:J1106)=0,"",IF(OR(A1106="",B1106="",C1106="",G1106=""),"Faltan datos",IF(COUNTIF($A$7:$A$2006,A1106)&gt;1,"ID duplicado",IF(OR(B1106&lt;DATE(Configuración!$C$5,1,1),B1106&gt;=DATE(Configuración!$C$5+1,1,1)),"Fecha fuera del año",IF(OR(G1106&lt;0,H1106&lt;0),"Revisar signo",IF(AND(C1106&lt;&gt;"Servicio",H1106&lt;&gt;0),"IVA solo en Servicio",IF(AND(C1106="Servicio",F1106=""),"Falta servicio","OK")))))))))</f>
        <v/>
      </c>
    </row>
    <row r="1107" spans="1:12" ht="22" customHeight="1">
      <c r="A1107" s="3"/>
      <c r="B1107" s="7"/>
      <c r="C1107" s="3"/>
      <c r="D1107" s="3"/>
      <c r="E1107" s="3"/>
      <c r="F1107" s="3"/>
      <c r="G1107" s="4"/>
      <c r="H1107" s="4"/>
      <c r="I1107" s="3"/>
      <c r="J1107" s="3"/>
      <c r="K1107" s="8" t="str">
        <f t="shared" si="17"/>
        <v/>
      </c>
      <c r="L1107" s="1" t="str">
        <f>IF(COUNTA(A1107:J1107)=0,"",IF(OR(AND(C1107&lt;&gt;"Servicio",C1107&lt;&gt;"Cobro",C1107&lt;&gt;"Anticipo",C1107&lt;&gt;"Aplicación anticipo",C1107&lt;&gt;"Retención ISR",C1107&lt;&gt;"Retención IVA"),AND(C1107="Servicio",F1107&lt;&gt;"TMS",F1107&lt;&gt;"Valoración",F1107&lt;&gt;"EEG",F1107&lt;&gt;"Neurofeedback",F1107&lt;&gt;"Fotobiomodulación",F1107&lt;&gt;"Psicoterapia",F1107&lt;&gt;"Otros")),"Tipo o categoría inválido",IF(COUNTA(A1107:J1107)=0,"",IF(OR(A1107="",B1107="",C1107="",G1107=""),"Faltan datos",IF(COUNTIF($A$7:$A$2006,A1107)&gt;1,"ID duplicado",IF(OR(B1107&lt;DATE(Configuración!$C$5,1,1),B1107&gt;=DATE(Configuración!$C$5+1,1,1)),"Fecha fuera del año",IF(OR(G1107&lt;0,H1107&lt;0),"Revisar signo",IF(AND(C1107&lt;&gt;"Servicio",H1107&lt;&gt;0),"IVA solo en Servicio",IF(AND(C1107="Servicio",F1107=""),"Falta servicio","OK")))))))))</f>
        <v/>
      </c>
    </row>
    <row r="1108" spans="1:12" ht="22" customHeight="1">
      <c r="A1108" s="3"/>
      <c r="B1108" s="7"/>
      <c r="C1108" s="3"/>
      <c r="D1108" s="3"/>
      <c r="E1108" s="3"/>
      <c r="F1108" s="3"/>
      <c r="G1108" s="4"/>
      <c r="H1108" s="4"/>
      <c r="I1108" s="3"/>
      <c r="J1108" s="3"/>
      <c r="K1108" s="8" t="str">
        <f t="shared" si="17"/>
        <v/>
      </c>
      <c r="L1108" s="1" t="str">
        <f>IF(COUNTA(A1108:J1108)=0,"",IF(OR(AND(C1108&lt;&gt;"Servicio",C1108&lt;&gt;"Cobro",C1108&lt;&gt;"Anticipo",C1108&lt;&gt;"Aplicación anticipo",C1108&lt;&gt;"Retención ISR",C1108&lt;&gt;"Retención IVA"),AND(C1108="Servicio",F1108&lt;&gt;"TMS",F1108&lt;&gt;"Valoración",F1108&lt;&gt;"EEG",F1108&lt;&gt;"Neurofeedback",F1108&lt;&gt;"Fotobiomodulación",F1108&lt;&gt;"Psicoterapia",F1108&lt;&gt;"Otros")),"Tipo o categoría inválido",IF(COUNTA(A1108:J1108)=0,"",IF(OR(A1108="",B1108="",C1108="",G1108=""),"Faltan datos",IF(COUNTIF($A$7:$A$2006,A1108)&gt;1,"ID duplicado",IF(OR(B1108&lt;DATE(Configuración!$C$5,1,1),B1108&gt;=DATE(Configuración!$C$5+1,1,1)),"Fecha fuera del año",IF(OR(G1108&lt;0,H1108&lt;0),"Revisar signo",IF(AND(C1108&lt;&gt;"Servicio",H1108&lt;&gt;0),"IVA solo en Servicio",IF(AND(C1108="Servicio",F1108=""),"Falta servicio","OK")))))))))</f>
        <v/>
      </c>
    </row>
    <row r="1109" spans="1:12" ht="22" customHeight="1">
      <c r="A1109" s="3"/>
      <c r="B1109" s="7"/>
      <c r="C1109" s="3"/>
      <c r="D1109" s="3"/>
      <c r="E1109" s="3"/>
      <c r="F1109" s="3"/>
      <c r="G1109" s="4"/>
      <c r="H1109" s="4"/>
      <c r="I1109" s="3"/>
      <c r="J1109" s="3"/>
      <c r="K1109" s="8" t="str">
        <f t="shared" si="17"/>
        <v/>
      </c>
      <c r="L1109" s="1" t="str">
        <f>IF(COUNTA(A1109:J1109)=0,"",IF(OR(AND(C1109&lt;&gt;"Servicio",C1109&lt;&gt;"Cobro",C1109&lt;&gt;"Anticipo",C1109&lt;&gt;"Aplicación anticipo",C1109&lt;&gt;"Retención ISR",C1109&lt;&gt;"Retención IVA"),AND(C1109="Servicio",F1109&lt;&gt;"TMS",F1109&lt;&gt;"Valoración",F1109&lt;&gt;"EEG",F1109&lt;&gt;"Neurofeedback",F1109&lt;&gt;"Fotobiomodulación",F1109&lt;&gt;"Psicoterapia",F1109&lt;&gt;"Otros")),"Tipo o categoría inválido",IF(COUNTA(A1109:J1109)=0,"",IF(OR(A1109="",B1109="",C1109="",G1109=""),"Faltan datos",IF(COUNTIF($A$7:$A$2006,A1109)&gt;1,"ID duplicado",IF(OR(B1109&lt;DATE(Configuración!$C$5,1,1),B1109&gt;=DATE(Configuración!$C$5+1,1,1)),"Fecha fuera del año",IF(OR(G1109&lt;0,H1109&lt;0),"Revisar signo",IF(AND(C1109&lt;&gt;"Servicio",H1109&lt;&gt;0),"IVA solo en Servicio",IF(AND(C1109="Servicio",F1109=""),"Falta servicio","OK")))))))))</f>
        <v/>
      </c>
    </row>
    <row r="1110" spans="1:12" ht="22" customHeight="1">
      <c r="A1110" s="3"/>
      <c r="B1110" s="7"/>
      <c r="C1110" s="3"/>
      <c r="D1110" s="3"/>
      <c r="E1110" s="3"/>
      <c r="F1110" s="3"/>
      <c r="G1110" s="4"/>
      <c r="H1110" s="4"/>
      <c r="I1110" s="3"/>
      <c r="J1110" s="3"/>
      <c r="K1110" s="8" t="str">
        <f t="shared" si="17"/>
        <v/>
      </c>
      <c r="L1110" s="1" t="str">
        <f>IF(COUNTA(A1110:J1110)=0,"",IF(OR(AND(C1110&lt;&gt;"Servicio",C1110&lt;&gt;"Cobro",C1110&lt;&gt;"Anticipo",C1110&lt;&gt;"Aplicación anticipo",C1110&lt;&gt;"Retención ISR",C1110&lt;&gt;"Retención IVA"),AND(C1110="Servicio",F1110&lt;&gt;"TMS",F1110&lt;&gt;"Valoración",F1110&lt;&gt;"EEG",F1110&lt;&gt;"Neurofeedback",F1110&lt;&gt;"Fotobiomodulación",F1110&lt;&gt;"Psicoterapia",F1110&lt;&gt;"Otros")),"Tipo o categoría inválido",IF(COUNTA(A1110:J1110)=0,"",IF(OR(A1110="",B1110="",C1110="",G1110=""),"Faltan datos",IF(COUNTIF($A$7:$A$2006,A1110)&gt;1,"ID duplicado",IF(OR(B1110&lt;DATE(Configuración!$C$5,1,1),B1110&gt;=DATE(Configuración!$C$5+1,1,1)),"Fecha fuera del año",IF(OR(G1110&lt;0,H1110&lt;0),"Revisar signo",IF(AND(C1110&lt;&gt;"Servicio",H1110&lt;&gt;0),"IVA solo en Servicio",IF(AND(C1110="Servicio",F1110=""),"Falta servicio","OK")))))))))</f>
        <v/>
      </c>
    </row>
    <row r="1111" spans="1:12" ht="22" customHeight="1">
      <c r="A1111" s="3"/>
      <c r="B1111" s="7"/>
      <c r="C1111" s="3"/>
      <c r="D1111" s="3"/>
      <c r="E1111" s="3"/>
      <c r="F1111" s="3"/>
      <c r="G1111" s="4"/>
      <c r="H1111" s="4"/>
      <c r="I1111" s="3"/>
      <c r="J1111" s="3"/>
      <c r="K1111" s="8" t="str">
        <f t="shared" si="17"/>
        <v/>
      </c>
      <c r="L1111" s="1" t="str">
        <f>IF(COUNTA(A1111:J1111)=0,"",IF(OR(AND(C1111&lt;&gt;"Servicio",C1111&lt;&gt;"Cobro",C1111&lt;&gt;"Anticipo",C1111&lt;&gt;"Aplicación anticipo",C1111&lt;&gt;"Retención ISR",C1111&lt;&gt;"Retención IVA"),AND(C1111="Servicio",F1111&lt;&gt;"TMS",F1111&lt;&gt;"Valoración",F1111&lt;&gt;"EEG",F1111&lt;&gt;"Neurofeedback",F1111&lt;&gt;"Fotobiomodulación",F1111&lt;&gt;"Psicoterapia",F1111&lt;&gt;"Otros")),"Tipo o categoría inválido",IF(COUNTA(A1111:J1111)=0,"",IF(OR(A1111="",B1111="",C1111="",G1111=""),"Faltan datos",IF(COUNTIF($A$7:$A$2006,A1111)&gt;1,"ID duplicado",IF(OR(B1111&lt;DATE(Configuración!$C$5,1,1),B1111&gt;=DATE(Configuración!$C$5+1,1,1)),"Fecha fuera del año",IF(OR(G1111&lt;0,H1111&lt;0),"Revisar signo",IF(AND(C1111&lt;&gt;"Servicio",H1111&lt;&gt;0),"IVA solo en Servicio",IF(AND(C1111="Servicio",F1111=""),"Falta servicio","OK")))))))))</f>
        <v/>
      </c>
    </row>
    <row r="1112" spans="1:12" ht="22" customHeight="1">
      <c r="A1112" s="3"/>
      <c r="B1112" s="7"/>
      <c r="C1112" s="3"/>
      <c r="D1112" s="3"/>
      <c r="E1112" s="3"/>
      <c r="F1112" s="3"/>
      <c r="G1112" s="4"/>
      <c r="H1112" s="4"/>
      <c r="I1112" s="3"/>
      <c r="J1112" s="3"/>
      <c r="K1112" s="8" t="str">
        <f t="shared" si="17"/>
        <v/>
      </c>
      <c r="L1112" s="1" t="str">
        <f>IF(COUNTA(A1112:J1112)=0,"",IF(OR(AND(C1112&lt;&gt;"Servicio",C1112&lt;&gt;"Cobro",C1112&lt;&gt;"Anticipo",C1112&lt;&gt;"Aplicación anticipo",C1112&lt;&gt;"Retención ISR",C1112&lt;&gt;"Retención IVA"),AND(C1112="Servicio",F1112&lt;&gt;"TMS",F1112&lt;&gt;"Valoración",F1112&lt;&gt;"EEG",F1112&lt;&gt;"Neurofeedback",F1112&lt;&gt;"Fotobiomodulación",F1112&lt;&gt;"Psicoterapia",F1112&lt;&gt;"Otros")),"Tipo o categoría inválido",IF(COUNTA(A1112:J1112)=0,"",IF(OR(A1112="",B1112="",C1112="",G1112=""),"Faltan datos",IF(COUNTIF($A$7:$A$2006,A1112)&gt;1,"ID duplicado",IF(OR(B1112&lt;DATE(Configuración!$C$5,1,1),B1112&gt;=DATE(Configuración!$C$5+1,1,1)),"Fecha fuera del año",IF(OR(G1112&lt;0,H1112&lt;0),"Revisar signo",IF(AND(C1112&lt;&gt;"Servicio",H1112&lt;&gt;0),"IVA solo en Servicio",IF(AND(C1112="Servicio",F1112=""),"Falta servicio","OK")))))))))</f>
        <v/>
      </c>
    </row>
    <row r="1113" spans="1:12" ht="22" customHeight="1">
      <c r="A1113" s="3"/>
      <c r="B1113" s="7"/>
      <c r="C1113" s="3"/>
      <c r="D1113" s="3"/>
      <c r="E1113" s="3"/>
      <c r="F1113" s="3"/>
      <c r="G1113" s="4"/>
      <c r="H1113" s="4"/>
      <c r="I1113" s="3"/>
      <c r="J1113" s="3"/>
      <c r="K1113" s="8" t="str">
        <f t="shared" si="17"/>
        <v/>
      </c>
      <c r="L1113" s="1" t="str">
        <f>IF(COUNTA(A1113:J1113)=0,"",IF(OR(AND(C1113&lt;&gt;"Servicio",C1113&lt;&gt;"Cobro",C1113&lt;&gt;"Anticipo",C1113&lt;&gt;"Aplicación anticipo",C1113&lt;&gt;"Retención ISR",C1113&lt;&gt;"Retención IVA"),AND(C1113="Servicio",F1113&lt;&gt;"TMS",F1113&lt;&gt;"Valoración",F1113&lt;&gt;"EEG",F1113&lt;&gt;"Neurofeedback",F1113&lt;&gt;"Fotobiomodulación",F1113&lt;&gt;"Psicoterapia",F1113&lt;&gt;"Otros")),"Tipo o categoría inválido",IF(COUNTA(A1113:J1113)=0,"",IF(OR(A1113="",B1113="",C1113="",G1113=""),"Faltan datos",IF(COUNTIF($A$7:$A$2006,A1113)&gt;1,"ID duplicado",IF(OR(B1113&lt;DATE(Configuración!$C$5,1,1),B1113&gt;=DATE(Configuración!$C$5+1,1,1)),"Fecha fuera del año",IF(OR(G1113&lt;0,H1113&lt;0),"Revisar signo",IF(AND(C1113&lt;&gt;"Servicio",H1113&lt;&gt;0),"IVA solo en Servicio",IF(AND(C1113="Servicio",F1113=""),"Falta servicio","OK")))))))))</f>
        <v/>
      </c>
    </row>
    <row r="1114" spans="1:12" ht="22" customHeight="1">
      <c r="A1114" s="3"/>
      <c r="B1114" s="7"/>
      <c r="C1114" s="3"/>
      <c r="D1114" s="3"/>
      <c r="E1114" s="3"/>
      <c r="F1114" s="3"/>
      <c r="G1114" s="4"/>
      <c r="H1114" s="4"/>
      <c r="I1114" s="3"/>
      <c r="J1114" s="3"/>
      <c r="K1114" s="8" t="str">
        <f t="shared" si="17"/>
        <v/>
      </c>
      <c r="L1114" s="1" t="str">
        <f>IF(COUNTA(A1114:J1114)=0,"",IF(OR(AND(C1114&lt;&gt;"Servicio",C1114&lt;&gt;"Cobro",C1114&lt;&gt;"Anticipo",C1114&lt;&gt;"Aplicación anticipo",C1114&lt;&gt;"Retención ISR",C1114&lt;&gt;"Retención IVA"),AND(C1114="Servicio",F1114&lt;&gt;"TMS",F1114&lt;&gt;"Valoración",F1114&lt;&gt;"EEG",F1114&lt;&gt;"Neurofeedback",F1114&lt;&gt;"Fotobiomodulación",F1114&lt;&gt;"Psicoterapia",F1114&lt;&gt;"Otros")),"Tipo o categoría inválido",IF(COUNTA(A1114:J1114)=0,"",IF(OR(A1114="",B1114="",C1114="",G1114=""),"Faltan datos",IF(COUNTIF($A$7:$A$2006,A1114)&gt;1,"ID duplicado",IF(OR(B1114&lt;DATE(Configuración!$C$5,1,1),B1114&gt;=DATE(Configuración!$C$5+1,1,1)),"Fecha fuera del año",IF(OR(G1114&lt;0,H1114&lt;0),"Revisar signo",IF(AND(C1114&lt;&gt;"Servicio",H1114&lt;&gt;0),"IVA solo en Servicio",IF(AND(C1114="Servicio",F1114=""),"Falta servicio","OK")))))))))</f>
        <v/>
      </c>
    </row>
    <row r="1115" spans="1:12" ht="22" customHeight="1">
      <c r="A1115" s="3"/>
      <c r="B1115" s="7"/>
      <c r="C1115" s="3"/>
      <c r="D1115" s="3"/>
      <c r="E1115" s="3"/>
      <c r="F1115" s="3"/>
      <c r="G1115" s="4"/>
      <c r="H1115" s="4"/>
      <c r="I1115" s="3"/>
      <c r="J1115" s="3"/>
      <c r="K1115" s="8" t="str">
        <f t="shared" si="17"/>
        <v/>
      </c>
      <c r="L1115" s="1" t="str">
        <f>IF(COUNTA(A1115:J1115)=0,"",IF(OR(AND(C1115&lt;&gt;"Servicio",C1115&lt;&gt;"Cobro",C1115&lt;&gt;"Anticipo",C1115&lt;&gt;"Aplicación anticipo",C1115&lt;&gt;"Retención ISR",C1115&lt;&gt;"Retención IVA"),AND(C1115="Servicio",F1115&lt;&gt;"TMS",F1115&lt;&gt;"Valoración",F1115&lt;&gt;"EEG",F1115&lt;&gt;"Neurofeedback",F1115&lt;&gt;"Fotobiomodulación",F1115&lt;&gt;"Psicoterapia",F1115&lt;&gt;"Otros")),"Tipo o categoría inválido",IF(COUNTA(A1115:J1115)=0,"",IF(OR(A1115="",B1115="",C1115="",G1115=""),"Faltan datos",IF(COUNTIF($A$7:$A$2006,A1115)&gt;1,"ID duplicado",IF(OR(B1115&lt;DATE(Configuración!$C$5,1,1),B1115&gt;=DATE(Configuración!$C$5+1,1,1)),"Fecha fuera del año",IF(OR(G1115&lt;0,H1115&lt;0),"Revisar signo",IF(AND(C1115&lt;&gt;"Servicio",H1115&lt;&gt;0),"IVA solo en Servicio",IF(AND(C1115="Servicio",F1115=""),"Falta servicio","OK")))))))))</f>
        <v/>
      </c>
    </row>
    <row r="1116" spans="1:12" ht="22" customHeight="1">
      <c r="A1116" s="3"/>
      <c r="B1116" s="7"/>
      <c r="C1116" s="3"/>
      <c r="D1116" s="3"/>
      <c r="E1116" s="3"/>
      <c r="F1116" s="3"/>
      <c r="G1116" s="4"/>
      <c r="H1116" s="4"/>
      <c r="I1116" s="3"/>
      <c r="J1116" s="3"/>
      <c r="K1116" s="8" t="str">
        <f t="shared" si="17"/>
        <v/>
      </c>
      <c r="L1116" s="1" t="str">
        <f>IF(COUNTA(A1116:J1116)=0,"",IF(OR(AND(C1116&lt;&gt;"Servicio",C1116&lt;&gt;"Cobro",C1116&lt;&gt;"Anticipo",C1116&lt;&gt;"Aplicación anticipo",C1116&lt;&gt;"Retención ISR",C1116&lt;&gt;"Retención IVA"),AND(C1116="Servicio",F1116&lt;&gt;"TMS",F1116&lt;&gt;"Valoración",F1116&lt;&gt;"EEG",F1116&lt;&gt;"Neurofeedback",F1116&lt;&gt;"Fotobiomodulación",F1116&lt;&gt;"Psicoterapia",F1116&lt;&gt;"Otros")),"Tipo o categoría inválido",IF(COUNTA(A1116:J1116)=0,"",IF(OR(A1116="",B1116="",C1116="",G1116=""),"Faltan datos",IF(COUNTIF($A$7:$A$2006,A1116)&gt;1,"ID duplicado",IF(OR(B1116&lt;DATE(Configuración!$C$5,1,1),B1116&gt;=DATE(Configuración!$C$5+1,1,1)),"Fecha fuera del año",IF(OR(G1116&lt;0,H1116&lt;0),"Revisar signo",IF(AND(C1116&lt;&gt;"Servicio",H1116&lt;&gt;0),"IVA solo en Servicio",IF(AND(C1116="Servicio",F1116=""),"Falta servicio","OK")))))))))</f>
        <v/>
      </c>
    </row>
    <row r="1117" spans="1:12" ht="22" customHeight="1">
      <c r="A1117" s="3"/>
      <c r="B1117" s="7"/>
      <c r="C1117" s="3"/>
      <c r="D1117" s="3"/>
      <c r="E1117" s="3"/>
      <c r="F1117" s="3"/>
      <c r="G1117" s="4"/>
      <c r="H1117" s="4"/>
      <c r="I1117" s="3"/>
      <c r="J1117" s="3"/>
      <c r="K1117" s="8" t="str">
        <f t="shared" si="17"/>
        <v/>
      </c>
      <c r="L1117" s="1" t="str">
        <f>IF(COUNTA(A1117:J1117)=0,"",IF(OR(AND(C1117&lt;&gt;"Servicio",C1117&lt;&gt;"Cobro",C1117&lt;&gt;"Anticipo",C1117&lt;&gt;"Aplicación anticipo",C1117&lt;&gt;"Retención ISR",C1117&lt;&gt;"Retención IVA"),AND(C1117="Servicio",F1117&lt;&gt;"TMS",F1117&lt;&gt;"Valoración",F1117&lt;&gt;"EEG",F1117&lt;&gt;"Neurofeedback",F1117&lt;&gt;"Fotobiomodulación",F1117&lt;&gt;"Psicoterapia",F1117&lt;&gt;"Otros")),"Tipo o categoría inválido",IF(COUNTA(A1117:J1117)=0,"",IF(OR(A1117="",B1117="",C1117="",G1117=""),"Faltan datos",IF(COUNTIF($A$7:$A$2006,A1117)&gt;1,"ID duplicado",IF(OR(B1117&lt;DATE(Configuración!$C$5,1,1),B1117&gt;=DATE(Configuración!$C$5+1,1,1)),"Fecha fuera del año",IF(OR(G1117&lt;0,H1117&lt;0),"Revisar signo",IF(AND(C1117&lt;&gt;"Servicio",H1117&lt;&gt;0),"IVA solo en Servicio",IF(AND(C1117="Servicio",F1117=""),"Falta servicio","OK")))))))))</f>
        <v/>
      </c>
    </row>
    <row r="1118" spans="1:12" ht="22" customHeight="1">
      <c r="A1118" s="3"/>
      <c r="B1118" s="7"/>
      <c r="C1118" s="3"/>
      <c r="D1118" s="3"/>
      <c r="E1118" s="3"/>
      <c r="F1118" s="3"/>
      <c r="G1118" s="4"/>
      <c r="H1118" s="4"/>
      <c r="I1118" s="3"/>
      <c r="J1118" s="3"/>
      <c r="K1118" s="8" t="str">
        <f t="shared" si="17"/>
        <v/>
      </c>
      <c r="L1118" s="1" t="str">
        <f>IF(COUNTA(A1118:J1118)=0,"",IF(OR(AND(C1118&lt;&gt;"Servicio",C1118&lt;&gt;"Cobro",C1118&lt;&gt;"Anticipo",C1118&lt;&gt;"Aplicación anticipo",C1118&lt;&gt;"Retención ISR",C1118&lt;&gt;"Retención IVA"),AND(C1118="Servicio",F1118&lt;&gt;"TMS",F1118&lt;&gt;"Valoración",F1118&lt;&gt;"EEG",F1118&lt;&gt;"Neurofeedback",F1118&lt;&gt;"Fotobiomodulación",F1118&lt;&gt;"Psicoterapia",F1118&lt;&gt;"Otros")),"Tipo o categoría inválido",IF(COUNTA(A1118:J1118)=0,"",IF(OR(A1118="",B1118="",C1118="",G1118=""),"Faltan datos",IF(COUNTIF($A$7:$A$2006,A1118)&gt;1,"ID duplicado",IF(OR(B1118&lt;DATE(Configuración!$C$5,1,1),B1118&gt;=DATE(Configuración!$C$5+1,1,1)),"Fecha fuera del año",IF(OR(G1118&lt;0,H1118&lt;0),"Revisar signo",IF(AND(C1118&lt;&gt;"Servicio",H1118&lt;&gt;0),"IVA solo en Servicio",IF(AND(C1118="Servicio",F1118=""),"Falta servicio","OK")))))))))</f>
        <v/>
      </c>
    </row>
    <row r="1119" spans="1:12" ht="22" customHeight="1">
      <c r="A1119" s="3"/>
      <c r="B1119" s="7"/>
      <c r="C1119" s="3"/>
      <c r="D1119" s="3"/>
      <c r="E1119" s="3"/>
      <c r="F1119" s="3"/>
      <c r="G1119" s="4"/>
      <c r="H1119" s="4"/>
      <c r="I1119" s="3"/>
      <c r="J1119" s="3"/>
      <c r="K1119" s="8" t="str">
        <f t="shared" si="17"/>
        <v/>
      </c>
      <c r="L1119" s="1" t="str">
        <f>IF(COUNTA(A1119:J1119)=0,"",IF(OR(AND(C1119&lt;&gt;"Servicio",C1119&lt;&gt;"Cobro",C1119&lt;&gt;"Anticipo",C1119&lt;&gt;"Aplicación anticipo",C1119&lt;&gt;"Retención ISR",C1119&lt;&gt;"Retención IVA"),AND(C1119="Servicio",F1119&lt;&gt;"TMS",F1119&lt;&gt;"Valoración",F1119&lt;&gt;"EEG",F1119&lt;&gt;"Neurofeedback",F1119&lt;&gt;"Fotobiomodulación",F1119&lt;&gt;"Psicoterapia",F1119&lt;&gt;"Otros")),"Tipo o categoría inválido",IF(COUNTA(A1119:J1119)=0,"",IF(OR(A1119="",B1119="",C1119="",G1119=""),"Faltan datos",IF(COUNTIF($A$7:$A$2006,A1119)&gt;1,"ID duplicado",IF(OR(B1119&lt;DATE(Configuración!$C$5,1,1),B1119&gt;=DATE(Configuración!$C$5+1,1,1)),"Fecha fuera del año",IF(OR(G1119&lt;0,H1119&lt;0),"Revisar signo",IF(AND(C1119&lt;&gt;"Servicio",H1119&lt;&gt;0),"IVA solo en Servicio",IF(AND(C1119="Servicio",F1119=""),"Falta servicio","OK")))))))))</f>
        <v/>
      </c>
    </row>
    <row r="1120" spans="1:12" ht="22" customHeight="1">
      <c r="A1120" s="3"/>
      <c r="B1120" s="7"/>
      <c r="C1120" s="3"/>
      <c r="D1120" s="3"/>
      <c r="E1120" s="3"/>
      <c r="F1120" s="3"/>
      <c r="G1120" s="4"/>
      <c r="H1120" s="4"/>
      <c r="I1120" s="3"/>
      <c r="J1120" s="3"/>
      <c r="K1120" s="8" t="str">
        <f t="shared" si="17"/>
        <v/>
      </c>
      <c r="L1120" s="1" t="str">
        <f>IF(COUNTA(A1120:J1120)=0,"",IF(OR(AND(C1120&lt;&gt;"Servicio",C1120&lt;&gt;"Cobro",C1120&lt;&gt;"Anticipo",C1120&lt;&gt;"Aplicación anticipo",C1120&lt;&gt;"Retención ISR",C1120&lt;&gt;"Retención IVA"),AND(C1120="Servicio",F1120&lt;&gt;"TMS",F1120&lt;&gt;"Valoración",F1120&lt;&gt;"EEG",F1120&lt;&gt;"Neurofeedback",F1120&lt;&gt;"Fotobiomodulación",F1120&lt;&gt;"Psicoterapia",F1120&lt;&gt;"Otros")),"Tipo o categoría inválido",IF(COUNTA(A1120:J1120)=0,"",IF(OR(A1120="",B1120="",C1120="",G1120=""),"Faltan datos",IF(COUNTIF($A$7:$A$2006,A1120)&gt;1,"ID duplicado",IF(OR(B1120&lt;DATE(Configuración!$C$5,1,1),B1120&gt;=DATE(Configuración!$C$5+1,1,1)),"Fecha fuera del año",IF(OR(G1120&lt;0,H1120&lt;0),"Revisar signo",IF(AND(C1120&lt;&gt;"Servicio",H1120&lt;&gt;0),"IVA solo en Servicio",IF(AND(C1120="Servicio",F1120=""),"Falta servicio","OK")))))))))</f>
        <v/>
      </c>
    </row>
    <row r="1121" spans="1:12" ht="22" customHeight="1">
      <c r="A1121" s="3"/>
      <c r="B1121" s="7"/>
      <c r="C1121" s="3"/>
      <c r="D1121" s="3"/>
      <c r="E1121" s="3"/>
      <c r="F1121" s="3"/>
      <c r="G1121" s="4"/>
      <c r="H1121" s="4"/>
      <c r="I1121" s="3"/>
      <c r="J1121" s="3"/>
      <c r="K1121" s="8" t="str">
        <f t="shared" si="17"/>
        <v/>
      </c>
      <c r="L1121" s="1" t="str">
        <f>IF(COUNTA(A1121:J1121)=0,"",IF(OR(AND(C1121&lt;&gt;"Servicio",C1121&lt;&gt;"Cobro",C1121&lt;&gt;"Anticipo",C1121&lt;&gt;"Aplicación anticipo",C1121&lt;&gt;"Retención ISR",C1121&lt;&gt;"Retención IVA"),AND(C1121="Servicio",F1121&lt;&gt;"TMS",F1121&lt;&gt;"Valoración",F1121&lt;&gt;"EEG",F1121&lt;&gt;"Neurofeedback",F1121&lt;&gt;"Fotobiomodulación",F1121&lt;&gt;"Psicoterapia",F1121&lt;&gt;"Otros")),"Tipo o categoría inválido",IF(COUNTA(A1121:J1121)=0,"",IF(OR(A1121="",B1121="",C1121="",G1121=""),"Faltan datos",IF(COUNTIF($A$7:$A$2006,A1121)&gt;1,"ID duplicado",IF(OR(B1121&lt;DATE(Configuración!$C$5,1,1),B1121&gt;=DATE(Configuración!$C$5+1,1,1)),"Fecha fuera del año",IF(OR(G1121&lt;0,H1121&lt;0),"Revisar signo",IF(AND(C1121&lt;&gt;"Servicio",H1121&lt;&gt;0),"IVA solo en Servicio",IF(AND(C1121="Servicio",F1121=""),"Falta servicio","OK")))))))))</f>
        <v/>
      </c>
    </row>
    <row r="1122" spans="1:12" ht="22" customHeight="1">
      <c r="A1122" s="3"/>
      <c r="B1122" s="7"/>
      <c r="C1122" s="3"/>
      <c r="D1122" s="3"/>
      <c r="E1122" s="3"/>
      <c r="F1122" s="3"/>
      <c r="G1122" s="4"/>
      <c r="H1122" s="4"/>
      <c r="I1122" s="3"/>
      <c r="J1122" s="3"/>
      <c r="K1122" s="8" t="str">
        <f t="shared" si="17"/>
        <v/>
      </c>
      <c r="L1122" s="1" t="str">
        <f>IF(COUNTA(A1122:J1122)=0,"",IF(OR(AND(C1122&lt;&gt;"Servicio",C1122&lt;&gt;"Cobro",C1122&lt;&gt;"Anticipo",C1122&lt;&gt;"Aplicación anticipo",C1122&lt;&gt;"Retención ISR",C1122&lt;&gt;"Retención IVA"),AND(C1122="Servicio",F1122&lt;&gt;"TMS",F1122&lt;&gt;"Valoración",F1122&lt;&gt;"EEG",F1122&lt;&gt;"Neurofeedback",F1122&lt;&gt;"Fotobiomodulación",F1122&lt;&gt;"Psicoterapia",F1122&lt;&gt;"Otros")),"Tipo o categoría inválido",IF(COUNTA(A1122:J1122)=0,"",IF(OR(A1122="",B1122="",C1122="",G1122=""),"Faltan datos",IF(COUNTIF($A$7:$A$2006,A1122)&gt;1,"ID duplicado",IF(OR(B1122&lt;DATE(Configuración!$C$5,1,1),B1122&gt;=DATE(Configuración!$C$5+1,1,1)),"Fecha fuera del año",IF(OR(G1122&lt;0,H1122&lt;0),"Revisar signo",IF(AND(C1122&lt;&gt;"Servicio",H1122&lt;&gt;0),"IVA solo en Servicio",IF(AND(C1122="Servicio",F1122=""),"Falta servicio","OK")))))))))</f>
        <v/>
      </c>
    </row>
    <row r="1123" spans="1:12" ht="22" customHeight="1">
      <c r="A1123" s="3"/>
      <c r="B1123" s="7"/>
      <c r="C1123" s="3"/>
      <c r="D1123" s="3"/>
      <c r="E1123" s="3"/>
      <c r="F1123" s="3"/>
      <c r="G1123" s="4"/>
      <c r="H1123" s="4"/>
      <c r="I1123" s="3"/>
      <c r="J1123" s="3"/>
      <c r="K1123" s="8" t="str">
        <f t="shared" si="17"/>
        <v/>
      </c>
      <c r="L1123" s="1" t="str">
        <f>IF(COUNTA(A1123:J1123)=0,"",IF(OR(AND(C1123&lt;&gt;"Servicio",C1123&lt;&gt;"Cobro",C1123&lt;&gt;"Anticipo",C1123&lt;&gt;"Aplicación anticipo",C1123&lt;&gt;"Retención ISR",C1123&lt;&gt;"Retención IVA"),AND(C1123="Servicio",F1123&lt;&gt;"TMS",F1123&lt;&gt;"Valoración",F1123&lt;&gt;"EEG",F1123&lt;&gt;"Neurofeedback",F1123&lt;&gt;"Fotobiomodulación",F1123&lt;&gt;"Psicoterapia",F1123&lt;&gt;"Otros")),"Tipo o categoría inválido",IF(COUNTA(A1123:J1123)=0,"",IF(OR(A1123="",B1123="",C1123="",G1123=""),"Faltan datos",IF(COUNTIF($A$7:$A$2006,A1123)&gt;1,"ID duplicado",IF(OR(B1123&lt;DATE(Configuración!$C$5,1,1),B1123&gt;=DATE(Configuración!$C$5+1,1,1)),"Fecha fuera del año",IF(OR(G1123&lt;0,H1123&lt;0),"Revisar signo",IF(AND(C1123&lt;&gt;"Servicio",H1123&lt;&gt;0),"IVA solo en Servicio",IF(AND(C1123="Servicio",F1123=""),"Falta servicio","OK")))))))))</f>
        <v/>
      </c>
    </row>
    <row r="1124" spans="1:12" ht="22" customHeight="1">
      <c r="A1124" s="3"/>
      <c r="B1124" s="7"/>
      <c r="C1124" s="3"/>
      <c r="D1124" s="3"/>
      <c r="E1124" s="3"/>
      <c r="F1124" s="3"/>
      <c r="G1124" s="4"/>
      <c r="H1124" s="4"/>
      <c r="I1124" s="3"/>
      <c r="J1124" s="3"/>
      <c r="K1124" s="8" t="str">
        <f t="shared" si="17"/>
        <v/>
      </c>
      <c r="L1124" s="1" t="str">
        <f>IF(COUNTA(A1124:J1124)=0,"",IF(OR(AND(C1124&lt;&gt;"Servicio",C1124&lt;&gt;"Cobro",C1124&lt;&gt;"Anticipo",C1124&lt;&gt;"Aplicación anticipo",C1124&lt;&gt;"Retención ISR",C1124&lt;&gt;"Retención IVA"),AND(C1124="Servicio",F1124&lt;&gt;"TMS",F1124&lt;&gt;"Valoración",F1124&lt;&gt;"EEG",F1124&lt;&gt;"Neurofeedback",F1124&lt;&gt;"Fotobiomodulación",F1124&lt;&gt;"Psicoterapia",F1124&lt;&gt;"Otros")),"Tipo o categoría inválido",IF(COUNTA(A1124:J1124)=0,"",IF(OR(A1124="",B1124="",C1124="",G1124=""),"Faltan datos",IF(COUNTIF($A$7:$A$2006,A1124)&gt;1,"ID duplicado",IF(OR(B1124&lt;DATE(Configuración!$C$5,1,1),B1124&gt;=DATE(Configuración!$C$5+1,1,1)),"Fecha fuera del año",IF(OR(G1124&lt;0,H1124&lt;0),"Revisar signo",IF(AND(C1124&lt;&gt;"Servicio",H1124&lt;&gt;0),"IVA solo en Servicio",IF(AND(C1124="Servicio",F1124=""),"Falta servicio","OK")))))))))</f>
        <v/>
      </c>
    </row>
    <row r="1125" spans="1:12" ht="22" customHeight="1">
      <c r="A1125" s="3"/>
      <c r="B1125" s="7"/>
      <c r="C1125" s="3"/>
      <c r="D1125" s="3"/>
      <c r="E1125" s="3"/>
      <c r="F1125" s="3"/>
      <c r="G1125" s="4"/>
      <c r="H1125" s="4"/>
      <c r="I1125" s="3"/>
      <c r="J1125" s="3"/>
      <c r="K1125" s="8" t="str">
        <f t="shared" si="17"/>
        <v/>
      </c>
      <c r="L1125" s="1" t="str">
        <f>IF(COUNTA(A1125:J1125)=0,"",IF(OR(AND(C1125&lt;&gt;"Servicio",C1125&lt;&gt;"Cobro",C1125&lt;&gt;"Anticipo",C1125&lt;&gt;"Aplicación anticipo",C1125&lt;&gt;"Retención ISR",C1125&lt;&gt;"Retención IVA"),AND(C1125="Servicio",F1125&lt;&gt;"TMS",F1125&lt;&gt;"Valoración",F1125&lt;&gt;"EEG",F1125&lt;&gt;"Neurofeedback",F1125&lt;&gt;"Fotobiomodulación",F1125&lt;&gt;"Psicoterapia",F1125&lt;&gt;"Otros")),"Tipo o categoría inválido",IF(COUNTA(A1125:J1125)=0,"",IF(OR(A1125="",B1125="",C1125="",G1125=""),"Faltan datos",IF(COUNTIF($A$7:$A$2006,A1125)&gt;1,"ID duplicado",IF(OR(B1125&lt;DATE(Configuración!$C$5,1,1),B1125&gt;=DATE(Configuración!$C$5+1,1,1)),"Fecha fuera del año",IF(OR(G1125&lt;0,H1125&lt;0),"Revisar signo",IF(AND(C1125&lt;&gt;"Servicio",H1125&lt;&gt;0),"IVA solo en Servicio",IF(AND(C1125="Servicio",F1125=""),"Falta servicio","OK")))))))))</f>
        <v/>
      </c>
    </row>
    <row r="1126" spans="1:12" ht="22" customHeight="1">
      <c r="A1126" s="3"/>
      <c r="B1126" s="7"/>
      <c r="C1126" s="3"/>
      <c r="D1126" s="3"/>
      <c r="E1126" s="3"/>
      <c r="F1126" s="3"/>
      <c r="G1126" s="4"/>
      <c r="H1126" s="4"/>
      <c r="I1126" s="3"/>
      <c r="J1126" s="3"/>
      <c r="K1126" s="8" t="str">
        <f t="shared" si="17"/>
        <v/>
      </c>
      <c r="L1126" s="1" t="str">
        <f>IF(COUNTA(A1126:J1126)=0,"",IF(OR(AND(C1126&lt;&gt;"Servicio",C1126&lt;&gt;"Cobro",C1126&lt;&gt;"Anticipo",C1126&lt;&gt;"Aplicación anticipo",C1126&lt;&gt;"Retención ISR",C1126&lt;&gt;"Retención IVA"),AND(C1126="Servicio",F1126&lt;&gt;"TMS",F1126&lt;&gt;"Valoración",F1126&lt;&gt;"EEG",F1126&lt;&gt;"Neurofeedback",F1126&lt;&gt;"Fotobiomodulación",F1126&lt;&gt;"Psicoterapia",F1126&lt;&gt;"Otros")),"Tipo o categoría inválido",IF(COUNTA(A1126:J1126)=0,"",IF(OR(A1126="",B1126="",C1126="",G1126=""),"Faltan datos",IF(COUNTIF($A$7:$A$2006,A1126)&gt;1,"ID duplicado",IF(OR(B1126&lt;DATE(Configuración!$C$5,1,1),B1126&gt;=DATE(Configuración!$C$5+1,1,1)),"Fecha fuera del año",IF(OR(G1126&lt;0,H1126&lt;0),"Revisar signo",IF(AND(C1126&lt;&gt;"Servicio",H1126&lt;&gt;0),"IVA solo en Servicio",IF(AND(C1126="Servicio",F1126=""),"Falta servicio","OK")))))))))</f>
        <v/>
      </c>
    </row>
    <row r="1127" spans="1:12" ht="22" customHeight="1">
      <c r="A1127" s="3"/>
      <c r="B1127" s="7"/>
      <c r="C1127" s="3"/>
      <c r="D1127" s="3"/>
      <c r="E1127" s="3"/>
      <c r="F1127" s="3"/>
      <c r="G1127" s="4"/>
      <c r="H1127" s="4"/>
      <c r="I1127" s="3"/>
      <c r="J1127" s="3"/>
      <c r="K1127" s="8" t="str">
        <f t="shared" si="17"/>
        <v/>
      </c>
      <c r="L1127" s="1" t="str">
        <f>IF(COUNTA(A1127:J1127)=0,"",IF(OR(AND(C1127&lt;&gt;"Servicio",C1127&lt;&gt;"Cobro",C1127&lt;&gt;"Anticipo",C1127&lt;&gt;"Aplicación anticipo",C1127&lt;&gt;"Retención ISR",C1127&lt;&gt;"Retención IVA"),AND(C1127="Servicio",F1127&lt;&gt;"TMS",F1127&lt;&gt;"Valoración",F1127&lt;&gt;"EEG",F1127&lt;&gt;"Neurofeedback",F1127&lt;&gt;"Fotobiomodulación",F1127&lt;&gt;"Psicoterapia",F1127&lt;&gt;"Otros")),"Tipo o categoría inválido",IF(COUNTA(A1127:J1127)=0,"",IF(OR(A1127="",B1127="",C1127="",G1127=""),"Faltan datos",IF(COUNTIF($A$7:$A$2006,A1127)&gt;1,"ID duplicado",IF(OR(B1127&lt;DATE(Configuración!$C$5,1,1),B1127&gt;=DATE(Configuración!$C$5+1,1,1)),"Fecha fuera del año",IF(OR(G1127&lt;0,H1127&lt;0),"Revisar signo",IF(AND(C1127&lt;&gt;"Servicio",H1127&lt;&gt;0),"IVA solo en Servicio",IF(AND(C1127="Servicio",F1127=""),"Falta servicio","OK")))))))))</f>
        <v/>
      </c>
    </row>
    <row r="1128" spans="1:12" ht="22" customHeight="1">
      <c r="A1128" s="3"/>
      <c r="B1128" s="7"/>
      <c r="C1128" s="3"/>
      <c r="D1128" s="3"/>
      <c r="E1128" s="3"/>
      <c r="F1128" s="3"/>
      <c r="G1128" s="4"/>
      <c r="H1128" s="4"/>
      <c r="I1128" s="3"/>
      <c r="J1128" s="3"/>
      <c r="K1128" s="8" t="str">
        <f t="shared" si="17"/>
        <v/>
      </c>
      <c r="L1128" s="1" t="str">
        <f>IF(COUNTA(A1128:J1128)=0,"",IF(OR(AND(C1128&lt;&gt;"Servicio",C1128&lt;&gt;"Cobro",C1128&lt;&gt;"Anticipo",C1128&lt;&gt;"Aplicación anticipo",C1128&lt;&gt;"Retención ISR",C1128&lt;&gt;"Retención IVA"),AND(C1128="Servicio",F1128&lt;&gt;"TMS",F1128&lt;&gt;"Valoración",F1128&lt;&gt;"EEG",F1128&lt;&gt;"Neurofeedback",F1128&lt;&gt;"Fotobiomodulación",F1128&lt;&gt;"Psicoterapia",F1128&lt;&gt;"Otros")),"Tipo o categoría inválido",IF(COUNTA(A1128:J1128)=0,"",IF(OR(A1128="",B1128="",C1128="",G1128=""),"Faltan datos",IF(COUNTIF($A$7:$A$2006,A1128)&gt;1,"ID duplicado",IF(OR(B1128&lt;DATE(Configuración!$C$5,1,1),B1128&gt;=DATE(Configuración!$C$5+1,1,1)),"Fecha fuera del año",IF(OR(G1128&lt;0,H1128&lt;0),"Revisar signo",IF(AND(C1128&lt;&gt;"Servicio",H1128&lt;&gt;0),"IVA solo en Servicio",IF(AND(C1128="Servicio",F1128=""),"Falta servicio","OK")))))))))</f>
        <v/>
      </c>
    </row>
    <row r="1129" spans="1:12" ht="22" customHeight="1">
      <c r="A1129" s="3"/>
      <c r="B1129" s="7"/>
      <c r="C1129" s="3"/>
      <c r="D1129" s="3"/>
      <c r="E1129" s="3"/>
      <c r="F1129" s="3"/>
      <c r="G1129" s="4"/>
      <c r="H1129" s="4"/>
      <c r="I1129" s="3"/>
      <c r="J1129" s="3"/>
      <c r="K1129" s="8" t="str">
        <f t="shared" si="17"/>
        <v/>
      </c>
      <c r="L1129" s="1" t="str">
        <f>IF(COUNTA(A1129:J1129)=0,"",IF(OR(AND(C1129&lt;&gt;"Servicio",C1129&lt;&gt;"Cobro",C1129&lt;&gt;"Anticipo",C1129&lt;&gt;"Aplicación anticipo",C1129&lt;&gt;"Retención ISR",C1129&lt;&gt;"Retención IVA"),AND(C1129="Servicio",F1129&lt;&gt;"TMS",F1129&lt;&gt;"Valoración",F1129&lt;&gt;"EEG",F1129&lt;&gt;"Neurofeedback",F1129&lt;&gt;"Fotobiomodulación",F1129&lt;&gt;"Psicoterapia",F1129&lt;&gt;"Otros")),"Tipo o categoría inválido",IF(COUNTA(A1129:J1129)=0,"",IF(OR(A1129="",B1129="",C1129="",G1129=""),"Faltan datos",IF(COUNTIF($A$7:$A$2006,A1129)&gt;1,"ID duplicado",IF(OR(B1129&lt;DATE(Configuración!$C$5,1,1),B1129&gt;=DATE(Configuración!$C$5+1,1,1)),"Fecha fuera del año",IF(OR(G1129&lt;0,H1129&lt;0),"Revisar signo",IF(AND(C1129&lt;&gt;"Servicio",H1129&lt;&gt;0),"IVA solo en Servicio",IF(AND(C1129="Servicio",F1129=""),"Falta servicio","OK")))))))))</f>
        <v/>
      </c>
    </row>
    <row r="1130" spans="1:12" ht="22" customHeight="1">
      <c r="A1130" s="3"/>
      <c r="B1130" s="7"/>
      <c r="C1130" s="3"/>
      <c r="D1130" s="3"/>
      <c r="E1130" s="3"/>
      <c r="F1130" s="3"/>
      <c r="G1130" s="4"/>
      <c r="H1130" s="4"/>
      <c r="I1130" s="3"/>
      <c r="J1130" s="3"/>
      <c r="K1130" s="8" t="str">
        <f t="shared" si="17"/>
        <v/>
      </c>
      <c r="L1130" s="1" t="str">
        <f>IF(COUNTA(A1130:J1130)=0,"",IF(OR(AND(C1130&lt;&gt;"Servicio",C1130&lt;&gt;"Cobro",C1130&lt;&gt;"Anticipo",C1130&lt;&gt;"Aplicación anticipo",C1130&lt;&gt;"Retención ISR",C1130&lt;&gt;"Retención IVA"),AND(C1130="Servicio",F1130&lt;&gt;"TMS",F1130&lt;&gt;"Valoración",F1130&lt;&gt;"EEG",F1130&lt;&gt;"Neurofeedback",F1130&lt;&gt;"Fotobiomodulación",F1130&lt;&gt;"Psicoterapia",F1130&lt;&gt;"Otros")),"Tipo o categoría inválido",IF(COUNTA(A1130:J1130)=0,"",IF(OR(A1130="",B1130="",C1130="",G1130=""),"Faltan datos",IF(COUNTIF($A$7:$A$2006,A1130)&gt;1,"ID duplicado",IF(OR(B1130&lt;DATE(Configuración!$C$5,1,1),B1130&gt;=DATE(Configuración!$C$5+1,1,1)),"Fecha fuera del año",IF(OR(G1130&lt;0,H1130&lt;0),"Revisar signo",IF(AND(C1130&lt;&gt;"Servicio",H1130&lt;&gt;0),"IVA solo en Servicio",IF(AND(C1130="Servicio",F1130=""),"Falta servicio","OK")))))))))</f>
        <v/>
      </c>
    </row>
    <row r="1131" spans="1:12" ht="22" customHeight="1">
      <c r="A1131" s="3"/>
      <c r="B1131" s="7"/>
      <c r="C1131" s="3"/>
      <c r="D1131" s="3"/>
      <c r="E1131" s="3"/>
      <c r="F1131" s="3"/>
      <c r="G1131" s="4"/>
      <c r="H1131" s="4"/>
      <c r="I1131" s="3"/>
      <c r="J1131" s="3"/>
      <c r="K1131" s="8" t="str">
        <f t="shared" si="17"/>
        <v/>
      </c>
      <c r="L1131" s="1" t="str">
        <f>IF(COUNTA(A1131:J1131)=0,"",IF(OR(AND(C1131&lt;&gt;"Servicio",C1131&lt;&gt;"Cobro",C1131&lt;&gt;"Anticipo",C1131&lt;&gt;"Aplicación anticipo",C1131&lt;&gt;"Retención ISR",C1131&lt;&gt;"Retención IVA"),AND(C1131="Servicio",F1131&lt;&gt;"TMS",F1131&lt;&gt;"Valoración",F1131&lt;&gt;"EEG",F1131&lt;&gt;"Neurofeedback",F1131&lt;&gt;"Fotobiomodulación",F1131&lt;&gt;"Psicoterapia",F1131&lt;&gt;"Otros")),"Tipo o categoría inválido",IF(COUNTA(A1131:J1131)=0,"",IF(OR(A1131="",B1131="",C1131="",G1131=""),"Faltan datos",IF(COUNTIF($A$7:$A$2006,A1131)&gt;1,"ID duplicado",IF(OR(B1131&lt;DATE(Configuración!$C$5,1,1),B1131&gt;=DATE(Configuración!$C$5+1,1,1)),"Fecha fuera del año",IF(OR(G1131&lt;0,H1131&lt;0),"Revisar signo",IF(AND(C1131&lt;&gt;"Servicio",H1131&lt;&gt;0),"IVA solo en Servicio",IF(AND(C1131="Servicio",F1131=""),"Falta servicio","OK")))))))))</f>
        <v/>
      </c>
    </row>
    <row r="1132" spans="1:12" ht="22" customHeight="1">
      <c r="A1132" s="3"/>
      <c r="B1132" s="7"/>
      <c r="C1132" s="3"/>
      <c r="D1132" s="3"/>
      <c r="E1132" s="3"/>
      <c r="F1132" s="3"/>
      <c r="G1132" s="4"/>
      <c r="H1132" s="4"/>
      <c r="I1132" s="3"/>
      <c r="J1132" s="3"/>
      <c r="K1132" s="8" t="str">
        <f t="shared" si="17"/>
        <v/>
      </c>
      <c r="L1132" s="1" t="str">
        <f>IF(COUNTA(A1132:J1132)=0,"",IF(OR(AND(C1132&lt;&gt;"Servicio",C1132&lt;&gt;"Cobro",C1132&lt;&gt;"Anticipo",C1132&lt;&gt;"Aplicación anticipo",C1132&lt;&gt;"Retención ISR",C1132&lt;&gt;"Retención IVA"),AND(C1132="Servicio",F1132&lt;&gt;"TMS",F1132&lt;&gt;"Valoración",F1132&lt;&gt;"EEG",F1132&lt;&gt;"Neurofeedback",F1132&lt;&gt;"Fotobiomodulación",F1132&lt;&gt;"Psicoterapia",F1132&lt;&gt;"Otros")),"Tipo o categoría inválido",IF(COUNTA(A1132:J1132)=0,"",IF(OR(A1132="",B1132="",C1132="",G1132=""),"Faltan datos",IF(COUNTIF($A$7:$A$2006,A1132)&gt;1,"ID duplicado",IF(OR(B1132&lt;DATE(Configuración!$C$5,1,1),B1132&gt;=DATE(Configuración!$C$5+1,1,1)),"Fecha fuera del año",IF(OR(G1132&lt;0,H1132&lt;0),"Revisar signo",IF(AND(C1132&lt;&gt;"Servicio",H1132&lt;&gt;0),"IVA solo en Servicio",IF(AND(C1132="Servicio",F1132=""),"Falta servicio","OK")))))))))</f>
        <v/>
      </c>
    </row>
    <row r="1133" spans="1:12" ht="22" customHeight="1">
      <c r="A1133" s="3"/>
      <c r="B1133" s="7"/>
      <c r="C1133" s="3"/>
      <c r="D1133" s="3"/>
      <c r="E1133" s="3"/>
      <c r="F1133" s="3"/>
      <c r="G1133" s="4"/>
      <c r="H1133" s="4"/>
      <c r="I1133" s="3"/>
      <c r="J1133" s="3"/>
      <c r="K1133" s="8" t="str">
        <f t="shared" si="17"/>
        <v/>
      </c>
      <c r="L1133" s="1" t="str">
        <f>IF(COUNTA(A1133:J1133)=0,"",IF(OR(AND(C1133&lt;&gt;"Servicio",C1133&lt;&gt;"Cobro",C1133&lt;&gt;"Anticipo",C1133&lt;&gt;"Aplicación anticipo",C1133&lt;&gt;"Retención ISR",C1133&lt;&gt;"Retención IVA"),AND(C1133="Servicio",F1133&lt;&gt;"TMS",F1133&lt;&gt;"Valoración",F1133&lt;&gt;"EEG",F1133&lt;&gt;"Neurofeedback",F1133&lt;&gt;"Fotobiomodulación",F1133&lt;&gt;"Psicoterapia",F1133&lt;&gt;"Otros")),"Tipo o categoría inválido",IF(COUNTA(A1133:J1133)=0,"",IF(OR(A1133="",B1133="",C1133="",G1133=""),"Faltan datos",IF(COUNTIF($A$7:$A$2006,A1133)&gt;1,"ID duplicado",IF(OR(B1133&lt;DATE(Configuración!$C$5,1,1),B1133&gt;=DATE(Configuración!$C$5+1,1,1)),"Fecha fuera del año",IF(OR(G1133&lt;0,H1133&lt;0),"Revisar signo",IF(AND(C1133&lt;&gt;"Servicio",H1133&lt;&gt;0),"IVA solo en Servicio",IF(AND(C1133="Servicio",F1133=""),"Falta servicio","OK")))))))))</f>
        <v/>
      </c>
    </row>
    <row r="1134" spans="1:12" ht="22" customHeight="1">
      <c r="A1134" s="3"/>
      <c r="B1134" s="7"/>
      <c r="C1134" s="3"/>
      <c r="D1134" s="3"/>
      <c r="E1134" s="3"/>
      <c r="F1134" s="3"/>
      <c r="G1134" s="4"/>
      <c r="H1134" s="4"/>
      <c r="I1134" s="3"/>
      <c r="J1134" s="3"/>
      <c r="K1134" s="8" t="str">
        <f t="shared" si="17"/>
        <v/>
      </c>
      <c r="L1134" s="1" t="str">
        <f>IF(COUNTA(A1134:J1134)=0,"",IF(OR(AND(C1134&lt;&gt;"Servicio",C1134&lt;&gt;"Cobro",C1134&lt;&gt;"Anticipo",C1134&lt;&gt;"Aplicación anticipo",C1134&lt;&gt;"Retención ISR",C1134&lt;&gt;"Retención IVA"),AND(C1134="Servicio",F1134&lt;&gt;"TMS",F1134&lt;&gt;"Valoración",F1134&lt;&gt;"EEG",F1134&lt;&gt;"Neurofeedback",F1134&lt;&gt;"Fotobiomodulación",F1134&lt;&gt;"Psicoterapia",F1134&lt;&gt;"Otros")),"Tipo o categoría inválido",IF(COUNTA(A1134:J1134)=0,"",IF(OR(A1134="",B1134="",C1134="",G1134=""),"Faltan datos",IF(COUNTIF($A$7:$A$2006,A1134)&gt;1,"ID duplicado",IF(OR(B1134&lt;DATE(Configuración!$C$5,1,1),B1134&gt;=DATE(Configuración!$C$5+1,1,1)),"Fecha fuera del año",IF(OR(G1134&lt;0,H1134&lt;0),"Revisar signo",IF(AND(C1134&lt;&gt;"Servicio",H1134&lt;&gt;0),"IVA solo en Servicio",IF(AND(C1134="Servicio",F1134=""),"Falta servicio","OK")))))))))</f>
        <v/>
      </c>
    </row>
    <row r="1135" spans="1:12" ht="22" customHeight="1">
      <c r="A1135" s="3"/>
      <c r="B1135" s="7"/>
      <c r="C1135" s="3"/>
      <c r="D1135" s="3"/>
      <c r="E1135" s="3"/>
      <c r="F1135" s="3"/>
      <c r="G1135" s="4"/>
      <c r="H1135" s="4"/>
      <c r="I1135" s="3"/>
      <c r="J1135" s="3"/>
      <c r="K1135" s="8" t="str">
        <f t="shared" si="17"/>
        <v/>
      </c>
      <c r="L1135" s="1" t="str">
        <f>IF(COUNTA(A1135:J1135)=0,"",IF(OR(AND(C1135&lt;&gt;"Servicio",C1135&lt;&gt;"Cobro",C1135&lt;&gt;"Anticipo",C1135&lt;&gt;"Aplicación anticipo",C1135&lt;&gt;"Retención ISR",C1135&lt;&gt;"Retención IVA"),AND(C1135="Servicio",F1135&lt;&gt;"TMS",F1135&lt;&gt;"Valoración",F1135&lt;&gt;"EEG",F1135&lt;&gt;"Neurofeedback",F1135&lt;&gt;"Fotobiomodulación",F1135&lt;&gt;"Psicoterapia",F1135&lt;&gt;"Otros")),"Tipo o categoría inválido",IF(COUNTA(A1135:J1135)=0,"",IF(OR(A1135="",B1135="",C1135="",G1135=""),"Faltan datos",IF(COUNTIF($A$7:$A$2006,A1135)&gt;1,"ID duplicado",IF(OR(B1135&lt;DATE(Configuración!$C$5,1,1),B1135&gt;=DATE(Configuración!$C$5+1,1,1)),"Fecha fuera del año",IF(OR(G1135&lt;0,H1135&lt;0),"Revisar signo",IF(AND(C1135&lt;&gt;"Servicio",H1135&lt;&gt;0),"IVA solo en Servicio",IF(AND(C1135="Servicio",F1135=""),"Falta servicio","OK")))))))))</f>
        <v/>
      </c>
    </row>
    <row r="1136" spans="1:12" ht="22" customHeight="1">
      <c r="A1136" s="3"/>
      <c r="B1136" s="7"/>
      <c r="C1136" s="3"/>
      <c r="D1136" s="3"/>
      <c r="E1136" s="3"/>
      <c r="F1136" s="3"/>
      <c r="G1136" s="4"/>
      <c r="H1136" s="4"/>
      <c r="I1136" s="3"/>
      <c r="J1136" s="3"/>
      <c r="K1136" s="8" t="str">
        <f t="shared" si="17"/>
        <v/>
      </c>
      <c r="L1136" s="1" t="str">
        <f>IF(COUNTA(A1136:J1136)=0,"",IF(OR(AND(C1136&lt;&gt;"Servicio",C1136&lt;&gt;"Cobro",C1136&lt;&gt;"Anticipo",C1136&lt;&gt;"Aplicación anticipo",C1136&lt;&gt;"Retención ISR",C1136&lt;&gt;"Retención IVA"),AND(C1136="Servicio",F1136&lt;&gt;"TMS",F1136&lt;&gt;"Valoración",F1136&lt;&gt;"EEG",F1136&lt;&gt;"Neurofeedback",F1136&lt;&gt;"Fotobiomodulación",F1136&lt;&gt;"Psicoterapia",F1136&lt;&gt;"Otros")),"Tipo o categoría inválido",IF(COUNTA(A1136:J1136)=0,"",IF(OR(A1136="",B1136="",C1136="",G1136=""),"Faltan datos",IF(COUNTIF($A$7:$A$2006,A1136)&gt;1,"ID duplicado",IF(OR(B1136&lt;DATE(Configuración!$C$5,1,1),B1136&gt;=DATE(Configuración!$C$5+1,1,1)),"Fecha fuera del año",IF(OR(G1136&lt;0,H1136&lt;0),"Revisar signo",IF(AND(C1136&lt;&gt;"Servicio",H1136&lt;&gt;0),"IVA solo en Servicio",IF(AND(C1136="Servicio",F1136=""),"Falta servicio","OK")))))))))</f>
        <v/>
      </c>
    </row>
    <row r="1137" spans="1:12" ht="22" customHeight="1">
      <c r="A1137" s="3"/>
      <c r="B1137" s="7"/>
      <c r="C1137" s="3"/>
      <c r="D1137" s="3"/>
      <c r="E1137" s="3"/>
      <c r="F1137" s="3"/>
      <c r="G1137" s="4"/>
      <c r="H1137" s="4"/>
      <c r="I1137" s="3"/>
      <c r="J1137" s="3"/>
      <c r="K1137" s="8" t="str">
        <f t="shared" si="17"/>
        <v/>
      </c>
      <c r="L1137" s="1" t="str">
        <f>IF(COUNTA(A1137:J1137)=0,"",IF(OR(AND(C1137&lt;&gt;"Servicio",C1137&lt;&gt;"Cobro",C1137&lt;&gt;"Anticipo",C1137&lt;&gt;"Aplicación anticipo",C1137&lt;&gt;"Retención ISR",C1137&lt;&gt;"Retención IVA"),AND(C1137="Servicio",F1137&lt;&gt;"TMS",F1137&lt;&gt;"Valoración",F1137&lt;&gt;"EEG",F1137&lt;&gt;"Neurofeedback",F1137&lt;&gt;"Fotobiomodulación",F1137&lt;&gt;"Psicoterapia",F1137&lt;&gt;"Otros")),"Tipo o categoría inválido",IF(COUNTA(A1137:J1137)=0,"",IF(OR(A1137="",B1137="",C1137="",G1137=""),"Faltan datos",IF(COUNTIF($A$7:$A$2006,A1137)&gt;1,"ID duplicado",IF(OR(B1137&lt;DATE(Configuración!$C$5,1,1),B1137&gt;=DATE(Configuración!$C$5+1,1,1)),"Fecha fuera del año",IF(OR(G1137&lt;0,H1137&lt;0),"Revisar signo",IF(AND(C1137&lt;&gt;"Servicio",H1137&lt;&gt;0),"IVA solo en Servicio",IF(AND(C1137="Servicio",F1137=""),"Falta servicio","OK")))))))))</f>
        <v/>
      </c>
    </row>
    <row r="1138" spans="1:12" ht="22" customHeight="1">
      <c r="A1138" s="3"/>
      <c r="B1138" s="7"/>
      <c r="C1138" s="3"/>
      <c r="D1138" s="3"/>
      <c r="E1138" s="3"/>
      <c r="F1138" s="3"/>
      <c r="G1138" s="4"/>
      <c r="H1138" s="4"/>
      <c r="I1138" s="3"/>
      <c r="J1138" s="3"/>
      <c r="K1138" s="8" t="str">
        <f t="shared" si="17"/>
        <v/>
      </c>
      <c r="L1138" s="1" t="str">
        <f>IF(COUNTA(A1138:J1138)=0,"",IF(OR(AND(C1138&lt;&gt;"Servicio",C1138&lt;&gt;"Cobro",C1138&lt;&gt;"Anticipo",C1138&lt;&gt;"Aplicación anticipo",C1138&lt;&gt;"Retención ISR",C1138&lt;&gt;"Retención IVA"),AND(C1138="Servicio",F1138&lt;&gt;"TMS",F1138&lt;&gt;"Valoración",F1138&lt;&gt;"EEG",F1138&lt;&gt;"Neurofeedback",F1138&lt;&gt;"Fotobiomodulación",F1138&lt;&gt;"Psicoterapia",F1138&lt;&gt;"Otros")),"Tipo o categoría inválido",IF(COUNTA(A1138:J1138)=0,"",IF(OR(A1138="",B1138="",C1138="",G1138=""),"Faltan datos",IF(COUNTIF($A$7:$A$2006,A1138)&gt;1,"ID duplicado",IF(OR(B1138&lt;DATE(Configuración!$C$5,1,1),B1138&gt;=DATE(Configuración!$C$5+1,1,1)),"Fecha fuera del año",IF(OR(G1138&lt;0,H1138&lt;0),"Revisar signo",IF(AND(C1138&lt;&gt;"Servicio",H1138&lt;&gt;0),"IVA solo en Servicio",IF(AND(C1138="Servicio",F1138=""),"Falta servicio","OK")))))))))</f>
        <v/>
      </c>
    </row>
    <row r="1139" spans="1:12" ht="22" customHeight="1">
      <c r="A1139" s="3"/>
      <c r="B1139" s="7"/>
      <c r="C1139" s="3"/>
      <c r="D1139" s="3"/>
      <c r="E1139" s="3"/>
      <c r="F1139" s="3"/>
      <c r="G1139" s="4"/>
      <c r="H1139" s="4"/>
      <c r="I1139" s="3"/>
      <c r="J1139" s="3"/>
      <c r="K1139" s="8" t="str">
        <f t="shared" si="17"/>
        <v/>
      </c>
      <c r="L1139" s="1" t="str">
        <f>IF(COUNTA(A1139:J1139)=0,"",IF(OR(AND(C1139&lt;&gt;"Servicio",C1139&lt;&gt;"Cobro",C1139&lt;&gt;"Anticipo",C1139&lt;&gt;"Aplicación anticipo",C1139&lt;&gt;"Retención ISR",C1139&lt;&gt;"Retención IVA"),AND(C1139="Servicio",F1139&lt;&gt;"TMS",F1139&lt;&gt;"Valoración",F1139&lt;&gt;"EEG",F1139&lt;&gt;"Neurofeedback",F1139&lt;&gt;"Fotobiomodulación",F1139&lt;&gt;"Psicoterapia",F1139&lt;&gt;"Otros")),"Tipo o categoría inválido",IF(COUNTA(A1139:J1139)=0,"",IF(OR(A1139="",B1139="",C1139="",G1139=""),"Faltan datos",IF(COUNTIF($A$7:$A$2006,A1139)&gt;1,"ID duplicado",IF(OR(B1139&lt;DATE(Configuración!$C$5,1,1),B1139&gt;=DATE(Configuración!$C$5+1,1,1)),"Fecha fuera del año",IF(OR(G1139&lt;0,H1139&lt;0),"Revisar signo",IF(AND(C1139&lt;&gt;"Servicio",H1139&lt;&gt;0),"IVA solo en Servicio",IF(AND(C1139="Servicio",F1139=""),"Falta servicio","OK")))))))))</f>
        <v/>
      </c>
    </row>
    <row r="1140" spans="1:12" ht="22" customHeight="1">
      <c r="A1140" s="3"/>
      <c r="B1140" s="7"/>
      <c r="C1140" s="3"/>
      <c r="D1140" s="3"/>
      <c r="E1140" s="3"/>
      <c r="F1140" s="3"/>
      <c r="G1140" s="4"/>
      <c r="H1140" s="4"/>
      <c r="I1140" s="3"/>
      <c r="J1140" s="3"/>
      <c r="K1140" s="8" t="str">
        <f t="shared" si="17"/>
        <v/>
      </c>
      <c r="L1140" s="1" t="str">
        <f>IF(COUNTA(A1140:J1140)=0,"",IF(OR(AND(C1140&lt;&gt;"Servicio",C1140&lt;&gt;"Cobro",C1140&lt;&gt;"Anticipo",C1140&lt;&gt;"Aplicación anticipo",C1140&lt;&gt;"Retención ISR",C1140&lt;&gt;"Retención IVA"),AND(C1140="Servicio",F1140&lt;&gt;"TMS",F1140&lt;&gt;"Valoración",F1140&lt;&gt;"EEG",F1140&lt;&gt;"Neurofeedback",F1140&lt;&gt;"Fotobiomodulación",F1140&lt;&gt;"Psicoterapia",F1140&lt;&gt;"Otros")),"Tipo o categoría inválido",IF(COUNTA(A1140:J1140)=0,"",IF(OR(A1140="",B1140="",C1140="",G1140=""),"Faltan datos",IF(COUNTIF($A$7:$A$2006,A1140)&gt;1,"ID duplicado",IF(OR(B1140&lt;DATE(Configuración!$C$5,1,1),B1140&gt;=DATE(Configuración!$C$5+1,1,1)),"Fecha fuera del año",IF(OR(G1140&lt;0,H1140&lt;0),"Revisar signo",IF(AND(C1140&lt;&gt;"Servicio",H1140&lt;&gt;0),"IVA solo en Servicio",IF(AND(C1140="Servicio",F1140=""),"Falta servicio","OK")))))))))</f>
        <v/>
      </c>
    </row>
    <row r="1141" spans="1:12" ht="22" customHeight="1">
      <c r="A1141" s="3"/>
      <c r="B1141" s="7"/>
      <c r="C1141" s="3"/>
      <c r="D1141" s="3"/>
      <c r="E1141" s="3"/>
      <c r="F1141" s="3"/>
      <c r="G1141" s="4"/>
      <c r="H1141" s="4"/>
      <c r="I1141" s="3"/>
      <c r="J1141" s="3"/>
      <c r="K1141" s="8" t="str">
        <f t="shared" si="17"/>
        <v/>
      </c>
      <c r="L1141" s="1" t="str">
        <f>IF(COUNTA(A1141:J1141)=0,"",IF(OR(AND(C1141&lt;&gt;"Servicio",C1141&lt;&gt;"Cobro",C1141&lt;&gt;"Anticipo",C1141&lt;&gt;"Aplicación anticipo",C1141&lt;&gt;"Retención ISR",C1141&lt;&gt;"Retención IVA"),AND(C1141="Servicio",F1141&lt;&gt;"TMS",F1141&lt;&gt;"Valoración",F1141&lt;&gt;"EEG",F1141&lt;&gt;"Neurofeedback",F1141&lt;&gt;"Fotobiomodulación",F1141&lt;&gt;"Psicoterapia",F1141&lt;&gt;"Otros")),"Tipo o categoría inválido",IF(COUNTA(A1141:J1141)=0,"",IF(OR(A1141="",B1141="",C1141="",G1141=""),"Faltan datos",IF(COUNTIF($A$7:$A$2006,A1141)&gt;1,"ID duplicado",IF(OR(B1141&lt;DATE(Configuración!$C$5,1,1),B1141&gt;=DATE(Configuración!$C$5+1,1,1)),"Fecha fuera del año",IF(OR(G1141&lt;0,H1141&lt;0),"Revisar signo",IF(AND(C1141&lt;&gt;"Servicio",H1141&lt;&gt;0),"IVA solo en Servicio",IF(AND(C1141="Servicio",F1141=""),"Falta servicio","OK")))))))))</f>
        <v/>
      </c>
    </row>
    <row r="1142" spans="1:12" ht="22" customHeight="1">
      <c r="A1142" s="3"/>
      <c r="B1142" s="7"/>
      <c r="C1142" s="3"/>
      <c r="D1142" s="3"/>
      <c r="E1142" s="3"/>
      <c r="F1142" s="3"/>
      <c r="G1142" s="4"/>
      <c r="H1142" s="4"/>
      <c r="I1142" s="3"/>
      <c r="J1142" s="3"/>
      <c r="K1142" s="8" t="str">
        <f t="shared" si="17"/>
        <v/>
      </c>
      <c r="L1142" s="1" t="str">
        <f>IF(COUNTA(A1142:J1142)=0,"",IF(OR(AND(C1142&lt;&gt;"Servicio",C1142&lt;&gt;"Cobro",C1142&lt;&gt;"Anticipo",C1142&lt;&gt;"Aplicación anticipo",C1142&lt;&gt;"Retención ISR",C1142&lt;&gt;"Retención IVA"),AND(C1142="Servicio",F1142&lt;&gt;"TMS",F1142&lt;&gt;"Valoración",F1142&lt;&gt;"EEG",F1142&lt;&gt;"Neurofeedback",F1142&lt;&gt;"Fotobiomodulación",F1142&lt;&gt;"Psicoterapia",F1142&lt;&gt;"Otros")),"Tipo o categoría inválido",IF(COUNTA(A1142:J1142)=0,"",IF(OR(A1142="",B1142="",C1142="",G1142=""),"Faltan datos",IF(COUNTIF($A$7:$A$2006,A1142)&gt;1,"ID duplicado",IF(OR(B1142&lt;DATE(Configuración!$C$5,1,1),B1142&gt;=DATE(Configuración!$C$5+1,1,1)),"Fecha fuera del año",IF(OR(G1142&lt;0,H1142&lt;0),"Revisar signo",IF(AND(C1142&lt;&gt;"Servicio",H1142&lt;&gt;0),"IVA solo en Servicio",IF(AND(C1142="Servicio",F1142=""),"Falta servicio","OK")))))))))</f>
        <v/>
      </c>
    </row>
    <row r="1143" spans="1:12" ht="22" customHeight="1">
      <c r="A1143" s="3"/>
      <c r="B1143" s="7"/>
      <c r="C1143" s="3"/>
      <c r="D1143" s="3"/>
      <c r="E1143" s="3"/>
      <c r="F1143" s="3"/>
      <c r="G1143" s="4"/>
      <c r="H1143" s="4"/>
      <c r="I1143" s="3"/>
      <c r="J1143" s="3"/>
      <c r="K1143" s="8" t="str">
        <f t="shared" si="17"/>
        <v/>
      </c>
      <c r="L1143" s="1" t="str">
        <f>IF(COUNTA(A1143:J1143)=0,"",IF(OR(AND(C1143&lt;&gt;"Servicio",C1143&lt;&gt;"Cobro",C1143&lt;&gt;"Anticipo",C1143&lt;&gt;"Aplicación anticipo",C1143&lt;&gt;"Retención ISR",C1143&lt;&gt;"Retención IVA"),AND(C1143="Servicio",F1143&lt;&gt;"TMS",F1143&lt;&gt;"Valoración",F1143&lt;&gt;"EEG",F1143&lt;&gt;"Neurofeedback",F1143&lt;&gt;"Fotobiomodulación",F1143&lt;&gt;"Psicoterapia",F1143&lt;&gt;"Otros")),"Tipo o categoría inválido",IF(COUNTA(A1143:J1143)=0,"",IF(OR(A1143="",B1143="",C1143="",G1143=""),"Faltan datos",IF(COUNTIF($A$7:$A$2006,A1143)&gt;1,"ID duplicado",IF(OR(B1143&lt;DATE(Configuración!$C$5,1,1),B1143&gt;=DATE(Configuración!$C$5+1,1,1)),"Fecha fuera del año",IF(OR(G1143&lt;0,H1143&lt;0),"Revisar signo",IF(AND(C1143&lt;&gt;"Servicio",H1143&lt;&gt;0),"IVA solo en Servicio",IF(AND(C1143="Servicio",F1143=""),"Falta servicio","OK")))))))))</f>
        <v/>
      </c>
    </row>
    <row r="1144" spans="1:12" ht="22" customHeight="1">
      <c r="A1144" s="3"/>
      <c r="B1144" s="7"/>
      <c r="C1144" s="3"/>
      <c r="D1144" s="3"/>
      <c r="E1144" s="3"/>
      <c r="F1144" s="3"/>
      <c r="G1144" s="4"/>
      <c r="H1144" s="4"/>
      <c r="I1144" s="3"/>
      <c r="J1144" s="3"/>
      <c r="K1144" s="8" t="str">
        <f t="shared" si="17"/>
        <v/>
      </c>
      <c r="L1144" s="1" t="str">
        <f>IF(COUNTA(A1144:J1144)=0,"",IF(OR(AND(C1144&lt;&gt;"Servicio",C1144&lt;&gt;"Cobro",C1144&lt;&gt;"Anticipo",C1144&lt;&gt;"Aplicación anticipo",C1144&lt;&gt;"Retención ISR",C1144&lt;&gt;"Retención IVA"),AND(C1144="Servicio",F1144&lt;&gt;"TMS",F1144&lt;&gt;"Valoración",F1144&lt;&gt;"EEG",F1144&lt;&gt;"Neurofeedback",F1144&lt;&gt;"Fotobiomodulación",F1144&lt;&gt;"Psicoterapia",F1144&lt;&gt;"Otros")),"Tipo o categoría inválido",IF(COUNTA(A1144:J1144)=0,"",IF(OR(A1144="",B1144="",C1144="",G1144=""),"Faltan datos",IF(COUNTIF($A$7:$A$2006,A1144)&gt;1,"ID duplicado",IF(OR(B1144&lt;DATE(Configuración!$C$5,1,1),B1144&gt;=DATE(Configuración!$C$5+1,1,1)),"Fecha fuera del año",IF(OR(G1144&lt;0,H1144&lt;0),"Revisar signo",IF(AND(C1144&lt;&gt;"Servicio",H1144&lt;&gt;0),"IVA solo en Servicio",IF(AND(C1144="Servicio",F1144=""),"Falta servicio","OK")))))))))</f>
        <v/>
      </c>
    </row>
    <row r="1145" spans="1:12" ht="22" customHeight="1">
      <c r="A1145" s="3"/>
      <c r="B1145" s="7"/>
      <c r="C1145" s="3"/>
      <c r="D1145" s="3"/>
      <c r="E1145" s="3"/>
      <c r="F1145" s="3"/>
      <c r="G1145" s="4"/>
      <c r="H1145" s="4"/>
      <c r="I1145" s="3"/>
      <c r="J1145" s="3"/>
      <c r="K1145" s="8" t="str">
        <f t="shared" si="17"/>
        <v/>
      </c>
      <c r="L1145" s="1" t="str">
        <f>IF(COUNTA(A1145:J1145)=0,"",IF(OR(AND(C1145&lt;&gt;"Servicio",C1145&lt;&gt;"Cobro",C1145&lt;&gt;"Anticipo",C1145&lt;&gt;"Aplicación anticipo",C1145&lt;&gt;"Retención ISR",C1145&lt;&gt;"Retención IVA"),AND(C1145="Servicio",F1145&lt;&gt;"TMS",F1145&lt;&gt;"Valoración",F1145&lt;&gt;"EEG",F1145&lt;&gt;"Neurofeedback",F1145&lt;&gt;"Fotobiomodulación",F1145&lt;&gt;"Psicoterapia",F1145&lt;&gt;"Otros")),"Tipo o categoría inválido",IF(COUNTA(A1145:J1145)=0,"",IF(OR(A1145="",B1145="",C1145="",G1145=""),"Faltan datos",IF(COUNTIF($A$7:$A$2006,A1145)&gt;1,"ID duplicado",IF(OR(B1145&lt;DATE(Configuración!$C$5,1,1),B1145&gt;=DATE(Configuración!$C$5+1,1,1)),"Fecha fuera del año",IF(OR(G1145&lt;0,H1145&lt;0),"Revisar signo",IF(AND(C1145&lt;&gt;"Servicio",H1145&lt;&gt;0),"IVA solo en Servicio",IF(AND(C1145="Servicio",F1145=""),"Falta servicio","OK")))))))))</f>
        <v/>
      </c>
    </row>
    <row r="1146" spans="1:12" ht="22" customHeight="1">
      <c r="A1146" s="3"/>
      <c r="B1146" s="7"/>
      <c r="C1146" s="3"/>
      <c r="D1146" s="3"/>
      <c r="E1146" s="3"/>
      <c r="F1146" s="3"/>
      <c r="G1146" s="4"/>
      <c r="H1146" s="4"/>
      <c r="I1146" s="3"/>
      <c r="J1146" s="3"/>
      <c r="K1146" s="8" t="str">
        <f t="shared" si="17"/>
        <v/>
      </c>
      <c r="L1146" s="1" t="str">
        <f>IF(COUNTA(A1146:J1146)=0,"",IF(OR(AND(C1146&lt;&gt;"Servicio",C1146&lt;&gt;"Cobro",C1146&lt;&gt;"Anticipo",C1146&lt;&gt;"Aplicación anticipo",C1146&lt;&gt;"Retención ISR",C1146&lt;&gt;"Retención IVA"),AND(C1146="Servicio",F1146&lt;&gt;"TMS",F1146&lt;&gt;"Valoración",F1146&lt;&gt;"EEG",F1146&lt;&gt;"Neurofeedback",F1146&lt;&gt;"Fotobiomodulación",F1146&lt;&gt;"Psicoterapia",F1146&lt;&gt;"Otros")),"Tipo o categoría inválido",IF(COUNTA(A1146:J1146)=0,"",IF(OR(A1146="",B1146="",C1146="",G1146=""),"Faltan datos",IF(COUNTIF($A$7:$A$2006,A1146)&gt;1,"ID duplicado",IF(OR(B1146&lt;DATE(Configuración!$C$5,1,1),B1146&gt;=DATE(Configuración!$C$5+1,1,1)),"Fecha fuera del año",IF(OR(G1146&lt;0,H1146&lt;0),"Revisar signo",IF(AND(C1146&lt;&gt;"Servicio",H1146&lt;&gt;0),"IVA solo en Servicio",IF(AND(C1146="Servicio",F1146=""),"Falta servicio","OK")))))))))</f>
        <v/>
      </c>
    </row>
    <row r="1147" spans="1:12" ht="22" customHeight="1">
      <c r="A1147" s="3"/>
      <c r="B1147" s="7"/>
      <c r="C1147" s="3"/>
      <c r="D1147" s="3"/>
      <c r="E1147" s="3"/>
      <c r="F1147" s="3"/>
      <c r="G1147" s="4"/>
      <c r="H1147" s="4"/>
      <c r="I1147" s="3"/>
      <c r="J1147" s="3"/>
      <c r="K1147" s="8" t="str">
        <f t="shared" si="17"/>
        <v/>
      </c>
      <c r="L1147" s="1" t="str">
        <f>IF(COUNTA(A1147:J1147)=0,"",IF(OR(AND(C1147&lt;&gt;"Servicio",C1147&lt;&gt;"Cobro",C1147&lt;&gt;"Anticipo",C1147&lt;&gt;"Aplicación anticipo",C1147&lt;&gt;"Retención ISR",C1147&lt;&gt;"Retención IVA"),AND(C1147="Servicio",F1147&lt;&gt;"TMS",F1147&lt;&gt;"Valoración",F1147&lt;&gt;"EEG",F1147&lt;&gt;"Neurofeedback",F1147&lt;&gt;"Fotobiomodulación",F1147&lt;&gt;"Psicoterapia",F1147&lt;&gt;"Otros")),"Tipo o categoría inválido",IF(COUNTA(A1147:J1147)=0,"",IF(OR(A1147="",B1147="",C1147="",G1147=""),"Faltan datos",IF(COUNTIF($A$7:$A$2006,A1147)&gt;1,"ID duplicado",IF(OR(B1147&lt;DATE(Configuración!$C$5,1,1),B1147&gt;=DATE(Configuración!$C$5+1,1,1)),"Fecha fuera del año",IF(OR(G1147&lt;0,H1147&lt;0),"Revisar signo",IF(AND(C1147&lt;&gt;"Servicio",H1147&lt;&gt;0),"IVA solo en Servicio",IF(AND(C1147="Servicio",F1147=""),"Falta servicio","OK")))))))))</f>
        <v/>
      </c>
    </row>
    <row r="1148" spans="1:12" ht="22" customHeight="1">
      <c r="A1148" s="3"/>
      <c r="B1148" s="7"/>
      <c r="C1148" s="3"/>
      <c r="D1148" s="3"/>
      <c r="E1148" s="3"/>
      <c r="F1148" s="3"/>
      <c r="G1148" s="4"/>
      <c r="H1148" s="4"/>
      <c r="I1148" s="3"/>
      <c r="J1148" s="3"/>
      <c r="K1148" s="8" t="str">
        <f t="shared" si="17"/>
        <v/>
      </c>
      <c r="L1148" s="1" t="str">
        <f>IF(COUNTA(A1148:J1148)=0,"",IF(OR(AND(C1148&lt;&gt;"Servicio",C1148&lt;&gt;"Cobro",C1148&lt;&gt;"Anticipo",C1148&lt;&gt;"Aplicación anticipo",C1148&lt;&gt;"Retención ISR",C1148&lt;&gt;"Retención IVA"),AND(C1148="Servicio",F1148&lt;&gt;"TMS",F1148&lt;&gt;"Valoración",F1148&lt;&gt;"EEG",F1148&lt;&gt;"Neurofeedback",F1148&lt;&gt;"Fotobiomodulación",F1148&lt;&gt;"Psicoterapia",F1148&lt;&gt;"Otros")),"Tipo o categoría inválido",IF(COUNTA(A1148:J1148)=0,"",IF(OR(A1148="",B1148="",C1148="",G1148=""),"Faltan datos",IF(COUNTIF($A$7:$A$2006,A1148)&gt;1,"ID duplicado",IF(OR(B1148&lt;DATE(Configuración!$C$5,1,1),B1148&gt;=DATE(Configuración!$C$5+1,1,1)),"Fecha fuera del año",IF(OR(G1148&lt;0,H1148&lt;0),"Revisar signo",IF(AND(C1148&lt;&gt;"Servicio",H1148&lt;&gt;0),"IVA solo en Servicio",IF(AND(C1148="Servicio",F1148=""),"Falta servicio","OK")))))))))</f>
        <v/>
      </c>
    </row>
    <row r="1149" spans="1:12" ht="22" customHeight="1">
      <c r="A1149" s="3"/>
      <c r="B1149" s="7"/>
      <c r="C1149" s="3"/>
      <c r="D1149" s="3"/>
      <c r="E1149" s="3"/>
      <c r="F1149" s="3"/>
      <c r="G1149" s="4"/>
      <c r="H1149" s="4"/>
      <c r="I1149" s="3"/>
      <c r="J1149" s="3"/>
      <c r="K1149" s="8" t="str">
        <f t="shared" si="17"/>
        <v/>
      </c>
      <c r="L1149" s="1" t="str">
        <f>IF(COUNTA(A1149:J1149)=0,"",IF(OR(AND(C1149&lt;&gt;"Servicio",C1149&lt;&gt;"Cobro",C1149&lt;&gt;"Anticipo",C1149&lt;&gt;"Aplicación anticipo",C1149&lt;&gt;"Retención ISR",C1149&lt;&gt;"Retención IVA"),AND(C1149="Servicio",F1149&lt;&gt;"TMS",F1149&lt;&gt;"Valoración",F1149&lt;&gt;"EEG",F1149&lt;&gt;"Neurofeedback",F1149&lt;&gt;"Fotobiomodulación",F1149&lt;&gt;"Psicoterapia",F1149&lt;&gt;"Otros")),"Tipo o categoría inválido",IF(COUNTA(A1149:J1149)=0,"",IF(OR(A1149="",B1149="",C1149="",G1149=""),"Faltan datos",IF(COUNTIF($A$7:$A$2006,A1149)&gt;1,"ID duplicado",IF(OR(B1149&lt;DATE(Configuración!$C$5,1,1),B1149&gt;=DATE(Configuración!$C$5+1,1,1)),"Fecha fuera del año",IF(OR(G1149&lt;0,H1149&lt;0),"Revisar signo",IF(AND(C1149&lt;&gt;"Servicio",H1149&lt;&gt;0),"IVA solo en Servicio",IF(AND(C1149="Servicio",F1149=""),"Falta servicio","OK")))))))))</f>
        <v/>
      </c>
    </row>
    <row r="1150" spans="1:12" ht="22" customHeight="1">
      <c r="A1150" s="3"/>
      <c r="B1150" s="7"/>
      <c r="C1150" s="3"/>
      <c r="D1150" s="3"/>
      <c r="E1150" s="3"/>
      <c r="F1150" s="3"/>
      <c r="G1150" s="4"/>
      <c r="H1150" s="4"/>
      <c r="I1150" s="3"/>
      <c r="J1150" s="3"/>
      <c r="K1150" s="8" t="str">
        <f t="shared" si="17"/>
        <v/>
      </c>
      <c r="L1150" s="1" t="str">
        <f>IF(COUNTA(A1150:J1150)=0,"",IF(OR(AND(C1150&lt;&gt;"Servicio",C1150&lt;&gt;"Cobro",C1150&lt;&gt;"Anticipo",C1150&lt;&gt;"Aplicación anticipo",C1150&lt;&gt;"Retención ISR",C1150&lt;&gt;"Retención IVA"),AND(C1150="Servicio",F1150&lt;&gt;"TMS",F1150&lt;&gt;"Valoración",F1150&lt;&gt;"EEG",F1150&lt;&gt;"Neurofeedback",F1150&lt;&gt;"Fotobiomodulación",F1150&lt;&gt;"Psicoterapia",F1150&lt;&gt;"Otros")),"Tipo o categoría inválido",IF(COUNTA(A1150:J1150)=0,"",IF(OR(A1150="",B1150="",C1150="",G1150=""),"Faltan datos",IF(COUNTIF($A$7:$A$2006,A1150)&gt;1,"ID duplicado",IF(OR(B1150&lt;DATE(Configuración!$C$5,1,1),B1150&gt;=DATE(Configuración!$C$5+1,1,1)),"Fecha fuera del año",IF(OR(G1150&lt;0,H1150&lt;0),"Revisar signo",IF(AND(C1150&lt;&gt;"Servicio",H1150&lt;&gt;0),"IVA solo en Servicio",IF(AND(C1150="Servicio",F1150=""),"Falta servicio","OK")))))))))</f>
        <v/>
      </c>
    </row>
    <row r="1151" spans="1:12" ht="22" customHeight="1">
      <c r="A1151" s="3"/>
      <c r="B1151" s="7"/>
      <c r="C1151" s="3"/>
      <c r="D1151" s="3"/>
      <c r="E1151" s="3"/>
      <c r="F1151" s="3"/>
      <c r="G1151" s="4"/>
      <c r="H1151" s="4"/>
      <c r="I1151" s="3"/>
      <c r="J1151" s="3"/>
      <c r="K1151" s="8" t="str">
        <f t="shared" si="17"/>
        <v/>
      </c>
      <c r="L1151" s="1" t="str">
        <f>IF(COUNTA(A1151:J1151)=0,"",IF(OR(AND(C1151&lt;&gt;"Servicio",C1151&lt;&gt;"Cobro",C1151&lt;&gt;"Anticipo",C1151&lt;&gt;"Aplicación anticipo",C1151&lt;&gt;"Retención ISR",C1151&lt;&gt;"Retención IVA"),AND(C1151="Servicio",F1151&lt;&gt;"TMS",F1151&lt;&gt;"Valoración",F1151&lt;&gt;"EEG",F1151&lt;&gt;"Neurofeedback",F1151&lt;&gt;"Fotobiomodulación",F1151&lt;&gt;"Psicoterapia",F1151&lt;&gt;"Otros")),"Tipo o categoría inválido",IF(COUNTA(A1151:J1151)=0,"",IF(OR(A1151="",B1151="",C1151="",G1151=""),"Faltan datos",IF(COUNTIF($A$7:$A$2006,A1151)&gt;1,"ID duplicado",IF(OR(B1151&lt;DATE(Configuración!$C$5,1,1),B1151&gt;=DATE(Configuración!$C$5+1,1,1)),"Fecha fuera del año",IF(OR(G1151&lt;0,H1151&lt;0),"Revisar signo",IF(AND(C1151&lt;&gt;"Servicio",H1151&lt;&gt;0),"IVA solo en Servicio",IF(AND(C1151="Servicio",F1151=""),"Falta servicio","OK")))))))))</f>
        <v/>
      </c>
    </row>
    <row r="1152" spans="1:12" ht="22" customHeight="1">
      <c r="A1152" s="3"/>
      <c r="B1152" s="7"/>
      <c r="C1152" s="3"/>
      <c r="D1152" s="3"/>
      <c r="E1152" s="3"/>
      <c r="F1152" s="3"/>
      <c r="G1152" s="4"/>
      <c r="H1152" s="4"/>
      <c r="I1152" s="3"/>
      <c r="J1152" s="3"/>
      <c r="K1152" s="8" t="str">
        <f t="shared" si="17"/>
        <v/>
      </c>
      <c r="L1152" s="1" t="str">
        <f>IF(COUNTA(A1152:J1152)=0,"",IF(OR(AND(C1152&lt;&gt;"Servicio",C1152&lt;&gt;"Cobro",C1152&lt;&gt;"Anticipo",C1152&lt;&gt;"Aplicación anticipo",C1152&lt;&gt;"Retención ISR",C1152&lt;&gt;"Retención IVA"),AND(C1152="Servicio",F1152&lt;&gt;"TMS",F1152&lt;&gt;"Valoración",F1152&lt;&gt;"EEG",F1152&lt;&gt;"Neurofeedback",F1152&lt;&gt;"Fotobiomodulación",F1152&lt;&gt;"Psicoterapia",F1152&lt;&gt;"Otros")),"Tipo o categoría inválido",IF(COUNTA(A1152:J1152)=0,"",IF(OR(A1152="",B1152="",C1152="",G1152=""),"Faltan datos",IF(COUNTIF($A$7:$A$2006,A1152)&gt;1,"ID duplicado",IF(OR(B1152&lt;DATE(Configuración!$C$5,1,1),B1152&gt;=DATE(Configuración!$C$5+1,1,1)),"Fecha fuera del año",IF(OR(G1152&lt;0,H1152&lt;0),"Revisar signo",IF(AND(C1152&lt;&gt;"Servicio",H1152&lt;&gt;0),"IVA solo en Servicio",IF(AND(C1152="Servicio",F1152=""),"Falta servicio","OK")))))))))</f>
        <v/>
      </c>
    </row>
    <row r="1153" spans="1:12" ht="22" customHeight="1">
      <c r="A1153" s="3"/>
      <c r="B1153" s="7"/>
      <c r="C1153" s="3"/>
      <c r="D1153" s="3"/>
      <c r="E1153" s="3"/>
      <c r="F1153" s="3"/>
      <c r="G1153" s="4"/>
      <c r="H1153" s="4"/>
      <c r="I1153" s="3"/>
      <c r="J1153" s="3"/>
      <c r="K1153" s="8" t="str">
        <f t="shared" si="17"/>
        <v/>
      </c>
      <c r="L1153" s="1" t="str">
        <f>IF(COUNTA(A1153:J1153)=0,"",IF(OR(AND(C1153&lt;&gt;"Servicio",C1153&lt;&gt;"Cobro",C1153&lt;&gt;"Anticipo",C1153&lt;&gt;"Aplicación anticipo",C1153&lt;&gt;"Retención ISR",C1153&lt;&gt;"Retención IVA"),AND(C1153="Servicio",F1153&lt;&gt;"TMS",F1153&lt;&gt;"Valoración",F1153&lt;&gt;"EEG",F1153&lt;&gt;"Neurofeedback",F1153&lt;&gt;"Fotobiomodulación",F1153&lt;&gt;"Psicoterapia",F1153&lt;&gt;"Otros")),"Tipo o categoría inválido",IF(COUNTA(A1153:J1153)=0,"",IF(OR(A1153="",B1153="",C1153="",G1153=""),"Faltan datos",IF(COUNTIF($A$7:$A$2006,A1153)&gt;1,"ID duplicado",IF(OR(B1153&lt;DATE(Configuración!$C$5,1,1),B1153&gt;=DATE(Configuración!$C$5+1,1,1)),"Fecha fuera del año",IF(OR(G1153&lt;0,H1153&lt;0),"Revisar signo",IF(AND(C1153&lt;&gt;"Servicio",H1153&lt;&gt;0),"IVA solo en Servicio",IF(AND(C1153="Servicio",F1153=""),"Falta servicio","OK")))))))))</f>
        <v/>
      </c>
    </row>
    <row r="1154" spans="1:12" ht="22" customHeight="1">
      <c r="A1154" s="3"/>
      <c r="B1154" s="7"/>
      <c r="C1154" s="3"/>
      <c r="D1154" s="3"/>
      <c r="E1154" s="3"/>
      <c r="F1154" s="3"/>
      <c r="G1154" s="4"/>
      <c r="H1154" s="4"/>
      <c r="I1154" s="3"/>
      <c r="J1154" s="3"/>
      <c r="K1154" s="8" t="str">
        <f t="shared" si="17"/>
        <v/>
      </c>
      <c r="L1154" s="1" t="str">
        <f>IF(COUNTA(A1154:J1154)=0,"",IF(OR(AND(C1154&lt;&gt;"Servicio",C1154&lt;&gt;"Cobro",C1154&lt;&gt;"Anticipo",C1154&lt;&gt;"Aplicación anticipo",C1154&lt;&gt;"Retención ISR",C1154&lt;&gt;"Retención IVA"),AND(C1154="Servicio",F1154&lt;&gt;"TMS",F1154&lt;&gt;"Valoración",F1154&lt;&gt;"EEG",F1154&lt;&gt;"Neurofeedback",F1154&lt;&gt;"Fotobiomodulación",F1154&lt;&gt;"Psicoterapia",F1154&lt;&gt;"Otros")),"Tipo o categoría inválido",IF(COUNTA(A1154:J1154)=0,"",IF(OR(A1154="",B1154="",C1154="",G1154=""),"Faltan datos",IF(COUNTIF($A$7:$A$2006,A1154)&gt;1,"ID duplicado",IF(OR(B1154&lt;DATE(Configuración!$C$5,1,1),B1154&gt;=DATE(Configuración!$C$5+1,1,1)),"Fecha fuera del año",IF(OR(G1154&lt;0,H1154&lt;0),"Revisar signo",IF(AND(C1154&lt;&gt;"Servicio",H1154&lt;&gt;0),"IVA solo en Servicio",IF(AND(C1154="Servicio",F1154=""),"Falta servicio","OK")))))))))</f>
        <v/>
      </c>
    </row>
    <row r="1155" spans="1:12" ht="22" customHeight="1">
      <c r="A1155" s="3"/>
      <c r="B1155" s="7"/>
      <c r="C1155" s="3"/>
      <c r="D1155" s="3"/>
      <c r="E1155" s="3"/>
      <c r="F1155" s="3"/>
      <c r="G1155" s="4"/>
      <c r="H1155" s="4"/>
      <c r="I1155" s="3"/>
      <c r="J1155" s="3"/>
      <c r="K1155" s="8" t="str">
        <f t="shared" si="17"/>
        <v/>
      </c>
      <c r="L1155" s="1" t="str">
        <f>IF(COUNTA(A1155:J1155)=0,"",IF(OR(AND(C1155&lt;&gt;"Servicio",C1155&lt;&gt;"Cobro",C1155&lt;&gt;"Anticipo",C1155&lt;&gt;"Aplicación anticipo",C1155&lt;&gt;"Retención ISR",C1155&lt;&gt;"Retención IVA"),AND(C1155="Servicio",F1155&lt;&gt;"TMS",F1155&lt;&gt;"Valoración",F1155&lt;&gt;"EEG",F1155&lt;&gt;"Neurofeedback",F1155&lt;&gt;"Fotobiomodulación",F1155&lt;&gt;"Psicoterapia",F1155&lt;&gt;"Otros")),"Tipo o categoría inválido",IF(COUNTA(A1155:J1155)=0,"",IF(OR(A1155="",B1155="",C1155="",G1155=""),"Faltan datos",IF(COUNTIF($A$7:$A$2006,A1155)&gt;1,"ID duplicado",IF(OR(B1155&lt;DATE(Configuración!$C$5,1,1),B1155&gt;=DATE(Configuración!$C$5+1,1,1)),"Fecha fuera del año",IF(OR(G1155&lt;0,H1155&lt;0),"Revisar signo",IF(AND(C1155&lt;&gt;"Servicio",H1155&lt;&gt;0),"IVA solo en Servicio",IF(AND(C1155="Servicio",F1155=""),"Falta servicio","OK")))))))))</f>
        <v/>
      </c>
    </row>
    <row r="1156" spans="1:12" ht="22" customHeight="1">
      <c r="A1156" s="3"/>
      <c r="B1156" s="7"/>
      <c r="C1156" s="3"/>
      <c r="D1156" s="3"/>
      <c r="E1156" s="3"/>
      <c r="F1156" s="3"/>
      <c r="G1156" s="4"/>
      <c r="H1156" s="4"/>
      <c r="I1156" s="3"/>
      <c r="J1156" s="3"/>
      <c r="K1156" s="8" t="str">
        <f t="shared" si="17"/>
        <v/>
      </c>
      <c r="L1156" s="1" t="str">
        <f>IF(COUNTA(A1156:J1156)=0,"",IF(OR(AND(C1156&lt;&gt;"Servicio",C1156&lt;&gt;"Cobro",C1156&lt;&gt;"Anticipo",C1156&lt;&gt;"Aplicación anticipo",C1156&lt;&gt;"Retención ISR",C1156&lt;&gt;"Retención IVA"),AND(C1156="Servicio",F1156&lt;&gt;"TMS",F1156&lt;&gt;"Valoración",F1156&lt;&gt;"EEG",F1156&lt;&gt;"Neurofeedback",F1156&lt;&gt;"Fotobiomodulación",F1156&lt;&gt;"Psicoterapia",F1156&lt;&gt;"Otros")),"Tipo o categoría inválido",IF(COUNTA(A1156:J1156)=0,"",IF(OR(A1156="",B1156="",C1156="",G1156=""),"Faltan datos",IF(COUNTIF($A$7:$A$2006,A1156)&gt;1,"ID duplicado",IF(OR(B1156&lt;DATE(Configuración!$C$5,1,1),B1156&gt;=DATE(Configuración!$C$5+1,1,1)),"Fecha fuera del año",IF(OR(G1156&lt;0,H1156&lt;0),"Revisar signo",IF(AND(C1156&lt;&gt;"Servicio",H1156&lt;&gt;0),"IVA solo en Servicio",IF(AND(C1156="Servicio",F1156=""),"Falta servicio","OK")))))))))</f>
        <v/>
      </c>
    </row>
    <row r="1157" spans="1:12" ht="22" customHeight="1">
      <c r="A1157" s="3"/>
      <c r="B1157" s="7"/>
      <c r="C1157" s="3"/>
      <c r="D1157" s="3"/>
      <c r="E1157" s="3"/>
      <c r="F1157" s="3"/>
      <c r="G1157" s="4"/>
      <c r="H1157" s="4"/>
      <c r="I1157" s="3"/>
      <c r="J1157" s="3"/>
      <c r="K1157" s="8" t="str">
        <f t="shared" si="17"/>
        <v/>
      </c>
      <c r="L1157" s="1" t="str">
        <f>IF(COUNTA(A1157:J1157)=0,"",IF(OR(AND(C1157&lt;&gt;"Servicio",C1157&lt;&gt;"Cobro",C1157&lt;&gt;"Anticipo",C1157&lt;&gt;"Aplicación anticipo",C1157&lt;&gt;"Retención ISR",C1157&lt;&gt;"Retención IVA"),AND(C1157="Servicio",F1157&lt;&gt;"TMS",F1157&lt;&gt;"Valoración",F1157&lt;&gt;"EEG",F1157&lt;&gt;"Neurofeedback",F1157&lt;&gt;"Fotobiomodulación",F1157&lt;&gt;"Psicoterapia",F1157&lt;&gt;"Otros")),"Tipo o categoría inválido",IF(COUNTA(A1157:J1157)=0,"",IF(OR(A1157="",B1157="",C1157="",G1157=""),"Faltan datos",IF(COUNTIF($A$7:$A$2006,A1157)&gt;1,"ID duplicado",IF(OR(B1157&lt;DATE(Configuración!$C$5,1,1),B1157&gt;=DATE(Configuración!$C$5+1,1,1)),"Fecha fuera del año",IF(OR(G1157&lt;0,H1157&lt;0),"Revisar signo",IF(AND(C1157&lt;&gt;"Servicio",H1157&lt;&gt;0),"IVA solo en Servicio",IF(AND(C1157="Servicio",F1157=""),"Falta servicio","OK")))))))))</f>
        <v/>
      </c>
    </row>
    <row r="1158" spans="1:12" ht="22" customHeight="1">
      <c r="A1158" s="3"/>
      <c r="B1158" s="7"/>
      <c r="C1158" s="3"/>
      <c r="D1158" s="3"/>
      <c r="E1158" s="3"/>
      <c r="F1158" s="3"/>
      <c r="G1158" s="4"/>
      <c r="H1158" s="4"/>
      <c r="I1158" s="3"/>
      <c r="J1158" s="3"/>
      <c r="K1158" s="8" t="str">
        <f t="shared" si="17"/>
        <v/>
      </c>
      <c r="L1158" s="1" t="str">
        <f>IF(COUNTA(A1158:J1158)=0,"",IF(OR(AND(C1158&lt;&gt;"Servicio",C1158&lt;&gt;"Cobro",C1158&lt;&gt;"Anticipo",C1158&lt;&gt;"Aplicación anticipo",C1158&lt;&gt;"Retención ISR",C1158&lt;&gt;"Retención IVA"),AND(C1158="Servicio",F1158&lt;&gt;"TMS",F1158&lt;&gt;"Valoración",F1158&lt;&gt;"EEG",F1158&lt;&gt;"Neurofeedback",F1158&lt;&gt;"Fotobiomodulación",F1158&lt;&gt;"Psicoterapia",F1158&lt;&gt;"Otros")),"Tipo o categoría inválido",IF(COUNTA(A1158:J1158)=0,"",IF(OR(A1158="",B1158="",C1158="",G1158=""),"Faltan datos",IF(COUNTIF($A$7:$A$2006,A1158)&gt;1,"ID duplicado",IF(OR(B1158&lt;DATE(Configuración!$C$5,1,1),B1158&gt;=DATE(Configuración!$C$5+1,1,1)),"Fecha fuera del año",IF(OR(G1158&lt;0,H1158&lt;0),"Revisar signo",IF(AND(C1158&lt;&gt;"Servicio",H1158&lt;&gt;0),"IVA solo en Servicio",IF(AND(C1158="Servicio",F1158=""),"Falta servicio","OK")))))))))</f>
        <v/>
      </c>
    </row>
    <row r="1159" spans="1:12" ht="22" customHeight="1">
      <c r="A1159" s="3"/>
      <c r="B1159" s="7"/>
      <c r="C1159" s="3"/>
      <c r="D1159" s="3"/>
      <c r="E1159" s="3"/>
      <c r="F1159" s="3"/>
      <c r="G1159" s="4"/>
      <c r="H1159" s="4"/>
      <c r="I1159" s="3"/>
      <c r="J1159" s="3"/>
      <c r="K1159" s="8" t="str">
        <f t="shared" ref="K1159:K1222" si="18">IF(A1159="","",G1159+H1159)</f>
        <v/>
      </c>
      <c r="L1159" s="1" t="str">
        <f>IF(COUNTA(A1159:J1159)=0,"",IF(OR(AND(C1159&lt;&gt;"Servicio",C1159&lt;&gt;"Cobro",C1159&lt;&gt;"Anticipo",C1159&lt;&gt;"Aplicación anticipo",C1159&lt;&gt;"Retención ISR",C1159&lt;&gt;"Retención IVA"),AND(C1159="Servicio",F1159&lt;&gt;"TMS",F1159&lt;&gt;"Valoración",F1159&lt;&gt;"EEG",F1159&lt;&gt;"Neurofeedback",F1159&lt;&gt;"Fotobiomodulación",F1159&lt;&gt;"Psicoterapia",F1159&lt;&gt;"Otros")),"Tipo o categoría inválido",IF(COUNTA(A1159:J1159)=0,"",IF(OR(A1159="",B1159="",C1159="",G1159=""),"Faltan datos",IF(COUNTIF($A$7:$A$2006,A1159)&gt;1,"ID duplicado",IF(OR(B1159&lt;DATE(Configuración!$C$5,1,1),B1159&gt;=DATE(Configuración!$C$5+1,1,1)),"Fecha fuera del año",IF(OR(G1159&lt;0,H1159&lt;0),"Revisar signo",IF(AND(C1159&lt;&gt;"Servicio",H1159&lt;&gt;0),"IVA solo en Servicio",IF(AND(C1159="Servicio",F1159=""),"Falta servicio","OK")))))))))</f>
        <v/>
      </c>
    </row>
    <row r="1160" spans="1:12" ht="22" customHeight="1">
      <c r="A1160" s="3"/>
      <c r="B1160" s="7"/>
      <c r="C1160" s="3"/>
      <c r="D1160" s="3"/>
      <c r="E1160" s="3"/>
      <c r="F1160" s="3"/>
      <c r="G1160" s="4"/>
      <c r="H1160" s="4"/>
      <c r="I1160" s="3"/>
      <c r="J1160" s="3"/>
      <c r="K1160" s="8" t="str">
        <f t="shared" si="18"/>
        <v/>
      </c>
      <c r="L1160" s="1" t="str">
        <f>IF(COUNTA(A1160:J1160)=0,"",IF(OR(AND(C1160&lt;&gt;"Servicio",C1160&lt;&gt;"Cobro",C1160&lt;&gt;"Anticipo",C1160&lt;&gt;"Aplicación anticipo",C1160&lt;&gt;"Retención ISR",C1160&lt;&gt;"Retención IVA"),AND(C1160="Servicio",F1160&lt;&gt;"TMS",F1160&lt;&gt;"Valoración",F1160&lt;&gt;"EEG",F1160&lt;&gt;"Neurofeedback",F1160&lt;&gt;"Fotobiomodulación",F1160&lt;&gt;"Psicoterapia",F1160&lt;&gt;"Otros")),"Tipo o categoría inválido",IF(COUNTA(A1160:J1160)=0,"",IF(OR(A1160="",B1160="",C1160="",G1160=""),"Faltan datos",IF(COUNTIF($A$7:$A$2006,A1160)&gt;1,"ID duplicado",IF(OR(B1160&lt;DATE(Configuración!$C$5,1,1),B1160&gt;=DATE(Configuración!$C$5+1,1,1)),"Fecha fuera del año",IF(OR(G1160&lt;0,H1160&lt;0),"Revisar signo",IF(AND(C1160&lt;&gt;"Servicio",H1160&lt;&gt;0),"IVA solo en Servicio",IF(AND(C1160="Servicio",F1160=""),"Falta servicio","OK")))))))))</f>
        <v/>
      </c>
    </row>
    <row r="1161" spans="1:12" ht="22" customHeight="1">
      <c r="A1161" s="3"/>
      <c r="B1161" s="7"/>
      <c r="C1161" s="3"/>
      <c r="D1161" s="3"/>
      <c r="E1161" s="3"/>
      <c r="F1161" s="3"/>
      <c r="G1161" s="4"/>
      <c r="H1161" s="4"/>
      <c r="I1161" s="3"/>
      <c r="J1161" s="3"/>
      <c r="K1161" s="8" t="str">
        <f t="shared" si="18"/>
        <v/>
      </c>
      <c r="L1161" s="1" t="str">
        <f>IF(COUNTA(A1161:J1161)=0,"",IF(OR(AND(C1161&lt;&gt;"Servicio",C1161&lt;&gt;"Cobro",C1161&lt;&gt;"Anticipo",C1161&lt;&gt;"Aplicación anticipo",C1161&lt;&gt;"Retención ISR",C1161&lt;&gt;"Retención IVA"),AND(C1161="Servicio",F1161&lt;&gt;"TMS",F1161&lt;&gt;"Valoración",F1161&lt;&gt;"EEG",F1161&lt;&gt;"Neurofeedback",F1161&lt;&gt;"Fotobiomodulación",F1161&lt;&gt;"Psicoterapia",F1161&lt;&gt;"Otros")),"Tipo o categoría inválido",IF(COUNTA(A1161:J1161)=0,"",IF(OR(A1161="",B1161="",C1161="",G1161=""),"Faltan datos",IF(COUNTIF($A$7:$A$2006,A1161)&gt;1,"ID duplicado",IF(OR(B1161&lt;DATE(Configuración!$C$5,1,1),B1161&gt;=DATE(Configuración!$C$5+1,1,1)),"Fecha fuera del año",IF(OR(G1161&lt;0,H1161&lt;0),"Revisar signo",IF(AND(C1161&lt;&gt;"Servicio",H1161&lt;&gt;0),"IVA solo en Servicio",IF(AND(C1161="Servicio",F1161=""),"Falta servicio","OK")))))))))</f>
        <v/>
      </c>
    </row>
    <row r="1162" spans="1:12" ht="22" customHeight="1">
      <c r="A1162" s="3"/>
      <c r="B1162" s="7"/>
      <c r="C1162" s="3"/>
      <c r="D1162" s="3"/>
      <c r="E1162" s="3"/>
      <c r="F1162" s="3"/>
      <c r="G1162" s="4"/>
      <c r="H1162" s="4"/>
      <c r="I1162" s="3"/>
      <c r="J1162" s="3"/>
      <c r="K1162" s="8" t="str">
        <f t="shared" si="18"/>
        <v/>
      </c>
      <c r="L1162" s="1" t="str">
        <f>IF(COUNTA(A1162:J1162)=0,"",IF(OR(AND(C1162&lt;&gt;"Servicio",C1162&lt;&gt;"Cobro",C1162&lt;&gt;"Anticipo",C1162&lt;&gt;"Aplicación anticipo",C1162&lt;&gt;"Retención ISR",C1162&lt;&gt;"Retención IVA"),AND(C1162="Servicio",F1162&lt;&gt;"TMS",F1162&lt;&gt;"Valoración",F1162&lt;&gt;"EEG",F1162&lt;&gt;"Neurofeedback",F1162&lt;&gt;"Fotobiomodulación",F1162&lt;&gt;"Psicoterapia",F1162&lt;&gt;"Otros")),"Tipo o categoría inválido",IF(COUNTA(A1162:J1162)=0,"",IF(OR(A1162="",B1162="",C1162="",G1162=""),"Faltan datos",IF(COUNTIF($A$7:$A$2006,A1162)&gt;1,"ID duplicado",IF(OR(B1162&lt;DATE(Configuración!$C$5,1,1),B1162&gt;=DATE(Configuración!$C$5+1,1,1)),"Fecha fuera del año",IF(OR(G1162&lt;0,H1162&lt;0),"Revisar signo",IF(AND(C1162&lt;&gt;"Servicio",H1162&lt;&gt;0),"IVA solo en Servicio",IF(AND(C1162="Servicio",F1162=""),"Falta servicio","OK")))))))))</f>
        <v/>
      </c>
    </row>
    <row r="1163" spans="1:12" ht="22" customHeight="1">
      <c r="A1163" s="3"/>
      <c r="B1163" s="7"/>
      <c r="C1163" s="3"/>
      <c r="D1163" s="3"/>
      <c r="E1163" s="3"/>
      <c r="F1163" s="3"/>
      <c r="G1163" s="4"/>
      <c r="H1163" s="4"/>
      <c r="I1163" s="3"/>
      <c r="J1163" s="3"/>
      <c r="K1163" s="8" t="str">
        <f t="shared" si="18"/>
        <v/>
      </c>
      <c r="L1163" s="1" t="str">
        <f>IF(COUNTA(A1163:J1163)=0,"",IF(OR(AND(C1163&lt;&gt;"Servicio",C1163&lt;&gt;"Cobro",C1163&lt;&gt;"Anticipo",C1163&lt;&gt;"Aplicación anticipo",C1163&lt;&gt;"Retención ISR",C1163&lt;&gt;"Retención IVA"),AND(C1163="Servicio",F1163&lt;&gt;"TMS",F1163&lt;&gt;"Valoración",F1163&lt;&gt;"EEG",F1163&lt;&gt;"Neurofeedback",F1163&lt;&gt;"Fotobiomodulación",F1163&lt;&gt;"Psicoterapia",F1163&lt;&gt;"Otros")),"Tipo o categoría inválido",IF(COUNTA(A1163:J1163)=0,"",IF(OR(A1163="",B1163="",C1163="",G1163=""),"Faltan datos",IF(COUNTIF($A$7:$A$2006,A1163)&gt;1,"ID duplicado",IF(OR(B1163&lt;DATE(Configuración!$C$5,1,1),B1163&gt;=DATE(Configuración!$C$5+1,1,1)),"Fecha fuera del año",IF(OR(G1163&lt;0,H1163&lt;0),"Revisar signo",IF(AND(C1163&lt;&gt;"Servicio",H1163&lt;&gt;0),"IVA solo en Servicio",IF(AND(C1163="Servicio",F1163=""),"Falta servicio","OK")))))))))</f>
        <v/>
      </c>
    </row>
    <row r="1164" spans="1:12" ht="22" customHeight="1">
      <c r="A1164" s="3"/>
      <c r="B1164" s="7"/>
      <c r="C1164" s="3"/>
      <c r="D1164" s="3"/>
      <c r="E1164" s="3"/>
      <c r="F1164" s="3"/>
      <c r="G1164" s="4"/>
      <c r="H1164" s="4"/>
      <c r="I1164" s="3"/>
      <c r="J1164" s="3"/>
      <c r="K1164" s="8" t="str">
        <f t="shared" si="18"/>
        <v/>
      </c>
      <c r="L1164" s="1" t="str">
        <f>IF(COUNTA(A1164:J1164)=0,"",IF(OR(AND(C1164&lt;&gt;"Servicio",C1164&lt;&gt;"Cobro",C1164&lt;&gt;"Anticipo",C1164&lt;&gt;"Aplicación anticipo",C1164&lt;&gt;"Retención ISR",C1164&lt;&gt;"Retención IVA"),AND(C1164="Servicio",F1164&lt;&gt;"TMS",F1164&lt;&gt;"Valoración",F1164&lt;&gt;"EEG",F1164&lt;&gt;"Neurofeedback",F1164&lt;&gt;"Fotobiomodulación",F1164&lt;&gt;"Psicoterapia",F1164&lt;&gt;"Otros")),"Tipo o categoría inválido",IF(COUNTA(A1164:J1164)=0,"",IF(OR(A1164="",B1164="",C1164="",G1164=""),"Faltan datos",IF(COUNTIF($A$7:$A$2006,A1164)&gt;1,"ID duplicado",IF(OR(B1164&lt;DATE(Configuración!$C$5,1,1),B1164&gt;=DATE(Configuración!$C$5+1,1,1)),"Fecha fuera del año",IF(OR(G1164&lt;0,H1164&lt;0),"Revisar signo",IF(AND(C1164&lt;&gt;"Servicio",H1164&lt;&gt;0),"IVA solo en Servicio",IF(AND(C1164="Servicio",F1164=""),"Falta servicio","OK")))))))))</f>
        <v/>
      </c>
    </row>
    <row r="1165" spans="1:12" ht="22" customHeight="1">
      <c r="A1165" s="3"/>
      <c r="B1165" s="7"/>
      <c r="C1165" s="3"/>
      <c r="D1165" s="3"/>
      <c r="E1165" s="3"/>
      <c r="F1165" s="3"/>
      <c r="G1165" s="4"/>
      <c r="H1165" s="4"/>
      <c r="I1165" s="3"/>
      <c r="J1165" s="3"/>
      <c r="K1165" s="8" t="str">
        <f t="shared" si="18"/>
        <v/>
      </c>
      <c r="L1165" s="1" t="str">
        <f>IF(COUNTA(A1165:J1165)=0,"",IF(OR(AND(C1165&lt;&gt;"Servicio",C1165&lt;&gt;"Cobro",C1165&lt;&gt;"Anticipo",C1165&lt;&gt;"Aplicación anticipo",C1165&lt;&gt;"Retención ISR",C1165&lt;&gt;"Retención IVA"),AND(C1165="Servicio",F1165&lt;&gt;"TMS",F1165&lt;&gt;"Valoración",F1165&lt;&gt;"EEG",F1165&lt;&gt;"Neurofeedback",F1165&lt;&gt;"Fotobiomodulación",F1165&lt;&gt;"Psicoterapia",F1165&lt;&gt;"Otros")),"Tipo o categoría inválido",IF(COUNTA(A1165:J1165)=0,"",IF(OR(A1165="",B1165="",C1165="",G1165=""),"Faltan datos",IF(COUNTIF($A$7:$A$2006,A1165)&gt;1,"ID duplicado",IF(OR(B1165&lt;DATE(Configuración!$C$5,1,1),B1165&gt;=DATE(Configuración!$C$5+1,1,1)),"Fecha fuera del año",IF(OR(G1165&lt;0,H1165&lt;0),"Revisar signo",IF(AND(C1165&lt;&gt;"Servicio",H1165&lt;&gt;0),"IVA solo en Servicio",IF(AND(C1165="Servicio",F1165=""),"Falta servicio","OK")))))))))</f>
        <v/>
      </c>
    </row>
    <row r="1166" spans="1:12" ht="22" customHeight="1">
      <c r="A1166" s="3"/>
      <c r="B1166" s="7"/>
      <c r="C1166" s="3"/>
      <c r="D1166" s="3"/>
      <c r="E1166" s="3"/>
      <c r="F1166" s="3"/>
      <c r="G1166" s="4"/>
      <c r="H1166" s="4"/>
      <c r="I1166" s="3"/>
      <c r="J1166" s="3"/>
      <c r="K1166" s="8" t="str">
        <f t="shared" si="18"/>
        <v/>
      </c>
      <c r="L1166" s="1" t="str">
        <f>IF(COUNTA(A1166:J1166)=0,"",IF(OR(AND(C1166&lt;&gt;"Servicio",C1166&lt;&gt;"Cobro",C1166&lt;&gt;"Anticipo",C1166&lt;&gt;"Aplicación anticipo",C1166&lt;&gt;"Retención ISR",C1166&lt;&gt;"Retención IVA"),AND(C1166="Servicio",F1166&lt;&gt;"TMS",F1166&lt;&gt;"Valoración",F1166&lt;&gt;"EEG",F1166&lt;&gt;"Neurofeedback",F1166&lt;&gt;"Fotobiomodulación",F1166&lt;&gt;"Psicoterapia",F1166&lt;&gt;"Otros")),"Tipo o categoría inválido",IF(COUNTA(A1166:J1166)=0,"",IF(OR(A1166="",B1166="",C1166="",G1166=""),"Faltan datos",IF(COUNTIF($A$7:$A$2006,A1166)&gt;1,"ID duplicado",IF(OR(B1166&lt;DATE(Configuración!$C$5,1,1),B1166&gt;=DATE(Configuración!$C$5+1,1,1)),"Fecha fuera del año",IF(OR(G1166&lt;0,H1166&lt;0),"Revisar signo",IF(AND(C1166&lt;&gt;"Servicio",H1166&lt;&gt;0),"IVA solo en Servicio",IF(AND(C1166="Servicio",F1166=""),"Falta servicio","OK")))))))))</f>
        <v/>
      </c>
    </row>
    <row r="1167" spans="1:12" ht="22" customHeight="1">
      <c r="A1167" s="3"/>
      <c r="B1167" s="7"/>
      <c r="C1167" s="3"/>
      <c r="D1167" s="3"/>
      <c r="E1167" s="3"/>
      <c r="F1167" s="3"/>
      <c r="G1167" s="4"/>
      <c r="H1167" s="4"/>
      <c r="I1167" s="3"/>
      <c r="J1167" s="3"/>
      <c r="K1167" s="8" t="str">
        <f t="shared" si="18"/>
        <v/>
      </c>
      <c r="L1167" s="1" t="str">
        <f>IF(COUNTA(A1167:J1167)=0,"",IF(OR(AND(C1167&lt;&gt;"Servicio",C1167&lt;&gt;"Cobro",C1167&lt;&gt;"Anticipo",C1167&lt;&gt;"Aplicación anticipo",C1167&lt;&gt;"Retención ISR",C1167&lt;&gt;"Retención IVA"),AND(C1167="Servicio",F1167&lt;&gt;"TMS",F1167&lt;&gt;"Valoración",F1167&lt;&gt;"EEG",F1167&lt;&gt;"Neurofeedback",F1167&lt;&gt;"Fotobiomodulación",F1167&lt;&gt;"Psicoterapia",F1167&lt;&gt;"Otros")),"Tipo o categoría inválido",IF(COUNTA(A1167:J1167)=0,"",IF(OR(A1167="",B1167="",C1167="",G1167=""),"Faltan datos",IF(COUNTIF($A$7:$A$2006,A1167)&gt;1,"ID duplicado",IF(OR(B1167&lt;DATE(Configuración!$C$5,1,1),B1167&gt;=DATE(Configuración!$C$5+1,1,1)),"Fecha fuera del año",IF(OR(G1167&lt;0,H1167&lt;0),"Revisar signo",IF(AND(C1167&lt;&gt;"Servicio",H1167&lt;&gt;0),"IVA solo en Servicio",IF(AND(C1167="Servicio",F1167=""),"Falta servicio","OK")))))))))</f>
        <v/>
      </c>
    </row>
    <row r="1168" spans="1:12" ht="22" customHeight="1">
      <c r="A1168" s="3"/>
      <c r="B1168" s="7"/>
      <c r="C1168" s="3"/>
      <c r="D1168" s="3"/>
      <c r="E1168" s="3"/>
      <c r="F1168" s="3"/>
      <c r="G1168" s="4"/>
      <c r="H1168" s="4"/>
      <c r="I1168" s="3"/>
      <c r="J1168" s="3"/>
      <c r="K1168" s="8" t="str">
        <f t="shared" si="18"/>
        <v/>
      </c>
      <c r="L1168" s="1" t="str">
        <f>IF(COUNTA(A1168:J1168)=0,"",IF(OR(AND(C1168&lt;&gt;"Servicio",C1168&lt;&gt;"Cobro",C1168&lt;&gt;"Anticipo",C1168&lt;&gt;"Aplicación anticipo",C1168&lt;&gt;"Retención ISR",C1168&lt;&gt;"Retención IVA"),AND(C1168="Servicio",F1168&lt;&gt;"TMS",F1168&lt;&gt;"Valoración",F1168&lt;&gt;"EEG",F1168&lt;&gt;"Neurofeedback",F1168&lt;&gt;"Fotobiomodulación",F1168&lt;&gt;"Psicoterapia",F1168&lt;&gt;"Otros")),"Tipo o categoría inválido",IF(COUNTA(A1168:J1168)=0,"",IF(OR(A1168="",B1168="",C1168="",G1168=""),"Faltan datos",IF(COUNTIF($A$7:$A$2006,A1168)&gt;1,"ID duplicado",IF(OR(B1168&lt;DATE(Configuración!$C$5,1,1),B1168&gt;=DATE(Configuración!$C$5+1,1,1)),"Fecha fuera del año",IF(OR(G1168&lt;0,H1168&lt;0),"Revisar signo",IF(AND(C1168&lt;&gt;"Servicio",H1168&lt;&gt;0),"IVA solo en Servicio",IF(AND(C1168="Servicio",F1168=""),"Falta servicio","OK")))))))))</f>
        <v/>
      </c>
    </row>
    <row r="1169" spans="1:12" ht="22" customHeight="1">
      <c r="A1169" s="3"/>
      <c r="B1169" s="7"/>
      <c r="C1169" s="3"/>
      <c r="D1169" s="3"/>
      <c r="E1169" s="3"/>
      <c r="F1169" s="3"/>
      <c r="G1169" s="4"/>
      <c r="H1169" s="4"/>
      <c r="I1169" s="3"/>
      <c r="J1169" s="3"/>
      <c r="K1169" s="8" t="str">
        <f t="shared" si="18"/>
        <v/>
      </c>
      <c r="L1169" s="1" t="str">
        <f>IF(COUNTA(A1169:J1169)=0,"",IF(OR(AND(C1169&lt;&gt;"Servicio",C1169&lt;&gt;"Cobro",C1169&lt;&gt;"Anticipo",C1169&lt;&gt;"Aplicación anticipo",C1169&lt;&gt;"Retención ISR",C1169&lt;&gt;"Retención IVA"),AND(C1169="Servicio",F1169&lt;&gt;"TMS",F1169&lt;&gt;"Valoración",F1169&lt;&gt;"EEG",F1169&lt;&gt;"Neurofeedback",F1169&lt;&gt;"Fotobiomodulación",F1169&lt;&gt;"Psicoterapia",F1169&lt;&gt;"Otros")),"Tipo o categoría inválido",IF(COUNTA(A1169:J1169)=0,"",IF(OR(A1169="",B1169="",C1169="",G1169=""),"Faltan datos",IF(COUNTIF($A$7:$A$2006,A1169)&gt;1,"ID duplicado",IF(OR(B1169&lt;DATE(Configuración!$C$5,1,1),B1169&gt;=DATE(Configuración!$C$5+1,1,1)),"Fecha fuera del año",IF(OR(G1169&lt;0,H1169&lt;0),"Revisar signo",IF(AND(C1169&lt;&gt;"Servicio",H1169&lt;&gt;0),"IVA solo en Servicio",IF(AND(C1169="Servicio",F1169=""),"Falta servicio","OK")))))))))</f>
        <v/>
      </c>
    </row>
    <row r="1170" spans="1:12" ht="22" customHeight="1">
      <c r="A1170" s="3"/>
      <c r="B1170" s="7"/>
      <c r="C1170" s="3"/>
      <c r="D1170" s="3"/>
      <c r="E1170" s="3"/>
      <c r="F1170" s="3"/>
      <c r="G1170" s="4"/>
      <c r="H1170" s="4"/>
      <c r="I1170" s="3"/>
      <c r="J1170" s="3"/>
      <c r="K1170" s="8" t="str">
        <f t="shared" si="18"/>
        <v/>
      </c>
      <c r="L1170" s="1" t="str">
        <f>IF(COUNTA(A1170:J1170)=0,"",IF(OR(AND(C1170&lt;&gt;"Servicio",C1170&lt;&gt;"Cobro",C1170&lt;&gt;"Anticipo",C1170&lt;&gt;"Aplicación anticipo",C1170&lt;&gt;"Retención ISR",C1170&lt;&gt;"Retención IVA"),AND(C1170="Servicio",F1170&lt;&gt;"TMS",F1170&lt;&gt;"Valoración",F1170&lt;&gt;"EEG",F1170&lt;&gt;"Neurofeedback",F1170&lt;&gt;"Fotobiomodulación",F1170&lt;&gt;"Psicoterapia",F1170&lt;&gt;"Otros")),"Tipo o categoría inválido",IF(COUNTA(A1170:J1170)=0,"",IF(OR(A1170="",B1170="",C1170="",G1170=""),"Faltan datos",IF(COUNTIF($A$7:$A$2006,A1170)&gt;1,"ID duplicado",IF(OR(B1170&lt;DATE(Configuración!$C$5,1,1),B1170&gt;=DATE(Configuración!$C$5+1,1,1)),"Fecha fuera del año",IF(OR(G1170&lt;0,H1170&lt;0),"Revisar signo",IF(AND(C1170&lt;&gt;"Servicio",H1170&lt;&gt;0),"IVA solo en Servicio",IF(AND(C1170="Servicio",F1170=""),"Falta servicio","OK")))))))))</f>
        <v/>
      </c>
    </row>
    <row r="1171" spans="1:12" ht="22" customHeight="1">
      <c r="A1171" s="3"/>
      <c r="B1171" s="7"/>
      <c r="C1171" s="3"/>
      <c r="D1171" s="3"/>
      <c r="E1171" s="3"/>
      <c r="F1171" s="3"/>
      <c r="G1171" s="4"/>
      <c r="H1171" s="4"/>
      <c r="I1171" s="3"/>
      <c r="J1171" s="3"/>
      <c r="K1171" s="8" t="str">
        <f t="shared" si="18"/>
        <v/>
      </c>
      <c r="L1171" s="1" t="str">
        <f>IF(COUNTA(A1171:J1171)=0,"",IF(OR(AND(C1171&lt;&gt;"Servicio",C1171&lt;&gt;"Cobro",C1171&lt;&gt;"Anticipo",C1171&lt;&gt;"Aplicación anticipo",C1171&lt;&gt;"Retención ISR",C1171&lt;&gt;"Retención IVA"),AND(C1171="Servicio",F1171&lt;&gt;"TMS",F1171&lt;&gt;"Valoración",F1171&lt;&gt;"EEG",F1171&lt;&gt;"Neurofeedback",F1171&lt;&gt;"Fotobiomodulación",F1171&lt;&gt;"Psicoterapia",F1171&lt;&gt;"Otros")),"Tipo o categoría inválido",IF(COUNTA(A1171:J1171)=0,"",IF(OR(A1171="",B1171="",C1171="",G1171=""),"Faltan datos",IF(COUNTIF($A$7:$A$2006,A1171)&gt;1,"ID duplicado",IF(OR(B1171&lt;DATE(Configuración!$C$5,1,1),B1171&gt;=DATE(Configuración!$C$5+1,1,1)),"Fecha fuera del año",IF(OR(G1171&lt;0,H1171&lt;0),"Revisar signo",IF(AND(C1171&lt;&gt;"Servicio",H1171&lt;&gt;0),"IVA solo en Servicio",IF(AND(C1171="Servicio",F1171=""),"Falta servicio","OK")))))))))</f>
        <v/>
      </c>
    </row>
    <row r="1172" spans="1:12" ht="22" customHeight="1">
      <c r="A1172" s="3"/>
      <c r="B1172" s="7"/>
      <c r="C1172" s="3"/>
      <c r="D1172" s="3"/>
      <c r="E1172" s="3"/>
      <c r="F1172" s="3"/>
      <c r="G1172" s="4"/>
      <c r="H1172" s="4"/>
      <c r="I1172" s="3"/>
      <c r="J1172" s="3"/>
      <c r="K1172" s="8" t="str">
        <f t="shared" si="18"/>
        <v/>
      </c>
      <c r="L1172" s="1" t="str">
        <f>IF(COUNTA(A1172:J1172)=0,"",IF(OR(AND(C1172&lt;&gt;"Servicio",C1172&lt;&gt;"Cobro",C1172&lt;&gt;"Anticipo",C1172&lt;&gt;"Aplicación anticipo",C1172&lt;&gt;"Retención ISR",C1172&lt;&gt;"Retención IVA"),AND(C1172="Servicio",F1172&lt;&gt;"TMS",F1172&lt;&gt;"Valoración",F1172&lt;&gt;"EEG",F1172&lt;&gt;"Neurofeedback",F1172&lt;&gt;"Fotobiomodulación",F1172&lt;&gt;"Psicoterapia",F1172&lt;&gt;"Otros")),"Tipo o categoría inválido",IF(COUNTA(A1172:J1172)=0,"",IF(OR(A1172="",B1172="",C1172="",G1172=""),"Faltan datos",IF(COUNTIF($A$7:$A$2006,A1172)&gt;1,"ID duplicado",IF(OR(B1172&lt;DATE(Configuración!$C$5,1,1),B1172&gt;=DATE(Configuración!$C$5+1,1,1)),"Fecha fuera del año",IF(OR(G1172&lt;0,H1172&lt;0),"Revisar signo",IF(AND(C1172&lt;&gt;"Servicio",H1172&lt;&gt;0),"IVA solo en Servicio",IF(AND(C1172="Servicio",F1172=""),"Falta servicio","OK")))))))))</f>
        <v/>
      </c>
    </row>
    <row r="1173" spans="1:12" ht="22" customHeight="1">
      <c r="A1173" s="3"/>
      <c r="B1173" s="7"/>
      <c r="C1173" s="3"/>
      <c r="D1173" s="3"/>
      <c r="E1173" s="3"/>
      <c r="F1173" s="3"/>
      <c r="G1173" s="4"/>
      <c r="H1173" s="4"/>
      <c r="I1173" s="3"/>
      <c r="J1173" s="3"/>
      <c r="K1173" s="8" t="str">
        <f t="shared" si="18"/>
        <v/>
      </c>
      <c r="L1173" s="1" t="str">
        <f>IF(COUNTA(A1173:J1173)=0,"",IF(OR(AND(C1173&lt;&gt;"Servicio",C1173&lt;&gt;"Cobro",C1173&lt;&gt;"Anticipo",C1173&lt;&gt;"Aplicación anticipo",C1173&lt;&gt;"Retención ISR",C1173&lt;&gt;"Retención IVA"),AND(C1173="Servicio",F1173&lt;&gt;"TMS",F1173&lt;&gt;"Valoración",F1173&lt;&gt;"EEG",F1173&lt;&gt;"Neurofeedback",F1173&lt;&gt;"Fotobiomodulación",F1173&lt;&gt;"Psicoterapia",F1173&lt;&gt;"Otros")),"Tipo o categoría inválido",IF(COUNTA(A1173:J1173)=0,"",IF(OR(A1173="",B1173="",C1173="",G1173=""),"Faltan datos",IF(COUNTIF($A$7:$A$2006,A1173)&gt;1,"ID duplicado",IF(OR(B1173&lt;DATE(Configuración!$C$5,1,1),B1173&gt;=DATE(Configuración!$C$5+1,1,1)),"Fecha fuera del año",IF(OR(G1173&lt;0,H1173&lt;0),"Revisar signo",IF(AND(C1173&lt;&gt;"Servicio",H1173&lt;&gt;0),"IVA solo en Servicio",IF(AND(C1173="Servicio",F1173=""),"Falta servicio","OK")))))))))</f>
        <v/>
      </c>
    </row>
    <row r="1174" spans="1:12" ht="22" customHeight="1">
      <c r="A1174" s="3"/>
      <c r="B1174" s="7"/>
      <c r="C1174" s="3"/>
      <c r="D1174" s="3"/>
      <c r="E1174" s="3"/>
      <c r="F1174" s="3"/>
      <c r="G1174" s="4"/>
      <c r="H1174" s="4"/>
      <c r="I1174" s="3"/>
      <c r="J1174" s="3"/>
      <c r="K1174" s="8" t="str">
        <f t="shared" si="18"/>
        <v/>
      </c>
      <c r="L1174" s="1" t="str">
        <f>IF(COUNTA(A1174:J1174)=0,"",IF(OR(AND(C1174&lt;&gt;"Servicio",C1174&lt;&gt;"Cobro",C1174&lt;&gt;"Anticipo",C1174&lt;&gt;"Aplicación anticipo",C1174&lt;&gt;"Retención ISR",C1174&lt;&gt;"Retención IVA"),AND(C1174="Servicio",F1174&lt;&gt;"TMS",F1174&lt;&gt;"Valoración",F1174&lt;&gt;"EEG",F1174&lt;&gt;"Neurofeedback",F1174&lt;&gt;"Fotobiomodulación",F1174&lt;&gt;"Psicoterapia",F1174&lt;&gt;"Otros")),"Tipo o categoría inválido",IF(COUNTA(A1174:J1174)=0,"",IF(OR(A1174="",B1174="",C1174="",G1174=""),"Faltan datos",IF(COUNTIF($A$7:$A$2006,A1174)&gt;1,"ID duplicado",IF(OR(B1174&lt;DATE(Configuración!$C$5,1,1),B1174&gt;=DATE(Configuración!$C$5+1,1,1)),"Fecha fuera del año",IF(OR(G1174&lt;0,H1174&lt;0),"Revisar signo",IF(AND(C1174&lt;&gt;"Servicio",H1174&lt;&gt;0),"IVA solo en Servicio",IF(AND(C1174="Servicio",F1174=""),"Falta servicio","OK")))))))))</f>
        <v/>
      </c>
    </row>
    <row r="1175" spans="1:12" ht="22" customHeight="1">
      <c r="A1175" s="3"/>
      <c r="B1175" s="7"/>
      <c r="C1175" s="3"/>
      <c r="D1175" s="3"/>
      <c r="E1175" s="3"/>
      <c r="F1175" s="3"/>
      <c r="G1175" s="4"/>
      <c r="H1175" s="4"/>
      <c r="I1175" s="3"/>
      <c r="J1175" s="3"/>
      <c r="K1175" s="8" t="str">
        <f t="shared" si="18"/>
        <v/>
      </c>
      <c r="L1175" s="1" t="str">
        <f>IF(COUNTA(A1175:J1175)=0,"",IF(OR(AND(C1175&lt;&gt;"Servicio",C1175&lt;&gt;"Cobro",C1175&lt;&gt;"Anticipo",C1175&lt;&gt;"Aplicación anticipo",C1175&lt;&gt;"Retención ISR",C1175&lt;&gt;"Retención IVA"),AND(C1175="Servicio",F1175&lt;&gt;"TMS",F1175&lt;&gt;"Valoración",F1175&lt;&gt;"EEG",F1175&lt;&gt;"Neurofeedback",F1175&lt;&gt;"Fotobiomodulación",F1175&lt;&gt;"Psicoterapia",F1175&lt;&gt;"Otros")),"Tipo o categoría inválido",IF(COUNTA(A1175:J1175)=0,"",IF(OR(A1175="",B1175="",C1175="",G1175=""),"Faltan datos",IF(COUNTIF($A$7:$A$2006,A1175)&gt;1,"ID duplicado",IF(OR(B1175&lt;DATE(Configuración!$C$5,1,1),B1175&gt;=DATE(Configuración!$C$5+1,1,1)),"Fecha fuera del año",IF(OR(G1175&lt;0,H1175&lt;0),"Revisar signo",IF(AND(C1175&lt;&gt;"Servicio",H1175&lt;&gt;0),"IVA solo en Servicio",IF(AND(C1175="Servicio",F1175=""),"Falta servicio","OK")))))))))</f>
        <v/>
      </c>
    </row>
    <row r="1176" spans="1:12" ht="22" customHeight="1">
      <c r="A1176" s="3"/>
      <c r="B1176" s="7"/>
      <c r="C1176" s="3"/>
      <c r="D1176" s="3"/>
      <c r="E1176" s="3"/>
      <c r="F1176" s="3"/>
      <c r="G1176" s="4"/>
      <c r="H1176" s="4"/>
      <c r="I1176" s="3"/>
      <c r="J1176" s="3"/>
      <c r="K1176" s="8" t="str">
        <f t="shared" si="18"/>
        <v/>
      </c>
      <c r="L1176" s="1" t="str">
        <f>IF(COUNTA(A1176:J1176)=0,"",IF(OR(AND(C1176&lt;&gt;"Servicio",C1176&lt;&gt;"Cobro",C1176&lt;&gt;"Anticipo",C1176&lt;&gt;"Aplicación anticipo",C1176&lt;&gt;"Retención ISR",C1176&lt;&gt;"Retención IVA"),AND(C1176="Servicio",F1176&lt;&gt;"TMS",F1176&lt;&gt;"Valoración",F1176&lt;&gt;"EEG",F1176&lt;&gt;"Neurofeedback",F1176&lt;&gt;"Fotobiomodulación",F1176&lt;&gt;"Psicoterapia",F1176&lt;&gt;"Otros")),"Tipo o categoría inválido",IF(COUNTA(A1176:J1176)=0,"",IF(OR(A1176="",B1176="",C1176="",G1176=""),"Faltan datos",IF(COUNTIF($A$7:$A$2006,A1176)&gt;1,"ID duplicado",IF(OR(B1176&lt;DATE(Configuración!$C$5,1,1),B1176&gt;=DATE(Configuración!$C$5+1,1,1)),"Fecha fuera del año",IF(OR(G1176&lt;0,H1176&lt;0),"Revisar signo",IF(AND(C1176&lt;&gt;"Servicio",H1176&lt;&gt;0),"IVA solo en Servicio",IF(AND(C1176="Servicio",F1176=""),"Falta servicio","OK")))))))))</f>
        <v/>
      </c>
    </row>
    <row r="1177" spans="1:12" ht="22" customHeight="1">
      <c r="A1177" s="3"/>
      <c r="B1177" s="7"/>
      <c r="C1177" s="3"/>
      <c r="D1177" s="3"/>
      <c r="E1177" s="3"/>
      <c r="F1177" s="3"/>
      <c r="G1177" s="4"/>
      <c r="H1177" s="4"/>
      <c r="I1177" s="3"/>
      <c r="J1177" s="3"/>
      <c r="K1177" s="8" t="str">
        <f t="shared" si="18"/>
        <v/>
      </c>
      <c r="L1177" s="1" t="str">
        <f>IF(COUNTA(A1177:J1177)=0,"",IF(OR(AND(C1177&lt;&gt;"Servicio",C1177&lt;&gt;"Cobro",C1177&lt;&gt;"Anticipo",C1177&lt;&gt;"Aplicación anticipo",C1177&lt;&gt;"Retención ISR",C1177&lt;&gt;"Retención IVA"),AND(C1177="Servicio",F1177&lt;&gt;"TMS",F1177&lt;&gt;"Valoración",F1177&lt;&gt;"EEG",F1177&lt;&gt;"Neurofeedback",F1177&lt;&gt;"Fotobiomodulación",F1177&lt;&gt;"Psicoterapia",F1177&lt;&gt;"Otros")),"Tipo o categoría inválido",IF(COUNTA(A1177:J1177)=0,"",IF(OR(A1177="",B1177="",C1177="",G1177=""),"Faltan datos",IF(COUNTIF($A$7:$A$2006,A1177)&gt;1,"ID duplicado",IF(OR(B1177&lt;DATE(Configuración!$C$5,1,1),B1177&gt;=DATE(Configuración!$C$5+1,1,1)),"Fecha fuera del año",IF(OR(G1177&lt;0,H1177&lt;0),"Revisar signo",IF(AND(C1177&lt;&gt;"Servicio",H1177&lt;&gt;0),"IVA solo en Servicio",IF(AND(C1177="Servicio",F1177=""),"Falta servicio","OK")))))))))</f>
        <v/>
      </c>
    </row>
    <row r="1178" spans="1:12" ht="22" customHeight="1">
      <c r="A1178" s="3"/>
      <c r="B1178" s="7"/>
      <c r="C1178" s="3"/>
      <c r="D1178" s="3"/>
      <c r="E1178" s="3"/>
      <c r="F1178" s="3"/>
      <c r="G1178" s="4"/>
      <c r="H1178" s="4"/>
      <c r="I1178" s="3"/>
      <c r="J1178" s="3"/>
      <c r="K1178" s="8" t="str">
        <f t="shared" si="18"/>
        <v/>
      </c>
      <c r="L1178" s="1" t="str">
        <f>IF(COUNTA(A1178:J1178)=0,"",IF(OR(AND(C1178&lt;&gt;"Servicio",C1178&lt;&gt;"Cobro",C1178&lt;&gt;"Anticipo",C1178&lt;&gt;"Aplicación anticipo",C1178&lt;&gt;"Retención ISR",C1178&lt;&gt;"Retención IVA"),AND(C1178="Servicio",F1178&lt;&gt;"TMS",F1178&lt;&gt;"Valoración",F1178&lt;&gt;"EEG",F1178&lt;&gt;"Neurofeedback",F1178&lt;&gt;"Fotobiomodulación",F1178&lt;&gt;"Psicoterapia",F1178&lt;&gt;"Otros")),"Tipo o categoría inválido",IF(COUNTA(A1178:J1178)=0,"",IF(OR(A1178="",B1178="",C1178="",G1178=""),"Faltan datos",IF(COUNTIF($A$7:$A$2006,A1178)&gt;1,"ID duplicado",IF(OR(B1178&lt;DATE(Configuración!$C$5,1,1),B1178&gt;=DATE(Configuración!$C$5+1,1,1)),"Fecha fuera del año",IF(OR(G1178&lt;0,H1178&lt;0),"Revisar signo",IF(AND(C1178&lt;&gt;"Servicio",H1178&lt;&gt;0),"IVA solo en Servicio",IF(AND(C1178="Servicio",F1178=""),"Falta servicio","OK")))))))))</f>
        <v/>
      </c>
    </row>
    <row r="1179" spans="1:12" ht="22" customHeight="1">
      <c r="A1179" s="3"/>
      <c r="B1179" s="7"/>
      <c r="C1179" s="3"/>
      <c r="D1179" s="3"/>
      <c r="E1179" s="3"/>
      <c r="F1179" s="3"/>
      <c r="G1179" s="4"/>
      <c r="H1179" s="4"/>
      <c r="I1179" s="3"/>
      <c r="J1179" s="3"/>
      <c r="K1179" s="8" t="str">
        <f t="shared" si="18"/>
        <v/>
      </c>
      <c r="L1179" s="1" t="str">
        <f>IF(COUNTA(A1179:J1179)=0,"",IF(OR(AND(C1179&lt;&gt;"Servicio",C1179&lt;&gt;"Cobro",C1179&lt;&gt;"Anticipo",C1179&lt;&gt;"Aplicación anticipo",C1179&lt;&gt;"Retención ISR",C1179&lt;&gt;"Retención IVA"),AND(C1179="Servicio",F1179&lt;&gt;"TMS",F1179&lt;&gt;"Valoración",F1179&lt;&gt;"EEG",F1179&lt;&gt;"Neurofeedback",F1179&lt;&gt;"Fotobiomodulación",F1179&lt;&gt;"Psicoterapia",F1179&lt;&gt;"Otros")),"Tipo o categoría inválido",IF(COUNTA(A1179:J1179)=0,"",IF(OR(A1179="",B1179="",C1179="",G1179=""),"Faltan datos",IF(COUNTIF($A$7:$A$2006,A1179)&gt;1,"ID duplicado",IF(OR(B1179&lt;DATE(Configuración!$C$5,1,1),B1179&gt;=DATE(Configuración!$C$5+1,1,1)),"Fecha fuera del año",IF(OR(G1179&lt;0,H1179&lt;0),"Revisar signo",IF(AND(C1179&lt;&gt;"Servicio",H1179&lt;&gt;0),"IVA solo en Servicio",IF(AND(C1179="Servicio",F1179=""),"Falta servicio","OK")))))))))</f>
        <v/>
      </c>
    </row>
    <row r="1180" spans="1:12" ht="22" customHeight="1">
      <c r="A1180" s="3"/>
      <c r="B1180" s="7"/>
      <c r="C1180" s="3"/>
      <c r="D1180" s="3"/>
      <c r="E1180" s="3"/>
      <c r="F1180" s="3"/>
      <c r="G1180" s="4"/>
      <c r="H1180" s="4"/>
      <c r="I1180" s="3"/>
      <c r="J1180" s="3"/>
      <c r="K1180" s="8" t="str">
        <f t="shared" si="18"/>
        <v/>
      </c>
      <c r="L1180" s="1" t="str">
        <f>IF(COUNTA(A1180:J1180)=0,"",IF(OR(AND(C1180&lt;&gt;"Servicio",C1180&lt;&gt;"Cobro",C1180&lt;&gt;"Anticipo",C1180&lt;&gt;"Aplicación anticipo",C1180&lt;&gt;"Retención ISR",C1180&lt;&gt;"Retención IVA"),AND(C1180="Servicio",F1180&lt;&gt;"TMS",F1180&lt;&gt;"Valoración",F1180&lt;&gt;"EEG",F1180&lt;&gt;"Neurofeedback",F1180&lt;&gt;"Fotobiomodulación",F1180&lt;&gt;"Psicoterapia",F1180&lt;&gt;"Otros")),"Tipo o categoría inválido",IF(COUNTA(A1180:J1180)=0,"",IF(OR(A1180="",B1180="",C1180="",G1180=""),"Faltan datos",IF(COUNTIF($A$7:$A$2006,A1180)&gt;1,"ID duplicado",IF(OR(B1180&lt;DATE(Configuración!$C$5,1,1),B1180&gt;=DATE(Configuración!$C$5+1,1,1)),"Fecha fuera del año",IF(OR(G1180&lt;0,H1180&lt;0),"Revisar signo",IF(AND(C1180&lt;&gt;"Servicio",H1180&lt;&gt;0),"IVA solo en Servicio",IF(AND(C1180="Servicio",F1180=""),"Falta servicio","OK")))))))))</f>
        <v/>
      </c>
    </row>
    <row r="1181" spans="1:12" ht="22" customHeight="1">
      <c r="A1181" s="3"/>
      <c r="B1181" s="7"/>
      <c r="C1181" s="3"/>
      <c r="D1181" s="3"/>
      <c r="E1181" s="3"/>
      <c r="F1181" s="3"/>
      <c r="G1181" s="4"/>
      <c r="H1181" s="4"/>
      <c r="I1181" s="3"/>
      <c r="J1181" s="3"/>
      <c r="K1181" s="8" t="str">
        <f t="shared" si="18"/>
        <v/>
      </c>
      <c r="L1181" s="1" t="str">
        <f>IF(COUNTA(A1181:J1181)=0,"",IF(OR(AND(C1181&lt;&gt;"Servicio",C1181&lt;&gt;"Cobro",C1181&lt;&gt;"Anticipo",C1181&lt;&gt;"Aplicación anticipo",C1181&lt;&gt;"Retención ISR",C1181&lt;&gt;"Retención IVA"),AND(C1181="Servicio",F1181&lt;&gt;"TMS",F1181&lt;&gt;"Valoración",F1181&lt;&gt;"EEG",F1181&lt;&gt;"Neurofeedback",F1181&lt;&gt;"Fotobiomodulación",F1181&lt;&gt;"Psicoterapia",F1181&lt;&gt;"Otros")),"Tipo o categoría inválido",IF(COUNTA(A1181:J1181)=0,"",IF(OR(A1181="",B1181="",C1181="",G1181=""),"Faltan datos",IF(COUNTIF($A$7:$A$2006,A1181)&gt;1,"ID duplicado",IF(OR(B1181&lt;DATE(Configuración!$C$5,1,1),B1181&gt;=DATE(Configuración!$C$5+1,1,1)),"Fecha fuera del año",IF(OR(G1181&lt;0,H1181&lt;0),"Revisar signo",IF(AND(C1181&lt;&gt;"Servicio",H1181&lt;&gt;0),"IVA solo en Servicio",IF(AND(C1181="Servicio",F1181=""),"Falta servicio","OK")))))))))</f>
        <v/>
      </c>
    </row>
    <row r="1182" spans="1:12" ht="22" customHeight="1">
      <c r="A1182" s="3"/>
      <c r="B1182" s="7"/>
      <c r="C1182" s="3"/>
      <c r="D1182" s="3"/>
      <c r="E1182" s="3"/>
      <c r="F1182" s="3"/>
      <c r="G1182" s="4"/>
      <c r="H1182" s="4"/>
      <c r="I1182" s="3"/>
      <c r="J1182" s="3"/>
      <c r="K1182" s="8" t="str">
        <f t="shared" si="18"/>
        <v/>
      </c>
      <c r="L1182" s="1" t="str">
        <f>IF(COUNTA(A1182:J1182)=0,"",IF(OR(AND(C1182&lt;&gt;"Servicio",C1182&lt;&gt;"Cobro",C1182&lt;&gt;"Anticipo",C1182&lt;&gt;"Aplicación anticipo",C1182&lt;&gt;"Retención ISR",C1182&lt;&gt;"Retención IVA"),AND(C1182="Servicio",F1182&lt;&gt;"TMS",F1182&lt;&gt;"Valoración",F1182&lt;&gt;"EEG",F1182&lt;&gt;"Neurofeedback",F1182&lt;&gt;"Fotobiomodulación",F1182&lt;&gt;"Psicoterapia",F1182&lt;&gt;"Otros")),"Tipo o categoría inválido",IF(COUNTA(A1182:J1182)=0,"",IF(OR(A1182="",B1182="",C1182="",G1182=""),"Faltan datos",IF(COUNTIF($A$7:$A$2006,A1182)&gt;1,"ID duplicado",IF(OR(B1182&lt;DATE(Configuración!$C$5,1,1),B1182&gt;=DATE(Configuración!$C$5+1,1,1)),"Fecha fuera del año",IF(OR(G1182&lt;0,H1182&lt;0),"Revisar signo",IF(AND(C1182&lt;&gt;"Servicio",H1182&lt;&gt;0),"IVA solo en Servicio",IF(AND(C1182="Servicio",F1182=""),"Falta servicio","OK")))))))))</f>
        <v/>
      </c>
    </row>
    <row r="1183" spans="1:12" ht="22" customHeight="1">
      <c r="A1183" s="3"/>
      <c r="B1183" s="7"/>
      <c r="C1183" s="3"/>
      <c r="D1183" s="3"/>
      <c r="E1183" s="3"/>
      <c r="F1183" s="3"/>
      <c r="G1183" s="4"/>
      <c r="H1183" s="4"/>
      <c r="I1183" s="3"/>
      <c r="J1183" s="3"/>
      <c r="K1183" s="8" t="str">
        <f t="shared" si="18"/>
        <v/>
      </c>
      <c r="L1183" s="1" t="str">
        <f>IF(COUNTA(A1183:J1183)=0,"",IF(OR(AND(C1183&lt;&gt;"Servicio",C1183&lt;&gt;"Cobro",C1183&lt;&gt;"Anticipo",C1183&lt;&gt;"Aplicación anticipo",C1183&lt;&gt;"Retención ISR",C1183&lt;&gt;"Retención IVA"),AND(C1183="Servicio",F1183&lt;&gt;"TMS",F1183&lt;&gt;"Valoración",F1183&lt;&gt;"EEG",F1183&lt;&gt;"Neurofeedback",F1183&lt;&gt;"Fotobiomodulación",F1183&lt;&gt;"Psicoterapia",F1183&lt;&gt;"Otros")),"Tipo o categoría inválido",IF(COUNTA(A1183:J1183)=0,"",IF(OR(A1183="",B1183="",C1183="",G1183=""),"Faltan datos",IF(COUNTIF($A$7:$A$2006,A1183)&gt;1,"ID duplicado",IF(OR(B1183&lt;DATE(Configuración!$C$5,1,1),B1183&gt;=DATE(Configuración!$C$5+1,1,1)),"Fecha fuera del año",IF(OR(G1183&lt;0,H1183&lt;0),"Revisar signo",IF(AND(C1183&lt;&gt;"Servicio",H1183&lt;&gt;0),"IVA solo en Servicio",IF(AND(C1183="Servicio",F1183=""),"Falta servicio","OK")))))))))</f>
        <v/>
      </c>
    </row>
    <row r="1184" spans="1:12" ht="22" customHeight="1">
      <c r="A1184" s="3"/>
      <c r="B1184" s="7"/>
      <c r="C1184" s="3"/>
      <c r="D1184" s="3"/>
      <c r="E1184" s="3"/>
      <c r="F1184" s="3"/>
      <c r="G1184" s="4"/>
      <c r="H1184" s="4"/>
      <c r="I1184" s="3"/>
      <c r="J1184" s="3"/>
      <c r="K1184" s="8" t="str">
        <f t="shared" si="18"/>
        <v/>
      </c>
      <c r="L1184" s="1" t="str">
        <f>IF(COUNTA(A1184:J1184)=0,"",IF(OR(AND(C1184&lt;&gt;"Servicio",C1184&lt;&gt;"Cobro",C1184&lt;&gt;"Anticipo",C1184&lt;&gt;"Aplicación anticipo",C1184&lt;&gt;"Retención ISR",C1184&lt;&gt;"Retención IVA"),AND(C1184="Servicio",F1184&lt;&gt;"TMS",F1184&lt;&gt;"Valoración",F1184&lt;&gt;"EEG",F1184&lt;&gt;"Neurofeedback",F1184&lt;&gt;"Fotobiomodulación",F1184&lt;&gt;"Psicoterapia",F1184&lt;&gt;"Otros")),"Tipo o categoría inválido",IF(COUNTA(A1184:J1184)=0,"",IF(OR(A1184="",B1184="",C1184="",G1184=""),"Faltan datos",IF(COUNTIF($A$7:$A$2006,A1184)&gt;1,"ID duplicado",IF(OR(B1184&lt;DATE(Configuración!$C$5,1,1),B1184&gt;=DATE(Configuración!$C$5+1,1,1)),"Fecha fuera del año",IF(OR(G1184&lt;0,H1184&lt;0),"Revisar signo",IF(AND(C1184&lt;&gt;"Servicio",H1184&lt;&gt;0),"IVA solo en Servicio",IF(AND(C1184="Servicio",F1184=""),"Falta servicio","OK")))))))))</f>
        <v/>
      </c>
    </row>
    <row r="1185" spans="1:12" ht="22" customHeight="1">
      <c r="A1185" s="3"/>
      <c r="B1185" s="7"/>
      <c r="C1185" s="3"/>
      <c r="D1185" s="3"/>
      <c r="E1185" s="3"/>
      <c r="F1185" s="3"/>
      <c r="G1185" s="4"/>
      <c r="H1185" s="4"/>
      <c r="I1185" s="3"/>
      <c r="J1185" s="3"/>
      <c r="K1185" s="8" t="str">
        <f t="shared" si="18"/>
        <v/>
      </c>
      <c r="L1185" s="1" t="str">
        <f>IF(COUNTA(A1185:J1185)=0,"",IF(OR(AND(C1185&lt;&gt;"Servicio",C1185&lt;&gt;"Cobro",C1185&lt;&gt;"Anticipo",C1185&lt;&gt;"Aplicación anticipo",C1185&lt;&gt;"Retención ISR",C1185&lt;&gt;"Retención IVA"),AND(C1185="Servicio",F1185&lt;&gt;"TMS",F1185&lt;&gt;"Valoración",F1185&lt;&gt;"EEG",F1185&lt;&gt;"Neurofeedback",F1185&lt;&gt;"Fotobiomodulación",F1185&lt;&gt;"Psicoterapia",F1185&lt;&gt;"Otros")),"Tipo o categoría inválido",IF(COUNTA(A1185:J1185)=0,"",IF(OR(A1185="",B1185="",C1185="",G1185=""),"Faltan datos",IF(COUNTIF($A$7:$A$2006,A1185)&gt;1,"ID duplicado",IF(OR(B1185&lt;DATE(Configuración!$C$5,1,1),B1185&gt;=DATE(Configuración!$C$5+1,1,1)),"Fecha fuera del año",IF(OR(G1185&lt;0,H1185&lt;0),"Revisar signo",IF(AND(C1185&lt;&gt;"Servicio",H1185&lt;&gt;0),"IVA solo en Servicio",IF(AND(C1185="Servicio",F1185=""),"Falta servicio","OK")))))))))</f>
        <v/>
      </c>
    </row>
    <row r="1186" spans="1:12" ht="22" customHeight="1">
      <c r="A1186" s="3"/>
      <c r="B1186" s="7"/>
      <c r="C1186" s="3"/>
      <c r="D1186" s="3"/>
      <c r="E1186" s="3"/>
      <c r="F1186" s="3"/>
      <c r="G1186" s="4"/>
      <c r="H1186" s="4"/>
      <c r="I1186" s="3"/>
      <c r="J1186" s="3"/>
      <c r="K1186" s="8" t="str">
        <f t="shared" si="18"/>
        <v/>
      </c>
      <c r="L1186" s="1" t="str">
        <f>IF(COUNTA(A1186:J1186)=0,"",IF(OR(AND(C1186&lt;&gt;"Servicio",C1186&lt;&gt;"Cobro",C1186&lt;&gt;"Anticipo",C1186&lt;&gt;"Aplicación anticipo",C1186&lt;&gt;"Retención ISR",C1186&lt;&gt;"Retención IVA"),AND(C1186="Servicio",F1186&lt;&gt;"TMS",F1186&lt;&gt;"Valoración",F1186&lt;&gt;"EEG",F1186&lt;&gt;"Neurofeedback",F1186&lt;&gt;"Fotobiomodulación",F1186&lt;&gt;"Psicoterapia",F1186&lt;&gt;"Otros")),"Tipo o categoría inválido",IF(COUNTA(A1186:J1186)=0,"",IF(OR(A1186="",B1186="",C1186="",G1186=""),"Faltan datos",IF(COUNTIF($A$7:$A$2006,A1186)&gt;1,"ID duplicado",IF(OR(B1186&lt;DATE(Configuración!$C$5,1,1),B1186&gt;=DATE(Configuración!$C$5+1,1,1)),"Fecha fuera del año",IF(OR(G1186&lt;0,H1186&lt;0),"Revisar signo",IF(AND(C1186&lt;&gt;"Servicio",H1186&lt;&gt;0),"IVA solo en Servicio",IF(AND(C1186="Servicio",F1186=""),"Falta servicio","OK")))))))))</f>
        <v/>
      </c>
    </row>
    <row r="1187" spans="1:12" ht="22" customHeight="1">
      <c r="A1187" s="3"/>
      <c r="B1187" s="7"/>
      <c r="C1187" s="3"/>
      <c r="D1187" s="3"/>
      <c r="E1187" s="3"/>
      <c r="F1187" s="3"/>
      <c r="G1187" s="4"/>
      <c r="H1187" s="4"/>
      <c r="I1187" s="3"/>
      <c r="J1187" s="3"/>
      <c r="K1187" s="8" t="str">
        <f t="shared" si="18"/>
        <v/>
      </c>
      <c r="L1187" s="1" t="str">
        <f>IF(COUNTA(A1187:J1187)=0,"",IF(OR(AND(C1187&lt;&gt;"Servicio",C1187&lt;&gt;"Cobro",C1187&lt;&gt;"Anticipo",C1187&lt;&gt;"Aplicación anticipo",C1187&lt;&gt;"Retención ISR",C1187&lt;&gt;"Retención IVA"),AND(C1187="Servicio",F1187&lt;&gt;"TMS",F1187&lt;&gt;"Valoración",F1187&lt;&gt;"EEG",F1187&lt;&gt;"Neurofeedback",F1187&lt;&gt;"Fotobiomodulación",F1187&lt;&gt;"Psicoterapia",F1187&lt;&gt;"Otros")),"Tipo o categoría inválido",IF(COUNTA(A1187:J1187)=0,"",IF(OR(A1187="",B1187="",C1187="",G1187=""),"Faltan datos",IF(COUNTIF($A$7:$A$2006,A1187)&gt;1,"ID duplicado",IF(OR(B1187&lt;DATE(Configuración!$C$5,1,1),B1187&gt;=DATE(Configuración!$C$5+1,1,1)),"Fecha fuera del año",IF(OR(G1187&lt;0,H1187&lt;0),"Revisar signo",IF(AND(C1187&lt;&gt;"Servicio",H1187&lt;&gt;0),"IVA solo en Servicio",IF(AND(C1187="Servicio",F1187=""),"Falta servicio","OK")))))))))</f>
        <v/>
      </c>
    </row>
    <row r="1188" spans="1:12" ht="22" customHeight="1">
      <c r="A1188" s="3"/>
      <c r="B1188" s="7"/>
      <c r="C1188" s="3"/>
      <c r="D1188" s="3"/>
      <c r="E1188" s="3"/>
      <c r="F1188" s="3"/>
      <c r="G1188" s="4"/>
      <c r="H1188" s="4"/>
      <c r="I1188" s="3"/>
      <c r="J1188" s="3"/>
      <c r="K1188" s="8" t="str">
        <f t="shared" si="18"/>
        <v/>
      </c>
      <c r="L1188" s="1" t="str">
        <f>IF(COUNTA(A1188:J1188)=0,"",IF(OR(AND(C1188&lt;&gt;"Servicio",C1188&lt;&gt;"Cobro",C1188&lt;&gt;"Anticipo",C1188&lt;&gt;"Aplicación anticipo",C1188&lt;&gt;"Retención ISR",C1188&lt;&gt;"Retención IVA"),AND(C1188="Servicio",F1188&lt;&gt;"TMS",F1188&lt;&gt;"Valoración",F1188&lt;&gt;"EEG",F1188&lt;&gt;"Neurofeedback",F1188&lt;&gt;"Fotobiomodulación",F1188&lt;&gt;"Psicoterapia",F1188&lt;&gt;"Otros")),"Tipo o categoría inválido",IF(COUNTA(A1188:J1188)=0,"",IF(OR(A1188="",B1188="",C1188="",G1188=""),"Faltan datos",IF(COUNTIF($A$7:$A$2006,A1188)&gt;1,"ID duplicado",IF(OR(B1188&lt;DATE(Configuración!$C$5,1,1),B1188&gt;=DATE(Configuración!$C$5+1,1,1)),"Fecha fuera del año",IF(OR(G1188&lt;0,H1188&lt;0),"Revisar signo",IF(AND(C1188&lt;&gt;"Servicio",H1188&lt;&gt;0),"IVA solo en Servicio",IF(AND(C1188="Servicio",F1188=""),"Falta servicio","OK")))))))))</f>
        <v/>
      </c>
    </row>
    <row r="1189" spans="1:12" ht="22" customHeight="1">
      <c r="A1189" s="3"/>
      <c r="B1189" s="7"/>
      <c r="C1189" s="3"/>
      <c r="D1189" s="3"/>
      <c r="E1189" s="3"/>
      <c r="F1189" s="3"/>
      <c r="G1189" s="4"/>
      <c r="H1189" s="4"/>
      <c r="I1189" s="3"/>
      <c r="J1189" s="3"/>
      <c r="K1189" s="8" t="str">
        <f t="shared" si="18"/>
        <v/>
      </c>
      <c r="L1189" s="1" t="str">
        <f>IF(COUNTA(A1189:J1189)=0,"",IF(OR(AND(C1189&lt;&gt;"Servicio",C1189&lt;&gt;"Cobro",C1189&lt;&gt;"Anticipo",C1189&lt;&gt;"Aplicación anticipo",C1189&lt;&gt;"Retención ISR",C1189&lt;&gt;"Retención IVA"),AND(C1189="Servicio",F1189&lt;&gt;"TMS",F1189&lt;&gt;"Valoración",F1189&lt;&gt;"EEG",F1189&lt;&gt;"Neurofeedback",F1189&lt;&gt;"Fotobiomodulación",F1189&lt;&gt;"Psicoterapia",F1189&lt;&gt;"Otros")),"Tipo o categoría inválido",IF(COUNTA(A1189:J1189)=0,"",IF(OR(A1189="",B1189="",C1189="",G1189=""),"Faltan datos",IF(COUNTIF($A$7:$A$2006,A1189)&gt;1,"ID duplicado",IF(OR(B1189&lt;DATE(Configuración!$C$5,1,1),B1189&gt;=DATE(Configuración!$C$5+1,1,1)),"Fecha fuera del año",IF(OR(G1189&lt;0,H1189&lt;0),"Revisar signo",IF(AND(C1189&lt;&gt;"Servicio",H1189&lt;&gt;0),"IVA solo en Servicio",IF(AND(C1189="Servicio",F1189=""),"Falta servicio","OK")))))))))</f>
        <v/>
      </c>
    </row>
    <row r="1190" spans="1:12" ht="22" customHeight="1">
      <c r="A1190" s="3"/>
      <c r="B1190" s="7"/>
      <c r="C1190" s="3"/>
      <c r="D1190" s="3"/>
      <c r="E1190" s="3"/>
      <c r="F1190" s="3"/>
      <c r="G1190" s="4"/>
      <c r="H1190" s="4"/>
      <c r="I1190" s="3"/>
      <c r="J1190" s="3"/>
      <c r="K1190" s="8" t="str">
        <f t="shared" si="18"/>
        <v/>
      </c>
      <c r="L1190" s="1" t="str">
        <f>IF(COUNTA(A1190:J1190)=0,"",IF(OR(AND(C1190&lt;&gt;"Servicio",C1190&lt;&gt;"Cobro",C1190&lt;&gt;"Anticipo",C1190&lt;&gt;"Aplicación anticipo",C1190&lt;&gt;"Retención ISR",C1190&lt;&gt;"Retención IVA"),AND(C1190="Servicio",F1190&lt;&gt;"TMS",F1190&lt;&gt;"Valoración",F1190&lt;&gt;"EEG",F1190&lt;&gt;"Neurofeedback",F1190&lt;&gt;"Fotobiomodulación",F1190&lt;&gt;"Psicoterapia",F1190&lt;&gt;"Otros")),"Tipo o categoría inválido",IF(COUNTA(A1190:J1190)=0,"",IF(OR(A1190="",B1190="",C1190="",G1190=""),"Faltan datos",IF(COUNTIF($A$7:$A$2006,A1190)&gt;1,"ID duplicado",IF(OR(B1190&lt;DATE(Configuración!$C$5,1,1),B1190&gt;=DATE(Configuración!$C$5+1,1,1)),"Fecha fuera del año",IF(OR(G1190&lt;0,H1190&lt;0),"Revisar signo",IF(AND(C1190&lt;&gt;"Servicio",H1190&lt;&gt;0),"IVA solo en Servicio",IF(AND(C1190="Servicio",F1190=""),"Falta servicio","OK")))))))))</f>
        <v/>
      </c>
    </row>
    <row r="1191" spans="1:12" ht="22" customHeight="1">
      <c r="A1191" s="3"/>
      <c r="B1191" s="7"/>
      <c r="C1191" s="3"/>
      <c r="D1191" s="3"/>
      <c r="E1191" s="3"/>
      <c r="F1191" s="3"/>
      <c r="G1191" s="4"/>
      <c r="H1191" s="4"/>
      <c r="I1191" s="3"/>
      <c r="J1191" s="3"/>
      <c r="K1191" s="8" t="str">
        <f t="shared" si="18"/>
        <v/>
      </c>
      <c r="L1191" s="1" t="str">
        <f>IF(COUNTA(A1191:J1191)=0,"",IF(OR(AND(C1191&lt;&gt;"Servicio",C1191&lt;&gt;"Cobro",C1191&lt;&gt;"Anticipo",C1191&lt;&gt;"Aplicación anticipo",C1191&lt;&gt;"Retención ISR",C1191&lt;&gt;"Retención IVA"),AND(C1191="Servicio",F1191&lt;&gt;"TMS",F1191&lt;&gt;"Valoración",F1191&lt;&gt;"EEG",F1191&lt;&gt;"Neurofeedback",F1191&lt;&gt;"Fotobiomodulación",F1191&lt;&gt;"Psicoterapia",F1191&lt;&gt;"Otros")),"Tipo o categoría inválido",IF(COUNTA(A1191:J1191)=0,"",IF(OR(A1191="",B1191="",C1191="",G1191=""),"Faltan datos",IF(COUNTIF($A$7:$A$2006,A1191)&gt;1,"ID duplicado",IF(OR(B1191&lt;DATE(Configuración!$C$5,1,1),B1191&gt;=DATE(Configuración!$C$5+1,1,1)),"Fecha fuera del año",IF(OR(G1191&lt;0,H1191&lt;0),"Revisar signo",IF(AND(C1191&lt;&gt;"Servicio",H1191&lt;&gt;0),"IVA solo en Servicio",IF(AND(C1191="Servicio",F1191=""),"Falta servicio","OK")))))))))</f>
        <v/>
      </c>
    </row>
    <row r="1192" spans="1:12" ht="22" customHeight="1">
      <c r="A1192" s="3"/>
      <c r="B1192" s="7"/>
      <c r="C1192" s="3"/>
      <c r="D1192" s="3"/>
      <c r="E1192" s="3"/>
      <c r="F1192" s="3"/>
      <c r="G1192" s="4"/>
      <c r="H1192" s="4"/>
      <c r="I1192" s="3"/>
      <c r="J1192" s="3"/>
      <c r="K1192" s="8" t="str">
        <f t="shared" si="18"/>
        <v/>
      </c>
      <c r="L1192" s="1" t="str">
        <f>IF(COUNTA(A1192:J1192)=0,"",IF(OR(AND(C1192&lt;&gt;"Servicio",C1192&lt;&gt;"Cobro",C1192&lt;&gt;"Anticipo",C1192&lt;&gt;"Aplicación anticipo",C1192&lt;&gt;"Retención ISR",C1192&lt;&gt;"Retención IVA"),AND(C1192="Servicio",F1192&lt;&gt;"TMS",F1192&lt;&gt;"Valoración",F1192&lt;&gt;"EEG",F1192&lt;&gt;"Neurofeedback",F1192&lt;&gt;"Fotobiomodulación",F1192&lt;&gt;"Psicoterapia",F1192&lt;&gt;"Otros")),"Tipo o categoría inválido",IF(COUNTA(A1192:J1192)=0,"",IF(OR(A1192="",B1192="",C1192="",G1192=""),"Faltan datos",IF(COUNTIF($A$7:$A$2006,A1192)&gt;1,"ID duplicado",IF(OR(B1192&lt;DATE(Configuración!$C$5,1,1),B1192&gt;=DATE(Configuración!$C$5+1,1,1)),"Fecha fuera del año",IF(OR(G1192&lt;0,H1192&lt;0),"Revisar signo",IF(AND(C1192&lt;&gt;"Servicio",H1192&lt;&gt;0),"IVA solo en Servicio",IF(AND(C1192="Servicio",F1192=""),"Falta servicio","OK")))))))))</f>
        <v/>
      </c>
    </row>
    <row r="1193" spans="1:12" ht="22" customHeight="1">
      <c r="A1193" s="3"/>
      <c r="B1193" s="7"/>
      <c r="C1193" s="3"/>
      <c r="D1193" s="3"/>
      <c r="E1193" s="3"/>
      <c r="F1193" s="3"/>
      <c r="G1193" s="4"/>
      <c r="H1193" s="4"/>
      <c r="I1193" s="3"/>
      <c r="J1193" s="3"/>
      <c r="K1193" s="8" t="str">
        <f t="shared" si="18"/>
        <v/>
      </c>
      <c r="L1193" s="1" t="str">
        <f>IF(COUNTA(A1193:J1193)=0,"",IF(OR(AND(C1193&lt;&gt;"Servicio",C1193&lt;&gt;"Cobro",C1193&lt;&gt;"Anticipo",C1193&lt;&gt;"Aplicación anticipo",C1193&lt;&gt;"Retención ISR",C1193&lt;&gt;"Retención IVA"),AND(C1193="Servicio",F1193&lt;&gt;"TMS",F1193&lt;&gt;"Valoración",F1193&lt;&gt;"EEG",F1193&lt;&gt;"Neurofeedback",F1193&lt;&gt;"Fotobiomodulación",F1193&lt;&gt;"Psicoterapia",F1193&lt;&gt;"Otros")),"Tipo o categoría inválido",IF(COUNTA(A1193:J1193)=0,"",IF(OR(A1193="",B1193="",C1193="",G1193=""),"Faltan datos",IF(COUNTIF($A$7:$A$2006,A1193)&gt;1,"ID duplicado",IF(OR(B1193&lt;DATE(Configuración!$C$5,1,1),B1193&gt;=DATE(Configuración!$C$5+1,1,1)),"Fecha fuera del año",IF(OR(G1193&lt;0,H1193&lt;0),"Revisar signo",IF(AND(C1193&lt;&gt;"Servicio",H1193&lt;&gt;0),"IVA solo en Servicio",IF(AND(C1193="Servicio",F1193=""),"Falta servicio","OK")))))))))</f>
        <v/>
      </c>
    </row>
    <row r="1194" spans="1:12" ht="22" customHeight="1">
      <c r="A1194" s="3"/>
      <c r="B1194" s="7"/>
      <c r="C1194" s="3"/>
      <c r="D1194" s="3"/>
      <c r="E1194" s="3"/>
      <c r="F1194" s="3"/>
      <c r="G1194" s="4"/>
      <c r="H1194" s="4"/>
      <c r="I1194" s="3"/>
      <c r="J1194" s="3"/>
      <c r="K1194" s="8" t="str">
        <f t="shared" si="18"/>
        <v/>
      </c>
      <c r="L1194" s="1" t="str">
        <f>IF(COUNTA(A1194:J1194)=0,"",IF(OR(AND(C1194&lt;&gt;"Servicio",C1194&lt;&gt;"Cobro",C1194&lt;&gt;"Anticipo",C1194&lt;&gt;"Aplicación anticipo",C1194&lt;&gt;"Retención ISR",C1194&lt;&gt;"Retención IVA"),AND(C1194="Servicio",F1194&lt;&gt;"TMS",F1194&lt;&gt;"Valoración",F1194&lt;&gt;"EEG",F1194&lt;&gt;"Neurofeedback",F1194&lt;&gt;"Fotobiomodulación",F1194&lt;&gt;"Psicoterapia",F1194&lt;&gt;"Otros")),"Tipo o categoría inválido",IF(COUNTA(A1194:J1194)=0,"",IF(OR(A1194="",B1194="",C1194="",G1194=""),"Faltan datos",IF(COUNTIF($A$7:$A$2006,A1194)&gt;1,"ID duplicado",IF(OR(B1194&lt;DATE(Configuración!$C$5,1,1),B1194&gt;=DATE(Configuración!$C$5+1,1,1)),"Fecha fuera del año",IF(OR(G1194&lt;0,H1194&lt;0),"Revisar signo",IF(AND(C1194&lt;&gt;"Servicio",H1194&lt;&gt;0),"IVA solo en Servicio",IF(AND(C1194="Servicio",F1194=""),"Falta servicio","OK")))))))))</f>
        <v/>
      </c>
    </row>
    <row r="1195" spans="1:12" ht="22" customHeight="1">
      <c r="A1195" s="3"/>
      <c r="B1195" s="7"/>
      <c r="C1195" s="3"/>
      <c r="D1195" s="3"/>
      <c r="E1195" s="3"/>
      <c r="F1195" s="3"/>
      <c r="G1195" s="4"/>
      <c r="H1195" s="4"/>
      <c r="I1195" s="3"/>
      <c r="J1195" s="3"/>
      <c r="K1195" s="8" t="str">
        <f t="shared" si="18"/>
        <v/>
      </c>
      <c r="L1195" s="1" t="str">
        <f>IF(COUNTA(A1195:J1195)=0,"",IF(OR(AND(C1195&lt;&gt;"Servicio",C1195&lt;&gt;"Cobro",C1195&lt;&gt;"Anticipo",C1195&lt;&gt;"Aplicación anticipo",C1195&lt;&gt;"Retención ISR",C1195&lt;&gt;"Retención IVA"),AND(C1195="Servicio",F1195&lt;&gt;"TMS",F1195&lt;&gt;"Valoración",F1195&lt;&gt;"EEG",F1195&lt;&gt;"Neurofeedback",F1195&lt;&gt;"Fotobiomodulación",F1195&lt;&gt;"Psicoterapia",F1195&lt;&gt;"Otros")),"Tipo o categoría inválido",IF(COUNTA(A1195:J1195)=0,"",IF(OR(A1195="",B1195="",C1195="",G1195=""),"Faltan datos",IF(COUNTIF($A$7:$A$2006,A1195)&gt;1,"ID duplicado",IF(OR(B1195&lt;DATE(Configuración!$C$5,1,1),B1195&gt;=DATE(Configuración!$C$5+1,1,1)),"Fecha fuera del año",IF(OR(G1195&lt;0,H1195&lt;0),"Revisar signo",IF(AND(C1195&lt;&gt;"Servicio",H1195&lt;&gt;0),"IVA solo en Servicio",IF(AND(C1195="Servicio",F1195=""),"Falta servicio","OK")))))))))</f>
        <v/>
      </c>
    </row>
    <row r="1196" spans="1:12" ht="22" customHeight="1">
      <c r="A1196" s="3"/>
      <c r="B1196" s="7"/>
      <c r="C1196" s="3"/>
      <c r="D1196" s="3"/>
      <c r="E1196" s="3"/>
      <c r="F1196" s="3"/>
      <c r="G1196" s="4"/>
      <c r="H1196" s="4"/>
      <c r="I1196" s="3"/>
      <c r="J1196" s="3"/>
      <c r="K1196" s="8" t="str">
        <f t="shared" si="18"/>
        <v/>
      </c>
      <c r="L1196" s="1" t="str">
        <f>IF(COUNTA(A1196:J1196)=0,"",IF(OR(AND(C1196&lt;&gt;"Servicio",C1196&lt;&gt;"Cobro",C1196&lt;&gt;"Anticipo",C1196&lt;&gt;"Aplicación anticipo",C1196&lt;&gt;"Retención ISR",C1196&lt;&gt;"Retención IVA"),AND(C1196="Servicio",F1196&lt;&gt;"TMS",F1196&lt;&gt;"Valoración",F1196&lt;&gt;"EEG",F1196&lt;&gt;"Neurofeedback",F1196&lt;&gt;"Fotobiomodulación",F1196&lt;&gt;"Psicoterapia",F1196&lt;&gt;"Otros")),"Tipo o categoría inválido",IF(COUNTA(A1196:J1196)=0,"",IF(OR(A1196="",B1196="",C1196="",G1196=""),"Faltan datos",IF(COUNTIF($A$7:$A$2006,A1196)&gt;1,"ID duplicado",IF(OR(B1196&lt;DATE(Configuración!$C$5,1,1),B1196&gt;=DATE(Configuración!$C$5+1,1,1)),"Fecha fuera del año",IF(OR(G1196&lt;0,H1196&lt;0),"Revisar signo",IF(AND(C1196&lt;&gt;"Servicio",H1196&lt;&gt;0),"IVA solo en Servicio",IF(AND(C1196="Servicio",F1196=""),"Falta servicio","OK")))))))))</f>
        <v/>
      </c>
    </row>
    <row r="1197" spans="1:12" ht="22" customHeight="1">
      <c r="A1197" s="3"/>
      <c r="B1197" s="7"/>
      <c r="C1197" s="3"/>
      <c r="D1197" s="3"/>
      <c r="E1197" s="3"/>
      <c r="F1197" s="3"/>
      <c r="G1197" s="4"/>
      <c r="H1197" s="4"/>
      <c r="I1197" s="3"/>
      <c r="J1197" s="3"/>
      <c r="K1197" s="8" t="str">
        <f t="shared" si="18"/>
        <v/>
      </c>
      <c r="L1197" s="1" t="str">
        <f>IF(COUNTA(A1197:J1197)=0,"",IF(OR(AND(C1197&lt;&gt;"Servicio",C1197&lt;&gt;"Cobro",C1197&lt;&gt;"Anticipo",C1197&lt;&gt;"Aplicación anticipo",C1197&lt;&gt;"Retención ISR",C1197&lt;&gt;"Retención IVA"),AND(C1197="Servicio",F1197&lt;&gt;"TMS",F1197&lt;&gt;"Valoración",F1197&lt;&gt;"EEG",F1197&lt;&gt;"Neurofeedback",F1197&lt;&gt;"Fotobiomodulación",F1197&lt;&gt;"Psicoterapia",F1197&lt;&gt;"Otros")),"Tipo o categoría inválido",IF(COUNTA(A1197:J1197)=0,"",IF(OR(A1197="",B1197="",C1197="",G1197=""),"Faltan datos",IF(COUNTIF($A$7:$A$2006,A1197)&gt;1,"ID duplicado",IF(OR(B1197&lt;DATE(Configuración!$C$5,1,1),B1197&gt;=DATE(Configuración!$C$5+1,1,1)),"Fecha fuera del año",IF(OR(G1197&lt;0,H1197&lt;0),"Revisar signo",IF(AND(C1197&lt;&gt;"Servicio",H1197&lt;&gt;0),"IVA solo en Servicio",IF(AND(C1197="Servicio",F1197=""),"Falta servicio","OK")))))))))</f>
        <v/>
      </c>
    </row>
    <row r="1198" spans="1:12" ht="22" customHeight="1">
      <c r="A1198" s="3"/>
      <c r="B1198" s="7"/>
      <c r="C1198" s="3"/>
      <c r="D1198" s="3"/>
      <c r="E1198" s="3"/>
      <c r="F1198" s="3"/>
      <c r="G1198" s="4"/>
      <c r="H1198" s="4"/>
      <c r="I1198" s="3"/>
      <c r="J1198" s="3"/>
      <c r="K1198" s="8" t="str">
        <f t="shared" si="18"/>
        <v/>
      </c>
      <c r="L1198" s="1" t="str">
        <f>IF(COUNTA(A1198:J1198)=0,"",IF(OR(AND(C1198&lt;&gt;"Servicio",C1198&lt;&gt;"Cobro",C1198&lt;&gt;"Anticipo",C1198&lt;&gt;"Aplicación anticipo",C1198&lt;&gt;"Retención ISR",C1198&lt;&gt;"Retención IVA"),AND(C1198="Servicio",F1198&lt;&gt;"TMS",F1198&lt;&gt;"Valoración",F1198&lt;&gt;"EEG",F1198&lt;&gt;"Neurofeedback",F1198&lt;&gt;"Fotobiomodulación",F1198&lt;&gt;"Psicoterapia",F1198&lt;&gt;"Otros")),"Tipo o categoría inválido",IF(COUNTA(A1198:J1198)=0,"",IF(OR(A1198="",B1198="",C1198="",G1198=""),"Faltan datos",IF(COUNTIF($A$7:$A$2006,A1198)&gt;1,"ID duplicado",IF(OR(B1198&lt;DATE(Configuración!$C$5,1,1),B1198&gt;=DATE(Configuración!$C$5+1,1,1)),"Fecha fuera del año",IF(OR(G1198&lt;0,H1198&lt;0),"Revisar signo",IF(AND(C1198&lt;&gt;"Servicio",H1198&lt;&gt;0),"IVA solo en Servicio",IF(AND(C1198="Servicio",F1198=""),"Falta servicio","OK")))))))))</f>
        <v/>
      </c>
    </row>
    <row r="1199" spans="1:12" ht="22" customHeight="1">
      <c r="A1199" s="3"/>
      <c r="B1199" s="7"/>
      <c r="C1199" s="3"/>
      <c r="D1199" s="3"/>
      <c r="E1199" s="3"/>
      <c r="F1199" s="3"/>
      <c r="G1199" s="4"/>
      <c r="H1199" s="4"/>
      <c r="I1199" s="3"/>
      <c r="J1199" s="3"/>
      <c r="K1199" s="8" t="str">
        <f t="shared" si="18"/>
        <v/>
      </c>
      <c r="L1199" s="1" t="str">
        <f>IF(COUNTA(A1199:J1199)=0,"",IF(OR(AND(C1199&lt;&gt;"Servicio",C1199&lt;&gt;"Cobro",C1199&lt;&gt;"Anticipo",C1199&lt;&gt;"Aplicación anticipo",C1199&lt;&gt;"Retención ISR",C1199&lt;&gt;"Retención IVA"),AND(C1199="Servicio",F1199&lt;&gt;"TMS",F1199&lt;&gt;"Valoración",F1199&lt;&gt;"EEG",F1199&lt;&gt;"Neurofeedback",F1199&lt;&gt;"Fotobiomodulación",F1199&lt;&gt;"Psicoterapia",F1199&lt;&gt;"Otros")),"Tipo o categoría inválido",IF(COUNTA(A1199:J1199)=0,"",IF(OR(A1199="",B1199="",C1199="",G1199=""),"Faltan datos",IF(COUNTIF($A$7:$A$2006,A1199)&gt;1,"ID duplicado",IF(OR(B1199&lt;DATE(Configuración!$C$5,1,1),B1199&gt;=DATE(Configuración!$C$5+1,1,1)),"Fecha fuera del año",IF(OR(G1199&lt;0,H1199&lt;0),"Revisar signo",IF(AND(C1199&lt;&gt;"Servicio",H1199&lt;&gt;0),"IVA solo en Servicio",IF(AND(C1199="Servicio",F1199=""),"Falta servicio","OK")))))))))</f>
        <v/>
      </c>
    </row>
    <row r="1200" spans="1:12" ht="22" customHeight="1">
      <c r="A1200" s="3"/>
      <c r="B1200" s="7"/>
      <c r="C1200" s="3"/>
      <c r="D1200" s="3"/>
      <c r="E1200" s="3"/>
      <c r="F1200" s="3"/>
      <c r="G1200" s="4"/>
      <c r="H1200" s="4"/>
      <c r="I1200" s="3"/>
      <c r="J1200" s="3"/>
      <c r="K1200" s="8" t="str">
        <f t="shared" si="18"/>
        <v/>
      </c>
      <c r="L1200" s="1" t="str">
        <f>IF(COUNTA(A1200:J1200)=0,"",IF(OR(AND(C1200&lt;&gt;"Servicio",C1200&lt;&gt;"Cobro",C1200&lt;&gt;"Anticipo",C1200&lt;&gt;"Aplicación anticipo",C1200&lt;&gt;"Retención ISR",C1200&lt;&gt;"Retención IVA"),AND(C1200="Servicio",F1200&lt;&gt;"TMS",F1200&lt;&gt;"Valoración",F1200&lt;&gt;"EEG",F1200&lt;&gt;"Neurofeedback",F1200&lt;&gt;"Fotobiomodulación",F1200&lt;&gt;"Psicoterapia",F1200&lt;&gt;"Otros")),"Tipo o categoría inválido",IF(COUNTA(A1200:J1200)=0,"",IF(OR(A1200="",B1200="",C1200="",G1200=""),"Faltan datos",IF(COUNTIF($A$7:$A$2006,A1200)&gt;1,"ID duplicado",IF(OR(B1200&lt;DATE(Configuración!$C$5,1,1),B1200&gt;=DATE(Configuración!$C$5+1,1,1)),"Fecha fuera del año",IF(OR(G1200&lt;0,H1200&lt;0),"Revisar signo",IF(AND(C1200&lt;&gt;"Servicio",H1200&lt;&gt;0),"IVA solo en Servicio",IF(AND(C1200="Servicio",F1200=""),"Falta servicio","OK")))))))))</f>
        <v/>
      </c>
    </row>
    <row r="1201" spans="1:12" ht="22" customHeight="1">
      <c r="A1201" s="3"/>
      <c r="B1201" s="7"/>
      <c r="C1201" s="3"/>
      <c r="D1201" s="3"/>
      <c r="E1201" s="3"/>
      <c r="F1201" s="3"/>
      <c r="G1201" s="4"/>
      <c r="H1201" s="4"/>
      <c r="I1201" s="3"/>
      <c r="J1201" s="3"/>
      <c r="K1201" s="8" t="str">
        <f t="shared" si="18"/>
        <v/>
      </c>
      <c r="L1201" s="1" t="str">
        <f>IF(COUNTA(A1201:J1201)=0,"",IF(OR(AND(C1201&lt;&gt;"Servicio",C1201&lt;&gt;"Cobro",C1201&lt;&gt;"Anticipo",C1201&lt;&gt;"Aplicación anticipo",C1201&lt;&gt;"Retención ISR",C1201&lt;&gt;"Retención IVA"),AND(C1201="Servicio",F1201&lt;&gt;"TMS",F1201&lt;&gt;"Valoración",F1201&lt;&gt;"EEG",F1201&lt;&gt;"Neurofeedback",F1201&lt;&gt;"Fotobiomodulación",F1201&lt;&gt;"Psicoterapia",F1201&lt;&gt;"Otros")),"Tipo o categoría inválido",IF(COUNTA(A1201:J1201)=0,"",IF(OR(A1201="",B1201="",C1201="",G1201=""),"Faltan datos",IF(COUNTIF($A$7:$A$2006,A1201)&gt;1,"ID duplicado",IF(OR(B1201&lt;DATE(Configuración!$C$5,1,1),B1201&gt;=DATE(Configuración!$C$5+1,1,1)),"Fecha fuera del año",IF(OR(G1201&lt;0,H1201&lt;0),"Revisar signo",IF(AND(C1201&lt;&gt;"Servicio",H1201&lt;&gt;0),"IVA solo en Servicio",IF(AND(C1201="Servicio",F1201=""),"Falta servicio","OK")))))))))</f>
        <v/>
      </c>
    </row>
    <row r="1202" spans="1:12" ht="22" customHeight="1">
      <c r="A1202" s="3"/>
      <c r="B1202" s="7"/>
      <c r="C1202" s="3"/>
      <c r="D1202" s="3"/>
      <c r="E1202" s="3"/>
      <c r="F1202" s="3"/>
      <c r="G1202" s="4"/>
      <c r="H1202" s="4"/>
      <c r="I1202" s="3"/>
      <c r="J1202" s="3"/>
      <c r="K1202" s="8" t="str">
        <f t="shared" si="18"/>
        <v/>
      </c>
      <c r="L1202" s="1" t="str">
        <f>IF(COUNTA(A1202:J1202)=0,"",IF(OR(AND(C1202&lt;&gt;"Servicio",C1202&lt;&gt;"Cobro",C1202&lt;&gt;"Anticipo",C1202&lt;&gt;"Aplicación anticipo",C1202&lt;&gt;"Retención ISR",C1202&lt;&gt;"Retención IVA"),AND(C1202="Servicio",F1202&lt;&gt;"TMS",F1202&lt;&gt;"Valoración",F1202&lt;&gt;"EEG",F1202&lt;&gt;"Neurofeedback",F1202&lt;&gt;"Fotobiomodulación",F1202&lt;&gt;"Psicoterapia",F1202&lt;&gt;"Otros")),"Tipo o categoría inválido",IF(COUNTA(A1202:J1202)=0,"",IF(OR(A1202="",B1202="",C1202="",G1202=""),"Faltan datos",IF(COUNTIF($A$7:$A$2006,A1202)&gt;1,"ID duplicado",IF(OR(B1202&lt;DATE(Configuración!$C$5,1,1),B1202&gt;=DATE(Configuración!$C$5+1,1,1)),"Fecha fuera del año",IF(OR(G1202&lt;0,H1202&lt;0),"Revisar signo",IF(AND(C1202&lt;&gt;"Servicio",H1202&lt;&gt;0),"IVA solo en Servicio",IF(AND(C1202="Servicio",F1202=""),"Falta servicio","OK")))))))))</f>
        <v/>
      </c>
    </row>
    <row r="1203" spans="1:12" ht="22" customHeight="1">
      <c r="A1203" s="3"/>
      <c r="B1203" s="7"/>
      <c r="C1203" s="3"/>
      <c r="D1203" s="3"/>
      <c r="E1203" s="3"/>
      <c r="F1203" s="3"/>
      <c r="G1203" s="4"/>
      <c r="H1203" s="4"/>
      <c r="I1203" s="3"/>
      <c r="J1203" s="3"/>
      <c r="K1203" s="8" t="str">
        <f t="shared" si="18"/>
        <v/>
      </c>
      <c r="L1203" s="1" t="str">
        <f>IF(COUNTA(A1203:J1203)=0,"",IF(OR(AND(C1203&lt;&gt;"Servicio",C1203&lt;&gt;"Cobro",C1203&lt;&gt;"Anticipo",C1203&lt;&gt;"Aplicación anticipo",C1203&lt;&gt;"Retención ISR",C1203&lt;&gt;"Retención IVA"),AND(C1203="Servicio",F1203&lt;&gt;"TMS",F1203&lt;&gt;"Valoración",F1203&lt;&gt;"EEG",F1203&lt;&gt;"Neurofeedback",F1203&lt;&gt;"Fotobiomodulación",F1203&lt;&gt;"Psicoterapia",F1203&lt;&gt;"Otros")),"Tipo o categoría inválido",IF(COUNTA(A1203:J1203)=0,"",IF(OR(A1203="",B1203="",C1203="",G1203=""),"Faltan datos",IF(COUNTIF($A$7:$A$2006,A1203)&gt;1,"ID duplicado",IF(OR(B1203&lt;DATE(Configuración!$C$5,1,1),B1203&gt;=DATE(Configuración!$C$5+1,1,1)),"Fecha fuera del año",IF(OR(G1203&lt;0,H1203&lt;0),"Revisar signo",IF(AND(C1203&lt;&gt;"Servicio",H1203&lt;&gt;0),"IVA solo en Servicio",IF(AND(C1203="Servicio",F1203=""),"Falta servicio","OK")))))))))</f>
        <v/>
      </c>
    </row>
    <row r="1204" spans="1:12" ht="22" customHeight="1">
      <c r="A1204" s="3"/>
      <c r="B1204" s="7"/>
      <c r="C1204" s="3"/>
      <c r="D1204" s="3"/>
      <c r="E1204" s="3"/>
      <c r="F1204" s="3"/>
      <c r="G1204" s="4"/>
      <c r="H1204" s="4"/>
      <c r="I1204" s="3"/>
      <c r="J1204" s="3"/>
      <c r="K1204" s="8" t="str">
        <f t="shared" si="18"/>
        <v/>
      </c>
      <c r="L1204" s="1" t="str">
        <f>IF(COUNTA(A1204:J1204)=0,"",IF(OR(AND(C1204&lt;&gt;"Servicio",C1204&lt;&gt;"Cobro",C1204&lt;&gt;"Anticipo",C1204&lt;&gt;"Aplicación anticipo",C1204&lt;&gt;"Retención ISR",C1204&lt;&gt;"Retención IVA"),AND(C1204="Servicio",F1204&lt;&gt;"TMS",F1204&lt;&gt;"Valoración",F1204&lt;&gt;"EEG",F1204&lt;&gt;"Neurofeedback",F1204&lt;&gt;"Fotobiomodulación",F1204&lt;&gt;"Psicoterapia",F1204&lt;&gt;"Otros")),"Tipo o categoría inválido",IF(COUNTA(A1204:J1204)=0,"",IF(OR(A1204="",B1204="",C1204="",G1204=""),"Faltan datos",IF(COUNTIF($A$7:$A$2006,A1204)&gt;1,"ID duplicado",IF(OR(B1204&lt;DATE(Configuración!$C$5,1,1),B1204&gt;=DATE(Configuración!$C$5+1,1,1)),"Fecha fuera del año",IF(OR(G1204&lt;0,H1204&lt;0),"Revisar signo",IF(AND(C1204&lt;&gt;"Servicio",H1204&lt;&gt;0),"IVA solo en Servicio",IF(AND(C1204="Servicio",F1204=""),"Falta servicio","OK")))))))))</f>
        <v/>
      </c>
    </row>
    <row r="1205" spans="1:12" ht="22" customHeight="1">
      <c r="A1205" s="3"/>
      <c r="B1205" s="7"/>
      <c r="C1205" s="3"/>
      <c r="D1205" s="3"/>
      <c r="E1205" s="3"/>
      <c r="F1205" s="3"/>
      <c r="G1205" s="4"/>
      <c r="H1205" s="4"/>
      <c r="I1205" s="3"/>
      <c r="J1205" s="3"/>
      <c r="K1205" s="8" t="str">
        <f t="shared" si="18"/>
        <v/>
      </c>
      <c r="L1205" s="1" t="str">
        <f>IF(COUNTA(A1205:J1205)=0,"",IF(OR(AND(C1205&lt;&gt;"Servicio",C1205&lt;&gt;"Cobro",C1205&lt;&gt;"Anticipo",C1205&lt;&gt;"Aplicación anticipo",C1205&lt;&gt;"Retención ISR",C1205&lt;&gt;"Retención IVA"),AND(C1205="Servicio",F1205&lt;&gt;"TMS",F1205&lt;&gt;"Valoración",F1205&lt;&gt;"EEG",F1205&lt;&gt;"Neurofeedback",F1205&lt;&gt;"Fotobiomodulación",F1205&lt;&gt;"Psicoterapia",F1205&lt;&gt;"Otros")),"Tipo o categoría inválido",IF(COUNTA(A1205:J1205)=0,"",IF(OR(A1205="",B1205="",C1205="",G1205=""),"Faltan datos",IF(COUNTIF($A$7:$A$2006,A1205)&gt;1,"ID duplicado",IF(OR(B1205&lt;DATE(Configuración!$C$5,1,1),B1205&gt;=DATE(Configuración!$C$5+1,1,1)),"Fecha fuera del año",IF(OR(G1205&lt;0,H1205&lt;0),"Revisar signo",IF(AND(C1205&lt;&gt;"Servicio",H1205&lt;&gt;0),"IVA solo en Servicio",IF(AND(C1205="Servicio",F1205=""),"Falta servicio","OK")))))))))</f>
        <v/>
      </c>
    </row>
    <row r="1206" spans="1:12" ht="22" customHeight="1">
      <c r="A1206" s="3"/>
      <c r="B1206" s="7"/>
      <c r="C1206" s="3"/>
      <c r="D1206" s="3"/>
      <c r="E1206" s="3"/>
      <c r="F1206" s="3"/>
      <c r="G1206" s="4"/>
      <c r="H1206" s="4"/>
      <c r="I1206" s="3"/>
      <c r="J1206" s="3"/>
      <c r="K1206" s="8" t="str">
        <f t="shared" si="18"/>
        <v/>
      </c>
      <c r="L1206" s="1" t="str">
        <f>IF(COUNTA(A1206:J1206)=0,"",IF(OR(AND(C1206&lt;&gt;"Servicio",C1206&lt;&gt;"Cobro",C1206&lt;&gt;"Anticipo",C1206&lt;&gt;"Aplicación anticipo",C1206&lt;&gt;"Retención ISR",C1206&lt;&gt;"Retención IVA"),AND(C1206="Servicio",F1206&lt;&gt;"TMS",F1206&lt;&gt;"Valoración",F1206&lt;&gt;"EEG",F1206&lt;&gt;"Neurofeedback",F1206&lt;&gt;"Fotobiomodulación",F1206&lt;&gt;"Psicoterapia",F1206&lt;&gt;"Otros")),"Tipo o categoría inválido",IF(COUNTA(A1206:J1206)=0,"",IF(OR(A1206="",B1206="",C1206="",G1206=""),"Faltan datos",IF(COUNTIF($A$7:$A$2006,A1206)&gt;1,"ID duplicado",IF(OR(B1206&lt;DATE(Configuración!$C$5,1,1),B1206&gt;=DATE(Configuración!$C$5+1,1,1)),"Fecha fuera del año",IF(OR(G1206&lt;0,H1206&lt;0),"Revisar signo",IF(AND(C1206&lt;&gt;"Servicio",H1206&lt;&gt;0),"IVA solo en Servicio",IF(AND(C1206="Servicio",F1206=""),"Falta servicio","OK")))))))))</f>
        <v/>
      </c>
    </row>
    <row r="1207" spans="1:12" ht="22" customHeight="1">
      <c r="A1207" s="3"/>
      <c r="B1207" s="7"/>
      <c r="C1207" s="3"/>
      <c r="D1207" s="3"/>
      <c r="E1207" s="3"/>
      <c r="F1207" s="3"/>
      <c r="G1207" s="4"/>
      <c r="H1207" s="4"/>
      <c r="I1207" s="3"/>
      <c r="J1207" s="3"/>
      <c r="K1207" s="8" t="str">
        <f t="shared" si="18"/>
        <v/>
      </c>
      <c r="L1207" s="1" t="str">
        <f>IF(COUNTA(A1207:J1207)=0,"",IF(OR(AND(C1207&lt;&gt;"Servicio",C1207&lt;&gt;"Cobro",C1207&lt;&gt;"Anticipo",C1207&lt;&gt;"Aplicación anticipo",C1207&lt;&gt;"Retención ISR",C1207&lt;&gt;"Retención IVA"),AND(C1207="Servicio",F1207&lt;&gt;"TMS",F1207&lt;&gt;"Valoración",F1207&lt;&gt;"EEG",F1207&lt;&gt;"Neurofeedback",F1207&lt;&gt;"Fotobiomodulación",F1207&lt;&gt;"Psicoterapia",F1207&lt;&gt;"Otros")),"Tipo o categoría inválido",IF(COUNTA(A1207:J1207)=0,"",IF(OR(A1207="",B1207="",C1207="",G1207=""),"Faltan datos",IF(COUNTIF($A$7:$A$2006,A1207)&gt;1,"ID duplicado",IF(OR(B1207&lt;DATE(Configuración!$C$5,1,1),B1207&gt;=DATE(Configuración!$C$5+1,1,1)),"Fecha fuera del año",IF(OR(G1207&lt;0,H1207&lt;0),"Revisar signo",IF(AND(C1207&lt;&gt;"Servicio",H1207&lt;&gt;0),"IVA solo en Servicio",IF(AND(C1207="Servicio",F1207=""),"Falta servicio","OK")))))))))</f>
        <v/>
      </c>
    </row>
    <row r="1208" spans="1:12" ht="22" customHeight="1">
      <c r="A1208" s="3"/>
      <c r="B1208" s="7"/>
      <c r="C1208" s="3"/>
      <c r="D1208" s="3"/>
      <c r="E1208" s="3"/>
      <c r="F1208" s="3"/>
      <c r="G1208" s="4"/>
      <c r="H1208" s="4"/>
      <c r="I1208" s="3"/>
      <c r="J1208" s="3"/>
      <c r="K1208" s="8" t="str">
        <f t="shared" si="18"/>
        <v/>
      </c>
      <c r="L1208" s="1" t="str">
        <f>IF(COUNTA(A1208:J1208)=0,"",IF(OR(AND(C1208&lt;&gt;"Servicio",C1208&lt;&gt;"Cobro",C1208&lt;&gt;"Anticipo",C1208&lt;&gt;"Aplicación anticipo",C1208&lt;&gt;"Retención ISR",C1208&lt;&gt;"Retención IVA"),AND(C1208="Servicio",F1208&lt;&gt;"TMS",F1208&lt;&gt;"Valoración",F1208&lt;&gt;"EEG",F1208&lt;&gt;"Neurofeedback",F1208&lt;&gt;"Fotobiomodulación",F1208&lt;&gt;"Psicoterapia",F1208&lt;&gt;"Otros")),"Tipo o categoría inválido",IF(COUNTA(A1208:J1208)=0,"",IF(OR(A1208="",B1208="",C1208="",G1208=""),"Faltan datos",IF(COUNTIF($A$7:$A$2006,A1208)&gt;1,"ID duplicado",IF(OR(B1208&lt;DATE(Configuración!$C$5,1,1),B1208&gt;=DATE(Configuración!$C$5+1,1,1)),"Fecha fuera del año",IF(OR(G1208&lt;0,H1208&lt;0),"Revisar signo",IF(AND(C1208&lt;&gt;"Servicio",H1208&lt;&gt;0),"IVA solo en Servicio",IF(AND(C1208="Servicio",F1208=""),"Falta servicio","OK")))))))))</f>
        <v/>
      </c>
    </row>
    <row r="1209" spans="1:12" ht="22" customHeight="1">
      <c r="A1209" s="3"/>
      <c r="B1209" s="7"/>
      <c r="C1209" s="3"/>
      <c r="D1209" s="3"/>
      <c r="E1209" s="3"/>
      <c r="F1209" s="3"/>
      <c r="G1209" s="4"/>
      <c r="H1209" s="4"/>
      <c r="I1209" s="3"/>
      <c r="J1209" s="3"/>
      <c r="K1209" s="8" t="str">
        <f t="shared" si="18"/>
        <v/>
      </c>
      <c r="L1209" s="1" t="str">
        <f>IF(COUNTA(A1209:J1209)=0,"",IF(OR(AND(C1209&lt;&gt;"Servicio",C1209&lt;&gt;"Cobro",C1209&lt;&gt;"Anticipo",C1209&lt;&gt;"Aplicación anticipo",C1209&lt;&gt;"Retención ISR",C1209&lt;&gt;"Retención IVA"),AND(C1209="Servicio",F1209&lt;&gt;"TMS",F1209&lt;&gt;"Valoración",F1209&lt;&gt;"EEG",F1209&lt;&gt;"Neurofeedback",F1209&lt;&gt;"Fotobiomodulación",F1209&lt;&gt;"Psicoterapia",F1209&lt;&gt;"Otros")),"Tipo o categoría inválido",IF(COUNTA(A1209:J1209)=0,"",IF(OR(A1209="",B1209="",C1209="",G1209=""),"Faltan datos",IF(COUNTIF($A$7:$A$2006,A1209)&gt;1,"ID duplicado",IF(OR(B1209&lt;DATE(Configuración!$C$5,1,1),B1209&gt;=DATE(Configuración!$C$5+1,1,1)),"Fecha fuera del año",IF(OR(G1209&lt;0,H1209&lt;0),"Revisar signo",IF(AND(C1209&lt;&gt;"Servicio",H1209&lt;&gt;0),"IVA solo en Servicio",IF(AND(C1209="Servicio",F1209=""),"Falta servicio","OK")))))))))</f>
        <v/>
      </c>
    </row>
    <row r="1210" spans="1:12" ht="22" customHeight="1">
      <c r="A1210" s="3"/>
      <c r="B1210" s="7"/>
      <c r="C1210" s="3"/>
      <c r="D1210" s="3"/>
      <c r="E1210" s="3"/>
      <c r="F1210" s="3"/>
      <c r="G1210" s="4"/>
      <c r="H1210" s="4"/>
      <c r="I1210" s="3"/>
      <c r="J1210" s="3"/>
      <c r="K1210" s="8" t="str">
        <f t="shared" si="18"/>
        <v/>
      </c>
      <c r="L1210" s="1" t="str">
        <f>IF(COUNTA(A1210:J1210)=0,"",IF(OR(AND(C1210&lt;&gt;"Servicio",C1210&lt;&gt;"Cobro",C1210&lt;&gt;"Anticipo",C1210&lt;&gt;"Aplicación anticipo",C1210&lt;&gt;"Retención ISR",C1210&lt;&gt;"Retención IVA"),AND(C1210="Servicio",F1210&lt;&gt;"TMS",F1210&lt;&gt;"Valoración",F1210&lt;&gt;"EEG",F1210&lt;&gt;"Neurofeedback",F1210&lt;&gt;"Fotobiomodulación",F1210&lt;&gt;"Psicoterapia",F1210&lt;&gt;"Otros")),"Tipo o categoría inválido",IF(COUNTA(A1210:J1210)=0,"",IF(OR(A1210="",B1210="",C1210="",G1210=""),"Faltan datos",IF(COUNTIF($A$7:$A$2006,A1210)&gt;1,"ID duplicado",IF(OR(B1210&lt;DATE(Configuración!$C$5,1,1),B1210&gt;=DATE(Configuración!$C$5+1,1,1)),"Fecha fuera del año",IF(OR(G1210&lt;0,H1210&lt;0),"Revisar signo",IF(AND(C1210&lt;&gt;"Servicio",H1210&lt;&gt;0),"IVA solo en Servicio",IF(AND(C1210="Servicio",F1210=""),"Falta servicio","OK")))))))))</f>
        <v/>
      </c>
    </row>
    <row r="1211" spans="1:12" ht="22" customHeight="1">
      <c r="A1211" s="3"/>
      <c r="B1211" s="7"/>
      <c r="C1211" s="3"/>
      <c r="D1211" s="3"/>
      <c r="E1211" s="3"/>
      <c r="F1211" s="3"/>
      <c r="G1211" s="4"/>
      <c r="H1211" s="4"/>
      <c r="I1211" s="3"/>
      <c r="J1211" s="3"/>
      <c r="K1211" s="8" t="str">
        <f t="shared" si="18"/>
        <v/>
      </c>
      <c r="L1211" s="1" t="str">
        <f>IF(COUNTA(A1211:J1211)=0,"",IF(OR(AND(C1211&lt;&gt;"Servicio",C1211&lt;&gt;"Cobro",C1211&lt;&gt;"Anticipo",C1211&lt;&gt;"Aplicación anticipo",C1211&lt;&gt;"Retención ISR",C1211&lt;&gt;"Retención IVA"),AND(C1211="Servicio",F1211&lt;&gt;"TMS",F1211&lt;&gt;"Valoración",F1211&lt;&gt;"EEG",F1211&lt;&gt;"Neurofeedback",F1211&lt;&gt;"Fotobiomodulación",F1211&lt;&gt;"Psicoterapia",F1211&lt;&gt;"Otros")),"Tipo o categoría inválido",IF(COUNTA(A1211:J1211)=0,"",IF(OR(A1211="",B1211="",C1211="",G1211=""),"Faltan datos",IF(COUNTIF($A$7:$A$2006,A1211)&gt;1,"ID duplicado",IF(OR(B1211&lt;DATE(Configuración!$C$5,1,1),B1211&gt;=DATE(Configuración!$C$5+1,1,1)),"Fecha fuera del año",IF(OR(G1211&lt;0,H1211&lt;0),"Revisar signo",IF(AND(C1211&lt;&gt;"Servicio",H1211&lt;&gt;0),"IVA solo en Servicio",IF(AND(C1211="Servicio",F1211=""),"Falta servicio","OK")))))))))</f>
        <v/>
      </c>
    </row>
    <row r="1212" spans="1:12" ht="22" customHeight="1">
      <c r="A1212" s="3"/>
      <c r="B1212" s="7"/>
      <c r="C1212" s="3"/>
      <c r="D1212" s="3"/>
      <c r="E1212" s="3"/>
      <c r="F1212" s="3"/>
      <c r="G1212" s="4"/>
      <c r="H1212" s="4"/>
      <c r="I1212" s="3"/>
      <c r="J1212" s="3"/>
      <c r="K1212" s="8" t="str">
        <f t="shared" si="18"/>
        <v/>
      </c>
      <c r="L1212" s="1" t="str">
        <f>IF(COUNTA(A1212:J1212)=0,"",IF(OR(AND(C1212&lt;&gt;"Servicio",C1212&lt;&gt;"Cobro",C1212&lt;&gt;"Anticipo",C1212&lt;&gt;"Aplicación anticipo",C1212&lt;&gt;"Retención ISR",C1212&lt;&gt;"Retención IVA"),AND(C1212="Servicio",F1212&lt;&gt;"TMS",F1212&lt;&gt;"Valoración",F1212&lt;&gt;"EEG",F1212&lt;&gt;"Neurofeedback",F1212&lt;&gt;"Fotobiomodulación",F1212&lt;&gt;"Psicoterapia",F1212&lt;&gt;"Otros")),"Tipo o categoría inválido",IF(COUNTA(A1212:J1212)=0,"",IF(OR(A1212="",B1212="",C1212="",G1212=""),"Faltan datos",IF(COUNTIF($A$7:$A$2006,A1212)&gt;1,"ID duplicado",IF(OR(B1212&lt;DATE(Configuración!$C$5,1,1),B1212&gt;=DATE(Configuración!$C$5+1,1,1)),"Fecha fuera del año",IF(OR(G1212&lt;0,H1212&lt;0),"Revisar signo",IF(AND(C1212&lt;&gt;"Servicio",H1212&lt;&gt;0),"IVA solo en Servicio",IF(AND(C1212="Servicio",F1212=""),"Falta servicio","OK")))))))))</f>
        <v/>
      </c>
    </row>
    <row r="1213" spans="1:12" ht="22" customHeight="1">
      <c r="A1213" s="3"/>
      <c r="B1213" s="7"/>
      <c r="C1213" s="3"/>
      <c r="D1213" s="3"/>
      <c r="E1213" s="3"/>
      <c r="F1213" s="3"/>
      <c r="G1213" s="4"/>
      <c r="H1213" s="4"/>
      <c r="I1213" s="3"/>
      <c r="J1213" s="3"/>
      <c r="K1213" s="8" t="str">
        <f t="shared" si="18"/>
        <v/>
      </c>
      <c r="L1213" s="1" t="str">
        <f>IF(COUNTA(A1213:J1213)=0,"",IF(OR(AND(C1213&lt;&gt;"Servicio",C1213&lt;&gt;"Cobro",C1213&lt;&gt;"Anticipo",C1213&lt;&gt;"Aplicación anticipo",C1213&lt;&gt;"Retención ISR",C1213&lt;&gt;"Retención IVA"),AND(C1213="Servicio",F1213&lt;&gt;"TMS",F1213&lt;&gt;"Valoración",F1213&lt;&gt;"EEG",F1213&lt;&gt;"Neurofeedback",F1213&lt;&gt;"Fotobiomodulación",F1213&lt;&gt;"Psicoterapia",F1213&lt;&gt;"Otros")),"Tipo o categoría inválido",IF(COUNTA(A1213:J1213)=0,"",IF(OR(A1213="",B1213="",C1213="",G1213=""),"Faltan datos",IF(COUNTIF($A$7:$A$2006,A1213)&gt;1,"ID duplicado",IF(OR(B1213&lt;DATE(Configuración!$C$5,1,1),B1213&gt;=DATE(Configuración!$C$5+1,1,1)),"Fecha fuera del año",IF(OR(G1213&lt;0,H1213&lt;0),"Revisar signo",IF(AND(C1213&lt;&gt;"Servicio",H1213&lt;&gt;0),"IVA solo en Servicio",IF(AND(C1213="Servicio",F1213=""),"Falta servicio","OK")))))))))</f>
        <v/>
      </c>
    </row>
    <row r="1214" spans="1:12" ht="22" customHeight="1">
      <c r="A1214" s="3"/>
      <c r="B1214" s="7"/>
      <c r="C1214" s="3"/>
      <c r="D1214" s="3"/>
      <c r="E1214" s="3"/>
      <c r="F1214" s="3"/>
      <c r="G1214" s="4"/>
      <c r="H1214" s="4"/>
      <c r="I1214" s="3"/>
      <c r="J1214" s="3"/>
      <c r="K1214" s="8" t="str">
        <f t="shared" si="18"/>
        <v/>
      </c>
      <c r="L1214" s="1" t="str">
        <f>IF(COUNTA(A1214:J1214)=0,"",IF(OR(AND(C1214&lt;&gt;"Servicio",C1214&lt;&gt;"Cobro",C1214&lt;&gt;"Anticipo",C1214&lt;&gt;"Aplicación anticipo",C1214&lt;&gt;"Retención ISR",C1214&lt;&gt;"Retención IVA"),AND(C1214="Servicio",F1214&lt;&gt;"TMS",F1214&lt;&gt;"Valoración",F1214&lt;&gt;"EEG",F1214&lt;&gt;"Neurofeedback",F1214&lt;&gt;"Fotobiomodulación",F1214&lt;&gt;"Psicoterapia",F1214&lt;&gt;"Otros")),"Tipo o categoría inválido",IF(COUNTA(A1214:J1214)=0,"",IF(OR(A1214="",B1214="",C1214="",G1214=""),"Faltan datos",IF(COUNTIF($A$7:$A$2006,A1214)&gt;1,"ID duplicado",IF(OR(B1214&lt;DATE(Configuración!$C$5,1,1),B1214&gt;=DATE(Configuración!$C$5+1,1,1)),"Fecha fuera del año",IF(OR(G1214&lt;0,H1214&lt;0),"Revisar signo",IF(AND(C1214&lt;&gt;"Servicio",H1214&lt;&gt;0),"IVA solo en Servicio",IF(AND(C1214="Servicio",F1214=""),"Falta servicio","OK")))))))))</f>
        <v/>
      </c>
    </row>
    <row r="1215" spans="1:12" ht="22" customHeight="1">
      <c r="A1215" s="3"/>
      <c r="B1215" s="7"/>
      <c r="C1215" s="3"/>
      <c r="D1215" s="3"/>
      <c r="E1215" s="3"/>
      <c r="F1215" s="3"/>
      <c r="G1215" s="4"/>
      <c r="H1215" s="4"/>
      <c r="I1215" s="3"/>
      <c r="J1215" s="3"/>
      <c r="K1215" s="8" t="str">
        <f t="shared" si="18"/>
        <v/>
      </c>
      <c r="L1215" s="1" t="str">
        <f>IF(COUNTA(A1215:J1215)=0,"",IF(OR(AND(C1215&lt;&gt;"Servicio",C1215&lt;&gt;"Cobro",C1215&lt;&gt;"Anticipo",C1215&lt;&gt;"Aplicación anticipo",C1215&lt;&gt;"Retención ISR",C1215&lt;&gt;"Retención IVA"),AND(C1215="Servicio",F1215&lt;&gt;"TMS",F1215&lt;&gt;"Valoración",F1215&lt;&gt;"EEG",F1215&lt;&gt;"Neurofeedback",F1215&lt;&gt;"Fotobiomodulación",F1215&lt;&gt;"Psicoterapia",F1215&lt;&gt;"Otros")),"Tipo o categoría inválido",IF(COUNTA(A1215:J1215)=0,"",IF(OR(A1215="",B1215="",C1215="",G1215=""),"Faltan datos",IF(COUNTIF($A$7:$A$2006,A1215)&gt;1,"ID duplicado",IF(OR(B1215&lt;DATE(Configuración!$C$5,1,1),B1215&gt;=DATE(Configuración!$C$5+1,1,1)),"Fecha fuera del año",IF(OR(G1215&lt;0,H1215&lt;0),"Revisar signo",IF(AND(C1215&lt;&gt;"Servicio",H1215&lt;&gt;0),"IVA solo en Servicio",IF(AND(C1215="Servicio",F1215=""),"Falta servicio","OK")))))))))</f>
        <v/>
      </c>
    </row>
    <row r="1216" spans="1:12" ht="22" customHeight="1">
      <c r="A1216" s="3"/>
      <c r="B1216" s="7"/>
      <c r="C1216" s="3"/>
      <c r="D1216" s="3"/>
      <c r="E1216" s="3"/>
      <c r="F1216" s="3"/>
      <c r="G1216" s="4"/>
      <c r="H1216" s="4"/>
      <c r="I1216" s="3"/>
      <c r="J1216" s="3"/>
      <c r="K1216" s="8" t="str">
        <f t="shared" si="18"/>
        <v/>
      </c>
      <c r="L1216" s="1" t="str">
        <f>IF(COUNTA(A1216:J1216)=0,"",IF(OR(AND(C1216&lt;&gt;"Servicio",C1216&lt;&gt;"Cobro",C1216&lt;&gt;"Anticipo",C1216&lt;&gt;"Aplicación anticipo",C1216&lt;&gt;"Retención ISR",C1216&lt;&gt;"Retención IVA"),AND(C1216="Servicio",F1216&lt;&gt;"TMS",F1216&lt;&gt;"Valoración",F1216&lt;&gt;"EEG",F1216&lt;&gt;"Neurofeedback",F1216&lt;&gt;"Fotobiomodulación",F1216&lt;&gt;"Psicoterapia",F1216&lt;&gt;"Otros")),"Tipo o categoría inválido",IF(COUNTA(A1216:J1216)=0,"",IF(OR(A1216="",B1216="",C1216="",G1216=""),"Faltan datos",IF(COUNTIF($A$7:$A$2006,A1216)&gt;1,"ID duplicado",IF(OR(B1216&lt;DATE(Configuración!$C$5,1,1),B1216&gt;=DATE(Configuración!$C$5+1,1,1)),"Fecha fuera del año",IF(OR(G1216&lt;0,H1216&lt;0),"Revisar signo",IF(AND(C1216&lt;&gt;"Servicio",H1216&lt;&gt;0),"IVA solo en Servicio",IF(AND(C1216="Servicio",F1216=""),"Falta servicio","OK")))))))))</f>
        <v/>
      </c>
    </row>
    <row r="1217" spans="1:12" ht="22" customHeight="1">
      <c r="A1217" s="3"/>
      <c r="B1217" s="7"/>
      <c r="C1217" s="3"/>
      <c r="D1217" s="3"/>
      <c r="E1217" s="3"/>
      <c r="F1217" s="3"/>
      <c r="G1217" s="4"/>
      <c r="H1217" s="4"/>
      <c r="I1217" s="3"/>
      <c r="J1217" s="3"/>
      <c r="K1217" s="8" t="str">
        <f t="shared" si="18"/>
        <v/>
      </c>
      <c r="L1217" s="1" t="str">
        <f>IF(COUNTA(A1217:J1217)=0,"",IF(OR(AND(C1217&lt;&gt;"Servicio",C1217&lt;&gt;"Cobro",C1217&lt;&gt;"Anticipo",C1217&lt;&gt;"Aplicación anticipo",C1217&lt;&gt;"Retención ISR",C1217&lt;&gt;"Retención IVA"),AND(C1217="Servicio",F1217&lt;&gt;"TMS",F1217&lt;&gt;"Valoración",F1217&lt;&gt;"EEG",F1217&lt;&gt;"Neurofeedback",F1217&lt;&gt;"Fotobiomodulación",F1217&lt;&gt;"Psicoterapia",F1217&lt;&gt;"Otros")),"Tipo o categoría inválido",IF(COUNTA(A1217:J1217)=0,"",IF(OR(A1217="",B1217="",C1217="",G1217=""),"Faltan datos",IF(COUNTIF($A$7:$A$2006,A1217)&gt;1,"ID duplicado",IF(OR(B1217&lt;DATE(Configuración!$C$5,1,1),B1217&gt;=DATE(Configuración!$C$5+1,1,1)),"Fecha fuera del año",IF(OR(G1217&lt;0,H1217&lt;0),"Revisar signo",IF(AND(C1217&lt;&gt;"Servicio",H1217&lt;&gt;0),"IVA solo en Servicio",IF(AND(C1217="Servicio",F1217=""),"Falta servicio","OK")))))))))</f>
        <v/>
      </c>
    </row>
    <row r="1218" spans="1:12" ht="22" customHeight="1">
      <c r="A1218" s="3"/>
      <c r="B1218" s="7"/>
      <c r="C1218" s="3"/>
      <c r="D1218" s="3"/>
      <c r="E1218" s="3"/>
      <c r="F1218" s="3"/>
      <c r="G1218" s="4"/>
      <c r="H1218" s="4"/>
      <c r="I1218" s="3"/>
      <c r="J1218" s="3"/>
      <c r="K1218" s="8" t="str">
        <f t="shared" si="18"/>
        <v/>
      </c>
      <c r="L1218" s="1" t="str">
        <f>IF(COUNTA(A1218:J1218)=0,"",IF(OR(AND(C1218&lt;&gt;"Servicio",C1218&lt;&gt;"Cobro",C1218&lt;&gt;"Anticipo",C1218&lt;&gt;"Aplicación anticipo",C1218&lt;&gt;"Retención ISR",C1218&lt;&gt;"Retención IVA"),AND(C1218="Servicio",F1218&lt;&gt;"TMS",F1218&lt;&gt;"Valoración",F1218&lt;&gt;"EEG",F1218&lt;&gt;"Neurofeedback",F1218&lt;&gt;"Fotobiomodulación",F1218&lt;&gt;"Psicoterapia",F1218&lt;&gt;"Otros")),"Tipo o categoría inválido",IF(COUNTA(A1218:J1218)=0,"",IF(OR(A1218="",B1218="",C1218="",G1218=""),"Faltan datos",IF(COUNTIF($A$7:$A$2006,A1218)&gt;1,"ID duplicado",IF(OR(B1218&lt;DATE(Configuración!$C$5,1,1),B1218&gt;=DATE(Configuración!$C$5+1,1,1)),"Fecha fuera del año",IF(OR(G1218&lt;0,H1218&lt;0),"Revisar signo",IF(AND(C1218&lt;&gt;"Servicio",H1218&lt;&gt;0),"IVA solo en Servicio",IF(AND(C1218="Servicio",F1218=""),"Falta servicio","OK")))))))))</f>
        <v/>
      </c>
    </row>
    <row r="1219" spans="1:12" ht="22" customHeight="1">
      <c r="A1219" s="3"/>
      <c r="B1219" s="7"/>
      <c r="C1219" s="3"/>
      <c r="D1219" s="3"/>
      <c r="E1219" s="3"/>
      <c r="F1219" s="3"/>
      <c r="G1219" s="4"/>
      <c r="H1219" s="4"/>
      <c r="I1219" s="3"/>
      <c r="J1219" s="3"/>
      <c r="K1219" s="8" t="str">
        <f t="shared" si="18"/>
        <v/>
      </c>
      <c r="L1219" s="1" t="str">
        <f>IF(COUNTA(A1219:J1219)=0,"",IF(OR(AND(C1219&lt;&gt;"Servicio",C1219&lt;&gt;"Cobro",C1219&lt;&gt;"Anticipo",C1219&lt;&gt;"Aplicación anticipo",C1219&lt;&gt;"Retención ISR",C1219&lt;&gt;"Retención IVA"),AND(C1219="Servicio",F1219&lt;&gt;"TMS",F1219&lt;&gt;"Valoración",F1219&lt;&gt;"EEG",F1219&lt;&gt;"Neurofeedback",F1219&lt;&gt;"Fotobiomodulación",F1219&lt;&gt;"Psicoterapia",F1219&lt;&gt;"Otros")),"Tipo o categoría inválido",IF(COUNTA(A1219:J1219)=0,"",IF(OR(A1219="",B1219="",C1219="",G1219=""),"Faltan datos",IF(COUNTIF($A$7:$A$2006,A1219)&gt;1,"ID duplicado",IF(OR(B1219&lt;DATE(Configuración!$C$5,1,1),B1219&gt;=DATE(Configuración!$C$5+1,1,1)),"Fecha fuera del año",IF(OR(G1219&lt;0,H1219&lt;0),"Revisar signo",IF(AND(C1219&lt;&gt;"Servicio",H1219&lt;&gt;0),"IVA solo en Servicio",IF(AND(C1219="Servicio",F1219=""),"Falta servicio","OK")))))))))</f>
        <v/>
      </c>
    </row>
    <row r="1220" spans="1:12" ht="22" customHeight="1">
      <c r="A1220" s="3"/>
      <c r="B1220" s="7"/>
      <c r="C1220" s="3"/>
      <c r="D1220" s="3"/>
      <c r="E1220" s="3"/>
      <c r="F1220" s="3"/>
      <c r="G1220" s="4"/>
      <c r="H1220" s="4"/>
      <c r="I1220" s="3"/>
      <c r="J1220" s="3"/>
      <c r="K1220" s="8" t="str">
        <f t="shared" si="18"/>
        <v/>
      </c>
      <c r="L1220" s="1" t="str">
        <f>IF(COUNTA(A1220:J1220)=0,"",IF(OR(AND(C1220&lt;&gt;"Servicio",C1220&lt;&gt;"Cobro",C1220&lt;&gt;"Anticipo",C1220&lt;&gt;"Aplicación anticipo",C1220&lt;&gt;"Retención ISR",C1220&lt;&gt;"Retención IVA"),AND(C1220="Servicio",F1220&lt;&gt;"TMS",F1220&lt;&gt;"Valoración",F1220&lt;&gt;"EEG",F1220&lt;&gt;"Neurofeedback",F1220&lt;&gt;"Fotobiomodulación",F1220&lt;&gt;"Psicoterapia",F1220&lt;&gt;"Otros")),"Tipo o categoría inválido",IF(COUNTA(A1220:J1220)=0,"",IF(OR(A1220="",B1220="",C1220="",G1220=""),"Faltan datos",IF(COUNTIF($A$7:$A$2006,A1220)&gt;1,"ID duplicado",IF(OR(B1220&lt;DATE(Configuración!$C$5,1,1),B1220&gt;=DATE(Configuración!$C$5+1,1,1)),"Fecha fuera del año",IF(OR(G1220&lt;0,H1220&lt;0),"Revisar signo",IF(AND(C1220&lt;&gt;"Servicio",H1220&lt;&gt;0),"IVA solo en Servicio",IF(AND(C1220="Servicio",F1220=""),"Falta servicio","OK")))))))))</f>
        <v/>
      </c>
    </row>
    <row r="1221" spans="1:12" ht="22" customHeight="1">
      <c r="A1221" s="3"/>
      <c r="B1221" s="7"/>
      <c r="C1221" s="3"/>
      <c r="D1221" s="3"/>
      <c r="E1221" s="3"/>
      <c r="F1221" s="3"/>
      <c r="G1221" s="4"/>
      <c r="H1221" s="4"/>
      <c r="I1221" s="3"/>
      <c r="J1221" s="3"/>
      <c r="K1221" s="8" t="str">
        <f t="shared" si="18"/>
        <v/>
      </c>
      <c r="L1221" s="1" t="str">
        <f>IF(COUNTA(A1221:J1221)=0,"",IF(OR(AND(C1221&lt;&gt;"Servicio",C1221&lt;&gt;"Cobro",C1221&lt;&gt;"Anticipo",C1221&lt;&gt;"Aplicación anticipo",C1221&lt;&gt;"Retención ISR",C1221&lt;&gt;"Retención IVA"),AND(C1221="Servicio",F1221&lt;&gt;"TMS",F1221&lt;&gt;"Valoración",F1221&lt;&gt;"EEG",F1221&lt;&gt;"Neurofeedback",F1221&lt;&gt;"Fotobiomodulación",F1221&lt;&gt;"Psicoterapia",F1221&lt;&gt;"Otros")),"Tipo o categoría inválido",IF(COUNTA(A1221:J1221)=0,"",IF(OR(A1221="",B1221="",C1221="",G1221=""),"Faltan datos",IF(COUNTIF($A$7:$A$2006,A1221)&gt;1,"ID duplicado",IF(OR(B1221&lt;DATE(Configuración!$C$5,1,1),B1221&gt;=DATE(Configuración!$C$5+1,1,1)),"Fecha fuera del año",IF(OR(G1221&lt;0,H1221&lt;0),"Revisar signo",IF(AND(C1221&lt;&gt;"Servicio",H1221&lt;&gt;0),"IVA solo en Servicio",IF(AND(C1221="Servicio",F1221=""),"Falta servicio","OK")))))))))</f>
        <v/>
      </c>
    </row>
    <row r="1222" spans="1:12" ht="22" customHeight="1">
      <c r="A1222" s="3"/>
      <c r="B1222" s="7"/>
      <c r="C1222" s="3"/>
      <c r="D1222" s="3"/>
      <c r="E1222" s="3"/>
      <c r="F1222" s="3"/>
      <c r="G1222" s="4"/>
      <c r="H1222" s="4"/>
      <c r="I1222" s="3"/>
      <c r="J1222" s="3"/>
      <c r="K1222" s="8" t="str">
        <f t="shared" si="18"/>
        <v/>
      </c>
      <c r="L1222" s="1" t="str">
        <f>IF(COUNTA(A1222:J1222)=0,"",IF(OR(AND(C1222&lt;&gt;"Servicio",C1222&lt;&gt;"Cobro",C1222&lt;&gt;"Anticipo",C1222&lt;&gt;"Aplicación anticipo",C1222&lt;&gt;"Retención ISR",C1222&lt;&gt;"Retención IVA"),AND(C1222="Servicio",F1222&lt;&gt;"TMS",F1222&lt;&gt;"Valoración",F1222&lt;&gt;"EEG",F1222&lt;&gt;"Neurofeedback",F1222&lt;&gt;"Fotobiomodulación",F1222&lt;&gt;"Psicoterapia",F1222&lt;&gt;"Otros")),"Tipo o categoría inválido",IF(COUNTA(A1222:J1222)=0,"",IF(OR(A1222="",B1222="",C1222="",G1222=""),"Faltan datos",IF(COUNTIF($A$7:$A$2006,A1222)&gt;1,"ID duplicado",IF(OR(B1222&lt;DATE(Configuración!$C$5,1,1),B1222&gt;=DATE(Configuración!$C$5+1,1,1)),"Fecha fuera del año",IF(OR(G1222&lt;0,H1222&lt;0),"Revisar signo",IF(AND(C1222&lt;&gt;"Servicio",H1222&lt;&gt;0),"IVA solo en Servicio",IF(AND(C1222="Servicio",F1222=""),"Falta servicio","OK")))))))))</f>
        <v/>
      </c>
    </row>
    <row r="1223" spans="1:12" ht="22" customHeight="1">
      <c r="A1223" s="3"/>
      <c r="B1223" s="7"/>
      <c r="C1223" s="3"/>
      <c r="D1223" s="3"/>
      <c r="E1223" s="3"/>
      <c r="F1223" s="3"/>
      <c r="G1223" s="4"/>
      <c r="H1223" s="4"/>
      <c r="I1223" s="3"/>
      <c r="J1223" s="3"/>
      <c r="K1223" s="8" t="str">
        <f t="shared" ref="K1223:K1286" si="19">IF(A1223="","",G1223+H1223)</f>
        <v/>
      </c>
      <c r="L1223" s="1" t="str">
        <f>IF(COUNTA(A1223:J1223)=0,"",IF(OR(AND(C1223&lt;&gt;"Servicio",C1223&lt;&gt;"Cobro",C1223&lt;&gt;"Anticipo",C1223&lt;&gt;"Aplicación anticipo",C1223&lt;&gt;"Retención ISR",C1223&lt;&gt;"Retención IVA"),AND(C1223="Servicio",F1223&lt;&gt;"TMS",F1223&lt;&gt;"Valoración",F1223&lt;&gt;"EEG",F1223&lt;&gt;"Neurofeedback",F1223&lt;&gt;"Fotobiomodulación",F1223&lt;&gt;"Psicoterapia",F1223&lt;&gt;"Otros")),"Tipo o categoría inválido",IF(COUNTA(A1223:J1223)=0,"",IF(OR(A1223="",B1223="",C1223="",G1223=""),"Faltan datos",IF(COUNTIF($A$7:$A$2006,A1223)&gt;1,"ID duplicado",IF(OR(B1223&lt;DATE(Configuración!$C$5,1,1),B1223&gt;=DATE(Configuración!$C$5+1,1,1)),"Fecha fuera del año",IF(OR(G1223&lt;0,H1223&lt;0),"Revisar signo",IF(AND(C1223&lt;&gt;"Servicio",H1223&lt;&gt;0),"IVA solo en Servicio",IF(AND(C1223="Servicio",F1223=""),"Falta servicio","OK")))))))))</f>
        <v/>
      </c>
    </row>
    <row r="1224" spans="1:12" ht="22" customHeight="1">
      <c r="A1224" s="3"/>
      <c r="B1224" s="7"/>
      <c r="C1224" s="3"/>
      <c r="D1224" s="3"/>
      <c r="E1224" s="3"/>
      <c r="F1224" s="3"/>
      <c r="G1224" s="4"/>
      <c r="H1224" s="4"/>
      <c r="I1224" s="3"/>
      <c r="J1224" s="3"/>
      <c r="K1224" s="8" t="str">
        <f t="shared" si="19"/>
        <v/>
      </c>
      <c r="L1224" s="1" t="str">
        <f>IF(COUNTA(A1224:J1224)=0,"",IF(OR(AND(C1224&lt;&gt;"Servicio",C1224&lt;&gt;"Cobro",C1224&lt;&gt;"Anticipo",C1224&lt;&gt;"Aplicación anticipo",C1224&lt;&gt;"Retención ISR",C1224&lt;&gt;"Retención IVA"),AND(C1224="Servicio",F1224&lt;&gt;"TMS",F1224&lt;&gt;"Valoración",F1224&lt;&gt;"EEG",F1224&lt;&gt;"Neurofeedback",F1224&lt;&gt;"Fotobiomodulación",F1224&lt;&gt;"Psicoterapia",F1224&lt;&gt;"Otros")),"Tipo o categoría inválido",IF(COUNTA(A1224:J1224)=0,"",IF(OR(A1224="",B1224="",C1224="",G1224=""),"Faltan datos",IF(COUNTIF($A$7:$A$2006,A1224)&gt;1,"ID duplicado",IF(OR(B1224&lt;DATE(Configuración!$C$5,1,1),B1224&gt;=DATE(Configuración!$C$5+1,1,1)),"Fecha fuera del año",IF(OR(G1224&lt;0,H1224&lt;0),"Revisar signo",IF(AND(C1224&lt;&gt;"Servicio",H1224&lt;&gt;0),"IVA solo en Servicio",IF(AND(C1224="Servicio",F1224=""),"Falta servicio","OK")))))))))</f>
        <v/>
      </c>
    </row>
    <row r="1225" spans="1:12" ht="22" customHeight="1">
      <c r="A1225" s="3"/>
      <c r="B1225" s="7"/>
      <c r="C1225" s="3"/>
      <c r="D1225" s="3"/>
      <c r="E1225" s="3"/>
      <c r="F1225" s="3"/>
      <c r="G1225" s="4"/>
      <c r="H1225" s="4"/>
      <c r="I1225" s="3"/>
      <c r="J1225" s="3"/>
      <c r="K1225" s="8" t="str">
        <f t="shared" si="19"/>
        <v/>
      </c>
      <c r="L1225" s="1" t="str">
        <f>IF(COUNTA(A1225:J1225)=0,"",IF(OR(AND(C1225&lt;&gt;"Servicio",C1225&lt;&gt;"Cobro",C1225&lt;&gt;"Anticipo",C1225&lt;&gt;"Aplicación anticipo",C1225&lt;&gt;"Retención ISR",C1225&lt;&gt;"Retención IVA"),AND(C1225="Servicio",F1225&lt;&gt;"TMS",F1225&lt;&gt;"Valoración",F1225&lt;&gt;"EEG",F1225&lt;&gt;"Neurofeedback",F1225&lt;&gt;"Fotobiomodulación",F1225&lt;&gt;"Psicoterapia",F1225&lt;&gt;"Otros")),"Tipo o categoría inválido",IF(COUNTA(A1225:J1225)=0,"",IF(OR(A1225="",B1225="",C1225="",G1225=""),"Faltan datos",IF(COUNTIF($A$7:$A$2006,A1225)&gt;1,"ID duplicado",IF(OR(B1225&lt;DATE(Configuración!$C$5,1,1),B1225&gt;=DATE(Configuración!$C$5+1,1,1)),"Fecha fuera del año",IF(OR(G1225&lt;0,H1225&lt;0),"Revisar signo",IF(AND(C1225&lt;&gt;"Servicio",H1225&lt;&gt;0),"IVA solo en Servicio",IF(AND(C1225="Servicio",F1225=""),"Falta servicio","OK")))))))))</f>
        <v/>
      </c>
    </row>
    <row r="1226" spans="1:12" ht="22" customHeight="1">
      <c r="A1226" s="3"/>
      <c r="B1226" s="7"/>
      <c r="C1226" s="3"/>
      <c r="D1226" s="3"/>
      <c r="E1226" s="3"/>
      <c r="F1226" s="3"/>
      <c r="G1226" s="4"/>
      <c r="H1226" s="4"/>
      <c r="I1226" s="3"/>
      <c r="J1226" s="3"/>
      <c r="K1226" s="8" t="str">
        <f t="shared" si="19"/>
        <v/>
      </c>
      <c r="L1226" s="1" t="str">
        <f>IF(COUNTA(A1226:J1226)=0,"",IF(OR(AND(C1226&lt;&gt;"Servicio",C1226&lt;&gt;"Cobro",C1226&lt;&gt;"Anticipo",C1226&lt;&gt;"Aplicación anticipo",C1226&lt;&gt;"Retención ISR",C1226&lt;&gt;"Retención IVA"),AND(C1226="Servicio",F1226&lt;&gt;"TMS",F1226&lt;&gt;"Valoración",F1226&lt;&gt;"EEG",F1226&lt;&gt;"Neurofeedback",F1226&lt;&gt;"Fotobiomodulación",F1226&lt;&gt;"Psicoterapia",F1226&lt;&gt;"Otros")),"Tipo o categoría inválido",IF(COUNTA(A1226:J1226)=0,"",IF(OR(A1226="",B1226="",C1226="",G1226=""),"Faltan datos",IF(COUNTIF($A$7:$A$2006,A1226)&gt;1,"ID duplicado",IF(OR(B1226&lt;DATE(Configuración!$C$5,1,1),B1226&gt;=DATE(Configuración!$C$5+1,1,1)),"Fecha fuera del año",IF(OR(G1226&lt;0,H1226&lt;0),"Revisar signo",IF(AND(C1226&lt;&gt;"Servicio",H1226&lt;&gt;0),"IVA solo en Servicio",IF(AND(C1226="Servicio",F1226=""),"Falta servicio","OK")))))))))</f>
        <v/>
      </c>
    </row>
    <row r="1227" spans="1:12" ht="22" customHeight="1">
      <c r="A1227" s="3"/>
      <c r="B1227" s="7"/>
      <c r="C1227" s="3"/>
      <c r="D1227" s="3"/>
      <c r="E1227" s="3"/>
      <c r="F1227" s="3"/>
      <c r="G1227" s="4"/>
      <c r="H1227" s="4"/>
      <c r="I1227" s="3"/>
      <c r="J1227" s="3"/>
      <c r="K1227" s="8" t="str">
        <f t="shared" si="19"/>
        <v/>
      </c>
      <c r="L1227" s="1" t="str">
        <f>IF(COUNTA(A1227:J1227)=0,"",IF(OR(AND(C1227&lt;&gt;"Servicio",C1227&lt;&gt;"Cobro",C1227&lt;&gt;"Anticipo",C1227&lt;&gt;"Aplicación anticipo",C1227&lt;&gt;"Retención ISR",C1227&lt;&gt;"Retención IVA"),AND(C1227="Servicio",F1227&lt;&gt;"TMS",F1227&lt;&gt;"Valoración",F1227&lt;&gt;"EEG",F1227&lt;&gt;"Neurofeedback",F1227&lt;&gt;"Fotobiomodulación",F1227&lt;&gt;"Psicoterapia",F1227&lt;&gt;"Otros")),"Tipo o categoría inválido",IF(COUNTA(A1227:J1227)=0,"",IF(OR(A1227="",B1227="",C1227="",G1227=""),"Faltan datos",IF(COUNTIF($A$7:$A$2006,A1227)&gt;1,"ID duplicado",IF(OR(B1227&lt;DATE(Configuración!$C$5,1,1),B1227&gt;=DATE(Configuración!$C$5+1,1,1)),"Fecha fuera del año",IF(OR(G1227&lt;0,H1227&lt;0),"Revisar signo",IF(AND(C1227&lt;&gt;"Servicio",H1227&lt;&gt;0),"IVA solo en Servicio",IF(AND(C1227="Servicio",F1227=""),"Falta servicio","OK")))))))))</f>
        <v/>
      </c>
    </row>
    <row r="1228" spans="1:12" ht="22" customHeight="1">
      <c r="A1228" s="3"/>
      <c r="B1228" s="7"/>
      <c r="C1228" s="3"/>
      <c r="D1228" s="3"/>
      <c r="E1228" s="3"/>
      <c r="F1228" s="3"/>
      <c r="G1228" s="4"/>
      <c r="H1228" s="4"/>
      <c r="I1228" s="3"/>
      <c r="J1228" s="3"/>
      <c r="K1228" s="8" t="str">
        <f t="shared" si="19"/>
        <v/>
      </c>
      <c r="L1228" s="1" t="str">
        <f>IF(COUNTA(A1228:J1228)=0,"",IF(OR(AND(C1228&lt;&gt;"Servicio",C1228&lt;&gt;"Cobro",C1228&lt;&gt;"Anticipo",C1228&lt;&gt;"Aplicación anticipo",C1228&lt;&gt;"Retención ISR",C1228&lt;&gt;"Retención IVA"),AND(C1228="Servicio",F1228&lt;&gt;"TMS",F1228&lt;&gt;"Valoración",F1228&lt;&gt;"EEG",F1228&lt;&gt;"Neurofeedback",F1228&lt;&gt;"Fotobiomodulación",F1228&lt;&gt;"Psicoterapia",F1228&lt;&gt;"Otros")),"Tipo o categoría inválido",IF(COUNTA(A1228:J1228)=0,"",IF(OR(A1228="",B1228="",C1228="",G1228=""),"Faltan datos",IF(COUNTIF($A$7:$A$2006,A1228)&gt;1,"ID duplicado",IF(OR(B1228&lt;DATE(Configuración!$C$5,1,1),B1228&gt;=DATE(Configuración!$C$5+1,1,1)),"Fecha fuera del año",IF(OR(G1228&lt;0,H1228&lt;0),"Revisar signo",IF(AND(C1228&lt;&gt;"Servicio",H1228&lt;&gt;0),"IVA solo en Servicio",IF(AND(C1228="Servicio",F1228=""),"Falta servicio","OK")))))))))</f>
        <v/>
      </c>
    </row>
    <row r="1229" spans="1:12" ht="22" customHeight="1">
      <c r="A1229" s="3"/>
      <c r="B1229" s="7"/>
      <c r="C1229" s="3"/>
      <c r="D1229" s="3"/>
      <c r="E1229" s="3"/>
      <c r="F1229" s="3"/>
      <c r="G1229" s="4"/>
      <c r="H1229" s="4"/>
      <c r="I1229" s="3"/>
      <c r="J1229" s="3"/>
      <c r="K1229" s="8" t="str">
        <f t="shared" si="19"/>
        <v/>
      </c>
      <c r="L1229" s="1" t="str">
        <f>IF(COUNTA(A1229:J1229)=0,"",IF(OR(AND(C1229&lt;&gt;"Servicio",C1229&lt;&gt;"Cobro",C1229&lt;&gt;"Anticipo",C1229&lt;&gt;"Aplicación anticipo",C1229&lt;&gt;"Retención ISR",C1229&lt;&gt;"Retención IVA"),AND(C1229="Servicio",F1229&lt;&gt;"TMS",F1229&lt;&gt;"Valoración",F1229&lt;&gt;"EEG",F1229&lt;&gt;"Neurofeedback",F1229&lt;&gt;"Fotobiomodulación",F1229&lt;&gt;"Psicoterapia",F1229&lt;&gt;"Otros")),"Tipo o categoría inválido",IF(COUNTA(A1229:J1229)=0,"",IF(OR(A1229="",B1229="",C1229="",G1229=""),"Faltan datos",IF(COUNTIF($A$7:$A$2006,A1229)&gt;1,"ID duplicado",IF(OR(B1229&lt;DATE(Configuración!$C$5,1,1),B1229&gt;=DATE(Configuración!$C$5+1,1,1)),"Fecha fuera del año",IF(OR(G1229&lt;0,H1229&lt;0),"Revisar signo",IF(AND(C1229&lt;&gt;"Servicio",H1229&lt;&gt;0),"IVA solo en Servicio",IF(AND(C1229="Servicio",F1229=""),"Falta servicio","OK")))))))))</f>
        <v/>
      </c>
    </row>
    <row r="1230" spans="1:12" ht="22" customHeight="1">
      <c r="A1230" s="3"/>
      <c r="B1230" s="7"/>
      <c r="C1230" s="3"/>
      <c r="D1230" s="3"/>
      <c r="E1230" s="3"/>
      <c r="F1230" s="3"/>
      <c r="G1230" s="4"/>
      <c r="H1230" s="4"/>
      <c r="I1230" s="3"/>
      <c r="J1230" s="3"/>
      <c r="K1230" s="8" t="str">
        <f t="shared" si="19"/>
        <v/>
      </c>
      <c r="L1230" s="1" t="str">
        <f>IF(COUNTA(A1230:J1230)=0,"",IF(OR(AND(C1230&lt;&gt;"Servicio",C1230&lt;&gt;"Cobro",C1230&lt;&gt;"Anticipo",C1230&lt;&gt;"Aplicación anticipo",C1230&lt;&gt;"Retención ISR",C1230&lt;&gt;"Retención IVA"),AND(C1230="Servicio",F1230&lt;&gt;"TMS",F1230&lt;&gt;"Valoración",F1230&lt;&gt;"EEG",F1230&lt;&gt;"Neurofeedback",F1230&lt;&gt;"Fotobiomodulación",F1230&lt;&gt;"Psicoterapia",F1230&lt;&gt;"Otros")),"Tipo o categoría inválido",IF(COUNTA(A1230:J1230)=0,"",IF(OR(A1230="",B1230="",C1230="",G1230=""),"Faltan datos",IF(COUNTIF($A$7:$A$2006,A1230)&gt;1,"ID duplicado",IF(OR(B1230&lt;DATE(Configuración!$C$5,1,1),B1230&gt;=DATE(Configuración!$C$5+1,1,1)),"Fecha fuera del año",IF(OR(G1230&lt;0,H1230&lt;0),"Revisar signo",IF(AND(C1230&lt;&gt;"Servicio",H1230&lt;&gt;0),"IVA solo en Servicio",IF(AND(C1230="Servicio",F1230=""),"Falta servicio","OK")))))))))</f>
        <v/>
      </c>
    </row>
    <row r="1231" spans="1:12" ht="22" customHeight="1">
      <c r="A1231" s="3"/>
      <c r="B1231" s="7"/>
      <c r="C1231" s="3"/>
      <c r="D1231" s="3"/>
      <c r="E1231" s="3"/>
      <c r="F1231" s="3"/>
      <c r="G1231" s="4"/>
      <c r="H1231" s="4"/>
      <c r="I1231" s="3"/>
      <c r="J1231" s="3"/>
      <c r="K1231" s="8" t="str">
        <f t="shared" si="19"/>
        <v/>
      </c>
      <c r="L1231" s="1" t="str">
        <f>IF(COUNTA(A1231:J1231)=0,"",IF(OR(AND(C1231&lt;&gt;"Servicio",C1231&lt;&gt;"Cobro",C1231&lt;&gt;"Anticipo",C1231&lt;&gt;"Aplicación anticipo",C1231&lt;&gt;"Retención ISR",C1231&lt;&gt;"Retención IVA"),AND(C1231="Servicio",F1231&lt;&gt;"TMS",F1231&lt;&gt;"Valoración",F1231&lt;&gt;"EEG",F1231&lt;&gt;"Neurofeedback",F1231&lt;&gt;"Fotobiomodulación",F1231&lt;&gt;"Psicoterapia",F1231&lt;&gt;"Otros")),"Tipo o categoría inválido",IF(COUNTA(A1231:J1231)=0,"",IF(OR(A1231="",B1231="",C1231="",G1231=""),"Faltan datos",IF(COUNTIF($A$7:$A$2006,A1231)&gt;1,"ID duplicado",IF(OR(B1231&lt;DATE(Configuración!$C$5,1,1),B1231&gt;=DATE(Configuración!$C$5+1,1,1)),"Fecha fuera del año",IF(OR(G1231&lt;0,H1231&lt;0),"Revisar signo",IF(AND(C1231&lt;&gt;"Servicio",H1231&lt;&gt;0),"IVA solo en Servicio",IF(AND(C1231="Servicio",F1231=""),"Falta servicio","OK")))))))))</f>
        <v/>
      </c>
    </row>
    <row r="1232" spans="1:12" ht="22" customHeight="1">
      <c r="A1232" s="3"/>
      <c r="B1232" s="7"/>
      <c r="C1232" s="3"/>
      <c r="D1232" s="3"/>
      <c r="E1232" s="3"/>
      <c r="F1232" s="3"/>
      <c r="G1232" s="4"/>
      <c r="H1232" s="4"/>
      <c r="I1232" s="3"/>
      <c r="J1232" s="3"/>
      <c r="K1232" s="8" t="str">
        <f t="shared" si="19"/>
        <v/>
      </c>
      <c r="L1232" s="1" t="str">
        <f>IF(COUNTA(A1232:J1232)=0,"",IF(OR(AND(C1232&lt;&gt;"Servicio",C1232&lt;&gt;"Cobro",C1232&lt;&gt;"Anticipo",C1232&lt;&gt;"Aplicación anticipo",C1232&lt;&gt;"Retención ISR",C1232&lt;&gt;"Retención IVA"),AND(C1232="Servicio",F1232&lt;&gt;"TMS",F1232&lt;&gt;"Valoración",F1232&lt;&gt;"EEG",F1232&lt;&gt;"Neurofeedback",F1232&lt;&gt;"Fotobiomodulación",F1232&lt;&gt;"Psicoterapia",F1232&lt;&gt;"Otros")),"Tipo o categoría inválido",IF(COUNTA(A1232:J1232)=0,"",IF(OR(A1232="",B1232="",C1232="",G1232=""),"Faltan datos",IF(COUNTIF($A$7:$A$2006,A1232)&gt;1,"ID duplicado",IF(OR(B1232&lt;DATE(Configuración!$C$5,1,1),B1232&gt;=DATE(Configuración!$C$5+1,1,1)),"Fecha fuera del año",IF(OR(G1232&lt;0,H1232&lt;0),"Revisar signo",IF(AND(C1232&lt;&gt;"Servicio",H1232&lt;&gt;0),"IVA solo en Servicio",IF(AND(C1232="Servicio",F1232=""),"Falta servicio","OK")))))))))</f>
        <v/>
      </c>
    </row>
    <row r="1233" spans="1:12" ht="22" customHeight="1">
      <c r="A1233" s="3"/>
      <c r="B1233" s="7"/>
      <c r="C1233" s="3"/>
      <c r="D1233" s="3"/>
      <c r="E1233" s="3"/>
      <c r="F1233" s="3"/>
      <c r="G1233" s="4"/>
      <c r="H1233" s="4"/>
      <c r="I1233" s="3"/>
      <c r="J1233" s="3"/>
      <c r="K1233" s="8" t="str">
        <f t="shared" si="19"/>
        <v/>
      </c>
      <c r="L1233" s="1" t="str">
        <f>IF(COUNTA(A1233:J1233)=0,"",IF(OR(AND(C1233&lt;&gt;"Servicio",C1233&lt;&gt;"Cobro",C1233&lt;&gt;"Anticipo",C1233&lt;&gt;"Aplicación anticipo",C1233&lt;&gt;"Retención ISR",C1233&lt;&gt;"Retención IVA"),AND(C1233="Servicio",F1233&lt;&gt;"TMS",F1233&lt;&gt;"Valoración",F1233&lt;&gt;"EEG",F1233&lt;&gt;"Neurofeedback",F1233&lt;&gt;"Fotobiomodulación",F1233&lt;&gt;"Psicoterapia",F1233&lt;&gt;"Otros")),"Tipo o categoría inválido",IF(COUNTA(A1233:J1233)=0,"",IF(OR(A1233="",B1233="",C1233="",G1233=""),"Faltan datos",IF(COUNTIF($A$7:$A$2006,A1233)&gt;1,"ID duplicado",IF(OR(B1233&lt;DATE(Configuración!$C$5,1,1),B1233&gt;=DATE(Configuración!$C$5+1,1,1)),"Fecha fuera del año",IF(OR(G1233&lt;0,H1233&lt;0),"Revisar signo",IF(AND(C1233&lt;&gt;"Servicio",H1233&lt;&gt;0),"IVA solo en Servicio",IF(AND(C1233="Servicio",F1233=""),"Falta servicio","OK")))))))))</f>
        <v/>
      </c>
    </row>
    <row r="1234" spans="1:12" ht="22" customHeight="1">
      <c r="A1234" s="3"/>
      <c r="B1234" s="7"/>
      <c r="C1234" s="3"/>
      <c r="D1234" s="3"/>
      <c r="E1234" s="3"/>
      <c r="F1234" s="3"/>
      <c r="G1234" s="4"/>
      <c r="H1234" s="4"/>
      <c r="I1234" s="3"/>
      <c r="J1234" s="3"/>
      <c r="K1234" s="8" t="str">
        <f t="shared" si="19"/>
        <v/>
      </c>
      <c r="L1234" s="1" t="str">
        <f>IF(COUNTA(A1234:J1234)=0,"",IF(OR(AND(C1234&lt;&gt;"Servicio",C1234&lt;&gt;"Cobro",C1234&lt;&gt;"Anticipo",C1234&lt;&gt;"Aplicación anticipo",C1234&lt;&gt;"Retención ISR",C1234&lt;&gt;"Retención IVA"),AND(C1234="Servicio",F1234&lt;&gt;"TMS",F1234&lt;&gt;"Valoración",F1234&lt;&gt;"EEG",F1234&lt;&gt;"Neurofeedback",F1234&lt;&gt;"Fotobiomodulación",F1234&lt;&gt;"Psicoterapia",F1234&lt;&gt;"Otros")),"Tipo o categoría inválido",IF(COUNTA(A1234:J1234)=0,"",IF(OR(A1234="",B1234="",C1234="",G1234=""),"Faltan datos",IF(COUNTIF($A$7:$A$2006,A1234)&gt;1,"ID duplicado",IF(OR(B1234&lt;DATE(Configuración!$C$5,1,1),B1234&gt;=DATE(Configuración!$C$5+1,1,1)),"Fecha fuera del año",IF(OR(G1234&lt;0,H1234&lt;0),"Revisar signo",IF(AND(C1234&lt;&gt;"Servicio",H1234&lt;&gt;0),"IVA solo en Servicio",IF(AND(C1234="Servicio",F1234=""),"Falta servicio","OK")))))))))</f>
        <v/>
      </c>
    </row>
    <row r="1235" spans="1:12" ht="22" customHeight="1">
      <c r="A1235" s="3"/>
      <c r="B1235" s="7"/>
      <c r="C1235" s="3"/>
      <c r="D1235" s="3"/>
      <c r="E1235" s="3"/>
      <c r="F1235" s="3"/>
      <c r="G1235" s="4"/>
      <c r="H1235" s="4"/>
      <c r="I1235" s="3"/>
      <c r="J1235" s="3"/>
      <c r="K1235" s="8" t="str">
        <f t="shared" si="19"/>
        <v/>
      </c>
      <c r="L1235" s="1" t="str">
        <f>IF(COUNTA(A1235:J1235)=0,"",IF(OR(AND(C1235&lt;&gt;"Servicio",C1235&lt;&gt;"Cobro",C1235&lt;&gt;"Anticipo",C1235&lt;&gt;"Aplicación anticipo",C1235&lt;&gt;"Retención ISR",C1235&lt;&gt;"Retención IVA"),AND(C1235="Servicio",F1235&lt;&gt;"TMS",F1235&lt;&gt;"Valoración",F1235&lt;&gt;"EEG",F1235&lt;&gt;"Neurofeedback",F1235&lt;&gt;"Fotobiomodulación",F1235&lt;&gt;"Psicoterapia",F1235&lt;&gt;"Otros")),"Tipo o categoría inválido",IF(COUNTA(A1235:J1235)=0,"",IF(OR(A1235="",B1235="",C1235="",G1235=""),"Faltan datos",IF(COUNTIF($A$7:$A$2006,A1235)&gt;1,"ID duplicado",IF(OR(B1235&lt;DATE(Configuración!$C$5,1,1),B1235&gt;=DATE(Configuración!$C$5+1,1,1)),"Fecha fuera del año",IF(OR(G1235&lt;0,H1235&lt;0),"Revisar signo",IF(AND(C1235&lt;&gt;"Servicio",H1235&lt;&gt;0),"IVA solo en Servicio",IF(AND(C1235="Servicio",F1235=""),"Falta servicio","OK")))))))))</f>
        <v/>
      </c>
    </row>
    <row r="1236" spans="1:12" ht="22" customHeight="1">
      <c r="A1236" s="3"/>
      <c r="B1236" s="7"/>
      <c r="C1236" s="3"/>
      <c r="D1236" s="3"/>
      <c r="E1236" s="3"/>
      <c r="F1236" s="3"/>
      <c r="G1236" s="4"/>
      <c r="H1236" s="4"/>
      <c r="I1236" s="3"/>
      <c r="J1236" s="3"/>
      <c r="K1236" s="8" t="str">
        <f t="shared" si="19"/>
        <v/>
      </c>
      <c r="L1236" s="1" t="str">
        <f>IF(COUNTA(A1236:J1236)=0,"",IF(OR(AND(C1236&lt;&gt;"Servicio",C1236&lt;&gt;"Cobro",C1236&lt;&gt;"Anticipo",C1236&lt;&gt;"Aplicación anticipo",C1236&lt;&gt;"Retención ISR",C1236&lt;&gt;"Retención IVA"),AND(C1236="Servicio",F1236&lt;&gt;"TMS",F1236&lt;&gt;"Valoración",F1236&lt;&gt;"EEG",F1236&lt;&gt;"Neurofeedback",F1236&lt;&gt;"Fotobiomodulación",F1236&lt;&gt;"Psicoterapia",F1236&lt;&gt;"Otros")),"Tipo o categoría inválido",IF(COUNTA(A1236:J1236)=0,"",IF(OR(A1236="",B1236="",C1236="",G1236=""),"Faltan datos",IF(COUNTIF($A$7:$A$2006,A1236)&gt;1,"ID duplicado",IF(OR(B1236&lt;DATE(Configuración!$C$5,1,1),B1236&gt;=DATE(Configuración!$C$5+1,1,1)),"Fecha fuera del año",IF(OR(G1236&lt;0,H1236&lt;0),"Revisar signo",IF(AND(C1236&lt;&gt;"Servicio",H1236&lt;&gt;0),"IVA solo en Servicio",IF(AND(C1236="Servicio",F1236=""),"Falta servicio","OK")))))))))</f>
        <v/>
      </c>
    </row>
    <row r="1237" spans="1:12" ht="22" customHeight="1">
      <c r="A1237" s="3"/>
      <c r="B1237" s="7"/>
      <c r="C1237" s="3"/>
      <c r="D1237" s="3"/>
      <c r="E1237" s="3"/>
      <c r="F1237" s="3"/>
      <c r="G1237" s="4"/>
      <c r="H1237" s="4"/>
      <c r="I1237" s="3"/>
      <c r="J1237" s="3"/>
      <c r="K1237" s="8" t="str">
        <f t="shared" si="19"/>
        <v/>
      </c>
      <c r="L1237" s="1" t="str">
        <f>IF(COUNTA(A1237:J1237)=0,"",IF(OR(AND(C1237&lt;&gt;"Servicio",C1237&lt;&gt;"Cobro",C1237&lt;&gt;"Anticipo",C1237&lt;&gt;"Aplicación anticipo",C1237&lt;&gt;"Retención ISR",C1237&lt;&gt;"Retención IVA"),AND(C1237="Servicio",F1237&lt;&gt;"TMS",F1237&lt;&gt;"Valoración",F1237&lt;&gt;"EEG",F1237&lt;&gt;"Neurofeedback",F1237&lt;&gt;"Fotobiomodulación",F1237&lt;&gt;"Psicoterapia",F1237&lt;&gt;"Otros")),"Tipo o categoría inválido",IF(COUNTA(A1237:J1237)=0,"",IF(OR(A1237="",B1237="",C1237="",G1237=""),"Faltan datos",IF(COUNTIF($A$7:$A$2006,A1237)&gt;1,"ID duplicado",IF(OR(B1237&lt;DATE(Configuración!$C$5,1,1),B1237&gt;=DATE(Configuración!$C$5+1,1,1)),"Fecha fuera del año",IF(OR(G1237&lt;0,H1237&lt;0),"Revisar signo",IF(AND(C1237&lt;&gt;"Servicio",H1237&lt;&gt;0),"IVA solo en Servicio",IF(AND(C1237="Servicio",F1237=""),"Falta servicio","OK")))))))))</f>
        <v/>
      </c>
    </row>
    <row r="1238" spans="1:12" ht="22" customHeight="1">
      <c r="A1238" s="3"/>
      <c r="B1238" s="7"/>
      <c r="C1238" s="3"/>
      <c r="D1238" s="3"/>
      <c r="E1238" s="3"/>
      <c r="F1238" s="3"/>
      <c r="G1238" s="4"/>
      <c r="H1238" s="4"/>
      <c r="I1238" s="3"/>
      <c r="J1238" s="3"/>
      <c r="K1238" s="8" t="str">
        <f t="shared" si="19"/>
        <v/>
      </c>
      <c r="L1238" s="1" t="str">
        <f>IF(COUNTA(A1238:J1238)=0,"",IF(OR(AND(C1238&lt;&gt;"Servicio",C1238&lt;&gt;"Cobro",C1238&lt;&gt;"Anticipo",C1238&lt;&gt;"Aplicación anticipo",C1238&lt;&gt;"Retención ISR",C1238&lt;&gt;"Retención IVA"),AND(C1238="Servicio",F1238&lt;&gt;"TMS",F1238&lt;&gt;"Valoración",F1238&lt;&gt;"EEG",F1238&lt;&gt;"Neurofeedback",F1238&lt;&gt;"Fotobiomodulación",F1238&lt;&gt;"Psicoterapia",F1238&lt;&gt;"Otros")),"Tipo o categoría inválido",IF(COUNTA(A1238:J1238)=0,"",IF(OR(A1238="",B1238="",C1238="",G1238=""),"Faltan datos",IF(COUNTIF($A$7:$A$2006,A1238)&gt;1,"ID duplicado",IF(OR(B1238&lt;DATE(Configuración!$C$5,1,1),B1238&gt;=DATE(Configuración!$C$5+1,1,1)),"Fecha fuera del año",IF(OR(G1238&lt;0,H1238&lt;0),"Revisar signo",IF(AND(C1238&lt;&gt;"Servicio",H1238&lt;&gt;0),"IVA solo en Servicio",IF(AND(C1238="Servicio",F1238=""),"Falta servicio","OK")))))))))</f>
        <v/>
      </c>
    </row>
    <row r="1239" spans="1:12" ht="22" customHeight="1">
      <c r="A1239" s="3"/>
      <c r="B1239" s="7"/>
      <c r="C1239" s="3"/>
      <c r="D1239" s="3"/>
      <c r="E1239" s="3"/>
      <c r="F1239" s="3"/>
      <c r="G1239" s="4"/>
      <c r="H1239" s="4"/>
      <c r="I1239" s="3"/>
      <c r="J1239" s="3"/>
      <c r="K1239" s="8" t="str">
        <f t="shared" si="19"/>
        <v/>
      </c>
      <c r="L1239" s="1" t="str">
        <f>IF(COUNTA(A1239:J1239)=0,"",IF(OR(AND(C1239&lt;&gt;"Servicio",C1239&lt;&gt;"Cobro",C1239&lt;&gt;"Anticipo",C1239&lt;&gt;"Aplicación anticipo",C1239&lt;&gt;"Retención ISR",C1239&lt;&gt;"Retención IVA"),AND(C1239="Servicio",F1239&lt;&gt;"TMS",F1239&lt;&gt;"Valoración",F1239&lt;&gt;"EEG",F1239&lt;&gt;"Neurofeedback",F1239&lt;&gt;"Fotobiomodulación",F1239&lt;&gt;"Psicoterapia",F1239&lt;&gt;"Otros")),"Tipo o categoría inválido",IF(COUNTA(A1239:J1239)=0,"",IF(OR(A1239="",B1239="",C1239="",G1239=""),"Faltan datos",IF(COUNTIF($A$7:$A$2006,A1239)&gt;1,"ID duplicado",IF(OR(B1239&lt;DATE(Configuración!$C$5,1,1),B1239&gt;=DATE(Configuración!$C$5+1,1,1)),"Fecha fuera del año",IF(OR(G1239&lt;0,H1239&lt;0),"Revisar signo",IF(AND(C1239&lt;&gt;"Servicio",H1239&lt;&gt;0),"IVA solo en Servicio",IF(AND(C1239="Servicio",F1239=""),"Falta servicio","OK")))))))))</f>
        <v/>
      </c>
    </row>
    <row r="1240" spans="1:12" ht="22" customHeight="1">
      <c r="A1240" s="3"/>
      <c r="B1240" s="7"/>
      <c r="C1240" s="3"/>
      <c r="D1240" s="3"/>
      <c r="E1240" s="3"/>
      <c r="F1240" s="3"/>
      <c r="G1240" s="4"/>
      <c r="H1240" s="4"/>
      <c r="I1240" s="3"/>
      <c r="J1240" s="3"/>
      <c r="K1240" s="8" t="str">
        <f t="shared" si="19"/>
        <v/>
      </c>
      <c r="L1240" s="1" t="str">
        <f>IF(COUNTA(A1240:J1240)=0,"",IF(OR(AND(C1240&lt;&gt;"Servicio",C1240&lt;&gt;"Cobro",C1240&lt;&gt;"Anticipo",C1240&lt;&gt;"Aplicación anticipo",C1240&lt;&gt;"Retención ISR",C1240&lt;&gt;"Retención IVA"),AND(C1240="Servicio",F1240&lt;&gt;"TMS",F1240&lt;&gt;"Valoración",F1240&lt;&gt;"EEG",F1240&lt;&gt;"Neurofeedback",F1240&lt;&gt;"Fotobiomodulación",F1240&lt;&gt;"Psicoterapia",F1240&lt;&gt;"Otros")),"Tipo o categoría inválido",IF(COUNTA(A1240:J1240)=0,"",IF(OR(A1240="",B1240="",C1240="",G1240=""),"Faltan datos",IF(COUNTIF($A$7:$A$2006,A1240)&gt;1,"ID duplicado",IF(OR(B1240&lt;DATE(Configuración!$C$5,1,1),B1240&gt;=DATE(Configuración!$C$5+1,1,1)),"Fecha fuera del año",IF(OR(G1240&lt;0,H1240&lt;0),"Revisar signo",IF(AND(C1240&lt;&gt;"Servicio",H1240&lt;&gt;0),"IVA solo en Servicio",IF(AND(C1240="Servicio",F1240=""),"Falta servicio","OK")))))))))</f>
        <v/>
      </c>
    </row>
    <row r="1241" spans="1:12" ht="22" customHeight="1">
      <c r="A1241" s="3"/>
      <c r="B1241" s="7"/>
      <c r="C1241" s="3"/>
      <c r="D1241" s="3"/>
      <c r="E1241" s="3"/>
      <c r="F1241" s="3"/>
      <c r="G1241" s="4"/>
      <c r="H1241" s="4"/>
      <c r="I1241" s="3"/>
      <c r="J1241" s="3"/>
      <c r="K1241" s="8" t="str">
        <f t="shared" si="19"/>
        <v/>
      </c>
      <c r="L1241" s="1" t="str">
        <f>IF(COUNTA(A1241:J1241)=0,"",IF(OR(AND(C1241&lt;&gt;"Servicio",C1241&lt;&gt;"Cobro",C1241&lt;&gt;"Anticipo",C1241&lt;&gt;"Aplicación anticipo",C1241&lt;&gt;"Retención ISR",C1241&lt;&gt;"Retención IVA"),AND(C1241="Servicio",F1241&lt;&gt;"TMS",F1241&lt;&gt;"Valoración",F1241&lt;&gt;"EEG",F1241&lt;&gt;"Neurofeedback",F1241&lt;&gt;"Fotobiomodulación",F1241&lt;&gt;"Psicoterapia",F1241&lt;&gt;"Otros")),"Tipo o categoría inválido",IF(COUNTA(A1241:J1241)=0,"",IF(OR(A1241="",B1241="",C1241="",G1241=""),"Faltan datos",IF(COUNTIF($A$7:$A$2006,A1241)&gt;1,"ID duplicado",IF(OR(B1241&lt;DATE(Configuración!$C$5,1,1),B1241&gt;=DATE(Configuración!$C$5+1,1,1)),"Fecha fuera del año",IF(OR(G1241&lt;0,H1241&lt;0),"Revisar signo",IF(AND(C1241&lt;&gt;"Servicio",H1241&lt;&gt;0),"IVA solo en Servicio",IF(AND(C1241="Servicio",F1241=""),"Falta servicio","OK")))))))))</f>
        <v/>
      </c>
    </row>
    <row r="1242" spans="1:12" ht="22" customHeight="1">
      <c r="A1242" s="3"/>
      <c r="B1242" s="7"/>
      <c r="C1242" s="3"/>
      <c r="D1242" s="3"/>
      <c r="E1242" s="3"/>
      <c r="F1242" s="3"/>
      <c r="G1242" s="4"/>
      <c r="H1242" s="4"/>
      <c r="I1242" s="3"/>
      <c r="J1242" s="3"/>
      <c r="K1242" s="8" t="str">
        <f t="shared" si="19"/>
        <v/>
      </c>
      <c r="L1242" s="1" t="str">
        <f>IF(COUNTA(A1242:J1242)=0,"",IF(OR(AND(C1242&lt;&gt;"Servicio",C1242&lt;&gt;"Cobro",C1242&lt;&gt;"Anticipo",C1242&lt;&gt;"Aplicación anticipo",C1242&lt;&gt;"Retención ISR",C1242&lt;&gt;"Retención IVA"),AND(C1242="Servicio",F1242&lt;&gt;"TMS",F1242&lt;&gt;"Valoración",F1242&lt;&gt;"EEG",F1242&lt;&gt;"Neurofeedback",F1242&lt;&gt;"Fotobiomodulación",F1242&lt;&gt;"Psicoterapia",F1242&lt;&gt;"Otros")),"Tipo o categoría inválido",IF(COUNTA(A1242:J1242)=0,"",IF(OR(A1242="",B1242="",C1242="",G1242=""),"Faltan datos",IF(COUNTIF($A$7:$A$2006,A1242)&gt;1,"ID duplicado",IF(OR(B1242&lt;DATE(Configuración!$C$5,1,1),B1242&gt;=DATE(Configuración!$C$5+1,1,1)),"Fecha fuera del año",IF(OR(G1242&lt;0,H1242&lt;0),"Revisar signo",IF(AND(C1242&lt;&gt;"Servicio",H1242&lt;&gt;0),"IVA solo en Servicio",IF(AND(C1242="Servicio",F1242=""),"Falta servicio","OK")))))))))</f>
        <v/>
      </c>
    </row>
    <row r="1243" spans="1:12" ht="22" customHeight="1">
      <c r="A1243" s="3"/>
      <c r="B1243" s="7"/>
      <c r="C1243" s="3"/>
      <c r="D1243" s="3"/>
      <c r="E1243" s="3"/>
      <c r="F1243" s="3"/>
      <c r="G1243" s="4"/>
      <c r="H1243" s="4"/>
      <c r="I1243" s="3"/>
      <c r="J1243" s="3"/>
      <c r="K1243" s="8" t="str">
        <f t="shared" si="19"/>
        <v/>
      </c>
      <c r="L1243" s="1" t="str">
        <f>IF(COUNTA(A1243:J1243)=0,"",IF(OR(AND(C1243&lt;&gt;"Servicio",C1243&lt;&gt;"Cobro",C1243&lt;&gt;"Anticipo",C1243&lt;&gt;"Aplicación anticipo",C1243&lt;&gt;"Retención ISR",C1243&lt;&gt;"Retención IVA"),AND(C1243="Servicio",F1243&lt;&gt;"TMS",F1243&lt;&gt;"Valoración",F1243&lt;&gt;"EEG",F1243&lt;&gt;"Neurofeedback",F1243&lt;&gt;"Fotobiomodulación",F1243&lt;&gt;"Psicoterapia",F1243&lt;&gt;"Otros")),"Tipo o categoría inválido",IF(COUNTA(A1243:J1243)=0,"",IF(OR(A1243="",B1243="",C1243="",G1243=""),"Faltan datos",IF(COUNTIF($A$7:$A$2006,A1243)&gt;1,"ID duplicado",IF(OR(B1243&lt;DATE(Configuración!$C$5,1,1),B1243&gt;=DATE(Configuración!$C$5+1,1,1)),"Fecha fuera del año",IF(OR(G1243&lt;0,H1243&lt;0),"Revisar signo",IF(AND(C1243&lt;&gt;"Servicio",H1243&lt;&gt;0),"IVA solo en Servicio",IF(AND(C1243="Servicio",F1243=""),"Falta servicio","OK")))))))))</f>
        <v/>
      </c>
    </row>
    <row r="1244" spans="1:12" ht="22" customHeight="1">
      <c r="A1244" s="3"/>
      <c r="B1244" s="7"/>
      <c r="C1244" s="3"/>
      <c r="D1244" s="3"/>
      <c r="E1244" s="3"/>
      <c r="F1244" s="3"/>
      <c r="G1244" s="4"/>
      <c r="H1244" s="4"/>
      <c r="I1244" s="3"/>
      <c r="J1244" s="3"/>
      <c r="K1244" s="8" t="str">
        <f t="shared" si="19"/>
        <v/>
      </c>
      <c r="L1244" s="1" t="str">
        <f>IF(COUNTA(A1244:J1244)=0,"",IF(OR(AND(C1244&lt;&gt;"Servicio",C1244&lt;&gt;"Cobro",C1244&lt;&gt;"Anticipo",C1244&lt;&gt;"Aplicación anticipo",C1244&lt;&gt;"Retención ISR",C1244&lt;&gt;"Retención IVA"),AND(C1244="Servicio",F1244&lt;&gt;"TMS",F1244&lt;&gt;"Valoración",F1244&lt;&gt;"EEG",F1244&lt;&gt;"Neurofeedback",F1244&lt;&gt;"Fotobiomodulación",F1244&lt;&gt;"Psicoterapia",F1244&lt;&gt;"Otros")),"Tipo o categoría inválido",IF(COUNTA(A1244:J1244)=0,"",IF(OR(A1244="",B1244="",C1244="",G1244=""),"Faltan datos",IF(COUNTIF($A$7:$A$2006,A1244)&gt;1,"ID duplicado",IF(OR(B1244&lt;DATE(Configuración!$C$5,1,1),B1244&gt;=DATE(Configuración!$C$5+1,1,1)),"Fecha fuera del año",IF(OR(G1244&lt;0,H1244&lt;0),"Revisar signo",IF(AND(C1244&lt;&gt;"Servicio",H1244&lt;&gt;0),"IVA solo en Servicio",IF(AND(C1244="Servicio",F1244=""),"Falta servicio","OK")))))))))</f>
        <v/>
      </c>
    </row>
    <row r="1245" spans="1:12" ht="22" customHeight="1">
      <c r="A1245" s="3"/>
      <c r="B1245" s="7"/>
      <c r="C1245" s="3"/>
      <c r="D1245" s="3"/>
      <c r="E1245" s="3"/>
      <c r="F1245" s="3"/>
      <c r="G1245" s="4"/>
      <c r="H1245" s="4"/>
      <c r="I1245" s="3"/>
      <c r="J1245" s="3"/>
      <c r="K1245" s="8" t="str">
        <f t="shared" si="19"/>
        <v/>
      </c>
      <c r="L1245" s="1" t="str">
        <f>IF(COUNTA(A1245:J1245)=0,"",IF(OR(AND(C1245&lt;&gt;"Servicio",C1245&lt;&gt;"Cobro",C1245&lt;&gt;"Anticipo",C1245&lt;&gt;"Aplicación anticipo",C1245&lt;&gt;"Retención ISR",C1245&lt;&gt;"Retención IVA"),AND(C1245="Servicio",F1245&lt;&gt;"TMS",F1245&lt;&gt;"Valoración",F1245&lt;&gt;"EEG",F1245&lt;&gt;"Neurofeedback",F1245&lt;&gt;"Fotobiomodulación",F1245&lt;&gt;"Psicoterapia",F1245&lt;&gt;"Otros")),"Tipo o categoría inválido",IF(COUNTA(A1245:J1245)=0,"",IF(OR(A1245="",B1245="",C1245="",G1245=""),"Faltan datos",IF(COUNTIF($A$7:$A$2006,A1245)&gt;1,"ID duplicado",IF(OR(B1245&lt;DATE(Configuración!$C$5,1,1),B1245&gt;=DATE(Configuración!$C$5+1,1,1)),"Fecha fuera del año",IF(OR(G1245&lt;0,H1245&lt;0),"Revisar signo",IF(AND(C1245&lt;&gt;"Servicio",H1245&lt;&gt;0),"IVA solo en Servicio",IF(AND(C1245="Servicio",F1245=""),"Falta servicio","OK")))))))))</f>
        <v/>
      </c>
    </row>
    <row r="1246" spans="1:12" ht="22" customHeight="1">
      <c r="A1246" s="3"/>
      <c r="B1246" s="7"/>
      <c r="C1246" s="3"/>
      <c r="D1246" s="3"/>
      <c r="E1246" s="3"/>
      <c r="F1246" s="3"/>
      <c r="G1246" s="4"/>
      <c r="H1246" s="4"/>
      <c r="I1246" s="3"/>
      <c r="J1246" s="3"/>
      <c r="K1246" s="8" t="str">
        <f t="shared" si="19"/>
        <v/>
      </c>
      <c r="L1246" s="1" t="str">
        <f>IF(COUNTA(A1246:J1246)=0,"",IF(OR(AND(C1246&lt;&gt;"Servicio",C1246&lt;&gt;"Cobro",C1246&lt;&gt;"Anticipo",C1246&lt;&gt;"Aplicación anticipo",C1246&lt;&gt;"Retención ISR",C1246&lt;&gt;"Retención IVA"),AND(C1246="Servicio",F1246&lt;&gt;"TMS",F1246&lt;&gt;"Valoración",F1246&lt;&gt;"EEG",F1246&lt;&gt;"Neurofeedback",F1246&lt;&gt;"Fotobiomodulación",F1246&lt;&gt;"Psicoterapia",F1246&lt;&gt;"Otros")),"Tipo o categoría inválido",IF(COUNTA(A1246:J1246)=0,"",IF(OR(A1246="",B1246="",C1246="",G1246=""),"Faltan datos",IF(COUNTIF($A$7:$A$2006,A1246)&gt;1,"ID duplicado",IF(OR(B1246&lt;DATE(Configuración!$C$5,1,1),B1246&gt;=DATE(Configuración!$C$5+1,1,1)),"Fecha fuera del año",IF(OR(G1246&lt;0,H1246&lt;0),"Revisar signo",IF(AND(C1246&lt;&gt;"Servicio",H1246&lt;&gt;0),"IVA solo en Servicio",IF(AND(C1246="Servicio",F1246=""),"Falta servicio","OK")))))))))</f>
        <v/>
      </c>
    </row>
    <row r="1247" spans="1:12" ht="22" customHeight="1">
      <c r="A1247" s="3"/>
      <c r="B1247" s="7"/>
      <c r="C1247" s="3"/>
      <c r="D1247" s="3"/>
      <c r="E1247" s="3"/>
      <c r="F1247" s="3"/>
      <c r="G1247" s="4"/>
      <c r="H1247" s="4"/>
      <c r="I1247" s="3"/>
      <c r="J1247" s="3"/>
      <c r="K1247" s="8" t="str">
        <f t="shared" si="19"/>
        <v/>
      </c>
      <c r="L1247" s="1" t="str">
        <f>IF(COUNTA(A1247:J1247)=0,"",IF(OR(AND(C1247&lt;&gt;"Servicio",C1247&lt;&gt;"Cobro",C1247&lt;&gt;"Anticipo",C1247&lt;&gt;"Aplicación anticipo",C1247&lt;&gt;"Retención ISR",C1247&lt;&gt;"Retención IVA"),AND(C1247="Servicio",F1247&lt;&gt;"TMS",F1247&lt;&gt;"Valoración",F1247&lt;&gt;"EEG",F1247&lt;&gt;"Neurofeedback",F1247&lt;&gt;"Fotobiomodulación",F1247&lt;&gt;"Psicoterapia",F1247&lt;&gt;"Otros")),"Tipo o categoría inválido",IF(COUNTA(A1247:J1247)=0,"",IF(OR(A1247="",B1247="",C1247="",G1247=""),"Faltan datos",IF(COUNTIF($A$7:$A$2006,A1247)&gt;1,"ID duplicado",IF(OR(B1247&lt;DATE(Configuración!$C$5,1,1),B1247&gt;=DATE(Configuración!$C$5+1,1,1)),"Fecha fuera del año",IF(OR(G1247&lt;0,H1247&lt;0),"Revisar signo",IF(AND(C1247&lt;&gt;"Servicio",H1247&lt;&gt;0),"IVA solo en Servicio",IF(AND(C1247="Servicio",F1247=""),"Falta servicio","OK")))))))))</f>
        <v/>
      </c>
    </row>
    <row r="1248" spans="1:12" ht="22" customHeight="1">
      <c r="A1248" s="3"/>
      <c r="B1248" s="7"/>
      <c r="C1248" s="3"/>
      <c r="D1248" s="3"/>
      <c r="E1248" s="3"/>
      <c r="F1248" s="3"/>
      <c r="G1248" s="4"/>
      <c r="H1248" s="4"/>
      <c r="I1248" s="3"/>
      <c r="J1248" s="3"/>
      <c r="K1248" s="8" t="str">
        <f t="shared" si="19"/>
        <v/>
      </c>
      <c r="L1248" s="1" t="str">
        <f>IF(COUNTA(A1248:J1248)=0,"",IF(OR(AND(C1248&lt;&gt;"Servicio",C1248&lt;&gt;"Cobro",C1248&lt;&gt;"Anticipo",C1248&lt;&gt;"Aplicación anticipo",C1248&lt;&gt;"Retención ISR",C1248&lt;&gt;"Retención IVA"),AND(C1248="Servicio",F1248&lt;&gt;"TMS",F1248&lt;&gt;"Valoración",F1248&lt;&gt;"EEG",F1248&lt;&gt;"Neurofeedback",F1248&lt;&gt;"Fotobiomodulación",F1248&lt;&gt;"Psicoterapia",F1248&lt;&gt;"Otros")),"Tipo o categoría inválido",IF(COUNTA(A1248:J1248)=0,"",IF(OR(A1248="",B1248="",C1248="",G1248=""),"Faltan datos",IF(COUNTIF($A$7:$A$2006,A1248)&gt;1,"ID duplicado",IF(OR(B1248&lt;DATE(Configuración!$C$5,1,1),B1248&gt;=DATE(Configuración!$C$5+1,1,1)),"Fecha fuera del año",IF(OR(G1248&lt;0,H1248&lt;0),"Revisar signo",IF(AND(C1248&lt;&gt;"Servicio",H1248&lt;&gt;0),"IVA solo en Servicio",IF(AND(C1248="Servicio",F1248=""),"Falta servicio","OK")))))))))</f>
        <v/>
      </c>
    </row>
    <row r="1249" spans="1:12" ht="22" customHeight="1">
      <c r="A1249" s="3"/>
      <c r="B1249" s="7"/>
      <c r="C1249" s="3"/>
      <c r="D1249" s="3"/>
      <c r="E1249" s="3"/>
      <c r="F1249" s="3"/>
      <c r="G1249" s="4"/>
      <c r="H1249" s="4"/>
      <c r="I1249" s="3"/>
      <c r="J1249" s="3"/>
      <c r="K1249" s="8" t="str">
        <f t="shared" si="19"/>
        <v/>
      </c>
      <c r="L1249" s="1" t="str">
        <f>IF(COUNTA(A1249:J1249)=0,"",IF(OR(AND(C1249&lt;&gt;"Servicio",C1249&lt;&gt;"Cobro",C1249&lt;&gt;"Anticipo",C1249&lt;&gt;"Aplicación anticipo",C1249&lt;&gt;"Retención ISR",C1249&lt;&gt;"Retención IVA"),AND(C1249="Servicio",F1249&lt;&gt;"TMS",F1249&lt;&gt;"Valoración",F1249&lt;&gt;"EEG",F1249&lt;&gt;"Neurofeedback",F1249&lt;&gt;"Fotobiomodulación",F1249&lt;&gt;"Psicoterapia",F1249&lt;&gt;"Otros")),"Tipo o categoría inválido",IF(COUNTA(A1249:J1249)=0,"",IF(OR(A1249="",B1249="",C1249="",G1249=""),"Faltan datos",IF(COUNTIF($A$7:$A$2006,A1249)&gt;1,"ID duplicado",IF(OR(B1249&lt;DATE(Configuración!$C$5,1,1),B1249&gt;=DATE(Configuración!$C$5+1,1,1)),"Fecha fuera del año",IF(OR(G1249&lt;0,H1249&lt;0),"Revisar signo",IF(AND(C1249&lt;&gt;"Servicio",H1249&lt;&gt;0),"IVA solo en Servicio",IF(AND(C1249="Servicio",F1249=""),"Falta servicio","OK")))))))))</f>
        <v/>
      </c>
    </row>
    <row r="1250" spans="1:12" ht="22" customHeight="1">
      <c r="A1250" s="3"/>
      <c r="B1250" s="7"/>
      <c r="C1250" s="3"/>
      <c r="D1250" s="3"/>
      <c r="E1250" s="3"/>
      <c r="F1250" s="3"/>
      <c r="G1250" s="4"/>
      <c r="H1250" s="4"/>
      <c r="I1250" s="3"/>
      <c r="J1250" s="3"/>
      <c r="K1250" s="8" t="str">
        <f t="shared" si="19"/>
        <v/>
      </c>
      <c r="L1250" s="1" t="str">
        <f>IF(COUNTA(A1250:J1250)=0,"",IF(OR(AND(C1250&lt;&gt;"Servicio",C1250&lt;&gt;"Cobro",C1250&lt;&gt;"Anticipo",C1250&lt;&gt;"Aplicación anticipo",C1250&lt;&gt;"Retención ISR",C1250&lt;&gt;"Retención IVA"),AND(C1250="Servicio",F1250&lt;&gt;"TMS",F1250&lt;&gt;"Valoración",F1250&lt;&gt;"EEG",F1250&lt;&gt;"Neurofeedback",F1250&lt;&gt;"Fotobiomodulación",F1250&lt;&gt;"Psicoterapia",F1250&lt;&gt;"Otros")),"Tipo o categoría inválido",IF(COUNTA(A1250:J1250)=0,"",IF(OR(A1250="",B1250="",C1250="",G1250=""),"Faltan datos",IF(COUNTIF($A$7:$A$2006,A1250)&gt;1,"ID duplicado",IF(OR(B1250&lt;DATE(Configuración!$C$5,1,1),B1250&gt;=DATE(Configuración!$C$5+1,1,1)),"Fecha fuera del año",IF(OR(G1250&lt;0,H1250&lt;0),"Revisar signo",IF(AND(C1250&lt;&gt;"Servicio",H1250&lt;&gt;0),"IVA solo en Servicio",IF(AND(C1250="Servicio",F1250=""),"Falta servicio","OK")))))))))</f>
        <v/>
      </c>
    </row>
    <row r="1251" spans="1:12" ht="22" customHeight="1">
      <c r="A1251" s="3"/>
      <c r="B1251" s="7"/>
      <c r="C1251" s="3"/>
      <c r="D1251" s="3"/>
      <c r="E1251" s="3"/>
      <c r="F1251" s="3"/>
      <c r="G1251" s="4"/>
      <c r="H1251" s="4"/>
      <c r="I1251" s="3"/>
      <c r="J1251" s="3"/>
      <c r="K1251" s="8" t="str">
        <f t="shared" si="19"/>
        <v/>
      </c>
      <c r="L1251" s="1" t="str">
        <f>IF(COUNTA(A1251:J1251)=0,"",IF(OR(AND(C1251&lt;&gt;"Servicio",C1251&lt;&gt;"Cobro",C1251&lt;&gt;"Anticipo",C1251&lt;&gt;"Aplicación anticipo",C1251&lt;&gt;"Retención ISR",C1251&lt;&gt;"Retención IVA"),AND(C1251="Servicio",F1251&lt;&gt;"TMS",F1251&lt;&gt;"Valoración",F1251&lt;&gt;"EEG",F1251&lt;&gt;"Neurofeedback",F1251&lt;&gt;"Fotobiomodulación",F1251&lt;&gt;"Psicoterapia",F1251&lt;&gt;"Otros")),"Tipo o categoría inválido",IF(COUNTA(A1251:J1251)=0,"",IF(OR(A1251="",B1251="",C1251="",G1251=""),"Faltan datos",IF(COUNTIF($A$7:$A$2006,A1251)&gt;1,"ID duplicado",IF(OR(B1251&lt;DATE(Configuración!$C$5,1,1),B1251&gt;=DATE(Configuración!$C$5+1,1,1)),"Fecha fuera del año",IF(OR(G1251&lt;0,H1251&lt;0),"Revisar signo",IF(AND(C1251&lt;&gt;"Servicio",H1251&lt;&gt;0),"IVA solo en Servicio",IF(AND(C1251="Servicio",F1251=""),"Falta servicio","OK")))))))))</f>
        <v/>
      </c>
    </row>
    <row r="1252" spans="1:12" ht="22" customHeight="1">
      <c r="A1252" s="3"/>
      <c r="B1252" s="7"/>
      <c r="C1252" s="3"/>
      <c r="D1252" s="3"/>
      <c r="E1252" s="3"/>
      <c r="F1252" s="3"/>
      <c r="G1252" s="4"/>
      <c r="H1252" s="4"/>
      <c r="I1252" s="3"/>
      <c r="J1252" s="3"/>
      <c r="K1252" s="8" t="str">
        <f t="shared" si="19"/>
        <v/>
      </c>
      <c r="L1252" s="1" t="str">
        <f>IF(COUNTA(A1252:J1252)=0,"",IF(OR(AND(C1252&lt;&gt;"Servicio",C1252&lt;&gt;"Cobro",C1252&lt;&gt;"Anticipo",C1252&lt;&gt;"Aplicación anticipo",C1252&lt;&gt;"Retención ISR",C1252&lt;&gt;"Retención IVA"),AND(C1252="Servicio",F1252&lt;&gt;"TMS",F1252&lt;&gt;"Valoración",F1252&lt;&gt;"EEG",F1252&lt;&gt;"Neurofeedback",F1252&lt;&gt;"Fotobiomodulación",F1252&lt;&gt;"Psicoterapia",F1252&lt;&gt;"Otros")),"Tipo o categoría inválido",IF(COUNTA(A1252:J1252)=0,"",IF(OR(A1252="",B1252="",C1252="",G1252=""),"Faltan datos",IF(COUNTIF($A$7:$A$2006,A1252)&gt;1,"ID duplicado",IF(OR(B1252&lt;DATE(Configuración!$C$5,1,1),B1252&gt;=DATE(Configuración!$C$5+1,1,1)),"Fecha fuera del año",IF(OR(G1252&lt;0,H1252&lt;0),"Revisar signo",IF(AND(C1252&lt;&gt;"Servicio",H1252&lt;&gt;0),"IVA solo en Servicio",IF(AND(C1252="Servicio",F1252=""),"Falta servicio","OK")))))))))</f>
        <v/>
      </c>
    </row>
    <row r="1253" spans="1:12" ht="22" customHeight="1">
      <c r="A1253" s="3"/>
      <c r="B1253" s="7"/>
      <c r="C1253" s="3"/>
      <c r="D1253" s="3"/>
      <c r="E1253" s="3"/>
      <c r="F1253" s="3"/>
      <c r="G1253" s="4"/>
      <c r="H1253" s="4"/>
      <c r="I1253" s="3"/>
      <c r="J1253" s="3"/>
      <c r="K1253" s="8" t="str">
        <f t="shared" si="19"/>
        <v/>
      </c>
      <c r="L1253" s="1" t="str">
        <f>IF(COUNTA(A1253:J1253)=0,"",IF(OR(AND(C1253&lt;&gt;"Servicio",C1253&lt;&gt;"Cobro",C1253&lt;&gt;"Anticipo",C1253&lt;&gt;"Aplicación anticipo",C1253&lt;&gt;"Retención ISR",C1253&lt;&gt;"Retención IVA"),AND(C1253="Servicio",F1253&lt;&gt;"TMS",F1253&lt;&gt;"Valoración",F1253&lt;&gt;"EEG",F1253&lt;&gt;"Neurofeedback",F1253&lt;&gt;"Fotobiomodulación",F1253&lt;&gt;"Psicoterapia",F1253&lt;&gt;"Otros")),"Tipo o categoría inválido",IF(COUNTA(A1253:J1253)=0,"",IF(OR(A1253="",B1253="",C1253="",G1253=""),"Faltan datos",IF(COUNTIF($A$7:$A$2006,A1253)&gt;1,"ID duplicado",IF(OR(B1253&lt;DATE(Configuración!$C$5,1,1),B1253&gt;=DATE(Configuración!$C$5+1,1,1)),"Fecha fuera del año",IF(OR(G1253&lt;0,H1253&lt;0),"Revisar signo",IF(AND(C1253&lt;&gt;"Servicio",H1253&lt;&gt;0),"IVA solo en Servicio",IF(AND(C1253="Servicio",F1253=""),"Falta servicio","OK")))))))))</f>
        <v/>
      </c>
    </row>
    <row r="1254" spans="1:12" ht="22" customHeight="1">
      <c r="A1254" s="3"/>
      <c r="B1254" s="7"/>
      <c r="C1254" s="3"/>
      <c r="D1254" s="3"/>
      <c r="E1254" s="3"/>
      <c r="F1254" s="3"/>
      <c r="G1254" s="4"/>
      <c r="H1254" s="4"/>
      <c r="I1254" s="3"/>
      <c r="J1254" s="3"/>
      <c r="K1254" s="8" t="str">
        <f t="shared" si="19"/>
        <v/>
      </c>
      <c r="L1254" s="1" t="str">
        <f>IF(COUNTA(A1254:J1254)=0,"",IF(OR(AND(C1254&lt;&gt;"Servicio",C1254&lt;&gt;"Cobro",C1254&lt;&gt;"Anticipo",C1254&lt;&gt;"Aplicación anticipo",C1254&lt;&gt;"Retención ISR",C1254&lt;&gt;"Retención IVA"),AND(C1254="Servicio",F1254&lt;&gt;"TMS",F1254&lt;&gt;"Valoración",F1254&lt;&gt;"EEG",F1254&lt;&gt;"Neurofeedback",F1254&lt;&gt;"Fotobiomodulación",F1254&lt;&gt;"Psicoterapia",F1254&lt;&gt;"Otros")),"Tipo o categoría inválido",IF(COUNTA(A1254:J1254)=0,"",IF(OR(A1254="",B1254="",C1254="",G1254=""),"Faltan datos",IF(COUNTIF($A$7:$A$2006,A1254)&gt;1,"ID duplicado",IF(OR(B1254&lt;DATE(Configuración!$C$5,1,1),B1254&gt;=DATE(Configuración!$C$5+1,1,1)),"Fecha fuera del año",IF(OR(G1254&lt;0,H1254&lt;0),"Revisar signo",IF(AND(C1254&lt;&gt;"Servicio",H1254&lt;&gt;0),"IVA solo en Servicio",IF(AND(C1254="Servicio",F1254=""),"Falta servicio","OK")))))))))</f>
        <v/>
      </c>
    </row>
    <row r="1255" spans="1:12" ht="22" customHeight="1">
      <c r="A1255" s="3"/>
      <c r="B1255" s="7"/>
      <c r="C1255" s="3"/>
      <c r="D1255" s="3"/>
      <c r="E1255" s="3"/>
      <c r="F1255" s="3"/>
      <c r="G1255" s="4"/>
      <c r="H1255" s="4"/>
      <c r="I1255" s="3"/>
      <c r="J1255" s="3"/>
      <c r="K1255" s="8" t="str">
        <f t="shared" si="19"/>
        <v/>
      </c>
      <c r="L1255" s="1" t="str">
        <f>IF(COUNTA(A1255:J1255)=0,"",IF(OR(AND(C1255&lt;&gt;"Servicio",C1255&lt;&gt;"Cobro",C1255&lt;&gt;"Anticipo",C1255&lt;&gt;"Aplicación anticipo",C1255&lt;&gt;"Retención ISR",C1255&lt;&gt;"Retención IVA"),AND(C1255="Servicio",F1255&lt;&gt;"TMS",F1255&lt;&gt;"Valoración",F1255&lt;&gt;"EEG",F1255&lt;&gt;"Neurofeedback",F1255&lt;&gt;"Fotobiomodulación",F1255&lt;&gt;"Psicoterapia",F1255&lt;&gt;"Otros")),"Tipo o categoría inválido",IF(COUNTA(A1255:J1255)=0,"",IF(OR(A1255="",B1255="",C1255="",G1255=""),"Faltan datos",IF(COUNTIF($A$7:$A$2006,A1255)&gt;1,"ID duplicado",IF(OR(B1255&lt;DATE(Configuración!$C$5,1,1),B1255&gt;=DATE(Configuración!$C$5+1,1,1)),"Fecha fuera del año",IF(OR(G1255&lt;0,H1255&lt;0),"Revisar signo",IF(AND(C1255&lt;&gt;"Servicio",H1255&lt;&gt;0),"IVA solo en Servicio",IF(AND(C1255="Servicio",F1255=""),"Falta servicio","OK")))))))))</f>
        <v/>
      </c>
    </row>
    <row r="1256" spans="1:12" ht="22" customHeight="1">
      <c r="A1256" s="3"/>
      <c r="B1256" s="7"/>
      <c r="C1256" s="3"/>
      <c r="D1256" s="3"/>
      <c r="E1256" s="3"/>
      <c r="F1256" s="3"/>
      <c r="G1256" s="4"/>
      <c r="H1256" s="4"/>
      <c r="I1256" s="3"/>
      <c r="J1256" s="3"/>
      <c r="K1256" s="8" t="str">
        <f t="shared" si="19"/>
        <v/>
      </c>
      <c r="L1256" s="1" t="str">
        <f>IF(COUNTA(A1256:J1256)=0,"",IF(OR(AND(C1256&lt;&gt;"Servicio",C1256&lt;&gt;"Cobro",C1256&lt;&gt;"Anticipo",C1256&lt;&gt;"Aplicación anticipo",C1256&lt;&gt;"Retención ISR",C1256&lt;&gt;"Retención IVA"),AND(C1256="Servicio",F1256&lt;&gt;"TMS",F1256&lt;&gt;"Valoración",F1256&lt;&gt;"EEG",F1256&lt;&gt;"Neurofeedback",F1256&lt;&gt;"Fotobiomodulación",F1256&lt;&gt;"Psicoterapia",F1256&lt;&gt;"Otros")),"Tipo o categoría inválido",IF(COUNTA(A1256:J1256)=0,"",IF(OR(A1256="",B1256="",C1256="",G1256=""),"Faltan datos",IF(COUNTIF($A$7:$A$2006,A1256)&gt;1,"ID duplicado",IF(OR(B1256&lt;DATE(Configuración!$C$5,1,1),B1256&gt;=DATE(Configuración!$C$5+1,1,1)),"Fecha fuera del año",IF(OR(G1256&lt;0,H1256&lt;0),"Revisar signo",IF(AND(C1256&lt;&gt;"Servicio",H1256&lt;&gt;0),"IVA solo en Servicio",IF(AND(C1256="Servicio",F1256=""),"Falta servicio","OK")))))))))</f>
        <v/>
      </c>
    </row>
    <row r="1257" spans="1:12" ht="22" customHeight="1">
      <c r="A1257" s="3"/>
      <c r="B1257" s="7"/>
      <c r="C1257" s="3"/>
      <c r="D1257" s="3"/>
      <c r="E1257" s="3"/>
      <c r="F1257" s="3"/>
      <c r="G1257" s="4"/>
      <c r="H1257" s="4"/>
      <c r="I1257" s="3"/>
      <c r="J1257" s="3"/>
      <c r="K1257" s="8" t="str">
        <f t="shared" si="19"/>
        <v/>
      </c>
      <c r="L1257" s="1" t="str">
        <f>IF(COUNTA(A1257:J1257)=0,"",IF(OR(AND(C1257&lt;&gt;"Servicio",C1257&lt;&gt;"Cobro",C1257&lt;&gt;"Anticipo",C1257&lt;&gt;"Aplicación anticipo",C1257&lt;&gt;"Retención ISR",C1257&lt;&gt;"Retención IVA"),AND(C1257="Servicio",F1257&lt;&gt;"TMS",F1257&lt;&gt;"Valoración",F1257&lt;&gt;"EEG",F1257&lt;&gt;"Neurofeedback",F1257&lt;&gt;"Fotobiomodulación",F1257&lt;&gt;"Psicoterapia",F1257&lt;&gt;"Otros")),"Tipo o categoría inválido",IF(COUNTA(A1257:J1257)=0,"",IF(OR(A1257="",B1257="",C1257="",G1257=""),"Faltan datos",IF(COUNTIF($A$7:$A$2006,A1257)&gt;1,"ID duplicado",IF(OR(B1257&lt;DATE(Configuración!$C$5,1,1),B1257&gt;=DATE(Configuración!$C$5+1,1,1)),"Fecha fuera del año",IF(OR(G1257&lt;0,H1257&lt;0),"Revisar signo",IF(AND(C1257&lt;&gt;"Servicio",H1257&lt;&gt;0),"IVA solo en Servicio",IF(AND(C1257="Servicio",F1257=""),"Falta servicio","OK")))))))))</f>
        <v/>
      </c>
    </row>
    <row r="1258" spans="1:12" ht="22" customHeight="1">
      <c r="A1258" s="3"/>
      <c r="B1258" s="7"/>
      <c r="C1258" s="3"/>
      <c r="D1258" s="3"/>
      <c r="E1258" s="3"/>
      <c r="F1258" s="3"/>
      <c r="G1258" s="4"/>
      <c r="H1258" s="4"/>
      <c r="I1258" s="3"/>
      <c r="J1258" s="3"/>
      <c r="K1258" s="8" t="str">
        <f t="shared" si="19"/>
        <v/>
      </c>
      <c r="L1258" s="1" t="str">
        <f>IF(COUNTA(A1258:J1258)=0,"",IF(OR(AND(C1258&lt;&gt;"Servicio",C1258&lt;&gt;"Cobro",C1258&lt;&gt;"Anticipo",C1258&lt;&gt;"Aplicación anticipo",C1258&lt;&gt;"Retención ISR",C1258&lt;&gt;"Retención IVA"),AND(C1258="Servicio",F1258&lt;&gt;"TMS",F1258&lt;&gt;"Valoración",F1258&lt;&gt;"EEG",F1258&lt;&gt;"Neurofeedback",F1258&lt;&gt;"Fotobiomodulación",F1258&lt;&gt;"Psicoterapia",F1258&lt;&gt;"Otros")),"Tipo o categoría inválido",IF(COUNTA(A1258:J1258)=0,"",IF(OR(A1258="",B1258="",C1258="",G1258=""),"Faltan datos",IF(COUNTIF($A$7:$A$2006,A1258)&gt;1,"ID duplicado",IF(OR(B1258&lt;DATE(Configuración!$C$5,1,1),B1258&gt;=DATE(Configuración!$C$5+1,1,1)),"Fecha fuera del año",IF(OR(G1258&lt;0,H1258&lt;0),"Revisar signo",IF(AND(C1258&lt;&gt;"Servicio",H1258&lt;&gt;0),"IVA solo en Servicio",IF(AND(C1258="Servicio",F1258=""),"Falta servicio","OK")))))))))</f>
        <v/>
      </c>
    </row>
    <row r="1259" spans="1:12" ht="22" customHeight="1">
      <c r="A1259" s="3"/>
      <c r="B1259" s="7"/>
      <c r="C1259" s="3"/>
      <c r="D1259" s="3"/>
      <c r="E1259" s="3"/>
      <c r="F1259" s="3"/>
      <c r="G1259" s="4"/>
      <c r="H1259" s="4"/>
      <c r="I1259" s="3"/>
      <c r="J1259" s="3"/>
      <c r="K1259" s="8" t="str">
        <f t="shared" si="19"/>
        <v/>
      </c>
      <c r="L1259" s="1" t="str">
        <f>IF(COUNTA(A1259:J1259)=0,"",IF(OR(AND(C1259&lt;&gt;"Servicio",C1259&lt;&gt;"Cobro",C1259&lt;&gt;"Anticipo",C1259&lt;&gt;"Aplicación anticipo",C1259&lt;&gt;"Retención ISR",C1259&lt;&gt;"Retención IVA"),AND(C1259="Servicio",F1259&lt;&gt;"TMS",F1259&lt;&gt;"Valoración",F1259&lt;&gt;"EEG",F1259&lt;&gt;"Neurofeedback",F1259&lt;&gt;"Fotobiomodulación",F1259&lt;&gt;"Psicoterapia",F1259&lt;&gt;"Otros")),"Tipo o categoría inválido",IF(COUNTA(A1259:J1259)=0,"",IF(OR(A1259="",B1259="",C1259="",G1259=""),"Faltan datos",IF(COUNTIF($A$7:$A$2006,A1259)&gt;1,"ID duplicado",IF(OR(B1259&lt;DATE(Configuración!$C$5,1,1),B1259&gt;=DATE(Configuración!$C$5+1,1,1)),"Fecha fuera del año",IF(OR(G1259&lt;0,H1259&lt;0),"Revisar signo",IF(AND(C1259&lt;&gt;"Servicio",H1259&lt;&gt;0),"IVA solo en Servicio",IF(AND(C1259="Servicio",F1259=""),"Falta servicio","OK")))))))))</f>
        <v/>
      </c>
    </row>
    <row r="1260" spans="1:12" ht="22" customHeight="1">
      <c r="A1260" s="3"/>
      <c r="B1260" s="7"/>
      <c r="C1260" s="3"/>
      <c r="D1260" s="3"/>
      <c r="E1260" s="3"/>
      <c r="F1260" s="3"/>
      <c r="G1260" s="4"/>
      <c r="H1260" s="4"/>
      <c r="I1260" s="3"/>
      <c r="J1260" s="3"/>
      <c r="K1260" s="8" t="str">
        <f t="shared" si="19"/>
        <v/>
      </c>
      <c r="L1260" s="1" t="str">
        <f>IF(COUNTA(A1260:J1260)=0,"",IF(OR(AND(C1260&lt;&gt;"Servicio",C1260&lt;&gt;"Cobro",C1260&lt;&gt;"Anticipo",C1260&lt;&gt;"Aplicación anticipo",C1260&lt;&gt;"Retención ISR",C1260&lt;&gt;"Retención IVA"),AND(C1260="Servicio",F1260&lt;&gt;"TMS",F1260&lt;&gt;"Valoración",F1260&lt;&gt;"EEG",F1260&lt;&gt;"Neurofeedback",F1260&lt;&gt;"Fotobiomodulación",F1260&lt;&gt;"Psicoterapia",F1260&lt;&gt;"Otros")),"Tipo o categoría inválido",IF(COUNTA(A1260:J1260)=0,"",IF(OR(A1260="",B1260="",C1260="",G1260=""),"Faltan datos",IF(COUNTIF($A$7:$A$2006,A1260)&gt;1,"ID duplicado",IF(OR(B1260&lt;DATE(Configuración!$C$5,1,1),B1260&gt;=DATE(Configuración!$C$5+1,1,1)),"Fecha fuera del año",IF(OR(G1260&lt;0,H1260&lt;0),"Revisar signo",IF(AND(C1260&lt;&gt;"Servicio",H1260&lt;&gt;0),"IVA solo en Servicio",IF(AND(C1260="Servicio",F1260=""),"Falta servicio","OK")))))))))</f>
        <v/>
      </c>
    </row>
    <row r="1261" spans="1:12" ht="22" customHeight="1">
      <c r="A1261" s="3"/>
      <c r="B1261" s="7"/>
      <c r="C1261" s="3"/>
      <c r="D1261" s="3"/>
      <c r="E1261" s="3"/>
      <c r="F1261" s="3"/>
      <c r="G1261" s="4"/>
      <c r="H1261" s="4"/>
      <c r="I1261" s="3"/>
      <c r="J1261" s="3"/>
      <c r="K1261" s="8" t="str">
        <f t="shared" si="19"/>
        <v/>
      </c>
      <c r="L1261" s="1" t="str">
        <f>IF(COUNTA(A1261:J1261)=0,"",IF(OR(AND(C1261&lt;&gt;"Servicio",C1261&lt;&gt;"Cobro",C1261&lt;&gt;"Anticipo",C1261&lt;&gt;"Aplicación anticipo",C1261&lt;&gt;"Retención ISR",C1261&lt;&gt;"Retención IVA"),AND(C1261="Servicio",F1261&lt;&gt;"TMS",F1261&lt;&gt;"Valoración",F1261&lt;&gt;"EEG",F1261&lt;&gt;"Neurofeedback",F1261&lt;&gt;"Fotobiomodulación",F1261&lt;&gt;"Psicoterapia",F1261&lt;&gt;"Otros")),"Tipo o categoría inválido",IF(COUNTA(A1261:J1261)=0,"",IF(OR(A1261="",B1261="",C1261="",G1261=""),"Faltan datos",IF(COUNTIF($A$7:$A$2006,A1261)&gt;1,"ID duplicado",IF(OR(B1261&lt;DATE(Configuración!$C$5,1,1),B1261&gt;=DATE(Configuración!$C$5+1,1,1)),"Fecha fuera del año",IF(OR(G1261&lt;0,H1261&lt;0),"Revisar signo",IF(AND(C1261&lt;&gt;"Servicio",H1261&lt;&gt;0),"IVA solo en Servicio",IF(AND(C1261="Servicio",F1261=""),"Falta servicio","OK")))))))))</f>
        <v/>
      </c>
    </row>
    <row r="1262" spans="1:12" ht="22" customHeight="1">
      <c r="A1262" s="3"/>
      <c r="B1262" s="7"/>
      <c r="C1262" s="3"/>
      <c r="D1262" s="3"/>
      <c r="E1262" s="3"/>
      <c r="F1262" s="3"/>
      <c r="G1262" s="4"/>
      <c r="H1262" s="4"/>
      <c r="I1262" s="3"/>
      <c r="J1262" s="3"/>
      <c r="K1262" s="8" t="str">
        <f t="shared" si="19"/>
        <v/>
      </c>
      <c r="L1262" s="1" t="str">
        <f>IF(COUNTA(A1262:J1262)=0,"",IF(OR(AND(C1262&lt;&gt;"Servicio",C1262&lt;&gt;"Cobro",C1262&lt;&gt;"Anticipo",C1262&lt;&gt;"Aplicación anticipo",C1262&lt;&gt;"Retención ISR",C1262&lt;&gt;"Retención IVA"),AND(C1262="Servicio",F1262&lt;&gt;"TMS",F1262&lt;&gt;"Valoración",F1262&lt;&gt;"EEG",F1262&lt;&gt;"Neurofeedback",F1262&lt;&gt;"Fotobiomodulación",F1262&lt;&gt;"Psicoterapia",F1262&lt;&gt;"Otros")),"Tipo o categoría inválido",IF(COUNTA(A1262:J1262)=0,"",IF(OR(A1262="",B1262="",C1262="",G1262=""),"Faltan datos",IF(COUNTIF($A$7:$A$2006,A1262)&gt;1,"ID duplicado",IF(OR(B1262&lt;DATE(Configuración!$C$5,1,1),B1262&gt;=DATE(Configuración!$C$5+1,1,1)),"Fecha fuera del año",IF(OR(G1262&lt;0,H1262&lt;0),"Revisar signo",IF(AND(C1262&lt;&gt;"Servicio",H1262&lt;&gt;0),"IVA solo en Servicio",IF(AND(C1262="Servicio",F1262=""),"Falta servicio","OK")))))))))</f>
        <v/>
      </c>
    </row>
    <row r="1263" spans="1:12" ht="22" customHeight="1">
      <c r="A1263" s="3"/>
      <c r="B1263" s="7"/>
      <c r="C1263" s="3"/>
      <c r="D1263" s="3"/>
      <c r="E1263" s="3"/>
      <c r="F1263" s="3"/>
      <c r="G1263" s="4"/>
      <c r="H1263" s="4"/>
      <c r="I1263" s="3"/>
      <c r="J1263" s="3"/>
      <c r="K1263" s="8" t="str">
        <f t="shared" si="19"/>
        <v/>
      </c>
      <c r="L1263" s="1" t="str">
        <f>IF(COUNTA(A1263:J1263)=0,"",IF(OR(AND(C1263&lt;&gt;"Servicio",C1263&lt;&gt;"Cobro",C1263&lt;&gt;"Anticipo",C1263&lt;&gt;"Aplicación anticipo",C1263&lt;&gt;"Retención ISR",C1263&lt;&gt;"Retención IVA"),AND(C1263="Servicio",F1263&lt;&gt;"TMS",F1263&lt;&gt;"Valoración",F1263&lt;&gt;"EEG",F1263&lt;&gt;"Neurofeedback",F1263&lt;&gt;"Fotobiomodulación",F1263&lt;&gt;"Psicoterapia",F1263&lt;&gt;"Otros")),"Tipo o categoría inválido",IF(COUNTA(A1263:J1263)=0,"",IF(OR(A1263="",B1263="",C1263="",G1263=""),"Faltan datos",IF(COUNTIF($A$7:$A$2006,A1263)&gt;1,"ID duplicado",IF(OR(B1263&lt;DATE(Configuración!$C$5,1,1),B1263&gt;=DATE(Configuración!$C$5+1,1,1)),"Fecha fuera del año",IF(OR(G1263&lt;0,H1263&lt;0),"Revisar signo",IF(AND(C1263&lt;&gt;"Servicio",H1263&lt;&gt;0),"IVA solo en Servicio",IF(AND(C1263="Servicio",F1263=""),"Falta servicio","OK")))))))))</f>
        <v/>
      </c>
    </row>
    <row r="1264" spans="1:12" ht="22" customHeight="1">
      <c r="A1264" s="3"/>
      <c r="B1264" s="7"/>
      <c r="C1264" s="3"/>
      <c r="D1264" s="3"/>
      <c r="E1264" s="3"/>
      <c r="F1264" s="3"/>
      <c r="G1264" s="4"/>
      <c r="H1264" s="4"/>
      <c r="I1264" s="3"/>
      <c r="J1264" s="3"/>
      <c r="K1264" s="8" t="str">
        <f t="shared" si="19"/>
        <v/>
      </c>
      <c r="L1264" s="1" t="str">
        <f>IF(COUNTA(A1264:J1264)=0,"",IF(OR(AND(C1264&lt;&gt;"Servicio",C1264&lt;&gt;"Cobro",C1264&lt;&gt;"Anticipo",C1264&lt;&gt;"Aplicación anticipo",C1264&lt;&gt;"Retención ISR",C1264&lt;&gt;"Retención IVA"),AND(C1264="Servicio",F1264&lt;&gt;"TMS",F1264&lt;&gt;"Valoración",F1264&lt;&gt;"EEG",F1264&lt;&gt;"Neurofeedback",F1264&lt;&gt;"Fotobiomodulación",F1264&lt;&gt;"Psicoterapia",F1264&lt;&gt;"Otros")),"Tipo o categoría inválido",IF(COUNTA(A1264:J1264)=0,"",IF(OR(A1264="",B1264="",C1264="",G1264=""),"Faltan datos",IF(COUNTIF($A$7:$A$2006,A1264)&gt;1,"ID duplicado",IF(OR(B1264&lt;DATE(Configuración!$C$5,1,1),B1264&gt;=DATE(Configuración!$C$5+1,1,1)),"Fecha fuera del año",IF(OR(G1264&lt;0,H1264&lt;0),"Revisar signo",IF(AND(C1264&lt;&gt;"Servicio",H1264&lt;&gt;0),"IVA solo en Servicio",IF(AND(C1264="Servicio",F1264=""),"Falta servicio","OK")))))))))</f>
        <v/>
      </c>
    </row>
    <row r="1265" spans="1:12" ht="22" customHeight="1">
      <c r="A1265" s="3"/>
      <c r="B1265" s="7"/>
      <c r="C1265" s="3"/>
      <c r="D1265" s="3"/>
      <c r="E1265" s="3"/>
      <c r="F1265" s="3"/>
      <c r="G1265" s="4"/>
      <c r="H1265" s="4"/>
      <c r="I1265" s="3"/>
      <c r="J1265" s="3"/>
      <c r="K1265" s="8" t="str">
        <f t="shared" si="19"/>
        <v/>
      </c>
      <c r="L1265" s="1" t="str">
        <f>IF(COUNTA(A1265:J1265)=0,"",IF(OR(AND(C1265&lt;&gt;"Servicio",C1265&lt;&gt;"Cobro",C1265&lt;&gt;"Anticipo",C1265&lt;&gt;"Aplicación anticipo",C1265&lt;&gt;"Retención ISR",C1265&lt;&gt;"Retención IVA"),AND(C1265="Servicio",F1265&lt;&gt;"TMS",F1265&lt;&gt;"Valoración",F1265&lt;&gt;"EEG",F1265&lt;&gt;"Neurofeedback",F1265&lt;&gt;"Fotobiomodulación",F1265&lt;&gt;"Psicoterapia",F1265&lt;&gt;"Otros")),"Tipo o categoría inválido",IF(COUNTA(A1265:J1265)=0,"",IF(OR(A1265="",B1265="",C1265="",G1265=""),"Faltan datos",IF(COUNTIF($A$7:$A$2006,A1265)&gt;1,"ID duplicado",IF(OR(B1265&lt;DATE(Configuración!$C$5,1,1),B1265&gt;=DATE(Configuración!$C$5+1,1,1)),"Fecha fuera del año",IF(OR(G1265&lt;0,H1265&lt;0),"Revisar signo",IF(AND(C1265&lt;&gt;"Servicio",H1265&lt;&gt;0),"IVA solo en Servicio",IF(AND(C1265="Servicio",F1265=""),"Falta servicio","OK")))))))))</f>
        <v/>
      </c>
    </row>
    <row r="1266" spans="1:12" ht="22" customHeight="1">
      <c r="A1266" s="3"/>
      <c r="B1266" s="7"/>
      <c r="C1266" s="3"/>
      <c r="D1266" s="3"/>
      <c r="E1266" s="3"/>
      <c r="F1266" s="3"/>
      <c r="G1266" s="4"/>
      <c r="H1266" s="4"/>
      <c r="I1266" s="3"/>
      <c r="J1266" s="3"/>
      <c r="K1266" s="8" t="str">
        <f t="shared" si="19"/>
        <v/>
      </c>
      <c r="L1266" s="1" t="str">
        <f>IF(COUNTA(A1266:J1266)=0,"",IF(OR(AND(C1266&lt;&gt;"Servicio",C1266&lt;&gt;"Cobro",C1266&lt;&gt;"Anticipo",C1266&lt;&gt;"Aplicación anticipo",C1266&lt;&gt;"Retención ISR",C1266&lt;&gt;"Retención IVA"),AND(C1266="Servicio",F1266&lt;&gt;"TMS",F1266&lt;&gt;"Valoración",F1266&lt;&gt;"EEG",F1266&lt;&gt;"Neurofeedback",F1266&lt;&gt;"Fotobiomodulación",F1266&lt;&gt;"Psicoterapia",F1266&lt;&gt;"Otros")),"Tipo o categoría inválido",IF(COUNTA(A1266:J1266)=0,"",IF(OR(A1266="",B1266="",C1266="",G1266=""),"Faltan datos",IF(COUNTIF($A$7:$A$2006,A1266)&gt;1,"ID duplicado",IF(OR(B1266&lt;DATE(Configuración!$C$5,1,1),B1266&gt;=DATE(Configuración!$C$5+1,1,1)),"Fecha fuera del año",IF(OR(G1266&lt;0,H1266&lt;0),"Revisar signo",IF(AND(C1266&lt;&gt;"Servicio",H1266&lt;&gt;0),"IVA solo en Servicio",IF(AND(C1266="Servicio",F1266=""),"Falta servicio","OK")))))))))</f>
        <v/>
      </c>
    </row>
    <row r="1267" spans="1:12" ht="22" customHeight="1">
      <c r="A1267" s="3"/>
      <c r="B1267" s="7"/>
      <c r="C1267" s="3"/>
      <c r="D1267" s="3"/>
      <c r="E1267" s="3"/>
      <c r="F1267" s="3"/>
      <c r="G1267" s="4"/>
      <c r="H1267" s="4"/>
      <c r="I1267" s="3"/>
      <c r="J1267" s="3"/>
      <c r="K1267" s="8" t="str">
        <f t="shared" si="19"/>
        <v/>
      </c>
      <c r="L1267" s="1" t="str">
        <f>IF(COUNTA(A1267:J1267)=0,"",IF(OR(AND(C1267&lt;&gt;"Servicio",C1267&lt;&gt;"Cobro",C1267&lt;&gt;"Anticipo",C1267&lt;&gt;"Aplicación anticipo",C1267&lt;&gt;"Retención ISR",C1267&lt;&gt;"Retención IVA"),AND(C1267="Servicio",F1267&lt;&gt;"TMS",F1267&lt;&gt;"Valoración",F1267&lt;&gt;"EEG",F1267&lt;&gt;"Neurofeedback",F1267&lt;&gt;"Fotobiomodulación",F1267&lt;&gt;"Psicoterapia",F1267&lt;&gt;"Otros")),"Tipo o categoría inválido",IF(COUNTA(A1267:J1267)=0,"",IF(OR(A1267="",B1267="",C1267="",G1267=""),"Faltan datos",IF(COUNTIF($A$7:$A$2006,A1267)&gt;1,"ID duplicado",IF(OR(B1267&lt;DATE(Configuración!$C$5,1,1),B1267&gt;=DATE(Configuración!$C$5+1,1,1)),"Fecha fuera del año",IF(OR(G1267&lt;0,H1267&lt;0),"Revisar signo",IF(AND(C1267&lt;&gt;"Servicio",H1267&lt;&gt;0),"IVA solo en Servicio",IF(AND(C1267="Servicio",F1267=""),"Falta servicio","OK")))))))))</f>
        <v/>
      </c>
    </row>
    <row r="1268" spans="1:12" ht="22" customHeight="1">
      <c r="A1268" s="3"/>
      <c r="B1268" s="7"/>
      <c r="C1268" s="3"/>
      <c r="D1268" s="3"/>
      <c r="E1268" s="3"/>
      <c r="F1268" s="3"/>
      <c r="G1268" s="4"/>
      <c r="H1268" s="4"/>
      <c r="I1268" s="3"/>
      <c r="J1268" s="3"/>
      <c r="K1268" s="8" t="str">
        <f t="shared" si="19"/>
        <v/>
      </c>
      <c r="L1268" s="1" t="str">
        <f>IF(COUNTA(A1268:J1268)=0,"",IF(OR(AND(C1268&lt;&gt;"Servicio",C1268&lt;&gt;"Cobro",C1268&lt;&gt;"Anticipo",C1268&lt;&gt;"Aplicación anticipo",C1268&lt;&gt;"Retención ISR",C1268&lt;&gt;"Retención IVA"),AND(C1268="Servicio",F1268&lt;&gt;"TMS",F1268&lt;&gt;"Valoración",F1268&lt;&gt;"EEG",F1268&lt;&gt;"Neurofeedback",F1268&lt;&gt;"Fotobiomodulación",F1268&lt;&gt;"Psicoterapia",F1268&lt;&gt;"Otros")),"Tipo o categoría inválido",IF(COUNTA(A1268:J1268)=0,"",IF(OR(A1268="",B1268="",C1268="",G1268=""),"Faltan datos",IF(COUNTIF($A$7:$A$2006,A1268)&gt;1,"ID duplicado",IF(OR(B1268&lt;DATE(Configuración!$C$5,1,1),B1268&gt;=DATE(Configuración!$C$5+1,1,1)),"Fecha fuera del año",IF(OR(G1268&lt;0,H1268&lt;0),"Revisar signo",IF(AND(C1268&lt;&gt;"Servicio",H1268&lt;&gt;0),"IVA solo en Servicio",IF(AND(C1268="Servicio",F1268=""),"Falta servicio","OK")))))))))</f>
        <v/>
      </c>
    </row>
    <row r="1269" spans="1:12" ht="22" customHeight="1">
      <c r="A1269" s="3"/>
      <c r="B1269" s="7"/>
      <c r="C1269" s="3"/>
      <c r="D1269" s="3"/>
      <c r="E1269" s="3"/>
      <c r="F1269" s="3"/>
      <c r="G1269" s="4"/>
      <c r="H1269" s="4"/>
      <c r="I1269" s="3"/>
      <c r="J1269" s="3"/>
      <c r="K1269" s="8" t="str">
        <f t="shared" si="19"/>
        <v/>
      </c>
      <c r="L1269" s="1" t="str">
        <f>IF(COUNTA(A1269:J1269)=0,"",IF(OR(AND(C1269&lt;&gt;"Servicio",C1269&lt;&gt;"Cobro",C1269&lt;&gt;"Anticipo",C1269&lt;&gt;"Aplicación anticipo",C1269&lt;&gt;"Retención ISR",C1269&lt;&gt;"Retención IVA"),AND(C1269="Servicio",F1269&lt;&gt;"TMS",F1269&lt;&gt;"Valoración",F1269&lt;&gt;"EEG",F1269&lt;&gt;"Neurofeedback",F1269&lt;&gt;"Fotobiomodulación",F1269&lt;&gt;"Psicoterapia",F1269&lt;&gt;"Otros")),"Tipo o categoría inválido",IF(COUNTA(A1269:J1269)=0,"",IF(OR(A1269="",B1269="",C1269="",G1269=""),"Faltan datos",IF(COUNTIF($A$7:$A$2006,A1269)&gt;1,"ID duplicado",IF(OR(B1269&lt;DATE(Configuración!$C$5,1,1),B1269&gt;=DATE(Configuración!$C$5+1,1,1)),"Fecha fuera del año",IF(OR(G1269&lt;0,H1269&lt;0),"Revisar signo",IF(AND(C1269&lt;&gt;"Servicio",H1269&lt;&gt;0),"IVA solo en Servicio",IF(AND(C1269="Servicio",F1269=""),"Falta servicio","OK")))))))))</f>
        <v/>
      </c>
    </row>
    <row r="1270" spans="1:12" ht="22" customHeight="1">
      <c r="A1270" s="3"/>
      <c r="B1270" s="7"/>
      <c r="C1270" s="3"/>
      <c r="D1270" s="3"/>
      <c r="E1270" s="3"/>
      <c r="F1270" s="3"/>
      <c r="G1270" s="4"/>
      <c r="H1270" s="4"/>
      <c r="I1270" s="3"/>
      <c r="J1270" s="3"/>
      <c r="K1270" s="8" t="str">
        <f t="shared" si="19"/>
        <v/>
      </c>
      <c r="L1270" s="1" t="str">
        <f>IF(COUNTA(A1270:J1270)=0,"",IF(OR(AND(C1270&lt;&gt;"Servicio",C1270&lt;&gt;"Cobro",C1270&lt;&gt;"Anticipo",C1270&lt;&gt;"Aplicación anticipo",C1270&lt;&gt;"Retención ISR",C1270&lt;&gt;"Retención IVA"),AND(C1270="Servicio",F1270&lt;&gt;"TMS",F1270&lt;&gt;"Valoración",F1270&lt;&gt;"EEG",F1270&lt;&gt;"Neurofeedback",F1270&lt;&gt;"Fotobiomodulación",F1270&lt;&gt;"Psicoterapia",F1270&lt;&gt;"Otros")),"Tipo o categoría inválido",IF(COUNTA(A1270:J1270)=0,"",IF(OR(A1270="",B1270="",C1270="",G1270=""),"Faltan datos",IF(COUNTIF($A$7:$A$2006,A1270)&gt;1,"ID duplicado",IF(OR(B1270&lt;DATE(Configuración!$C$5,1,1),B1270&gt;=DATE(Configuración!$C$5+1,1,1)),"Fecha fuera del año",IF(OR(G1270&lt;0,H1270&lt;0),"Revisar signo",IF(AND(C1270&lt;&gt;"Servicio",H1270&lt;&gt;0),"IVA solo en Servicio",IF(AND(C1270="Servicio",F1270=""),"Falta servicio","OK")))))))))</f>
        <v/>
      </c>
    </row>
    <row r="1271" spans="1:12" ht="22" customHeight="1">
      <c r="A1271" s="3"/>
      <c r="B1271" s="7"/>
      <c r="C1271" s="3"/>
      <c r="D1271" s="3"/>
      <c r="E1271" s="3"/>
      <c r="F1271" s="3"/>
      <c r="G1271" s="4"/>
      <c r="H1271" s="4"/>
      <c r="I1271" s="3"/>
      <c r="J1271" s="3"/>
      <c r="K1271" s="8" t="str">
        <f t="shared" si="19"/>
        <v/>
      </c>
      <c r="L1271" s="1" t="str">
        <f>IF(COUNTA(A1271:J1271)=0,"",IF(OR(AND(C1271&lt;&gt;"Servicio",C1271&lt;&gt;"Cobro",C1271&lt;&gt;"Anticipo",C1271&lt;&gt;"Aplicación anticipo",C1271&lt;&gt;"Retención ISR",C1271&lt;&gt;"Retención IVA"),AND(C1271="Servicio",F1271&lt;&gt;"TMS",F1271&lt;&gt;"Valoración",F1271&lt;&gt;"EEG",F1271&lt;&gt;"Neurofeedback",F1271&lt;&gt;"Fotobiomodulación",F1271&lt;&gt;"Psicoterapia",F1271&lt;&gt;"Otros")),"Tipo o categoría inválido",IF(COUNTA(A1271:J1271)=0,"",IF(OR(A1271="",B1271="",C1271="",G1271=""),"Faltan datos",IF(COUNTIF($A$7:$A$2006,A1271)&gt;1,"ID duplicado",IF(OR(B1271&lt;DATE(Configuración!$C$5,1,1),B1271&gt;=DATE(Configuración!$C$5+1,1,1)),"Fecha fuera del año",IF(OR(G1271&lt;0,H1271&lt;0),"Revisar signo",IF(AND(C1271&lt;&gt;"Servicio",H1271&lt;&gt;0),"IVA solo en Servicio",IF(AND(C1271="Servicio",F1271=""),"Falta servicio","OK")))))))))</f>
        <v/>
      </c>
    </row>
    <row r="1272" spans="1:12" ht="22" customHeight="1">
      <c r="A1272" s="3"/>
      <c r="B1272" s="7"/>
      <c r="C1272" s="3"/>
      <c r="D1272" s="3"/>
      <c r="E1272" s="3"/>
      <c r="F1272" s="3"/>
      <c r="G1272" s="4"/>
      <c r="H1272" s="4"/>
      <c r="I1272" s="3"/>
      <c r="J1272" s="3"/>
      <c r="K1272" s="8" t="str">
        <f t="shared" si="19"/>
        <v/>
      </c>
      <c r="L1272" s="1" t="str">
        <f>IF(COUNTA(A1272:J1272)=0,"",IF(OR(AND(C1272&lt;&gt;"Servicio",C1272&lt;&gt;"Cobro",C1272&lt;&gt;"Anticipo",C1272&lt;&gt;"Aplicación anticipo",C1272&lt;&gt;"Retención ISR",C1272&lt;&gt;"Retención IVA"),AND(C1272="Servicio",F1272&lt;&gt;"TMS",F1272&lt;&gt;"Valoración",F1272&lt;&gt;"EEG",F1272&lt;&gt;"Neurofeedback",F1272&lt;&gt;"Fotobiomodulación",F1272&lt;&gt;"Psicoterapia",F1272&lt;&gt;"Otros")),"Tipo o categoría inválido",IF(COUNTA(A1272:J1272)=0,"",IF(OR(A1272="",B1272="",C1272="",G1272=""),"Faltan datos",IF(COUNTIF($A$7:$A$2006,A1272)&gt;1,"ID duplicado",IF(OR(B1272&lt;DATE(Configuración!$C$5,1,1),B1272&gt;=DATE(Configuración!$C$5+1,1,1)),"Fecha fuera del año",IF(OR(G1272&lt;0,H1272&lt;0),"Revisar signo",IF(AND(C1272&lt;&gt;"Servicio",H1272&lt;&gt;0),"IVA solo en Servicio",IF(AND(C1272="Servicio",F1272=""),"Falta servicio","OK")))))))))</f>
        <v/>
      </c>
    </row>
    <row r="1273" spans="1:12" ht="22" customHeight="1">
      <c r="A1273" s="3"/>
      <c r="B1273" s="7"/>
      <c r="C1273" s="3"/>
      <c r="D1273" s="3"/>
      <c r="E1273" s="3"/>
      <c r="F1273" s="3"/>
      <c r="G1273" s="4"/>
      <c r="H1273" s="4"/>
      <c r="I1273" s="3"/>
      <c r="J1273" s="3"/>
      <c r="K1273" s="8" t="str">
        <f t="shared" si="19"/>
        <v/>
      </c>
      <c r="L1273" s="1" t="str">
        <f>IF(COUNTA(A1273:J1273)=0,"",IF(OR(AND(C1273&lt;&gt;"Servicio",C1273&lt;&gt;"Cobro",C1273&lt;&gt;"Anticipo",C1273&lt;&gt;"Aplicación anticipo",C1273&lt;&gt;"Retención ISR",C1273&lt;&gt;"Retención IVA"),AND(C1273="Servicio",F1273&lt;&gt;"TMS",F1273&lt;&gt;"Valoración",F1273&lt;&gt;"EEG",F1273&lt;&gt;"Neurofeedback",F1273&lt;&gt;"Fotobiomodulación",F1273&lt;&gt;"Psicoterapia",F1273&lt;&gt;"Otros")),"Tipo o categoría inválido",IF(COUNTA(A1273:J1273)=0,"",IF(OR(A1273="",B1273="",C1273="",G1273=""),"Faltan datos",IF(COUNTIF($A$7:$A$2006,A1273)&gt;1,"ID duplicado",IF(OR(B1273&lt;DATE(Configuración!$C$5,1,1),B1273&gt;=DATE(Configuración!$C$5+1,1,1)),"Fecha fuera del año",IF(OR(G1273&lt;0,H1273&lt;0),"Revisar signo",IF(AND(C1273&lt;&gt;"Servicio",H1273&lt;&gt;0),"IVA solo en Servicio",IF(AND(C1273="Servicio",F1273=""),"Falta servicio","OK")))))))))</f>
        <v/>
      </c>
    </row>
    <row r="1274" spans="1:12" ht="22" customHeight="1">
      <c r="A1274" s="3"/>
      <c r="B1274" s="7"/>
      <c r="C1274" s="3"/>
      <c r="D1274" s="3"/>
      <c r="E1274" s="3"/>
      <c r="F1274" s="3"/>
      <c r="G1274" s="4"/>
      <c r="H1274" s="4"/>
      <c r="I1274" s="3"/>
      <c r="J1274" s="3"/>
      <c r="K1274" s="8" t="str">
        <f t="shared" si="19"/>
        <v/>
      </c>
      <c r="L1274" s="1" t="str">
        <f>IF(COUNTA(A1274:J1274)=0,"",IF(OR(AND(C1274&lt;&gt;"Servicio",C1274&lt;&gt;"Cobro",C1274&lt;&gt;"Anticipo",C1274&lt;&gt;"Aplicación anticipo",C1274&lt;&gt;"Retención ISR",C1274&lt;&gt;"Retención IVA"),AND(C1274="Servicio",F1274&lt;&gt;"TMS",F1274&lt;&gt;"Valoración",F1274&lt;&gt;"EEG",F1274&lt;&gt;"Neurofeedback",F1274&lt;&gt;"Fotobiomodulación",F1274&lt;&gt;"Psicoterapia",F1274&lt;&gt;"Otros")),"Tipo o categoría inválido",IF(COUNTA(A1274:J1274)=0,"",IF(OR(A1274="",B1274="",C1274="",G1274=""),"Faltan datos",IF(COUNTIF($A$7:$A$2006,A1274)&gt;1,"ID duplicado",IF(OR(B1274&lt;DATE(Configuración!$C$5,1,1),B1274&gt;=DATE(Configuración!$C$5+1,1,1)),"Fecha fuera del año",IF(OR(G1274&lt;0,H1274&lt;0),"Revisar signo",IF(AND(C1274&lt;&gt;"Servicio",H1274&lt;&gt;0),"IVA solo en Servicio",IF(AND(C1274="Servicio",F1274=""),"Falta servicio","OK")))))))))</f>
        <v/>
      </c>
    </row>
    <row r="1275" spans="1:12" ht="22" customHeight="1">
      <c r="A1275" s="3"/>
      <c r="B1275" s="7"/>
      <c r="C1275" s="3"/>
      <c r="D1275" s="3"/>
      <c r="E1275" s="3"/>
      <c r="F1275" s="3"/>
      <c r="G1275" s="4"/>
      <c r="H1275" s="4"/>
      <c r="I1275" s="3"/>
      <c r="J1275" s="3"/>
      <c r="K1275" s="8" t="str">
        <f t="shared" si="19"/>
        <v/>
      </c>
      <c r="L1275" s="1" t="str">
        <f>IF(COUNTA(A1275:J1275)=0,"",IF(OR(AND(C1275&lt;&gt;"Servicio",C1275&lt;&gt;"Cobro",C1275&lt;&gt;"Anticipo",C1275&lt;&gt;"Aplicación anticipo",C1275&lt;&gt;"Retención ISR",C1275&lt;&gt;"Retención IVA"),AND(C1275="Servicio",F1275&lt;&gt;"TMS",F1275&lt;&gt;"Valoración",F1275&lt;&gt;"EEG",F1275&lt;&gt;"Neurofeedback",F1275&lt;&gt;"Fotobiomodulación",F1275&lt;&gt;"Psicoterapia",F1275&lt;&gt;"Otros")),"Tipo o categoría inválido",IF(COUNTA(A1275:J1275)=0,"",IF(OR(A1275="",B1275="",C1275="",G1275=""),"Faltan datos",IF(COUNTIF($A$7:$A$2006,A1275)&gt;1,"ID duplicado",IF(OR(B1275&lt;DATE(Configuración!$C$5,1,1),B1275&gt;=DATE(Configuración!$C$5+1,1,1)),"Fecha fuera del año",IF(OR(G1275&lt;0,H1275&lt;0),"Revisar signo",IF(AND(C1275&lt;&gt;"Servicio",H1275&lt;&gt;0),"IVA solo en Servicio",IF(AND(C1275="Servicio",F1275=""),"Falta servicio","OK")))))))))</f>
        <v/>
      </c>
    </row>
    <row r="1276" spans="1:12" ht="22" customHeight="1">
      <c r="A1276" s="3"/>
      <c r="B1276" s="7"/>
      <c r="C1276" s="3"/>
      <c r="D1276" s="3"/>
      <c r="E1276" s="3"/>
      <c r="F1276" s="3"/>
      <c r="G1276" s="4"/>
      <c r="H1276" s="4"/>
      <c r="I1276" s="3"/>
      <c r="J1276" s="3"/>
      <c r="K1276" s="8" t="str">
        <f t="shared" si="19"/>
        <v/>
      </c>
      <c r="L1276" s="1" t="str">
        <f>IF(COUNTA(A1276:J1276)=0,"",IF(OR(AND(C1276&lt;&gt;"Servicio",C1276&lt;&gt;"Cobro",C1276&lt;&gt;"Anticipo",C1276&lt;&gt;"Aplicación anticipo",C1276&lt;&gt;"Retención ISR",C1276&lt;&gt;"Retención IVA"),AND(C1276="Servicio",F1276&lt;&gt;"TMS",F1276&lt;&gt;"Valoración",F1276&lt;&gt;"EEG",F1276&lt;&gt;"Neurofeedback",F1276&lt;&gt;"Fotobiomodulación",F1276&lt;&gt;"Psicoterapia",F1276&lt;&gt;"Otros")),"Tipo o categoría inválido",IF(COUNTA(A1276:J1276)=0,"",IF(OR(A1276="",B1276="",C1276="",G1276=""),"Faltan datos",IF(COUNTIF($A$7:$A$2006,A1276)&gt;1,"ID duplicado",IF(OR(B1276&lt;DATE(Configuración!$C$5,1,1),B1276&gt;=DATE(Configuración!$C$5+1,1,1)),"Fecha fuera del año",IF(OR(G1276&lt;0,H1276&lt;0),"Revisar signo",IF(AND(C1276&lt;&gt;"Servicio",H1276&lt;&gt;0),"IVA solo en Servicio",IF(AND(C1276="Servicio",F1276=""),"Falta servicio","OK")))))))))</f>
        <v/>
      </c>
    </row>
    <row r="1277" spans="1:12" ht="22" customHeight="1">
      <c r="A1277" s="3"/>
      <c r="B1277" s="7"/>
      <c r="C1277" s="3"/>
      <c r="D1277" s="3"/>
      <c r="E1277" s="3"/>
      <c r="F1277" s="3"/>
      <c r="G1277" s="4"/>
      <c r="H1277" s="4"/>
      <c r="I1277" s="3"/>
      <c r="J1277" s="3"/>
      <c r="K1277" s="8" t="str">
        <f t="shared" si="19"/>
        <v/>
      </c>
      <c r="L1277" s="1" t="str">
        <f>IF(COUNTA(A1277:J1277)=0,"",IF(OR(AND(C1277&lt;&gt;"Servicio",C1277&lt;&gt;"Cobro",C1277&lt;&gt;"Anticipo",C1277&lt;&gt;"Aplicación anticipo",C1277&lt;&gt;"Retención ISR",C1277&lt;&gt;"Retención IVA"),AND(C1277="Servicio",F1277&lt;&gt;"TMS",F1277&lt;&gt;"Valoración",F1277&lt;&gt;"EEG",F1277&lt;&gt;"Neurofeedback",F1277&lt;&gt;"Fotobiomodulación",F1277&lt;&gt;"Psicoterapia",F1277&lt;&gt;"Otros")),"Tipo o categoría inválido",IF(COUNTA(A1277:J1277)=0,"",IF(OR(A1277="",B1277="",C1277="",G1277=""),"Faltan datos",IF(COUNTIF($A$7:$A$2006,A1277)&gt;1,"ID duplicado",IF(OR(B1277&lt;DATE(Configuración!$C$5,1,1),B1277&gt;=DATE(Configuración!$C$5+1,1,1)),"Fecha fuera del año",IF(OR(G1277&lt;0,H1277&lt;0),"Revisar signo",IF(AND(C1277&lt;&gt;"Servicio",H1277&lt;&gt;0),"IVA solo en Servicio",IF(AND(C1277="Servicio",F1277=""),"Falta servicio","OK")))))))))</f>
        <v/>
      </c>
    </row>
    <row r="1278" spans="1:12" ht="22" customHeight="1">
      <c r="A1278" s="3"/>
      <c r="B1278" s="7"/>
      <c r="C1278" s="3"/>
      <c r="D1278" s="3"/>
      <c r="E1278" s="3"/>
      <c r="F1278" s="3"/>
      <c r="G1278" s="4"/>
      <c r="H1278" s="4"/>
      <c r="I1278" s="3"/>
      <c r="J1278" s="3"/>
      <c r="K1278" s="8" t="str">
        <f t="shared" si="19"/>
        <v/>
      </c>
      <c r="L1278" s="1" t="str">
        <f>IF(COUNTA(A1278:J1278)=0,"",IF(OR(AND(C1278&lt;&gt;"Servicio",C1278&lt;&gt;"Cobro",C1278&lt;&gt;"Anticipo",C1278&lt;&gt;"Aplicación anticipo",C1278&lt;&gt;"Retención ISR",C1278&lt;&gt;"Retención IVA"),AND(C1278="Servicio",F1278&lt;&gt;"TMS",F1278&lt;&gt;"Valoración",F1278&lt;&gt;"EEG",F1278&lt;&gt;"Neurofeedback",F1278&lt;&gt;"Fotobiomodulación",F1278&lt;&gt;"Psicoterapia",F1278&lt;&gt;"Otros")),"Tipo o categoría inválido",IF(COUNTA(A1278:J1278)=0,"",IF(OR(A1278="",B1278="",C1278="",G1278=""),"Faltan datos",IF(COUNTIF($A$7:$A$2006,A1278)&gt;1,"ID duplicado",IF(OR(B1278&lt;DATE(Configuración!$C$5,1,1),B1278&gt;=DATE(Configuración!$C$5+1,1,1)),"Fecha fuera del año",IF(OR(G1278&lt;0,H1278&lt;0),"Revisar signo",IF(AND(C1278&lt;&gt;"Servicio",H1278&lt;&gt;0),"IVA solo en Servicio",IF(AND(C1278="Servicio",F1278=""),"Falta servicio","OK")))))))))</f>
        <v/>
      </c>
    </row>
    <row r="1279" spans="1:12" ht="22" customHeight="1">
      <c r="A1279" s="3"/>
      <c r="B1279" s="7"/>
      <c r="C1279" s="3"/>
      <c r="D1279" s="3"/>
      <c r="E1279" s="3"/>
      <c r="F1279" s="3"/>
      <c r="G1279" s="4"/>
      <c r="H1279" s="4"/>
      <c r="I1279" s="3"/>
      <c r="J1279" s="3"/>
      <c r="K1279" s="8" t="str">
        <f t="shared" si="19"/>
        <v/>
      </c>
      <c r="L1279" s="1" t="str">
        <f>IF(COUNTA(A1279:J1279)=0,"",IF(OR(AND(C1279&lt;&gt;"Servicio",C1279&lt;&gt;"Cobro",C1279&lt;&gt;"Anticipo",C1279&lt;&gt;"Aplicación anticipo",C1279&lt;&gt;"Retención ISR",C1279&lt;&gt;"Retención IVA"),AND(C1279="Servicio",F1279&lt;&gt;"TMS",F1279&lt;&gt;"Valoración",F1279&lt;&gt;"EEG",F1279&lt;&gt;"Neurofeedback",F1279&lt;&gt;"Fotobiomodulación",F1279&lt;&gt;"Psicoterapia",F1279&lt;&gt;"Otros")),"Tipo o categoría inválido",IF(COUNTA(A1279:J1279)=0,"",IF(OR(A1279="",B1279="",C1279="",G1279=""),"Faltan datos",IF(COUNTIF($A$7:$A$2006,A1279)&gt;1,"ID duplicado",IF(OR(B1279&lt;DATE(Configuración!$C$5,1,1),B1279&gt;=DATE(Configuración!$C$5+1,1,1)),"Fecha fuera del año",IF(OR(G1279&lt;0,H1279&lt;0),"Revisar signo",IF(AND(C1279&lt;&gt;"Servicio",H1279&lt;&gt;0),"IVA solo en Servicio",IF(AND(C1279="Servicio",F1279=""),"Falta servicio","OK")))))))))</f>
        <v/>
      </c>
    </row>
    <row r="1280" spans="1:12" ht="22" customHeight="1">
      <c r="A1280" s="3"/>
      <c r="B1280" s="7"/>
      <c r="C1280" s="3"/>
      <c r="D1280" s="3"/>
      <c r="E1280" s="3"/>
      <c r="F1280" s="3"/>
      <c r="G1280" s="4"/>
      <c r="H1280" s="4"/>
      <c r="I1280" s="3"/>
      <c r="J1280" s="3"/>
      <c r="K1280" s="8" t="str">
        <f t="shared" si="19"/>
        <v/>
      </c>
      <c r="L1280" s="1" t="str">
        <f>IF(COUNTA(A1280:J1280)=0,"",IF(OR(AND(C1280&lt;&gt;"Servicio",C1280&lt;&gt;"Cobro",C1280&lt;&gt;"Anticipo",C1280&lt;&gt;"Aplicación anticipo",C1280&lt;&gt;"Retención ISR",C1280&lt;&gt;"Retención IVA"),AND(C1280="Servicio",F1280&lt;&gt;"TMS",F1280&lt;&gt;"Valoración",F1280&lt;&gt;"EEG",F1280&lt;&gt;"Neurofeedback",F1280&lt;&gt;"Fotobiomodulación",F1280&lt;&gt;"Psicoterapia",F1280&lt;&gt;"Otros")),"Tipo o categoría inválido",IF(COUNTA(A1280:J1280)=0,"",IF(OR(A1280="",B1280="",C1280="",G1280=""),"Faltan datos",IF(COUNTIF($A$7:$A$2006,A1280)&gt;1,"ID duplicado",IF(OR(B1280&lt;DATE(Configuración!$C$5,1,1),B1280&gt;=DATE(Configuración!$C$5+1,1,1)),"Fecha fuera del año",IF(OR(G1280&lt;0,H1280&lt;0),"Revisar signo",IF(AND(C1280&lt;&gt;"Servicio",H1280&lt;&gt;0),"IVA solo en Servicio",IF(AND(C1280="Servicio",F1280=""),"Falta servicio","OK")))))))))</f>
        <v/>
      </c>
    </row>
    <row r="1281" spans="1:12" ht="22" customHeight="1">
      <c r="A1281" s="3"/>
      <c r="B1281" s="7"/>
      <c r="C1281" s="3"/>
      <c r="D1281" s="3"/>
      <c r="E1281" s="3"/>
      <c r="F1281" s="3"/>
      <c r="G1281" s="4"/>
      <c r="H1281" s="4"/>
      <c r="I1281" s="3"/>
      <c r="J1281" s="3"/>
      <c r="K1281" s="8" t="str">
        <f t="shared" si="19"/>
        <v/>
      </c>
      <c r="L1281" s="1" t="str">
        <f>IF(COUNTA(A1281:J1281)=0,"",IF(OR(AND(C1281&lt;&gt;"Servicio",C1281&lt;&gt;"Cobro",C1281&lt;&gt;"Anticipo",C1281&lt;&gt;"Aplicación anticipo",C1281&lt;&gt;"Retención ISR",C1281&lt;&gt;"Retención IVA"),AND(C1281="Servicio",F1281&lt;&gt;"TMS",F1281&lt;&gt;"Valoración",F1281&lt;&gt;"EEG",F1281&lt;&gt;"Neurofeedback",F1281&lt;&gt;"Fotobiomodulación",F1281&lt;&gt;"Psicoterapia",F1281&lt;&gt;"Otros")),"Tipo o categoría inválido",IF(COUNTA(A1281:J1281)=0,"",IF(OR(A1281="",B1281="",C1281="",G1281=""),"Faltan datos",IF(COUNTIF($A$7:$A$2006,A1281)&gt;1,"ID duplicado",IF(OR(B1281&lt;DATE(Configuración!$C$5,1,1),B1281&gt;=DATE(Configuración!$C$5+1,1,1)),"Fecha fuera del año",IF(OR(G1281&lt;0,H1281&lt;0),"Revisar signo",IF(AND(C1281&lt;&gt;"Servicio",H1281&lt;&gt;0),"IVA solo en Servicio",IF(AND(C1281="Servicio",F1281=""),"Falta servicio","OK")))))))))</f>
        <v/>
      </c>
    </row>
    <row r="1282" spans="1:12" ht="22" customHeight="1">
      <c r="A1282" s="3"/>
      <c r="B1282" s="7"/>
      <c r="C1282" s="3"/>
      <c r="D1282" s="3"/>
      <c r="E1282" s="3"/>
      <c r="F1282" s="3"/>
      <c r="G1282" s="4"/>
      <c r="H1282" s="4"/>
      <c r="I1282" s="3"/>
      <c r="J1282" s="3"/>
      <c r="K1282" s="8" t="str">
        <f t="shared" si="19"/>
        <v/>
      </c>
      <c r="L1282" s="1" t="str">
        <f>IF(COUNTA(A1282:J1282)=0,"",IF(OR(AND(C1282&lt;&gt;"Servicio",C1282&lt;&gt;"Cobro",C1282&lt;&gt;"Anticipo",C1282&lt;&gt;"Aplicación anticipo",C1282&lt;&gt;"Retención ISR",C1282&lt;&gt;"Retención IVA"),AND(C1282="Servicio",F1282&lt;&gt;"TMS",F1282&lt;&gt;"Valoración",F1282&lt;&gt;"EEG",F1282&lt;&gt;"Neurofeedback",F1282&lt;&gt;"Fotobiomodulación",F1282&lt;&gt;"Psicoterapia",F1282&lt;&gt;"Otros")),"Tipo o categoría inválido",IF(COUNTA(A1282:J1282)=0,"",IF(OR(A1282="",B1282="",C1282="",G1282=""),"Faltan datos",IF(COUNTIF($A$7:$A$2006,A1282)&gt;1,"ID duplicado",IF(OR(B1282&lt;DATE(Configuración!$C$5,1,1),B1282&gt;=DATE(Configuración!$C$5+1,1,1)),"Fecha fuera del año",IF(OR(G1282&lt;0,H1282&lt;0),"Revisar signo",IF(AND(C1282&lt;&gt;"Servicio",H1282&lt;&gt;0),"IVA solo en Servicio",IF(AND(C1282="Servicio",F1282=""),"Falta servicio","OK")))))))))</f>
        <v/>
      </c>
    </row>
    <row r="1283" spans="1:12" ht="22" customHeight="1">
      <c r="A1283" s="3"/>
      <c r="B1283" s="7"/>
      <c r="C1283" s="3"/>
      <c r="D1283" s="3"/>
      <c r="E1283" s="3"/>
      <c r="F1283" s="3"/>
      <c r="G1283" s="4"/>
      <c r="H1283" s="4"/>
      <c r="I1283" s="3"/>
      <c r="J1283" s="3"/>
      <c r="K1283" s="8" t="str">
        <f t="shared" si="19"/>
        <v/>
      </c>
      <c r="L1283" s="1" t="str">
        <f>IF(COUNTA(A1283:J1283)=0,"",IF(OR(AND(C1283&lt;&gt;"Servicio",C1283&lt;&gt;"Cobro",C1283&lt;&gt;"Anticipo",C1283&lt;&gt;"Aplicación anticipo",C1283&lt;&gt;"Retención ISR",C1283&lt;&gt;"Retención IVA"),AND(C1283="Servicio",F1283&lt;&gt;"TMS",F1283&lt;&gt;"Valoración",F1283&lt;&gt;"EEG",F1283&lt;&gt;"Neurofeedback",F1283&lt;&gt;"Fotobiomodulación",F1283&lt;&gt;"Psicoterapia",F1283&lt;&gt;"Otros")),"Tipo o categoría inválido",IF(COUNTA(A1283:J1283)=0,"",IF(OR(A1283="",B1283="",C1283="",G1283=""),"Faltan datos",IF(COUNTIF($A$7:$A$2006,A1283)&gt;1,"ID duplicado",IF(OR(B1283&lt;DATE(Configuración!$C$5,1,1),B1283&gt;=DATE(Configuración!$C$5+1,1,1)),"Fecha fuera del año",IF(OR(G1283&lt;0,H1283&lt;0),"Revisar signo",IF(AND(C1283&lt;&gt;"Servicio",H1283&lt;&gt;0),"IVA solo en Servicio",IF(AND(C1283="Servicio",F1283=""),"Falta servicio","OK")))))))))</f>
        <v/>
      </c>
    </row>
    <row r="1284" spans="1:12" ht="22" customHeight="1">
      <c r="A1284" s="3"/>
      <c r="B1284" s="7"/>
      <c r="C1284" s="3"/>
      <c r="D1284" s="3"/>
      <c r="E1284" s="3"/>
      <c r="F1284" s="3"/>
      <c r="G1284" s="4"/>
      <c r="H1284" s="4"/>
      <c r="I1284" s="3"/>
      <c r="J1284" s="3"/>
      <c r="K1284" s="8" t="str">
        <f t="shared" si="19"/>
        <v/>
      </c>
      <c r="L1284" s="1" t="str">
        <f>IF(COUNTA(A1284:J1284)=0,"",IF(OR(AND(C1284&lt;&gt;"Servicio",C1284&lt;&gt;"Cobro",C1284&lt;&gt;"Anticipo",C1284&lt;&gt;"Aplicación anticipo",C1284&lt;&gt;"Retención ISR",C1284&lt;&gt;"Retención IVA"),AND(C1284="Servicio",F1284&lt;&gt;"TMS",F1284&lt;&gt;"Valoración",F1284&lt;&gt;"EEG",F1284&lt;&gt;"Neurofeedback",F1284&lt;&gt;"Fotobiomodulación",F1284&lt;&gt;"Psicoterapia",F1284&lt;&gt;"Otros")),"Tipo o categoría inválido",IF(COUNTA(A1284:J1284)=0,"",IF(OR(A1284="",B1284="",C1284="",G1284=""),"Faltan datos",IF(COUNTIF($A$7:$A$2006,A1284)&gt;1,"ID duplicado",IF(OR(B1284&lt;DATE(Configuración!$C$5,1,1),B1284&gt;=DATE(Configuración!$C$5+1,1,1)),"Fecha fuera del año",IF(OR(G1284&lt;0,H1284&lt;0),"Revisar signo",IF(AND(C1284&lt;&gt;"Servicio",H1284&lt;&gt;0),"IVA solo en Servicio",IF(AND(C1284="Servicio",F1284=""),"Falta servicio","OK")))))))))</f>
        <v/>
      </c>
    </row>
    <row r="1285" spans="1:12" ht="22" customHeight="1">
      <c r="A1285" s="3"/>
      <c r="B1285" s="7"/>
      <c r="C1285" s="3"/>
      <c r="D1285" s="3"/>
      <c r="E1285" s="3"/>
      <c r="F1285" s="3"/>
      <c r="G1285" s="4"/>
      <c r="H1285" s="4"/>
      <c r="I1285" s="3"/>
      <c r="J1285" s="3"/>
      <c r="K1285" s="8" t="str">
        <f t="shared" si="19"/>
        <v/>
      </c>
      <c r="L1285" s="1" t="str">
        <f>IF(COUNTA(A1285:J1285)=0,"",IF(OR(AND(C1285&lt;&gt;"Servicio",C1285&lt;&gt;"Cobro",C1285&lt;&gt;"Anticipo",C1285&lt;&gt;"Aplicación anticipo",C1285&lt;&gt;"Retención ISR",C1285&lt;&gt;"Retención IVA"),AND(C1285="Servicio",F1285&lt;&gt;"TMS",F1285&lt;&gt;"Valoración",F1285&lt;&gt;"EEG",F1285&lt;&gt;"Neurofeedback",F1285&lt;&gt;"Fotobiomodulación",F1285&lt;&gt;"Psicoterapia",F1285&lt;&gt;"Otros")),"Tipo o categoría inválido",IF(COUNTA(A1285:J1285)=0,"",IF(OR(A1285="",B1285="",C1285="",G1285=""),"Faltan datos",IF(COUNTIF($A$7:$A$2006,A1285)&gt;1,"ID duplicado",IF(OR(B1285&lt;DATE(Configuración!$C$5,1,1),B1285&gt;=DATE(Configuración!$C$5+1,1,1)),"Fecha fuera del año",IF(OR(G1285&lt;0,H1285&lt;0),"Revisar signo",IF(AND(C1285&lt;&gt;"Servicio",H1285&lt;&gt;0),"IVA solo en Servicio",IF(AND(C1285="Servicio",F1285=""),"Falta servicio","OK")))))))))</f>
        <v/>
      </c>
    </row>
    <row r="1286" spans="1:12" ht="22" customHeight="1">
      <c r="A1286" s="3"/>
      <c r="B1286" s="7"/>
      <c r="C1286" s="3"/>
      <c r="D1286" s="3"/>
      <c r="E1286" s="3"/>
      <c r="F1286" s="3"/>
      <c r="G1286" s="4"/>
      <c r="H1286" s="4"/>
      <c r="I1286" s="3"/>
      <c r="J1286" s="3"/>
      <c r="K1286" s="8" t="str">
        <f t="shared" si="19"/>
        <v/>
      </c>
      <c r="L1286" s="1" t="str">
        <f>IF(COUNTA(A1286:J1286)=0,"",IF(OR(AND(C1286&lt;&gt;"Servicio",C1286&lt;&gt;"Cobro",C1286&lt;&gt;"Anticipo",C1286&lt;&gt;"Aplicación anticipo",C1286&lt;&gt;"Retención ISR",C1286&lt;&gt;"Retención IVA"),AND(C1286="Servicio",F1286&lt;&gt;"TMS",F1286&lt;&gt;"Valoración",F1286&lt;&gt;"EEG",F1286&lt;&gt;"Neurofeedback",F1286&lt;&gt;"Fotobiomodulación",F1286&lt;&gt;"Psicoterapia",F1286&lt;&gt;"Otros")),"Tipo o categoría inválido",IF(COUNTA(A1286:J1286)=0,"",IF(OR(A1286="",B1286="",C1286="",G1286=""),"Faltan datos",IF(COUNTIF($A$7:$A$2006,A1286)&gt;1,"ID duplicado",IF(OR(B1286&lt;DATE(Configuración!$C$5,1,1),B1286&gt;=DATE(Configuración!$C$5+1,1,1)),"Fecha fuera del año",IF(OR(G1286&lt;0,H1286&lt;0),"Revisar signo",IF(AND(C1286&lt;&gt;"Servicio",H1286&lt;&gt;0),"IVA solo en Servicio",IF(AND(C1286="Servicio",F1286=""),"Falta servicio","OK")))))))))</f>
        <v/>
      </c>
    </row>
    <row r="1287" spans="1:12" ht="22" customHeight="1">
      <c r="A1287" s="3"/>
      <c r="B1287" s="7"/>
      <c r="C1287" s="3"/>
      <c r="D1287" s="3"/>
      <c r="E1287" s="3"/>
      <c r="F1287" s="3"/>
      <c r="G1287" s="4"/>
      <c r="H1287" s="4"/>
      <c r="I1287" s="3"/>
      <c r="J1287" s="3"/>
      <c r="K1287" s="8" t="str">
        <f t="shared" ref="K1287:K1350" si="20">IF(A1287="","",G1287+H1287)</f>
        <v/>
      </c>
      <c r="L1287" s="1" t="str">
        <f>IF(COUNTA(A1287:J1287)=0,"",IF(OR(AND(C1287&lt;&gt;"Servicio",C1287&lt;&gt;"Cobro",C1287&lt;&gt;"Anticipo",C1287&lt;&gt;"Aplicación anticipo",C1287&lt;&gt;"Retención ISR",C1287&lt;&gt;"Retención IVA"),AND(C1287="Servicio",F1287&lt;&gt;"TMS",F1287&lt;&gt;"Valoración",F1287&lt;&gt;"EEG",F1287&lt;&gt;"Neurofeedback",F1287&lt;&gt;"Fotobiomodulación",F1287&lt;&gt;"Psicoterapia",F1287&lt;&gt;"Otros")),"Tipo o categoría inválido",IF(COUNTA(A1287:J1287)=0,"",IF(OR(A1287="",B1287="",C1287="",G1287=""),"Faltan datos",IF(COUNTIF($A$7:$A$2006,A1287)&gt;1,"ID duplicado",IF(OR(B1287&lt;DATE(Configuración!$C$5,1,1),B1287&gt;=DATE(Configuración!$C$5+1,1,1)),"Fecha fuera del año",IF(OR(G1287&lt;0,H1287&lt;0),"Revisar signo",IF(AND(C1287&lt;&gt;"Servicio",H1287&lt;&gt;0),"IVA solo en Servicio",IF(AND(C1287="Servicio",F1287=""),"Falta servicio","OK")))))))))</f>
        <v/>
      </c>
    </row>
    <row r="1288" spans="1:12" ht="22" customHeight="1">
      <c r="A1288" s="3"/>
      <c r="B1288" s="7"/>
      <c r="C1288" s="3"/>
      <c r="D1288" s="3"/>
      <c r="E1288" s="3"/>
      <c r="F1288" s="3"/>
      <c r="G1288" s="4"/>
      <c r="H1288" s="4"/>
      <c r="I1288" s="3"/>
      <c r="J1288" s="3"/>
      <c r="K1288" s="8" t="str">
        <f t="shared" si="20"/>
        <v/>
      </c>
      <c r="L1288" s="1" t="str">
        <f>IF(COUNTA(A1288:J1288)=0,"",IF(OR(AND(C1288&lt;&gt;"Servicio",C1288&lt;&gt;"Cobro",C1288&lt;&gt;"Anticipo",C1288&lt;&gt;"Aplicación anticipo",C1288&lt;&gt;"Retención ISR",C1288&lt;&gt;"Retención IVA"),AND(C1288="Servicio",F1288&lt;&gt;"TMS",F1288&lt;&gt;"Valoración",F1288&lt;&gt;"EEG",F1288&lt;&gt;"Neurofeedback",F1288&lt;&gt;"Fotobiomodulación",F1288&lt;&gt;"Psicoterapia",F1288&lt;&gt;"Otros")),"Tipo o categoría inválido",IF(COUNTA(A1288:J1288)=0,"",IF(OR(A1288="",B1288="",C1288="",G1288=""),"Faltan datos",IF(COUNTIF($A$7:$A$2006,A1288)&gt;1,"ID duplicado",IF(OR(B1288&lt;DATE(Configuración!$C$5,1,1),B1288&gt;=DATE(Configuración!$C$5+1,1,1)),"Fecha fuera del año",IF(OR(G1288&lt;0,H1288&lt;0),"Revisar signo",IF(AND(C1288&lt;&gt;"Servicio",H1288&lt;&gt;0),"IVA solo en Servicio",IF(AND(C1288="Servicio",F1288=""),"Falta servicio","OK")))))))))</f>
        <v/>
      </c>
    </row>
    <row r="1289" spans="1:12" ht="22" customHeight="1">
      <c r="A1289" s="3"/>
      <c r="B1289" s="7"/>
      <c r="C1289" s="3"/>
      <c r="D1289" s="3"/>
      <c r="E1289" s="3"/>
      <c r="F1289" s="3"/>
      <c r="G1289" s="4"/>
      <c r="H1289" s="4"/>
      <c r="I1289" s="3"/>
      <c r="J1289" s="3"/>
      <c r="K1289" s="8" t="str">
        <f t="shared" si="20"/>
        <v/>
      </c>
      <c r="L1289" s="1" t="str">
        <f>IF(COUNTA(A1289:J1289)=0,"",IF(OR(AND(C1289&lt;&gt;"Servicio",C1289&lt;&gt;"Cobro",C1289&lt;&gt;"Anticipo",C1289&lt;&gt;"Aplicación anticipo",C1289&lt;&gt;"Retención ISR",C1289&lt;&gt;"Retención IVA"),AND(C1289="Servicio",F1289&lt;&gt;"TMS",F1289&lt;&gt;"Valoración",F1289&lt;&gt;"EEG",F1289&lt;&gt;"Neurofeedback",F1289&lt;&gt;"Fotobiomodulación",F1289&lt;&gt;"Psicoterapia",F1289&lt;&gt;"Otros")),"Tipo o categoría inválido",IF(COUNTA(A1289:J1289)=0,"",IF(OR(A1289="",B1289="",C1289="",G1289=""),"Faltan datos",IF(COUNTIF($A$7:$A$2006,A1289)&gt;1,"ID duplicado",IF(OR(B1289&lt;DATE(Configuración!$C$5,1,1),B1289&gt;=DATE(Configuración!$C$5+1,1,1)),"Fecha fuera del año",IF(OR(G1289&lt;0,H1289&lt;0),"Revisar signo",IF(AND(C1289&lt;&gt;"Servicio",H1289&lt;&gt;0),"IVA solo en Servicio",IF(AND(C1289="Servicio",F1289=""),"Falta servicio","OK")))))))))</f>
        <v/>
      </c>
    </row>
    <row r="1290" spans="1:12" ht="22" customHeight="1">
      <c r="A1290" s="3"/>
      <c r="B1290" s="7"/>
      <c r="C1290" s="3"/>
      <c r="D1290" s="3"/>
      <c r="E1290" s="3"/>
      <c r="F1290" s="3"/>
      <c r="G1290" s="4"/>
      <c r="H1290" s="4"/>
      <c r="I1290" s="3"/>
      <c r="J1290" s="3"/>
      <c r="K1290" s="8" t="str">
        <f t="shared" si="20"/>
        <v/>
      </c>
      <c r="L1290" s="1" t="str">
        <f>IF(COUNTA(A1290:J1290)=0,"",IF(OR(AND(C1290&lt;&gt;"Servicio",C1290&lt;&gt;"Cobro",C1290&lt;&gt;"Anticipo",C1290&lt;&gt;"Aplicación anticipo",C1290&lt;&gt;"Retención ISR",C1290&lt;&gt;"Retención IVA"),AND(C1290="Servicio",F1290&lt;&gt;"TMS",F1290&lt;&gt;"Valoración",F1290&lt;&gt;"EEG",F1290&lt;&gt;"Neurofeedback",F1290&lt;&gt;"Fotobiomodulación",F1290&lt;&gt;"Psicoterapia",F1290&lt;&gt;"Otros")),"Tipo o categoría inválido",IF(COUNTA(A1290:J1290)=0,"",IF(OR(A1290="",B1290="",C1290="",G1290=""),"Faltan datos",IF(COUNTIF($A$7:$A$2006,A1290)&gt;1,"ID duplicado",IF(OR(B1290&lt;DATE(Configuración!$C$5,1,1),B1290&gt;=DATE(Configuración!$C$5+1,1,1)),"Fecha fuera del año",IF(OR(G1290&lt;0,H1290&lt;0),"Revisar signo",IF(AND(C1290&lt;&gt;"Servicio",H1290&lt;&gt;0),"IVA solo en Servicio",IF(AND(C1290="Servicio",F1290=""),"Falta servicio","OK")))))))))</f>
        <v/>
      </c>
    </row>
    <row r="1291" spans="1:12" ht="22" customHeight="1">
      <c r="A1291" s="3"/>
      <c r="B1291" s="7"/>
      <c r="C1291" s="3"/>
      <c r="D1291" s="3"/>
      <c r="E1291" s="3"/>
      <c r="F1291" s="3"/>
      <c r="G1291" s="4"/>
      <c r="H1291" s="4"/>
      <c r="I1291" s="3"/>
      <c r="J1291" s="3"/>
      <c r="K1291" s="8" t="str">
        <f t="shared" si="20"/>
        <v/>
      </c>
      <c r="L1291" s="1" t="str">
        <f>IF(COUNTA(A1291:J1291)=0,"",IF(OR(AND(C1291&lt;&gt;"Servicio",C1291&lt;&gt;"Cobro",C1291&lt;&gt;"Anticipo",C1291&lt;&gt;"Aplicación anticipo",C1291&lt;&gt;"Retención ISR",C1291&lt;&gt;"Retención IVA"),AND(C1291="Servicio",F1291&lt;&gt;"TMS",F1291&lt;&gt;"Valoración",F1291&lt;&gt;"EEG",F1291&lt;&gt;"Neurofeedback",F1291&lt;&gt;"Fotobiomodulación",F1291&lt;&gt;"Psicoterapia",F1291&lt;&gt;"Otros")),"Tipo o categoría inválido",IF(COUNTA(A1291:J1291)=0,"",IF(OR(A1291="",B1291="",C1291="",G1291=""),"Faltan datos",IF(COUNTIF($A$7:$A$2006,A1291)&gt;1,"ID duplicado",IF(OR(B1291&lt;DATE(Configuración!$C$5,1,1),B1291&gt;=DATE(Configuración!$C$5+1,1,1)),"Fecha fuera del año",IF(OR(G1291&lt;0,H1291&lt;0),"Revisar signo",IF(AND(C1291&lt;&gt;"Servicio",H1291&lt;&gt;0),"IVA solo en Servicio",IF(AND(C1291="Servicio",F1291=""),"Falta servicio","OK")))))))))</f>
        <v/>
      </c>
    </row>
    <row r="1292" spans="1:12" ht="22" customHeight="1">
      <c r="A1292" s="3"/>
      <c r="B1292" s="7"/>
      <c r="C1292" s="3"/>
      <c r="D1292" s="3"/>
      <c r="E1292" s="3"/>
      <c r="F1292" s="3"/>
      <c r="G1292" s="4"/>
      <c r="H1292" s="4"/>
      <c r="I1292" s="3"/>
      <c r="J1292" s="3"/>
      <c r="K1292" s="8" t="str">
        <f t="shared" si="20"/>
        <v/>
      </c>
      <c r="L1292" s="1" t="str">
        <f>IF(COUNTA(A1292:J1292)=0,"",IF(OR(AND(C1292&lt;&gt;"Servicio",C1292&lt;&gt;"Cobro",C1292&lt;&gt;"Anticipo",C1292&lt;&gt;"Aplicación anticipo",C1292&lt;&gt;"Retención ISR",C1292&lt;&gt;"Retención IVA"),AND(C1292="Servicio",F1292&lt;&gt;"TMS",F1292&lt;&gt;"Valoración",F1292&lt;&gt;"EEG",F1292&lt;&gt;"Neurofeedback",F1292&lt;&gt;"Fotobiomodulación",F1292&lt;&gt;"Psicoterapia",F1292&lt;&gt;"Otros")),"Tipo o categoría inválido",IF(COUNTA(A1292:J1292)=0,"",IF(OR(A1292="",B1292="",C1292="",G1292=""),"Faltan datos",IF(COUNTIF($A$7:$A$2006,A1292)&gt;1,"ID duplicado",IF(OR(B1292&lt;DATE(Configuración!$C$5,1,1),B1292&gt;=DATE(Configuración!$C$5+1,1,1)),"Fecha fuera del año",IF(OR(G1292&lt;0,H1292&lt;0),"Revisar signo",IF(AND(C1292&lt;&gt;"Servicio",H1292&lt;&gt;0),"IVA solo en Servicio",IF(AND(C1292="Servicio",F1292=""),"Falta servicio","OK")))))))))</f>
        <v/>
      </c>
    </row>
    <row r="1293" spans="1:12" ht="22" customHeight="1">
      <c r="A1293" s="3"/>
      <c r="B1293" s="7"/>
      <c r="C1293" s="3"/>
      <c r="D1293" s="3"/>
      <c r="E1293" s="3"/>
      <c r="F1293" s="3"/>
      <c r="G1293" s="4"/>
      <c r="H1293" s="4"/>
      <c r="I1293" s="3"/>
      <c r="J1293" s="3"/>
      <c r="K1293" s="8" t="str">
        <f t="shared" si="20"/>
        <v/>
      </c>
      <c r="L1293" s="1" t="str">
        <f>IF(COUNTA(A1293:J1293)=0,"",IF(OR(AND(C1293&lt;&gt;"Servicio",C1293&lt;&gt;"Cobro",C1293&lt;&gt;"Anticipo",C1293&lt;&gt;"Aplicación anticipo",C1293&lt;&gt;"Retención ISR",C1293&lt;&gt;"Retención IVA"),AND(C1293="Servicio",F1293&lt;&gt;"TMS",F1293&lt;&gt;"Valoración",F1293&lt;&gt;"EEG",F1293&lt;&gt;"Neurofeedback",F1293&lt;&gt;"Fotobiomodulación",F1293&lt;&gt;"Psicoterapia",F1293&lt;&gt;"Otros")),"Tipo o categoría inválido",IF(COUNTA(A1293:J1293)=0,"",IF(OR(A1293="",B1293="",C1293="",G1293=""),"Faltan datos",IF(COUNTIF($A$7:$A$2006,A1293)&gt;1,"ID duplicado",IF(OR(B1293&lt;DATE(Configuración!$C$5,1,1),B1293&gt;=DATE(Configuración!$C$5+1,1,1)),"Fecha fuera del año",IF(OR(G1293&lt;0,H1293&lt;0),"Revisar signo",IF(AND(C1293&lt;&gt;"Servicio",H1293&lt;&gt;0),"IVA solo en Servicio",IF(AND(C1293="Servicio",F1293=""),"Falta servicio","OK")))))))))</f>
        <v/>
      </c>
    </row>
    <row r="1294" spans="1:12" ht="22" customHeight="1">
      <c r="A1294" s="3"/>
      <c r="B1294" s="7"/>
      <c r="C1294" s="3"/>
      <c r="D1294" s="3"/>
      <c r="E1294" s="3"/>
      <c r="F1294" s="3"/>
      <c r="G1294" s="4"/>
      <c r="H1294" s="4"/>
      <c r="I1294" s="3"/>
      <c r="J1294" s="3"/>
      <c r="K1294" s="8" t="str">
        <f t="shared" si="20"/>
        <v/>
      </c>
      <c r="L1294" s="1" t="str">
        <f>IF(COUNTA(A1294:J1294)=0,"",IF(OR(AND(C1294&lt;&gt;"Servicio",C1294&lt;&gt;"Cobro",C1294&lt;&gt;"Anticipo",C1294&lt;&gt;"Aplicación anticipo",C1294&lt;&gt;"Retención ISR",C1294&lt;&gt;"Retención IVA"),AND(C1294="Servicio",F1294&lt;&gt;"TMS",F1294&lt;&gt;"Valoración",F1294&lt;&gt;"EEG",F1294&lt;&gt;"Neurofeedback",F1294&lt;&gt;"Fotobiomodulación",F1294&lt;&gt;"Psicoterapia",F1294&lt;&gt;"Otros")),"Tipo o categoría inválido",IF(COUNTA(A1294:J1294)=0,"",IF(OR(A1294="",B1294="",C1294="",G1294=""),"Faltan datos",IF(COUNTIF($A$7:$A$2006,A1294)&gt;1,"ID duplicado",IF(OR(B1294&lt;DATE(Configuración!$C$5,1,1),B1294&gt;=DATE(Configuración!$C$5+1,1,1)),"Fecha fuera del año",IF(OR(G1294&lt;0,H1294&lt;0),"Revisar signo",IF(AND(C1294&lt;&gt;"Servicio",H1294&lt;&gt;0),"IVA solo en Servicio",IF(AND(C1294="Servicio",F1294=""),"Falta servicio","OK")))))))))</f>
        <v/>
      </c>
    </row>
    <row r="1295" spans="1:12" ht="22" customHeight="1">
      <c r="A1295" s="3"/>
      <c r="B1295" s="7"/>
      <c r="C1295" s="3"/>
      <c r="D1295" s="3"/>
      <c r="E1295" s="3"/>
      <c r="F1295" s="3"/>
      <c r="G1295" s="4"/>
      <c r="H1295" s="4"/>
      <c r="I1295" s="3"/>
      <c r="J1295" s="3"/>
      <c r="K1295" s="8" t="str">
        <f t="shared" si="20"/>
        <v/>
      </c>
      <c r="L1295" s="1" t="str">
        <f>IF(COUNTA(A1295:J1295)=0,"",IF(OR(AND(C1295&lt;&gt;"Servicio",C1295&lt;&gt;"Cobro",C1295&lt;&gt;"Anticipo",C1295&lt;&gt;"Aplicación anticipo",C1295&lt;&gt;"Retención ISR",C1295&lt;&gt;"Retención IVA"),AND(C1295="Servicio",F1295&lt;&gt;"TMS",F1295&lt;&gt;"Valoración",F1295&lt;&gt;"EEG",F1295&lt;&gt;"Neurofeedback",F1295&lt;&gt;"Fotobiomodulación",F1295&lt;&gt;"Psicoterapia",F1295&lt;&gt;"Otros")),"Tipo o categoría inválido",IF(COUNTA(A1295:J1295)=0,"",IF(OR(A1295="",B1295="",C1295="",G1295=""),"Faltan datos",IF(COUNTIF($A$7:$A$2006,A1295)&gt;1,"ID duplicado",IF(OR(B1295&lt;DATE(Configuración!$C$5,1,1),B1295&gt;=DATE(Configuración!$C$5+1,1,1)),"Fecha fuera del año",IF(OR(G1295&lt;0,H1295&lt;0),"Revisar signo",IF(AND(C1295&lt;&gt;"Servicio",H1295&lt;&gt;0),"IVA solo en Servicio",IF(AND(C1295="Servicio",F1295=""),"Falta servicio","OK")))))))))</f>
        <v/>
      </c>
    </row>
    <row r="1296" spans="1:12" ht="22" customHeight="1">
      <c r="A1296" s="3"/>
      <c r="B1296" s="7"/>
      <c r="C1296" s="3"/>
      <c r="D1296" s="3"/>
      <c r="E1296" s="3"/>
      <c r="F1296" s="3"/>
      <c r="G1296" s="4"/>
      <c r="H1296" s="4"/>
      <c r="I1296" s="3"/>
      <c r="J1296" s="3"/>
      <c r="K1296" s="8" t="str">
        <f t="shared" si="20"/>
        <v/>
      </c>
      <c r="L1296" s="1" t="str">
        <f>IF(COUNTA(A1296:J1296)=0,"",IF(OR(AND(C1296&lt;&gt;"Servicio",C1296&lt;&gt;"Cobro",C1296&lt;&gt;"Anticipo",C1296&lt;&gt;"Aplicación anticipo",C1296&lt;&gt;"Retención ISR",C1296&lt;&gt;"Retención IVA"),AND(C1296="Servicio",F1296&lt;&gt;"TMS",F1296&lt;&gt;"Valoración",F1296&lt;&gt;"EEG",F1296&lt;&gt;"Neurofeedback",F1296&lt;&gt;"Fotobiomodulación",F1296&lt;&gt;"Psicoterapia",F1296&lt;&gt;"Otros")),"Tipo o categoría inválido",IF(COUNTA(A1296:J1296)=0,"",IF(OR(A1296="",B1296="",C1296="",G1296=""),"Faltan datos",IF(COUNTIF($A$7:$A$2006,A1296)&gt;1,"ID duplicado",IF(OR(B1296&lt;DATE(Configuración!$C$5,1,1),B1296&gt;=DATE(Configuración!$C$5+1,1,1)),"Fecha fuera del año",IF(OR(G1296&lt;0,H1296&lt;0),"Revisar signo",IF(AND(C1296&lt;&gt;"Servicio",H1296&lt;&gt;0),"IVA solo en Servicio",IF(AND(C1296="Servicio",F1296=""),"Falta servicio","OK")))))))))</f>
        <v/>
      </c>
    </row>
    <row r="1297" spans="1:12" ht="22" customHeight="1">
      <c r="A1297" s="3"/>
      <c r="B1297" s="7"/>
      <c r="C1297" s="3"/>
      <c r="D1297" s="3"/>
      <c r="E1297" s="3"/>
      <c r="F1297" s="3"/>
      <c r="G1297" s="4"/>
      <c r="H1297" s="4"/>
      <c r="I1297" s="3"/>
      <c r="J1297" s="3"/>
      <c r="K1297" s="8" t="str">
        <f t="shared" si="20"/>
        <v/>
      </c>
      <c r="L1297" s="1" t="str">
        <f>IF(COUNTA(A1297:J1297)=0,"",IF(OR(AND(C1297&lt;&gt;"Servicio",C1297&lt;&gt;"Cobro",C1297&lt;&gt;"Anticipo",C1297&lt;&gt;"Aplicación anticipo",C1297&lt;&gt;"Retención ISR",C1297&lt;&gt;"Retención IVA"),AND(C1297="Servicio",F1297&lt;&gt;"TMS",F1297&lt;&gt;"Valoración",F1297&lt;&gt;"EEG",F1297&lt;&gt;"Neurofeedback",F1297&lt;&gt;"Fotobiomodulación",F1297&lt;&gt;"Psicoterapia",F1297&lt;&gt;"Otros")),"Tipo o categoría inválido",IF(COUNTA(A1297:J1297)=0,"",IF(OR(A1297="",B1297="",C1297="",G1297=""),"Faltan datos",IF(COUNTIF($A$7:$A$2006,A1297)&gt;1,"ID duplicado",IF(OR(B1297&lt;DATE(Configuración!$C$5,1,1),B1297&gt;=DATE(Configuración!$C$5+1,1,1)),"Fecha fuera del año",IF(OR(G1297&lt;0,H1297&lt;0),"Revisar signo",IF(AND(C1297&lt;&gt;"Servicio",H1297&lt;&gt;0),"IVA solo en Servicio",IF(AND(C1297="Servicio",F1297=""),"Falta servicio","OK")))))))))</f>
        <v/>
      </c>
    </row>
    <row r="1298" spans="1:12" ht="22" customHeight="1">
      <c r="A1298" s="3"/>
      <c r="B1298" s="7"/>
      <c r="C1298" s="3"/>
      <c r="D1298" s="3"/>
      <c r="E1298" s="3"/>
      <c r="F1298" s="3"/>
      <c r="G1298" s="4"/>
      <c r="H1298" s="4"/>
      <c r="I1298" s="3"/>
      <c r="J1298" s="3"/>
      <c r="K1298" s="8" t="str">
        <f t="shared" si="20"/>
        <v/>
      </c>
      <c r="L1298" s="1" t="str">
        <f>IF(COUNTA(A1298:J1298)=0,"",IF(OR(AND(C1298&lt;&gt;"Servicio",C1298&lt;&gt;"Cobro",C1298&lt;&gt;"Anticipo",C1298&lt;&gt;"Aplicación anticipo",C1298&lt;&gt;"Retención ISR",C1298&lt;&gt;"Retención IVA"),AND(C1298="Servicio",F1298&lt;&gt;"TMS",F1298&lt;&gt;"Valoración",F1298&lt;&gt;"EEG",F1298&lt;&gt;"Neurofeedback",F1298&lt;&gt;"Fotobiomodulación",F1298&lt;&gt;"Psicoterapia",F1298&lt;&gt;"Otros")),"Tipo o categoría inválido",IF(COUNTA(A1298:J1298)=0,"",IF(OR(A1298="",B1298="",C1298="",G1298=""),"Faltan datos",IF(COUNTIF($A$7:$A$2006,A1298)&gt;1,"ID duplicado",IF(OR(B1298&lt;DATE(Configuración!$C$5,1,1),B1298&gt;=DATE(Configuración!$C$5+1,1,1)),"Fecha fuera del año",IF(OR(G1298&lt;0,H1298&lt;0),"Revisar signo",IF(AND(C1298&lt;&gt;"Servicio",H1298&lt;&gt;0),"IVA solo en Servicio",IF(AND(C1298="Servicio",F1298=""),"Falta servicio","OK")))))))))</f>
        <v/>
      </c>
    </row>
    <row r="1299" spans="1:12" ht="22" customHeight="1">
      <c r="A1299" s="3"/>
      <c r="B1299" s="7"/>
      <c r="C1299" s="3"/>
      <c r="D1299" s="3"/>
      <c r="E1299" s="3"/>
      <c r="F1299" s="3"/>
      <c r="G1299" s="4"/>
      <c r="H1299" s="4"/>
      <c r="I1299" s="3"/>
      <c r="J1299" s="3"/>
      <c r="K1299" s="8" t="str">
        <f t="shared" si="20"/>
        <v/>
      </c>
      <c r="L1299" s="1" t="str">
        <f>IF(COUNTA(A1299:J1299)=0,"",IF(OR(AND(C1299&lt;&gt;"Servicio",C1299&lt;&gt;"Cobro",C1299&lt;&gt;"Anticipo",C1299&lt;&gt;"Aplicación anticipo",C1299&lt;&gt;"Retención ISR",C1299&lt;&gt;"Retención IVA"),AND(C1299="Servicio",F1299&lt;&gt;"TMS",F1299&lt;&gt;"Valoración",F1299&lt;&gt;"EEG",F1299&lt;&gt;"Neurofeedback",F1299&lt;&gt;"Fotobiomodulación",F1299&lt;&gt;"Psicoterapia",F1299&lt;&gt;"Otros")),"Tipo o categoría inválido",IF(COUNTA(A1299:J1299)=0,"",IF(OR(A1299="",B1299="",C1299="",G1299=""),"Faltan datos",IF(COUNTIF($A$7:$A$2006,A1299)&gt;1,"ID duplicado",IF(OR(B1299&lt;DATE(Configuración!$C$5,1,1),B1299&gt;=DATE(Configuración!$C$5+1,1,1)),"Fecha fuera del año",IF(OR(G1299&lt;0,H1299&lt;0),"Revisar signo",IF(AND(C1299&lt;&gt;"Servicio",H1299&lt;&gt;0),"IVA solo en Servicio",IF(AND(C1299="Servicio",F1299=""),"Falta servicio","OK")))))))))</f>
        <v/>
      </c>
    </row>
    <row r="1300" spans="1:12" ht="22" customHeight="1">
      <c r="A1300" s="3"/>
      <c r="B1300" s="7"/>
      <c r="C1300" s="3"/>
      <c r="D1300" s="3"/>
      <c r="E1300" s="3"/>
      <c r="F1300" s="3"/>
      <c r="G1300" s="4"/>
      <c r="H1300" s="4"/>
      <c r="I1300" s="3"/>
      <c r="J1300" s="3"/>
      <c r="K1300" s="8" t="str">
        <f t="shared" si="20"/>
        <v/>
      </c>
      <c r="L1300" s="1" t="str">
        <f>IF(COUNTA(A1300:J1300)=0,"",IF(OR(AND(C1300&lt;&gt;"Servicio",C1300&lt;&gt;"Cobro",C1300&lt;&gt;"Anticipo",C1300&lt;&gt;"Aplicación anticipo",C1300&lt;&gt;"Retención ISR",C1300&lt;&gt;"Retención IVA"),AND(C1300="Servicio",F1300&lt;&gt;"TMS",F1300&lt;&gt;"Valoración",F1300&lt;&gt;"EEG",F1300&lt;&gt;"Neurofeedback",F1300&lt;&gt;"Fotobiomodulación",F1300&lt;&gt;"Psicoterapia",F1300&lt;&gt;"Otros")),"Tipo o categoría inválido",IF(COUNTA(A1300:J1300)=0,"",IF(OR(A1300="",B1300="",C1300="",G1300=""),"Faltan datos",IF(COUNTIF($A$7:$A$2006,A1300)&gt;1,"ID duplicado",IF(OR(B1300&lt;DATE(Configuración!$C$5,1,1),B1300&gt;=DATE(Configuración!$C$5+1,1,1)),"Fecha fuera del año",IF(OR(G1300&lt;0,H1300&lt;0),"Revisar signo",IF(AND(C1300&lt;&gt;"Servicio",H1300&lt;&gt;0),"IVA solo en Servicio",IF(AND(C1300="Servicio",F1300=""),"Falta servicio","OK")))))))))</f>
        <v/>
      </c>
    </row>
    <row r="1301" spans="1:12" ht="22" customHeight="1">
      <c r="A1301" s="3"/>
      <c r="B1301" s="7"/>
      <c r="C1301" s="3"/>
      <c r="D1301" s="3"/>
      <c r="E1301" s="3"/>
      <c r="F1301" s="3"/>
      <c r="G1301" s="4"/>
      <c r="H1301" s="4"/>
      <c r="I1301" s="3"/>
      <c r="J1301" s="3"/>
      <c r="K1301" s="8" t="str">
        <f t="shared" si="20"/>
        <v/>
      </c>
      <c r="L1301" s="1" t="str">
        <f>IF(COUNTA(A1301:J1301)=0,"",IF(OR(AND(C1301&lt;&gt;"Servicio",C1301&lt;&gt;"Cobro",C1301&lt;&gt;"Anticipo",C1301&lt;&gt;"Aplicación anticipo",C1301&lt;&gt;"Retención ISR",C1301&lt;&gt;"Retención IVA"),AND(C1301="Servicio",F1301&lt;&gt;"TMS",F1301&lt;&gt;"Valoración",F1301&lt;&gt;"EEG",F1301&lt;&gt;"Neurofeedback",F1301&lt;&gt;"Fotobiomodulación",F1301&lt;&gt;"Psicoterapia",F1301&lt;&gt;"Otros")),"Tipo o categoría inválido",IF(COUNTA(A1301:J1301)=0,"",IF(OR(A1301="",B1301="",C1301="",G1301=""),"Faltan datos",IF(COUNTIF($A$7:$A$2006,A1301)&gt;1,"ID duplicado",IF(OR(B1301&lt;DATE(Configuración!$C$5,1,1),B1301&gt;=DATE(Configuración!$C$5+1,1,1)),"Fecha fuera del año",IF(OR(G1301&lt;0,H1301&lt;0),"Revisar signo",IF(AND(C1301&lt;&gt;"Servicio",H1301&lt;&gt;0),"IVA solo en Servicio",IF(AND(C1301="Servicio",F1301=""),"Falta servicio","OK")))))))))</f>
        <v/>
      </c>
    </row>
    <row r="1302" spans="1:12" ht="22" customHeight="1">
      <c r="A1302" s="3"/>
      <c r="B1302" s="7"/>
      <c r="C1302" s="3"/>
      <c r="D1302" s="3"/>
      <c r="E1302" s="3"/>
      <c r="F1302" s="3"/>
      <c r="G1302" s="4"/>
      <c r="H1302" s="4"/>
      <c r="I1302" s="3"/>
      <c r="J1302" s="3"/>
      <c r="K1302" s="8" t="str">
        <f t="shared" si="20"/>
        <v/>
      </c>
      <c r="L1302" s="1" t="str">
        <f>IF(COUNTA(A1302:J1302)=0,"",IF(OR(AND(C1302&lt;&gt;"Servicio",C1302&lt;&gt;"Cobro",C1302&lt;&gt;"Anticipo",C1302&lt;&gt;"Aplicación anticipo",C1302&lt;&gt;"Retención ISR",C1302&lt;&gt;"Retención IVA"),AND(C1302="Servicio",F1302&lt;&gt;"TMS",F1302&lt;&gt;"Valoración",F1302&lt;&gt;"EEG",F1302&lt;&gt;"Neurofeedback",F1302&lt;&gt;"Fotobiomodulación",F1302&lt;&gt;"Psicoterapia",F1302&lt;&gt;"Otros")),"Tipo o categoría inválido",IF(COUNTA(A1302:J1302)=0,"",IF(OR(A1302="",B1302="",C1302="",G1302=""),"Faltan datos",IF(COUNTIF($A$7:$A$2006,A1302)&gt;1,"ID duplicado",IF(OR(B1302&lt;DATE(Configuración!$C$5,1,1),B1302&gt;=DATE(Configuración!$C$5+1,1,1)),"Fecha fuera del año",IF(OR(G1302&lt;0,H1302&lt;0),"Revisar signo",IF(AND(C1302&lt;&gt;"Servicio",H1302&lt;&gt;0),"IVA solo en Servicio",IF(AND(C1302="Servicio",F1302=""),"Falta servicio","OK")))))))))</f>
        <v/>
      </c>
    </row>
    <row r="1303" spans="1:12" ht="22" customHeight="1">
      <c r="A1303" s="3"/>
      <c r="B1303" s="7"/>
      <c r="C1303" s="3"/>
      <c r="D1303" s="3"/>
      <c r="E1303" s="3"/>
      <c r="F1303" s="3"/>
      <c r="G1303" s="4"/>
      <c r="H1303" s="4"/>
      <c r="I1303" s="3"/>
      <c r="J1303" s="3"/>
      <c r="K1303" s="8" t="str">
        <f t="shared" si="20"/>
        <v/>
      </c>
      <c r="L1303" s="1" t="str">
        <f>IF(COUNTA(A1303:J1303)=0,"",IF(OR(AND(C1303&lt;&gt;"Servicio",C1303&lt;&gt;"Cobro",C1303&lt;&gt;"Anticipo",C1303&lt;&gt;"Aplicación anticipo",C1303&lt;&gt;"Retención ISR",C1303&lt;&gt;"Retención IVA"),AND(C1303="Servicio",F1303&lt;&gt;"TMS",F1303&lt;&gt;"Valoración",F1303&lt;&gt;"EEG",F1303&lt;&gt;"Neurofeedback",F1303&lt;&gt;"Fotobiomodulación",F1303&lt;&gt;"Psicoterapia",F1303&lt;&gt;"Otros")),"Tipo o categoría inválido",IF(COUNTA(A1303:J1303)=0,"",IF(OR(A1303="",B1303="",C1303="",G1303=""),"Faltan datos",IF(COUNTIF($A$7:$A$2006,A1303)&gt;1,"ID duplicado",IF(OR(B1303&lt;DATE(Configuración!$C$5,1,1),B1303&gt;=DATE(Configuración!$C$5+1,1,1)),"Fecha fuera del año",IF(OR(G1303&lt;0,H1303&lt;0),"Revisar signo",IF(AND(C1303&lt;&gt;"Servicio",H1303&lt;&gt;0),"IVA solo en Servicio",IF(AND(C1303="Servicio",F1303=""),"Falta servicio","OK")))))))))</f>
        <v/>
      </c>
    </row>
    <row r="1304" spans="1:12" ht="22" customHeight="1">
      <c r="A1304" s="3"/>
      <c r="B1304" s="7"/>
      <c r="C1304" s="3"/>
      <c r="D1304" s="3"/>
      <c r="E1304" s="3"/>
      <c r="F1304" s="3"/>
      <c r="G1304" s="4"/>
      <c r="H1304" s="4"/>
      <c r="I1304" s="3"/>
      <c r="J1304" s="3"/>
      <c r="K1304" s="8" t="str">
        <f t="shared" si="20"/>
        <v/>
      </c>
      <c r="L1304" s="1" t="str">
        <f>IF(COUNTA(A1304:J1304)=0,"",IF(OR(AND(C1304&lt;&gt;"Servicio",C1304&lt;&gt;"Cobro",C1304&lt;&gt;"Anticipo",C1304&lt;&gt;"Aplicación anticipo",C1304&lt;&gt;"Retención ISR",C1304&lt;&gt;"Retención IVA"),AND(C1304="Servicio",F1304&lt;&gt;"TMS",F1304&lt;&gt;"Valoración",F1304&lt;&gt;"EEG",F1304&lt;&gt;"Neurofeedback",F1304&lt;&gt;"Fotobiomodulación",F1304&lt;&gt;"Psicoterapia",F1304&lt;&gt;"Otros")),"Tipo o categoría inválido",IF(COUNTA(A1304:J1304)=0,"",IF(OR(A1304="",B1304="",C1304="",G1304=""),"Faltan datos",IF(COUNTIF($A$7:$A$2006,A1304)&gt;1,"ID duplicado",IF(OR(B1304&lt;DATE(Configuración!$C$5,1,1),B1304&gt;=DATE(Configuración!$C$5+1,1,1)),"Fecha fuera del año",IF(OR(G1304&lt;0,H1304&lt;0),"Revisar signo",IF(AND(C1304&lt;&gt;"Servicio",H1304&lt;&gt;0),"IVA solo en Servicio",IF(AND(C1304="Servicio",F1304=""),"Falta servicio","OK")))))))))</f>
        <v/>
      </c>
    </row>
    <row r="1305" spans="1:12" ht="22" customHeight="1">
      <c r="A1305" s="3"/>
      <c r="B1305" s="7"/>
      <c r="C1305" s="3"/>
      <c r="D1305" s="3"/>
      <c r="E1305" s="3"/>
      <c r="F1305" s="3"/>
      <c r="G1305" s="4"/>
      <c r="H1305" s="4"/>
      <c r="I1305" s="3"/>
      <c r="J1305" s="3"/>
      <c r="K1305" s="8" t="str">
        <f t="shared" si="20"/>
        <v/>
      </c>
      <c r="L1305" s="1" t="str">
        <f>IF(COUNTA(A1305:J1305)=0,"",IF(OR(AND(C1305&lt;&gt;"Servicio",C1305&lt;&gt;"Cobro",C1305&lt;&gt;"Anticipo",C1305&lt;&gt;"Aplicación anticipo",C1305&lt;&gt;"Retención ISR",C1305&lt;&gt;"Retención IVA"),AND(C1305="Servicio",F1305&lt;&gt;"TMS",F1305&lt;&gt;"Valoración",F1305&lt;&gt;"EEG",F1305&lt;&gt;"Neurofeedback",F1305&lt;&gt;"Fotobiomodulación",F1305&lt;&gt;"Psicoterapia",F1305&lt;&gt;"Otros")),"Tipo o categoría inválido",IF(COUNTA(A1305:J1305)=0,"",IF(OR(A1305="",B1305="",C1305="",G1305=""),"Faltan datos",IF(COUNTIF($A$7:$A$2006,A1305)&gt;1,"ID duplicado",IF(OR(B1305&lt;DATE(Configuración!$C$5,1,1),B1305&gt;=DATE(Configuración!$C$5+1,1,1)),"Fecha fuera del año",IF(OR(G1305&lt;0,H1305&lt;0),"Revisar signo",IF(AND(C1305&lt;&gt;"Servicio",H1305&lt;&gt;0),"IVA solo en Servicio",IF(AND(C1305="Servicio",F1305=""),"Falta servicio","OK")))))))))</f>
        <v/>
      </c>
    </row>
    <row r="1306" spans="1:12" ht="22" customHeight="1">
      <c r="A1306" s="3"/>
      <c r="B1306" s="7"/>
      <c r="C1306" s="3"/>
      <c r="D1306" s="3"/>
      <c r="E1306" s="3"/>
      <c r="F1306" s="3"/>
      <c r="G1306" s="4"/>
      <c r="H1306" s="4"/>
      <c r="I1306" s="3"/>
      <c r="J1306" s="3"/>
      <c r="K1306" s="8" t="str">
        <f t="shared" si="20"/>
        <v/>
      </c>
      <c r="L1306" s="1" t="str">
        <f>IF(COUNTA(A1306:J1306)=0,"",IF(OR(AND(C1306&lt;&gt;"Servicio",C1306&lt;&gt;"Cobro",C1306&lt;&gt;"Anticipo",C1306&lt;&gt;"Aplicación anticipo",C1306&lt;&gt;"Retención ISR",C1306&lt;&gt;"Retención IVA"),AND(C1306="Servicio",F1306&lt;&gt;"TMS",F1306&lt;&gt;"Valoración",F1306&lt;&gt;"EEG",F1306&lt;&gt;"Neurofeedback",F1306&lt;&gt;"Fotobiomodulación",F1306&lt;&gt;"Psicoterapia",F1306&lt;&gt;"Otros")),"Tipo o categoría inválido",IF(COUNTA(A1306:J1306)=0,"",IF(OR(A1306="",B1306="",C1306="",G1306=""),"Faltan datos",IF(COUNTIF($A$7:$A$2006,A1306)&gt;1,"ID duplicado",IF(OR(B1306&lt;DATE(Configuración!$C$5,1,1),B1306&gt;=DATE(Configuración!$C$5+1,1,1)),"Fecha fuera del año",IF(OR(G1306&lt;0,H1306&lt;0),"Revisar signo",IF(AND(C1306&lt;&gt;"Servicio",H1306&lt;&gt;0),"IVA solo en Servicio",IF(AND(C1306="Servicio",F1306=""),"Falta servicio","OK")))))))))</f>
        <v/>
      </c>
    </row>
    <row r="1307" spans="1:12" ht="22" customHeight="1">
      <c r="A1307" s="3"/>
      <c r="B1307" s="7"/>
      <c r="C1307" s="3"/>
      <c r="D1307" s="3"/>
      <c r="E1307" s="3"/>
      <c r="F1307" s="3"/>
      <c r="G1307" s="4"/>
      <c r="H1307" s="4"/>
      <c r="I1307" s="3"/>
      <c r="J1307" s="3"/>
      <c r="K1307" s="8" t="str">
        <f t="shared" si="20"/>
        <v/>
      </c>
      <c r="L1307" s="1" t="str">
        <f>IF(COUNTA(A1307:J1307)=0,"",IF(OR(AND(C1307&lt;&gt;"Servicio",C1307&lt;&gt;"Cobro",C1307&lt;&gt;"Anticipo",C1307&lt;&gt;"Aplicación anticipo",C1307&lt;&gt;"Retención ISR",C1307&lt;&gt;"Retención IVA"),AND(C1307="Servicio",F1307&lt;&gt;"TMS",F1307&lt;&gt;"Valoración",F1307&lt;&gt;"EEG",F1307&lt;&gt;"Neurofeedback",F1307&lt;&gt;"Fotobiomodulación",F1307&lt;&gt;"Psicoterapia",F1307&lt;&gt;"Otros")),"Tipo o categoría inválido",IF(COUNTA(A1307:J1307)=0,"",IF(OR(A1307="",B1307="",C1307="",G1307=""),"Faltan datos",IF(COUNTIF($A$7:$A$2006,A1307)&gt;1,"ID duplicado",IF(OR(B1307&lt;DATE(Configuración!$C$5,1,1),B1307&gt;=DATE(Configuración!$C$5+1,1,1)),"Fecha fuera del año",IF(OR(G1307&lt;0,H1307&lt;0),"Revisar signo",IF(AND(C1307&lt;&gt;"Servicio",H1307&lt;&gt;0),"IVA solo en Servicio",IF(AND(C1307="Servicio",F1307=""),"Falta servicio","OK")))))))))</f>
        <v/>
      </c>
    </row>
    <row r="1308" spans="1:12" ht="22" customHeight="1">
      <c r="A1308" s="3"/>
      <c r="B1308" s="7"/>
      <c r="C1308" s="3"/>
      <c r="D1308" s="3"/>
      <c r="E1308" s="3"/>
      <c r="F1308" s="3"/>
      <c r="G1308" s="4"/>
      <c r="H1308" s="4"/>
      <c r="I1308" s="3"/>
      <c r="J1308" s="3"/>
      <c r="K1308" s="8" t="str">
        <f t="shared" si="20"/>
        <v/>
      </c>
      <c r="L1308" s="1" t="str">
        <f>IF(COUNTA(A1308:J1308)=0,"",IF(OR(AND(C1308&lt;&gt;"Servicio",C1308&lt;&gt;"Cobro",C1308&lt;&gt;"Anticipo",C1308&lt;&gt;"Aplicación anticipo",C1308&lt;&gt;"Retención ISR",C1308&lt;&gt;"Retención IVA"),AND(C1308="Servicio",F1308&lt;&gt;"TMS",F1308&lt;&gt;"Valoración",F1308&lt;&gt;"EEG",F1308&lt;&gt;"Neurofeedback",F1308&lt;&gt;"Fotobiomodulación",F1308&lt;&gt;"Psicoterapia",F1308&lt;&gt;"Otros")),"Tipo o categoría inválido",IF(COUNTA(A1308:J1308)=0,"",IF(OR(A1308="",B1308="",C1308="",G1308=""),"Faltan datos",IF(COUNTIF($A$7:$A$2006,A1308)&gt;1,"ID duplicado",IF(OR(B1308&lt;DATE(Configuración!$C$5,1,1),B1308&gt;=DATE(Configuración!$C$5+1,1,1)),"Fecha fuera del año",IF(OR(G1308&lt;0,H1308&lt;0),"Revisar signo",IF(AND(C1308&lt;&gt;"Servicio",H1308&lt;&gt;0),"IVA solo en Servicio",IF(AND(C1308="Servicio",F1308=""),"Falta servicio","OK")))))))))</f>
        <v/>
      </c>
    </row>
    <row r="1309" spans="1:12" ht="22" customHeight="1">
      <c r="A1309" s="3"/>
      <c r="B1309" s="7"/>
      <c r="C1309" s="3"/>
      <c r="D1309" s="3"/>
      <c r="E1309" s="3"/>
      <c r="F1309" s="3"/>
      <c r="G1309" s="4"/>
      <c r="H1309" s="4"/>
      <c r="I1309" s="3"/>
      <c r="J1309" s="3"/>
      <c r="K1309" s="8" t="str">
        <f t="shared" si="20"/>
        <v/>
      </c>
      <c r="L1309" s="1" t="str">
        <f>IF(COUNTA(A1309:J1309)=0,"",IF(OR(AND(C1309&lt;&gt;"Servicio",C1309&lt;&gt;"Cobro",C1309&lt;&gt;"Anticipo",C1309&lt;&gt;"Aplicación anticipo",C1309&lt;&gt;"Retención ISR",C1309&lt;&gt;"Retención IVA"),AND(C1309="Servicio",F1309&lt;&gt;"TMS",F1309&lt;&gt;"Valoración",F1309&lt;&gt;"EEG",F1309&lt;&gt;"Neurofeedback",F1309&lt;&gt;"Fotobiomodulación",F1309&lt;&gt;"Psicoterapia",F1309&lt;&gt;"Otros")),"Tipo o categoría inválido",IF(COUNTA(A1309:J1309)=0,"",IF(OR(A1309="",B1309="",C1309="",G1309=""),"Faltan datos",IF(COUNTIF($A$7:$A$2006,A1309)&gt;1,"ID duplicado",IF(OR(B1309&lt;DATE(Configuración!$C$5,1,1),B1309&gt;=DATE(Configuración!$C$5+1,1,1)),"Fecha fuera del año",IF(OR(G1309&lt;0,H1309&lt;0),"Revisar signo",IF(AND(C1309&lt;&gt;"Servicio",H1309&lt;&gt;0),"IVA solo en Servicio",IF(AND(C1309="Servicio",F1309=""),"Falta servicio","OK")))))))))</f>
        <v/>
      </c>
    </row>
    <row r="1310" spans="1:12" ht="22" customHeight="1">
      <c r="A1310" s="3"/>
      <c r="B1310" s="7"/>
      <c r="C1310" s="3"/>
      <c r="D1310" s="3"/>
      <c r="E1310" s="3"/>
      <c r="F1310" s="3"/>
      <c r="G1310" s="4"/>
      <c r="H1310" s="4"/>
      <c r="I1310" s="3"/>
      <c r="J1310" s="3"/>
      <c r="K1310" s="8" t="str">
        <f t="shared" si="20"/>
        <v/>
      </c>
      <c r="L1310" s="1" t="str">
        <f>IF(COUNTA(A1310:J1310)=0,"",IF(OR(AND(C1310&lt;&gt;"Servicio",C1310&lt;&gt;"Cobro",C1310&lt;&gt;"Anticipo",C1310&lt;&gt;"Aplicación anticipo",C1310&lt;&gt;"Retención ISR",C1310&lt;&gt;"Retención IVA"),AND(C1310="Servicio",F1310&lt;&gt;"TMS",F1310&lt;&gt;"Valoración",F1310&lt;&gt;"EEG",F1310&lt;&gt;"Neurofeedback",F1310&lt;&gt;"Fotobiomodulación",F1310&lt;&gt;"Psicoterapia",F1310&lt;&gt;"Otros")),"Tipo o categoría inválido",IF(COUNTA(A1310:J1310)=0,"",IF(OR(A1310="",B1310="",C1310="",G1310=""),"Faltan datos",IF(COUNTIF($A$7:$A$2006,A1310)&gt;1,"ID duplicado",IF(OR(B1310&lt;DATE(Configuración!$C$5,1,1),B1310&gt;=DATE(Configuración!$C$5+1,1,1)),"Fecha fuera del año",IF(OR(G1310&lt;0,H1310&lt;0),"Revisar signo",IF(AND(C1310&lt;&gt;"Servicio",H1310&lt;&gt;0),"IVA solo en Servicio",IF(AND(C1310="Servicio",F1310=""),"Falta servicio","OK")))))))))</f>
        <v/>
      </c>
    </row>
    <row r="1311" spans="1:12" ht="22" customHeight="1">
      <c r="A1311" s="3"/>
      <c r="B1311" s="7"/>
      <c r="C1311" s="3"/>
      <c r="D1311" s="3"/>
      <c r="E1311" s="3"/>
      <c r="F1311" s="3"/>
      <c r="G1311" s="4"/>
      <c r="H1311" s="4"/>
      <c r="I1311" s="3"/>
      <c r="J1311" s="3"/>
      <c r="K1311" s="8" t="str">
        <f t="shared" si="20"/>
        <v/>
      </c>
      <c r="L1311" s="1" t="str">
        <f>IF(COUNTA(A1311:J1311)=0,"",IF(OR(AND(C1311&lt;&gt;"Servicio",C1311&lt;&gt;"Cobro",C1311&lt;&gt;"Anticipo",C1311&lt;&gt;"Aplicación anticipo",C1311&lt;&gt;"Retención ISR",C1311&lt;&gt;"Retención IVA"),AND(C1311="Servicio",F1311&lt;&gt;"TMS",F1311&lt;&gt;"Valoración",F1311&lt;&gt;"EEG",F1311&lt;&gt;"Neurofeedback",F1311&lt;&gt;"Fotobiomodulación",F1311&lt;&gt;"Psicoterapia",F1311&lt;&gt;"Otros")),"Tipo o categoría inválido",IF(COUNTA(A1311:J1311)=0,"",IF(OR(A1311="",B1311="",C1311="",G1311=""),"Faltan datos",IF(COUNTIF($A$7:$A$2006,A1311)&gt;1,"ID duplicado",IF(OR(B1311&lt;DATE(Configuración!$C$5,1,1),B1311&gt;=DATE(Configuración!$C$5+1,1,1)),"Fecha fuera del año",IF(OR(G1311&lt;0,H1311&lt;0),"Revisar signo",IF(AND(C1311&lt;&gt;"Servicio",H1311&lt;&gt;0),"IVA solo en Servicio",IF(AND(C1311="Servicio",F1311=""),"Falta servicio","OK")))))))))</f>
        <v/>
      </c>
    </row>
    <row r="1312" spans="1:12" ht="22" customHeight="1">
      <c r="A1312" s="3"/>
      <c r="B1312" s="7"/>
      <c r="C1312" s="3"/>
      <c r="D1312" s="3"/>
      <c r="E1312" s="3"/>
      <c r="F1312" s="3"/>
      <c r="G1312" s="4"/>
      <c r="H1312" s="4"/>
      <c r="I1312" s="3"/>
      <c r="J1312" s="3"/>
      <c r="K1312" s="8" t="str">
        <f t="shared" si="20"/>
        <v/>
      </c>
      <c r="L1312" s="1" t="str">
        <f>IF(COUNTA(A1312:J1312)=0,"",IF(OR(AND(C1312&lt;&gt;"Servicio",C1312&lt;&gt;"Cobro",C1312&lt;&gt;"Anticipo",C1312&lt;&gt;"Aplicación anticipo",C1312&lt;&gt;"Retención ISR",C1312&lt;&gt;"Retención IVA"),AND(C1312="Servicio",F1312&lt;&gt;"TMS",F1312&lt;&gt;"Valoración",F1312&lt;&gt;"EEG",F1312&lt;&gt;"Neurofeedback",F1312&lt;&gt;"Fotobiomodulación",F1312&lt;&gt;"Psicoterapia",F1312&lt;&gt;"Otros")),"Tipo o categoría inválido",IF(COUNTA(A1312:J1312)=0,"",IF(OR(A1312="",B1312="",C1312="",G1312=""),"Faltan datos",IF(COUNTIF($A$7:$A$2006,A1312)&gt;1,"ID duplicado",IF(OR(B1312&lt;DATE(Configuración!$C$5,1,1),B1312&gt;=DATE(Configuración!$C$5+1,1,1)),"Fecha fuera del año",IF(OR(G1312&lt;0,H1312&lt;0),"Revisar signo",IF(AND(C1312&lt;&gt;"Servicio",H1312&lt;&gt;0),"IVA solo en Servicio",IF(AND(C1312="Servicio",F1312=""),"Falta servicio","OK")))))))))</f>
        <v/>
      </c>
    </row>
    <row r="1313" spans="1:12" ht="22" customHeight="1">
      <c r="A1313" s="3"/>
      <c r="B1313" s="7"/>
      <c r="C1313" s="3"/>
      <c r="D1313" s="3"/>
      <c r="E1313" s="3"/>
      <c r="F1313" s="3"/>
      <c r="G1313" s="4"/>
      <c r="H1313" s="4"/>
      <c r="I1313" s="3"/>
      <c r="J1313" s="3"/>
      <c r="K1313" s="8" t="str">
        <f t="shared" si="20"/>
        <v/>
      </c>
      <c r="L1313" s="1" t="str">
        <f>IF(COUNTA(A1313:J1313)=0,"",IF(OR(AND(C1313&lt;&gt;"Servicio",C1313&lt;&gt;"Cobro",C1313&lt;&gt;"Anticipo",C1313&lt;&gt;"Aplicación anticipo",C1313&lt;&gt;"Retención ISR",C1313&lt;&gt;"Retención IVA"),AND(C1313="Servicio",F1313&lt;&gt;"TMS",F1313&lt;&gt;"Valoración",F1313&lt;&gt;"EEG",F1313&lt;&gt;"Neurofeedback",F1313&lt;&gt;"Fotobiomodulación",F1313&lt;&gt;"Psicoterapia",F1313&lt;&gt;"Otros")),"Tipo o categoría inválido",IF(COUNTA(A1313:J1313)=0,"",IF(OR(A1313="",B1313="",C1313="",G1313=""),"Faltan datos",IF(COUNTIF($A$7:$A$2006,A1313)&gt;1,"ID duplicado",IF(OR(B1313&lt;DATE(Configuración!$C$5,1,1),B1313&gt;=DATE(Configuración!$C$5+1,1,1)),"Fecha fuera del año",IF(OR(G1313&lt;0,H1313&lt;0),"Revisar signo",IF(AND(C1313&lt;&gt;"Servicio",H1313&lt;&gt;0),"IVA solo en Servicio",IF(AND(C1313="Servicio",F1313=""),"Falta servicio","OK")))))))))</f>
        <v/>
      </c>
    </row>
    <row r="1314" spans="1:12" ht="22" customHeight="1">
      <c r="A1314" s="3"/>
      <c r="B1314" s="7"/>
      <c r="C1314" s="3"/>
      <c r="D1314" s="3"/>
      <c r="E1314" s="3"/>
      <c r="F1314" s="3"/>
      <c r="G1314" s="4"/>
      <c r="H1314" s="4"/>
      <c r="I1314" s="3"/>
      <c r="J1314" s="3"/>
      <c r="K1314" s="8" t="str">
        <f t="shared" si="20"/>
        <v/>
      </c>
      <c r="L1314" s="1" t="str">
        <f>IF(COUNTA(A1314:J1314)=0,"",IF(OR(AND(C1314&lt;&gt;"Servicio",C1314&lt;&gt;"Cobro",C1314&lt;&gt;"Anticipo",C1314&lt;&gt;"Aplicación anticipo",C1314&lt;&gt;"Retención ISR",C1314&lt;&gt;"Retención IVA"),AND(C1314="Servicio",F1314&lt;&gt;"TMS",F1314&lt;&gt;"Valoración",F1314&lt;&gt;"EEG",F1314&lt;&gt;"Neurofeedback",F1314&lt;&gt;"Fotobiomodulación",F1314&lt;&gt;"Psicoterapia",F1314&lt;&gt;"Otros")),"Tipo o categoría inválido",IF(COUNTA(A1314:J1314)=0,"",IF(OR(A1314="",B1314="",C1314="",G1314=""),"Faltan datos",IF(COUNTIF($A$7:$A$2006,A1314)&gt;1,"ID duplicado",IF(OR(B1314&lt;DATE(Configuración!$C$5,1,1),B1314&gt;=DATE(Configuración!$C$5+1,1,1)),"Fecha fuera del año",IF(OR(G1314&lt;0,H1314&lt;0),"Revisar signo",IF(AND(C1314&lt;&gt;"Servicio",H1314&lt;&gt;0),"IVA solo en Servicio",IF(AND(C1314="Servicio",F1314=""),"Falta servicio","OK")))))))))</f>
        <v/>
      </c>
    </row>
    <row r="1315" spans="1:12" ht="22" customHeight="1">
      <c r="A1315" s="3"/>
      <c r="B1315" s="7"/>
      <c r="C1315" s="3"/>
      <c r="D1315" s="3"/>
      <c r="E1315" s="3"/>
      <c r="F1315" s="3"/>
      <c r="G1315" s="4"/>
      <c r="H1315" s="4"/>
      <c r="I1315" s="3"/>
      <c r="J1315" s="3"/>
      <c r="K1315" s="8" t="str">
        <f t="shared" si="20"/>
        <v/>
      </c>
      <c r="L1315" s="1" t="str">
        <f>IF(COUNTA(A1315:J1315)=0,"",IF(OR(AND(C1315&lt;&gt;"Servicio",C1315&lt;&gt;"Cobro",C1315&lt;&gt;"Anticipo",C1315&lt;&gt;"Aplicación anticipo",C1315&lt;&gt;"Retención ISR",C1315&lt;&gt;"Retención IVA"),AND(C1315="Servicio",F1315&lt;&gt;"TMS",F1315&lt;&gt;"Valoración",F1315&lt;&gt;"EEG",F1315&lt;&gt;"Neurofeedback",F1315&lt;&gt;"Fotobiomodulación",F1315&lt;&gt;"Psicoterapia",F1315&lt;&gt;"Otros")),"Tipo o categoría inválido",IF(COUNTA(A1315:J1315)=0,"",IF(OR(A1315="",B1315="",C1315="",G1315=""),"Faltan datos",IF(COUNTIF($A$7:$A$2006,A1315)&gt;1,"ID duplicado",IF(OR(B1315&lt;DATE(Configuración!$C$5,1,1),B1315&gt;=DATE(Configuración!$C$5+1,1,1)),"Fecha fuera del año",IF(OR(G1315&lt;0,H1315&lt;0),"Revisar signo",IF(AND(C1315&lt;&gt;"Servicio",H1315&lt;&gt;0),"IVA solo en Servicio",IF(AND(C1315="Servicio",F1315=""),"Falta servicio","OK")))))))))</f>
        <v/>
      </c>
    </row>
    <row r="1316" spans="1:12" ht="22" customHeight="1">
      <c r="A1316" s="3"/>
      <c r="B1316" s="7"/>
      <c r="C1316" s="3"/>
      <c r="D1316" s="3"/>
      <c r="E1316" s="3"/>
      <c r="F1316" s="3"/>
      <c r="G1316" s="4"/>
      <c r="H1316" s="4"/>
      <c r="I1316" s="3"/>
      <c r="J1316" s="3"/>
      <c r="K1316" s="8" t="str">
        <f t="shared" si="20"/>
        <v/>
      </c>
      <c r="L1316" s="1" t="str">
        <f>IF(COUNTA(A1316:J1316)=0,"",IF(OR(AND(C1316&lt;&gt;"Servicio",C1316&lt;&gt;"Cobro",C1316&lt;&gt;"Anticipo",C1316&lt;&gt;"Aplicación anticipo",C1316&lt;&gt;"Retención ISR",C1316&lt;&gt;"Retención IVA"),AND(C1316="Servicio",F1316&lt;&gt;"TMS",F1316&lt;&gt;"Valoración",F1316&lt;&gt;"EEG",F1316&lt;&gt;"Neurofeedback",F1316&lt;&gt;"Fotobiomodulación",F1316&lt;&gt;"Psicoterapia",F1316&lt;&gt;"Otros")),"Tipo o categoría inválido",IF(COUNTA(A1316:J1316)=0,"",IF(OR(A1316="",B1316="",C1316="",G1316=""),"Faltan datos",IF(COUNTIF($A$7:$A$2006,A1316)&gt;1,"ID duplicado",IF(OR(B1316&lt;DATE(Configuración!$C$5,1,1),B1316&gt;=DATE(Configuración!$C$5+1,1,1)),"Fecha fuera del año",IF(OR(G1316&lt;0,H1316&lt;0),"Revisar signo",IF(AND(C1316&lt;&gt;"Servicio",H1316&lt;&gt;0),"IVA solo en Servicio",IF(AND(C1316="Servicio",F1316=""),"Falta servicio","OK")))))))))</f>
        <v/>
      </c>
    </row>
    <row r="1317" spans="1:12" ht="22" customHeight="1">
      <c r="A1317" s="3"/>
      <c r="B1317" s="7"/>
      <c r="C1317" s="3"/>
      <c r="D1317" s="3"/>
      <c r="E1317" s="3"/>
      <c r="F1317" s="3"/>
      <c r="G1317" s="4"/>
      <c r="H1317" s="4"/>
      <c r="I1317" s="3"/>
      <c r="J1317" s="3"/>
      <c r="K1317" s="8" t="str">
        <f t="shared" si="20"/>
        <v/>
      </c>
      <c r="L1317" s="1" t="str">
        <f>IF(COUNTA(A1317:J1317)=0,"",IF(OR(AND(C1317&lt;&gt;"Servicio",C1317&lt;&gt;"Cobro",C1317&lt;&gt;"Anticipo",C1317&lt;&gt;"Aplicación anticipo",C1317&lt;&gt;"Retención ISR",C1317&lt;&gt;"Retención IVA"),AND(C1317="Servicio",F1317&lt;&gt;"TMS",F1317&lt;&gt;"Valoración",F1317&lt;&gt;"EEG",F1317&lt;&gt;"Neurofeedback",F1317&lt;&gt;"Fotobiomodulación",F1317&lt;&gt;"Psicoterapia",F1317&lt;&gt;"Otros")),"Tipo o categoría inválido",IF(COUNTA(A1317:J1317)=0,"",IF(OR(A1317="",B1317="",C1317="",G1317=""),"Faltan datos",IF(COUNTIF($A$7:$A$2006,A1317)&gt;1,"ID duplicado",IF(OR(B1317&lt;DATE(Configuración!$C$5,1,1),B1317&gt;=DATE(Configuración!$C$5+1,1,1)),"Fecha fuera del año",IF(OR(G1317&lt;0,H1317&lt;0),"Revisar signo",IF(AND(C1317&lt;&gt;"Servicio",H1317&lt;&gt;0),"IVA solo en Servicio",IF(AND(C1317="Servicio",F1317=""),"Falta servicio","OK")))))))))</f>
        <v/>
      </c>
    </row>
    <row r="1318" spans="1:12" ht="22" customHeight="1">
      <c r="A1318" s="3"/>
      <c r="B1318" s="7"/>
      <c r="C1318" s="3"/>
      <c r="D1318" s="3"/>
      <c r="E1318" s="3"/>
      <c r="F1318" s="3"/>
      <c r="G1318" s="4"/>
      <c r="H1318" s="4"/>
      <c r="I1318" s="3"/>
      <c r="J1318" s="3"/>
      <c r="K1318" s="8" t="str">
        <f t="shared" si="20"/>
        <v/>
      </c>
      <c r="L1318" s="1" t="str">
        <f>IF(COUNTA(A1318:J1318)=0,"",IF(OR(AND(C1318&lt;&gt;"Servicio",C1318&lt;&gt;"Cobro",C1318&lt;&gt;"Anticipo",C1318&lt;&gt;"Aplicación anticipo",C1318&lt;&gt;"Retención ISR",C1318&lt;&gt;"Retención IVA"),AND(C1318="Servicio",F1318&lt;&gt;"TMS",F1318&lt;&gt;"Valoración",F1318&lt;&gt;"EEG",F1318&lt;&gt;"Neurofeedback",F1318&lt;&gt;"Fotobiomodulación",F1318&lt;&gt;"Psicoterapia",F1318&lt;&gt;"Otros")),"Tipo o categoría inválido",IF(COUNTA(A1318:J1318)=0,"",IF(OR(A1318="",B1318="",C1318="",G1318=""),"Faltan datos",IF(COUNTIF($A$7:$A$2006,A1318)&gt;1,"ID duplicado",IF(OR(B1318&lt;DATE(Configuración!$C$5,1,1),B1318&gt;=DATE(Configuración!$C$5+1,1,1)),"Fecha fuera del año",IF(OR(G1318&lt;0,H1318&lt;0),"Revisar signo",IF(AND(C1318&lt;&gt;"Servicio",H1318&lt;&gt;0),"IVA solo en Servicio",IF(AND(C1318="Servicio",F1318=""),"Falta servicio","OK")))))))))</f>
        <v/>
      </c>
    </row>
    <row r="1319" spans="1:12" ht="22" customHeight="1">
      <c r="A1319" s="3"/>
      <c r="B1319" s="7"/>
      <c r="C1319" s="3"/>
      <c r="D1319" s="3"/>
      <c r="E1319" s="3"/>
      <c r="F1319" s="3"/>
      <c r="G1319" s="4"/>
      <c r="H1319" s="4"/>
      <c r="I1319" s="3"/>
      <c r="J1319" s="3"/>
      <c r="K1319" s="8" t="str">
        <f t="shared" si="20"/>
        <v/>
      </c>
      <c r="L1319" s="1" t="str">
        <f>IF(COUNTA(A1319:J1319)=0,"",IF(OR(AND(C1319&lt;&gt;"Servicio",C1319&lt;&gt;"Cobro",C1319&lt;&gt;"Anticipo",C1319&lt;&gt;"Aplicación anticipo",C1319&lt;&gt;"Retención ISR",C1319&lt;&gt;"Retención IVA"),AND(C1319="Servicio",F1319&lt;&gt;"TMS",F1319&lt;&gt;"Valoración",F1319&lt;&gt;"EEG",F1319&lt;&gt;"Neurofeedback",F1319&lt;&gt;"Fotobiomodulación",F1319&lt;&gt;"Psicoterapia",F1319&lt;&gt;"Otros")),"Tipo o categoría inválido",IF(COUNTA(A1319:J1319)=0,"",IF(OR(A1319="",B1319="",C1319="",G1319=""),"Faltan datos",IF(COUNTIF($A$7:$A$2006,A1319)&gt;1,"ID duplicado",IF(OR(B1319&lt;DATE(Configuración!$C$5,1,1),B1319&gt;=DATE(Configuración!$C$5+1,1,1)),"Fecha fuera del año",IF(OR(G1319&lt;0,H1319&lt;0),"Revisar signo",IF(AND(C1319&lt;&gt;"Servicio",H1319&lt;&gt;0),"IVA solo en Servicio",IF(AND(C1319="Servicio",F1319=""),"Falta servicio","OK")))))))))</f>
        <v/>
      </c>
    </row>
    <row r="1320" spans="1:12" ht="22" customHeight="1">
      <c r="A1320" s="3"/>
      <c r="B1320" s="7"/>
      <c r="C1320" s="3"/>
      <c r="D1320" s="3"/>
      <c r="E1320" s="3"/>
      <c r="F1320" s="3"/>
      <c r="G1320" s="4"/>
      <c r="H1320" s="4"/>
      <c r="I1320" s="3"/>
      <c r="J1320" s="3"/>
      <c r="K1320" s="8" t="str">
        <f t="shared" si="20"/>
        <v/>
      </c>
      <c r="L1320" s="1" t="str">
        <f>IF(COUNTA(A1320:J1320)=0,"",IF(OR(AND(C1320&lt;&gt;"Servicio",C1320&lt;&gt;"Cobro",C1320&lt;&gt;"Anticipo",C1320&lt;&gt;"Aplicación anticipo",C1320&lt;&gt;"Retención ISR",C1320&lt;&gt;"Retención IVA"),AND(C1320="Servicio",F1320&lt;&gt;"TMS",F1320&lt;&gt;"Valoración",F1320&lt;&gt;"EEG",F1320&lt;&gt;"Neurofeedback",F1320&lt;&gt;"Fotobiomodulación",F1320&lt;&gt;"Psicoterapia",F1320&lt;&gt;"Otros")),"Tipo o categoría inválido",IF(COUNTA(A1320:J1320)=0,"",IF(OR(A1320="",B1320="",C1320="",G1320=""),"Faltan datos",IF(COUNTIF($A$7:$A$2006,A1320)&gt;1,"ID duplicado",IF(OR(B1320&lt;DATE(Configuración!$C$5,1,1),B1320&gt;=DATE(Configuración!$C$5+1,1,1)),"Fecha fuera del año",IF(OR(G1320&lt;0,H1320&lt;0),"Revisar signo",IF(AND(C1320&lt;&gt;"Servicio",H1320&lt;&gt;0),"IVA solo en Servicio",IF(AND(C1320="Servicio",F1320=""),"Falta servicio","OK")))))))))</f>
        <v/>
      </c>
    </row>
    <row r="1321" spans="1:12" ht="22" customHeight="1">
      <c r="A1321" s="3"/>
      <c r="B1321" s="7"/>
      <c r="C1321" s="3"/>
      <c r="D1321" s="3"/>
      <c r="E1321" s="3"/>
      <c r="F1321" s="3"/>
      <c r="G1321" s="4"/>
      <c r="H1321" s="4"/>
      <c r="I1321" s="3"/>
      <c r="J1321" s="3"/>
      <c r="K1321" s="8" t="str">
        <f t="shared" si="20"/>
        <v/>
      </c>
      <c r="L1321" s="1" t="str">
        <f>IF(COUNTA(A1321:J1321)=0,"",IF(OR(AND(C1321&lt;&gt;"Servicio",C1321&lt;&gt;"Cobro",C1321&lt;&gt;"Anticipo",C1321&lt;&gt;"Aplicación anticipo",C1321&lt;&gt;"Retención ISR",C1321&lt;&gt;"Retención IVA"),AND(C1321="Servicio",F1321&lt;&gt;"TMS",F1321&lt;&gt;"Valoración",F1321&lt;&gt;"EEG",F1321&lt;&gt;"Neurofeedback",F1321&lt;&gt;"Fotobiomodulación",F1321&lt;&gt;"Psicoterapia",F1321&lt;&gt;"Otros")),"Tipo o categoría inválido",IF(COUNTA(A1321:J1321)=0,"",IF(OR(A1321="",B1321="",C1321="",G1321=""),"Faltan datos",IF(COUNTIF($A$7:$A$2006,A1321)&gt;1,"ID duplicado",IF(OR(B1321&lt;DATE(Configuración!$C$5,1,1),B1321&gt;=DATE(Configuración!$C$5+1,1,1)),"Fecha fuera del año",IF(OR(G1321&lt;0,H1321&lt;0),"Revisar signo",IF(AND(C1321&lt;&gt;"Servicio",H1321&lt;&gt;0),"IVA solo en Servicio",IF(AND(C1321="Servicio",F1321=""),"Falta servicio","OK")))))))))</f>
        <v/>
      </c>
    </row>
    <row r="1322" spans="1:12" ht="22" customHeight="1">
      <c r="A1322" s="3"/>
      <c r="B1322" s="7"/>
      <c r="C1322" s="3"/>
      <c r="D1322" s="3"/>
      <c r="E1322" s="3"/>
      <c r="F1322" s="3"/>
      <c r="G1322" s="4"/>
      <c r="H1322" s="4"/>
      <c r="I1322" s="3"/>
      <c r="J1322" s="3"/>
      <c r="K1322" s="8" t="str">
        <f t="shared" si="20"/>
        <v/>
      </c>
      <c r="L1322" s="1" t="str">
        <f>IF(COUNTA(A1322:J1322)=0,"",IF(OR(AND(C1322&lt;&gt;"Servicio",C1322&lt;&gt;"Cobro",C1322&lt;&gt;"Anticipo",C1322&lt;&gt;"Aplicación anticipo",C1322&lt;&gt;"Retención ISR",C1322&lt;&gt;"Retención IVA"),AND(C1322="Servicio",F1322&lt;&gt;"TMS",F1322&lt;&gt;"Valoración",F1322&lt;&gt;"EEG",F1322&lt;&gt;"Neurofeedback",F1322&lt;&gt;"Fotobiomodulación",F1322&lt;&gt;"Psicoterapia",F1322&lt;&gt;"Otros")),"Tipo o categoría inválido",IF(COUNTA(A1322:J1322)=0,"",IF(OR(A1322="",B1322="",C1322="",G1322=""),"Faltan datos",IF(COUNTIF($A$7:$A$2006,A1322)&gt;1,"ID duplicado",IF(OR(B1322&lt;DATE(Configuración!$C$5,1,1),B1322&gt;=DATE(Configuración!$C$5+1,1,1)),"Fecha fuera del año",IF(OR(G1322&lt;0,H1322&lt;0),"Revisar signo",IF(AND(C1322&lt;&gt;"Servicio",H1322&lt;&gt;0),"IVA solo en Servicio",IF(AND(C1322="Servicio",F1322=""),"Falta servicio","OK")))))))))</f>
        <v/>
      </c>
    </row>
    <row r="1323" spans="1:12" ht="22" customHeight="1">
      <c r="A1323" s="3"/>
      <c r="B1323" s="7"/>
      <c r="C1323" s="3"/>
      <c r="D1323" s="3"/>
      <c r="E1323" s="3"/>
      <c r="F1323" s="3"/>
      <c r="G1323" s="4"/>
      <c r="H1323" s="4"/>
      <c r="I1323" s="3"/>
      <c r="J1323" s="3"/>
      <c r="K1323" s="8" t="str">
        <f t="shared" si="20"/>
        <v/>
      </c>
      <c r="L1323" s="1" t="str">
        <f>IF(COUNTA(A1323:J1323)=0,"",IF(OR(AND(C1323&lt;&gt;"Servicio",C1323&lt;&gt;"Cobro",C1323&lt;&gt;"Anticipo",C1323&lt;&gt;"Aplicación anticipo",C1323&lt;&gt;"Retención ISR",C1323&lt;&gt;"Retención IVA"),AND(C1323="Servicio",F1323&lt;&gt;"TMS",F1323&lt;&gt;"Valoración",F1323&lt;&gt;"EEG",F1323&lt;&gt;"Neurofeedback",F1323&lt;&gt;"Fotobiomodulación",F1323&lt;&gt;"Psicoterapia",F1323&lt;&gt;"Otros")),"Tipo o categoría inválido",IF(COUNTA(A1323:J1323)=0,"",IF(OR(A1323="",B1323="",C1323="",G1323=""),"Faltan datos",IF(COUNTIF($A$7:$A$2006,A1323)&gt;1,"ID duplicado",IF(OR(B1323&lt;DATE(Configuración!$C$5,1,1),B1323&gt;=DATE(Configuración!$C$5+1,1,1)),"Fecha fuera del año",IF(OR(G1323&lt;0,H1323&lt;0),"Revisar signo",IF(AND(C1323&lt;&gt;"Servicio",H1323&lt;&gt;0),"IVA solo en Servicio",IF(AND(C1323="Servicio",F1323=""),"Falta servicio","OK")))))))))</f>
        <v/>
      </c>
    </row>
    <row r="1324" spans="1:12" ht="22" customHeight="1">
      <c r="A1324" s="3"/>
      <c r="B1324" s="7"/>
      <c r="C1324" s="3"/>
      <c r="D1324" s="3"/>
      <c r="E1324" s="3"/>
      <c r="F1324" s="3"/>
      <c r="G1324" s="4"/>
      <c r="H1324" s="4"/>
      <c r="I1324" s="3"/>
      <c r="J1324" s="3"/>
      <c r="K1324" s="8" t="str">
        <f t="shared" si="20"/>
        <v/>
      </c>
      <c r="L1324" s="1" t="str">
        <f>IF(COUNTA(A1324:J1324)=0,"",IF(OR(AND(C1324&lt;&gt;"Servicio",C1324&lt;&gt;"Cobro",C1324&lt;&gt;"Anticipo",C1324&lt;&gt;"Aplicación anticipo",C1324&lt;&gt;"Retención ISR",C1324&lt;&gt;"Retención IVA"),AND(C1324="Servicio",F1324&lt;&gt;"TMS",F1324&lt;&gt;"Valoración",F1324&lt;&gt;"EEG",F1324&lt;&gt;"Neurofeedback",F1324&lt;&gt;"Fotobiomodulación",F1324&lt;&gt;"Psicoterapia",F1324&lt;&gt;"Otros")),"Tipo o categoría inválido",IF(COUNTA(A1324:J1324)=0,"",IF(OR(A1324="",B1324="",C1324="",G1324=""),"Faltan datos",IF(COUNTIF($A$7:$A$2006,A1324)&gt;1,"ID duplicado",IF(OR(B1324&lt;DATE(Configuración!$C$5,1,1),B1324&gt;=DATE(Configuración!$C$5+1,1,1)),"Fecha fuera del año",IF(OR(G1324&lt;0,H1324&lt;0),"Revisar signo",IF(AND(C1324&lt;&gt;"Servicio",H1324&lt;&gt;0),"IVA solo en Servicio",IF(AND(C1324="Servicio",F1324=""),"Falta servicio","OK")))))))))</f>
        <v/>
      </c>
    </row>
    <row r="1325" spans="1:12" ht="22" customHeight="1">
      <c r="A1325" s="3"/>
      <c r="B1325" s="7"/>
      <c r="C1325" s="3"/>
      <c r="D1325" s="3"/>
      <c r="E1325" s="3"/>
      <c r="F1325" s="3"/>
      <c r="G1325" s="4"/>
      <c r="H1325" s="4"/>
      <c r="I1325" s="3"/>
      <c r="J1325" s="3"/>
      <c r="K1325" s="8" t="str">
        <f t="shared" si="20"/>
        <v/>
      </c>
      <c r="L1325" s="1" t="str">
        <f>IF(COUNTA(A1325:J1325)=0,"",IF(OR(AND(C1325&lt;&gt;"Servicio",C1325&lt;&gt;"Cobro",C1325&lt;&gt;"Anticipo",C1325&lt;&gt;"Aplicación anticipo",C1325&lt;&gt;"Retención ISR",C1325&lt;&gt;"Retención IVA"),AND(C1325="Servicio",F1325&lt;&gt;"TMS",F1325&lt;&gt;"Valoración",F1325&lt;&gt;"EEG",F1325&lt;&gt;"Neurofeedback",F1325&lt;&gt;"Fotobiomodulación",F1325&lt;&gt;"Psicoterapia",F1325&lt;&gt;"Otros")),"Tipo o categoría inválido",IF(COUNTA(A1325:J1325)=0,"",IF(OR(A1325="",B1325="",C1325="",G1325=""),"Faltan datos",IF(COUNTIF($A$7:$A$2006,A1325)&gt;1,"ID duplicado",IF(OR(B1325&lt;DATE(Configuración!$C$5,1,1),B1325&gt;=DATE(Configuración!$C$5+1,1,1)),"Fecha fuera del año",IF(OR(G1325&lt;0,H1325&lt;0),"Revisar signo",IF(AND(C1325&lt;&gt;"Servicio",H1325&lt;&gt;0),"IVA solo en Servicio",IF(AND(C1325="Servicio",F1325=""),"Falta servicio","OK")))))))))</f>
        <v/>
      </c>
    </row>
    <row r="1326" spans="1:12" ht="22" customHeight="1">
      <c r="A1326" s="3"/>
      <c r="B1326" s="7"/>
      <c r="C1326" s="3"/>
      <c r="D1326" s="3"/>
      <c r="E1326" s="3"/>
      <c r="F1326" s="3"/>
      <c r="G1326" s="4"/>
      <c r="H1326" s="4"/>
      <c r="I1326" s="3"/>
      <c r="J1326" s="3"/>
      <c r="K1326" s="8" t="str">
        <f t="shared" si="20"/>
        <v/>
      </c>
      <c r="L1326" s="1" t="str">
        <f>IF(COUNTA(A1326:J1326)=0,"",IF(OR(AND(C1326&lt;&gt;"Servicio",C1326&lt;&gt;"Cobro",C1326&lt;&gt;"Anticipo",C1326&lt;&gt;"Aplicación anticipo",C1326&lt;&gt;"Retención ISR",C1326&lt;&gt;"Retención IVA"),AND(C1326="Servicio",F1326&lt;&gt;"TMS",F1326&lt;&gt;"Valoración",F1326&lt;&gt;"EEG",F1326&lt;&gt;"Neurofeedback",F1326&lt;&gt;"Fotobiomodulación",F1326&lt;&gt;"Psicoterapia",F1326&lt;&gt;"Otros")),"Tipo o categoría inválido",IF(COUNTA(A1326:J1326)=0,"",IF(OR(A1326="",B1326="",C1326="",G1326=""),"Faltan datos",IF(COUNTIF($A$7:$A$2006,A1326)&gt;1,"ID duplicado",IF(OR(B1326&lt;DATE(Configuración!$C$5,1,1),B1326&gt;=DATE(Configuración!$C$5+1,1,1)),"Fecha fuera del año",IF(OR(G1326&lt;0,H1326&lt;0),"Revisar signo",IF(AND(C1326&lt;&gt;"Servicio",H1326&lt;&gt;0),"IVA solo en Servicio",IF(AND(C1326="Servicio",F1326=""),"Falta servicio","OK")))))))))</f>
        <v/>
      </c>
    </row>
    <row r="1327" spans="1:12" ht="22" customHeight="1">
      <c r="A1327" s="3"/>
      <c r="B1327" s="7"/>
      <c r="C1327" s="3"/>
      <c r="D1327" s="3"/>
      <c r="E1327" s="3"/>
      <c r="F1327" s="3"/>
      <c r="G1327" s="4"/>
      <c r="H1327" s="4"/>
      <c r="I1327" s="3"/>
      <c r="J1327" s="3"/>
      <c r="K1327" s="8" t="str">
        <f t="shared" si="20"/>
        <v/>
      </c>
      <c r="L1327" s="1" t="str">
        <f>IF(COUNTA(A1327:J1327)=0,"",IF(OR(AND(C1327&lt;&gt;"Servicio",C1327&lt;&gt;"Cobro",C1327&lt;&gt;"Anticipo",C1327&lt;&gt;"Aplicación anticipo",C1327&lt;&gt;"Retención ISR",C1327&lt;&gt;"Retención IVA"),AND(C1327="Servicio",F1327&lt;&gt;"TMS",F1327&lt;&gt;"Valoración",F1327&lt;&gt;"EEG",F1327&lt;&gt;"Neurofeedback",F1327&lt;&gt;"Fotobiomodulación",F1327&lt;&gt;"Psicoterapia",F1327&lt;&gt;"Otros")),"Tipo o categoría inválido",IF(COUNTA(A1327:J1327)=0,"",IF(OR(A1327="",B1327="",C1327="",G1327=""),"Faltan datos",IF(COUNTIF($A$7:$A$2006,A1327)&gt;1,"ID duplicado",IF(OR(B1327&lt;DATE(Configuración!$C$5,1,1),B1327&gt;=DATE(Configuración!$C$5+1,1,1)),"Fecha fuera del año",IF(OR(G1327&lt;0,H1327&lt;0),"Revisar signo",IF(AND(C1327&lt;&gt;"Servicio",H1327&lt;&gt;0),"IVA solo en Servicio",IF(AND(C1327="Servicio",F1327=""),"Falta servicio","OK")))))))))</f>
        <v/>
      </c>
    </row>
    <row r="1328" spans="1:12" ht="22" customHeight="1">
      <c r="A1328" s="3"/>
      <c r="B1328" s="7"/>
      <c r="C1328" s="3"/>
      <c r="D1328" s="3"/>
      <c r="E1328" s="3"/>
      <c r="F1328" s="3"/>
      <c r="G1328" s="4"/>
      <c r="H1328" s="4"/>
      <c r="I1328" s="3"/>
      <c r="J1328" s="3"/>
      <c r="K1328" s="8" t="str">
        <f t="shared" si="20"/>
        <v/>
      </c>
      <c r="L1328" s="1" t="str">
        <f>IF(COUNTA(A1328:J1328)=0,"",IF(OR(AND(C1328&lt;&gt;"Servicio",C1328&lt;&gt;"Cobro",C1328&lt;&gt;"Anticipo",C1328&lt;&gt;"Aplicación anticipo",C1328&lt;&gt;"Retención ISR",C1328&lt;&gt;"Retención IVA"),AND(C1328="Servicio",F1328&lt;&gt;"TMS",F1328&lt;&gt;"Valoración",F1328&lt;&gt;"EEG",F1328&lt;&gt;"Neurofeedback",F1328&lt;&gt;"Fotobiomodulación",F1328&lt;&gt;"Psicoterapia",F1328&lt;&gt;"Otros")),"Tipo o categoría inválido",IF(COUNTA(A1328:J1328)=0,"",IF(OR(A1328="",B1328="",C1328="",G1328=""),"Faltan datos",IF(COUNTIF($A$7:$A$2006,A1328)&gt;1,"ID duplicado",IF(OR(B1328&lt;DATE(Configuración!$C$5,1,1),B1328&gt;=DATE(Configuración!$C$5+1,1,1)),"Fecha fuera del año",IF(OR(G1328&lt;0,H1328&lt;0),"Revisar signo",IF(AND(C1328&lt;&gt;"Servicio",H1328&lt;&gt;0),"IVA solo en Servicio",IF(AND(C1328="Servicio",F1328=""),"Falta servicio","OK")))))))))</f>
        <v/>
      </c>
    </row>
    <row r="1329" spans="1:12" ht="22" customHeight="1">
      <c r="A1329" s="3"/>
      <c r="B1329" s="7"/>
      <c r="C1329" s="3"/>
      <c r="D1329" s="3"/>
      <c r="E1329" s="3"/>
      <c r="F1329" s="3"/>
      <c r="G1329" s="4"/>
      <c r="H1329" s="4"/>
      <c r="I1329" s="3"/>
      <c r="J1329" s="3"/>
      <c r="K1329" s="8" t="str">
        <f t="shared" si="20"/>
        <v/>
      </c>
      <c r="L1329" s="1" t="str">
        <f>IF(COUNTA(A1329:J1329)=0,"",IF(OR(AND(C1329&lt;&gt;"Servicio",C1329&lt;&gt;"Cobro",C1329&lt;&gt;"Anticipo",C1329&lt;&gt;"Aplicación anticipo",C1329&lt;&gt;"Retención ISR",C1329&lt;&gt;"Retención IVA"),AND(C1329="Servicio",F1329&lt;&gt;"TMS",F1329&lt;&gt;"Valoración",F1329&lt;&gt;"EEG",F1329&lt;&gt;"Neurofeedback",F1329&lt;&gt;"Fotobiomodulación",F1329&lt;&gt;"Psicoterapia",F1329&lt;&gt;"Otros")),"Tipo o categoría inválido",IF(COUNTA(A1329:J1329)=0,"",IF(OR(A1329="",B1329="",C1329="",G1329=""),"Faltan datos",IF(COUNTIF($A$7:$A$2006,A1329)&gt;1,"ID duplicado",IF(OR(B1329&lt;DATE(Configuración!$C$5,1,1),B1329&gt;=DATE(Configuración!$C$5+1,1,1)),"Fecha fuera del año",IF(OR(G1329&lt;0,H1329&lt;0),"Revisar signo",IF(AND(C1329&lt;&gt;"Servicio",H1329&lt;&gt;0),"IVA solo en Servicio",IF(AND(C1329="Servicio",F1329=""),"Falta servicio","OK")))))))))</f>
        <v/>
      </c>
    </row>
    <row r="1330" spans="1:12" ht="22" customHeight="1">
      <c r="A1330" s="3"/>
      <c r="B1330" s="7"/>
      <c r="C1330" s="3"/>
      <c r="D1330" s="3"/>
      <c r="E1330" s="3"/>
      <c r="F1330" s="3"/>
      <c r="G1330" s="4"/>
      <c r="H1330" s="4"/>
      <c r="I1330" s="3"/>
      <c r="J1330" s="3"/>
      <c r="K1330" s="8" t="str">
        <f t="shared" si="20"/>
        <v/>
      </c>
      <c r="L1330" s="1" t="str">
        <f>IF(COUNTA(A1330:J1330)=0,"",IF(OR(AND(C1330&lt;&gt;"Servicio",C1330&lt;&gt;"Cobro",C1330&lt;&gt;"Anticipo",C1330&lt;&gt;"Aplicación anticipo",C1330&lt;&gt;"Retención ISR",C1330&lt;&gt;"Retención IVA"),AND(C1330="Servicio",F1330&lt;&gt;"TMS",F1330&lt;&gt;"Valoración",F1330&lt;&gt;"EEG",F1330&lt;&gt;"Neurofeedback",F1330&lt;&gt;"Fotobiomodulación",F1330&lt;&gt;"Psicoterapia",F1330&lt;&gt;"Otros")),"Tipo o categoría inválido",IF(COUNTA(A1330:J1330)=0,"",IF(OR(A1330="",B1330="",C1330="",G1330=""),"Faltan datos",IF(COUNTIF($A$7:$A$2006,A1330)&gt;1,"ID duplicado",IF(OR(B1330&lt;DATE(Configuración!$C$5,1,1),B1330&gt;=DATE(Configuración!$C$5+1,1,1)),"Fecha fuera del año",IF(OR(G1330&lt;0,H1330&lt;0),"Revisar signo",IF(AND(C1330&lt;&gt;"Servicio",H1330&lt;&gt;0),"IVA solo en Servicio",IF(AND(C1330="Servicio",F1330=""),"Falta servicio","OK")))))))))</f>
        <v/>
      </c>
    </row>
    <row r="1331" spans="1:12" ht="22" customHeight="1">
      <c r="A1331" s="3"/>
      <c r="B1331" s="7"/>
      <c r="C1331" s="3"/>
      <c r="D1331" s="3"/>
      <c r="E1331" s="3"/>
      <c r="F1331" s="3"/>
      <c r="G1331" s="4"/>
      <c r="H1331" s="4"/>
      <c r="I1331" s="3"/>
      <c r="J1331" s="3"/>
      <c r="K1331" s="8" t="str">
        <f t="shared" si="20"/>
        <v/>
      </c>
      <c r="L1331" s="1" t="str">
        <f>IF(COUNTA(A1331:J1331)=0,"",IF(OR(AND(C1331&lt;&gt;"Servicio",C1331&lt;&gt;"Cobro",C1331&lt;&gt;"Anticipo",C1331&lt;&gt;"Aplicación anticipo",C1331&lt;&gt;"Retención ISR",C1331&lt;&gt;"Retención IVA"),AND(C1331="Servicio",F1331&lt;&gt;"TMS",F1331&lt;&gt;"Valoración",F1331&lt;&gt;"EEG",F1331&lt;&gt;"Neurofeedback",F1331&lt;&gt;"Fotobiomodulación",F1331&lt;&gt;"Psicoterapia",F1331&lt;&gt;"Otros")),"Tipo o categoría inválido",IF(COUNTA(A1331:J1331)=0,"",IF(OR(A1331="",B1331="",C1331="",G1331=""),"Faltan datos",IF(COUNTIF($A$7:$A$2006,A1331)&gt;1,"ID duplicado",IF(OR(B1331&lt;DATE(Configuración!$C$5,1,1),B1331&gt;=DATE(Configuración!$C$5+1,1,1)),"Fecha fuera del año",IF(OR(G1331&lt;0,H1331&lt;0),"Revisar signo",IF(AND(C1331&lt;&gt;"Servicio",H1331&lt;&gt;0),"IVA solo en Servicio",IF(AND(C1331="Servicio",F1331=""),"Falta servicio","OK")))))))))</f>
        <v/>
      </c>
    </row>
    <row r="1332" spans="1:12" ht="22" customHeight="1">
      <c r="A1332" s="3"/>
      <c r="B1332" s="7"/>
      <c r="C1332" s="3"/>
      <c r="D1332" s="3"/>
      <c r="E1332" s="3"/>
      <c r="F1332" s="3"/>
      <c r="G1332" s="4"/>
      <c r="H1332" s="4"/>
      <c r="I1332" s="3"/>
      <c r="J1332" s="3"/>
      <c r="K1332" s="8" t="str">
        <f t="shared" si="20"/>
        <v/>
      </c>
      <c r="L1332" s="1" t="str">
        <f>IF(COUNTA(A1332:J1332)=0,"",IF(OR(AND(C1332&lt;&gt;"Servicio",C1332&lt;&gt;"Cobro",C1332&lt;&gt;"Anticipo",C1332&lt;&gt;"Aplicación anticipo",C1332&lt;&gt;"Retención ISR",C1332&lt;&gt;"Retención IVA"),AND(C1332="Servicio",F1332&lt;&gt;"TMS",F1332&lt;&gt;"Valoración",F1332&lt;&gt;"EEG",F1332&lt;&gt;"Neurofeedback",F1332&lt;&gt;"Fotobiomodulación",F1332&lt;&gt;"Psicoterapia",F1332&lt;&gt;"Otros")),"Tipo o categoría inválido",IF(COUNTA(A1332:J1332)=0,"",IF(OR(A1332="",B1332="",C1332="",G1332=""),"Faltan datos",IF(COUNTIF($A$7:$A$2006,A1332)&gt;1,"ID duplicado",IF(OR(B1332&lt;DATE(Configuración!$C$5,1,1),B1332&gt;=DATE(Configuración!$C$5+1,1,1)),"Fecha fuera del año",IF(OR(G1332&lt;0,H1332&lt;0),"Revisar signo",IF(AND(C1332&lt;&gt;"Servicio",H1332&lt;&gt;0),"IVA solo en Servicio",IF(AND(C1332="Servicio",F1332=""),"Falta servicio","OK")))))))))</f>
        <v/>
      </c>
    </row>
    <row r="1333" spans="1:12" ht="22" customHeight="1">
      <c r="A1333" s="3"/>
      <c r="B1333" s="7"/>
      <c r="C1333" s="3"/>
      <c r="D1333" s="3"/>
      <c r="E1333" s="3"/>
      <c r="F1333" s="3"/>
      <c r="G1333" s="4"/>
      <c r="H1333" s="4"/>
      <c r="I1333" s="3"/>
      <c r="J1333" s="3"/>
      <c r="K1333" s="8" t="str">
        <f t="shared" si="20"/>
        <v/>
      </c>
      <c r="L1333" s="1" t="str">
        <f>IF(COUNTA(A1333:J1333)=0,"",IF(OR(AND(C1333&lt;&gt;"Servicio",C1333&lt;&gt;"Cobro",C1333&lt;&gt;"Anticipo",C1333&lt;&gt;"Aplicación anticipo",C1333&lt;&gt;"Retención ISR",C1333&lt;&gt;"Retención IVA"),AND(C1333="Servicio",F1333&lt;&gt;"TMS",F1333&lt;&gt;"Valoración",F1333&lt;&gt;"EEG",F1333&lt;&gt;"Neurofeedback",F1333&lt;&gt;"Fotobiomodulación",F1333&lt;&gt;"Psicoterapia",F1333&lt;&gt;"Otros")),"Tipo o categoría inválido",IF(COUNTA(A1333:J1333)=0,"",IF(OR(A1333="",B1333="",C1333="",G1333=""),"Faltan datos",IF(COUNTIF($A$7:$A$2006,A1333)&gt;1,"ID duplicado",IF(OR(B1333&lt;DATE(Configuración!$C$5,1,1),B1333&gt;=DATE(Configuración!$C$5+1,1,1)),"Fecha fuera del año",IF(OR(G1333&lt;0,H1333&lt;0),"Revisar signo",IF(AND(C1333&lt;&gt;"Servicio",H1333&lt;&gt;0),"IVA solo en Servicio",IF(AND(C1333="Servicio",F1333=""),"Falta servicio","OK")))))))))</f>
        <v/>
      </c>
    </row>
    <row r="1334" spans="1:12" ht="22" customHeight="1">
      <c r="A1334" s="3"/>
      <c r="B1334" s="7"/>
      <c r="C1334" s="3"/>
      <c r="D1334" s="3"/>
      <c r="E1334" s="3"/>
      <c r="F1334" s="3"/>
      <c r="G1334" s="4"/>
      <c r="H1334" s="4"/>
      <c r="I1334" s="3"/>
      <c r="J1334" s="3"/>
      <c r="K1334" s="8" t="str">
        <f t="shared" si="20"/>
        <v/>
      </c>
      <c r="L1334" s="1" t="str">
        <f>IF(COUNTA(A1334:J1334)=0,"",IF(OR(AND(C1334&lt;&gt;"Servicio",C1334&lt;&gt;"Cobro",C1334&lt;&gt;"Anticipo",C1334&lt;&gt;"Aplicación anticipo",C1334&lt;&gt;"Retención ISR",C1334&lt;&gt;"Retención IVA"),AND(C1334="Servicio",F1334&lt;&gt;"TMS",F1334&lt;&gt;"Valoración",F1334&lt;&gt;"EEG",F1334&lt;&gt;"Neurofeedback",F1334&lt;&gt;"Fotobiomodulación",F1334&lt;&gt;"Psicoterapia",F1334&lt;&gt;"Otros")),"Tipo o categoría inválido",IF(COUNTA(A1334:J1334)=0,"",IF(OR(A1334="",B1334="",C1334="",G1334=""),"Faltan datos",IF(COUNTIF($A$7:$A$2006,A1334)&gt;1,"ID duplicado",IF(OR(B1334&lt;DATE(Configuración!$C$5,1,1),B1334&gt;=DATE(Configuración!$C$5+1,1,1)),"Fecha fuera del año",IF(OR(G1334&lt;0,H1334&lt;0),"Revisar signo",IF(AND(C1334&lt;&gt;"Servicio",H1334&lt;&gt;0),"IVA solo en Servicio",IF(AND(C1334="Servicio",F1334=""),"Falta servicio","OK")))))))))</f>
        <v/>
      </c>
    </row>
    <row r="1335" spans="1:12" ht="22" customHeight="1">
      <c r="A1335" s="3"/>
      <c r="B1335" s="7"/>
      <c r="C1335" s="3"/>
      <c r="D1335" s="3"/>
      <c r="E1335" s="3"/>
      <c r="F1335" s="3"/>
      <c r="G1335" s="4"/>
      <c r="H1335" s="4"/>
      <c r="I1335" s="3"/>
      <c r="J1335" s="3"/>
      <c r="K1335" s="8" t="str">
        <f t="shared" si="20"/>
        <v/>
      </c>
      <c r="L1335" s="1" t="str">
        <f>IF(COUNTA(A1335:J1335)=0,"",IF(OR(AND(C1335&lt;&gt;"Servicio",C1335&lt;&gt;"Cobro",C1335&lt;&gt;"Anticipo",C1335&lt;&gt;"Aplicación anticipo",C1335&lt;&gt;"Retención ISR",C1335&lt;&gt;"Retención IVA"),AND(C1335="Servicio",F1335&lt;&gt;"TMS",F1335&lt;&gt;"Valoración",F1335&lt;&gt;"EEG",F1335&lt;&gt;"Neurofeedback",F1335&lt;&gt;"Fotobiomodulación",F1335&lt;&gt;"Psicoterapia",F1335&lt;&gt;"Otros")),"Tipo o categoría inválido",IF(COUNTA(A1335:J1335)=0,"",IF(OR(A1335="",B1335="",C1335="",G1335=""),"Faltan datos",IF(COUNTIF($A$7:$A$2006,A1335)&gt;1,"ID duplicado",IF(OR(B1335&lt;DATE(Configuración!$C$5,1,1),B1335&gt;=DATE(Configuración!$C$5+1,1,1)),"Fecha fuera del año",IF(OR(G1335&lt;0,H1335&lt;0),"Revisar signo",IF(AND(C1335&lt;&gt;"Servicio",H1335&lt;&gt;0),"IVA solo en Servicio",IF(AND(C1335="Servicio",F1335=""),"Falta servicio","OK")))))))))</f>
        <v/>
      </c>
    </row>
    <row r="1336" spans="1:12" ht="22" customHeight="1">
      <c r="A1336" s="3"/>
      <c r="B1336" s="7"/>
      <c r="C1336" s="3"/>
      <c r="D1336" s="3"/>
      <c r="E1336" s="3"/>
      <c r="F1336" s="3"/>
      <c r="G1336" s="4"/>
      <c r="H1336" s="4"/>
      <c r="I1336" s="3"/>
      <c r="J1336" s="3"/>
      <c r="K1336" s="8" t="str">
        <f t="shared" si="20"/>
        <v/>
      </c>
      <c r="L1336" s="1" t="str">
        <f>IF(COUNTA(A1336:J1336)=0,"",IF(OR(AND(C1336&lt;&gt;"Servicio",C1336&lt;&gt;"Cobro",C1336&lt;&gt;"Anticipo",C1336&lt;&gt;"Aplicación anticipo",C1336&lt;&gt;"Retención ISR",C1336&lt;&gt;"Retención IVA"),AND(C1336="Servicio",F1336&lt;&gt;"TMS",F1336&lt;&gt;"Valoración",F1336&lt;&gt;"EEG",F1336&lt;&gt;"Neurofeedback",F1336&lt;&gt;"Fotobiomodulación",F1336&lt;&gt;"Psicoterapia",F1336&lt;&gt;"Otros")),"Tipo o categoría inválido",IF(COUNTA(A1336:J1336)=0,"",IF(OR(A1336="",B1336="",C1336="",G1336=""),"Faltan datos",IF(COUNTIF($A$7:$A$2006,A1336)&gt;1,"ID duplicado",IF(OR(B1336&lt;DATE(Configuración!$C$5,1,1),B1336&gt;=DATE(Configuración!$C$5+1,1,1)),"Fecha fuera del año",IF(OR(G1336&lt;0,H1336&lt;0),"Revisar signo",IF(AND(C1336&lt;&gt;"Servicio",H1336&lt;&gt;0),"IVA solo en Servicio",IF(AND(C1336="Servicio",F1336=""),"Falta servicio","OK")))))))))</f>
        <v/>
      </c>
    </row>
    <row r="1337" spans="1:12" ht="22" customHeight="1">
      <c r="A1337" s="3"/>
      <c r="B1337" s="7"/>
      <c r="C1337" s="3"/>
      <c r="D1337" s="3"/>
      <c r="E1337" s="3"/>
      <c r="F1337" s="3"/>
      <c r="G1337" s="4"/>
      <c r="H1337" s="4"/>
      <c r="I1337" s="3"/>
      <c r="J1337" s="3"/>
      <c r="K1337" s="8" t="str">
        <f t="shared" si="20"/>
        <v/>
      </c>
      <c r="L1337" s="1" t="str">
        <f>IF(COUNTA(A1337:J1337)=0,"",IF(OR(AND(C1337&lt;&gt;"Servicio",C1337&lt;&gt;"Cobro",C1337&lt;&gt;"Anticipo",C1337&lt;&gt;"Aplicación anticipo",C1337&lt;&gt;"Retención ISR",C1337&lt;&gt;"Retención IVA"),AND(C1337="Servicio",F1337&lt;&gt;"TMS",F1337&lt;&gt;"Valoración",F1337&lt;&gt;"EEG",F1337&lt;&gt;"Neurofeedback",F1337&lt;&gt;"Fotobiomodulación",F1337&lt;&gt;"Psicoterapia",F1337&lt;&gt;"Otros")),"Tipo o categoría inválido",IF(COUNTA(A1337:J1337)=0,"",IF(OR(A1337="",B1337="",C1337="",G1337=""),"Faltan datos",IF(COUNTIF($A$7:$A$2006,A1337)&gt;1,"ID duplicado",IF(OR(B1337&lt;DATE(Configuración!$C$5,1,1),B1337&gt;=DATE(Configuración!$C$5+1,1,1)),"Fecha fuera del año",IF(OR(G1337&lt;0,H1337&lt;0),"Revisar signo",IF(AND(C1337&lt;&gt;"Servicio",H1337&lt;&gt;0),"IVA solo en Servicio",IF(AND(C1337="Servicio",F1337=""),"Falta servicio","OK")))))))))</f>
        <v/>
      </c>
    </row>
    <row r="1338" spans="1:12" ht="22" customHeight="1">
      <c r="A1338" s="3"/>
      <c r="B1338" s="7"/>
      <c r="C1338" s="3"/>
      <c r="D1338" s="3"/>
      <c r="E1338" s="3"/>
      <c r="F1338" s="3"/>
      <c r="G1338" s="4"/>
      <c r="H1338" s="4"/>
      <c r="I1338" s="3"/>
      <c r="J1338" s="3"/>
      <c r="K1338" s="8" t="str">
        <f t="shared" si="20"/>
        <v/>
      </c>
      <c r="L1338" s="1" t="str">
        <f>IF(COUNTA(A1338:J1338)=0,"",IF(OR(AND(C1338&lt;&gt;"Servicio",C1338&lt;&gt;"Cobro",C1338&lt;&gt;"Anticipo",C1338&lt;&gt;"Aplicación anticipo",C1338&lt;&gt;"Retención ISR",C1338&lt;&gt;"Retención IVA"),AND(C1338="Servicio",F1338&lt;&gt;"TMS",F1338&lt;&gt;"Valoración",F1338&lt;&gt;"EEG",F1338&lt;&gt;"Neurofeedback",F1338&lt;&gt;"Fotobiomodulación",F1338&lt;&gt;"Psicoterapia",F1338&lt;&gt;"Otros")),"Tipo o categoría inválido",IF(COUNTA(A1338:J1338)=0,"",IF(OR(A1338="",B1338="",C1338="",G1338=""),"Faltan datos",IF(COUNTIF($A$7:$A$2006,A1338)&gt;1,"ID duplicado",IF(OR(B1338&lt;DATE(Configuración!$C$5,1,1),B1338&gt;=DATE(Configuración!$C$5+1,1,1)),"Fecha fuera del año",IF(OR(G1338&lt;0,H1338&lt;0),"Revisar signo",IF(AND(C1338&lt;&gt;"Servicio",H1338&lt;&gt;0),"IVA solo en Servicio",IF(AND(C1338="Servicio",F1338=""),"Falta servicio","OK")))))))))</f>
        <v/>
      </c>
    </row>
    <row r="1339" spans="1:12" ht="22" customHeight="1">
      <c r="A1339" s="3"/>
      <c r="B1339" s="7"/>
      <c r="C1339" s="3"/>
      <c r="D1339" s="3"/>
      <c r="E1339" s="3"/>
      <c r="F1339" s="3"/>
      <c r="G1339" s="4"/>
      <c r="H1339" s="4"/>
      <c r="I1339" s="3"/>
      <c r="J1339" s="3"/>
      <c r="K1339" s="8" t="str">
        <f t="shared" si="20"/>
        <v/>
      </c>
      <c r="L1339" s="1" t="str">
        <f>IF(COUNTA(A1339:J1339)=0,"",IF(OR(AND(C1339&lt;&gt;"Servicio",C1339&lt;&gt;"Cobro",C1339&lt;&gt;"Anticipo",C1339&lt;&gt;"Aplicación anticipo",C1339&lt;&gt;"Retención ISR",C1339&lt;&gt;"Retención IVA"),AND(C1339="Servicio",F1339&lt;&gt;"TMS",F1339&lt;&gt;"Valoración",F1339&lt;&gt;"EEG",F1339&lt;&gt;"Neurofeedback",F1339&lt;&gt;"Fotobiomodulación",F1339&lt;&gt;"Psicoterapia",F1339&lt;&gt;"Otros")),"Tipo o categoría inválido",IF(COUNTA(A1339:J1339)=0,"",IF(OR(A1339="",B1339="",C1339="",G1339=""),"Faltan datos",IF(COUNTIF($A$7:$A$2006,A1339)&gt;1,"ID duplicado",IF(OR(B1339&lt;DATE(Configuración!$C$5,1,1),B1339&gt;=DATE(Configuración!$C$5+1,1,1)),"Fecha fuera del año",IF(OR(G1339&lt;0,H1339&lt;0),"Revisar signo",IF(AND(C1339&lt;&gt;"Servicio",H1339&lt;&gt;0),"IVA solo en Servicio",IF(AND(C1339="Servicio",F1339=""),"Falta servicio","OK")))))))))</f>
        <v/>
      </c>
    </row>
    <row r="1340" spans="1:12" ht="22" customHeight="1">
      <c r="A1340" s="3"/>
      <c r="B1340" s="7"/>
      <c r="C1340" s="3"/>
      <c r="D1340" s="3"/>
      <c r="E1340" s="3"/>
      <c r="F1340" s="3"/>
      <c r="G1340" s="4"/>
      <c r="H1340" s="4"/>
      <c r="I1340" s="3"/>
      <c r="J1340" s="3"/>
      <c r="K1340" s="8" t="str">
        <f t="shared" si="20"/>
        <v/>
      </c>
      <c r="L1340" s="1" t="str">
        <f>IF(COUNTA(A1340:J1340)=0,"",IF(OR(AND(C1340&lt;&gt;"Servicio",C1340&lt;&gt;"Cobro",C1340&lt;&gt;"Anticipo",C1340&lt;&gt;"Aplicación anticipo",C1340&lt;&gt;"Retención ISR",C1340&lt;&gt;"Retención IVA"),AND(C1340="Servicio",F1340&lt;&gt;"TMS",F1340&lt;&gt;"Valoración",F1340&lt;&gt;"EEG",F1340&lt;&gt;"Neurofeedback",F1340&lt;&gt;"Fotobiomodulación",F1340&lt;&gt;"Psicoterapia",F1340&lt;&gt;"Otros")),"Tipo o categoría inválido",IF(COUNTA(A1340:J1340)=0,"",IF(OR(A1340="",B1340="",C1340="",G1340=""),"Faltan datos",IF(COUNTIF($A$7:$A$2006,A1340)&gt;1,"ID duplicado",IF(OR(B1340&lt;DATE(Configuración!$C$5,1,1),B1340&gt;=DATE(Configuración!$C$5+1,1,1)),"Fecha fuera del año",IF(OR(G1340&lt;0,H1340&lt;0),"Revisar signo",IF(AND(C1340&lt;&gt;"Servicio",H1340&lt;&gt;0),"IVA solo en Servicio",IF(AND(C1340="Servicio",F1340=""),"Falta servicio","OK")))))))))</f>
        <v/>
      </c>
    </row>
    <row r="1341" spans="1:12" ht="22" customHeight="1">
      <c r="A1341" s="3"/>
      <c r="B1341" s="7"/>
      <c r="C1341" s="3"/>
      <c r="D1341" s="3"/>
      <c r="E1341" s="3"/>
      <c r="F1341" s="3"/>
      <c r="G1341" s="4"/>
      <c r="H1341" s="4"/>
      <c r="I1341" s="3"/>
      <c r="J1341" s="3"/>
      <c r="K1341" s="8" t="str">
        <f t="shared" si="20"/>
        <v/>
      </c>
      <c r="L1341" s="1" t="str">
        <f>IF(COUNTA(A1341:J1341)=0,"",IF(OR(AND(C1341&lt;&gt;"Servicio",C1341&lt;&gt;"Cobro",C1341&lt;&gt;"Anticipo",C1341&lt;&gt;"Aplicación anticipo",C1341&lt;&gt;"Retención ISR",C1341&lt;&gt;"Retención IVA"),AND(C1341="Servicio",F1341&lt;&gt;"TMS",F1341&lt;&gt;"Valoración",F1341&lt;&gt;"EEG",F1341&lt;&gt;"Neurofeedback",F1341&lt;&gt;"Fotobiomodulación",F1341&lt;&gt;"Psicoterapia",F1341&lt;&gt;"Otros")),"Tipo o categoría inválido",IF(COUNTA(A1341:J1341)=0,"",IF(OR(A1341="",B1341="",C1341="",G1341=""),"Faltan datos",IF(COUNTIF($A$7:$A$2006,A1341)&gt;1,"ID duplicado",IF(OR(B1341&lt;DATE(Configuración!$C$5,1,1),B1341&gt;=DATE(Configuración!$C$5+1,1,1)),"Fecha fuera del año",IF(OR(G1341&lt;0,H1341&lt;0),"Revisar signo",IF(AND(C1341&lt;&gt;"Servicio",H1341&lt;&gt;0),"IVA solo en Servicio",IF(AND(C1341="Servicio",F1341=""),"Falta servicio","OK")))))))))</f>
        <v/>
      </c>
    </row>
    <row r="1342" spans="1:12" ht="22" customHeight="1">
      <c r="A1342" s="3"/>
      <c r="B1342" s="7"/>
      <c r="C1342" s="3"/>
      <c r="D1342" s="3"/>
      <c r="E1342" s="3"/>
      <c r="F1342" s="3"/>
      <c r="G1342" s="4"/>
      <c r="H1342" s="4"/>
      <c r="I1342" s="3"/>
      <c r="J1342" s="3"/>
      <c r="K1342" s="8" t="str">
        <f t="shared" si="20"/>
        <v/>
      </c>
      <c r="L1342" s="1" t="str">
        <f>IF(COUNTA(A1342:J1342)=0,"",IF(OR(AND(C1342&lt;&gt;"Servicio",C1342&lt;&gt;"Cobro",C1342&lt;&gt;"Anticipo",C1342&lt;&gt;"Aplicación anticipo",C1342&lt;&gt;"Retención ISR",C1342&lt;&gt;"Retención IVA"),AND(C1342="Servicio",F1342&lt;&gt;"TMS",F1342&lt;&gt;"Valoración",F1342&lt;&gt;"EEG",F1342&lt;&gt;"Neurofeedback",F1342&lt;&gt;"Fotobiomodulación",F1342&lt;&gt;"Psicoterapia",F1342&lt;&gt;"Otros")),"Tipo o categoría inválido",IF(COUNTA(A1342:J1342)=0,"",IF(OR(A1342="",B1342="",C1342="",G1342=""),"Faltan datos",IF(COUNTIF($A$7:$A$2006,A1342)&gt;1,"ID duplicado",IF(OR(B1342&lt;DATE(Configuración!$C$5,1,1),B1342&gt;=DATE(Configuración!$C$5+1,1,1)),"Fecha fuera del año",IF(OR(G1342&lt;0,H1342&lt;0),"Revisar signo",IF(AND(C1342&lt;&gt;"Servicio",H1342&lt;&gt;0),"IVA solo en Servicio",IF(AND(C1342="Servicio",F1342=""),"Falta servicio","OK")))))))))</f>
        <v/>
      </c>
    </row>
    <row r="1343" spans="1:12" ht="22" customHeight="1">
      <c r="A1343" s="3"/>
      <c r="B1343" s="7"/>
      <c r="C1343" s="3"/>
      <c r="D1343" s="3"/>
      <c r="E1343" s="3"/>
      <c r="F1343" s="3"/>
      <c r="G1343" s="4"/>
      <c r="H1343" s="4"/>
      <c r="I1343" s="3"/>
      <c r="J1343" s="3"/>
      <c r="K1343" s="8" t="str">
        <f t="shared" si="20"/>
        <v/>
      </c>
      <c r="L1343" s="1" t="str">
        <f>IF(COUNTA(A1343:J1343)=0,"",IF(OR(AND(C1343&lt;&gt;"Servicio",C1343&lt;&gt;"Cobro",C1343&lt;&gt;"Anticipo",C1343&lt;&gt;"Aplicación anticipo",C1343&lt;&gt;"Retención ISR",C1343&lt;&gt;"Retención IVA"),AND(C1343="Servicio",F1343&lt;&gt;"TMS",F1343&lt;&gt;"Valoración",F1343&lt;&gt;"EEG",F1343&lt;&gt;"Neurofeedback",F1343&lt;&gt;"Fotobiomodulación",F1343&lt;&gt;"Psicoterapia",F1343&lt;&gt;"Otros")),"Tipo o categoría inválido",IF(COUNTA(A1343:J1343)=0,"",IF(OR(A1343="",B1343="",C1343="",G1343=""),"Faltan datos",IF(COUNTIF($A$7:$A$2006,A1343)&gt;1,"ID duplicado",IF(OR(B1343&lt;DATE(Configuración!$C$5,1,1),B1343&gt;=DATE(Configuración!$C$5+1,1,1)),"Fecha fuera del año",IF(OR(G1343&lt;0,H1343&lt;0),"Revisar signo",IF(AND(C1343&lt;&gt;"Servicio",H1343&lt;&gt;0),"IVA solo en Servicio",IF(AND(C1343="Servicio",F1343=""),"Falta servicio","OK")))))))))</f>
        <v/>
      </c>
    </row>
    <row r="1344" spans="1:12" ht="22" customHeight="1">
      <c r="A1344" s="3"/>
      <c r="B1344" s="7"/>
      <c r="C1344" s="3"/>
      <c r="D1344" s="3"/>
      <c r="E1344" s="3"/>
      <c r="F1344" s="3"/>
      <c r="G1344" s="4"/>
      <c r="H1344" s="4"/>
      <c r="I1344" s="3"/>
      <c r="J1344" s="3"/>
      <c r="K1344" s="8" t="str">
        <f t="shared" si="20"/>
        <v/>
      </c>
      <c r="L1344" s="1" t="str">
        <f>IF(COUNTA(A1344:J1344)=0,"",IF(OR(AND(C1344&lt;&gt;"Servicio",C1344&lt;&gt;"Cobro",C1344&lt;&gt;"Anticipo",C1344&lt;&gt;"Aplicación anticipo",C1344&lt;&gt;"Retención ISR",C1344&lt;&gt;"Retención IVA"),AND(C1344="Servicio",F1344&lt;&gt;"TMS",F1344&lt;&gt;"Valoración",F1344&lt;&gt;"EEG",F1344&lt;&gt;"Neurofeedback",F1344&lt;&gt;"Fotobiomodulación",F1344&lt;&gt;"Psicoterapia",F1344&lt;&gt;"Otros")),"Tipo o categoría inválido",IF(COUNTA(A1344:J1344)=0,"",IF(OR(A1344="",B1344="",C1344="",G1344=""),"Faltan datos",IF(COUNTIF($A$7:$A$2006,A1344)&gt;1,"ID duplicado",IF(OR(B1344&lt;DATE(Configuración!$C$5,1,1),B1344&gt;=DATE(Configuración!$C$5+1,1,1)),"Fecha fuera del año",IF(OR(G1344&lt;0,H1344&lt;0),"Revisar signo",IF(AND(C1344&lt;&gt;"Servicio",H1344&lt;&gt;0),"IVA solo en Servicio",IF(AND(C1344="Servicio",F1344=""),"Falta servicio","OK")))))))))</f>
        <v/>
      </c>
    </row>
    <row r="1345" spans="1:12" ht="22" customHeight="1">
      <c r="A1345" s="3"/>
      <c r="B1345" s="7"/>
      <c r="C1345" s="3"/>
      <c r="D1345" s="3"/>
      <c r="E1345" s="3"/>
      <c r="F1345" s="3"/>
      <c r="G1345" s="4"/>
      <c r="H1345" s="4"/>
      <c r="I1345" s="3"/>
      <c r="J1345" s="3"/>
      <c r="K1345" s="8" t="str">
        <f t="shared" si="20"/>
        <v/>
      </c>
      <c r="L1345" s="1" t="str">
        <f>IF(COUNTA(A1345:J1345)=0,"",IF(OR(AND(C1345&lt;&gt;"Servicio",C1345&lt;&gt;"Cobro",C1345&lt;&gt;"Anticipo",C1345&lt;&gt;"Aplicación anticipo",C1345&lt;&gt;"Retención ISR",C1345&lt;&gt;"Retención IVA"),AND(C1345="Servicio",F1345&lt;&gt;"TMS",F1345&lt;&gt;"Valoración",F1345&lt;&gt;"EEG",F1345&lt;&gt;"Neurofeedback",F1345&lt;&gt;"Fotobiomodulación",F1345&lt;&gt;"Psicoterapia",F1345&lt;&gt;"Otros")),"Tipo o categoría inválido",IF(COUNTA(A1345:J1345)=0,"",IF(OR(A1345="",B1345="",C1345="",G1345=""),"Faltan datos",IF(COUNTIF($A$7:$A$2006,A1345)&gt;1,"ID duplicado",IF(OR(B1345&lt;DATE(Configuración!$C$5,1,1),B1345&gt;=DATE(Configuración!$C$5+1,1,1)),"Fecha fuera del año",IF(OR(G1345&lt;0,H1345&lt;0),"Revisar signo",IF(AND(C1345&lt;&gt;"Servicio",H1345&lt;&gt;0),"IVA solo en Servicio",IF(AND(C1345="Servicio",F1345=""),"Falta servicio","OK")))))))))</f>
        <v/>
      </c>
    </row>
    <row r="1346" spans="1:12" ht="22" customHeight="1">
      <c r="A1346" s="3"/>
      <c r="B1346" s="7"/>
      <c r="C1346" s="3"/>
      <c r="D1346" s="3"/>
      <c r="E1346" s="3"/>
      <c r="F1346" s="3"/>
      <c r="G1346" s="4"/>
      <c r="H1346" s="4"/>
      <c r="I1346" s="3"/>
      <c r="J1346" s="3"/>
      <c r="K1346" s="8" t="str">
        <f t="shared" si="20"/>
        <v/>
      </c>
      <c r="L1346" s="1" t="str">
        <f>IF(COUNTA(A1346:J1346)=0,"",IF(OR(AND(C1346&lt;&gt;"Servicio",C1346&lt;&gt;"Cobro",C1346&lt;&gt;"Anticipo",C1346&lt;&gt;"Aplicación anticipo",C1346&lt;&gt;"Retención ISR",C1346&lt;&gt;"Retención IVA"),AND(C1346="Servicio",F1346&lt;&gt;"TMS",F1346&lt;&gt;"Valoración",F1346&lt;&gt;"EEG",F1346&lt;&gt;"Neurofeedback",F1346&lt;&gt;"Fotobiomodulación",F1346&lt;&gt;"Psicoterapia",F1346&lt;&gt;"Otros")),"Tipo o categoría inválido",IF(COUNTA(A1346:J1346)=0,"",IF(OR(A1346="",B1346="",C1346="",G1346=""),"Faltan datos",IF(COUNTIF($A$7:$A$2006,A1346)&gt;1,"ID duplicado",IF(OR(B1346&lt;DATE(Configuración!$C$5,1,1),B1346&gt;=DATE(Configuración!$C$5+1,1,1)),"Fecha fuera del año",IF(OR(G1346&lt;0,H1346&lt;0),"Revisar signo",IF(AND(C1346&lt;&gt;"Servicio",H1346&lt;&gt;0),"IVA solo en Servicio",IF(AND(C1346="Servicio",F1346=""),"Falta servicio","OK")))))))))</f>
        <v/>
      </c>
    </row>
    <row r="1347" spans="1:12" ht="22" customHeight="1">
      <c r="A1347" s="3"/>
      <c r="B1347" s="7"/>
      <c r="C1347" s="3"/>
      <c r="D1347" s="3"/>
      <c r="E1347" s="3"/>
      <c r="F1347" s="3"/>
      <c r="G1347" s="4"/>
      <c r="H1347" s="4"/>
      <c r="I1347" s="3"/>
      <c r="J1347" s="3"/>
      <c r="K1347" s="8" t="str">
        <f t="shared" si="20"/>
        <v/>
      </c>
      <c r="L1347" s="1" t="str">
        <f>IF(COUNTA(A1347:J1347)=0,"",IF(OR(AND(C1347&lt;&gt;"Servicio",C1347&lt;&gt;"Cobro",C1347&lt;&gt;"Anticipo",C1347&lt;&gt;"Aplicación anticipo",C1347&lt;&gt;"Retención ISR",C1347&lt;&gt;"Retención IVA"),AND(C1347="Servicio",F1347&lt;&gt;"TMS",F1347&lt;&gt;"Valoración",F1347&lt;&gt;"EEG",F1347&lt;&gt;"Neurofeedback",F1347&lt;&gt;"Fotobiomodulación",F1347&lt;&gt;"Psicoterapia",F1347&lt;&gt;"Otros")),"Tipo o categoría inválido",IF(COUNTA(A1347:J1347)=0,"",IF(OR(A1347="",B1347="",C1347="",G1347=""),"Faltan datos",IF(COUNTIF($A$7:$A$2006,A1347)&gt;1,"ID duplicado",IF(OR(B1347&lt;DATE(Configuración!$C$5,1,1),B1347&gt;=DATE(Configuración!$C$5+1,1,1)),"Fecha fuera del año",IF(OR(G1347&lt;0,H1347&lt;0),"Revisar signo",IF(AND(C1347&lt;&gt;"Servicio",H1347&lt;&gt;0),"IVA solo en Servicio",IF(AND(C1347="Servicio",F1347=""),"Falta servicio","OK")))))))))</f>
        <v/>
      </c>
    </row>
    <row r="1348" spans="1:12" ht="22" customHeight="1">
      <c r="A1348" s="3"/>
      <c r="B1348" s="7"/>
      <c r="C1348" s="3"/>
      <c r="D1348" s="3"/>
      <c r="E1348" s="3"/>
      <c r="F1348" s="3"/>
      <c r="G1348" s="4"/>
      <c r="H1348" s="4"/>
      <c r="I1348" s="3"/>
      <c r="J1348" s="3"/>
      <c r="K1348" s="8" t="str">
        <f t="shared" si="20"/>
        <v/>
      </c>
      <c r="L1348" s="1" t="str">
        <f>IF(COUNTA(A1348:J1348)=0,"",IF(OR(AND(C1348&lt;&gt;"Servicio",C1348&lt;&gt;"Cobro",C1348&lt;&gt;"Anticipo",C1348&lt;&gt;"Aplicación anticipo",C1348&lt;&gt;"Retención ISR",C1348&lt;&gt;"Retención IVA"),AND(C1348="Servicio",F1348&lt;&gt;"TMS",F1348&lt;&gt;"Valoración",F1348&lt;&gt;"EEG",F1348&lt;&gt;"Neurofeedback",F1348&lt;&gt;"Fotobiomodulación",F1348&lt;&gt;"Psicoterapia",F1348&lt;&gt;"Otros")),"Tipo o categoría inválido",IF(COUNTA(A1348:J1348)=0,"",IF(OR(A1348="",B1348="",C1348="",G1348=""),"Faltan datos",IF(COUNTIF($A$7:$A$2006,A1348)&gt;1,"ID duplicado",IF(OR(B1348&lt;DATE(Configuración!$C$5,1,1),B1348&gt;=DATE(Configuración!$C$5+1,1,1)),"Fecha fuera del año",IF(OR(G1348&lt;0,H1348&lt;0),"Revisar signo",IF(AND(C1348&lt;&gt;"Servicio",H1348&lt;&gt;0),"IVA solo en Servicio",IF(AND(C1348="Servicio",F1348=""),"Falta servicio","OK")))))))))</f>
        <v/>
      </c>
    </row>
    <row r="1349" spans="1:12" ht="22" customHeight="1">
      <c r="A1349" s="3"/>
      <c r="B1349" s="7"/>
      <c r="C1349" s="3"/>
      <c r="D1349" s="3"/>
      <c r="E1349" s="3"/>
      <c r="F1349" s="3"/>
      <c r="G1349" s="4"/>
      <c r="H1349" s="4"/>
      <c r="I1349" s="3"/>
      <c r="J1349" s="3"/>
      <c r="K1349" s="8" t="str">
        <f t="shared" si="20"/>
        <v/>
      </c>
      <c r="L1349" s="1" t="str">
        <f>IF(COUNTA(A1349:J1349)=0,"",IF(OR(AND(C1349&lt;&gt;"Servicio",C1349&lt;&gt;"Cobro",C1349&lt;&gt;"Anticipo",C1349&lt;&gt;"Aplicación anticipo",C1349&lt;&gt;"Retención ISR",C1349&lt;&gt;"Retención IVA"),AND(C1349="Servicio",F1349&lt;&gt;"TMS",F1349&lt;&gt;"Valoración",F1349&lt;&gt;"EEG",F1349&lt;&gt;"Neurofeedback",F1349&lt;&gt;"Fotobiomodulación",F1349&lt;&gt;"Psicoterapia",F1349&lt;&gt;"Otros")),"Tipo o categoría inválido",IF(COUNTA(A1349:J1349)=0,"",IF(OR(A1349="",B1349="",C1349="",G1349=""),"Faltan datos",IF(COUNTIF($A$7:$A$2006,A1349)&gt;1,"ID duplicado",IF(OR(B1349&lt;DATE(Configuración!$C$5,1,1),B1349&gt;=DATE(Configuración!$C$5+1,1,1)),"Fecha fuera del año",IF(OR(G1349&lt;0,H1349&lt;0),"Revisar signo",IF(AND(C1349&lt;&gt;"Servicio",H1349&lt;&gt;0),"IVA solo en Servicio",IF(AND(C1349="Servicio",F1349=""),"Falta servicio","OK")))))))))</f>
        <v/>
      </c>
    </row>
    <row r="1350" spans="1:12" ht="22" customHeight="1">
      <c r="A1350" s="3"/>
      <c r="B1350" s="7"/>
      <c r="C1350" s="3"/>
      <c r="D1350" s="3"/>
      <c r="E1350" s="3"/>
      <c r="F1350" s="3"/>
      <c r="G1350" s="4"/>
      <c r="H1350" s="4"/>
      <c r="I1350" s="3"/>
      <c r="J1350" s="3"/>
      <c r="K1350" s="8" t="str">
        <f t="shared" si="20"/>
        <v/>
      </c>
      <c r="L1350" s="1" t="str">
        <f>IF(COUNTA(A1350:J1350)=0,"",IF(OR(AND(C1350&lt;&gt;"Servicio",C1350&lt;&gt;"Cobro",C1350&lt;&gt;"Anticipo",C1350&lt;&gt;"Aplicación anticipo",C1350&lt;&gt;"Retención ISR",C1350&lt;&gt;"Retención IVA"),AND(C1350="Servicio",F1350&lt;&gt;"TMS",F1350&lt;&gt;"Valoración",F1350&lt;&gt;"EEG",F1350&lt;&gt;"Neurofeedback",F1350&lt;&gt;"Fotobiomodulación",F1350&lt;&gt;"Psicoterapia",F1350&lt;&gt;"Otros")),"Tipo o categoría inválido",IF(COUNTA(A1350:J1350)=0,"",IF(OR(A1350="",B1350="",C1350="",G1350=""),"Faltan datos",IF(COUNTIF($A$7:$A$2006,A1350)&gt;1,"ID duplicado",IF(OR(B1350&lt;DATE(Configuración!$C$5,1,1),B1350&gt;=DATE(Configuración!$C$5+1,1,1)),"Fecha fuera del año",IF(OR(G1350&lt;0,H1350&lt;0),"Revisar signo",IF(AND(C1350&lt;&gt;"Servicio",H1350&lt;&gt;0),"IVA solo en Servicio",IF(AND(C1350="Servicio",F1350=""),"Falta servicio","OK")))))))))</f>
        <v/>
      </c>
    </row>
    <row r="1351" spans="1:12" ht="22" customHeight="1">
      <c r="A1351" s="3"/>
      <c r="B1351" s="7"/>
      <c r="C1351" s="3"/>
      <c r="D1351" s="3"/>
      <c r="E1351" s="3"/>
      <c r="F1351" s="3"/>
      <c r="G1351" s="4"/>
      <c r="H1351" s="4"/>
      <c r="I1351" s="3"/>
      <c r="J1351" s="3"/>
      <c r="K1351" s="8" t="str">
        <f t="shared" ref="K1351:K1414" si="21">IF(A1351="","",G1351+H1351)</f>
        <v/>
      </c>
      <c r="L1351" s="1" t="str">
        <f>IF(COUNTA(A1351:J1351)=0,"",IF(OR(AND(C1351&lt;&gt;"Servicio",C1351&lt;&gt;"Cobro",C1351&lt;&gt;"Anticipo",C1351&lt;&gt;"Aplicación anticipo",C1351&lt;&gt;"Retención ISR",C1351&lt;&gt;"Retención IVA"),AND(C1351="Servicio",F1351&lt;&gt;"TMS",F1351&lt;&gt;"Valoración",F1351&lt;&gt;"EEG",F1351&lt;&gt;"Neurofeedback",F1351&lt;&gt;"Fotobiomodulación",F1351&lt;&gt;"Psicoterapia",F1351&lt;&gt;"Otros")),"Tipo o categoría inválido",IF(COUNTA(A1351:J1351)=0,"",IF(OR(A1351="",B1351="",C1351="",G1351=""),"Faltan datos",IF(COUNTIF($A$7:$A$2006,A1351)&gt;1,"ID duplicado",IF(OR(B1351&lt;DATE(Configuración!$C$5,1,1),B1351&gt;=DATE(Configuración!$C$5+1,1,1)),"Fecha fuera del año",IF(OR(G1351&lt;0,H1351&lt;0),"Revisar signo",IF(AND(C1351&lt;&gt;"Servicio",H1351&lt;&gt;0),"IVA solo en Servicio",IF(AND(C1351="Servicio",F1351=""),"Falta servicio","OK")))))))))</f>
        <v/>
      </c>
    </row>
    <row r="1352" spans="1:12" ht="22" customHeight="1">
      <c r="A1352" s="3"/>
      <c r="B1352" s="7"/>
      <c r="C1352" s="3"/>
      <c r="D1352" s="3"/>
      <c r="E1352" s="3"/>
      <c r="F1352" s="3"/>
      <c r="G1352" s="4"/>
      <c r="H1352" s="4"/>
      <c r="I1352" s="3"/>
      <c r="J1352" s="3"/>
      <c r="K1352" s="8" t="str">
        <f t="shared" si="21"/>
        <v/>
      </c>
      <c r="L1352" s="1" t="str">
        <f>IF(COUNTA(A1352:J1352)=0,"",IF(OR(AND(C1352&lt;&gt;"Servicio",C1352&lt;&gt;"Cobro",C1352&lt;&gt;"Anticipo",C1352&lt;&gt;"Aplicación anticipo",C1352&lt;&gt;"Retención ISR",C1352&lt;&gt;"Retención IVA"),AND(C1352="Servicio",F1352&lt;&gt;"TMS",F1352&lt;&gt;"Valoración",F1352&lt;&gt;"EEG",F1352&lt;&gt;"Neurofeedback",F1352&lt;&gt;"Fotobiomodulación",F1352&lt;&gt;"Psicoterapia",F1352&lt;&gt;"Otros")),"Tipo o categoría inválido",IF(COUNTA(A1352:J1352)=0,"",IF(OR(A1352="",B1352="",C1352="",G1352=""),"Faltan datos",IF(COUNTIF($A$7:$A$2006,A1352)&gt;1,"ID duplicado",IF(OR(B1352&lt;DATE(Configuración!$C$5,1,1),B1352&gt;=DATE(Configuración!$C$5+1,1,1)),"Fecha fuera del año",IF(OR(G1352&lt;0,H1352&lt;0),"Revisar signo",IF(AND(C1352&lt;&gt;"Servicio",H1352&lt;&gt;0),"IVA solo en Servicio",IF(AND(C1352="Servicio",F1352=""),"Falta servicio","OK")))))))))</f>
        <v/>
      </c>
    </row>
    <row r="1353" spans="1:12" ht="22" customHeight="1">
      <c r="A1353" s="3"/>
      <c r="B1353" s="7"/>
      <c r="C1353" s="3"/>
      <c r="D1353" s="3"/>
      <c r="E1353" s="3"/>
      <c r="F1353" s="3"/>
      <c r="G1353" s="4"/>
      <c r="H1353" s="4"/>
      <c r="I1353" s="3"/>
      <c r="J1353" s="3"/>
      <c r="K1353" s="8" t="str">
        <f t="shared" si="21"/>
        <v/>
      </c>
      <c r="L1353" s="1" t="str">
        <f>IF(COUNTA(A1353:J1353)=0,"",IF(OR(AND(C1353&lt;&gt;"Servicio",C1353&lt;&gt;"Cobro",C1353&lt;&gt;"Anticipo",C1353&lt;&gt;"Aplicación anticipo",C1353&lt;&gt;"Retención ISR",C1353&lt;&gt;"Retención IVA"),AND(C1353="Servicio",F1353&lt;&gt;"TMS",F1353&lt;&gt;"Valoración",F1353&lt;&gt;"EEG",F1353&lt;&gt;"Neurofeedback",F1353&lt;&gt;"Fotobiomodulación",F1353&lt;&gt;"Psicoterapia",F1353&lt;&gt;"Otros")),"Tipo o categoría inválido",IF(COUNTA(A1353:J1353)=0,"",IF(OR(A1353="",B1353="",C1353="",G1353=""),"Faltan datos",IF(COUNTIF($A$7:$A$2006,A1353)&gt;1,"ID duplicado",IF(OR(B1353&lt;DATE(Configuración!$C$5,1,1),B1353&gt;=DATE(Configuración!$C$5+1,1,1)),"Fecha fuera del año",IF(OR(G1353&lt;0,H1353&lt;0),"Revisar signo",IF(AND(C1353&lt;&gt;"Servicio",H1353&lt;&gt;0),"IVA solo en Servicio",IF(AND(C1353="Servicio",F1353=""),"Falta servicio","OK")))))))))</f>
        <v/>
      </c>
    </row>
    <row r="1354" spans="1:12" ht="22" customHeight="1">
      <c r="A1354" s="3"/>
      <c r="B1354" s="7"/>
      <c r="C1354" s="3"/>
      <c r="D1354" s="3"/>
      <c r="E1354" s="3"/>
      <c r="F1354" s="3"/>
      <c r="G1354" s="4"/>
      <c r="H1354" s="4"/>
      <c r="I1354" s="3"/>
      <c r="J1354" s="3"/>
      <c r="K1354" s="8" t="str">
        <f t="shared" si="21"/>
        <v/>
      </c>
      <c r="L1354" s="1" t="str">
        <f>IF(COUNTA(A1354:J1354)=0,"",IF(OR(AND(C1354&lt;&gt;"Servicio",C1354&lt;&gt;"Cobro",C1354&lt;&gt;"Anticipo",C1354&lt;&gt;"Aplicación anticipo",C1354&lt;&gt;"Retención ISR",C1354&lt;&gt;"Retención IVA"),AND(C1354="Servicio",F1354&lt;&gt;"TMS",F1354&lt;&gt;"Valoración",F1354&lt;&gt;"EEG",F1354&lt;&gt;"Neurofeedback",F1354&lt;&gt;"Fotobiomodulación",F1354&lt;&gt;"Psicoterapia",F1354&lt;&gt;"Otros")),"Tipo o categoría inválido",IF(COUNTA(A1354:J1354)=0,"",IF(OR(A1354="",B1354="",C1354="",G1354=""),"Faltan datos",IF(COUNTIF($A$7:$A$2006,A1354)&gt;1,"ID duplicado",IF(OR(B1354&lt;DATE(Configuración!$C$5,1,1),B1354&gt;=DATE(Configuración!$C$5+1,1,1)),"Fecha fuera del año",IF(OR(G1354&lt;0,H1354&lt;0),"Revisar signo",IF(AND(C1354&lt;&gt;"Servicio",H1354&lt;&gt;0),"IVA solo en Servicio",IF(AND(C1354="Servicio",F1354=""),"Falta servicio","OK")))))))))</f>
        <v/>
      </c>
    </row>
    <row r="1355" spans="1:12" ht="22" customHeight="1">
      <c r="A1355" s="3"/>
      <c r="B1355" s="7"/>
      <c r="C1355" s="3"/>
      <c r="D1355" s="3"/>
      <c r="E1355" s="3"/>
      <c r="F1355" s="3"/>
      <c r="G1355" s="4"/>
      <c r="H1355" s="4"/>
      <c r="I1355" s="3"/>
      <c r="J1355" s="3"/>
      <c r="K1355" s="8" t="str">
        <f t="shared" si="21"/>
        <v/>
      </c>
      <c r="L1355" s="1" t="str">
        <f>IF(COUNTA(A1355:J1355)=0,"",IF(OR(AND(C1355&lt;&gt;"Servicio",C1355&lt;&gt;"Cobro",C1355&lt;&gt;"Anticipo",C1355&lt;&gt;"Aplicación anticipo",C1355&lt;&gt;"Retención ISR",C1355&lt;&gt;"Retención IVA"),AND(C1355="Servicio",F1355&lt;&gt;"TMS",F1355&lt;&gt;"Valoración",F1355&lt;&gt;"EEG",F1355&lt;&gt;"Neurofeedback",F1355&lt;&gt;"Fotobiomodulación",F1355&lt;&gt;"Psicoterapia",F1355&lt;&gt;"Otros")),"Tipo o categoría inválido",IF(COUNTA(A1355:J1355)=0,"",IF(OR(A1355="",B1355="",C1355="",G1355=""),"Faltan datos",IF(COUNTIF($A$7:$A$2006,A1355)&gt;1,"ID duplicado",IF(OR(B1355&lt;DATE(Configuración!$C$5,1,1),B1355&gt;=DATE(Configuración!$C$5+1,1,1)),"Fecha fuera del año",IF(OR(G1355&lt;0,H1355&lt;0),"Revisar signo",IF(AND(C1355&lt;&gt;"Servicio",H1355&lt;&gt;0),"IVA solo en Servicio",IF(AND(C1355="Servicio",F1355=""),"Falta servicio","OK")))))))))</f>
        <v/>
      </c>
    </row>
    <row r="1356" spans="1:12" ht="22" customHeight="1">
      <c r="A1356" s="3"/>
      <c r="B1356" s="7"/>
      <c r="C1356" s="3"/>
      <c r="D1356" s="3"/>
      <c r="E1356" s="3"/>
      <c r="F1356" s="3"/>
      <c r="G1356" s="4"/>
      <c r="H1356" s="4"/>
      <c r="I1356" s="3"/>
      <c r="J1356" s="3"/>
      <c r="K1356" s="8" t="str">
        <f t="shared" si="21"/>
        <v/>
      </c>
      <c r="L1356" s="1" t="str">
        <f>IF(COUNTA(A1356:J1356)=0,"",IF(OR(AND(C1356&lt;&gt;"Servicio",C1356&lt;&gt;"Cobro",C1356&lt;&gt;"Anticipo",C1356&lt;&gt;"Aplicación anticipo",C1356&lt;&gt;"Retención ISR",C1356&lt;&gt;"Retención IVA"),AND(C1356="Servicio",F1356&lt;&gt;"TMS",F1356&lt;&gt;"Valoración",F1356&lt;&gt;"EEG",F1356&lt;&gt;"Neurofeedback",F1356&lt;&gt;"Fotobiomodulación",F1356&lt;&gt;"Psicoterapia",F1356&lt;&gt;"Otros")),"Tipo o categoría inválido",IF(COUNTA(A1356:J1356)=0,"",IF(OR(A1356="",B1356="",C1356="",G1356=""),"Faltan datos",IF(COUNTIF($A$7:$A$2006,A1356)&gt;1,"ID duplicado",IF(OR(B1356&lt;DATE(Configuración!$C$5,1,1),B1356&gt;=DATE(Configuración!$C$5+1,1,1)),"Fecha fuera del año",IF(OR(G1356&lt;0,H1356&lt;0),"Revisar signo",IF(AND(C1356&lt;&gt;"Servicio",H1356&lt;&gt;0),"IVA solo en Servicio",IF(AND(C1356="Servicio",F1356=""),"Falta servicio","OK")))))))))</f>
        <v/>
      </c>
    </row>
    <row r="1357" spans="1:12" ht="22" customHeight="1">
      <c r="A1357" s="3"/>
      <c r="B1357" s="7"/>
      <c r="C1357" s="3"/>
      <c r="D1357" s="3"/>
      <c r="E1357" s="3"/>
      <c r="F1357" s="3"/>
      <c r="G1357" s="4"/>
      <c r="H1357" s="4"/>
      <c r="I1357" s="3"/>
      <c r="J1357" s="3"/>
      <c r="K1357" s="8" t="str">
        <f t="shared" si="21"/>
        <v/>
      </c>
      <c r="L1357" s="1" t="str">
        <f>IF(COUNTA(A1357:J1357)=0,"",IF(OR(AND(C1357&lt;&gt;"Servicio",C1357&lt;&gt;"Cobro",C1357&lt;&gt;"Anticipo",C1357&lt;&gt;"Aplicación anticipo",C1357&lt;&gt;"Retención ISR",C1357&lt;&gt;"Retención IVA"),AND(C1357="Servicio",F1357&lt;&gt;"TMS",F1357&lt;&gt;"Valoración",F1357&lt;&gt;"EEG",F1357&lt;&gt;"Neurofeedback",F1357&lt;&gt;"Fotobiomodulación",F1357&lt;&gt;"Psicoterapia",F1357&lt;&gt;"Otros")),"Tipo o categoría inválido",IF(COUNTA(A1357:J1357)=0,"",IF(OR(A1357="",B1357="",C1357="",G1357=""),"Faltan datos",IF(COUNTIF($A$7:$A$2006,A1357)&gt;1,"ID duplicado",IF(OR(B1357&lt;DATE(Configuración!$C$5,1,1),B1357&gt;=DATE(Configuración!$C$5+1,1,1)),"Fecha fuera del año",IF(OR(G1357&lt;0,H1357&lt;0),"Revisar signo",IF(AND(C1357&lt;&gt;"Servicio",H1357&lt;&gt;0),"IVA solo en Servicio",IF(AND(C1357="Servicio",F1357=""),"Falta servicio","OK")))))))))</f>
        <v/>
      </c>
    </row>
    <row r="1358" spans="1:12" ht="22" customHeight="1">
      <c r="A1358" s="3"/>
      <c r="B1358" s="7"/>
      <c r="C1358" s="3"/>
      <c r="D1358" s="3"/>
      <c r="E1358" s="3"/>
      <c r="F1358" s="3"/>
      <c r="G1358" s="4"/>
      <c r="H1358" s="4"/>
      <c r="I1358" s="3"/>
      <c r="J1358" s="3"/>
      <c r="K1358" s="8" t="str">
        <f t="shared" si="21"/>
        <v/>
      </c>
      <c r="L1358" s="1" t="str">
        <f>IF(COUNTA(A1358:J1358)=0,"",IF(OR(AND(C1358&lt;&gt;"Servicio",C1358&lt;&gt;"Cobro",C1358&lt;&gt;"Anticipo",C1358&lt;&gt;"Aplicación anticipo",C1358&lt;&gt;"Retención ISR",C1358&lt;&gt;"Retención IVA"),AND(C1358="Servicio",F1358&lt;&gt;"TMS",F1358&lt;&gt;"Valoración",F1358&lt;&gt;"EEG",F1358&lt;&gt;"Neurofeedback",F1358&lt;&gt;"Fotobiomodulación",F1358&lt;&gt;"Psicoterapia",F1358&lt;&gt;"Otros")),"Tipo o categoría inválido",IF(COUNTA(A1358:J1358)=0,"",IF(OR(A1358="",B1358="",C1358="",G1358=""),"Faltan datos",IF(COUNTIF($A$7:$A$2006,A1358)&gt;1,"ID duplicado",IF(OR(B1358&lt;DATE(Configuración!$C$5,1,1),B1358&gt;=DATE(Configuración!$C$5+1,1,1)),"Fecha fuera del año",IF(OR(G1358&lt;0,H1358&lt;0),"Revisar signo",IF(AND(C1358&lt;&gt;"Servicio",H1358&lt;&gt;0),"IVA solo en Servicio",IF(AND(C1358="Servicio",F1358=""),"Falta servicio","OK")))))))))</f>
        <v/>
      </c>
    </row>
    <row r="1359" spans="1:12" ht="22" customHeight="1">
      <c r="A1359" s="3"/>
      <c r="B1359" s="7"/>
      <c r="C1359" s="3"/>
      <c r="D1359" s="3"/>
      <c r="E1359" s="3"/>
      <c r="F1359" s="3"/>
      <c r="G1359" s="4"/>
      <c r="H1359" s="4"/>
      <c r="I1359" s="3"/>
      <c r="J1359" s="3"/>
      <c r="K1359" s="8" t="str">
        <f t="shared" si="21"/>
        <v/>
      </c>
      <c r="L1359" s="1" t="str">
        <f>IF(COUNTA(A1359:J1359)=0,"",IF(OR(AND(C1359&lt;&gt;"Servicio",C1359&lt;&gt;"Cobro",C1359&lt;&gt;"Anticipo",C1359&lt;&gt;"Aplicación anticipo",C1359&lt;&gt;"Retención ISR",C1359&lt;&gt;"Retención IVA"),AND(C1359="Servicio",F1359&lt;&gt;"TMS",F1359&lt;&gt;"Valoración",F1359&lt;&gt;"EEG",F1359&lt;&gt;"Neurofeedback",F1359&lt;&gt;"Fotobiomodulación",F1359&lt;&gt;"Psicoterapia",F1359&lt;&gt;"Otros")),"Tipo o categoría inválido",IF(COUNTA(A1359:J1359)=0,"",IF(OR(A1359="",B1359="",C1359="",G1359=""),"Faltan datos",IF(COUNTIF($A$7:$A$2006,A1359)&gt;1,"ID duplicado",IF(OR(B1359&lt;DATE(Configuración!$C$5,1,1),B1359&gt;=DATE(Configuración!$C$5+1,1,1)),"Fecha fuera del año",IF(OR(G1359&lt;0,H1359&lt;0),"Revisar signo",IF(AND(C1359&lt;&gt;"Servicio",H1359&lt;&gt;0),"IVA solo en Servicio",IF(AND(C1359="Servicio",F1359=""),"Falta servicio","OK")))))))))</f>
        <v/>
      </c>
    </row>
    <row r="1360" spans="1:12" ht="22" customHeight="1">
      <c r="A1360" s="3"/>
      <c r="B1360" s="7"/>
      <c r="C1360" s="3"/>
      <c r="D1360" s="3"/>
      <c r="E1360" s="3"/>
      <c r="F1360" s="3"/>
      <c r="G1360" s="4"/>
      <c r="H1360" s="4"/>
      <c r="I1360" s="3"/>
      <c r="J1360" s="3"/>
      <c r="K1360" s="8" t="str">
        <f t="shared" si="21"/>
        <v/>
      </c>
      <c r="L1360" s="1" t="str">
        <f>IF(COUNTA(A1360:J1360)=0,"",IF(OR(AND(C1360&lt;&gt;"Servicio",C1360&lt;&gt;"Cobro",C1360&lt;&gt;"Anticipo",C1360&lt;&gt;"Aplicación anticipo",C1360&lt;&gt;"Retención ISR",C1360&lt;&gt;"Retención IVA"),AND(C1360="Servicio",F1360&lt;&gt;"TMS",F1360&lt;&gt;"Valoración",F1360&lt;&gt;"EEG",F1360&lt;&gt;"Neurofeedback",F1360&lt;&gt;"Fotobiomodulación",F1360&lt;&gt;"Psicoterapia",F1360&lt;&gt;"Otros")),"Tipo o categoría inválido",IF(COUNTA(A1360:J1360)=0,"",IF(OR(A1360="",B1360="",C1360="",G1360=""),"Faltan datos",IF(COUNTIF($A$7:$A$2006,A1360)&gt;1,"ID duplicado",IF(OR(B1360&lt;DATE(Configuración!$C$5,1,1),B1360&gt;=DATE(Configuración!$C$5+1,1,1)),"Fecha fuera del año",IF(OR(G1360&lt;0,H1360&lt;0),"Revisar signo",IF(AND(C1360&lt;&gt;"Servicio",H1360&lt;&gt;0),"IVA solo en Servicio",IF(AND(C1360="Servicio",F1360=""),"Falta servicio","OK")))))))))</f>
        <v/>
      </c>
    </row>
    <row r="1361" spans="1:12" ht="22" customHeight="1">
      <c r="A1361" s="3"/>
      <c r="B1361" s="7"/>
      <c r="C1361" s="3"/>
      <c r="D1361" s="3"/>
      <c r="E1361" s="3"/>
      <c r="F1361" s="3"/>
      <c r="G1361" s="4"/>
      <c r="H1361" s="4"/>
      <c r="I1361" s="3"/>
      <c r="J1361" s="3"/>
      <c r="K1361" s="8" t="str">
        <f t="shared" si="21"/>
        <v/>
      </c>
      <c r="L1361" s="1" t="str">
        <f>IF(COUNTA(A1361:J1361)=0,"",IF(OR(AND(C1361&lt;&gt;"Servicio",C1361&lt;&gt;"Cobro",C1361&lt;&gt;"Anticipo",C1361&lt;&gt;"Aplicación anticipo",C1361&lt;&gt;"Retención ISR",C1361&lt;&gt;"Retención IVA"),AND(C1361="Servicio",F1361&lt;&gt;"TMS",F1361&lt;&gt;"Valoración",F1361&lt;&gt;"EEG",F1361&lt;&gt;"Neurofeedback",F1361&lt;&gt;"Fotobiomodulación",F1361&lt;&gt;"Psicoterapia",F1361&lt;&gt;"Otros")),"Tipo o categoría inválido",IF(COUNTA(A1361:J1361)=0,"",IF(OR(A1361="",B1361="",C1361="",G1361=""),"Faltan datos",IF(COUNTIF($A$7:$A$2006,A1361)&gt;1,"ID duplicado",IF(OR(B1361&lt;DATE(Configuración!$C$5,1,1),B1361&gt;=DATE(Configuración!$C$5+1,1,1)),"Fecha fuera del año",IF(OR(G1361&lt;0,H1361&lt;0),"Revisar signo",IF(AND(C1361&lt;&gt;"Servicio",H1361&lt;&gt;0),"IVA solo en Servicio",IF(AND(C1361="Servicio",F1361=""),"Falta servicio","OK")))))))))</f>
        <v/>
      </c>
    </row>
    <row r="1362" spans="1:12" ht="22" customHeight="1">
      <c r="A1362" s="3"/>
      <c r="B1362" s="7"/>
      <c r="C1362" s="3"/>
      <c r="D1362" s="3"/>
      <c r="E1362" s="3"/>
      <c r="F1362" s="3"/>
      <c r="G1362" s="4"/>
      <c r="H1362" s="4"/>
      <c r="I1362" s="3"/>
      <c r="J1362" s="3"/>
      <c r="K1362" s="8" t="str">
        <f t="shared" si="21"/>
        <v/>
      </c>
      <c r="L1362" s="1" t="str">
        <f>IF(COUNTA(A1362:J1362)=0,"",IF(OR(AND(C1362&lt;&gt;"Servicio",C1362&lt;&gt;"Cobro",C1362&lt;&gt;"Anticipo",C1362&lt;&gt;"Aplicación anticipo",C1362&lt;&gt;"Retención ISR",C1362&lt;&gt;"Retención IVA"),AND(C1362="Servicio",F1362&lt;&gt;"TMS",F1362&lt;&gt;"Valoración",F1362&lt;&gt;"EEG",F1362&lt;&gt;"Neurofeedback",F1362&lt;&gt;"Fotobiomodulación",F1362&lt;&gt;"Psicoterapia",F1362&lt;&gt;"Otros")),"Tipo o categoría inválido",IF(COUNTA(A1362:J1362)=0,"",IF(OR(A1362="",B1362="",C1362="",G1362=""),"Faltan datos",IF(COUNTIF($A$7:$A$2006,A1362)&gt;1,"ID duplicado",IF(OR(B1362&lt;DATE(Configuración!$C$5,1,1),B1362&gt;=DATE(Configuración!$C$5+1,1,1)),"Fecha fuera del año",IF(OR(G1362&lt;0,H1362&lt;0),"Revisar signo",IF(AND(C1362&lt;&gt;"Servicio",H1362&lt;&gt;0),"IVA solo en Servicio",IF(AND(C1362="Servicio",F1362=""),"Falta servicio","OK")))))))))</f>
        <v/>
      </c>
    </row>
    <row r="1363" spans="1:12" ht="22" customHeight="1">
      <c r="A1363" s="3"/>
      <c r="B1363" s="7"/>
      <c r="C1363" s="3"/>
      <c r="D1363" s="3"/>
      <c r="E1363" s="3"/>
      <c r="F1363" s="3"/>
      <c r="G1363" s="4"/>
      <c r="H1363" s="4"/>
      <c r="I1363" s="3"/>
      <c r="J1363" s="3"/>
      <c r="K1363" s="8" t="str">
        <f t="shared" si="21"/>
        <v/>
      </c>
      <c r="L1363" s="1" t="str">
        <f>IF(COUNTA(A1363:J1363)=0,"",IF(OR(AND(C1363&lt;&gt;"Servicio",C1363&lt;&gt;"Cobro",C1363&lt;&gt;"Anticipo",C1363&lt;&gt;"Aplicación anticipo",C1363&lt;&gt;"Retención ISR",C1363&lt;&gt;"Retención IVA"),AND(C1363="Servicio",F1363&lt;&gt;"TMS",F1363&lt;&gt;"Valoración",F1363&lt;&gt;"EEG",F1363&lt;&gt;"Neurofeedback",F1363&lt;&gt;"Fotobiomodulación",F1363&lt;&gt;"Psicoterapia",F1363&lt;&gt;"Otros")),"Tipo o categoría inválido",IF(COUNTA(A1363:J1363)=0,"",IF(OR(A1363="",B1363="",C1363="",G1363=""),"Faltan datos",IF(COUNTIF($A$7:$A$2006,A1363)&gt;1,"ID duplicado",IF(OR(B1363&lt;DATE(Configuración!$C$5,1,1),B1363&gt;=DATE(Configuración!$C$5+1,1,1)),"Fecha fuera del año",IF(OR(G1363&lt;0,H1363&lt;0),"Revisar signo",IF(AND(C1363&lt;&gt;"Servicio",H1363&lt;&gt;0),"IVA solo en Servicio",IF(AND(C1363="Servicio",F1363=""),"Falta servicio","OK")))))))))</f>
        <v/>
      </c>
    </row>
    <row r="1364" spans="1:12" ht="22" customHeight="1">
      <c r="A1364" s="3"/>
      <c r="B1364" s="7"/>
      <c r="C1364" s="3"/>
      <c r="D1364" s="3"/>
      <c r="E1364" s="3"/>
      <c r="F1364" s="3"/>
      <c r="G1364" s="4"/>
      <c r="H1364" s="4"/>
      <c r="I1364" s="3"/>
      <c r="J1364" s="3"/>
      <c r="K1364" s="8" t="str">
        <f t="shared" si="21"/>
        <v/>
      </c>
      <c r="L1364" s="1" t="str">
        <f>IF(COUNTA(A1364:J1364)=0,"",IF(OR(AND(C1364&lt;&gt;"Servicio",C1364&lt;&gt;"Cobro",C1364&lt;&gt;"Anticipo",C1364&lt;&gt;"Aplicación anticipo",C1364&lt;&gt;"Retención ISR",C1364&lt;&gt;"Retención IVA"),AND(C1364="Servicio",F1364&lt;&gt;"TMS",F1364&lt;&gt;"Valoración",F1364&lt;&gt;"EEG",F1364&lt;&gt;"Neurofeedback",F1364&lt;&gt;"Fotobiomodulación",F1364&lt;&gt;"Psicoterapia",F1364&lt;&gt;"Otros")),"Tipo o categoría inválido",IF(COUNTA(A1364:J1364)=0,"",IF(OR(A1364="",B1364="",C1364="",G1364=""),"Faltan datos",IF(COUNTIF($A$7:$A$2006,A1364)&gt;1,"ID duplicado",IF(OR(B1364&lt;DATE(Configuración!$C$5,1,1),B1364&gt;=DATE(Configuración!$C$5+1,1,1)),"Fecha fuera del año",IF(OR(G1364&lt;0,H1364&lt;0),"Revisar signo",IF(AND(C1364&lt;&gt;"Servicio",H1364&lt;&gt;0),"IVA solo en Servicio",IF(AND(C1364="Servicio",F1364=""),"Falta servicio","OK")))))))))</f>
        <v/>
      </c>
    </row>
    <row r="1365" spans="1:12" ht="22" customHeight="1">
      <c r="A1365" s="3"/>
      <c r="B1365" s="7"/>
      <c r="C1365" s="3"/>
      <c r="D1365" s="3"/>
      <c r="E1365" s="3"/>
      <c r="F1365" s="3"/>
      <c r="G1365" s="4"/>
      <c r="H1365" s="4"/>
      <c r="I1365" s="3"/>
      <c r="J1365" s="3"/>
      <c r="K1365" s="8" t="str">
        <f t="shared" si="21"/>
        <v/>
      </c>
      <c r="L1365" s="1" t="str">
        <f>IF(COUNTA(A1365:J1365)=0,"",IF(OR(AND(C1365&lt;&gt;"Servicio",C1365&lt;&gt;"Cobro",C1365&lt;&gt;"Anticipo",C1365&lt;&gt;"Aplicación anticipo",C1365&lt;&gt;"Retención ISR",C1365&lt;&gt;"Retención IVA"),AND(C1365="Servicio",F1365&lt;&gt;"TMS",F1365&lt;&gt;"Valoración",F1365&lt;&gt;"EEG",F1365&lt;&gt;"Neurofeedback",F1365&lt;&gt;"Fotobiomodulación",F1365&lt;&gt;"Psicoterapia",F1365&lt;&gt;"Otros")),"Tipo o categoría inválido",IF(COUNTA(A1365:J1365)=0,"",IF(OR(A1365="",B1365="",C1365="",G1365=""),"Faltan datos",IF(COUNTIF($A$7:$A$2006,A1365)&gt;1,"ID duplicado",IF(OR(B1365&lt;DATE(Configuración!$C$5,1,1),B1365&gt;=DATE(Configuración!$C$5+1,1,1)),"Fecha fuera del año",IF(OR(G1365&lt;0,H1365&lt;0),"Revisar signo",IF(AND(C1365&lt;&gt;"Servicio",H1365&lt;&gt;0),"IVA solo en Servicio",IF(AND(C1365="Servicio",F1365=""),"Falta servicio","OK")))))))))</f>
        <v/>
      </c>
    </row>
    <row r="1366" spans="1:12" ht="22" customHeight="1">
      <c r="A1366" s="3"/>
      <c r="B1366" s="7"/>
      <c r="C1366" s="3"/>
      <c r="D1366" s="3"/>
      <c r="E1366" s="3"/>
      <c r="F1366" s="3"/>
      <c r="G1366" s="4"/>
      <c r="H1366" s="4"/>
      <c r="I1366" s="3"/>
      <c r="J1366" s="3"/>
      <c r="K1366" s="8" t="str">
        <f t="shared" si="21"/>
        <v/>
      </c>
      <c r="L1366" s="1" t="str">
        <f>IF(COUNTA(A1366:J1366)=0,"",IF(OR(AND(C1366&lt;&gt;"Servicio",C1366&lt;&gt;"Cobro",C1366&lt;&gt;"Anticipo",C1366&lt;&gt;"Aplicación anticipo",C1366&lt;&gt;"Retención ISR",C1366&lt;&gt;"Retención IVA"),AND(C1366="Servicio",F1366&lt;&gt;"TMS",F1366&lt;&gt;"Valoración",F1366&lt;&gt;"EEG",F1366&lt;&gt;"Neurofeedback",F1366&lt;&gt;"Fotobiomodulación",F1366&lt;&gt;"Psicoterapia",F1366&lt;&gt;"Otros")),"Tipo o categoría inválido",IF(COUNTA(A1366:J1366)=0,"",IF(OR(A1366="",B1366="",C1366="",G1366=""),"Faltan datos",IF(COUNTIF($A$7:$A$2006,A1366)&gt;1,"ID duplicado",IF(OR(B1366&lt;DATE(Configuración!$C$5,1,1),B1366&gt;=DATE(Configuración!$C$5+1,1,1)),"Fecha fuera del año",IF(OR(G1366&lt;0,H1366&lt;0),"Revisar signo",IF(AND(C1366&lt;&gt;"Servicio",H1366&lt;&gt;0),"IVA solo en Servicio",IF(AND(C1366="Servicio",F1366=""),"Falta servicio","OK")))))))))</f>
        <v/>
      </c>
    </row>
    <row r="1367" spans="1:12" ht="22" customHeight="1">
      <c r="A1367" s="3"/>
      <c r="B1367" s="7"/>
      <c r="C1367" s="3"/>
      <c r="D1367" s="3"/>
      <c r="E1367" s="3"/>
      <c r="F1367" s="3"/>
      <c r="G1367" s="4"/>
      <c r="H1367" s="4"/>
      <c r="I1367" s="3"/>
      <c r="J1367" s="3"/>
      <c r="K1367" s="8" t="str">
        <f t="shared" si="21"/>
        <v/>
      </c>
      <c r="L1367" s="1" t="str">
        <f>IF(COUNTA(A1367:J1367)=0,"",IF(OR(AND(C1367&lt;&gt;"Servicio",C1367&lt;&gt;"Cobro",C1367&lt;&gt;"Anticipo",C1367&lt;&gt;"Aplicación anticipo",C1367&lt;&gt;"Retención ISR",C1367&lt;&gt;"Retención IVA"),AND(C1367="Servicio",F1367&lt;&gt;"TMS",F1367&lt;&gt;"Valoración",F1367&lt;&gt;"EEG",F1367&lt;&gt;"Neurofeedback",F1367&lt;&gt;"Fotobiomodulación",F1367&lt;&gt;"Psicoterapia",F1367&lt;&gt;"Otros")),"Tipo o categoría inválido",IF(COUNTA(A1367:J1367)=0,"",IF(OR(A1367="",B1367="",C1367="",G1367=""),"Faltan datos",IF(COUNTIF($A$7:$A$2006,A1367)&gt;1,"ID duplicado",IF(OR(B1367&lt;DATE(Configuración!$C$5,1,1),B1367&gt;=DATE(Configuración!$C$5+1,1,1)),"Fecha fuera del año",IF(OR(G1367&lt;0,H1367&lt;0),"Revisar signo",IF(AND(C1367&lt;&gt;"Servicio",H1367&lt;&gt;0),"IVA solo en Servicio",IF(AND(C1367="Servicio",F1367=""),"Falta servicio","OK")))))))))</f>
        <v/>
      </c>
    </row>
    <row r="1368" spans="1:12" ht="22" customHeight="1">
      <c r="A1368" s="3"/>
      <c r="B1368" s="7"/>
      <c r="C1368" s="3"/>
      <c r="D1368" s="3"/>
      <c r="E1368" s="3"/>
      <c r="F1368" s="3"/>
      <c r="G1368" s="4"/>
      <c r="H1368" s="4"/>
      <c r="I1368" s="3"/>
      <c r="J1368" s="3"/>
      <c r="K1368" s="8" t="str">
        <f t="shared" si="21"/>
        <v/>
      </c>
      <c r="L1368" s="1" t="str">
        <f>IF(COUNTA(A1368:J1368)=0,"",IF(OR(AND(C1368&lt;&gt;"Servicio",C1368&lt;&gt;"Cobro",C1368&lt;&gt;"Anticipo",C1368&lt;&gt;"Aplicación anticipo",C1368&lt;&gt;"Retención ISR",C1368&lt;&gt;"Retención IVA"),AND(C1368="Servicio",F1368&lt;&gt;"TMS",F1368&lt;&gt;"Valoración",F1368&lt;&gt;"EEG",F1368&lt;&gt;"Neurofeedback",F1368&lt;&gt;"Fotobiomodulación",F1368&lt;&gt;"Psicoterapia",F1368&lt;&gt;"Otros")),"Tipo o categoría inválido",IF(COUNTA(A1368:J1368)=0,"",IF(OR(A1368="",B1368="",C1368="",G1368=""),"Faltan datos",IF(COUNTIF($A$7:$A$2006,A1368)&gt;1,"ID duplicado",IF(OR(B1368&lt;DATE(Configuración!$C$5,1,1),B1368&gt;=DATE(Configuración!$C$5+1,1,1)),"Fecha fuera del año",IF(OR(G1368&lt;0,H1368&lt;0),"Revisar signo",IF(AND(C1368&lt;&gt;"Servicio",H1368&lt;&gt;0),"IVA solo en Servicio",IF(AND(C1368="Servicio",F1368=""),"Falta servicio","OK")))))))))</f>
        <v/>
      </c>
    </row>
    <row r="1369" spans="1:12" ht="22" customHeight="1">
      <c r="A1369" s="3"/>
      <c r="B1369" s="7"/>
      <c r="C1369" s="3"/>
      <c r="D1369" s="3"/>
      <c r="E1369" s="3"/>
      <c r="F1369" s="3"/>
      <c r="G1369" s="4"/>
      <c r="H1369" s="4"/>
      <c r="I1369" s="3"/>
      <c r="J1369" s="3"/>
      <c r="K1369" s="8" t="str">
        <f t="shared" si="21"/>
        <v/>
      </c>
      <c r="L1369" s="1" t="str">
        <f>IF(COUNTA(A1369:J1369)=0,"",IF(OR(AND(C1369&lt;&gt;"Servicio",C1369&lt;&gt;"Cobro",C1369&lt;&gt;"Anticipo",C1369&lt;&gt;"Aplicación anticipo",C1369&lt;&gt;"Retención ISR",C1369&lt;&gt;"Retención IVA"),AND(C1369="Servicio",F1369&lt;&gt;"TMS",F1369&lt;&gt;"Valoración",F1369&lt;&gt;"EEG",F1369&lt;&gt;"Neurofeedback",F1369&lt;&gt;"Fotobiomodulación",F1369&lt;&gt;"Psicoterapia",F1369&lt;&gt;"Otros")),"Tipo o categoría inválido",IF(COUNTA(A1369:J1369)=0,"",IF(OR(A1369="",B1369="",C1369="",G1369=""),"Faltan datos",IF(COUNTIF($A$7:$A$2006,A1369)&gt;1,"ID duplicado",IF(OR(B1369&lt;DATE(Configuración!$C$5,1,1),B1369&gt;=DATE(Configuración!$C$5+1,1,1)),"Fecha fuera del año",IF(OR(G1369&lt;0,H1369&lt;0),"Revisar signo",IF(AND(C1369&lt;&gt;"Servicio",H1369&lt;&gt;0),"IVA solo en Servicio",IF(AND(C1369="Servicio",F1369=""),"Falta servicio","OK")))))))))</f>
        <v/>
      </c>
    </row>
    <row r="1370" spans="1:12" ht="22" customHeight="1">
      <c r="A1370" s="3"/>
      <c r="B1370" s="7"/>
      <c r="C1370" s="3"/>
      <c r="D1370" s="3"/>
      <c r="E1370" s="3"/>
      <c r="F1370" s="3"/>
      <c r="G1370" s="4"/>
      <c r="H1370" s="4"/>
      <c r="I1370" s="3"/>
      <c r="J1370" s="3"/>
      <c r="K1370" s="8" t="str">
        <f t="shared" si="21"/>
        <v/>
      </c>
      <c r="L1370" s="1" t="str">
        <f>IF(COUNTA(A1370:J1370)=0,"",IF(OR(AND(C1370&lt;&gt;"Servicio",C1370&lt;&gt;"Cobro",C1370&lt;&gt;"Anticipo",C1370&lt;&gt;"Aplicación anticipo",C1370&lt;&gt;"Retención ISR",C1370&lt;&gt;"Retención IVA"),AND(C1370="Servicio",F1370&lt;&gt;"TMS",F1370&lt;&gt;"Valoración",F1370&lt;&gt;"EEG",F1370&lt;&gt;"Neurofeedback",F1370&lt;&gt;"Fotobiomodulación",F1370&lt;&gt;"Psicoterapia",F1370&lt;&gt;"Otros")),"Tipo o categoría inválido",IF(COUNTA(A1370:J1370)=0,"",IF(OR(A1370="",B1370="",C1370="",G1370=""),"Faltan datos",IF(COUNTIF($A$7:$A$2006,A1370)&gt;1,"ID duplicado",IF(OR(B1370&lt;DATE(Configuración!$C$5,1,1),B1370&gt;=DATE(Configuración!$C$5+1,1,1)),"Fecha fuera del año",IF(OR(G1370&lt;0,H1370&lt;0),"Revisar signo",IF(AND(C1370&lt;&gt;"Servicio",H1370&lt;&gt;0),"IVA solo en Servicio",IF(AND(C1370="Servicio",F1370=""),"Falta servicio","OK")))))))))</f>
        <v/>
      </c>
    </row>
    <row r="1371" spans="1:12" ht="22" customHeight="1">
      <c r="A1371" s="3"/>
      <c r="B1371" s="7"/>
      <c r="C1371" s="3"/>
      <c r="D1371" s="3"/>
      <c r="E1371" s="3"/>
      <c r="F1371" s="3"/>
      <c r="G1371" s="4"/>
      <c r="H1371" s="4"/>
      <c r="I1371" s="3"/>
      <c r="J1371" s="3"/>
      <c r="K1371" s="8" t="str">
        <f t="shared" si="21"/>
        <v/>
      </c>
      <c r="L1371" s="1" t="str">
        <f>IF(COUNTA(A1371:J1371)=0,"",IF(OR(AND(C1371&lt;&gt;"Servicio",C1371&lt;&gt;"Cobro",C1371&lt;&gt;"Anticipo",C1371&lt;&gt;"Aplicación anticipo",C1371&lt;&gt;"Retención ISR",C1371&lt;&gt;"Retención IVA"),AND(C1371="Servicio",F1371&lt;&gt;"TMS",F1371&lt;&gt;"Valoración",F1371&lt;&gt;"EEG",F1371&lt;&gt;"Neurofeedback",F1371&lt;&gt;"Fotobiomodulación",F1371&lt;&gt;"Psicoterapia",F1371&lt;&gt;"Otros")),"Tipo o categoría inválido",IF(COUNTA(A1371:J1371)=0,"",IF(OR(A1371="",B1371="",C1371="",G1371=""),"Faltan datos",IF(COUNTIF($A$7:$A$2006,A1371)&gt;1,"ID duplicado",IF(OR(B1371&lt;DATE(Configuración!$C$5,1,1),B1371&gt;=DATE(Configuración!$C$5+1,1,1)),"Fecha fuera del año",IF(OR(G1371&lt;0,H1371&lt;0),"Revisar signo",IF(AND(C1371&lt;&gt;"Servicio",H1371&lt;&gt;0),"IVA solo en Servicio",IF(AND(C1371="Servicio",F1371=""),"Falta servicio","OK")))))))))</f>
        <v/>
      </c>
    </row>
    <row r="1372" spans="1:12" ht="22" customHeight="1">
      <c r="A1372" s="3"/>
      <c r="B1372" s="7"/>
      <c r="C1372" s="3"/>
      <c r="D1372" s="3"/>
      <c r="E1372" s="3"/>
      <c r="F1372" s="3"/>
      <c r="G1372" s="4"/>
      <c r="H1372" s="4"/>
      <c r="I1372" s="3"/>
      <c r="J1372" s="3"/>
      <c r="K1372" s="8" t="str">
        <f t="shared" si="21"/>
        <v/>
      </c>
      <c r="L1372" s="1" t="str">
        <f>IF(COUNTA(A1372:J1372)=0,"",IF(OR(AND(C1372&lt;&gt;"Servicio",C1372&lt;&gt;"Cobro",C1372&lt;&gt;"Anticipo",C1372&lt;&gt;"Aplicación anticipo",C1372&lt;&gt;"Retención ISR",C1372&lt;&gt;"Retención IVA"),AND(C1372="Servicio",F1372&lt;&gt;"TMS",F1372&lt;&gt;"Valoración",F1372&lt;&gt;"EEG",F1372&lt;&gt;"Neurofeedback",F1372&lt;&gt;"Fotobiomodulación",F1372&lt;&gt;"Psicoterapia",F1372&lt;&gt;"Otros")),"Tipo o categoría inválido",IF(COUNTA(A1372:J1372)=0,"",IF(OR(A1372="",B1372="",C1372="",G1372=""),"Faltan datos",IF(COUNTIF($A$7:$A$2006,A1372)&gt;1,"ID duplicado",IF(OR(B1372&lt;DATE(Configuración!$C$5,1,1),B1372&gt;=DATE(Configuración!$C$5+1,1,1)),"Fecha fuera del año",IF(OR(G1372&lt;0,H1372&lt;0),"Revisar signo",IF(AND(C1372&lt;&gt;"Servicio",H1372&lt;&gt;0),"IVA solo en Servicio",IF(AND(C1372="Servicio",F1372=""),"Falta servicio","OK")))))))))</f>
        <v/>
      </c>
    </row>
    <row r="1373" spans="1:12" ht="22" customHeight="1">
      <c r="A1373" s="3"/>
      <c r="B1373" s="7"/>
      <c r="C1373" s="3"/>
      <c r="D1373" s="3"/>
      <c r="E1373" s="3"/>
      <c r="F1373" s="3"/>
      <c r="G1373" s="4"/>
      <c r="H1373" s="4"/>
      <c r="I1373" s="3"/>
      <c r="J1373" s="3"/>
      <c r="K1373" s="8" t="str">
        <f t="shared" si="21"/>
        <v/>
      </c>
      <c r="L1373" s="1" t="str">
        <f>IF(COUNTA(A1373:J1373)=0,"",IF(OR(AND(C1373&lt;&gt;"Servicio",C1373&lt;&gt;"Cobro",C1373&lt;&gt;"Anticipo",C1373&lt;&gt;"Aplicación anticipo",C1373&lt;&gt;"Retención ISR",C1373&lt;&gt;"Retención IVA"),AND(C1373="Servicio",F1373&lt;&gt;"TMS",F1373&lt;&gt;"Valoración",F1373&lt;&gt;"EEG",F1373&lt;&gt;"Neurofeedback",F1373&lt;&gt;"Fotobiomodulación",F1373&lt;&gt;"Psicoterapia",F1373&lt;&gt;"Otros")),"Tipo o categoría inválido",IF(COUNTA(A1373:J1373)=0,"",IF(OR(A1373="",B1373="",C1373="",G1373=""),"Faltan datos",IF(COUNTIF($A$7:$A$2006,A1373)&gt;1,"ID duplicado",IF(OR(B1373&lt;DATE(Configuración!$C$5,1,1),B1373&gt;=DATE(Configuración!$C$5+1,1,1)),"Fecha fuera del año",IF(OR(G1373&lt;0,H1373&lt;0),"Revisar signo",IF(AND(C1373&lt;&gt;"Servicio",H1373&lt;&gt;0),"IVA solo en Servicio",IF(AND(C1373="Servicio",F1373=""),"Falta servicio","OK")))))))))</f>
        <v/>
      </c>
    </row>
    <row r="1374" spans="1:12" ht="22" customHeight="1">
      <c r="A1374" s="3"/>
      <c r="B1374" s="7"/>
      <c r="C1374" s="3"/>
      <c r="D1374" s="3"/>
      <c r="E1374" s="3"/>
      <c r="F1374" s="3"/>
      <c r="G1374" s="4"/>
      <c r="H1374" s="4"/>
      <c r="I1374" s="3"/>
      <c r="J1374" s="3"/>
      <c r="K1374" s="8" t="str">
        <f t="shared" si="21"/>
        <v/>
      </c>
      <c r="L1374" s="1" t="str">
        <f>IF(COUNTA(A1374:J1374)=0,"",IF(OR(AND(C1374&lt;&gt;"Servicio",C1374&lt;&gt;"Cobro",C1374&lt;&gt;"Anticipo",C1374&lt;&gt;"Aplicación anticipo",C1374&lt;&gt;"Retención ISR",C1374&lt;&gt;"Retención IVA"),AND(C1374="Servicio",F1374&lt;&gt;"TMS",F1374&lt;&gt;"Valoración",F1374&lt;&gt;"EEG",F1374&lt;&gt;"Neurofeedback",F1374&lt;&gt;"Fotobiomodulación",F1374&lt;&gt;"Psicoterapia",F1374&lt;&gt;"Otros")),"Tipo o categoría inválido",IF(COUNTA(A1374:J1374)=0,"",IF(OR(A1374="",B1374="",C1374="",G1374=""),"Faltan datos",IF(COUNTIF($A$7:$A$2006,A1374)&gt;1,"ID duplicado",IF(OR(B1374&lt;DATE(Configuración!$C$5,1,1),B1374&gt;=DATE(Configuración!$C$5+1,1,1)),"Fecha fuera del año",IF(OR(G1374&lt;0,H1374&lt;0),"Revisar signo",IF(AND(C1374&lt;&gt;"Servicio",H1374&lt;&gt;0),"IVA solo en Servicio",IF(AND(C1374="Servicio",F1374=""),"Falta servicio","OK")))))))))</f>
        <v/>
      </c>
    </row>
    <row r="1375" spans="1:12" ht="22" customHeight="1">
      <c r="A1375" s="3"/>
      <c r="B1375" s="7"/>
      <c r="C1375" s="3"/>
      <c r="D1375" s="3"/>
      <c r="E1375" s="3"/>
      <c r="F1375" s="3"/>
      <c r="G1375" s="4"/>
      <c r="H1375" s="4"/>
      <c r="I1375" s="3"/>
      <c r="J1375" s="3"/>
      <c r="K1375" s="8" t="str">
        <f t="shared" si="21"/>
        <v/>
      </c>
      <c r="L1375" s="1" t="str">
        <f>IF(COUNTA(A1375:J1375)=0,"",IF(OR(AND(C1375&lt;&gt;"Servicio",C1375&lt;&gt;"Cobro",C1375&lt;&gt;"Anticipo",C1375&lt;&gt;"Aplicación anticipo",C1375&lt;&gt;"Retención ISR",C1375&lt;&gt;"Retención IVA"),AND(C1375="Servicio",F1375&lt;&gt;"TMS",F1375&lt;&gt;"Valoración",F1375&lt;&gt;"EEG",F1375&lt;&gt;"Neurofeedback",F1375&lt;&gt;"Fotobiomodulación",F1375&lt;&gt;"Psicoterapia",F1375&lt;&gt;"Otros")),"Tipo o categoría inválido",IF(COUNTA(A1375:J1375)=0,"",IF(OR(A1375="",B1375="",C1375="",G1375=""),"Faltan datos",IF(COUNTIF($A$7:$A$2006,A1375)&gt;1,"ID duplicado",IF(OR(B1375&lt;DATE(Configuración!$C$5,1,1),B1375&gt;=DATE(Configuración!$C$5+1,1,1)),"Fecha fuera del año",IF(OR(G1375&lt;0,H1375&lt;0),"Revisar signo",IF(AND(C1375&lt;&gt;"Servicio",H1375&lt;&gt;0),"IVA solo en Servicio",IF(AND(C1375="Servicio",F1375=""),"Falta servicio","OK")))))))))</f>
        <v/>
      </c>
    </row>
    <row r="1376" spans="1:12" ht="22" customHeight="1">
      <c r="A1376" s="3"/>
      <c r="B1376" s="7"/>
      <c r="C1376" s="3"/>
      <c r="D1376" s="3"/>
      <c r="E1376" s="3"/>
      <c r="F1376" s="3"/>
      <c r="G1376" s="4"/>
      <c r="H1376" s="4"/>
      <c r="I1376" s="3"/>
      <c r="J1376" s="3"/>
      <c r="K1376" s="8" t="str">
        <f t="shared" si="21"/>
        <v/>
      </c>
      <c r="L1376" s="1" t="str">
        <f>IF(COUNTA(A1376:J1376)=0,"",IF(OR(AND(C1376&lt;&gt;"Servicio",C1376&lt;&gt;"Cobro",C1376&lt;&gt;"Anticipo",C1376&lt;&gt;"Aplicación anticipo",C1376&lt;&gt;"Retención ISR",C1376&lt;&gt;"Retención IVA"),AND(C1376="Servicio",F1376&lt;&gt;"TMS",F1376&lt;&gt;"Valoración",F1376&lt;&gt;"EEG",F1376&lt;&gt;"Neurofeedback",F1376&lt;&gt;"Fotobiomodulación",F1376&lt;&gt;"Psicoterapia",F1376&lt;&gt;"Otros")),"Tipo o categoría inválido",IF(COUNTA(A1376:J1376)=0,"",IF(OR(A1376="",B1376="",C1376="",G1376=""),"Faltan datos",IF(COUNTIF($A$7:$A$2006,A1376)&gt;1,"ID duplicado",IF(OR(B1376&lt;DATE(Configuración!$C$5,1,1),B1376&gt;=DATE(Configuración!$C$5+1,1,1)),"Fecha fuera del año",IF(OR(G1376&lt;0,H1376&lt;0),"Revisar signo",IF(AND(C1376&lt;&gt;"Servicio",H1376&lt;&gt;0),"IVA solo en Servicio",IF(AND(C1376="Servicio",F1376=""),"Falta servicio","OK")))))))))</f>
        <v/>
      </c>
    </row>
    <row r="1377" spans="1:12" ht="22" customHeight="1">
      <c r="A1377" s="3"/>
      <c r="B1377" s="7"/>
      <c r="C1377" s="3"/>
      <c r="D1377" s="3"/>
      <c r="E1377" s="3"/>
      <c r="F1377" s="3"/>
      <c r="G1377" s="4"/>
      <c r="H1377" s="4"/>
      <c r="I1377" s="3"/>
      <c r="J1377" s="3"/>
      <c r="K1377" s="8" t="str">
        <f t="shared" si="21"/>
        <v/>
      </c>
      <c r="L1377" s="1" t="str">
        <f>IF(COUNTA(A1377:J1377)=0,"",IF(OR(AND(C1377&lt;&gt;"Servicio",C1377&lt;&gt;"Cobro",C1377&lt;&gt;"Anticipo",C1377&lt;&gt;"Aplicación anticipo",C1377&lt;&gt;"Retención ISR",C1377&lt;&gt;"Retención IVA"),AND(C1377="Servicio",F1377&lt;&gt;"TMS",F1377&lt;&gt;"Valoración",F1377&lt;&gt;"EEG",F1377&lt;&gt;"Neurofeedback",F1377&lt;&gt;"Fotobiomodulación",F1377&lt;&gt;"Psicoterapia",F1377&lt;&gt;"Otros")),"Tipo o categoría inválido",IF(COUNTA(A1377:J1377)=0,"",IF(OR(A1377="",B1377="",C1377="",G1377=""),"Faltan datos",IF(COUNTIF($A$7:$A$2006,A1377)&gt;1,"ID duplicado",IF(OR(B1377&lt;DATE(Configuración!$C$5,1,1),B1377&gt;=DATE(Configuración!$C$5+1,1,1)),"Fecha fuera del año",IF(OR(G1377&lt;0,H1377&lt;0),"Revisar signo",IF(AND(C1377&lt;&gt;"Servicio",H1377&lt;&gt;0),"IVA solo en Servicio",IF(AND(C1377="Servicio",F1377=""),"Falta servicio","OK")))))))))</f>
        <v/>
      </c>
    </row>
    <row r="1378" spans="1:12" ht="22" customHeight="1">
      <c r="A1378" s="3"/>
      <c r="B1378" s="7"/>
      <c r="C1378" s="3"/>
      <c r="D1378" s="3"/>
      <c r="E1378" s="3"/>
      <c r="F1378" s="3"/>
      <c r="G1378" s="4"/>
      <c r="H1378" s="4"/>
      <c r="I1378" s="3"/>
      <c r="J1378" s="3"/>
      <c r="K1378" s="8" t="str">
        <f t="shared" si="21"/>
        <v/>
      </c>
      <c r="L1378" s="1" t="str">
        <f>IF(COUNTA(A1378:J1378)=0,"",IF(OR(AND(C1378&lt;&gt;"Servicio",C1378&lt;&gt;"Cobro",C1378&lt;&gt;"Anticipo",C1378&lt;&gt;"Aplicación anticipo",C1378&lt;&gt;"Retención ISR",C1378&lt;&gt;"Retención IVA"),AND(C1378="Servicio",F1378&lt;&gt;"TMS",F1378&lt;&gt;"Valoración",F1378&lt;&gt;"EEG",F1378&lt;&gt;"Neurofeedback",F1378&lt;&gt;"Fotobiomodulación",F1378&lt;&gt;"Psicoterapia",F1378&lt;&gt;"Otros")),"Tipo o categoría inválido",IF(COUNTA(A1378:J1378)=0,"",IF(OR(A1378="",B1378="",C1378="",G1378=""),"Faltan datos",IF(COUNTIF($A$7:$A$2006,A1378)&gt;1,"ID duplicado",IF(OR(B1378&lt;DATE(Configuración!$C$5,1,1),B1378&gt;=DATE(Configuración!$C$5+1,1,1)),"Fecha fuera del año",IF(OR(G1378&lt;0,H1378&lt;0),"Revisar signo",IF(AND(C1378&lt;&gt;"Servicio",H1378&lt;&gt;0),"IVA solo en Servicio",IF(AND(C1378="Servicio",F1378=""),"Falta servicio","OK")))))))))</f>
        <v/>
      </c>
    </row>
    <row r="1379" spans="1:12" ht="22" customHeight="1">
      <c r="A1379" s="3"/>
      <c r="B1379" s="7"/>
      <c r="C1379" s="3"/>
      <c r="D1379" s="3"/>
      <c r="E1379" s="3"/>
      <c r="F1379" s="3"/>
      <c r="G1379" s="4"/>
      <c r="H1379" s="4"/>
      <c r="I1379" s="3"/>
      <c r="J1379" s="3"/>
      <c r="K1379" s="8" t="str">
        <f t="shared" si="21"/>
        <v/>
      </c>
      <c r="L1379" s="1" t="str">
        <f>IF(COUNTA(A1379:J1379)=0,"",IF(OR(AND(C1379&lt;&gt;"Servicio",C1379&lt;&gt;"Cobro",C1379&lt;&gt;"Anticipo",C1379&lt;&gt;"Aplicación anticipo",C1379&lt;&gt;"Retención ISR",C1379&lt;&gt;"Retención IVA"),AND(C1379="Servicio",F1379&lt;&gt;"TMS",F1379&lt;&gt;"Valoración",F1379&lt;&gt;"EEG",F1379&lt;&gt;"Neurofeedback",F1379&lt;&gt;"Fotobiomodulación",F1379&lt;&gt;"Psicoterapia",F1379&lt;&gt;"Otros")),"Tipo o categoría inválido",IF(COUNTA(A1379:J1379)=0,"",IF(OR(A1379="",B1379="",C1379="",G1379=""),"Faltan datos",IF(COUNTIF($A$7:$A$2006,A1379)&gt;1,"ID duplicado",IF(OR(B1379&lt;DATE(Configuración!$C$5,1,1),B1379&gt;=DATE(Configuración!$C$5+1,1,1)),"Fecha fuera del año",IF(OR(G1379&lt;0,H1379&lt;0),"Revisar signo",IF(AND(C1379&lt;&gt;"Servicio",H1379&lt;&gt;0),"IVA solo en Servicio",IF(AND(C1379="Servicio",F1379=""),"Falta servicio","OK")))))))))</f>
        <v/>
      </c>
    </row>
    <row r="1380" spans="1:12" ht="22" customHeight="1">
      <c r="A1380" s="3"/>
      <c r="B1380" s="7"/>
      <c r="C1380" s="3"/>
      <c r="D1380" s="3"/>
      <c r="E1380" s="3"/>
      <c r="F1380" s="3"/>
      <c r="G1380" s="4"/>
      <c r="H1380" s="4"/>
      <c r="I1380" s="3"/>
      <c r="J1380" s="3"/>
      <c r="K1380" s="8" t="str">
        <f t="shared" si="21"/>
        <v/>
      </c>
      <c r="L1380" s="1" t="str">
        <f>IF(COUNTA(A1380:J1380)=0,"",IF(OR(AND(C1380&lt;&gt;"Servicio",C1380&lt;&gt;"Cobro",C1380&lt;&gt;"Anticipo",C1380&lt;&gt;"Aplicación anticipo",C1380&lt;&gt;"Retención ISR",C1380&lt;&gt;"Retención IVA"),AND(C1380="Servicio",F1380&lt;&gt;"TMS",F1380&lt;&gt;"Valoración",F1380&lt;&gt;"EEG",F1380&lt;&gt;"Neurofeedback",F1380&lt;&gt;"Fotobiomodulación",F1380&lt;&gt;"Psicoterapia",F1380&lt;&gt;"Otros")),"Tipo o categoría inválido",IF(COUNTA(A1380:J1380)=0,"",IF(OR(A1380="",B1380="",C1380="",G1380=""),"Faltan datos",IF(COUNTIF($A$7:$A$2006,A1380)&gt;1,"ID duplicado",IF(OR(B1380&lt;DATE(Configuración!$C$5,1,1),B1380&gt;=DATE(Configuración!$C$5+1,1,1)),"Fecha fuera del año",IF(OR(G1380&lt;0,H1380&lt;0),"Revisar signo",IF(AND(C1380&lt;&gt;"Servicio",H1380&lt;&gt;0),"IVA solo en Servicio",IF(AND(C1380="Servicio",F1380=""),"Falta servicio","OK")))))))))</f>
        <v/>
      </c>
    </row>
    <row r="1381" spans="1:12" ht="22" customHeight="1">
      <c r="A1381" s="3"/>
      <c r="B1381" s="7"/>
      <c r="C1381" s="3"/>
      <c r="D1381" s="3"/>
      <c r="E1381" s="3"/>
      <c r="F1381" s="3"/>
      <c r="G1381" s="4"/>
      <c r="H1381" s="4"/>
      <c r="I1381" s="3"/>
      <c r="J1381" s="3"/>
      <c r="K1381" s="8" t="str">
        <f t="shared" si="21"/>
        <v/>
      </c>
      <c r="L1381" s="1" t="str">
        <f>IF(COUNTA(A1381:J1381)=0,"",IF(OR(AND(C1381&lt;&gt;"Servicio",C1381&lt;&gt;"Cobro",C1381&lt;&gt;"Anticipo",C1381&lt;&gt;"Aplicación anticipo",C1381&lt;&gt;"Retención ISR",C1381&lt;&gt;"Retención IVA"),AND(C1381="Servicio",F1381&lt;&gt;"TMS",F1381&lt;&gt;"Valoración",F1381&lt;&gt;"EEG",F1381&lt;&gt;"Neurofeedback",F1381&lt;&gt;"Fotobiomodulación",F1381&lt;&gt;"Psicoterapia",F1381&lt;&gt;"Otros")),"Tipo o categoría inválido",IF(COUNTA(A1381:J1381)=0,"",IF(OR(A1381="",B1381="",C1381="",G1381=""),"Faltan datos",IF(COUNTIF($A$7:$A$2006,A1381)&gt;1,"ID duplicado",IF(OR(B1381&lt;DATE(Configuración!$C$5,1,1),B1381&gt;=DATE(Configuración!$C$5+1,1,1)),"Fecha fuera del año",IF(OR(G1381&lt;0,H1381&lt;0),"Revisar signo",IF(AND(C1381&lt;&gt;"Servicio",H1381&lt;&gt;0),"IVA solo en Servicio",IF(AND(C1381="Servicio",F1381=""),"Falta servicio","OK")))))))))</f>
        <v/>
      </c>
    </row>
    <row r="1382" spans="1:12" ht="22" customHeight="1">
      <c r="A1382" s="3"/>
      <c r="B1382" s="7"/>
      <c r="C1382" s="3"/>
      <c r="D1382" s="3"/>
      <c r="E1382" s="3"/>
      <c r="F1382" s="3"/>
      <c r="G1382" s="4"/>
      <c r="H1382" s="4"/>
      <c r="I1382" s="3"/>
      <c r="J1382" s="3"/>
      <c r="K1382" s="8" t="str">
        <f t="shared" si="21"/>
        <v/>
      </c>
      <c r="L1382" s="1" t="str">
        <f>IF(COUNTA(A1382:J1382)=0,"",IF(OR(AND(C1382&lt;&gt;"Servicio",C1382&lt;&gt;"Cobro",C1382&lt;&gt;"Anticipo",C1382&lt;&gt;"Aplicación anticipo",C1382&lt;&gt;"Retención ISR",C1382&lt;&gt;"Retención IVA"),AND(C1382="Servicio",F1382&lt;&gt;"TMS",F1382&lt;&gt;"Valoración",F1382&lt;&gt;"EEG",F1382&lt;&gt;"Neurofeedback",F1382&lt;&gt;"Fotobiomodulación",F1382&lt;&gt;"Psicoterapia",F1382&lt;&gt;"Otros")),"Tipo o categoría inválido",IF(COUNTA(A1382:J1382)=0,"",IF(OR(A1382="",B1382="",C1382="",G1382=""),"Faltan datos",IF(COUNTIF($A$7:$A$2006,A1382)&gt;1,"ID duplicado",IF(OR(B1382&lt;DATE(Configuración!$C$5,1,1),B1382&gt;=DATE(Configuración!$C$5+1,1,1)),"Fecha fuera del año",IF(OR(G1382&lt;0,H1382&lt;0),"Revisar signo",IF(AND(C1382&lt;&gt;"Servicio",H1382&lt;&gt;0),"IVA solo en Servicio",IF(AND(C1382="Servicio",F1382=""),"Falta servicio","OK")))))))))</f>
        <v/>
      </c>
    </row>
    <row r="1383" spans="1:12" ht="22" customHeight="1">
      <c r="A1383" s="3"/>
      <c r="B1383" s="7"/>
      <c r="C1383" s="3"/>
      <c r="D1383" s="3"/>
      <c r="E1383" s="3"/>
      <c r="F1383" s="3"/>
      <c r="G1383" s="4"/>
      <c r="H1383" s="4"/>
      <c r="I1383" s="3"/>
      <c r="J1383" s="3"/>
      <c r="K1383" s="8" t="str">
        <f t="shared" si="21"/>
        <v/>
      </c>
      <c r="L1383" s="1" t="str">
        <f>IF(COUNTA(A1383:J1383)=0,"",IF(OR(AND(C1383&lt;&gt;"Servicio",C1383&lt;&gt;"Cobro",C1383&lt;&gt;"Anticipo",C1383&lt;&gt;"Aplicación anticipo",C1383&lt;&gt;"Retención ISR",C1383&lt;&gt;"Retención IVA"),AND(C1383="Servicio",F1383&lt;&gt;"TMS",F1383&lt;&gt;"Valoración",F1383&lt;&gt;"EEG",F1383&lt;&gt;"Neurofeedback",F1383&lt;&gt;"Fotobiomodulación",F1383&lt;&gt;"Psicoterapia",F1383&lt;&gt;"Otros")),"Tipo o categoría inválido",IF(COUNTA(A1383:J1383)=0,"",IF(OR(A1383="",B1383="",C1383="",G1383=""),"Faltan datos",IF(COUNTIF($A$7:$A$2006,A1383)&gt;1,"ID duplicado",IF(OR(B1383&lt;DATE(Configuración!$C$5,1,1),B1383&gt;=DATE(Configuración!$C$5+1,1,1)),"Fecha fuera del año",IF(OR(G1383&lt;0,H1383&lt;0),"Revisar signo",IF(AND(C1383&lt;&gt;"Servicio",H1383&lt;&gt;0),"IVA solo en Servicio",IF(AND(C1383="Servicio",F1383=""),"Falta servicio","OK")))))))))</f>
        <v/>
      </c>
    </row>
    <row r="1384" spans="1:12" ht="22" customHeight="1">
      <c r="A1384" s="3"/>
      <c r="B1384" s="7"/>
      <c r="C1384" s="3"/>
      <c r="D1384" s="3"/>
      <c r="E1384" s="3"/>
      <c r="F1384" s="3"/>
      <c r="G1384" s="4"/>
      <c r="H1384" s="4"/>
      <c r="I1384" s="3"/>
      <c r="J1384" s="3"/>
      <c r="K1384" s="8" t="str">
        <f t="shared" si="21"/>
        <v/>
      </c>
      <c r="L1384" s="1" t="str">
        <f>IF(COUNTA(A1384:J1384)=0,"",IF(OR(AND(C1384&lt;&gt;"Servicio",C1384&lt;&gt;"Cobro",C1384&lt;&gt;"Anticipo",C1384&lt;&gt;"Aplicación anticipo",C1384&lt;&gt;"Retención ISR",C1384&lt;&gt;"Retención IVA"),AND(C1384="Servicio",F1384&lt;&gt;"TMS",F1384&lt;&gt;"Valoración",F1384&lt;&gt;"EEG",F1384&lt;&gt;"Neurofeedback",F1384&lt;&gt;"Fotobiomodulación",F1384&lt;&gt;"Psicoterapia",F1384&lt;&gt;"Otros")),"Tipo o categoría inválido",IF(COUNTA(A1384:J1384)=0,"",IF(OR(A1384="",B1384="",C1384="",G1384=""),"Faltan datos",IF(COUNTIF($A$7:$A$2006,A1384)&gt;1,"ID duplicado",IF(OR(B1384&lt;DATE(Configuración!$C$5,1,1),B1384&gt;=DATE(Configuración!$C$5+1,1,1)),"Fecha fuera del año",IF(OR(G1384&lt;0,H1384&lt;0),"Revisar signo",IF(AND(C1384&lt;&gt;"Servicio",H1384&lt;&gt;0),"IVA solo en Servicio",IF(AND(C1384="Servicio",F1384=""),"Falta servicio","OK")))))))))</f>
        <v/>
      </c>
    </row>
    <row r="1385" spans="1:12" ht="22" customHeight="1">
      <c r="A1385" s="3"/>
      <c r="B1385" s="7"/>
      <c r="C1385" s="3"/>
      <c r="D1385" s="3"/>
      <c r="E1385" s="3"/>
      <c r="F1385" s="3"/>
      <c r="G1385" s="4"/>
      <c r="H1385" s="4"/>
      <c r="I1385" s="3"/>
      <c r="J1385" s="3"/>
      <c r="K1385" s="8" t="str">
        <f t="shared" si="21"/>
        <v/>
      </c>
      <c r="L1385" s="1" t="str">
        <f>IF(COUNTA(A1385:J1385)=0,"",IF(OR(AND(C1385&lt;&gt;"Servicio",C1385&lt;&gt;"Cobro",C1385&lt;&gt;"Anticipo",C1385&lt;&gt;"Aplicación anticipo",C1385&lt;&gt;"Retención ISR",C1385&lt;&gt;"Retención IVA"),AND(C1385="Servicio",F1385&lt;&gt;"TMS",F1385&lt;&gt;"Valoración",F1385&lt;&gt;"EEG",F1385&lt;&gt;"Neurofeedback",F1385&lt;&gt;"Fotobiomodulación",F1385&lt;&gt;"Psicoterapia",F1385&lt;&gt;"Otros")),"Tipo o categoría inválido",IF(COUNTA(A1385:J1385)=0,"",IF(OR(A1385="",B1385="",C1385="",G1385=""),"Faltan datos",IF(COUNTIF($A$7:$A$2006,A1385)&gt;1,"ID duplicado",IF(OR(B1385&lt;DATE(Configuración!$C$5,1,1),B1385&gt;=DATE(Configuración!$C$5+1,1,1)),"Fecha fuera del año",IF(OR(G1385&lt;0,H1385&lt;0),"Revisar signo",IF(AND(C1385&lt;&gt;"Servicio",H1385&lt;&gt;0),"IVA solo en Servicio",IF(AND(C1385="Servicio",F1385=""),"Falta servicio","OK")))))))))</f>
        <v/>
      </c>
    </row>
    <row r="1386" spans="1:12" ht="22" customHeight="1">
      <c r="A1386" s="3"/>
      <c r="B1386" s="7"/>
      <c r="C1386" s="3"/>
      <c r="D1386" s="3"/>
      <c r="E1386" s="3"/>
      <c r="F1386" s="3"/>
      <c r="G1386" s="4"/>
      <c r="H1386" s="4"/>
      <c r="I1386" s="3"/>
      <c r="J1386" s="3"/>
      <c r="K1386" s="8" t="str">
        <f t="shared" si="21"/>
        <v/>
      </c>
      <c r="L1386" s="1" t="str">
        <f>IF(COUNTA(A1386:J1386)=0,"",IF(OR(AND(C1386&lt;&gt;"Servicio",C1386&lt;&gt;"Cobro",C1386&lt;&gt;"Anticipo",C1386&lt;&gt;"Aplicación anticipo",C1386&lt;&gt;"Retención ISR",C1386&lt;&gt;"Retención IVA"),AND(C1386="Servicio",F1386&lt;&gt;"TMS",F1386&lt;&gt;"Valoración",F1386&lt;&gt;"EEG",F1386&lt;&gt;"Neurofeedback",F1386&lt;&gt;"Fotobiomodulación",F1386&lt;&gt;"Psicoterapia",F1386&lt;&gt;"Otros")),"Tipo o categoría inválido",IF(COUNTA(A1386:J1386)=0,"",IF(OR(A1386="",B1386="",C1386="",G1386=""),"Faltan datos",IF(COUNTIF($A$7:$A$2006,A1386)&gt;1,"ID duplicado",IF(OR(B1386&lt;DATE(Configuración!$C$5,1,1),B1386&gt;=DATE(Configuración!$C$5+1,1,1)),"Fecha fuera del año",IF(OR(G1386&lt;0,H1386&lt;0),"Revisar signo",IF(AND(C1386&lt;&gt;"Servicio",H1386&lt;&gt;0),"IVA solo en Servicio",IF(AND(C1386="Servicio",F1386=""),"Falta servicio","OK")))))))))</f>
        <v/>
      </c>
    </row>
    <row r="1387" spans="1:12" ht="22" customHeight="1">
      <c r="A1387" s="3"/>
      <c r="B1387" s="7"/>
      <c r="C1387" s="3"/>
      <c r="D1387" s="3"/>
      <c r="E1387" s="3"/>
      <c r="F1387" s="3"/>
      <c r="G1387" s="4"/>
      <c r="H1387" s="4"/>
      <c r="I1387" s="3"/>
      <c r="J1387" s="3"/>
      <c r="K1387" s="8" t="str">
        <f t="shared" si="21"/>
        <v/>
      </c>
      <c r="L1387" s="1" t="str">
        <f>IF(COUNTA(A1387:J1387)=0,"",IF(OR(AND(C1387&lt;&gt;"Servicio",C1387&lt;&gt;"Cobro",C1387&lt;&gt;"Anticipo",C1387&lt;&gt;"Aplicación anticipo",C1387&lt;&gt;"Retención ISR",C1387&lt;&gt;"Retención IVA"),AND(C1387="Servicio",F1387&lt;&gt;"TMS",F1387&lt;&gt;"Valoración",F1387&lt;&gt;"EEG",F1387&lt;&gt;"Neurofeedback",F1387&lt;&gt;"Fotobiomodulación",F1387&lt;&gt;"Psicoterapia",F1387&lt;&gt;"Otros")),"Tipo o categoría inválido",IF(COUNTA(A1387:J1387)=0,"",IF(OR(A1387="",B1387="",C1387="",G1387=""),"Faltan datos",IF(COUNTIF($A$7:$A$2006,A1387)&gt;1,"ID duplicado",IF(OR(B1387&lt;DATE(Configuración!$C$5,1,1),B1387&gt;=DATE(Configuración!$C$5+1,1,1)),"Fecha fuera del año",IF(OR(G1387&lt;0,H1387&lt;0),"Revisar signo",IF(AND(C1387&lt;&gt;"Servicio",H1387&lt;&gt;0),"IVA solo en Servicio",IF(AND(C1387="Servicio",F1387=""),"Falta servicio","OK")))))))))</f>
        <v/>
      </c>
    </row>
    <row r="1388" spans="1:12" ht="22" customHeight="1">
      <c r="A1388" s="3"/>
      <c r="B1388" s="7"/>
      <c r="C1388" s="3"/>
      <c r="D1388" s="3"/>
      <c r="E1388" s="3"/>
      <c r="F1388" s="3"/>
      <c r="G1388" s="4"/>
      <c r="H1388" s="4"/>
      <c r="I1388" s="3"/>
      <c r="J1388" s="3"/>
      <c r="K1388" s="8" t="str">
        <f t="shared" si="21"/>
        <v/>
      </c>
      <c r="L1388" s="1" t="str">
        <f>IF(COUNTA(A1388:J1388)=0,"",IF(OR(AND(C1388&lt;&gt;"Servicio",C1388&lt;&gt;"Cobro",C1388&lt;&gt;"Anticipo",C1388&lt;&gt;"Aplicación anticipo",C1388&lt;&gt;"Retención ISR",C1388&lt;&gt;"Retención IVA"),AND(C1388="Servicio",F1388&lt;&gt;"TMS",F1388&lt;&gt;"Valoración",F1388&lt;&gt;"EEG",F1388&lt;&gt;"Neurofeedback",F1388&lt;&gt;"Fotobiomodulación",F1388&lt;&gt;"Psicoterapia",F1388&lt;&gt;"Otros")),"Tipo o categoría inválido",IF(COUNTA(A1388:J1388)=0,"",IF(OR(A1388="",B1388="",C1388="",G1388=""),"Faltan datos",IF(COUNTIF($A$7:$A$2006,A1388)&gt;1,"ID duplicado",IF(OR(B1388&lt;DATE(Configuración!$C$5,1,1),B1388&gt;=DATE(Configuración!$C$5+1,1,1)),"Fecha fuera del año",IF(OR(G1388&lt;0,H1388&lt;0),"Revisar signo",IF(AND(C1388&lt;&gt;"Servicio",H1388&lt;&gt;0),"IVA solo en Servicio",IF(AND(C1388="Servicio",F1388=""),"Falta servicio","OK")))))))))</f>
        <v/>
      </c>
    </row>
    <row r="1389" spans="1:12" ht="22" customHeight="1">
      <c r="A1389" s="3"/>
      <c r="B1389" s="7"/>
      <c r="C1389" s="3"/>
      <c r="D1389" s="3"/>
      <c r="E1389" s="3"/>
      <c r="F1389" s="3"/>
      <c r="G1389" s="4"/>
      <c r="H1389" s="4"/>
      <c r="I1389" s="3"/>
      <c r="J1389" s="3"/>
      <c r="K1389" s="8" t="str">
        <f t="shared" si="21"/>
        <v/>
      </c>
      <c r="L1389" s="1" t="str">
        <f>IF(COUNTA(A1389:J1389)=0,"",IF(OR(AND(C1389&lt;&gt;"Servicio",C1389&lt;&gt;"Cobro",C1389&lt;&gt;"Anticipo",C1389&lt;&gt;"Aplicación anticipo",C1389&lt;&gt;"Retención ISR",C1389&lt;&gt;"Retención IVA"),AND(C1389="Servicio",F1389&lt;&gt;"TMS",F1389&lt;&gt;"Valoración",F1389&lt;&gt;"EEG",F1389&lt;&gt;"Neurofeedback",F1389&lt;&gt;"Fotobiomodulación",F1389&lt;&gt;"Psicoterapia",F1389&lt;&gt;"Otros")),"Tipo o categoría inválido",IF(COUNTA(A1389:J1389)=0,"",IF(OR(A1389="",B1389="",C1389="",G1389=""),"Faltan datos",IF(COUNTIF($A$7:$A$2006,A1389)&gt;1,"ID duplicado",IF(OR(B1389&lt;DATE(Configuración!$C$5,1,1),B1389&gt;=DATE(Configuración!$C$5+1,1,1)),"Fecha fuera del año",IF(OR(G1389&lt;0,H1389&lt;0),"Revisar signo",IF(AND(C1389&lt;&gt;"Servicio",H1389&lt;&gt;0),"IVA solo en Servicio",IF(AND(C1389="Servicio",F1389=""),"Falta servicio","OK")))))))))</f>
        <v/>
      </c>
    </row>
    <row r="1390" spans="1:12" ht="22" customHeight="1">
      <c r="A1390" s="3"/>
      <c r="B1390" s="7"/>
      <c r="C1390" s="3"/>
      <c r="D1390" s="3"/>
      <c r="E1390" s="3"/>
      <c r="F1390" s="3"/>
      <c r="G1390" s="4"/>
      <c r="H1390" s="4"/>
      <c r="I1390" s="3"/>
      <c r="J1390" s="3"/>
      <c r="K1390" s="8" t="str">
        <f t="shared" si="21"/>
        <v/>
      </c>
      <c r="L1390" s="1" t="str">
        <f>IF(COUNTA(A1390:J1390)=0,"",IF(OR(AND(C1390&lt;&gt;"Servicio",C1390&lt;&gt;"Cobro",C1390&lt;&gt;"Anticipo",C1390&lt;&gt;"Aplicación anticipo",C1390&lt;&gt;"Retención ISR",C1390&lt;&gt;"Retención IVA"),AND(C1390="Servicio",F1390&lt;&gt;"TMS",F1390&lt;&gt;"Valoración",F1390&lt;&gt;"EEG",F1390&lt;&gt;"Neurofeedback",F1390&lt;&gt;"Fotobiomodulación",F1390&lt;&gt;"Psicoterapia",F1390&lt;&gt;"Otros")),"Tipo o categoría inválido",IF(COUNTA(A1390:J1390)=0,"",IF(OR(A1390="",B1390="",C1390="",G1390=""),"Faltan datos",IF(COUNTIF($A$7:$A$2006,A1390)&gt;1,"ID duplicado",IF(OR(B1390&lt;DATE(Configuración!$C$5,1,1),B1390&gt;=DATE(Configuración!$C$5+1,1,1)),"Fecha fuera del año",IF(OR(G1390&lt;0,H1390&lt;0),"Revisar signo",IF(AND(C1390&lt;&gt;"Servicio",H1390&lt;&gt;0),"IVA solo en Servicio",IF(AND(C1390="Servicio",F1390=""),"Falta servicio","OK")))))))))</f>
        <v/>
      </c>
    </row>
    <row r="1391" spans="1:12" ht="22" customHeight="1">
      <c r="A1391" s="3"/>
      <c r="B1391" s="7"/>
      <c r="C1391" s="3"/>
      <c r="D1391" s="3"/>
      <c r="E1391" s="3"/>
      <c r="F1391" s="3"/>
      <c r="G1391" s="4"/>
      <c r="H1391" s="4"/>
      <c r="I1391" s="3"/>
      <c r="J1391" s="3"/>
      <c r="K1391" s="8" t="str">
        <f t="shared" si="21"/>
        <v/>
      </c>
      <c r="L1391" s="1" t="str">
        <f>IF(COUNTA(A1391:J1391)=0,"",IF(OR(AND(C1391&lt;&gt;"Servicio",C1391&lt;&gt;"Cobro",C1391&lt;&gt;"Anticipo",C1391&lt;&gt;"Aplicación anticipo",C1391&lt;&gt;"Retención ISR",C1391&lt;&gt;"Retención IVA"),AND(C1391="Servicio",F1391&lt;&gt;"TMS",F1391&lt;&gt;"Valoración",F1391&lt;&gt;"EEG",F1391&lt;&gt;"Neurofeedback",F1391&lt;&gt;"Fotobiomodulación",F1391&lt;&gt;"Psicoterapia",F1391&lt;&gt;"Otros")),"Tipo o categoría inválido",IF(COUNTA(A1391:J1391)=0,"",IF(OR(A1391="",B1391="",C1391="",G1391=""),"Faltan datos",IF(COUNTIF($A$7:$A$2006,A1391)&gt;1,"ID duplicado",IF(OR(B1391&lt;DATE(Configuración!$C$5,1,1),B1391&gt;=DATE(Configuración!$C$5+1,1,1)),"Fecha fuera del año",IF(OR(G1391&lt;0,H1391&lt;0),"Revisar signo",IF(AND(C1391&lt;&gt;"Servicio",H1391&lt;&gt;0),"IVA solo en Servicio",IF(AND(C1391="Servicio",F1391=""),"Falta servicio","OK")))))))))</f>
        <v/>
      </c>
    </row>
    <row r="1392" spans="1:12" ht="22" customHeight="1">
      <c r="A1392" s="3"/>
      <c r="B1392" s="7"/>
      <c r="C1392" s="3"/>
      <c r="D1392" s="3"/>
      <c r="E1392" s="3"/>
      <c r="F1392" s="3"/>
      <c r="G1392" s="4"/>
      <c r="H1392" s="4"/>
      <c r="I1392" s="3"/>
      <c r="J1392" s="3"/>
      <c r="K1392" s="8" t="str">
        <f t="shared" si="21"/>
        <v/>
      </c>
      <c r="L1392" s="1" t="str">
        <f>IF(COUNTA(A1392:J1392)=0,"",IF(OR(AND(C1392&lt;&gt;"Servicio",C1392&lt;&gt;"Cobro",C1392&lt;&gt;"Anticipo",C1392&lt;&gt;"Aplicación anticipo",C1392&lt;&gt;"Retención ISR",C1392&lt;&gt;"Retención IVA"),AND(C1392="Servicio",F1392&lt;&gt;"TMS",F1392&lt;&gt;"Valoración",F1392&lt;&gt;"EEG",F1392&lt;&gt;"Neurofeedback",F1392&lt;&gt;"Fotobiomodulación",F1392&lt;&gt;"Psicoterapia",F1392&lt;&gt;"Otros")),"Tipo o categoría inválido",IF(COUNTA(A1392:J1392)=0,"",IF(OR(A1392="",B1392="",C1392="",G1392=""),"Faltan datos",IF(COUNTIF($A$7:$A$2006,A1392)&gt;1,"ID duplicado",IF(OR(B1392&lt;DATE(Configuración!$C$5,1,1),B1392&gt;=DATE(Configuración!$C$5+1,1,1)),"Fecha fuera del año",IF(OR(G1392&lt;0,H1392&lt;0),"Revisar signo",IF(AND(C1392&lt;&gt;"Servicio",H1392&lt;&gt;0),"IVA solo en Servicio",IF(AND(C1392="Servicio",F1392=""),"Falta servicio","OK")))))))))</f>
        <v/>
      </c>
    </row>
    <row r="1393" spans="1:12" ht="22" customHeight="1">
      <c r="A1393" s="3"/>
      <c r="B1393" s="7"/>
      <c r="C1393" s="3"/>
      <c r="D1393" s="3"/>
      <c r="E1393" s="3"/>
      <c r="F1393" s="3"/>
      <c r="G1393" s="4"/>
      <c r="H1393" s="4"/>
      <c r="I1393" s="3"/>
      <c r="J1393" s="3"/>
      <c r="K1393" s="8" t="str">
        <f t="shared" si="21"/>
        <v/>
      </c>
      <c r="L1393" s="1" t="str">
        <f>IF(COUNTA(A1393:J1393)=0,"",IF(OR(AND(C1393&lt;&gt;"Servicio",C1393&lt;&gt;"Cobro",C1393&lt;&gt;"Anticipo",C1393&lt;&gt;"Aplicación anticipo",C1393&lt;&gt;"Retención ISR",C1393&lt;&gt;"Retención IVA"),AND(C1393="Servicio",F1393&lt;&gt;"TMS",F1393&lt;&gt;"Valoración",F1393&lt;&gt;"EEG",F1393&lt;&gt;"Neurofeedback",F1393&lt;&gt;"Fotobiomodulación",F1393&lt;&gt;"Psicoterapia",F1393&lt;&gt;"Otros")),"Tipo o categoría inválido",IF(COUNTA(A1393:J1393)=0,"",IF(OR(A1393="",B1393="",C1393="",G1393=""),"Faltan datos",IF(COUNTIF($A$7:$A$2006,A1393)&gt;1,"ID duplicado",IF(OR(B1393&lt;DATE(Configuración!$C$5,1,1),B1393&gt;=DATE(Configuración!$C$5+1,1,1)),"Fecha fuera del año",IF(OR(G1393&lt;0,H1393&lt;0),"Revisar signo",IF(AND(C1393&lt;&gt;"Servicio",H1393&lt;&gt;0),"IVA solo en Servicio",IF(AND(C1393="Servicio",F1393=""),"Falta servicio","OK")))))))))</f>
        <v/>
      </c>
    </row>
    <row r="1394" spans="1:12" ht="22" customHeight="1">
      <c r="A1394" s="3"/>
      <c r="B1394" s="7"/>
      <c r="C1394" s="3"/>
      <c r="D1394" s="3"/>
      <c r="E1394" s="3"/>
      <c r="F1394" s="3"/>
      <c r="G1394" s="4"/>
      <c r="H1394" s="4"/>
      <c r="I1394" s="3"/>
      <c r="J1394" s="3"/>
      <c r="K1394" s="8" t="str">
        <f t="shared" si="21"/>
        <v/>
      </c>
      <c r="L1394" s="1" t="str">
        <f>IF(COUNTA(A1394:J1394)=0,"",IF(OR(AND(C1394&lt;&gt;"Servicio",C1394&lt;&gt;"Cobro",C1394&lt;&gt;"Anticipo",C1394&lt;&gt;"Aplicación anticipo",C1394&lt;&gt;"Retención ISR",C1394&lt;&gt;"Retención IVA"),AND(C1394="Servicio",F1394&lt;&gt;"TMS",F1394&lt;&gt;"Valoración",F1394&lt;&gt;"EEG",F1394&lt;&gt;"Neurofeedback",F1394&lt;&gt;"Fotobiomodulación",F1394&lt;&gt;"Psicoterapia",F1394&lt;&gt;"Otros")),"Tipo o categoría inválido",IF(COUNTA(A1394:J1394)=0,"",IF(OR(A1394="",B1394="",C1394="",G1394=""),"Faltan datos",IF(COUNTIF($A$7:$A$2006,A1394)&gt;1,"ID duplicado",IF(OR(B1394&lt;DATE(Configuración!$C$5,1,1),B1394&gt;=DATE(Configuración!$C$5+1,1,1)),"Fecha fuera del año",IF(OR(G1394&lt;0,H1394&lt;0),"Revisar signo",IF(AND(C1394&lt;&gt;"Servicio",H1394&lt;&gt;0),"IVA solo en Servicio",IF(AND(C1394="Servicio",F1394=""),"Falta servicio","OK")))))))))</f>
        <v/>
      </c>
    </row>
    <row r="1395" spans="1:12" ht="22" customHeight="1">
      <c r="A1395" s="3"/>
      <c r="B1395" s="7"/>
      <c r="C1395" s="3"/>
      <c r="D1395" s="3"/>
      <c r="E1395" s="3"/>
      <c r="F1395" s="3"/>
      <c r="G1395" s="4"/>
      <c r="H1395" s="4"/>
      <c r="I1395" s="3"/>
      <c r="J1395" s="3"/>
      <c r="K1395" s="8" t="str">
        <f t="shared" si="21"/>
        <v/>
      </c>
      <c r="L1395" s="1" t="str">
        <f>IF(COUNTA(A1395:J1395)=0,"",IF(OR(AND(C1395&lt;&gt;"Servicio",C1395&lt;&gt;"Cobro",C1395&lt;&gt;"Anticipo",C1395&lt;&gt;"Aplicación anticipo",C1395&lt;&gt;"Retención ISR",C1395&lt;&gt;"Retención IVA"),AND(C1395="Servicio",F1395&lt;&gt;"TMS",F1395&lt;&gt;"Valoración",F1395&lt;&gt;"EEG",F1395&lt;&gt;"Neurofeedback",F1395&lt;&gt;"Fotobiomodulación",F1395&lt;&gt;"Psicoterapia",F1395&lt;&gt;"Otros")),"Tipo o categoría inválido",IF(COUNTA(A1395:J1395)=0,"",IF(OR(A1395="",B1395="",C1395="",G1395=""),"Faltan datos",IF(COUNTIF($A$7:$A$2006,A1395)&gt;1,"ID duplicado",IF(OR(B1395&lt;DATE(Configuración!$C$5,1,1),B1395&gt;=DATE(Configuración!$C$5+1,1,1)),"Fecha fuera del año",IF(OR(G1395&lt;0,H1395&lt;0),"Revisar signo",IF(AND(C1395&lt;&gt;"Servicio",H1395&lt;&gt;0),"IVA solo en Servicio",IF(AND(C1395="Servicio",F1395=""),"Falta servicio","OK")))))))))</f>
        <v/>
      </c>
    </row>
    <row r="1396" spans="1:12" ht="22" customHeight="1">
      <c r="A1396" s="3"/>
      <c r="B1396" s="7"/>
      <c r="C1396" s="3"/>
      <c r="D1396" s="3"/>
      <c r="E1396" s="3"/>
      <c r="F1396" s="3"/>
      <c r="G1396" s="4"/>
      <c r="H1396" s="4"/>
      <c r="I1396" s="3"/>
      <c r="J1396" s="3"/>
      <c r="K1396" s="8" t="str">
        <f t="shared" si="21"/>
        <v/>
      </c>
      <c r="L1396" s="1" t="str">
        <f>IF(COUNTA(A1396:J1396)=0,"",IF(OR(AND(C1396&lt;&gt;"Servicio",C1396&lt;&gt;"Cobro",C1396&lt;&gt;"Anticipo",C1396&lt;&gt;"Aplicación anticipo",C1396&lt;&gt;"Retención ISR",C1396&lt;&gt;"Retención IVA"),AND(C1396="Servicio",F1396&lt;&gt;"TMS",F1396&lt;&gt;"Valoración",F1396&lt;&gt;"EEG",F1396&lt;&gt;"Neurofeedback",F1396&lt;&gt;"Fotobiomodulación",F1396&lt;&gt;"Psicoterapia",F1396&lt;&gt;"Otros")),"Tipo o categoría inválido",IF(COUNTA(A1396:J1396)=0,"",IF(OR(A1396="",B1396="",C1396="",G1396=""),"Faltan datos",IF(COUNTIF($A$7:$A$2006,A1396)&gt;1,"ID duplicado",IF(OR(B1396&lt;DATE(Configuración!$C$5,1,1),B1396&gt;=DATE(Configuración!$C$5+1,1,1)),"Fecha fuera del año",IF(OR(G1396&lt;0,H1396&lt;0),"Revisar signo",IF(AND(C1396&lt;&gt;"Servicio",H1396&lt;&gt;0),"IVA solo en Servicio",IF(AND(C1396="Servicio",F1396=""),"Falta servicio","OK")))))))))</f>
        <v/>
      </c>
    </row>
    <row r="1397" spans="1:12" ht="22" customHeight="1">
      <c r="A1397" s="3"/>
      <c r="B1397" s="7"/>
      <c r="C1397" s="3"/>
      <c r="D1397" s="3"/>
      <c r="E1397" s="3"/>
      <c r="F1397" s="3"/>
      <c r="G1397" s="4"/>
      <c r="H1397" s="4"/>
      <c r="I1397" s="3"/>
      <c r="J1397" s="3"/>
      <c r="K1397" s="8" t="str">
        <f t="shared" si="21"/>
        <v/>
      </c>
      <c r="L1397" s="1" t="str">
        <f>IF(COUNTA(A1397:J1397)=0,"",IF(OR(AND(C1397&lt;&gt;"Servicio",C1397&lt;&gt;"Cobro",C1397&lt;&gt;"Anticipo",C1397&lt;&gt;"Aplicación anticipo",C1397&lt;&gt;"Retención ISR",C1397&lt;&gt;"Retención IVA"),AND(C1397="Servicio",F1397&lt;&gt;"TMS",F1397&lt;&gt;"Valoración",F1397&lt;&gt;"EEG",F1397&lt;&gt;"Neurofeedback",F1397&lt;&gt;"Fotobiomodulación",F1397&lt;&gt;"Psicoterapia",F1397&lt;&gt;"Otros")),"Tipo o categoría inválido",IF(COUNTA(A1397:J1397)=0,"",IF(OR(A1397="",B1397="",C1397="",G1397=""),"Faltan datos",IF(COUNTIF($A$7:$A$2006,A1397)&gt;1,"ID duplicado",IF(OR(B1397&lt;DATE(Configuración!$C$5,1,1),B1397&gt;=DATE(Configuración!$C$5+1,1,1)),"Fecha fuera del año",IF(OR(G1397&lt;0,H1397&lt;0),"Revisar signo",IF(AND(C1397&lt;&gt;"Servicio",H1397&lt;&gt;0),"IVA solo en Servicio",IF(AND(C1397="Servicio",F1397=""),"Falta servicio","OK")))))))))</f>
        <v/>
      </c>
    </row>
    <row r="1398" spans="1:12" ht="22" customHeight="1">
      <c r="A1398" s="3"/>
      <c r="B1398" s="7"/>
      <c r="C1398" s="3"/>
      <c r="D1398" s="3"/>
      <c r="E1398" s="3"/>
      <c r="F1398" s="3"/>
      <c r="G1398" s="4"/>
      <c r="H1398" s="4"/>
      <c r="I1398" s="3"/>
      <c r="J1398" s="3"/>
      <c r="K1398" s="8" t="str">
        <f t="shared" si="21"/>
        <v/>
      </c>
      <c r="L1398" s="1" t="str">
        <f>IF(COUNTA(A1398:J1398)=0,"",IF(OR(AND(C1398&lt;&gt;"Servicio",C1398&lt;&gt;"Cobro",C1398&lt;&gt;"Anticipo",C1398&lt;&gt;"Aplicación anticipo",C1398&lt;&gt;"Retención ISR",C1398&lt;&gt;"Retención IVA"),AND(C1398="Servicio",F1398&lt;&gt;"TMS",F1398&lt;&gt;"Valoración",F1398&lt;&gt;"EEG",F1398&lt;&gt;"Neurofeedback",F1398&lt;&gt;"Fotobiomodulación",F1398&lt;&gt;"Psicoterapia",F1398&lt;&gt;"Otros")),"Tipo o categoría inválido",IF(COUNTA(A1398:J1398)=0,"",IF(OR(A1398="",B1398="",C1398="",G1398=""),"Faltan datos",IF(COUNTIF($A$7:$A$2006,A1398)&gt;1,"ID duplicado",IF(OR(B1398&lt;DATE(Configuración!$C$5,1,1),B1398&gt;=DATE(Configuración!$C$5+1,1,1)),"Fecha fuera del año",IF(OR(G1398&lt;0,H1398&lt;0),"Revisar signo",IF(AND(C1398&lt;&gt;"Servicio",H1398&lt;&gt;0),"IVA solo en Servicio",IF(AND(C1398="Servicio",F1398=""),"Falta servicio","OK")))))))))</f>
        <v/>
      </c>
    </row>
    <row r="1399" spans="1:12" ht="22" customHeight="1">
      <c r="A1399" s="3"/>
      <c r="B1399" s="7"/>
      <c r="C1399" s="3"/>
      <c r="D1399" s="3"/>
      <c r="E1399" s="3"/>
      <c r="F1399" s="3"/>
      <c r="G1399" s="4"/>
      <c r="H1399" s="4"/>
      <c r="I1399" s="3"/>
      <c r="J1399" s="3"/>
      <c r="K1399" s="8" t="str">
        <f t="shared" si="21"/>
        <v/>
      </c>
      <c r="L1399" s="1" t="str">
        <f>IF(COUNTA(A1399:J1399)=0,"",IF(OR(AND(C1399&lt;&gt;"Servicio",C1399&lt;&gt;"Cobro",C1399&lt;&gt;"Anticipo",C1399&lt;&gt;"Aplicación anticipo",C1399&lt;&gt;"Retención ISR",C1399&lt;&gt;"Retención IVA"),AND(C1399="Servicio",F1399&lt;&gt;"TMS",F1399&lt;&gt;"Valoración",F1399&lt;&gt;"EEG",F1399&lt;&gt;"Neurofeedback",F1399&lt;&gt;"Fotobiomodulación",F1399&lt;&gt;"Psicoterapia",F1399&lt;&gt;"Otros")),"Tipo o categoría inválido",IF(COUNTA(A1399:J1399)=0,"",IF(OR(A1399="",B1399="",C1399="",G1399=""),"Faltan datos",IF(COUNTIF($A$7:$A$2006,A1399)&gt;1,"ID duplicado",IF(OR(B1399&lt;DATE(Configuración!$C$5,1,1),B1399&gt;=DATE(Configuración!$C$5+1,1,1)),"Fecha fuera del año",IF(OR(G1399&lt;0,H1399&lt;0),"Revisar signo",IF(AND(C1399&lt;&gt;"Servicio",H1399&lt;&gt;0),"IVA solo en Servicio",IF(AND(C1399="Servicio",F1399=""),"Falta servicio","OK")))))))))</f>
        <v/>
      </c>
    </row>
    <row r="1400" spans="1:12" ht="22" customHeight="1">
      <c r="A1400" s="3"/>
      <c r="B1400" s="7"/>
      <c r="C1400" s="3"/>
      <c r="D1400" s="3"/>
      <c r="E1400" s="3"/>
      <c r="F1400" s="3"/>
      <c r="G1400" s="4"/>
      <c r="H1400" s="4"/>
      <c r="I1400" s="3"/>
      <c r="J1400" s="3"/>
      <c r="K1400" s="8" t="str">
        <f t="shared" si="21"/>
        <v/>
      </c>
      <c r="L1400" s="1" t="str">
        <f>IF(COUNTA(A1400:J1400)=0,"",IF(OR(AND(C1400&lt;&gt;"Servicio",C1400&lt;&gt;"Cobro",C1400&lt;&gt;"Anticipo",C1400&lt;&gt;"Aplicación anticipo",C1400&lt;&gt;"Retención ISR",C1400&lt;&gt;"Retención IVA"),AND(C1400="Servicio",F1400&lt;&gt;"TMS",F1400&lt;&gt;"Valoración",F1400&lt;&gt;"EEG",F1400&lt;&gt;"Neurofeedback",F1400&lt;&gt;"Fotobiomodulación",F1400&lt;&gt;"Psicoterapia",F1400&lt;&gt;"Otros")),"Tipo o categoría inválido",IF(COUNTA(A1400:J1400)=0,"",IF(OR(A1400="",B1400="",C1400="",G1400=""),"Faltan datos",IF(COUNTIF($A$7:$A$2006,A1400)&gt;1,"ID duplicado",IF(OR(B1400&lt;DATE(Configuración!$C$5,1,1),B1400&gt;=DATE(Configuración!$C$5+1,1,1)),"Fecha fuera del año",IF(OR(G1400&lt;0,H1400&lt;0),"Revisar signo",IF(AND(C1400&lt;&gt;"Servicio",H1400&lt;&gt;0),"IVA solo en Servicio",IF(AND(C1400="Servicio",F1400=""),"Falta servicio","OK")))))))))</f>
        <v/>
      </c>
    </row>
    <row r="1401" spans="1:12" ht="22" customHeight="1">
      <c r="A1401" s="3"/>
      <c r="B1401" s="7"/>
      <c r="C1401" s="3"/>
      <c r="D1401" s="3"/>
      <c r="E1401" s="3"/>
      <c r="F1401" s="3"/>
      <c r="G1401" s="4"/>
      <c r="H1401" s="4"/>
      <c r="I1401" s="3"/>
      <c r="J1401" s="3"/>
      <c r="K1401" s="8" t="str">
        <f t="shared" si="21"/>
        <v/>
      </c>
      <c r="L1401" s="1" t="str">
        <f>IF(COUNTA(A1401:J1401)=0,"",IF(OR(AND(C1401&lt;&gt;"Servicio",C1401&lt;&gt;"Cobro",C1401&lt;&gt;"Anticipo",C1401&lt;&gt;"Aplicación anticipo",C1401&lt;&gt;"Retención ISR",C1401&lt;&gt;"Retención IVA"),AND(C1401="Servicio",F1401&lt;&gt;"TMS",F1401&lt;&gt;"Valoración",F1401&lt;&gt;"EEG",F1401&lt;&gt;"Neurofeedback",F1401&lt;&gt;"Fotobiomodulación",F1401&lt;&gt;"Psicoterapia",F1401&lt;&gt;"Otros")),"Tipo o categoría inválido",IF(COUNTA(A1401:J1401)=0,"",IF(OR(A1401="",B1401="",C1401="",G1401=""),"Faltan datos",IF(COUNTIF($A$7:$A$2006,A1401)&gt;1,"ID duplicado",IF(OR(B1401&lt;DATE(Configuración!$C$5,1,1),B1401&gt;=DATE(Configuración!$C$5+1,1,1)),"Fecha fuera del año",IF(OR(G1401&lt;0,H1401&lt;0),"Revisar signo",IF(AND(C1401&lt;&gt;"Servicio",H1401&lt;&gt;0),"IVA solo en Servicio",IF(AND(C1401="Servicio",F1401=""),"Falta servicio","OK")))))))))</f>
        <v/>
      </c>
    </row>
    <row r="1402" spans="1:12" ht="22" customHeight="1">
      <c r="A1402" s="3"/>
      <c r="B1402" s="7"/>
      <c r="C1402" s="3"/>
      <c r="D1402" s="3"/>
      <c r="E1402" s="3"/>
      <c r="F1402" s="3"/>
      <c r="G1402" s="4"/>
      <c r="H1402" s="4"/>
      <c r="I1402" s="3"/>
      <c r="J1402" s="3"/>
      <c r="K1402" s="8" t="str">
        <f t="shared" si="21"/>
        <v/>
      </c>
      <c r="L1402" s="1" t="str">
        <f>IF(COUNTA(A1402:J1402)=0,"",IF(OR(AND(C1402&lt;&gt;"Servicio",C1402&lt;&gt;"Cobro",C1402&lt;&gt;"Anticipo",C1402&lt;&gt;"Aplicación anticipo",C1402&lt;&gt;"Retención ISR",C1402&lt;&gt;"Retención IVA"),AND(C1402="Servicio",F1402&lt;&gt;"TMS",F1402&lt;&gt;"Valoración",F1402&lt;&gt;"EEG",F1402&lt;&gt;"Neurofeedback",F1402&lt;&gt;"Fotobiomodulación",F1402&lt;&gt;"Psicoterapia",F1402&lt;&gt;"Otros")),"Tipo o categoría inválido",IF(COUNTA(A1402:J1402)=0,"",IF(OR(A1402="",B1402="",C1402="",G1402=""),"Faltan datos",IF(COUNTIF($A$7:$A$2006,A1402)&gt;1,"ID duplicado",IF(OR(B1402&lt;DATE(Configuración!$C$5,1,1),B1402&gt;=DATE(Configuración!$C$5+1,1,1)),"Fecha fuera del año",IF(OR(G1402&lt;0,H1402&lt;0),"Revisar signo",IF(AND(C1402&lt;&gt;"Servicio",H1402&lt;&gt;0),"IVA solo en Servicio",IF(AND(C1402="Servicio",F1402=""),"Falta servicio","OK")))))))))</f>
        <v/>
      </c>
    </row>
    <row r="1403" spans="1:12" ht="22" customHeight="1">
      <c r="A1403" s="3"/>
      <c r="B1403" s="7"/>
      <c r="C1403" s="3"/>
      <c r="D1403" s="3"/>
      <c r="E1403" s="3"/>
      <c r="F1403" s="3"/>
      <c r="G1403" s="4"/>
      <c r="H1403" s="4"/>
      <c r="I1403" s="3"/>
      <c r="J1403" s="3"/>
      <c r="K1403" s="8" t="str">
        <f t="shared" si="21"/>
        <v/>
      </c>
      <c r="L1403" s="1" t="str">
        <f>IF(COUNTA(A1403:J1403)=0,"",IF(OR(AND(C1403&lt;&gt;"Servicio",C1403&lt;&gt;"Cobro",C1403&lt;&gt;"Anticipo",C1403&lt;&gt;"Aplicación anticipo",C1403&lt;&gt;"Retención ISR",C1403&lt;&gt;"Retención IVA"),AND(C1403="Servicio",F1403&lt;&gt;"TMS",F1403&lt;&gt;"Valoración",F1403&lt;&gt;"EEG",F1403&lt;&gt;"Neurofeedback",F1403&lt;&gt;"Fotobiomodulación",F1403&lt;&gt;"Psicoterapia",F1403&lt;&gt;"Otros")),"Tipo o categoría inválido",IF(COUNTA(A1403:J1403)=0,"",IF(OR(A1403="",B1403="",C1403="",G1403=""),"Faltan datos",IF(COUNTIF($A$7:$A$2006,A1403)&gt;1,"ID duplicado",IF(OR(B1403&lt;DATE(Configuración!$C$5,1,1),B1403&gt;=DATE(Configuración!$C$5+1,1,1)),"Fecha fuera del año",IF(OR(G1403&lt;0,H1403&lt;0),"Revisar signo",IF(AND(C1403&lt;&gt;"Servicio",H1403&lt;&gt;0),"IVA solo en Servicio",IF(AND(C1403="Servicio",F1403=""),"Falta servicio","OK")))))))))</f>
        <v/>
      </c>
    </row>
    <row r="1404" spans="1:12" ht="22" customHeight="1">
      <c r="A1404" s="3"/>
      <c r="B1404" s="7"/>
      <c r="C1404" s="3"/>
      <c r="D1404" s="3"/>
      <c r="E1404" s="3"/>
      <c r="F1404" s="3"/>
      <c r="G1404" s="4"/>
      <c r="H1404" s="4"/>
      <c r="I1404" s="3"/>
      <c r="J1404" s="3"/>
      <c r="K1404" s="8" t="str">
        <f t="shared" si="21"/>
        <v/>
      </c>
      <c r="L1404" s="1" t="str">
        <f>IF(COUNTA(A1404:J1404)=0,"",IF(OR(AND(C1404&lt;&gt;"Servicio",C1404&lt;&gt;"Cobro",C1404&lt;&gt;"Anticipo",C1404&lt;&gt;"Aplicación anticipo",C1404&lt;&gt;"Retención ISR",C1404&lt;&gt;"Retención IVA"),AND(C1404="Servicio",F1404&lt;&gt;"TMS",F1404&lt;&gt;"Valoración",F1404&lt;&gt;"EEG",F1404&lt;&gt;"Neurofeedback",F1404&lt;&gt;"Fotobiomodulación",F1404&lt;&gt;"Psicoterapia",F1404&lt;&gt;"Otros")),"Tipo o categoría inválido",IF(COUNTA(A1404:J1404)=0,"",IF(OR(A1404="",B1404="",C1404="",G1404=""),"Faltan datos",IF(COUNTIF($A$7:$A$2006,A1404)&gt;1,"ID duplicado",IF(OR(B1404&lt;DATE(Configuración!$C$5,1,1),B1404&gt;=DATE(Configuración!$C$5+1,1,1)),"Fecha fuera del año",IF(OR(G1404&lt;0,H1404&lt;0),"Revisar signo",IF(AND(C1404&lt;&gt;"Servicio",H1404&lt;&gt;0),"IVA solo en Servicio",IF(AND(C1404="Servicio",F1404=""),"Falta servicio","OK")))))))))</f>
        <v/>
      </c>
    </row>
    <row r="1405" spans="1:12" ht="22" customHeight="1">
      <c r="A1405" s="3"/>
      <c r="B1405" s="7"/>
      <c r="C1405" s="3"/>
      <c r="D1405" s="3"/>
      <c r="E1405" s="3"/>
      <c r="F1405" s="3"/>
      <c r="G1405" s="4"/>
      <c r="H1405" s="4"/>
      <c r="I1405" s="3"/>
      <c r="J1405" s="3"/>
      <c r="K1405" s="8" t="str">
        <f t="shared" si="21"/>
        <v/>
      </c>
      <c r="L1405" s="1" t="str">
        <f>IF(COUNTA(A1405:J1405)=0,"",IF(OR(AND(C1405&lt;&gt;"Servicio",C1405&lt;&gt;"Cobro",C1405&lt;&gt;"Anticipo",C1405&lt;&gt;"Aplicación anticipo",C1405&lt;&gt;"Retención ISR",C1405&lt;&gt;"Retención IVA"),AND(C1405="Servicio",F1405&lt;&gt;"TMS",F1405&lt;&gt;"Valoración",F1405&lt;&gt;"EEG",F1405&lt;&gt;"Neurofeedback",F1405&lt;&gt;"Fotobiomodulación",F1405&lt;&gt;"Psicoterapia",F1405&lt;&gt;"Otros")),"Tipo o categoría inválido",IF(COUNTA(A1405:J1405)=0,"",IF(OR(A1405="",B1405="",C1405="",G1405=""),"Faltan datos",IF(COUNTIF($A$7:$A$2006,A1405)&gt;1,"ID duplicado",IF(OR(B1405&lt;DATE(Configuración!$C$5,1,1),B1405&gt;=DATE(Configuración!$C$5+1,1,1)),"Fecha fuera del año",IF(OR(G1405&lt;0,H1405&lt;0),"Revisar signo",IF(AND(C1405&lt;&gt;"Servicio",H1405&lt;&gt;0),"IVA solo en Servicio",IF(AND(C1405="Servicio",F1405=""),"Falta servicio","OK")))))))))</f>
        <v/>
      </c>
    </row>
    <row r="1406" spans="1:12" ht="22" customHeight="1">
      <c r="A1406" s="3"/>
      <c r="B1406" s="7"/>
      <c r="C1406" s="3"/>
      <c r="D1406" s="3"/>
      <c r="E1406" s="3"/>
      <c r="F1406" s="3"/>
      <c r="G1406" s="4"/>
      <c r="H1406" s="4"/>
      <c r="I1406" s="3"/>
      <c r="J1406" s="3"/>
      <c r="K1406" s="8" t="str">
        <f t="shared" si="21"/>
        <v/>
      </c>
      <c r="L1406" s="1" t="str">
        <f>IF(COUNTA(A1406:J1406)=0,"",IF(OR(AND(C1406&lt;&gt;"Servicio",C1406&lt;&gt;"Cobro",C1406&lt;&gt;"Anticipo",C1406&lt;&gt;"Aplicación anticipo",C1406&lt;&gt;"Retención ISR",C1406&lt;&gt;"Retención IVA"),AND(C1406="Servicio",F1406&lt;&gt;"TMS",F1406&lt;&gt;"Valoración",F1406&lt;&gt;"EEG",F1406&lt;&gt;"Neurofeedback",F1406&lt;&gt;"Fotobiomodulación",F1406&lt;&gt;"Psicoterapia",F1406&lt;&gt;"Otros")),"Tipo o categoría inválido",IF(COUNTA(A1406:J1406)=0,"",IF(OR(A1406="",B1406="",C1406="",G1406=""),"Faltan datos",IF(COUNTIF($A$7:$A$2006,A1406)&gt;1,"ID duplicado",IF(OR(B1406&lt;DATE(Configuración!$C$5,1,1),B1406&gt;=DATE(Configuración!$C$5+1,1,1)),"Fecha fuera del año",IF(OR(G1406&lt;0,H1406&lt;0),"Revisar signo",IF(AND(C1406&lt;&gt;"Servicio",H1406&lt;&gt;0),"IVA solo en Servicio",IF(AND(C1406="Servicio",F1406=""),"Falta servicio","OK")))))))))</f>
        <v/>
      </c>
    </row>
    <row r="1407" spans="1:12" ht="22" customHeight="1">
      <c r="A1407" s="3"/>
      <c r="B1407" s="7"/>
      <c r="C1407" s="3"/>
      <c r="D1407" s="3"/>
      <c r="E1407" s="3"/>
      <c r="F1407" s="3"/>
      <c r="G1407" s="4"/>
      <c r="H1407" s="4"/>
      <c r="I1407" s="3"/>
      <c r="J1407" s="3"/>
      <c r="K1407" s="8" t="str">
        <f t="shared" si="21"/>
        <v/>
      </c>
      <c r="L1407" s="1" t="str">
        <f>IF(COUNTA(A1407:J1407)=0,"",IF(OR(AND(C1407&lt;&gt;"Servicio",C1407&lt;&gt;"Cobro",C1407&lt;&gt;"Anticipo",C1407&lt;&gt;"Aplicación anticipo",C1407&lt;&gt;"Retención ISR",C1407&lt;&gt;"Retención IVA"),AND(C1407="Servicio",F1407&lt;&gt;"TMS",F1407&lt;&gt;"Valoración",F1407&lt;&gt;"EEG",F1407&lt;&gt;"Neurofeedback",F1407&lt;&gt;"Fotobiomodulación",F1407&lt;&gt;"Psicoterapia",F1407&lt;&gt;"Otros")),"Tipo o categoría inválido",IF(COUNTA(A1407:J1407)=0,"",IF(OR(A1407="",B1407="",C1407="",G1407=""),"Faltan datos",IF(COUNTIF($A$7:$A$2006,A1407)&gt;1,"ID duplicado",IF(OR(B1407&lt;DATE(Configuración!$C$5,1,1),B1407&gt;=DATE(Configuración!$C$5+1,1,1)),"Fecha fuera del año",IF(OR(G1407&lt;0,H1407&lt;0),"Revisar signo",IF(AND(C1407&lt;&gt;"Servicio",H1407&lt;&gt;0),"IVA solo en Servicio",IF(AND(C1407="Servicio",F1407=""),"Falta servicio","OK")))))))))</f>
        <v/>
      </c>
    </row>
    <row r="1408" spans="1:12" ht="22" customHeight="1">
      <c r="A1408" s="3"/>
      <c r="B1408" s="7"/>
      <c r="C1408" s="3"/>
      <c r="D1408" s="3"/>
      <c r="E1408" s="3"/>
      <c r="F1408" s="3"/>
      <c r="G1408" s="4"/>
      <c r="H1408" s="4"/>
      <c r="I1408" s="3"/>
      <c r="J1408" s="3"/>
      <c r="K1408" s="8" t="str">
        <f t="shared" si="21"/>
        <v/>
      </c>
      <c r="L1408" s="1" t="str">
        <f>IF(COUNTA(A1408:J1408)=0,"",IF(OR(AND(C1408&lt;&gt;"Servicio",C1408&lt;&gt;"Cobro",C1408&lt;&gt;"Anticipo",C1408&lt;&gt;"Aplicación anticipo",C1408&lt;&gt;"Retención ISR",C1408&lt;&gt;"Retención IVA"),AND(C1408="Servicio",F1408&lt;&gt;"TMS",F1408&lt;&gt;"Valoración",F1408&lt;&gt;"EEG",F1408&lt;&gt;"Neurofeedback",F1408&lt;&gt;"Fotobiomodulación",F1408&lt;&gt;"Psicoterapia",F1408&lt;&gt;"Otros")),"Tipo o categoría inválido",IF(COUNTA(A1408:J1408)=0,"",IF(OR(A1408="",B1408="",C1408="",G1408=""),"Faltan datos",IF(COUNTIF($A$7:$A$2006,A1408)&gt;1,"ID duplicado",IF(OR(B1408&lt;DATE(Configuración!$C$5,1,1),B1408&gt;=DATE(Configuración!$C$5+1,1,1)),"Fecha fuera del año",IF(OR(G1408&lt;0,H1408&lt;0),"Revisar signo",IF(AND(C1408&lt;&gt;"Servicio",H1408&lt;&gt;0),"IVA solo en Servicio",IF(AND(C1408="Servicio",F1408=""),"Falta servicio","OK")))))))))</f>
        <v/>
      </c>
    </row>
    <row r="1409" spans="1:12" ht="22" customHeight="1">
      <c r="A1409" s="3"/>
      <c r="B1409" s="7"/>
      <c r="C1409" s="3"/>
      <c r="D1409" s="3"/>
      <c r="E1409" s="3"/>
      <c r="F1409" s="3"/>
      <c r="G1409" s="4"/>
      <c r="H1409" s="4"/>
      <c r="I1409" s="3"/>
      <c r="J1409" s="3"/>
      <c r="K1409" s="8" t="str">
        <f t="shared" si="21"/>
        <v/>
      </c>
      <c r="L1409" s="1" t="str">
        <f>IF(COUNTA(A1409:J1409)=0,"",IF(OR(AND(C1409&lt;&gt;"Servicio",C1409&lt;&gt;"Cobro",C1409&lt;&gt;"Anticipo",C1409&lt;&gt;"Aplicación anticipo",C1409&lt;&gt;"Retención ISR",C1409&lt;&gt;"Retención IVA"),AND(C1409="Servicio",F1409&lt;&gt;"TMS",F1409&lt;&gt;"Valoración",F1409&lt;&gt;"EEG",F1409&lt;&gt;"Neurofeedback",F1409&lt;&gt;"Fotobiomodulación",F1409&lt;&gt;"Psicoterapia",F1409&lt;&gt;"Otros")),"Tipo o categoría inválido",IF(COUNTA(A1409:J1409)=0,"",IF(OR(A1409="",B1409="",C1409="",G1409=""),"Faltan datos",IF(COUNTIF($A$7:$A$2006,A1409)&gt;1,"ID duplicado",IF(OR(B1409&lt;DATE(Configuración!$C$5,1,1),B1409&gt;=DATE(Configuración!$C$5+1,1,1)),"Fecha fuera del año",IF(OR(G1409&lt;0,H1409&lt;0),"Revisar signo",IF(AND(C1409&lt;&gt;"Servicio",H1409&lt;&gt;0),"IVA solo en Servicio",IF(AND(C1409="Servicio",F1409=""),"Falta servicio","OK")))))))))</f>
        <v/>
      </c>
    </row>
    <row r="1410" spans="1:12" ht="22" customHeight="1">
      <c r="A1410" s="3"/>
      <c r="B1410" s="7"/>
      <c r="C1410" s="3"/>
      <c r="D1410" s="3"/>
      <c r="E1410" s="3"/>
      <c r="F1410" s="3"/>
      <c r="G1410" s="4"/>
      <c r="H1410" s="4"/>
      <c r="I1410" s="3"/>
      <c r="J1410" s="3"/>
      <c r="K1410" s="8" t="str">
        <f t="shared" si="21"/>
        <v/>
      </c>
      <c r="L1410" s="1" t="str">
        <f>IF(COUNTA(A1410:J1410)=0,"",IF(OR(AND(C1410&lt;&gt;"Servicio",C1410&lt;&gt;"Cobro",C1410&lt;&gt;"Anticipo",C1410&lt;&gt;"Aplicación anticipo",C1410&lt;&gt;"Retención ISR",C1410&lt;&gt;"Retención IVA"),AND(C1410="Servicio",F1410&lt;&gt;"TMS",F1410&lt;&gt;"Valoración",F1410&lt;&gt;"EEG",F1410&lt;&gt;"Neurofeedback",F1410&lt;&gt;"Fotobiomodulación",F1410&lt;&gt;"Psicoterapia",F1410&lt;&gt;"Otros")),"Tipo o categoría inválido",IF(COUNTA(A1410:J1410)=0,"",IF(OR(A1410="",B1410="",C1410="",G1410=""),"Faltan datos",IF(COUNTIF($A$7:$A$2006,A1410)&gt;1,"ID duplicado",IF(OR(B1410&lt;DATE(Configuración!$C$5,1,1),B1410&gt;=DATE(Configuración!$C$5+1,1,1)),"Fecha fuera del año",IF(OR(G1410&lt;0,H1410&lt;0),"Revisar signo",IF(AND(C1410&lt;&gt;"Servicio",H1410&lt;&gt;0),"IVA solo en Servicio",IF(AND(C1410="Servicio",F1410=""),"Falta servicio","OK")))))))))</f>
        <v/>
      </c>
    </row>
    <row r="1411" spans="1:12" ht="22" customHeight="1">
      <c r="A1411" s="3"/>
      <c r="B1411" s="7"/>
      <c r="C1411" s="3"/>
      <c r="D1411" s="3"/>
      <c r="E1411" s="3"/>
      <c r="F1411" s="3"/>
      <c r="G1411" s="4"/>
      <c r="H1411" s="4"/>
      <c r="I1411" s="3"/>
      <c r="J1411" s="3"/>
      <c r="K1411" s="8" t="str">
        <f t="shared" si="21"/>
        <v/>
      </c>
      <c r="L1411" s="1" t="str">
        <f>IF(COUNTA(A1411:J1411)=0,"",IF(OR(AND(C1411&lt;&gt;"Servicio",C1411&lt;&gt;"Cobro",C1411&lt;&gt;"Anticipo",C1411&lt;&gt;"Aplicación anticipo",C1411&lt;&gt;"Retención ISR",C1411&lt;&gt;"Retención IVA"),AND(C1411="Servicio",F1411&lt;&gt;"TMS",F1411&lt;&gt;"Valoración",F1411&lt;&gt;"EEG",F1411&lt;&gt;"Neurofeedback",F1411&lt;&gt;"Fotobiomodulación",F1411&lt;&gt;"Psicoterapia",F1411&lt;&gt;"Otros")),"Tipo o categoría inválido",IF(COUNTA(A1411:J1411)=0,"",IF(OR(A1411="",B1411="",C1411="",G1411=""),"Faltan datos",IF(COUNTIF($A$7:$A$2006,A1411)&gt;1,"ID duplicado",IF(OR(B1411&lt;DATE(Configuración!$C$5,1,1),B1411&gt;=DATE(Configuración!$C$5+1,1,1)),"Fecha fuera del año",IF(OR(G1411&lt;0,H1411&lt;0),"Revisar signo",IF(AND(C1411&lt;&gt;"Servicio",H1411&lt;&gt;0),"IVA solo en Servicio",IF(AND(C1411="Servicio",F1411=""),"Falta servicio","OK")))))))))</f>
        <v/>
      </c>
    </row>
    <row r="1412" spans="1:12" ht="22" customHeight="1">
      <c r="A1412" s="3"/>
      <c r="B1412" s="7"/>
      <c r="C1412" s="3"/>
      <c r="D1412" s="3"/>
      <c r="E1412" s="3"/>
      <c r="F1412" s="3"/>
      <c r="G1412" s="4"/>
      <c r="H1412" s="4"/>
      <c r="I1412" s="3"/>
      <c r="J1412" s="3"/>
      <c r="K1412" s="8" t="str">
        <f t="shared" si="21"/>
        <v/>
      </c>
      <c r="L1412" s="1" t="str">
        <f>IF(COUNTA(A1412:J1412)=0,"",IF(OR(AND(C1412&lt;&gt;"Servicio",C1412&lt;&gt;"Cobro",C1412&lt;&gt;"Anticipo",C1412&lt;&gt;"Aplicación anticipo",C1412&lt;&gt;"Retención ISR",C1412&lt;&gt;"Retención IVA"),AND(C1412="Servicio",F1412&lt;&gt;"TMS",F1412&lt;&gt;"Valoración",F1412&lt;&gt;"EEG",F1412&lt;&gt;"Neurofeedback",F1412&lt;&gt;"Fotobiomodulación",F1412&lt;&gt;"Psicoterapia",F1412&lt;&gt;"Otros")),"Tipo o categoría inválido",IF(COUNTA(A1412:J1412)=0,"",IF(OR(A1412="",B1412="",C1412="",G1412=""),"Faltan datos",IF(COUNTIF($A$7:$A$2006,A1412)&gt;1,"ID duplicado",IF(OR(B1412&lt;DATE(Configuración!$C$5,1,1),B1412&gt;=DATE(Configuración!$C$5+1,1,1)),"Fecha fuera del año",IF(OR(G1412&lt;0,H1412&lt;0),"Revisar signo",IF(AND(C1412&lt;&gt;"Servicio",H1412&lt;&gt;0),"IVA solo en Servicio",IF(AND(C1412="Servicio",F1412=""),"Falta servicio","OK")))))))))</f>
        <v/>
      </c>
    </row>
    <row r="1413" spans="1:12" ht="22" customHeight="1">
      <c r="A1413" s="3"/>
      <c r="B1413" s="7"/>
      <c r="C1413" s="3"/>
      <c r="D1413" s="3"/>
      <c r="E1413" s="3"/>
      <c r="F1413" s="3"/>
      <c r="G1413" s="4"/>
      <c r="H1413" s="4"/>
      <c r="I1413" s="3"/>
      <c r="J1413" s="3"/>
      <c r="K1413" s="8" t="str">
        <f t="shared" si="21"/>
        <v/>
      </c>
      <c r="L1413" s="1" t="str">
        <f>IF(COUNTA(A1413:J1413)=0,"",IF(OR(AND(C1413&lt;&gt;"Servicio",C1413&lt;&gt;"Cobro",C1413&lt;&gt;"Anticipo",C1413&lt;&gt;"Aplicación anticipo",C1413&lt;&gt;"Retención ISR",C1413&lt;&gt;"Retención IVA"),AND(C1413="Servicio",F1413&lt;&gt;"TMS",F1413&lt;&gt;"Valoración",F1413&lt;&gt;"EEG",F1413&lt;&gt;"Neurofeedback",F1413&lt;&gt;"Fotobiomodulación",F1413&lt;&gt;"Psicoterapia",F1413&lt;&gt;"Otros")),"Tipo o categoría inválido",IF(COUNTA(A1413:J1413)=0,"",IF(OR(A1413="",B1413="",C1413="",G1413=""),"Faltan datos",IF(COUNTIF($A$7:$A$2006,A1413)&gt;1,"ID duplicado",IF(OR(B1413&lt;DATE(Configuración!$C$5,1,1),B1413&gt;=DATE(Configuración!$C$5+1,1,1)),"Fecha fuera del año",IF(OR(G1413&lt;0,H1413&lt;0),"Revisar signo",IF(AND(C1413&lt;&gt;"Servicio",H1413&lt;&gt;0),"IVA solo en Servicio",IF(AND(C1413="Servicio",F1413=""),"Falta servicio","OK")))))))))</f>
        <v/>
      </c>
    </row>
    <row r="1414" spans="1:12" ht="22" customHeight="1">
      <c r="A1414" s="3"/>
      <c r="B1414" s="7"/>
      <c r="C1414" s="3"/>
      <c r="D1414" s="3"/>
      <c r="E1414" s="3"/>
      <c r="F1414" s="3"/>
      <c r="G1414" s="4"/>
      <c r="H1414" s="4"/>
      <c r="I1414" s="3"/>
      <c r="J1414" s="3"/>
      <c r="K1414" s="8" t="str">
        <f t="shared" si="21"/>
        <v/>
      </c>
      <c r="L1414" s="1" t="str">
        <f>IF(COUNTA(A1414:J1414)=0,"",IF(OR(AND(C1414&lt;&gt;"Servicio",C1414&lt;&gt;"Cobro",C1414&lt;&gt;"Anticipo",C1414&lt;&gt;"Aplicación anticipo",C1414&lt;&gt;"Retención ISR",C1414&lt;&gt;"Retención IVA"),AND(C1414="Servicio",F1414&lt;&gt;"TMS",F1414&lt;&gt;"Valoración",F1414&lt;&gt;"EEG",F1414&lt;&gt;"Neurofeedback",F1414&lt;&gt;"Fotobiomodulación",F1414&lt;&gt;"Psicoterapia",F1414&lt;&gt;"Otros")),"Tipo o categoría inválido",IF(COUNTA(A1414:J1414)=0,"",IF(OR(A1414="",B1414="",C1414="",G1414=""),"Faltan datos",IF(COUNTIF($A$7:$A$2006,A1414)&gt;1,"ID duplicado",IF(OR(B1414&lt;DATE(Configuración!$C$5,1,1),B1414&gt;=DATE(Configuración!$C$5+1,1,1)),"Fecha fuera del año",IF(OR(G1414&lt;0,H1414&lt;0),"Revisar signo",IF(AND(C1414&lt;&gt;"Servicio",H1414&lt;&gt;0),"IVA solo en Servicio",IF(AND(C1414="Servicio",F1414=""),"Falta servicio","OK")))))))))</f>
        <v/>
      </c>
    </row>
    <row r="1415" spans="1:12" ht="22" customHeight="1">
      <c r="A1415" s="3"/>
      <c r="B1415" s="7"/>
      <c r="C1415" s="3"/>
      <c r="D1415" s="3"/>
      <c r="E1415" s="3"/>
      <c r="F1415" s="3"/>
      <c r="G1415" s="4"/>
      <c r="H1415" s="4"/>
      <c r="I1415" s="3"/>
      <c r="J1415" s="3"/>
      <c r="K1415" s="8" t="str">
        <f t="shared" ref="K1415:K1478" si="22">IF(A1415="","",G1415+H1415)</f>
        <v/>
      </c>
      <c r="L1415" s="1" t="str">
        <f>IF(COUNTA(A1415:J1415)=0,"",IF(OR(AND(C1415&lt;&gt;"Servicio",C1415&lt;&gt;"Cobro",C1415&lt;&gt;"Anticipo",C1415&lt;&gt;"Aplicación anticipo",C1415&lt;&gt;"Retención ISR",C1415&lt;&gt;"Retención IVA"),AND(C1415="Servicio",F1415&lt;&gt;"TMS",F1415&lt;&gt;"Valoración",F1415&lt;&gt;"EEG",F1415&lt;&gt;"Neurofeedback",F1415&lt;&gt;"Fotobiomodulación",F1415&lt;&gt;"Psicoterapia",F1415&lt;&gt;"Otros")),"Tipo o categoría inválido",IF(COUNTA(A1415:J1415)=0,"",IF(OR(A1415="",B1415="",C1415="",G1415=""),"Faltan datos",IF(COUNTIF($A$7:$A$2006,A1415)&gt;1,"ID duplicado",IF(OR(B1415&lt;DATE(Configuración!$C$5,1,1),B1415&gt;=DATE(Configuración!$C$5+1,1,1)),"Fecha fuera del año",IF(OR(G1415&lt;0,H1415&lt;0),"Revisar signo",IF(AND(C1415&lt;&gt;"Servicio",H1415&lt;&gt;0),"IVA solo en Servicio",IF(AND(C1415="Servicio",F1415=""),"Falta servicio","OK")))))))))</f>
        <v/>
      </c>
    </row>
    <row r="1416" spans="1:12" ht="22" customHeight="1">
      <c r="A1416" s="3"/>
      <c r="B1416" s="7"/>
      <c r="C1416" s="3"/>
      <c r="D1416" s="3"/>
      <c r="E1416" s="3"/>
      <c r="F1416" s="3"/>
      <c r="G1416" s="4"/>
      <c r="H1416" s="4"/>
      <c r="I1416" s="3"/>
      <c r="J1416" s="3"/>
      <c r="K1416" s="8" t="str">
        <f t="shared" si="22"/>
        <v/>
      </c>
      <c r="L1416" s="1" t="str">
        <f>IF(COUNTA(A1416:J1416)=0,"",IF(OR(AND(C1416&lt;&gt;"Servicio",C1416&lt;&gt;"Cobro",C1416&lt;&gt;"Anticipo",C1416&lt;&gt;"Aplicación anticipo",C1416&lt;&gt;"Retención ISR",C1416&lt;&gt;"Retención IVA"),AND(C1416="Servicio",F1416&lt;&gt;"TMS",F1416&lt;&gt;"Valoración",F1416&lt;&gt;"EEG",F1416&lt;&gt;"Neurofeedback",F1416&lt;&gt;"Fotobiomodulación",F1416&lt;&gt;"Psicoterapia",F1416&lt;&gt;"Otros")),"Tipo o categoría inválido",IF(COUNTA(A1416:J1416)=0,"",IF(OR(A1416="",B1416="",C1416="",G1416=""),"Faltan datos",IF(COUNTIF($A$7:$A$2006,A1416)&gt;1,"ID duplicado",IF(OR(B1416&lt;DATE(Configuración!$C$5,1,1),B1416&gt;=DATE(Configuración!$C$5+1,1,1)),"Fecha fuera del año",IF(OR(G1416&lt;0,H1416&lt;0),"Revisar signo",IF(AND(C1416&lt;&gt;"Servicio",H1416&lt;&gt;0),"IVA solo en Servicio",IF(AND(C1416="Servicio",F1416=""),"Falta servicio","OK")))))))))</f>
        <v/>
      </c>
    </row>
    <row r="1417" spans="1:12" ht="22" customHeight="1">
      <c r="A1417" s="3"/>
      <c r="B1417" s="7"/>
      <c r="C1417" s="3"/>
      <c r="D1417" s="3"/>
      <c r="E1417" s="3"/>
      <c r="F1417" s="3"/>
      <c r="G1417" s="4"/>
      <c r="H1417" s="4"/>
      <c r="I1417" s="3"/>
      <c r="J1417" s="3"/>
      <c r="K1417" s="8" t="str">
        <f t="shared" si="22"/>
        <v/>
      </c>
      <c r="L1417" s="1" t="str">
        <f>IF(COUNTA(A1417:J1417)=0,"",IF(OR(AND(C1417&lt;&gt;"Servicio",C1417&lt;&gt;"Cobro",C1417&lt;&gt;"Anticipo",C1417&lt;&gt;"Aplicación anticipo",C1417&lt;&gt;"Retención ISR",C1417&lt;&gt;"Retención IVA"),AND(C1417="Servicio",F1417&lt;&gt;"TMS",F1417&lt;&gt;"Valoración",F1417&lt;&gt;"EEG",F1417&lt;&gt;"Neurofeedback",F1417&lt;&gt;"Fotobiomodulación",F1417&lt;&gt;"Psicoterapia",F1417&lt;&gt;"Otros")),"Tipo o categoría inválido",IF(COUNTA(A1417:J1417)=0,"",IF(OR(A1417="",B1417="",C1417="",G1417=""),"Faltan datos",IF(COUNTIF($A$7:$A$2006,A1417)&gt;1,"ID duplicado",IF(OR(B1417&lt;DATE(Configuración!$C$5,1,1),B1417&gt;=DATE(Configuración!$C$5+1,1,1)),"Fecha fuera del año",IF(OR(G1417&lt;0,H1417&lt;0),"Revisar signo",IF(AND(C1417&lt;&gt;"Servicio",H1417&lt;&gt;0),"IVA solo en Servicio",IF(AND(C1417="Servicio",F1417=""),"Falta servicio","OK")))))))))</f>
        <v/>
      </c>
    </row>
    <row r="1418" spans="1:12" ht="22" customHeight="1">
      <c r="A1418" s="3"/>
      <c r="B1418" s="7"/>
      <c r="C1418" s="3"/>
      <c r="D1418" s="3"/>
      <c r="E1418" s="3"/>
      <c r="F1418" s="3"/>
      <c r="G1418" s="4"/>
      <c r="H1418" s="4"/>
      <c r="I1418" s="3"/>
      <c r="J1418" s="3"/>
      <c r="K1418" s="8" t="str">
        <f t="shared" si="22"/>
        <v/>
      </c>
      <c r="L1418" s="1" t="str">
        <f>IF(COUNTA(A1418:J1418)=0,"",IF(OR(AND(C1418&lt;&gt;"Servicio",C1418&lt;&gt;"Cobro",C1418&lt;&gt;"Anticipo",C1418&lt;&gt;"Aplicación anticipo",C1418&lt;&gt;"Retención ISR",C1418&lt;&gt;"Retención IVA"),AND(C1418="Servicio",F1418&lt;&gt;"TMS",F1418&lt;&gt;"Valoración",F1418&lt;&gt;"EEG",F1418&lt;&gt;"Neurofeedback",F1418&lt;&gt;"Fotobiomodulación",F1418&lt;&gt;"Psicoterapia",F1418&lt;&gt;"Otros")),"Tipo o categoría inválido",IF(COUNTA(A1418:J1418)=0,"",IF(OR(A1418="",B1418="",C1418="",G1418=""),"Faltan datos",IF(COUNTIF($A$7:$A$2006,A1418)&gt;1,"ID duplicado",IF(OR(B1418&lt;DATE(Configuración!$C$5,1,1),B1418&gt;=DATE(Configuración!$C$5+1,1,1)),"Fecha fuera del año",IF(OR(G1418&lt;0,H1418&lt;0),"Revisar signo",IF(AND(C1418&lt;&gt;"Servicio",H1418&lt;&gt;0),"IVA solo en Servicio",IF(AND(C1418="Servicio",F1418=""),"Falta servicio","OK")))))))))</f>
        <v/>
      </c>
    </row>
    <row r="1419" spans="1:12" ht="22" customHeight="1">
      <c r="A1419" s="3"/>
      <c r="B1419" s="7"/>
      <c r="C1419" s="3"/>
      <c r="D1419" s="3"/>
      <c r="E1419" s="3"/>
      <c r="F1419" s="3"/>
      <c r="G1419" s="4"/>
      <c r="H1419" s="4"/>
      <c r="I1419" s="3"/>
      <c r="J1419" s="3"/>
      <c r="K1419" s="8" t="str">
        <f t="shared" si="22"/>
        <v/>
      </c>
      <c r="L1419" s="1" t="str">
        <f>IF(COUNTA(A1419:J1419)=0,"",IF(OR(AND(C1419&lt;&gt;"Servicio",C1419&lt;&gt;"Cobro",C1419&lt;&gt;"Anticipo",C1419&lt;&gt;"Aplicación anticipo",C1419&lt;&gt;"Retención ISR",C1419&lt;&gt;"Retención IVA"),AND(C1419="Servicio",F1419&lt;&gt;"TMS",F1419&lt;&gt;"Valoración",F1419&lt;&gt;"EEG",F1419&lt;&gt;"Neurofeedback",F1419&lt;&gt;"Fotobiomodulación",F1419&lt;&gt;"Psicoterapia",F1419&lt;&gt;"Otros")),"Tipo o categoría inválido",IF(COUNTA(A1419:J1419)=0,"",IF(OR(A1419="",B1419="",C1419="",G1419=""),"Faltan datos",IF(COUNTIF($A$7:$A$2006,A1419)&gt;1,"ID duplicado",IF(OR(B1419&lt;DATE(Configuración!$C$5,1,1),B1419&gt;=DATE(Configuración!$C$5+1,1,1)),"Fecha fuera del año",IF(OR(G1419&lt;0,H1419&lt;0),"Revisar signo",IF(AND(C1419&lt;&gt;"Servicio",H1419&lt;&gt;0),"IVA solo en Servicio",IF(AND(C1419="Servicio",F1419=""),"Falta servicio","OK")))))))))</f>
        <v/>
      </c>
    </row>
    <row r="1420" spans="1:12" ht="22" customHeight="1">
      <c r="A1420" s="3"/>
      <c r="B1420" s="7"/>
      <c r="C1420" s="3"/>
      <c r="D1420" s="3"/>
      <c r="E1420" s="3"/>
      <c r="F1420" s="3"/>
      <c r="G1420" s="4"/>
      <c r="H1420" s="4"/>
      <c r="I1420" s="3"/>
      <c r="J1420" s="3"/>
      <c r="K1420" s="8" t="str">
        <f t="shared" si="22"/>
        <v/>
      </c>
      <c r="L1420" s="1" t="str">
        <f>IF(COUNTA(A1420:J1420)=0,"",IF(OR(AND(C1420&lt;&gt;"Servicio",C1420&lt;&gt;"Cobro",C1420&lt;&gt;"Anticipo",C1420&lt;&gt;"Aplicación anticipo",C1420&lt;&gt;"Retención ISR",C1420&lt;&gt;"Retención IVA"),AND(C1420="Servicio",F1420&lt;&gt;"TMS",F1420&lt;&gt;"Valoración",F1420&lt;&gt;"EEG",F1420&lt;&gt;"Neurofeedback",F1420&lt;&gt;"Fotobiomodulación",F1420&lt;&gt;"Psicoterapia",F1420&lt;&gt;"Otros")),"Tipo o categoría inválido",IF(COUNTA(A1420:J1420)=0,"",IF(OR(A1420="",B1420="",C1420="",G1420=""),"Faltan datos",IF(COUNTIF($A$7:$A$2006,A1420)&gt;1,"ID duplicado",IF(OR(B1420&lt;DATE(Configuración!$C$5,1,1),B1420&gt;=DATE(Configuración!$C$5+1,1,1)),"Fecha fuera del año",IF(OR(G1420&lt;0,H1420&lt;0),"Revisar signo",IF(AND(C1420&lt;&gt;"Servicio",H1420&lt;&gt;0),"IVA solo en Servicio",IF(AND(C1420="Servicio",F1420=""),"Falta servicio","OK")))))))))</f>
        <v/>
      </c>
    </row>
    <row r="1421" spans="1:12" ht="22" customHeight="1">
      <c r="A1421" s="3"/>
      <c r="B1421" s="7"/>
      <c r="C1421" s="3"/>
      <c r="D1421" s="3"/>
      <c r="E1421" s="3"/>
      <c r="F1421" s="3"/>
      <c r="G1421" s="4"/>
      <c r="H1421" s="4"/>
      <c r="I1421" s="3"/>
      <c r="J1421" s="3"/>
      <c r="K1421" s="8" t="str">
        <f t="shared" si="22"/>
        <v/>
      </c>
      <c r="L1421" s="1" t="str">
        <f>IF(COUNTA(A1421:J1421)=0,"",IF(OR(AND(C1421&lt;&gt;"Servicio",C1421&lt;&gt;"Cobro",C1421&lt;&gt;"Anticipo",C1421&lt;&gt;"Aplicación anticipo",C1421&lt;&gt;"Retención ISR",C1421&lt;&gt;"Retención IVA"),AND(C1421="Servicio",F1421&lt;&gt;"TMS",F1421&lt;&gt;"Valoración",F1421&lt;&gt;"EEG",F1421&lt;&gt;"Neurofeedback",F1421&lt;&gt;"Fotobiomodulación",F1421&lt;&gt;"Psicoterapia",F1421&lt;&gt;"Otros")),"Tipo o categoría inválido",IF(COUNTA(A1421:J1421)=0,"",IF(OR(A1421="",B1421="",C1421="",G1421=""),"Faltan datos",IF(COUNTIF($A$7:$A$2006,A1421)&gt;1,"ID duplicado",IF(OR(B1421&lt;DATE(Configuración!$C$5,1,1),B1421&gt;=DATE(Configuración!$C$5+1,1,1)),"Fecha fuera del año",IF(OR(G1421&lt;0,H1421&lt;0),"Revisar signo",IF(AND(C1421&lt;&gt;"Servicio",H1421&lt;&gt;0),"IVA solo en Servicio",IF(AND(C1421="Servicio",F1421=""),"Falta servicio","OK")))))))))</f>
        <v/>
      </c>
    </row>
    <row r="1422" spans="1:12" ht="22" customHeight="1">
      <c r="A1422" s="3"/>
      <c r="B1422" s="7"/>
      <c r="C1422" s="3"/>
      <c r="D1422" s="3"/>
      <c r="E1422" s="3"/>
      <c r="F1422" s="3"/>
      <c r="G1422" s="4"/>
      <c r="H1422" s="4"/>
      <c r="I1422" s="3"/>
      <c r="J1422" s="3"/>
      <c r="K1422" s="8" t="str">
        <f t="shared" si="22"/>
        <v/>
      </c>
      <c r="L1422" s="1" t="str">
        <f>IF(COUNTA(A1422:J1422)=0,"",IF(OR(AND(C1422&lt;&gt;"Servicio",C1422&lt;&gt;"Cobro",C1422&lt;&gt;"Anticipo",C1422&lt;&gt;"Aplicación anticipo",C1422&lt;&gt;"Retención ISR",C1422&lt;&gt;"Retención IVA"),AND(C1422="Servicio",F1422&lt;&gt;"TMS",F1422&lt;&gt;"Valoración",F1422&lt;&gt;"EEG",F1422&lt;&gt;"Neurofeedback",F1422&lt;&gt;"Fotobiomodulación",F1422&lt;&gt;"Psicoterapia",F1422&lt;&gt;"Otros")),"Tipo o categoría inválido",IF(COUNTA(A1422:J1422)=0,"",IF(OR(A1422="",B1422="",C1422="",G1422=""),"Faltan datos",IF(COUNTIF($A$7:$A$2006,A1422)&gt;1,"ID duplicado",IF(OR(B1422&lt;DATE(Configuración!$C$5,1,1),B1422&gt;=DATE(Configuración!$C$5+1,1,1)),"Fecha fuera del año",IF(OR(G1422&lt;0,H1422&lt;0),"Revisar signo",IF(AND(C1422&lt;&gt;"Servicio",H1422&lt;&gt;0),"IVA solo en Servicio",IF(AND(C1422="Servicio",F1422=""),"Falta servicio","OK")))))))))</f>
        <v/>
      </c>
    </row>
    <row r="1423" spans="1:12" ht="22" customHeight="1">
      <c r="A1423" s="3"/>
      <c r="B1423" s="7"/>
      <c r="C1423" s="3"/>
      <c r="D1423" s="3"/>
      <c r="E1423" s="3"/>
      <c r="F1423" s="3"/>
      <c r="G1423" s="4"/>
      <c r="H1423" s="4"/>
      <c r="I1423" s="3"/>
      <c r="J1423" s="3"/>
      <c r="K1423" s="8" t="str">
        <f t="shared" si="22"/>
        <v/>
      </c>
      <c r="L1423" s="1" t="str">
        <f>IF(COUNTA(A1423:J1423)=0,"",IF(OR(AND(C1423&lt;&gt;"Servicio",C1423&lt;&gt;"Cobro",C1423&lt;&gt;"Anticipo",C1423&lt;&gt;"Aplicación anticipo",C1423&lt;&gt;"Retención ISR",C1423&lt;&gt;"Retención IVA"),AND(C1423="Servicio",F1423&lt;&gt;"TMS",F1423&lt;&gt;"Valoración",F1423&lt;&gt;"EEG",F1423&lt;&gt;"Neurofeedback",F1423&lt;&gt;"Fotobiomodulación",F1423&lt;&gt;"Psicoterapia",F1423&lt;&gt;"Otros")),"Tipo o categoría inválido",IF(COUNTA(A1423:J1423)=0,"",IF(OR(A1423="",B1423="",C1423="",G1423=""),"Faltan datos",IF(COUNTIF($A$7:$A$2006,A1423)&gt;1,"ID duplicado",IF(OR(B1423&lt;DATE(Configuración!$C$5,1,1),B1423&gt;=DATE(Configuración!$C$5+1,1,1)),"Fecha fuera del año",IF(OR(G1423&lt;0,H1423&lt;0),"Revisar signo",IF(AND(C1423&lt;&gt;"Servicio",H1423&lt;&gt;0),"IVA solo en Servicio",IF(AND(C1423="Servicio",F1423=""),"Falta servicio","OK")))))))))</f>
        <v/>
      </c>
    </row>
    <row r="1424" spans="1:12" ht="22" customHeight="1">
      <c r="A1424" s="3"/>
      <c r="B1424" s="7"/>
      <c r="C1424" s="3"/>
      <c r="D1424" s="3"/>
      <c r="E1424" s="3"/>
      <c r="F1424" s="3"/>
      <c r="G1424" s="4"/>
      <c r="H1424" s="4"/>
      <c r="I1424" s="3"/>
      <c r="J1424" s="3"/>
      <c r="K1424" s="8" t="str">
        <f t="shared" si="22"/>
        <v/>
      </c>
      <c r="L1424" s="1" t="str">
        <f>IF(COUNTA(A1424:J1424)=0,"",IF(OR(AND(C1424&lt;&gt;"Servicio",C1424&lt;&gt;"Cobro",C1424&lt;&gt;"Anticipo",C1424&lt;&gt;"Aplicación anticipo",C1424&lt;&gt;"Retención ISR",C1424&lt;&gt;"Retención IVA"),AND(C1424="Servicio",F1424&lt;&gt;"TMS",F1424&lt;&gt;"Valoración",F1424&lt;&gt;"EEG",F1424&lt;&gt;"Neurofeedback",F1424&lt;&gt;"Fotobiomodulación",F1424&lt;&gt;"Psicoterapia",F1424&lt;&gt;"Otros")),"Tipo o categoría inválido",IF(COUNTA(A1424:J1424)=0,"",IF(OR(A1424="",B1424="",C1424="",G1424=""),"Faltan datos",IF(COUNTIF($A$7:$A$2006,A1424)&gt;1,"ID duplicado",IF(OR(B1424&lt;DATE(Configuración!$C$5,1,1),B1424&gt;=DATE(Configuración!$C$5+1,1,1)),"Fecha fuera del año",IF(OR(G1424&lt;0,H1424&lt;0),"Revisar signo",IF(AND(C1424&lt;&gt;"Servicio",H1424&lt;&gt;0),"IVA solo en Servicio",IF(AND(C1424="Servicio",F1424=""),"Falta servicio","OK")))))))))</f>
        <v/>
      </c>
    </row>
    <row r="1425" spans="1:12" ht="22" customHeight="1">
      <c r="A1425" s="3"/>
      <c r="B1425" s="7"/>
      <c r="C1425" s="3"/>
      <c r="D1425" s="3"/>
      <c r="E1425" s="3"/>
      <c r="F1425" s="3"/>
      <c r="G1425" s="4"/>
      <c r="H1425" s="4"/>
      <c r="I1425" s="3"/>
      <c r="J1425" s="3"/>
      <c r="K1425" s="8" t="str">
        <f t="shared" si="22"/>
        <v/>
      </c>
      <c r="L1425" s="1" t="str">
        <f>IF(COUNTA(A1425:J1425)=0,"",IF(OR(AND(C1425&lt;&gt;"Servicio",C1425&lt;&gt;"Cobro",C1425&lt;&gt;"Anticipo",C1425&lt;&gt;"Aplicación anticipo",C1425&lt;&gt;"Retención ISR",C1425&lt;&gt;"Retención IVA"),AND(C1425="Servicio",F1425&lt;&gt;"TMS",F1425&lt;&gt;"Valoración",F1425&lt;&gt;"EEG",F1425&lt;&gt;"Neurofeedback",F1425&lt;&gt;"Fotobiomodulación",F1425&lt;&gt;"Psicoterapia",F1425&lt;&gt;"Otros")),"Tipo o categoría inválido",IF(COUNTA(A1425:J1425)=0,"",IF(OR(A1425="",B1425="",C1425="",G1425=""),"Faltan datos",IF(COUNTIF($A$7:$A$2006,A1425)&gt;1,"ID duplicado",IF(OR(B1425&lt;DATE(Configuración!$C$5,1,1),B1425&gt;=DATE(Configuración!$C$5+1,1,1)),"Fecha fuera del año",IF(OR(G1425&lt;0,H1425&lt;0),"Revisar signo",IF(AND(C1425&lt;&gt;"Servicio",H1425&lt;&gt;0),"IVA solo en Servicio",IF(AND(C1425="Servicio",F1425=""),"Falta servicio","OK")))))))))</f>
        <v/>
      </c>
    </row>
    <row r="1426" spans="1:12" ht="22" customHeight="1">
      <c r="A1426" s="3"/>
      <c r="B1426" s="7"/>
      <c r="C1426" s="3"/>
      <c r="D1426" s="3"/>
      <c r="E1426" s="3"/>
      <c r="F1426" s="3"/>
      <c r="G1426" s="4"/>
      <c r="H1426" s="4"/>
      <c r="I1426" s="3"/>
      <c r="J1426" s="3"/>
      <c r="K1426" s="8" t="str">
        <f t="shared" si="22"/>
        <v/>
      </c>
      <c r="L1426" s="1" t="str">
        <f>IF(COUNTA(A1426:J1426)=0,"",IF(OR(AND(C1426&lt;&gt;"Servicio",C1426&lt;&gt;"Cobro",C1426&lt;&gt;"Anticipo",C1426&lt;&gt;"Aplicación anticipo",C1426&lt;&gt;"Retención ISR",C1426&lt;&gt;"Retención IVA"),AND(C1426="Servicio",F1426&lt;&gt;"TMS",F1426&lt;&gt;"Valoración",F1426&lt;&gt;"EEG",F1426&lt;&gt;"Neurofeedback",F1426&lt;&gt;"Fotobiomodulación",F1426&lt;&gt;"Psicoterapia",F1426&lt;&gt;"Otros")),"Tipo o categoría inválido",IF(COUNTA(A1426:J1426)=0,"",IF(OR(A1426="",B1426="",C1426="",G1426=""),"Faltan datos",IF(COUNTIF($A$7:$A$2006,A1426)&gt;1,"ID duplicado",IF(OR(B1426&lt;DATE(Configuración!$C$5,1,1),B1426&gt;=DATE(Configuración!$C$5+1,1,1)),"Fecha fuera del año",IF(OR(G1426&lt;0,H1426&lt;0),"Revisar signo",IF(AND(C1426&lt;&gt;"Servicio",H1426&lt;&gt;0),"IVA solo en Servicio",IF(AND(C1426="Servicio",F1426=""),"Falta servicio","OK")))))))))</f>
        <v/>
      </c>
    </row>
    <row r="1427" spans="1:12" ht="22" customHeight="1">
      <c r="A1427" s="3"/>
      <c r="B1427" s="7"/>
      <c r="C1427" s="3"/>
      <c r="D1427" s="3"/>
      <c r="E1427" s="3"/>
      <c r="F1427" s="3"/>
      <c r="G1427" s="4"/>
      <c r="H1427" s="4"/>
      <c r="I1427" s="3"/>
      <c r="J1427" s="3"/>
      <c r="K1427" s="8" t="str">
        <f t="shared" si="22"/>
        <v/>
      </c>
      <c r="L1427" s="1" t="str">
        <f>IF(COUNTA(A1427:J1427)=0,"",IF(OR(AND(C1427&lt;&gt;"Servicio",C1427&lt;&gt;"Cobro",C1427&lt;&gt;"Anticipo",C1427&lt;&gt;"Aplicación anticipo",C1427&lt;&gt;"Retención ISR",C1427&lt;&gt;"Retención IVA"),AND(C1427="Servicio",F1427&lt;&gt;"TMS",F1427&lt;&gt;"Valoración",F1427&lt;&gt;"EEG",F1427&lt;&gt;"Neurofeedback",F1427&lt;&gt;"Fotobiomodulación",F1427&lt;&gt;"Psicoterapia",F1427&lt;&gt;"Otros")),"Tipo o categoría inválido",IF(COUNTA(A1427:J1427)=0,"",IF(OR(A1427="",B1427="",C1427="",G1427=""),"Faltan datos",IF(COUNTIF($A$7:$A$2006,A1427)&gt;1,"ID duplicado",IF(OR(B1427&lt;DATE(Configuración!$C$5,1,1),B1427&gt;=DATE(Configuración!$C$5+1,1,1)),"Fecha fuera del año",IF(OR(G1427&lt;0,H1427&lt;0),"Revisar signo",IF(AND(C1427&lt;&gt;"Servicio",H1427&lt;&gt;0),"IVA solo en Servicio",IF(AND(C1427="Servicio",F1427=""),"Falta servicio","OK")))))))))</f>
        <v/>
      </c>
    </row>
    <row r="1428" spans="1:12" ht="22" customHeight="1">
      <c r="A1428" s="3"/>
      <c r="B1428" s="7"/>
      <c r="C1428" s="3"/>
      <c r="D1428" s="3"/>
      <c r="E1428" s="3"/>
      <c r="F1428" s="3"/>
      <c r="G1428" s="4"/>
      <c r="H1428" s="4"/>
      <c r="I1428" s="3"/>
      <c r="J1428" s="3"/>
      <c r="K1428" s="8" t="str">
        <f t="shared" si="22"/>
        <v/>
      </c>
      <c r="L1428" s="1" t="str">
        <f>IF(COUNTA(A1428:J1428)=0,"",IF(OR(AND(C1428&lt;&gt;"Servicio",C1428&lt;&gt;"Cobro",C1428&lt;&gt;"Anticipo",C1428&lt;&gt;"Aplicación anticipo",C1428&lt;&gt;"Retención ISR",C1428&lt;&gt;"Retención IVA"),AND(C1428="Servicio",F1428&lt;&gt;"TMS",F1428&lt;&gt;"Valoración",F1428&lt;&gt;"EEG",F1428&lt;&gt;"Neurofeedback",F1428&lt;&gt;"Fotobiomodulación",F1428&lt;&gt;"Psicoterapia",F1428&lt;&gt;"Otros")),"Tipo o categoría inválido",IF(COUNTA(A1428:J1428)=0,"",IF(OR(A1428="",B1428="",C1428="",G1428=""),"Faltan datos",IF(COUNTIF($A$7:$A$2006,A1428)&gt;1,"ID duplicado",IF(OR(B1428&lt;DATE(Configuración!$C$5,1,1),B1428&gt;=DATE(Configuración!$C$5+1,1,1)),"Fecha fuera del año",IF(OR(G1428&lt;0,H1428&lt;0),"Revisar signo",IF(AND(C1428&lt;&gt;"Servicio",H1428&lt;&gt;0),"IVA solo en Servicio",IF(AND(C1428="Servicio",F1428=""),"Falta servicio","OK")))))))))</f>
        <v/>
      </c>
    </row>
    <row r="1429" spans="1:12" ht="22" customHeight="1">
      <c r="A1429" s="3"/>
      <c r="B1429" s="7"/>
      <c r="C1429" s="3"/>
      <c r="D1429" s="3"/>
      <c r="E1429" s="3"/>
      <c r="F1429" s="3"/>
      <c r="G1429" s="4"/>
      <c r="H1429" s="4"/>
      <c r="I1429" s="3"/>
      <c r="J1429" s="3"/>
      <c r="K1429" s="8" t="str">
        <f t="shared" si="22"/>
        <v/>
      </c>
      <c r="L1429" s="1" t="str">
        <f>IF(COUNTA(A1429:J1429)=0,"",IF(OR(AND(C1429&lt;&gt;"Servicio",C1429&lt;&gt;"Cobro",C1429&lt;&gt;"Anticipo",C1429&lt;&gt;"Aplicación anticipo",C1429&lt;&gt;"Retención ISR",C1429&lt;&gt;"Retención IVA"),AND(C1429="Servicio",F1429&lt;&gt;"TMS",F1429&lt;&gt;"Valoración",F1429&lt;&gt;"EEG",F1429&lt;&gt;"Neurofeedback",F1429&lt;&gt;"Fotobiomodulación",F1429&lt;&gt;"Psicoterapia",F1429&lt;&gt;"Otros")),"Tipo o categoría inválido",IF(COUNTA(A1429:J1429)=0,"",IF(OR(A1429="",B1429="",C1429="",G1429=""),"Faltan datos",IF(COUNTIF($A$7:$A$2006,A1429)&gt;1,"ID duplicado",IF(OR(B1429&lt;DATE(Configuración!$C$5,1,1),B1429&gt;=DATE(Configuración!$C$5+1,1,1)),"Fecha fuera del año",IF(OR(G1429&lt;0,H1429&lt;0),"Revisar signo",IF(AND(C1429&lt;&gt;"Servicio",H1429&lt;&gt;0),"IVA solo en Servicio",IF(AND(C1429="Servicio",F1429=""),"Falta servicio","OK")))))))))</f>
        <v/>
      </c>
    </row>
    <row r="1430" spans="1:12" ht="22" customHeight="1">
      <c r="A1430" s="3"/>
      <c r="B1430" s="7"/>
      <c r="C1430" s="3"/>
      <c r="D1430" s="3"/>
      <c r="E1430" s="3"/>
      <c r="F1430" s="3"/>
      <c r="G1430" s="4"/>
      <c r="H1430" s="4"/>
      <c r="I1430" s="3"/>
      <c r="J1430" s="3"/>
      <c r="K1430" s="8" t="str">
        <f t="shared" si="22"/>
        <v/>
      </c>
      <c r="L1430" s="1" t="str">
        <f>IF(COUNTA(A1430:J1430)=0,"",IF(OR(AND(C1430&lt;&gt;"Servicio",C1430&lt;&gt;"Cobro",C1430&lt;&gt;"Anticipo",C1430&lt;&gt;"Aplicación anticipo",C1430&lt;&gt;"Retención ISR",C1430&lt;&gt;"Retención IVA"),AND(C1430="Servicio",F1430&lt;&gt;"TMS",F1430&lt;&gt;"Valoración",F1430&lt;&gt;"EEG",F1430&lt;&gt;"Neurofeedback",F1430&lt;&gt;"Fotobiomodulación",F1430&lt;&gt;"Psicoterapia",F1430&lt;&gt;"Otros")),"Tipo o categoría inválido",IF(COUNTA(A1430:J1430)=0,"",IF(OR(A1430="",B1430="",C1430="",G1430=""),"Faltan datos",IF(COUNTIF($A$7:$A$2006,A1430)&gt;1,"ID duplicado",IF(OR(B1430&lt;DATE(Configuración!$C$5,1,1),B1430&gt;=DATE(Configuración!$C$5+1,1,1)),"Fecha fuera del año",IF(OR(G1430&lt;0,H1430&lt;0),"Revisar signo",IF(AND(C1430&lt;&gt;"Servicio",H1430&lt;&gt;0),"IVA solo en Servicio",IF(AND(C1430="Servicio",F1430=""),"Falta servicio","OK")))))))))</f>
        <v/>
      </c>
    </row>
    <row r="1431" spans="1:12" ht="22" customHeight="1">
      <c r="A1431" s="3"/>
      <c r="B1431" s="7"/>
      <c r="C1431" s="3"/>
      <c r="D1431" s="3"/>
      <c r="E1431" s="3"/>
      <c r="F1431" s="3"/>
      <c r="G1431" s="4"/>
      <c r="H1431" s="4"/>
      <c r="I1431" s="3"/>
      <c r="J1431" s="3"/>
      <c r="K1431" s="8" t="str">
        <f t="shared" si="22"/>
        <v/>
      </c>
      <c r="L1431" s="1" t="str">
        <f>IF(COUNTA(A1431:J1431)=0,"",IF(OR(AND(C1431&lt;&gt;"Servicio",C1431&lt;&gt;"Cobro",C1431&lt;&gt;"Anticipo",C1431&lt;&gt;"Aplicación anticipo",C1431&lt;&gt;"Retención ISR",C1431&lt;&gt;"Retención IVA"),AND(C1431="Servicio",F1431&lt;&gt;"TMS",F1431&lt;&gt;"Valoración",F1431&lt;&gt;"EEG",F1431&lt;&gt;"Neurofeedback",F1431&lt;&gt;"Fotobiomodulación",F1431&lt;&gt;"Psicoterapia",F1431&lt;&gt;"Otros")),"Tipo o categoría inválido",IF(COUNTA(A1431:J1431)=0,"",IF(OR(A1431="",B1431="",C1431="",G1431=""),"Faltan datos",IF(COUNTIF($A$7:$A$2006,A1431)&gt;1,"ID duplicado",IF(OR(B1431&lt;DATE(Configuración!$C$5,1,1),B1431&gt;=DATE(Configuración!$C$5+1,1,1)),"Fecha fuera del año",IF(OR(G1431&lt;0,H1431&lt;0),"Revisar signo",IF(AND(C1431&lt;&gt;"Servicio",H1431&lt;&gt;0),"IVA solo en Servicio",IF(AND(C1431="Servicio",F1431=""),"Falta servicio","OK")))))))))</f>
        <v/>
      </c>
    </row>
    <row r="1432" spans="1:12" ht="22" customHeight="1">
      <c r="A1432" s="3"/>
      <c r="B1432" s="7"/>
      <c r="C1432" s="3"/>
      <c r="D1432" s="3"/>
      <c r="E1432" s="3"/>
      <c r="F1432" s="3"/>
      <c r="G1432" s="4"/>
      <c r="H1432" s="4"/>
      <c r="I1432" s="3"/>
      <c r="J1432" s="3"/>
      <c r="K1432" s="8" t="str">
        <f t="shared" si="22"/>
        <v/>
      </c>
      <c r="L1432" s="1" t="str">
        <f>IF(COUNTA(A1432:J1432)=0,"",IF(OR(AND(C1432&lt;&gt;"Servicio",C1432&lt;&gt;"Cobro",C1432&lt;&gt;"Anticipo",C1432&lt;&gt;"Aplicación anticipo",C1432&lt;&gt;"Retención ISR",C1432&lt;&gt;"Retención IVA"),AND(C1432="Servicio",F1432&lt;&gt;"TMS",F1432&lt;&gt;"Valoración",F1432&lt;&gt;"EEG",F1432&lt;&gt;"Neurofeedback",F1432&lt;&gt;"Fotobiomodulación",F1432&lt;&gt;"Psicoterapia",F1432&lt;&gt;"Otros")),"Tipo o categoría inválido",IF(COUNTA(A1432:J1432)=0,"",IF(OR(A1432="",B1432="",C1432="",G1432=""),"Faltan datos",IF(COUNTIF($A$7:$A$2006,A1432)&gt;1,"ID duplicado",IF(OR(B1432&lt;DATE(Configuración!$C$5,1,1),B1432&gt;=DATE(Configuración!$C$5+1,1,1)),"Fecha fuera del año",IF(OR(G1432&lt;0,H1432&lt;0),"Revisar signo",IF(AND(C1432&lt;&gt;"Servicio",H1432&lt;&gt;0),"IVA solo en Servicio",IF(AND(C1432="Servicio",F1432=""),"Falta servicio","OK")))))))))</f>
        <v/>
      </c>
    </row>
    <row r="1433" spans="1:12" ht="22" customHeight="1">
      <c r="A1433" s="3"/>
      <c r="B1433" s="7"/>
      <c r="C1433" s="3"/>
      <c r="D1433" s="3"/>
      <c r="E1433" s="3"/>
      <c r="F1433" s="3"/>
      <c r="G1433" s="4"/>
      <c r="H1433" s="4"/>
      <c r="I1433" s="3"/>
      <c r="J1433" s="3"/>
      <c r="K1433" s="8" t="str">
        <f t="shared" si="22"/>
        <v/>
      </c>
      <c r="L1433" s="1" t="str">
        <f>IF(COUNTA(A1433:J1433)=0,"",IF(OR(AND(C1433&lt;&gt;"Servicio",C1433&lt;&gt;"Cobro",C1433&lt;&gt;"Anticipo",C1433&lt;&gt;"Aplicación anticipo",C1433&lt;&gt;"Retención ISR",C1433&lt;&gt;"Retención IVA"),AND(C1433="Servicio",F1433&lt;&gt;"TMS",F1433&lt;&gt;"Valoración",F1433&lt;&gt;"EEG",F1433&lt;&gt;"Neurofeedback",F1433&lt;&gt;"Fotobiomodulación",F1433&lt;&gt;"Psicoterapia",F1433&lt;&gt;"Otros")),"Tipo o categoría inválido",IF(COUNTA(A1433:J1433)=0,"",IF(OR(A1433="",B1433="",C1433="",G1433=""),"Faltan datos",IF(COUNTIF($A$7:$A$2006,A1433)&gt;1,"ID duplicado",IF(OR(B1433&lt;DATE(Configuración!$C$5,1,1),B1433&gt;=DATE(Configuración!$C$5+1,1,1)),"Fecha fuera del año",IF(OR(G1433&lt;0,H1433&lt;0),"Revisar signo",IF(AND(C1433&lt;&gt;"Servicio",H1433&lt;&gt;0),"IVA solo en Servicio",IF(AND(C1433="Servicio",F1433=""),"Falta servicio","OK")))))))))</f>
        <v/>
      </c>
    </row>
    <row r="1434" spans="1:12" ht="22" customHeight="1">
      <c r="A1434" s="3"/>
      <c r="B1434" s="7"/>
      <c r="C1434" s="3"/>
      <c r="D1434" s="3"/>
      <c r="E1434" s="3"/>
      <c r="F1434" s="3"/>
      <c r="G1434" s="4"/>
      <c r="H1434" s="4"/>
      <c r="I1434" s="3"/>
      <c r="J1434" s="3"/>
      <c r="K1434" s="8" t="str">
        <f t="shared" si="22"/>
        <v/>
      </c>
      <c r="L1434" s="1" t="str">
        <f>IF(COUNTA(A1434:J1434)=0,"",IF(OR(AND(C1434&lt;&gt;"Servicio",C1434&lt;&gt;"Cobro",C1434&lt;&gt;"Anticipo",C1434&lt;&gt;"Aplicación anticipo",C1434&lt;&gt;"Retención ISR",C1434&lt;&gt;"Retención IVA"),AND(C1434="Servicio",F1434&lt;&gt;"TMS",F1434&lt;&gt;"Valoración",F1434&lt;&gt;"EEG",F1434&lt;&gt;"Neurofeedback",F1434&lt;&gt;"Fotobiomodulación",F1434&lt;&gt;"Psicoterapia",F1434&lt;&gt;"Otros")),"Tipo o categoría inválido",IF(COUNTA(A1434:J1434)=0,"",IF(OR(A1434="",B1434="",C1434="",G1434=""),"Faltan datos",IF(COUNTIF($A$7:$A$2006,A1434)&gt;1,"ID duplicado",IF(OR(B1434&lt;DATE(Configuración!$C$5,1,1),B1434&gt;=DATE(Configuración!$C$5+1,1,1)),"Fecha fuera del año",IF(OR(G1434&lt;0,H1434&lt;0),"Revisar signo",IF(AND(C1434&lt;&gt;"Servicio",H1434&lt;&gt;0),"IVA solo en Servicio",IF(AND(C1434="Servicio",F1434=""),"Falta servicio","OK")))))))))</f>
        <v/>
      </c>
    </row>
    <row r="1435" spans="1:12" ht="22" customHeight="1">
      <c r="A1435" s="3"/>
      <c r="B1435" s="7"/>
      <c r="C1435" s="3"/>
      <c r="D1435" s="3"/>
      <c r="E1435" s="3"/>
      <c r="F1435" s="3"/>
      <c r="G1435" s="4"/>
      <c r="H1435" s="4"/>
      <c r="I1435" s="3"/>
      <c r="J1435" s="3"/>
      <c r="K1435" s="8" t="str">
        <f t="shared" si="22"/>
        <v/>
      </c>
      <c r="L1435" s="1" t="str">
        <f>IF(COUNTA(A1435:J1435)=0,"",IF(OR(AND(C1435&lt;&gt;"Servicio",C1435&lt;&gt;"Cobro",C1435&lt;&gt;"Anticipo",C1435&lt;&gt;"Aplicación anticipo",C1435&lt;&gt;"Retención ISR",C1435&lt;&gt;"Retención IVA"),AND(C1435="Servicio",F1435&lt;&gt;"TMS",F1435&lt;&gt;"Valoración",F1435&lt;&gt;"EEG",F1435&lt;&gt;"Neurofeedback",F1435&lt;&gt;"Fotobiomodulación",F1435&lt;&gt;"Psicoterapia",F1435&lt;&gt;"Otros")),"Tipo o categoría inválido",IF(COUNTA(A1435:J1435)=0,"",IF(OR(A1435="",B1435="",C1435="",G1435=""),"Faltan datos",IF(COUNTIF($A$7:$A$2006,A1435)&gt;1,"ID duplicado",IF(OR(B1435&lt;DATE(Configuración!$C$5,1,1),B1435&gt;=DATE(Configuración!$C$5+1,1,1)),"Fecha fuera del año",IF(OR(G1435&lt;0,H1435&lt;0),"Revisar signo",IF(AND(C1435&lt;&gt;"Servicio",H1435&lt;&gt;0),"IVA solo en Servicio",IF(AND(C1435="Servicio",F1435=""),"Falta servicio","OK")))))))))</f>
        <v/>
      </c>
    </row>
    <row r="1436" spans="1:12" ht="22" customHeight="1">
      <c r="A1436" s="3"/>
      <c r="B1436" s="7"/>
      <c r="C1436" s="3"/>
      <c r="D1436" s="3"/>
      <c r="E1436" s="3"/>
      <c r="F1436" s="3"/>
      <c r="G1436" s="4"/>
      <c r="H1436" s="4"/>
      <c r="I1436" s="3"/>
      <c r="J1436" s="3"/>
      <c r="K1436" s="8" t="str">
        <f t="shared" si="22"/>
        <v/>
      </c>
      <c r="L1436" s="1" t="str">
        <f>IF(COUNTA(A1436:J1436)=0,"",IF(OR(AND(C1436&lt;&gt;"Servicio",C1436&lt;&gt;"Cobro",C1436&lt;&gt;"Anticipo",C1436&lt;&gt;"Aplicación anticipo",C1436&lt;&gt;"Retención ISR",C1436&lt;&gt;"Retención IVA"),AND(C1436="Servicio",F1436&lt;&gt;"TMS",F1436&lt;&gt;"Valoración",F1436&lt;&gt;"EEG",F1436&lt;&gt;"Neurofeedback",F1436&lt;&gt;"Fotobiomodulación",F1436&lt;&gt;"Psicoterapia",F1436&lt;&gt;"Otros")),"Tipo o categoría inválido",IF(COUNTA(A1436:J1436)=0,"",IF(OR(A1436="",B1436="",C1436="",G1436=""),"Faltan datos",IF(COUNTIF($A$7:$A$2006,A1436)&gt;1,"ID duplicado",IF(OR(B1436&lt;DATE(Configuración!$C$5,1,1),B1436&gt;=DATE(Configuración!$C$5+1,1,1)),"Fecha fuera del año",IF(OR(G1436&lt;0,H1436&lt;0),"Revisar signo",IF(AND(C1436&lt;&gt;"Servicio",H1436&lt;&gt;0),"IVA solo en Servicio",IF(AND(C1436="Servicio",F1436=""),"Falta servicio","OK")))))))))</f>
        <v/>
      </c>
    </row>
    <row r="1437" spans="1:12" ht="22" customHeight="1">
      <c r="A1437" s="3"/>
      <c r="B1437" s="7"/>
      <c r="C1437" s="3"/>
      <c r="D1437" s="3"/>
      <c r="E1437" s="3"/>
      <c r="F1437" s="3"/>
      <c r="G1437" s="4"/>
      <c r="H1437" s="4"/>
      <c r="I1437" s="3"/>
      <c r="J1437" s="3"/>
      <c r="K1437" s="8" t="str">
        <f t="shared" si="22"/>
        <v/>
      </c>
      <c r="L1437" s="1" t="str">
        <f>IF(COUNTA(A1437:J1437)=0,"",IF(OR(AND(C1437&lt;&gt;"Servicio",C1437&lt;&gt;"Cobro",C1437&lt;&gt;"Anticipo",C1437&lt;&gt;"Aplicación anticipo",C1437&lt;&gt;"Retención ISR",C1437&lt;&gt;"Retención IVA"),AND(C1437="Servicio",F1437&lt;&gt;"TMS",F1437&lt;&gt;"Valoración",F1437&lt;&gt;"EEG",F1437&lt;&gt;"Neurofeedback",F1437&lt;&gt;"Fotobiomodulación",F1437&lt;&gt;"Psicoterapia",F1437&lt;&gt;"Otros")),"Tipo o categoría inválido",IF(COUNTA(A1437:J1437)=0,"",IF(OR(A1437="",B1437="",C1437="",G1437=""),"Faltan datos",IF(COUNTIF($A$7:$A$2006,A1437)&gt;1,"ID duplicado",IF(OR(B1437&lt;DATE(Configuración!$C$5,1,1),B1437&gt;=DATE(Configuración!$C$5+1,1,1)),"Fecha fuera del año",IF(OR(G1437&lt;0,H1437&lt;0),"Revisar signo",IF(AND(C1437&lt;&gt;"Servicio",H1437&lt;&gt;0),"IVA solo en Servicio",IF(AND(C1437="Servicio",F1437=""),"Falta servicio","OK")))))))))</f>
        <v/>
      </c>
    </row>
    <row r="1438" spans="1:12" ht="22" customHeight="1">
      <c r="A1438" s="3"/>
      <c r="B1438" s="7"/>
      <c r="C1438" s="3"/>
      <c r="D1438" s="3"/>
      <c r="E1438" s="3"/>
      <c r="F1438" s="3"/>
      <c r="G1438" s="4"/>
      <c r="H1438" s="4"/>
      <c r="I1438" s="3"/>
      <c r="J1438" s="3"/>
      <c r="K1438" s="8" t="str">
        <f t="shared" si="22"/>
        <v/>
      </c>
      <c r="L1438" s="1" t="str">
        <f>IF(COUNTA(A1438:J1438)=0,"",IF(OR(AND(C1438&lt;&gt;"Servicio",C1438&lt;&gt;"Cobro",C1438&lt;&gt;"Anticipo",C1438&lt;&gt;"Aplicación anticipo",C1438&lt;&gt;"Retención ISR",C1438&lt;&gt;"Retención IVA"),AND(C1438="Servicio",F1438&lt;&gt;"TMS",F1438&lt;&gt;"Valoración",F1438&lt;&gt;"EEG",F1438&lt;&gt;"Neurofeedback",F1438&lt;&gt;"Fotobiomodulación",F1438&lt;&gt;"Psicoterapia",F1438&lt;&gt;"Otros")),"Tipo o categoría inválido",IF(COUNTA(A1438:J1438)=0,"",IF(OR(A1438="",B1438="",C1438="",G1438=""),"Faltan datos",IF(COUNTIF($A$7:$A$2006,A1438)&gt;1,"ID duplicado",IF(OR(B1438&lt;DATE(Configuración!$C$5,1,1),B1438&gt;=DATE(Configuración!$C$5+1,1,1)),"Fecha fuera del año",IF(OR(G1438&lt;0,H1438&lt;0),"Revisar signo",IF(AND(C1438&lt;&gt;"Servicio",H1438&lt;&gt;0),"IVA solo en Servicio",IF(AND(C1438="Servicio",F1438=""),"Falta servicio","OK")))))))))</f>
        <v/>
      </c>
    </row>
    <row r="1439" spans="1:12" ht="22" customHeight="1">
      <c r="A1439" s="3"/>
      <c r="B1439" s="7"/>
      <c r="C1439" s="3"/>
      <c r="D1439" s="3"/>
      <c r="E1439" s="3"/>
      <c r="F1439" s="3"/>
      <c r="G1439" s="4"/>
      <c r="H1439" s="4"/>
      <c r="I1439" s="3"/>
      <c r="J1439" s="3"/>
      <c r="K1439" s="8" t="str">
        <f t="shared" si="22"/>
        <v/>
      </c>
      <c r="L1439" s="1" t="str">
        <f>IF(COUNTA(A1439:J1439)=0,"",IF(OR(AND(C1439&lt;&gt;"Servicio",C1439&lt;&gt;"Cobro",C1439&lt;&gt;"Anticipo",C1439&lt;&gt;"Aplicación anticipo",C1439&lt;&gt;"Retención ISR",C1439&lt;&gt;"Retención IVA"),AND(C1439="Servicio",F1439&lt;&gt;"TMS",F1439&lt;&gt;"Valoración",F1439&lt;&gt;"EEG",F1439&lt;&gt;"Neurofeedback",F1439&lt;&gt;"Fotobiomodulación",F1439&lt;&gt;"Psicoterapia",F1439&lt;&gt;"Otros")),"Tipo o categoría inválido",IF(COUNTA(A1439:J1439)=0,"",IF(OR(A1439="",B1439="",C1439="",G1439=""),"Faltan datos",IF(COUNTIF($A$7:$A$2006,A1439)&gt;1,"ID duplicado",IF(OR(B1439&lt;DATE(Configuración!$C$5,1,1),B1439&gt;=DATE(Configuración!$C$5+1,1,1)),"Fecha fuera del año",IF(OR(G1439&lt;0,H1439&lt;0),"Revisar signo",IF(AND(C1439&lt;&gt;"Servicio",H1439&lt;&gt;0),"IVA solo en Servicio",IF(AND(C1439="Servicio",F1439=""),"Falta servicio","OK")))))))))</f>
        <v/>
      </c>
    </row>
    <row r="1440" spans="1:12" ht="22" customHeight="1">
      <c r="A1440" s="3"/>
      <c r="B1440" s="7"/>
      <c r="C1440" s="3"/>
      <c r="D1440" s="3"/>
      <c r="E1440" s="3"/>
      <c r="F1440" s="3"/>
      <c r="G1440" s="4"/>
      <c r="H1440" s="4"/>
      <c r="I1440" s="3"/>
      <c r="J1440" s="3"/>
      <c r="K1440" s="8" t="str">
        <f t="shared" si="22"/>
        <v/>
      </c>
      <c r="L1440" s="1" t="str">
        <f>IF(COUNTA(A1440:J1440)=0,"",IF(OR(AND(C1440&lt;&gt;"Servicio",C1440&lt;&gt;"Cobro",C1440&lt;&gt;"Anticipo",C1440&lt;&gt;"Aplicación anticipo",C1440&lt;&gt;"Retención ISR",C1440&lt;&gt;"Retención IVA"),AND(C1440="Servicio",F1440&lt;&gt;"TMS",F1440&lt;&gt;"Valoración",F1440&lt;&gt;"EEG",F1440&lt;&gt;"Neurofeedback",F1440&lt;&gt;"Fotobiomodulación",F1440&lt;&gt;"Psicoterapia",F1440&lt;&gt;"Otros")),"Tipo o categoría inválido",IF(COUNTA(A1440:J1440)=0,"",IF(OR(A1440="",B1440="",C1440="",G1440=""),"Faltan datos",IF(COUNTIF($A$7:$A$2006,A1440)&gt;1,"ID duplicado",IF(OR(B1440&lt;DATE(Configuración!$C$5,1,1),B1440&gt;=DATE(Configuración!$C$5+1,1,1)),"Fecha fuera del año",IF(OR(G1440&lt;0,H1440&lt;0),"Revisar signo",IF(AND(C1440&lt;&gt;"Servicio",H1440&lt;&gt;0),"IVA solo en Servicio",IF(AND(C1440="Servicio",F1440=""),"Falta servicio","OK")))))))))</f>
        <v/>
      </c>
    </row>
    <row r="1441" spans="1:12" ht="22" customHeight="1">
      <c r="A1441" s="3"/>
      <c r="B1441" s="7"/>
      <c r="C1441" s="3"/>
      <c r="D1441" s="3"/>
      <c r="E1441" s="3"/>
      <c r="F1441" s="3"/>
      <c r="G1441" s="4"/>
      <c r="H1441" s="4"/>
      <c r="I1441" s="3"/>
      <c r="J1441" s="3"/>
      <c r="K1441" s="8" t="str">
        <f t="shared" si="22"/>
        <v/>
      </c>
      <c r="L1441" s="1" t="str">
        <f>IF(COUNTA(A1441:J1441)=0,"",IF(OR(AND(C1441&lt;&gt;"Servicio",C1441&lt;&gt;"Cobro",C1441&lt;&gt;"Anticipo",C1441&lt;&gt;"Aplicación anticipo",C1441&lt;&gt;"Retención ISR",C1441&lt;&gt;"Retención IVA"),AND(C1441="Servicio",F1441&lt;&gt;"TMS",F1441&lt;&gt;"Valoración",F1441&lt;&gt;"EEG",F1441&lt;&gt;"Neurofeedback",F1441&lt;&gt;"Fotobiomodulación",F1441&lt;&gt;"Psicoterapia",F1441&lt;&gt;"Otros")),"Tipo o categoría inválido",IF(COUNTA(A1441:J1441)=0,"",IF(OR(A1441="",B1441="",C1441="",G1441=""),"Faltan datos",IF(COUNTIF($A$7:$A$2006,A1441)&gt;1,"ID duplicado",IF(OR(B1441&lt;DATE(Configuración!$C$5,1,1),B1441&gt;=DATE(Configuración!$C$5+1,1,1)),"Fecha fuera del año",IF(OR(G1441&lt;0,H1441&lt;0),"Revisar signo",IF(AND(C1441&lt;&gt;"Servicio",H1441&lt;&gt;0),"IVA solo en Servicio",IF(AND(C1441="Servicio",F1441=""),"Falta servicio","OK")))))))))</f>
        <v/>
      </c>
    </row>
    <row r="1442" spans="1:12" ht="22" customHeight="1">
      <c r="A1442" s="3"/>
      <c r="B1442" s="7"/>
      <c r="C1442" s="3"/>
      <c r="D1442" s="3"/>
      <c r="E1442" s="3"/>
      <c r="F1442" s="3"/>
      <c r="G1442" s="4"/>
      <c r="H1442" s="4"/>
      <c r="I1442" s="3"/>
      <c r="J1442" s="3"/>
      <c r="K1442" s="8" t="str">
        <f t="shared" si="22"/>
        <v/>
      </c>
      <c r="L1442" s="1" t="str">
        <f>IF(COUNTA(A1442:J1442)=0,"",IF(OR(AND(C1442&lt;&gt;"Servicio",C1442&lt;&gt;"Cobro",C1442&lt;&gt;"Anticipo",C1442&lt;&gt;"Aplicación anticipo",C1442&lt;&gt;"Retención ISR",C1442&lt;&gt;"Retención IVA"),AND(C1442="Servicio",F1442&lt;&gt;"TMS",F1442&lt;&gt;"Valoración",F1442&lt;&gt;"EEG",F1442&lt;&gt;"Neurofeedback",F1442&lt;&gt;"Fotobiomodulación",F1442&lt;&gt;"Psicoterapia",F1442&lt;&gt;"Otros")),"Tipo o categoría inválido",IF(COUNTA(A1442:J1442)=0,"",IF(OR(A1442="",B1442="",C1442="",G1442=""),"Faltan datos",IF(COUNTIF($A$7:$A$2006,A1442)&gt;1,"ID duplicado",IF(OR(B1442&lt;DATE(Configuración!$C$5,1,1),B1442&gt;=DATE(Configuración!$C$5+1,1,1)),"Fecha fuera del año",IF(OR(G1442&lt;0,H1442&lt;0),"Revisar signo",IF(AND(C1442&lt;&gt;"Servicio",H1442&lt;&gt;0),"IVA solo en Servicio",IF(AND(C1442="Servicio",F1442=""),"Falta servicio","OK")))))))))</f>
        <v/>
      </c>
    </row>
    <row r="1443" spans="1:12" ht="22" customHeight="1">
      <c r="A1443" s="3"/>
      <c r="B1443" s="7"/>
      <c r="C1443" s="3"/>
      <c r="D1443" s="3"/>
      <c r="E1443" s="3"/>
      <c r="F1443" s="3"/>
      <c r="G1443" s="4"/>
      <c r="H1443" s="4"/>
      <c r="I1443" s="3"/>
      <c r="J1443" s="3"/>
      <c r="K1443" s="8" t="str">
        <f t="shared" si="22"/>
        <v/>
      </c>
      <c r="L1443" s="1" t="str">
        <f>IF(COUNTA(A1443:J1443)=0,"",IF(OR(AND(C1443&lt;&gt;"Servicio",C1443&lt;&gt;"Cobro",C1443&lt;&gt;"Anticipo",C1443&lt;&gt;"Aplicación anticipo",C1443&lt;&gt;"Retención ISR",C1443&lt;&gt;"Retención IVA"),AND(C1443="Servicio",F1443&lt;&gt;"TMS",F1443&lt;&gt;"Valoración",F1443&lt;&gt;"EEG",F1443&lt;&gt;"Neurofeedback",F1443&lt;&gt;"Fotobiomodulación",F1443&lt;&gt;"Psicoterapia",F1443&lt;&gt;"Otros")),"Tipo o categoría inválido",IF(COUNTA(A1443:J1443)=0,"",IF(OR(A1443="",B1443="",C1443="",G1443=""),"Faltan datos",IF(COUNTIF($A$7:$A$2006,A1443)&gt;1,"ID duplicado",IF(OR(B1443&lt;DATE(Configuración!$C$5,1,1),B1443&gt;=DATE(Configuración!$C$5+1,1,1)),"Fecha fuera del año",IF(OR(G1443&lt;0,H1443&lt;0),"Revisar signo",IF(AND(C1443&lt;&gt;"Servicio",H1443&lt;&gt;0),"IVA solo en Servicio",IF(AND(C1443="Servicio",F1443=""),"Falta servicio","OK")))))))))</f>
        <v/>
      </c>
    </row>
    <row r="1444" spans="1:12" ht="22" customHeight="1">
      <c r="A1444" s="3"/>
      <c r="B1444" s="7"/>
      <c r="C1444" s="3"/>
      <c r="D1444" s="3"/>
      <c r="E1444" s="3"/>
      <c r="F1444" s="3"/>
      <c r="G1444" s="4"/>
      <c r="H1444" s="4"/>
      <c r="I1444" s="3"/>
      <c r="J1444" s="3"/>
      <c r="K1444" s="8" t="str">
        <f t="shared" si="22"/>
        <v/>
      </c>
      <c r="L1444" s="1" t="str">
        <f>IF(COUNTA(A1444:J1444)=0,"",IF(OR(AND(C1444&lt;&gt;"Servicio",C1444&lt;&gt;"Cobro",C1444&lt;&gt;"Anticipo",C1444&lt;&gt;"Aplicación anticipo",C1444&lt;&gt;"Retención ISR",C1444&lt;&gt;"Retención IVA"),AND(C1444="Servicio",F1444&lt;&gt;"TMS",F1444&lt;&gt;"Valoración",F1444&lt;&gt;"EEG",F1444&lt;&gt;"Neurofeedback",F1444&lt;&gt;"Fotobiomodulación",F1444&lt;&gt;"Psicoterapia",F1444&lt;&gt;"Otros")),"Tipo o categoría inválido",IF(COUNTA(A1444:J1444)=0,"",IF(OR(A1444="",B1444="",C1444="",G1444=""),"Faltan datos",IF(COUNTIF($A$7:$A$2006,A1444)&gt;1,"ID duplicado",IF(OR(B1444&lt;DATE(Configuración!$C$5,1,1),B1444&gt;=DATE(Configuración!$C$5+1,1,1)),"Fecha fuera del año",IF(OR(G1444&lt;0,H1444&lt;0),"Revisar signo",IF(AND(C1444&lt;&gt;"Servicio",H1444&lt;&gt;0),"IVA solo en Servicio",IF(AND(C1444="Servicio",F1444=""),"Falta servicio","OK")))))))))</f>
        <v/>
      </c>
    </row>
    <row r="1445" spans="1:12" ht="22" customHeight="1">
      <c r="A1445" s="3"/>
      <c r="B1445" s="7"/>
      <c r="C1445" s="3"/>
      <c r="D1445" s="3"/>
      <c r="E1445" s="3"/>
      <c r="F1445" s="3"/>
      <c r="G1445" s="4"/>
      <c r="H1445" s="4"/>
      <c r="I1445" s="3"/>
      <c r="J1445" s="3"/>
      <c r="K1445" s="8" t="str">
        <f t="shared" si="22"/>
        <v/>
      </c>
      <c r="L1445" s="1" t="str">
        <f>IF(COUNTA(A1445:J1445)=0,"",IF(OR(AND(C1445&lt;&gt;"Servicio",C1445&lt;&gt;"Cobro",C1445&lt;&gt;"Anticipo",C1445&lt;&gt;"Aplicación anticipo",C1445&lt;&gt;"Retención ISR",C1445&lt;&gt;"Retención IVA"),AND(C1445="Servicio",F1445&lt;&gt;"TMS",F1445&lt;&gt;"Valoración",F1445&lt;&gt;"EEG",F1445&lt;&gt;"Neurofeedback",F1445&lt;&gt;"Fotobiomodulación",F1445&lt;&gt;"Psicoterapia",F1445&lt;&gt;"Otros")),"Tipo o categoría inválido",IF(COUNTA(A1445:J1445)=0,"",IF(OR(A1445="",B1445="",C1445="",G1445=""),"Faltan datos",IF(COUNTIF($A$7:$A$2006,A1445)&gt;1,"ID duplicado",IF(OR(B1445&lt;DATE(Configuración!$C$5,1,1),B1445&gt;=DATE(Configuración!$C$5+1,1,1)),"Fecha fuera del año",IF(OR(G1445&lt;0,H1445&lt;0),"Revisar signo",IF(AND(C1445&lt;&gt;"Servicio",H1445&lt;&gt;0),"IVA solo en Servicio",IF(AND(C1445="Servicio",F1445=""),"Falta servicio","OK")))))))))</f>
        <v/>
      </c>
    </row>
    <row r="1446" spans="1:12" ht="22" customHeight="1">
      <c r="A1446" s="3"/>
      <c r="B1446" s="7"/>
      <c r="C1446" s="3"/>
      <c r="D1446" s="3"/>
      <c r="E1446" s="3"/>
      <c r="F1446" s="3"/>
      <c r="G1446" s="4"/>
      <c r="H1446" s="4"/>
      <c r="I1446" s="3"/>
      <c r="J1446" s="3"/>
      <c r="K1446" s="8" t="str">
        <f t="shared" si="22"/>
        <v/>
      </c>
      <c r="L1446" s="1" t="str">
        <f>IF(COUNTA(A1446:J1446)=0,"",IF(OR(AND(C1446&lt;&gt;"Servicio",C1446&lt;&gt;"Cobro",C1446&lt;&gt;"Anticipo",C1446&lt;&gt;"Aplicación anticipo",C1446&lt;&gt;"Retención ISR",C1446&lt;&gt;"Retención IVA"),AND(C1446="Servicio",F1446&lt;&gt;"TMS",F1446&lt;&gt;"Valoración",F1446&lt;&gt;"EEG",F1446&lt;&gt;"Neurofeedback",F1446&lt;&gt;"Fotobiomodulación",F1446&lt;&gt;"Psicoterapia",F1446&lt;&gt;"Otros")),"Tipo o categoría inválido",IF(COUNTA(A1446:J1446)=0,"",IF(OR(A1446="",B1446="",C1446="",G1446=""),"Faltan datos",IF(COUNTIF($A$7:$A$2006,A1446)&gt;1,"ID duplicado",IF(OR(B1446&lt;DATE(Configuración!$C$5,1,1),B1446&gt;=DATE(Configuración!$C$5+1,1,1)),"Fecha fuera del año",IF(OR(G1446&lt;0,H1446&lt;0),"Revisar signo",IF(AND(C1446&lt;&gt;"Servicio",H1446&lt;&gt;0),"IVA solo en Servicio",IF(AND(C1446="Servicio",F1446=""),"Falta servicio","OK")))))))))</f>
        <v/>
      </c>
    </row>
    <row r="1447" spans="1:12" ht="22" customHeight="1">
      <c r="A1447" s="3"/>
      <c r="B1447" s="7"/>
      <c r="C1447" s="3"/>
      <c r="D1447" s="3"/>
      <c r="E1447" s="3"/>
      <c r="F1447" s="3"/>
      <c r="G1447" s="4"/>
      <c r="H1447" s="4"/>
      <c r="I1447" s="3"/>
      <c r="J1447" s="3"/>
      <c r="K1447" s="8" t="str">
        <f t="shared" si="22"/>
        <v/>
      </c>
      <c r="L1447" s="1" t="str">
        <f>IF(COUNTA(A1447:J1447)=0,"",IF(OR(AND(C1447&lt;&gt;"Servicio",C1447&lt;&gt;"Cobro",C1447&lt;&gt;"Anticipo",C1447&lt;&gt;"Aplicación anticipo",C1447&lt;&gt;"Retención ISR",C1447&lt;&gt;"Retención IVA"),AND(C1447="Servicio",F1447&lt;&gt;"TMS",F1447&lt;&gt;"Valoración",F1447&lt;&gt;"EEG",F1447&lt;&gt;"Neurofeedback",F1447&lt;&gt;"Fotobiomodulación",F1447&lt;&gt;"Psicoterapia",F1447&lt;&gt;"Otros")),"Tipo o categoría inválido",IF(COUNTA(A1447:J1447)=0,"",IF(OR(A1447="",B1447="",C1447="",G1447=""),"Faltan datos",IF(COUNTIF($A$7:$A$2006,A1447)&gt;1,"ID duplicado",IF(OR(B1447&lt;DATE(Configuración!$C$5,1,1),B1447&gt;=DATE(Configuración!$C$5+1,1,1)),"Fecha fuera del año",IF(OR(G1447&lt;0,H1447&lt;0),"Revisar signo",IF(AND(C1447&lt;&gt;"Servicio",H1447&lt;&gt;0),"IVA solo en Servicio",IF(AND(C1447="Servicio",F1447=""),"Falta servicio","OK")))))))))</f>
        <v/>
      </c>
    </row>
    <row r="1448" spans="1:12" ht="22" customHeight="1">
      <c r="A1448" s="3"/>
      <c r="B1448" s="7"/>
      <c r="C1448" s="3"/>
      <c r="D1448" s="3"/>
      <c r="E1448" s="3"/>
      <c r="F1448" s="3"/>
      <c r="G1448" s="4"/>
      <c r="H1448" s="4"/>
      <c r="I1448" s="3"/>
      <c r="J1448" s="3"/>
      <c r="K1448" s="8" t="str">
        <f t="shared" si="22"/>
        <v/>
      </c>
      <c r="L1448" s="1" t="str">
        <f>IF(COUNTA(A1448:J1448)=0,"",IF(OR(AND(C1448&lt;&gt;"Servicio",C1448&lt;&gt;"Cobro",C1448&lt;&gt;"Anticipo",C1448&lt;&gt;"Aplicación anticipo",C1448&lt;&gt;"Retención ISR",C1448&lt;&gt;"Retención IVA"),AND(C1448="Servicio",F1448&lt;&gt;"TMS",F1448&lt;&gt;"Valoración",F1448&lt;&gt;"EEG",F1448&lt;&gt;"Neurofeedback",F1448&lt;&gt;"Fotobiomodulación",F1448&lt;&gt;"Psicoterapia",F1448&lt;&gt;"Otros")),"Tipo o categoría inválido",IF(COUNTA(A1448:J1448)=0,"",IF(OR(A1448="",B1448="",C1448="",G1448=""),"Faltan datos",IF(COUNTIF($A$7:$A$2006,A1448)&gt;1,"ID duplicado",IF(OR(B1448&lt;DATE(Configuración!$C$5,1,1),B1448&gt;=DATE(Configuración!$C$5+1,1,1)),"Fecha fuera del año",IF(OR(G1448&lt;0,H1448&lt;0),"Revisar signo",IF(AND(C1448&lt;&gt;"Servicio",H1448&lt;&gt;0),"IVA solo en Servicio",IF(AND(C1448="Servicio",F1448=""),"Falta servicio","OK")))))))))</f>
        <v/>
      </c>
    </row>
    <row r="1449" spans="1:12" ht="22" customHeight="1">
      <c r="A1449" s="3"/>
      <c r="B1449" s="7"/>
      <c r="C1449" s="3"/>
      <c r="D1449" s="3"/>
      <c r="E1449" s="3"/>
      <c r="F1449" s="3"/>
      <c r="G1449" s="4"/>
      <c r="H1449" s="4"/>
      <c r="I1449" s="3"/>
      <c r="J1449" s="3"/>
      <c r="K1449" s="8" t="str">
        <f t="shared" si="22"/>
        <v/>
      </c>
      <c r="L1449" s="1" t="str">
        <f>IF(COUNTA(A1449:J1449)=0,"",IF(OR(AND(C1449&lt;&gt;"Servicio",C1449&lt;&gt;"Cobro",C1449&lt;&gt;"Anticipo",C1449&lt;&gt;"Aplicación anticipo",C1449&lt;&gt;"Retención ISR",C1449&lt;&gt;"Retención IVA"),AND(C1449="Servicio",F1449&lt;&gt;"TMS",F1449&lt;&gt;"Valoración",F1449&lt;&gt;"EEG",F1449&lt;&gt;"Neurofeedback",F1449&lt;&gt;"Fotobiomodulación",F1449&lt;&gt;"Psicoterapia",F1449&lt;&gt;"Otros")),"Tipo o categoría inválido",IF(COUNTA(A1449:J1449)=0,"",IF(OR(A1449="",B1449="",C1449="",G1449=""),"Faltan datos",IF(COUNTIF($A$7:$A$2006,A1449)&gt;1,"ID duplicado",IF(OR(B1449&lt;DATE(Configuración!$C$5,1,1),B1449&gt;=DATE(Configuración!$C$5+1,1,1)),"Fecha fuera del año",IF(OR(G1449&lt;0,H1449&lt;0),"Revisar signo",IF(AND(C1449&lt;&gt;"Servicio",H1449&lt;&gt;0),"IVA solo en Servicio",IF(AND(C1449="Servicio",F1449=""),"Falta servicio","OK")))))))))</f>
        <v/>
      </c>
    </row>
    <row r="1450" spans="1:12" ht="22" customHeight="1">
      <c r="A1450" s="3"/>
      <c r="B1450" s="7"/>
      <c r="C1450" s="3"/>
      <c r="D1450" s="3"/>
      <c r="E1450" s="3"/>
      <c r="F1450" s="3"/>
      <c r="G1450" s="4"/>
      <c r="H1450" s="4"/>
      <c r="I1450" s="3"/>
      <c r="J1450" s="3"/>
      <c r="K1450" s="8" t="str">
        <f t="shared" si="22"/>
        <v/>
      </c>
      <c r="L1450" s="1" t="str">
        <f>IF(COUNTA(A1450:J1450)=0,"",IF(OR(AND(C1450&lt;&gt;"Servicio",C1450&lt;&gt;"Cobro",C1450&lt;&gt;"Anticipo",C1450&lt;&gt;"Aplicación anticipo",C1450&lt;&gt;"Retención ISR",C1450&lt;&gt;"Retención IVA"),AND(C1450="Servicio",F1450&lt;&gt;"TMS",F1450&lt;&gt;"Valoración",F1450&lt;&gt;"EEG",F1450&lt;&gt;"Neurofeedback",F1450&lt;&gt;"Fotobiomodulación",F1450&lt;&gt;"Psicoterapia",F1450&lt;&gt;"Otros")),"Tipo o categoría inválido",IF(COUNTA(A1450:J1450)=0,"",IF(OR(A1450="",B1450="",C1450="",G1450=""),"Faltan datos",IF(COUNTIF($A$7:$A$2006,A1450)&gt;1,"ID duplicado",IF(OR(B1450&lt;DATE(Configuración!$C$5,1,1),B1450&gt;=DATE(Configuración!$C$5+1,1,1)),"Fecha fuera del año",IF(OR(G1450&lt;0,H1450&lt;0),"Revisar signo",IF(AND(C1450&lt;&gt;"Servicio",H1450&lt;&gt;0),"IVA solo en Servicio",IF(AND(C1450="Servicio",F1450=""),"Falta servicio","OK")))))))))</f>
        <v/>
      </c>
    </row>
    <row r="1451" spans="1:12" ht="22" customHeight="1">
      <c r="A1451" s="3"/>
      <c r="B1451" s="7"/>
      <c r="C1451" s="3"/>
      <c r="D1451" s="3"/>
      <c r="E1451" s="3"/>
      <c r="F1451" s="3"/>
      <c r="G1451" s="4"/>
      <c r="H1451" s="4"/>
      <c r="I1451" s="3"/>
      <c r="J1451" s="3"/>
      <c r="K1451" s="8" t="str">
        <f t="shared" si="22"/>
        <v/>
      </c>
      <c r="L1451" s="1" t="str">
        <f>IF(COUNTA(A1451:J1451)=0,"",IF(OR(AND(C1451&lt;&gt;"Servicio",C1451&lt;&gt;"Cobro",C1451&lt;&gt;"Anticipo",C1451&lt;&gt;"Aplicación anticipo",C1451&lt;&gt;"Retención ISR",C1451&lt;&gt;"Retención IVA"),AND(C1451="Servicio",F1451&lt;&gt;"TMS",F1451&lt;&gt;"Valoración",F1451&lt;&gt;"EEG",F1451&lt;&gt;"Neurofeedback",F1451&lt;&gt;"Fotobiomodulación",F1451&lt;&gt;"Psicoterapia",F1451&lt;&gt;"Otros")),"Tipo o categoría inválido",IF(COUNTA(A1451:J1451)=0,"",IF(OR(A1451="",B1451="",C1451="",G1451=""),"Faltan datos",IF(COUNTIF($A$7:$A$2006,A1451)&gt;1,"ID duplicado",IF(OR(B1451&lt;DATE(Configuración!$C$5,1,1),B1451&gt;=DATE(Configuración!$C$5+1,1,1)),"Fecha fuera del año",IF(OR(G1451&lt;0,H1451&lt;0),"Revisar signo",IF(AND(C1451&lt;&gt;"Servicio",H1451&lt;&gt;0),"IVA solo en Servicio",IF(AND(C1451="Servicio",F1451=""),"Falta servicio","OK")))))))))</f>
        <v/>
      </c>
    </row>
    <row r="1452" spans="1:12" ht="22" customHeight="1">
      <c r="A1452" s="3"/>
      <c r="B1452" s="7"/>
      <c r="C1452" s="3"/>
      <c r="D1452" s="3"/>
      <c r="E1452" s="3"/>
      <c r="F1452" s="3"/>
      <c r="G1452" s="4"/>
      <c r="H1452" s="4"/>
      <c r="I1452" s="3"/>
      <c r="J1452" s="3"/>
      <c r="K1452" s="8" t="str">
        <f t="shared" si="22"/>
        <v/>
      </c>
      <c r="L1452" s="1" t="str">
        <f>IF(COUNTA(A1452:J1452)=0,"",IF(OR(AND(C1452&lt;&gt;"Servicio",C1452&lt;&gt;"Cobro",C1452&lt;&gt;"Anticipo",C1452&lt;&gt;"Aplicación anticipo",C1452&lt;&gt;"Retención ISR",C1452&lt;&gt;"Retención IVA"),AND(C1452="Servicio",F1452&lt;&gt;"TMS",F1452&lt;&gt;"Valoración",F1452&lt;&gt;"EEG",F1452&lt;&gt;"Neurofeedback",F1452&lt;&gt;"Fotobiomodulación",F1452&lt;&gt;"Psicoterapia",F1452&lt;&gt;"Otros")),"Tipo o categoría inválido",IF(COUNTA(A1452:J1452)=0,"",IF(OR(A1452="",B1452="",C1452="",G1452=""),"Faltan datos",IF(COUNTIF($A$7:$A$2006,A1452)&gt;1,"ID duplicado",IF(OR(B1452&lt;DATE(Configuración!$C$5,1,1),B1452&gt;=DATE(Configuración!$C$5+1,1,1)),"Fecha fuera del año",IF(OR(G1452&lt;0,H1452&lt;0),"Revisar signo",IF(AND(C1452&lt;&gt;"Servicio",H1452&lt;&gt;0),"IVA solo en Servicio",IF(AND(C1452="Servicio",F1452=""),"Falta servicio","OK")))))))))</f>
        <v/>
      </c>
    </row>
    <row r="1453" spans="1:12" ht="22" customHeight="1">
      <c r="A1453" s="3"/>
      <c r="B1453" s="7"/>
      <c r="C1453" s="3"/>
      <c r="D1453" s="3"/>
      <c r="E1453" s="3"/>
      <c r="F1453" s="3"/>
      <c r="G1453" s="4"/>
      <c r="H1453" s="4"/>
      <c r="I1453" s="3"/>
      <c r="J1453" s="3"/>
      <c r="K1453" s="8" t="str">
        <f t="shared" si="22"/>
        <v/>
      </c>
      <c r="L1453" s="1" t="str">
        <f>IF(COUNTA(A1453:J1453)=0,"",IF(OR(AND(C1453&lt;&gt;"Servicio",C1453&lt;&gt;"Cobro",C1453&lt;&gt;"Anticipo",C1453&lt;&gt;"Aplicación anticipo",C1453&lt;&gt;"Retención ISR",C1453&lt;&gt;"Retención IVA"),AND(C1453="Servicio",F1453&lt;&gt;"TMS",F1453&lt;&gt;"Valoración",F1453&lt;&gt;"EEG",F1453&lt;&gt;"Neurofeedback",F1453&lt;&gt;"Fotobiomodulación",F1453&lt;&gt;"Psicoterapia",F1453&lt;&gt;"Otros")),"Tipo o categoría inválido",IF(COUNTA(A1453:J1453)=0,"",IF(OR(A1453="",B1453="",C1453="",G1453=""),"Faltan datos",IF(COUNTIF($A$7:$A$2006,A1453)&gt;1,"ID duplicado",IF(OR(B1453&lt;DATE(Configuración!$C$5,1,1),B1453&gt;=DATE(Configuración!$C$5+1,1,1)),"Fecha fuera del año",IF(OR(G1453&lt;0,H1453&lt;0),"Revisar signo",IF(AND(C1453&lt;&gt;"Servicio",H1453&lt;&gt;0),"IVA solo en Servicio",IF(AND(C1453="Servicio",F1453=""),"Falta servicio","OK")))))))))</f>
        <v/>
      </c>
    </row>
    <row r="1454" spans="1:12" ht="22" customHeight="1">
      <c r="A1454" s="3"/>
      <c r="B1454" s="7"/>
      <c r="C1454" s="3"/>
      <c r="D1454" s="3"/>
      <c r="E1454" s="3"/>
      <c r="F1454" s="3"/>
      <c r="G1454" s="4"/>
      <c r="H1454" s="4"/>
      <c r="I1454" s="3"/>
      <c r="J1454" s="3"/>
      <c r="K1454" s="8" t="str">
        <f t="shared" si="22"/>
        <v/>
      </c>
      <c r="L1454" s="1" t="str">
        <f>IF(COUNTA(A1454:J1454)=0,"",IF(OR(AND(C1454&lt;&gt;"Servicio",C1454&lt;&gt;"Cobro",C1454&lt;&gt;"Anticipo",C1454&lt;&gt;"Aplicación anticipo",C1454&lt;&gt;"Retención ISR",C1454&lt;&gt;"Retención IVA"),AND(C1454="Servicio",F1454&lt;&gt;"TMS",F1454&lt;&gt;"Valoración",F1454&lt;&gt;"EEG",F1454&lt;&gt;"Neurofeedback",F1454&lt;&gt;"Fotobiomodulación",F1454&lt;&gt;"Psicoterapia",F1454&lt;&gt;"Otros")),"Tipo o categoría inválido",IF(COUNTA(A1454:J1454)=0,"",IF(OR(A1454="",B1454="",C1454="",G1454=""),"Faltan datos",IF(COUNTIF($A$7:$A$2006,A1454)&gt;1,"ID duplicado",IF(OR(B1454&lt;DATE(Configuración!$C$5,1,1),B1454&gt;=DATE(Configuración!$C$5+1,1,1)),"Fecha fuera del año",IF(OR(G1454&lt;0,H1454&lt;0),"Revisar signo",IF(AND(C1454&lt;&gt;"Servicio",H1454&lt;&gt;0),"IVA solo en Servicio",IF(AND(C1454="Servicio",F1454=""),"Falta servicio","OK")))))))))</f>
        <v/>
      </c>
    </row>
    <row r="1455" spans="1:12" ht="22" customHeight="1">
      <c r="A1455" s="3"/>
      <c r="B1455" s="7"/>
      <c r="C1455" s="3"/>
      <c r="D1455" s="3"/>
      <c r="E1455" s="3"/>
      <c r="F1455" s="3"/>
      <c r="G1455" s="4"/>
      <c r="H1455" s="4"/>
      <c r="I1455" s="3"/>
      <c r="J1455" s="3"/>
      <c r="K1455" s="8" t="str">
        <f t="shared" si="22"/>
        <v/>
      </c>
      <c r="L1455" s="1" t="str">
        <f>IF(COUNTA(A1455:J1455)=0,"",IF(OR(AND(C1455&lt;&gt;"Servicio",C1455&lt;&gt;"Cobro",C1455&lt;&gt;"Anticipo",C1455&lt;&gt;"Aplicación anticipo",C1455&lt;&gt;"Retención ISR",C1455&lt;&gt;"Retención IVA"),AND(C1455="Servicio",F1455&lt;&gt;"TMS",F1455&lt;&gt;"Valoración",F1455&lt;&gt;"EEG",F1455&lt;&gt;"Neurofeedback",F1455&lt;&gt;"Fotobiomodulación",F1455&lt;&gt;"Psicoterapia",F1455&lt;&gt;"Otros")),"Tipo o categoría inválido",IF(COUNTA(A1455:J1455)=0,"",IF(OR(A1455="",B1455="",C1455="",G1455=""),"Faltan datos",IF(COUNTIF($A$7:$A$2006,A1455)&gt;1,"ID duplicado",IF(OR(B1455&lt;DATE(Configuración!$C$5,1,1),B1455&gt;=DATE(Configuración!$C$5+1,1,1)),"Fecha fuera del año",IF(OR(G1455&lt;0,H1455&lt;0),"Revisar signo",IF(AND(C1455&lt;&gt;"Servicio",H1455&lt;&gt;0),"IVA solo en Servicio",IF(AND(C1455="Servicio",F1455=""),"Falta servicio","OK")))))))))</f>
        <v/>
      </c>
    </row>
    <row r="1456" spans="1:12" ht="22" customHeight="1">
      <c r="A1456" s="3"/>
      <c r="B1456" s="7"/>
      <c r="C1456" s="3"/>
      <c r="D1456" s="3"/>
      <c r="E1456" s="3"/>
      <c r="F1456" s="3"/>
      <c r="G1456" s="4"/>
      <c r="H1456" s="4"/>
      <c r="I1456" s="3"/>
      <c r="J1456" s="3"/>
      <c r="K1456" s="8" t="str">
        <f t="shared" si="22"/>
        <v/>
      </c>
      <c r="L1456" s="1" t="str">
        <f>IF(COUNTA(A1456:J1456)=0,"",IF(OR(AND(C1456&lt;&gt;"Servicio",C1456&lt;&gt;"Cobro",C1456&lt;&gt;"Anticipo",C1456&lt;&gt;"Aplicación anticipo",C1456&lt;&gt;"Retención ISR",C1456&lt;&gt;"Retención IVA"),AND(C1456="Servicio",F1456&lt;&gt;"TMS",F1456&lt;&gt;"Valoración",F1456&lt;&gt;"EEG",F1456&lt;&gt;"Neurofeedback",F1456&lt;&gt;"Fotobiomodulación",F1456&lt;&gt;"Psicoterapia",F1456&lt;&gt;"Otros")),"Tipo o categoría inválido",IF(COUNTA(A1456:J1456)=0,"",IF(OR(A1456="",B1456="",C1456="",G1456=""),"Faltan datos",IF(COUNTIF($A$7:$A$2006,A1456)&gt;1,"ID duplicado",IF(OR(B1456&lt;DATE(Configuración!$C$5,1,1),B1456&gt;=DATE(Configuración!$C$5+1,1,1)),"Fecha fuera del año",IF(OR(G1456&lt;0,H1456&lt;0),"Revisar signo",IF(AND(C1456&lt;&gt;"Servicio",H1456&lt;&gt;0),"IVA solo en Servicio",IF(AND(C1456="Servicio",F1456=""),"Falta servicio","OK")))))))))</f>
        <v/>
      </c>
    </row>
    <row r="1457" spans="1:12" ht="22" customHeight="1">
      <c r="A1457" s="3"/>
      <c r="B1457" s="7"/>
      <c r="C1457" s="3"/>
      <c r="D1457" s="3"/>
      <c r="E1457" s="3"/>
      <c r="F1457" s="3"/>
      <c r="G1457" s="4"/>
      <c r="H1457" s="4"/>
      <c r="I1457" s="3"/>
      <c r="J1457" s="3"/>
      <c r="K1457" s="8" t="str">
        <f t="shared" si="22"/>
        <v/>
      </c>
      <c r="L1457" s="1" t="str">
        <f>IF(COUNTA(A1457:J1457)=0,"",IF(OR(AND(C1457&lt;&gt;"Servicio",C1457&lt;&gt;"Cobro",C1457&lt;&gt;"Anticipo",C1457&lt;&gt;"Aplicación anticipo",C1457&lt;&gt;"Retención ISR",C1457&lt;&gt;"Retención IVA"),AND(C1457="Servicio",F1457&lt;&gt;"TMS",F1457&lt;&gt;"Valoración",F1457&lt;&gt;"EEG",F1457&lt;&gt;"Neurofeedback",F1457&lt;&gt;"Fotobiomodulación",F1457&lt;&gt;"Psicoterapia",F1457&lt;&gt;"Otros")),"Tipo o categoría inválido",IF(COUNTA(A1457:J1457)=0,"",IF(OR(A1457="",B1457="",C1457="",G1457=""),"Faltan datos",IF(COUNTIF($A$7:$A$2006,A1457)&gt;1,"ID duplicado",IF(OR(B1457&lt;DATE(Configuración!$C$5,1,1),B1457&gt;=DATE(Configuración!$C$5+1,1,1)),"Fecha fuera del año",IF(OR(G1457&lt;0,H1457&lt;0),"Revisar signo",IF(AND(C1457&lt;&gt;"Servicio",H1457&lt;&gt;0),"IVA solo en Servicio",IF(AND(C1457="Servicio",F1457=""),"Falta servicio","OK")))))))))</f>
        <v/>
      </c>
    </row>
    <row r="1458" spans="1:12" ht="22" customHeight="1">
      <c r="A1458" s="3"/>
      <c r="B1458" s="7"/>
      <c r="C1458" s="3"/>
      <c r="D1458" s="3"/>
      <c r="E1458" s="3"/>
      <c r="F1458" s="3"/>
      <c r="G1458" s="4"/>
      <c r="H1458" s="4"/>
      <c r="I1458" s="3"/>
      <c r="J1458" s="3"/>
      <c r="K1458" s="8" t="str">
        <f t="shared" si="22"/>
        <v/>
      </c>
      <c r="L1458" s="1" t="str">
        <f>IF(COUNTA(A1458:J1458)=0,"",IF(OR(AND(C1458&lt;&gt;"Servicio",C1458&lt;&gt;"Cobro",C1458&lt;&gt;"Anticipo",C1458&lt;&gt;"Aplicación anticipo",C1458&lt;&gt;"Retención ISR",C1458&lt;&gt;"Retención IVA"),AND(C1458="Servicio",F1458&lt;&gt;"TMS",F1458&lt;&gt;"Valoración",F1458&lt;&gt;"EEG",F1458&lt;&gt;"Neurofeedback",F1458&lt;&gt;"Fotobiomodulación",F1458&lt;&gt;"Psicoterapia",F1458&lt;&gt;"Otros")),"Tipo o categoría inválido",IF(COUNTA(A1458:J1458)=0,"",IF(OR(A1458="",B1458="",C1458="",G1458=""),"Faltan datos",IF(COUNTIF($A$7:$A$2006,A1458)&gt;1,"ID duplicado",IF(OR(B1458&lt;DATE(Configuración!$C$5,1,1),B1458&gt;=DATE(Configuración!$C$5+1,1,1)),"Fecha fuera del año",IF(OR(G1458&lt;0,H1458&lt;0),"Revisar signo",IF(AND(C1458&lt;&gt;"Servicio",H1458&lt;&gt;0),"IVA solo en Servicio",IF(AND(C1458="Servicio",F1458=""),"Falta servicio","OK")))))))))</f>
        <v/>
      </c>
    </row>
    <row r="1459" spans="1:12" ht="22" customHeight="1">
      <c r="A1459" s="3"/>
      <c r="B1459" s="7"/>
      <c r="C1459" s="3"/>
      <c r="D1459" s="3"/>
      <c r="E1459" s="3"/>
      <c r="F1459" s="3"/>
      <c r="G1459" s="4"/>
      <c r="H1459" s="4"/>
      <c r="I1459" s="3"/>
      <c r="J1459" s="3"/>
      <c r="K1459" s="8" t="str">
        <f t="shared" si="22"/>
        <v/>
      </c>
      <c r="L1459" s="1" t="str">
        <f>IF(COUNTA(A1459:J1459)=0,"",IF(OR(AND(C1459&lt;&gt;"Servicio",C1459&lt;&gt;"Cobro",C1459&lt;&gt;"Anticipo",C1459&lt;&gt;"Aplicación anticipo",C1459&lt;&gt;"Retención ISR",C1459&lt;&gt;"Retención IVA"),AND(C1459="Servicio",F1459&lt;&gt;"TMS",F1459&lt;&gt;"Valoración",F1459&lt;&gt;"EEG",F1459&lt;&gt;"Neurofeedback",F1459&lt;&gt;"Fotobiomodulación",F1459&lt;&gt;"Psicoterapia",F1459&lt;&gt;"Otros")),"Tipo o categoría inválido",IF(COUNTA(A1459:J1459)=0,"",IF(OR(A1459="",B1459="",C1459="",G1459=""),"Faltan datos",IF(COUNTIF($A$7:$A$2006,A1459)&gt;1,"ID duplicado",IF(OR(B1459&lt;DATE(Configuración!$C$5,1,1),B1459&gt;=DATE(Configuración!$C$5+1,1,1)),"Fecha fuera del año",IF(OR(G1459&lt;0,H1459&lt;0),"Revisar signo",IF(AND(C1459&lt;&gt;"Servicio",H1459&lt;&gt;0),"IVA solo en Servicio",IF(AND(C1459="Servicio",F1459=""),"Falta servicio","OK")))))))))</f>
        <v/>
      </c>
    </row>
    <row r="1460" spans="1:12" ht="22" customHeight="1">
      <c r="A1460" s="3"/>
      <c r="B1460" s="7"/>
      <c r="C1460" s="3"/>
      <c r="D1460" s="3"/>
      <c r="E1460" s="3"/>
      <c r="F1460" s="3"/>
      <c r="G1460" s="4"/>
      <c r="H1460" s="4"/>
      <c r="I1460" s="3"/>
      <c r="J1460" s="3"/>
      <c r="K1460" s="8" t="str">
        <f t="shared" si="22"/>
        <v/>
      </c>
      <c r="L1460" s="1" t="str">
        <f>IF(COUNTA(A1460:J1460)=0,"",IF(OR(AND(C1460&lt;&gt;"Servicio",C1460&lt;&gt;"Cobro",C1460&lt;&gt;"Anticipo",C1460&lt;&gt;"Aplicación anticipo",C1460&lt;&gt;"Retención ISR",C1460&lt;&gt;"Retención IVA"),AND(C1460="Servicio",F1460&lt;&gt;"TMS",F1460&lt;&gt;"Valoración",F1460&lt;&gt;"EEG",F1460&lt;&gt;"Neurofeedback",F1460&lt;&gt;"Fotobiomodulación",F1460&lt;&gt;"Psicoterapia",F1460&lt;&gt;"Otros")),"Tipo o categoría inválido",IF(COUNTA(A1460:J1460)=0,"",IF(OR(A1460="",B1460="",C1460="",G1460=""),"Faltan datos",IF(COUNTIF($A$7:$A$2006,A1460)&gt;1,"ID duplicado",IF(OR(B1460&lt;DATE(Configuración!$C$5,1,1),B1460&gt;=DATE(Configuración!$C$5+1,1,1)),"Fecha fuera del año",IF(OR(G1460&lt;0,H1460&lt;0),"Revisar signo",IF(AND(C1460&lt;&gt;"Servicio",H1460&lt;&gt;0),"IVA solo en Servicio",IF(AND(C1460="Servicio",F1460=""),"Falta servicio","OK")))))))))</f>
        <v/>
      </c>
    </row>
    <row r="1461" spans="1:12" ht="22" customHeight="1">
      <c r="A1461" s="3"/>
      <c r="B1461" s="7"/>
      <c r="C1461" s="3"/>
      <c r="D1461" s="3"/>
      <c r="E1461" s="3"/>
      <c r="F1461" s="3"/>
      <c r="G1461" s="4"/>
      <c r="H1461" s="4"/>
      <c r="I1461" s="3"/>
      <c r="J1461" s="3"/>
      <c r="K1461" s="8" t="str">
        <f t="shared" si="22"/>
        <v/>
      </c>
      <c r="L1461" s="1" t="str">
        <f>IF(COUNTA(A1461:J1461)=0,"",IF(OR(AND(C1461&lt;&gt;"Servicio",C1461&lt;&gt;"Cobro",C1461&lt;&gt;"Anticipo",C1461&lt;&gt;"Aplicación anticipo",C1461&lt;&gt;"Retención ISR",C1461&lt;&gt;"Retención IVA"),AND(C1461="Servicio",F1461&lt;&gt;"TMS",F1461&lt;&gt;"Valoración",F1461&lt;&gt;"EEG",F1461&lt;&gt;"Neurofeedback",F1461&lt;&gt;"Fotobiomodulación",F1461&lt;&gt;"Psicoterapia",F1461&lt;&gt;"Otros")),"Tipo o categoría inválido",IF(COUNTA(A1461:J1461)=0,"",IF(OR(A1461="",B1461="",C1461="",G1461=""),"Faltan datos",IF(COUNTIF($A$7:$A$2006,A1461)&gt;1,"ID duplicado",IF(OR(B1461&lt;DATE(Configuración!$C$5,1,1),B1461&gt;=DATE(Configuración!$C$5+1,1,1)),"Fecha fuera del año",IF(OR(G1461&lt;0,H1461&lt;0),"Revisar signo",IF(AND(C1461&lt;&gt;"Servicio",H1461&lt;&gt;0),"IVA solo en Servicio",IF(AND(C1461="Servicio",F1461=""),"Falta servicio","OK")))))))))</f>
        <v/>
      </c>
    </row>
    <row r="1462" spans="1:12" ht="22" customHeight="1">
      <c r="A1462" s="3"/>
      <c r="B1462" s="7"/>
      <c r="C1462" s="3"/>
      <c r="D1462" s="3"/>
      <c r="E1462" s="3"/>
      <c r="F1462" s="3"/>
      <c r="G1462" s="4"/>
      <c r="H1462" s="4"/>
      <c r="I1462" s="3"/>
      <c r="J1462" s="3"/>
      <c r="K1462" s="8" t="str">
        <f t="shared" si="22"/>
        <v/>
      </c>
      <c r="L1462" s="1" t="str">
        <f>IF(COUNTA(A1462:J1462)=0,"",IF(OR(AND(C1462&lt;&gt;"Servicio",C1462&lt;&gt;"Cobro",C1462&lt;&gt;"Anticipo",C1462&lt;&gt;"Aplicación anticipo",C1462&lt;&gt;"Retención ISR",C1462&lt;&gt;"Retención IVA"),AND(C1462="Servicio",F1462&lt;&gt;"TMS",F1462&lt;&gt;"Valoración",F1462&lt;&gt;"EEG",F1462&lt;&gt;"Neurofeedback",F1462&lt;&gt;"Fotobiomodulación",F1462&lt;&gt;"Psicoterapia",F1462&lt;&gt;"Otros")),"Tipo o categoría inválido",IF(COUNTA(A1462:J1462)=0,"",IF(OR(A1462="",B1462="",C1462="",G1462=""),"Faltan datos",IF(COUNTIF($A$7:$A$2006,A1462)&gt;1,"ID duplicado",IF(OR(B1462&lt;DATE(Configuración!$C$5,1,1),B1462&gt;=DATE(Configuración!$C$5+1,1,1)),"Fecha fuera del año",IF(OR(G1462&lt;0,H1462&lt;0),"Revisar signo",IF(AND(C1462&lt;&gt;"Servicio",H1462&lt;&gt;0),"IVA solo en Servicio",IF(AND(C1462="Servicio",F1462=""),"Falta servicio","OK")))))))))</f>
        <v/>
      </c>
    </row>
    <row r="1463" spans="1:12" ht="22" customHeight="1">
      <c r="A1463" s="3"/>
      <c r="B1463" s="7"/>
      <c r="C1463" s="3"/>
      <c r="D1463" s="3"/>
      <c r="E1463" s="3"/>
      <c r="F1463" s="3"/>
      <c r="G1463" s="4"/>
      <c r="H1463" s="4"/>
      <c r="I1463" s="3"/>
      <c r="J1463" s="3"/>
      <c r="K1463" s="8" t="str">
        <f t="shared" si="22"/>
        <v/>
      </c>
      <c r="L1463" s="1" t="str">
        <f>IF(COUNTA(A1463:J1463)=0,"",IF(OR(AND(C1463&lt;&gt;"Servicio",C1463&lt;&gt;"Cobro",C1463&lt;&gt;"Anticipo",C1463&lt;&gt;"Aplicación anticipo",C1463&lt;&gt;"Retención ISR",C1463&lt;&gt;"Retención IVA"),AND(C1463="Servicio",F1463&lt;&gt;"TMS",F1463&lt;&gt;"Valoración",F1463&lt;&gt;"EEG",F1463&lt;&gt;"Neurofeedback",F1463&lt;&gt;"Fotobiomodulación",F1463&lt;&gt;"Psicoterapia",F1463&lt;&gt;"Otros")),"Tipo o categoría inválido",IF(COUNTA(A1463:J1463)=0,"",IF(OR(A1463="",B1463="",C1463="",G1463=""),"Faltan datos",IF(COUNTIF($A$7:$A$2006,A1463)&gt;1,"ID duplicado",IF(OR(B1463&lt;DATE(Configuración!$C$5,1,1),B1463&gt;=DATE(Configuración!$C$5+1,1,1)),"Fecha fuera del año",IF(OR(G1463&lt;0,H1463&lt;0),"Revisar signo",IF(AND(C1463&lt;&gt;"Servicio",H1463&lt;&gt;0),"IVA solo en Servicio",IF(AND(C1463="Servicio",F1463=""),"Falta servicio","OK")))))))))</f>
        <v/>
      </c>
    </row>
    <row r="1464" spans="1:12" ht="22" customHeight="1">
      <c r="A1464" s="3"/>
      <c r="B1464" s="7"/>
      <c r="C1464" s="3"/>
      <c r="D1464" s="3"/>
      <c r="E1464" s="3"/>
      <c r="F1464" s="3"/>
      <c r="G1464" s="4"/>
      <c r="H1464" s="4"/>
      <c r="I1464" s="3"/>
      <c r="J1464" s="3"/>
      <c r="K1464" s="8" t="str">
        <f t="shared" si="22"/>
        <v/>
      </c>
      <c r="L1464" s="1" t="str">
        <f>IF(COUNTA(A1464:J1464)=0,"",IF(OR(AND(C1464&lt;&gt;"Servicio",C1464&lt;&gt;"Cobro",C1464&lt;&gt;"Anticipo",C1464&lt;&gt;"Aplicación anticipo",C1464&lt;&gt;"Retención ISR",C1464&lt;&gt;"Retención IVA"),AND(C1464="Servicio",F1464&lt;&gt;"TMS",F1464&lt;&gt;"Valoración",F1464&lt;&gt;"EEG",F1464&lt;&gt;"Neurofeedback",F1464&lt;&gt;"Fotobiomodulación",F1464&lt;&gt;"Psicoterapia",F1464&lt;&gt;"Otros")),"Tipo o categoría inválido",IF(COUNTA(A1464:J1464)=0,"",IF(OR(A1464="",B1464="",C1464="",G1464=""),"Faltan datos",IF(COUNTIF($A$7:$A$2006,A1464)&gt;1,"ID duplicado",IF(OR(B1464&lt;DATE(Configuración!$C$5,1,1),B1464&gt;=DATE(Configuración!$C$5+1,1,1)),"Fecha fuera del año",IF(OR(G1464&lt;0,H1464&lt;0),"Revisar signo",IF(AND(C1464&lt;&gt;"Servicio",H1464&lt;&gt;0),"IVA solo en Servicio",IF(AND(C1464="Servicio",F1464=""),"Falta servicio","OK")))))))))</f>
        <v/>
      </c>
    </row>
    <row r="1465" spans="1:12" ht="22" customHeight="1">
      <c r="A1465" s="3"/>
      <c r="B1465" s="7"/>
      <c r="C1465" s="3"/>
      <c r="D1465" s="3"/>
      <c r="E1465" s="3"/>
      <c r="F1465" s="3"/>
      <c r="G1465" s="4"/>
      <c r="H1465" s="4"/>
      <c r="I1465" s="3"/>
      <c r="J1465" s="3"/>
      <c r="K1465" s="8" t="str">
        <f t="shared" si="22"/>
        <v/>
      </c>
      <c r="L1465" s="1" t="str">
        <f>IF(COUNTA(A1465:J1465)=0,"",IF(OR(AND(C1465&lt;&gt;"Servicio",C1465&lt;&gt;"Cobro",C1465&lt;&gt;"Anticipo",C1465&lt;&gt;"Aplicación anticipo",C1465&lt;&gt;"Retención ISR",C1465&lt;&gt;"Retención IVA"),AND(C1465="Servicio",F1465&lt;&gt;"TMS",F1465&lt;&gt;"Valoración",F1465&lt;&gt;"EEG",F1465&lt;&gt;"Neurofeedback",F1465&lt;&gt;"Fotobiomodulación",F1465&lt;&gt;"Psicoterapia",F1465&lt;&gt;"Otros")),"Tipo o categoría inválido",IF(COUNTA(A1465:J1465)=0,"",IF(OR(A1465="",B1465="",C1465="",G1465=""),"Faltan datos",IF(COUNTIF($A$7:$A$2006,A1465)&gt;1,"ID duplicado",IF(OR(B1465&lt;DATE(Configuración!$C$5,1,1),B1465&gt;=DATE(Configuración!$C$5+1,1,1)),"Fecha fuera del año",IF(OR(G1465&lt;0,H1465&lt;0),"Revisar signo",IF(AND(C1465&lt;&gt;"Servicio",H1465&lt;&gt;0),"IVA solo en Servicio",IF(AND(C1465="Servicio",F1465=""),"Falta servicio","OK")))))))))</f>
        <v/>
      </c>
    </row>
    <row r="1466" spans="1:12" ht="22" customHeight="1">
      <c r="A1466" s="3"/>
      <c r="B1466" s="7"/>
      <c r="C1466" s="3"/>
      <c r="D1466" s="3"/>
      <c r="E1466" s="3"/>
      <c r="F1466" s="3"/>
      <c r="G1466" s="4"/>
      <c r="H1466" s="4"/>
      <c r="I1466" s="3"/>
      <c r="J1466" s="3"/>
      <c r="K1466" s="8" t="str">
        <f t="shared" si="22"/>
        <v/>
      </c>
      <c r="L1466" s="1" t="str">
        <f>IF(COUNTA(A1466:J1466)=0,"",IF(OR(AND(C1466&lt;&gt;"Servicio",C1466&lt;&gt;"Cobro",C1466&lt;&gt;"Anticipo",C1466&lt;&gt;"Aplicación anticipo",C1466&lt;&gt;"Retención ISR",C1466&lt;&gt;"Retención IVA"),AND(C1466="Servicio",F1466&lt;&gt;"TMS",F1466&lt;&gt;"Valoración",F1466&lt;&gt;"EEG",F1466&lt;&gt;"Neurofeedback",F1466&lt;&gt;"Fotobiomodulación",F1466&lt;&gt;"Psicoterapia",F1466&lt;&gt;"Otros")),"Tipo o categoría inválido",IF(COUNTA(A1466:J1466)=0,"",IF(OR(A1466="",B1466="",C1466="",G1466=""),"Faltan datos",IF(COUNTIF($A$7:$A$2006,A1466)&gt;1,"ID duplicado",IF(OR(B1466&lt;DATE(Configuración!$C$5,1,1),B1466&gt;=DATE(Configuración!$C$5+1,1,1)),"Fecha fuera del año",IF(OR(G1466&lt;0,H1466&lt;0),"Revisar signo",IF(AND(C1466&lt;&gt;"Servicio",H1466&lt;&gt;0),"IVA solo en Servicio",IF(AND(C1466="Servicio",F1466=""),"Falta servicio","OK")))))))))</f>
        <v/>
      </c>
    </row>
    <row r="1467" spans="1:12" ht="22" customHeight="1">
      <c r="A1467" s="3"/>
      <c r="B1467" s="7"/>
      <c r="C1467" s="3"/>
      <c r="D1467" s="3"/>
      <c r="E1467" s="3"/>
      <c r="F1467" s="3"/>
      <c r="G1467" s="4"/>
      <c r="H1467" s="4"/>
      <c r="I1467" s="3"/>
      <c r="J1467" s="3"/>
      <c r="K1467" s="8" t="str">
        <f t="shared" si="22"/>
        <v/>
      </c>
      <c r="L1467" s="1" t="str">
        <f>IF(COUNTA(A1467:J1467)=0,"",IF(OR(AND(C1467&lt;&gt;"Servicio",C1467&lt;&gt;"Cobro",C1467&lt;&gt;"Anticipo",C1467&lt;&gt;"Aplicación anticipo",C1467&lt;&gt;"Retención ISR",C1467&lt;&gt;"Retención IVA"),AND(C1467="Servicio",F1467&lt;&gt;"TMS",F1467&lt;&gt;"Valoración",F1467&lt;&gt;"EEG",F1467&lt;&gt;"Neurofeedback",F1467&lt;&gt;"Fotobiomodulación",F1467&lt;&gt;"Psicoterapia",F1467&lt;&gt;"Otros")),"Tipo o categoría inválido",IF(COUNTA(A1467:J1467)=0,"",IF(OR(A1467="",B1467="",C1467="",G1467=""),"Faltan datos",IF(COUNTIF($A$7:$A$2006,A1467)&gt;1,"ID duplicado",IF(OR(B1467&lt;DATE(Configuración!$C$5,1,1),B1467&gt;=DATE(Configuración!$C$5+1,1,1)),"Fecha fuera del año",IF(OR(G1467&lt;0,H1467&lt;0),"Revisar signo",IF(AND(C1467&lt;&gt;"Servicio",H1467&lt;&gt;0),"IVA solo en Servicio",IF(AND(C1467="Servicio",F1467=""),"Falta servicio","OK")))))))))</f>
        <v/>
      </c>
    </row>
    <row r="1468" spans="1:12" ht="22" customHeight="1">
      <c r="A1468" s="3"/>
      <c r="B1468" s="7"/>
      <c r="C1468" s="3"/>
      <c r="D1468" s="3"/>
      <c r="E1468" s="3"/>
      <c r="F1468" s="3"/>
      <c r="G1468" s="4"/>
      <c r="H1468" s="4"/>
      <c r="I1468" s="3"/>
      <c r="J1468" s="3"/>
      <c r="K1468" s="8" t="str">
        <f t="shared" si="22"/>
        <v/>
      </c>
      <c r="L1468" s="1" t="str">
        <f>IF(COUNTA(A1468:J1468)=0,"",IF(OR(AND(C1468&lt;&gt;"Servicio",C1468&lt;&gt;"Cobro",C1468&lt;&gt;"Anticipo",C1468&lt;&gt;"Aplicación anticipo",C1468&lt;&gt;"Retención ISR",C1468&lt;&gt;"Retención IVA"),AND(C1468="Servicio",F1468&lt;&gt;"TMS",F1468&lt;&gt;"Valoración",F1468&lt;&gt;"EEG",F1468&lt;&gt;"Neurofeedback",F1468&lt;&gt;"Fotobiomodulación",F1468&lt;&gt;"Psicoterapia",F1468&lt;&gt;"Otros")),"Tipo o categoría inválido",IF(COUNTA(A1468:J1468)=0,"",IF(OR(A1468="",B1468="",C1468="",G1468=""),"Faltan datos",IF(COUNTIF($A$7:$A$2006,A1468)&gt;1,"ID duplicado",IF(OR(B1468&lt;DATE(Configuración!$C$5,1,1),B1468&gt;=DATE(Configuración!$C$5+1,1,1)),"Fecha fuera del año",IF(OR(G1468&lt;0,H1468&lt;0),"Revisar signo",IF(AND(C1468&lt;&gt;"Servicio",H1468&lt;&gt;0),"IVA solo en Servicio",IF(AND(C1468="Servicio",F1468=""),"Falta servicio","OK")))))))))</f>
        <v/>
      </c>
    </row>
    <row r="1469" spans="1:12" ht="22" customHeight="1">
      <c r="A1469" s="3"/>
      <c r="B1469" s="7"/>
      <c r="C1469" s="3"/>
      <c r="D1469" s="3"/>
      <c r="E1469" s="3"/>
      <c r="F1469" s="3"/>
      <c r="G1469" s="4"/>
      <c r="H1469" s="4"/>
      <c r="I1469" s="3"/>
      <c r="J1469" s="3"/>
      <c r="K1469" s="8" t="str">
        <f t="shared" si="22"/>
        <v/>
      </c>
      <c r="L1469" s="1" t="str">
        <f>IF(COUNTA(A1469:J1469)=0,"",IF(OR(AND(C1469&lt;&gt;"Servicio",C1469&lt;&gt;"Cobro",C1469&lt;&gt;"Anticipo",C1469&lt;&gt;"Aplicación anticipo",C1469&lt;&gt;"Retención ISR",C1469&lt;&gt;"Retención IVA"),AND(C1469="Servicio",F1469&lt;&gt;"TMS",F1469&lt;&gt;"Valoración",F1469&lt;&gt;"EEG",F1469&lt;&gt;"Neurofeedback",F1469&lt;&gt;"Fotobiomodulación",F1469&lt;&gt;"Psicoterapia",F1469&lt;&gt;"Otros")),"Tipo o categoría inválido",IF(COUNTA(A1469:J1469)=0,"",IF(OR(A1469="",B1469="",C1469="",G1469=""),"Faltan datos",IF(COUNTIF($A$7:$A$2006,A1469)&gt;1,"ID duplicado",IF(OR(B1469&lt;DATE(Configuración!$C$5,1,1),B1469&gt;=DATE(Configuración!$C$5+1,1,1)),"Fecha fuera del año",IF(OR(G1469&lt;0,H1469&lt;0),"Revisar signo",IF(AND(C1469&lt;&gt;"Servicio",H1469&lt;&gt;0),"IVA solo en Servicio",IF(AND(C1469="Servicio",F1469=""),"Falta servicio","OK")))))))))</f>
        <v/>
      </c>
    </row>
    <row r="1470" spans="1:12" ht="22" customHeight="1">
      <c r="A1470" s="3"/>
      <c r="B1470" s="7"/>
      <c r="C1470" s="3"/>
      <c r="D1470" s="3"/>
      <c r="E1470" s="3"/>
      <c r="F1470" s="3"/>
      <c r="G1470" s="4"/>
      <c r="H1470" s="4"/>
      <c r="I1470" s="3"/>
      <c r="J1470" s="3"/>
      <c r="K1470" s="8" t="str">
        <f t="shared" si="22"/>
        <v/>
      </c>
      <c r="L1470" s="1" t="str">
        <f>IF(COUNTA(A1470:J1470)=0,"",IF(OR(AND(C1470&lt;&gt;"Servicio",C1470&lt;&gt;"Cobro",C1470&lt;&gt;"Anticipo",C1470&lt;&gt;"Aplicación anticipo",C1470&lt;&gt;"Retención ISR",C1470&lt;&gt;"Retención IVA"),AND(C1470="Servicio",F1470&lt;&gt;"TMS",F1470&lt;&gt;"Valoración",F1470&lt;&gt;"EEG",F1470&lt;&gt;"Neurofeedback",F1470&lt;&gt;"Fotobiomodulación",F1470&lt;&gt;"Psicoterapia",F1470&lt;&gt;"Otros")),"Tipo o categoría inválido",IF(COUNTA(A1470:J1470)=0,"",IF(OR(A1470="",B1470="",C1470="",G1470=""),"Faltan datos",IF(COUNTIF($A$7:$A$2006,A1470)&gt;1,"ID duplicado",IF(OR(B1470&lt;DATE(Configuración!$C$5,1,1),B1470&gt;=DATE(Configuración!$C$5+1,1,1)),"Fecha fuera del año",IF(OR(G1470&lt;0,H1470&lt;0),"Revisar signo",IF(AND(C1470&lt;&gt;"Servicio",H1470&lt;&gt;0),"IVA solo en Servicio",IF(AND(C1470="Servicio",F1470=""),"Falta servicio","OK")))))))))</f>
        <v/>
      </c>
    </row>
    <row r="1471" spans="1:12" ht="22" customHeight="1">
      <c r="A1471" s="3"/>
      <c r="B1471" s="7"/>
      <c r="C1471" s="3"/>
      <c r="D1471" s="3"/>
      <c r="E1471" s="3"/>
      <c r="F1471" s="3"/>
      <c r="G1471" s="4"/>
      <c r="H1471" s="4"/>
      <c r="I1471" s="3"/>
      <c r="J1471" s="3"/>
      <c r="K1471" s="8" t="str">
        <f t="shared" si="22"/>
        <v/>
      </c>
      <c r="L1471" s="1" t="str">
        <f>IF(COUNTA(A1471:J1471)=0,"",IF(OR(AND(C1471&lt;&gt;"Servicio",C1471&lt;&gt;"Cobro",C1471&lt;&gt;"Anticipo",C1471&lt;&gt;"Aplicación anticipo",C1471&lt;&gt;"Retención ISR",C1471&lt;&gt;"Retención IVA"),AND(C1471="Servicio",F1471&lt;&gt;"TMS",F1471&lt;&gt;"Valoración",F1471&lt;&gt;"EEG",F1471&lt;&gt;"Neurofeedback",F1471&lt;&gt;"Fotobiomodulación",F1471&lt;&gt;"Psicoterapia",F1471&lt;&gt;"Otros")),"Tipo o categoría inválido",IF(COUNTA(A1471:J1471)=0,"",IF(OR(A1471="",B1471="",C1471="",G1471=""),"Faltan datos",IF(COUNTIF($A$7:$A$2006,A1471)&gt;1,"ID duplicado",IF(OR(B1471&lt;DATE(Configuración!$C$5,1,1),B1471&gt;=DATE(Configuración!$C$5+1,1,1)),"Fecha fuera del año",IF(OR(G1471&lt;0,H1471&lt;0),"Revisar signo",IF(AND(C1471&lt;&gt;"Servicio",H1471&lt;&gt;0),"IVA solo en Servicio",IF(AND(C1471="Servicio",F1471=""),"Falta servicio","OK")))))))))</f>
        <v/>
      </c>
    </row>
    <row r="1472" spans="1:12" ht="22" customHeight="1">
      <c r="A1472" s="3"/>
      <c r="B1472" s="7"/>
      <c r="C1472" s="3"/>
      <c r="D1472" s="3"/>
      <c r="E1472" s="3"/>
      <c r="F1472" s="3"/>
      <c r="G1472" s="4"/>
      <c r="H1472" s="4"/>
      <c r="I1472" s="3"/>
      <c r="J1472" s="3"/>
      <c r="K1472" s="8" t="str">
        <f t="shared" si="22"/>
        <v/>
      </c>
      <c r="L1472" s="1" t="str">
        <f>IF(COUNTA(A1472:J1472)=0,"",IF(OR(AND(C1472&lt;&gt;"Servicio",C1472&lt;&gt;"Cobro",C1472&lt;&gt;"Anticipo",C1472&lt;&gt;"Aplicación anticipo",C1472&lt;&gt;"Retención ISR",C1472&lt;&gt;"Retención IVA"),AND(C1472="Servicio",F1472&lt;&gt;"TMS",F1472&lt;&gt;"Valoración",F1472&lt;&gt;"EEG",F1472&lt;&gt;"Neurofeedback",F1472&lt;&gt;"Fotobiomodulación",F1472&lt;&gt;"Psicoterapia",F1472&lt;&gt;"Otros")),"Tipo o categoría inválido",IF(COUNTA(A1472:J1472)=0,"",IF(OR(A1472="",B1472="",C1472="",G1472=""),"Faltan datos",IF(COUNTIF($A$7:$A$2006,A1472)&gt;1,"ID duplicado",IF(OR(B1472&lt;DATE(Configuración!$C$5,1,1),B1472&gt;=DATE(Configuración!$C$5+1,1,1)),"Fecha fuera del año",IF(OR(G1472&lt;0,H1472&lt;0),"Revisar signo",IF(AND(C1472&lt;&gt;"Servicio",H1472&lt;&gt;0),"IVA solo en Servicio",IF(AND(C1472="Servicio",F1472=""),"Falta servicio","OK")))))))))</f>
        <v/>
      </c>
    </row>
    <row r="1473" spans="1:12" ht="22" customHeight="1">
      <c r="A1473" s="3"/>
      <c r="B1473" s="7"/>
      <c r="C1473" s="3"/>
      <c r="D1473" s="3"/>
      <c r="E1473" s="3"/>
      <c r="F1473" s="3"/>
      <c r="G1473" s="4"/>
      <c r="H1473" s="4"/>
      <c r="I1473" s="3"/>
      <c r="J1473" s="3"/>
      <c r="K1473" s="8" t="str">
        <f t="shared" si="22"/>
        <v/>
      </c>
      <c r="L1473" s="1" t="str">
        <f>IF(COUNTA(A1473:J1473)=0,"",IF(OR(AND(C1473&lt;&gt;"Servicio",C1473&lt;&gt;"Cobro",C1473&lt;&gt;"Anticipo",C1473&lt;&gt;"Aplicación anticipo",C1473&lt;&gt;"Retención ISR",C1473&lt;&gt;"Retención IVA"),AND(C1473="Servicio",F1473&lt;&gt;"TMS",F1473&lt;&gt;"Valoración",F1473&lt;&gt;"EEG",F1473&lt;&gt;"Neurofeedback",F1473&lt;&gt;"Fotobiomodulación",F1473&lt;&gt;"Psicoterapia",F1473&lt;&gt;"Otros")),"Tipo o categoría inválido",IF(COUNTA(A1473:J1473)=0,"",IF(OR(A1473="",B1473="",C1473="",G1473=""),"Faltan datos",IF(COUNTIF($A$7:$A$2006,A1473)&gt;1,"ID duplicado",IF(OR(B1473&lt;DATE(Configuración!$C$5,1,1),B1473&gt;=DATE(Configuración!$C$5+1,1,1)),"Fecha fuera del año",IF(OR(G1473&lt;0,H1473&lt;0),"Revisar signo",IF(AND(C1473&lt;&gt;"Servicio",H1473&lt;&gt;0),"IVA solo en Servicio",IF(AND(C1473="Servicio",F1473=""),"Falta servicio","OK")))))))))</f>
        <v/>
      </c>
    </row>
    <row r="1474" spans="1:12" ht="22" customHeight="1">
      <c r="A1474" s="3"/>
      <c r="B1474" s="7"/>
      <c r="C1474" s="3"/>
      <c r="D1474" s="3"/>
      <c r="E1474" s="3"/>
      <c r="F1474" s="3"/>
      <c r="G1474" s="4"/>
      <c r="H1474" s="4"/>
      <c r="I1474" s="3"/>
      <c r="J1474" s="3"/>
      <c r="K1474" s="8" t="str">
        <f t="shared" si="22"/>
        <v/>
      </c>
      <c r="L1474" s="1" t="str">
        <f>IF(COUNTA(A1474:J1474)=0,"",IF(OR(AND(C1474&lt;&gt;"Servicio",C1474&lt;&gt;"Cobro",C1474&lt;&gt;"Anticipo",C1474&lt;&gt;"Aplicación anticipo",C1474&lt;&gt;"Retención ISR",C1474&lt;&gt;"Retención IVA"),AND(C1474="Servicio",F1474&lt;&gt;"TMS",F1474&lt;&gt;"Valoración",F1474&lt;&gt;"EEG",F1474&lt;&gt;"Neurofeedback",F1474&lt;&gt;"Fotobiomodulación",F1474&lt;&gt;"Psicoterapia",F1474&lt;&gt;"Otros")),"Tipo o categoría inválido",IF(COUNTA(A1474:J1474)=0,"",IF(OR(A1474="",B1474="",C1474="",G1474=""),"Faltan datos",IF(COUNTIF($A$7:$A$2006,A1474)&gt;1,"ID duplicado",IF(OR(B1474&lt;DATE(Configuración!$C$5,1,1),B1474&gt;=DATE(Configuración!$C$5+1,1,1)),"Fecha fuera del año",IF(OR(G1474&lt;0,H1474&lt;0),"Revisar signo",IF(AND(C1474&lt;&gt;"Servicio",H1474&lt;&gt;0),"IVA solo en Servicio",IF(AND(C1474="Servicio",F1474=""),"Falta servicio","OK")))))))))</f>
        <v/>
      </c>
    </row>
    <row r="1475" spans="1:12" ht="22" customHeight="1">
      <c r="A1475" s="3"/>
      <c r="B1475" s="7"/>
      <c r="C1475" s="3"/>
      <c r="D1475" s="3"/>
      <c r="E1475" s="3"/>
      <c r="F1475" s="3"/>
      <c r="G1475" s="4"/>
      <c r="H1475" s="4"/>
      <c r="I1475" s="3"/>
      <c r="J1475" s="3"/>
      <c r="K1475" s="8" t="str">
        <f t="shared" si="22"/>
        <v/>
      </c>
      <c r="L1475" s="1" t="str">
        <f>IF(COUNTA(A1475:J1475)=0,"",IF(OR(AND(C1475&lt;&gt;"Servicio",C1475&lt;&gt;"Cobro",C1475&lt;&gt;"Anticipo",C1475&lt;&gt;"Aplicación anticipo",C1475&lt;&gt;"Retención ISR",C1475&lt;&gt;"Retención IVA"),AND(C1475="Servicio",F1475&lt;&gt;"TMS",F1475&lt;&gt;"Valoración",F1475&lt;&gt;"EEG",F1475&lt;&gt;"Neurofeedback",F1475&lt;&gt;"Fotobiomodulación",F1475&lt;&gt;"Psicoterapia",F1475&lt;&gt;"Otros")),"Tipo o categoría inválido",IF(COUNTA(A1475:J1475)=0,"",IF(OR(A1475="",B1475="",C1475="",G1475=""),"Faltan datos",IF(COUNTIF($A$7:$A$2006,A1475)&gt;1,"ID duplicado",IF(OR(B1475&lt;DATE(Configuración!$C$5,1,1),B1475&gt;=DATE(Configuración!$C$5+1,1,1)),"Fecha fuera del año",IF(OR(G1475&lt;0,H1475&lt;0),"Revisar signo",IF(AND(C1475&lt;&gt;"Servicio",H1475&lt;&gt;0),"IVA solo en Servicio",IF(AND(C1475="Servicio",F1475=""),"Falta servicio","OK")))))))))</f>
        <v/>
      </c>
    </row>
    <row r="1476" spans="1:12" ht="22" customHeight="1">
      <c r="A1476" s="3"/>
      <c r="B1476" s="7"/>
      <c r="C1476" s="3"/>
      <c r="D1476" s="3"/>
      <c r="E1476" s="3"/>
      <c r="F1476" s="3"/>
      <c r="G1476" s="4"/>
      <c r="H1476" s="4"/>
      <c r="I1476" s="3"/>
      <c r="J1476" s="3"/>
      <c r="K1476" s="8" t="str">
        <f t="shared" si="22"/>
        <v/>
      </c>
      <c r="L1476" s="1" t="str">
        <f>IF(COUNTA(A1476:J1476)=0,"",IF(OR(AND(C1476&lt;&gt;"Servicio",C1476&lt;&gt;"Cobro",C1476&lt;&gt;"Anticipo",C1476&lt;&gt;"Aplicación anticipo",C1476&lt;&gt;"Retención ISR",C1476&lt;&gt;"Retención IVA"),AND(C1476="Servicio",F1476&lt;&gt;"TMS",F1476&lt;&gt;"Valoración",F1476&lt;&gt;"EEG",F1476&lt;&gt;"Neurofeedback",F1476&lt;&gt;"Fotobiomodulación",F1476&lt;&gt;"Psicoterapia",F1476&lt;&gt;"Otros")),"Tipo o categoría inválido",IF(COUNTA(A1476:J1476)=0,"",IF(OR(A1476="",B1476="",C1476="",G1476=""),"Faltan datos",IF(COUNTIF($A$7:$A$2006,A1476)&gt;1,"ID duplicado",IF(OR(B1476&lt;DATE(Configuración!$C$5,1,1),B1476&gt;=DATE(Configuración!$C$5+1,1,1)),"Fecha fuera del año",IF(OR(G1476&lt;0,H1476&lt;0),"Revisar signo",IF(AND(C1476&lt;&gt;"Servicio",H1476&lt;&gt;0),"IVA solo en Servicio",IF(AND(C1476="Servicio",F1476=""),"Falta servicio","OK")))))))))</f>
        <v/>
      </c>
    </row>
    <row r="1477" spans="1:12" ht="22" customHeight="1">
      <c r="A1477" s="3"/>
      <c r="B1477" s="7"/>
      <c r="C1477" s="3"/>
      <c r="D1477" s="3"/>
      <c r="E1477" s="3"/>
      <c r="F1477" s="3"/>
      <c r="G1477" s="4"/>
      <c r="H1477" s="4"/>
      <c r="I1477" s="3"/>
      <c r="J1477" s="3"/>
      <c r="K1477" s="8" t="str">
        <f t="shared" si="22"/>
        <v/>
      </c>
      <c r="L1477" s="1" t="str">
        <f>IF(COUNTA(A1477:J1477)=0,"",IF(OR(AND(C1477&lt;&gt;"Servicio",C1477&lt;&gt;"Cobro",C1477&lt;&gt;"Anticipo",C1477&lt;&gt;"Aplicación anticipo",C1477&lt;&gt;"Retención ISR",C1477&lt;&gt;"Retención IVA"),AND(C1477="Servicio",F1477&lt;&gt;"TMS",F1477&lt;&gt;"Valoración",F1477&lt;&gt;"EEG",F1477&lt;&gt;"Neurofeedback",F1477&lt;&gt;"Fotobiomodulación",F1477&lt;&gt;"Psicoterapia",F1477&lt;&gt;"Otros")),"Tipo o categoría inválido",IF(COUNTA(A1477:J1477)=0,"",IF(OR(A1477="",B1477="",C1477="",G1477=""),"Faltan datos",IF(COUNTIF($A$7:$A$2006,A1477)&gt;1,"ID duplicado",IF(OR(B1477&lt;DATE(Configuración!$C$5,1,1),B1477&gt;=DATE(Configuración!$C$5+1,1,1)),"Fecha fuera del año",IF(OR(G1477&lt;0,H1477&lt;0),"Revisar signo",IF(AND(C1477&lt;&gt;"Servicio",H1477&lt;&gt;0),"IVA solo en Servicio",IF(AND(C1477="Servicio",F1477=""),"Falta servicio","OK")))))))))</f>
        <v/>
      </c>
    </row>
    <row r="1478" spans="1:12" ht="22" customHeight="1">
      <c r="A1478" s="3"/>
      <c r="B1478" s="7"/>
      <c r="C1478" s="3"/>
      <c r="D1478" s="3"/>
      <c r="E1478" s="3"/>
      <c r="F1478" s="3"/>
      <c r="G1478" s="4"/>
      <c r="H1478" s="4"/>
      <c r="I1478" s="3"/>
      <c r="J1478" s="3"/>
      <c r="K1478" s="8" t="str">
        <f t="shared" si="22"/>
        <v/>
      </c>
      <c r="L1478" s="1" t="str">
        <f>IF(COUNTA(A1478:J1478)=0,"",IF(OR(AND(C1478&lt;&gt;"Servicio",C1478&lt;&gt;"Cobro",C1478&lt;&gt;"Anticipo",C1478&lt;&gt;"Aplicación anticipo",C1478&lt;&gt;"Retención ISR",C1478&lt;&gt;"Retención IVA"),AND(C1478="Servicio",F1478&lt;&gt;"TMS",F1478&lt;&gt;"Valoración",F1478&lt;&gt;"EEG",F1478&lt;&gt;"Neurofeedback",F1478&lt;&gt;"Fotobiomodulación",F1478&lt;&gt;"Psicoterapia",F1478&lt;&gt;"Otros")),"Tipo o categoría inválido",IF(COUNTA(A1478:J1478)=0,"",IF(OR(A1478="",B1478="",C1478="",G1478=""),"Faltan datos",IF(COUNTIF($A$7:$A$2006,A1478)&gt;1,"ID duplicado",IF(OR(B1478&lt;DATE(Configuración!$C$5,1,1),B1478&gt;=DATE(Configuración!$C$5+1,1,1)),"Fecha fuera del año",IF(OR(G1478&lt;0,H1478&lt;0),"Revisar signo",IF(AND(C1478&lt;&gt;"Servicio",H1478&lt;&gt;0),"IVA solo en Servicio",IF(AND(C1478="Servicio",F1478=""),"Falta servicio","OK")))))))))</f>
        <v/>
      </c>
    </row>
    <row r="1479" spans="1:12" ht="22" customHeight="1">
      <c r="A1479" s="3"/>
      <c r="B1479" s="7"/>
      <c r="C1479" s="3"/>
      <c r="D1479" s="3"/>
      <c r="E1479" s="3"/>
      <c r="F1479" s="3"/>
      <c r="G1479" s="4"/>
      <c r="H1479" s="4"/>
      <c r="I1479" s="3"/>
      <c r="J1479" s="3"/>
      <c r="K1479" s="8" t="str">
        <f t="shared" ref="K1479:K1542" si="23">IF(A1479="","",G1479+H1479)</f>
        <v/>
      </c>
      <c r="L1479" s="1" t="str">
        <f>IF(COUNTA(A1479:J1479)=0,"",IF(OR(AND(C1479&lt;&gt;"Servicio",C1479&lt;&gt;"Cobro",C1479&lt;&gt;"Anticipo",C1479&lt;&gt;"Aplicación anticipo",C1479&lt;&gt;"Retención ISR",C1479&lt;&gt;"Retención IVA"),AND(C1479="Servicio",F1479&lt;&gt;"TMS",F1479&lt;&gt;"Valoración",F1479&lt;&gt;"EEG",F1479&lt;&gt;"Neurofeedback",F1479&lt;&gt;"Fotobiomodulación",F1479&lt;&gt;"Psicoterapia",F1479&lt;&gt;"Otros")),"Tipo o categoría inválido",IF(COUNTA(A1479:J1479)=0,"",IF(OR(A1479="",B1479="",C1479="",G1479=""),"Faltan datos",IF(COUNTIF($A$7:$A$2006,A1479)&gt;1,"ID duplicado",IF(OR(B1479&lt;DATE(Configuración!$C$5,1,1),B1479&gt;=DATE(Configuración!$C$5+1,1,1)),"Fecha fuera del año",IF(OR(G1479&lt;0,H1479&lt;0),"Revisar signo",IF(AND(C1479&lt;&gt;"Servicio",H1479&lt;&gt;0),"IVA solo en Servicio",IF(AND(C1479="Servicio",F1479=""),"Falta servicio","OK")))))))))</f>
        <v/>
      </c>
    </row>
    <row r="1480" spans="1:12" ht="22" customHeight="1">
      <c r="A1480" s="3"/>
      <c r="B1480" s="7"/>
      <c r="C1480" s="3"/>
      <c r="D1480" s="3"/>
      <c r="E1480" s="3"/>
      <c r="F1480" s="3"/>
      <c r="G1480" s="4"/>
      <c r="H1480" s="4"/>
      <c r="I1480" s="3"/>
      <c r="J1480" s="3"/>
      <c r="K1480" s="8" t="str">
        <f t="shared" si="23"/>
        <v/>
      </c>
      <c r="L1480" s="1" t="str">
        <f>IF(COUNTA(A1480:J1480)=0,"",IF(OR(AND(C1480&lt;&gt;"Servicio",C1480&lt;&gt;"Cobro",C1480&lt;&gt;"Anticipo",C1480&lt;&gt;"Aplicación anticipo",C1480&lt;&gt;"Retención ISR",C1480&lt;&gt;"Retención IVA"),AND(C1480="Servicio",F1480&lt;&gt;"TMS",F1480&lt;&gt;"Valoración",F1480&lt;&gt;"EEG",F1480&lt;&gt;"Neurofeedback",F1480&lt;&gt;"Fotobiomodulación",F1480&lt;&gt;"Psicoterapia",F1480&lt;&gt;"Otros")),"Tipo o categoría inválido",IF(COUNTA(A1480:J1480)=0,"",IF(OR(A1480="",B1480="",C1480="",G1480=""),"Faltan datos",IF(COUNTIF($A$7:$A$2006,A1480)&gt;1,"ID duplicado",IF(OR(B1480&lt;DATE(Configuración!$C$5,1,1),B1480&gt;=DATE(Configuración!$C$5+1,1,1)),"Fecha fuera del año",IF(OR(G1480&lt;0,H1480&lt;0),"Revisar signo",IF(AND(C1480&lt;&gt;"Servicio",H1480&lt;&gt;0),"IVA solo en Servicio",IF(AND(C1480="Servicio",F1480=""),"Falta servicio","OK")))))))))</f>
        <v/>
      </c>
    </row>
    <row r="1481" spans="1:12" ht="22" customHeight="1">
      <c r="A1481" s="3"/>
      <c r="B1481" s="7"/>
      <c r="C1481" s="3"/>
      <c r="D1481" s="3"/>
      <c r="E1481" s="3"/>
      <c r="F1481" s="3"/>
      <c r="G1481" s="4"/>
      <c r="H1481" s="4"/>
      <c r="I1481" s="3"/>
      <c r="J1481" s="3"/>
      <c r="K1481" s="8" t="str">
        <f t="shared" si="23"/>
        <v/>
      </c>
      <c r="L1481" s="1" t="str">
        <f>IF(COUNTA(A1481:J1481)=0,"",IF(OR(AND(C1481&lt;&gt;"Servicio",C1481&lt;&gt;"Cobro",C1481&lt;&gt;"Anticipo",C1481&lt;&gt;"Aplicación anticipo",C1481&lt;&gt;"Retención ISR",C1481&lt;&gt;"Retención IVA"),AND(C1481="Servicio",F1481&lt;&gt;"TMS",F1481&lt;&gt;"Valoración",F1481&lt;&gt;"EEG",F1481&lt;&gt;"Neurofeedback",F1481&lt;&gt;"Fotobiomodulación",F1481&lt;&gt;"Psicoterapia",F1481&lt;&gt;"Otros")),"Tipo o categoría inválido",IF(COUNTA(A1481:J1481)=0,"",IF(OR(A1481="",B1481="",C1481="",G1481=""),"Faltan datos",IF(COUNTIF($A$7:$A$2006,A1481)&gt;1,"ID duplicado",IF(OR(B1481&lt;DATE(Configuración!$C$5,1,1),B1481&gt;=DATE(Configuración!$C$5+1,1,1)),"Fecha fuera del año",IF(OR(G1481&lt;0,H1481&lt;0),"Revisar signo",IF(AND(C1481&lt;&gt;"Servicio",H1481&lt;&gt;0),"IVA solo en Servicio",IF(AND(C1481="Servicio",F1481=""),"Falta servicio","OK")))))))))</f>
        <v/>
      </c>
    </row>
    <row r="1482" spans="1:12" ht="22" customHeight="1">
      <c r="A1482" s="3"/>
      <c r="B1482" s="7"/>
      <c r="C1482" s="3"/>
      <c r="D1482" s="3"/>
      <c r="E1482" s="3"/>
      <c r="F1482" s="3"/>
      <c r="G1482" s="4"/>
      <c r="H1482" s="4"/>
      <c r="I1482" s="3"/>
      <c r="J1482" s="3"/>
      <c r="K1482" s="8" t="str">
        <f t="shared" si="23"/>
        <v/>
      </c>
      <c r="L1482" s="1" t="str">
        <f>IF(COUNTA(A1482:J1482)=0,"",IF(OR(AND(C1482&lt;&gt;"Servicio",C1482&lt;&gt;"Cobro",C1482&lt;&gt;"Anticipo",C1482&lt;&gt;"Aplicación anticipo",C1482&lt;&gt;"Retención ISR",C1482&lt;&gt;"Retención IVA"),AND(C1482="Servicio",F1482&lt;&gt;"TMS",F1482&lt;&gt;"Valoración",F1482&lt;&gt;"EEG",F1482&lt;&gt;"Neurofeedback",F1482&lt;&gt;"Fotobiomodulación",F1482&lt;&gt;"Psicoterapia",F1482&lt;&gt;"Otros")),"Tipo o categoría inválido",IF(COUNTA(A1482:J1482)=0,"",IF(OR(A1482="",B1482="",C1482="",G1482=""),"Faltan datos",IF(COUNTIF($A$7:$A$2006,A1482)&gt;1,"ID duplicado",IF(OR(B1482&lt;DATE(Configuración!$C$5,1,1),B1482&gt;=DATE(Configuración!$C$5+1,1,1)),"Fecha fuera del año",IF(OR(G1482&lt;0,H1482&lt;0),"Revisar signo",IF(AND(C1482&lt;&gt;"Servicio",H1482&lt;&gt;0),"IVA solo en Servicio",IF(AND(C1482="Servicio",F1482=""),"Falta servicio","OK")))))))))</f>
        <v/>
      </c>
    </row>
    <row r="1483" spans="1:12" ht="22" customHeight="1">
      <c r="A1483" s="3"/>
      <c r="B1483" s="7"/>
      <c r="C1483" s="3"/>
      <c r="D1483" s="3"/>
      <c r="E1483" s="3"/>
      <c r="F1483" s="3"/>
      <c r="G1483" s="4"/>
      <c r="H1483" s="4"/>
      <c r="I1483" s="3"/>
      <c r="J1483" s="3"/>
      <c r="K1483" s="8" t="str">
        <f t="shared" si="23"/>
        <v/>
      </c>
      <c r="L1483" s="1" t="str">
        <f>IF(COUNTA(A1483:J1483)=0,"",IF(OR(AND(C1483&lt;&gt;"Servicio",C1483&lt;&gt;"Cobro",C1483&lt;&gt;"Anticipo",C1483&lt;&gt;"Aplicación anticipo",C1483&lt;&gt;"Retención ISR",C1483&lt;&gt;"Retención IVA"),AND(C1483="Servicio",F1483&lt;&gt;"TMS",F1483&lt;&gt;"Valoración",F1483&lt;&gt;"EEG",F1483&lt;&gt;"Neurofeedback",F1483&lt;&gt;"Fotobiomodulación",F1483&lt;&gt;"Psicoterapia",F1483&lt;&gt;"Otros")),"Tipo o categoría inválido",IF(COUNTA(A1483:J1483)=0,"",IF(OR(A1483="",B1483="",C1483="",G1483=""),"Faltan datos",IF(COUNTIF($A$7:$A$2006,A1483)&gt;1,"ID duplicado",IF(OR(B1483&lt;DATE(Configuración!$C$5,1,1),B1483&gt;=DATE(Configuración!$C$5+1,1,1)),"Fecha fuera del año",IF(OR(G1483&lt;0,H1483&lt;0),"Revisar signo",IF(AND(C1483&lt;&gt;"Servicio",H1483&lt;&gt;0),"IVA solo en Servicio",IF(AND(C1483="Servicio",F1483=""),"Falta servicio","OK")))))))))</f>
        <v/>
      </c>
    </row>
    <row r="1484" spans="1:12" ht="22" customHeight="1">
      <c r="A1484" s="3"/>
      <c r="B1484" s="7"/>
      <c r="C1484" s="3"/>
      <c r="D1484" s="3"/>
      <c r="E1484" s="3"/>
      <c r="F1484" s="3"/>
      <c r="G1484" s="4"/>
      <c r="H1484" s="4"/>
      <c r="I1484" s="3"/>
      <c r="J1484" s="3"/>
      <c r="K1484" s="8" t="str">
        <f t="shared" si="23"/>
        <v/>
      </c>
      <c r="L1484" s="1" t="str">
        <f>IF(COUNTA(A1484:J1484)=0,"",IF(OR(AND(C1484&lt;&gt;"Servicio",C1484&lt;&gt;"Cobro",C1484&lt;&gt;"Anticipo",C1484&lt;&gt;"Aplicación anticipo",C1484&lt;&gt;"Retención ISR",C1484&lt;&gt;"Retención IVA"),AND(C1484="Servicio",F1484&lt;&gt;"TMS",F1484&lt;&gt;"Valoración",F1484&lt;&gt;"EEG",F1484&lt;&gt;"Neurofeedback",F1484&lt;&gt;"Fotobiomodulación",F1484&lt;&gt;"Psicoterapia",F1484&lt;&gt;"Otros")),"Tipo o categoría inválido",IF(COUNTA(A1484:J1484)=0,"",IF(OR(A1484="",B1484="",C1484="",G1484=""),"Faltan datos",IF(COUNTIF($A$7:$A$2006,A1484)&gt;1,"ID duplicado",IF(OR(B1484&lt;DATE(Configuración!$C$5,1,1),B1484&gt;=DATE(Configuración!$C$5+1,1,1)),"Fecha fuera del año",IF(OR(G1484&lt;0,H1484&lt;0),"Revisar signo",IF(AND(C1484&lt;&gt;"Servicio",H1484&lt;&gt;0),"IVA solo en Servicio",IF(AND(C1484="Servicio",F1484=""),"Falta servicio","OK")))))))))</f>
        <v/>
      </c>
    </row>
    <row r="1485" spans="1:12" ht="22" customHeight="1">
      <c r="A1485" s="3"/>
      <c r="B1485" s="7"/>
      <c r="C1485" s="3"/>
      <c r="D1485" s="3"/>
      <c r="E1485" s="3"/>
      <c r="F1485" s="3"/>
      <c r="G1485" s="4"/>
      <c r="H1485" s="4"/>
      <c r="I1485" s="3"/>
      <c r="J1485" s="3"/>
      <c r="K1485" s="8" t="str">
        <f t="shared" si="23"/>
        <v/>
      </c>
      <c r="L1485" s="1" t="str">
        <f>IF(COUNTA(A1485:J1485)=0,"",IF(OR(AND(C1485&lt;&gt;"Servicio",C1485&lt;&gt;"Cobro",C1485&lt;&gt;"Anticipo",C1485&lt;&gt;"Aplicación anticipo",C1485&lt;&gt;"Retención ISR",C1485&lt;&gt;"Retención IVA"),AND(C1485="Servicio",F1485&lt;&gt;"TMS",F1485&lt;&gt;"Valoración",F1485&lt;&gt;"EEG",F1485&lt;&gt;"Neurofeedback",F1485&lt;&gt;"Fotobiomodulación",F1485&lt;&gt;"Psicoterapia",F1485&lt;&gt;"Otros")),"Tipo o categoría inválido",IF(COUNTA(A1485:J1485)=0,"",IF(OR(A1485="",B1485="",C1485="",G1485=""),"Faltan datos",IF(COUNTIF($A$7:$A$2006,A1485)&gt;1,"ID duplicado",IF(OR(B1485&lt;DATE(Configuración!$C$5,1,1),B1485&gt;=DATE(Configuración!$C$5+1,1,1)),"Fecha fuera del año",IF(OR(G1485&lt;0,H1485&lt;0),"Revisar signo",IF(AND(C1485&lt;&gt;"Servicio",H1485&lt;&gt;0),"IVA solo en Servicio",IF(AND(C1485="Servicio",F1485=""),"Falta servicio","OK")))))))))</f>
        <v/>
      </c>
    </row>
    <row r="1486" spans="1:12" ht="22" customHeight="1">
      <c r="A1486" s="3"/>
      <c r="B1486" s="7"/>
      <c r="C1486" s="3"/>
      <c r="D1486" s="3"/>
      <c r="E1486" s="3"/>
      <c r="F1486" s="3"/>
      <c r="G1486" s="4"/>
      <c r="H1486" s="4"/>
      <c r="I1486" s="3"/>
      <c r="J1486" s="3"/>
      <c r="K1486" s="8" t="str">
        <f t="shared" si="23"/>
        <v/>
      </c>
      <c r="L1486" s="1" t="str">
        <f>IF(COUNTA(A1486:J1486)=0,"",IF(OR(AND(C1486&lt;&gt;"Servicio",C1486&lt;&gt;"Cobro",C1486&lt;&gt;"Anticipo",C1486&lt;&gt;"Aplicación anticipo",C1486&lt;&gt;"Retención ISR",C1486&lt;&gt;"Retención IVA"),AND(C1486="Servicio",F1486&lt;&gt;"TMS",F1486&lt;&gt;"Valoración",F1486&lt;&gt;"EEG",F1486&lt;&gt;"Neurofeedback",F1486&lt;&gt;"Fotobiomodulación",F1486&lt;&gt;"Psicoterapia",F1486&lt;&gt;"Otros")),"Tipo o categoría inválido",IF(COUNTA(A1486:J1486)=0,"",IF(OR(A1486="",B1486="",C1486="",G1486=""),"Faltan datos",IF(COUNTIF($A$7:$A$2006,A1486)&gt;1,"ID duplicado",IF(OR(B1486&lt;DATE(Configuración!$C$5,1,1),B1486&gt;=DATE(Configuración!$C$5+1,1,1)),"Fecha fuera del año",IF(OR(G1486&lt;0,H1486&lt;0),"Revisar signo",IF(AND(C1486&lt;&gt;"Servicio",H1486&lt;&gt;0),"IVA solo en Servicio",IF(AND(C1486="Servicio",F1486=""),"Falta servicio","OK")))))))))</f>
        <v/>
      </c>
    </row>
    <row r="1487" spans="1:12" ht="22" customHeight="1">
      <c r="A1487" s="3"/>
      <c r="B1487" s="7"/>
      <c r="C1487" s="3"/>
      <c r="D1487" s="3"/>
      <c r="E1487" s="3"/>
      <c r="F1487" s="3"/>
      <c r="G1487" s="4"/>
      <c r="H1487" s="4"/>
      <c r="I1487" s="3"/>
      <c r="J1487" s="3"/>
      <c r="K1487" s="8" t="str">
        <f t="shared" si="23"/>
        <v/>
      </c>
      <c r="L1487" s="1" t="str">
        <f>IF(COUNTA(A1487:J1487)=0,"",IF(OR(AND(C1487&lt;&gt;"Servicio",C1487&lt;&gt;"Cobro",C1487&lt;&gt;"Anticipo",C1487&lt;&gt;"Aplicación anticipo",C1487&lt;&gt;"Retención ISR",C1487&lt;&gt;"Retención IVA"),AND(C1487="Servicio",F1487&lt;&gt;"TMS",F1487&lt;&gt;"Valoración",F1487&lt;&gt;"EEG",F1487&lt;&gt;"Neurofeedback",F1487&lt;&gt;"Fotobiomodulación",F1487&lt;&gt;"Psicoterapia",F1487&lt;&gt;"Otros")),"Tipo o categoría inválido",IF(COUNTA(A1487:J1487)=0,"",IF(OR(A1487="",B1487="",C1487="",G1487=""),"Faltan datos",IF(COUNTIF($A$7:$A$2006,A1487)&gt;1,"ID duplicado",IF(OR(B1487&lt;DATE(Configuración!$C$5,1,1),B1487&gt;=DATE(Configuración!$C$5+1,1,1)),"Fecha fuera del año",IF(OR(G1487&lt;0,H1487&lt;0),"Revisar signo",IF(AND(C1487&lt;&gt;"Servicio",H1487&lt;&gt;0),"IVA solo en Servicio",IF(AND(C1487="Servicio",F1487=""),"Falta servicio","OK")))))))))</f>
        <v/>
      </c>
    </row>
    <row r="1488" spans="1:12" ht="22" customHeight="1">
      <c r="A1488" s="3"/>
      <c r="B1488" s="7"/>
      <c r="C1488" s="3"/>
      <c r="D1488" s="3"/>
      <c r="E1488" s="3"/>
      <c r="F1488" s="3"/>
      <c r="G1488" s="4"/>
      <c r="H1488" s="4"/>
      <c r="I1488" s="3"/>
      <c r="J1488" s="3"/>
      <c r="K1488" s="8" t="str">
        <f t="shared" si="23"/>
        <v/>
      </c>
      <c r="L1488" s="1" t="str">
        <f>IF(COUNTA(A1488:J1488)=0,"",IF(OR(AND(C1488&lt;&gt;"Servicio",C1488&lt;&gt;"Cobro",C1488&lt;&gt;"Anticipo",C1488&lt;&gt;"Aplicación anticipo",C1488&lt;&gt;"Retención ISR",C1488&lt;&gt;"Retención IVA"),AND(C1488="Servicio",F1488&lt;&gt;"TMS",F1488&lt;&gt;"Valoración",F1488&lt;&gt;"EEG",F1488&lt;&gt;"Neurofeedback",F1488&lt;&gt;"Fotobiomodulación",F1488&lt;&gt;"Psicoterapia",F1488&lt;&gt;"Otros")),"Tipo o categoría inválido",IF(COUNTA(A1488:J1488)=0,"",IF(OR(A1488="",B1488="",C1488="",G1488=""),"Faltan datos",IF(COUNTIF($A$7:$A$2006,A1488)&gt;1,"ID duplicado",IF(OR(B1488&lt;DATE(Configuración!$C$5,1,1),B1488&gt;=DATE(Configuración!$C$5+1,1,1)),"Fecha fuera del año",IF(OR(G1488&lt;0,H1488&lt;0),"Revisar signo",IF(AND(C1488&lt;&gt;"Servicio",H1488&lt;&gt;0),"IVA solo en Servicio",IF(AND(C1488="Servicio",F1488=""),"Falta servicio","OK")))))))))</f>
        <v/>
      </c>
    </row>
    <row r="1489" spans="1:12" ht="22" customHeight="1">
      <c r="A1489" s="3"/>
      <c r="B1489" s="7"/>
      <c r="C1489" s="3"/>
      <c r="D1489" s="3"/>
      <c r="E1489" s="3"/>
      <c r="F1489" s="3"/>
      <c r="G1489" s="4"/>
      <c r="H1489" s="4"/>
      <c r="I1489" s="3"/>
      <c r="J1489" s="3"/>
      <c r="K1489" s="8" t="str">
        <f t="shared" si="23"/>
        <v/>
      </c>
      <c r="L1489" s="1" t="str">
        <f>IF(COUNTA(A1489:J1489)=0,"",IF(OR(AND(C1489&lt;&gt;"Servicio",C1489&lt;&gt;"Cobro",C1489&lt;&gt;"Anticipo",C1489&lt;&gt;"Aplicación anticipo",C1489&lt;&gt;"Retención ISR",C1489&lt;&gt;"Retención IVA"),AND(C1489="Servicio",F1489&lt;&gt;"TMS",F1489&lt;&gt;"Valoración",F1489&lt;&gt;"EEG",F1489&lt;&gt;"Neurofeedback",F1489&lt;&gt;"Fotobiomodulación",F1489&lt;&gt;"Psicoterapia",F1489&lt;&gt;"Otros")),"Tipo o categoría inválido",IF(COUNTA(A1489:J1489)=0,"",IF(OR(A1489="",B1489="",C1489="",G1489=""),"Faltan datos",IF(COUNTIF($A$7:$A$2006,A1489)&gt;1,"ID duplicado",IF(OR(B1489&lt;DATE(Configuración!$C$5,1,1),B1489&gt;=DATE(Configuración!$C$5+1,1,1)),"Fecha fuera del año",IF(OR(G1489&lt;0,H1489&lt;0),"Revisar signo",IF(AND(C1489&lt;&gt;"Servicio",H1489&lt;&gt;0),"IVA solo en Servicio",IF(AND(C1489="Servicio",F1489=""),"Falta servicio","OK")))))))))</f>
        <v/>
      </c>
    </row>
    <row r="1490" spans="1:12" ht="22" customHeight="1">
      <c r="A1490" s="3"/>
      <c r="B1490" s="7"/>
      <c r="C1490" s="3"/>
      <c r="D1490" s="3"/>
      <c r="E1490" s="3"/>
      <c r="F1490" s="3"/>
      <c r="G1490" s="4"/>
      <c r="H1490" s="4"/>
      <c r="I1490" s="3"/>
      <c r="J1490" s="3"/>
      <c r="K1490" s="8" t="str">
        <f t="shared" si="23"/>
        <v/>
      </c>
      <c r="L1490" s="1" t="str">
        <f>IF(COUNTA(A1490:J1490)=0,"",IF(OR(AND(C1490&lt;&gt;"Servicio",C1490&lt;&gt;"Cobro",C1490&lt;&gt;"Anticipo",C1490&lt;&gt;"Aplicación anticipo",C1490&lt;&gt;"Retención ISR",C1490&lt;&gt;"Retención IVA"),AND(C1490="Servicio",F1490&lt;&gt;"TMS",F1490&lt;&gt;"Valoración",F1490&lt;&gt;"EEG",F1490&lt;&gt;"Neurofeedback",F1490&lt;&gt;"Fotobiomodulación",F1490&lt;&gt;"Psicoterapia",F1490&lt;&gt;"Otros")),"Tipo o categoría inválido",IF(COUNTA(A1490:J1490)=0,"",IF(OR(A1490="",B1490="",C1490="",G1490=""),"Faltan datos",IF(COUNTIF($A$7:$A$2006,A1490)&gt;1,"ID duplicado",IF(OR(B1490&lt;DATE(Configuración!$C$5,1,1),B1490&gt;=DATE(Configuración!$C$5+1,1,1)),"Fecha fuera del año",IF(OR(G1490&lt;0,H1490&lt;0),"Revisar signo",IF(AND(C1490&lt;&gt;"Servicio",H1490&lt;&gt;0),"IVA solo en Servicio",IF(AND(C1490="Servicio",F1490=""),"Falta servicio","OK")))))))))</f>
        <v/>
      </c>
    </row>
    <row r="1491" spans="1:12" ht="22" customHeight="1">
      <c r="A1491" s="3"/>
      <c r="B1491" s="7"/>
      <c r="C1491" s="3"/>
      <c r="D1491" s="3"/>
      <c r="E1491" s="3"/>
      <c r="F1491" s="3"/>
      <c r="G1491" s="4"/>
      <c r="H1491" s="4"/>
      <c r="I1491" s="3"/>
      <c r="J1491" s="3"/>
      <c r="K1491" s="8" t="str">
        <f t="shared" si="23"/>
        <v/>
      </c>
      <c r="L1491" s="1" t="str">
        <f>IF(COUNTA(A1491:J1491)=0,"",IF(OR(AND(C1491&lt;&gt;"Servicio",C1491&lt;&gt;"Cobro",C1491&lt;&gt;"Anticipo",C1491&lt;&gt;"Aplicación anticipo",C1491&lt;&gt;"Retención ISR",C1491&lt;&gt;"Retención IVA"),AND(C1491="Servicio",F1491&lt;&gt;"TMS",F1491&lt;&gt;"Valoración",F1491&lt;&gt;"EEG",F1491&lt;&gt;"Neurofeedback",F1491&lt;&gt;"Fotobiomodulación",F1491&lt;&gt;"Psicoterapia",F1491&lt;&gt;"Otros")),"Tipo o categoría inválido",IF(COUNTA(A1491:J1491)=0,"",IF(OR(A1491="",B1491="",C1491="",G1491=""),"Faltan datos",IF(COUNTIF($A$7:$A$2006,A1491)&gt;1,"ID duplicado",IF(OR(B1491&lt;DATE(Configuración!$C$5,1,1),B1491&gt;=DATE(Configuración!$C$5+1,1,1)),"Fecha fuera del año",IF(OR(G1491&lt;0,H1491&lt;0),"Revisar signo",IF(AND(C1491&lt;&gt;"Servicio",H1491&lt;&gt;0),"IVA solo en Servicio",IF(AND(C1491="Servicio",F1491=""),"Falta servicio","OK")))))))))</f>
        <v/>
      </c>
    </row>
    <row r="1492" spans="1:12" ht="22" customHeight="1">
      <c r="A1492" s="3"/>
      <c r="B1492" s="7"/>
      <c r="C1492" s="3"/>
      <c r="D1492" s="3"/>
      <c r="E1492" s="3"/>
      <c r="F1492" s="3"/>
      <c r="G1492" s="4"/>
      <c r="H1492" s="4"/>
      <c r="I1492" s="3"/>
      <c r="J1492" s="3"/>
      <c r="K1492" s="8" t="str">
        <f t="shared" si="23"/>
        <v/>
      </c>
      <c r="L1492" s="1" t="str">
        <f>IF(COUNTA(A1492:J1492)=0,"",IF(OR(AND(C1492&lt;&gt;"Servicio",C1492&lt;&gt;"Cobro",C1492&lt;&gt;"Anticipo",C1492&lt;&gt;"Aplicación anticipo",C1492&lt;&gt;"Retención ISR",C1492&lt;&gt;"Retención IVA"),AND(C1492="Servicio",F1492&lt;&gt;"TMS",F1492&lt;&gt;"Valoración",F1492&lt;&gt;"EEG",F1492&lt;&gt;"Neurofeedback",F1492&lt;&gt;"Fotobiomodulación",F1492&lt;&gt;"Psicoterapia",F1492&lt;&gt;"Otros")),"Tipo o categoría inválido",IF(COUNTA(A1492:J1492)=0,"",IF(OR(A1492="",B1492="",C1492="",G1492=""),"Faltan datos",IF(COUNTIF($A$7:$A$2006,A1492)&gt;1,"ID duplicado",IF(OR(B1492&lt;DATE(Configuración!$C$5,1,1),B1492&gt;=DATE(Configuración!$C$5+1,1,1)),"Fecha fuera del año",IF(OR(G1492&lt;0,H1492&lt;0),"Revisar signo",IF(AND(C1492&lt;&gt;"Servicio",H1492&lt;&gt;0),"IVA solo en Servicio",IF(AND(C1492="Servicio",F1492=""),"Falta servicio","OK")))))))))</f>
        <v/>
      </c>
    </row>
    <row r="1493" spans="1:12" ht="22" customHeight="1">
      <c r="A1493" s="3"/>
      <c r="B1493" s="7"/>
      <c r="C1493" s="3"/>
      <c r="D1493" s="3"/>
      <c r="E1493" s="3"/>
      <c r="F1493" s="3"/>
      <c r="G1493" s="4"/>
      <c r="H1493" s="4"/>
      <c r="I1493" s="3"/>
      <c r="J1493" s="3"/>
      <c r="K1493" s="8" t="str">
        <f t="shared" si="23"/>
        <v/>
      </c>
      <c r="L1493" s="1" t="str">
        <f>IF(COUNTA(A1493:J1493)=0,"",IF(OR(AND(C1493&lt;&gt;"Servicio",C1493&lt;&gt;"Cobro",C1493&lt;&gt;"Anticipo",C1493&lt;&gt;"Aplicación anticipo",C1493&lt;&gt;"Retención ISR",C1493&lt;&gt;"Retención IVA"),AND(C1493="Servicio",F1493&lt;&gt;"TMS",F1493&lt;&gt;"Valoración",F1493&lt;&gt;"EEG",F1493&lt;&gt;"Neurofeedback",F1493&lt;&gt;"Fotobiomodulación",F1493&lt;&gt;"Psicoterapia",F1493&lt;&gt;"Otros")),"Tipo o categoría inválido",IF(COUNTA(A1493:J1493)=0,"",IF(OR(A1493="",B1493="",C1493="",G1493=""),"Faltan datos",IF(COUNTIF($A$7:$A$2006,A1493)&gt;1,"ID duplicado",IF(OR(B1493&lt;DATE(Configuración!$C$5,1,1),B1493&gt;=DATE(Configuración!$C$5+1,1,1)),"Fecha fuera del año",IF(OR(G1493&lt;0,H1493&lt;0),"Revisar signo",IF(AND(C1493&lt;&gt;"Servicio",H1493&lt;&gt;0),"IVA solo en Servicio",IF(AND(C1493="Servicio",F1493=""),"Falta servicio","OK")))))))))</f>
        <v/>
      </c>
    </row>
    <row r="1494" spans="1:12" ht="22" customHeight="1">
      <c r="A1494" s="3"/>
      <c r="B1494" s="7"/>
      <c r="C1494" s="3"/>
      <c r="D1494" s="3"/>
      <c r="E1494" s="3"/>
      <c r="F1494" s="3"/>
      <c r="G1494" s="4"/>
      <c r="H1494" s="4"/>
      <c r="I1494" s="3"/>
      <c r="J1494" s="3"/>
      <c r="K1494" s="8" t="str">
        <f t="shared" si="23"/>
        <v/>
      </c>
      <c r="L1494" s="1" t="str">
        <f>IF(COUNTA(A1494:J1494)=0,"",IF(OR(AND(C1494&lt;&gt;"Servicio",C1494&lt;&gt;"Cobro",C1494&lt;&gt;"Anticipo",C1494&lt;&gt;"Aplicación anticipo",C1494&lt;&gt;"Retención ISR",C1494&lt;&gt;"Retención IVA"),AND(C1494="Servicio",F1494&lt;&gt;"TMS",F1494&lt;&gt;"Valoración",F1494&lt;&gt;"EEG",F1494&lt;&gt;"Neurofeedback",F1494&lt;&gt;"Fotobiomodulación",F1494&lt;&gt;"Psicoterapia",F1494&lt;&gt;"Otros")),"Tipo o categoría inválido",IF(COUNTA(A1494:J1494)=0,"",IF(OR(A1494="",B1494="",C1494="",G1494=""),"Faltan datos",IF(COUNTIF($A$7:$A$2006,A1494)&gt;1,"ID duplicado",IF(OR(B1494&lt;DATE(Configuración!$C$5,1,1),B1494&gt;=DATE(Configuración!$C$5+1,1,1)),"Fecha fuera del año",IF(OR(G1494&lt;0,H1494&lt;0),"Revisar signo",IF(AND(C1494&lt;&gt;"Servicio",H1494&lt;&gt;0),"IVA solo en Servicio",IF(AND(C1494="Servicio",F1494=""),"Falta servicio","OK")))))))))</f>
        <v/>
      </c>
    </row>
    <row r="1495" spans="1:12" ht="22" customHeight="1">
      <c r="A1495" s="3"/>
      <c r="B1495" s="7"/>
      <c r="C1495" s="3"/>
      <c r="D1495" s="3"/>
      <c r="E1495" s="3"/>
      <c r="F1495" s="3"/>
      <c r="G1495" s="4"/>
      <c r="H1495" s="4"/>
      <c r="I1495" s="3"/>
      <c r="J1495" s="3"/>
      <c r="K1495" s="8" t="str">
        <f t="shared" si="23"/>
        <v/>
      </c>
      <c r="L1495" s="1" t="str">
        <f>IF(COUNTA(A1495:J1495)=0,"",IF(OR(AND(C1495&lt;&gt;"Servicio",C1495&lt;&gt;"Cobro",C1495&lt;&gt;"Anticipo",C1495&lt;&gt;"Aplicación anticipo",C1495&lt;&gt;"Retención ISR",C1495&lt;&gt;"Retención IVA"),AND(C1495="Servicio",F1495&lt;&gt;"TMS",F1495&lt;&gt;"Valoración",F1495&lt;&gt;"EEG",F1495&lt;&gt;"Neurofeedback",F1495&lt;&gt;"Fotobiomodulación",F1495&lt;&gt;"Psicoterapia",F1495&lt;&gt;"Otros")),"Tipo o categoría inválido",IF(COUNTA(A1495:J1495)=0,"",IF(OR(A1495="",B1495="",C1495="",G1495=""),"Faltan datos",IF(COUNTIF($A$7:$A$2006,A1495)&gt;1,"ID duplicado",IF(OR(B1495&lt;DATE(Configuración!$C$5,1,1),B1495&gt;=DATE(Configuración!$C$5+1,1,1)),"Fecha fuera del año",IF(OR(G1495&lt;0,H1495&lt;0),"Revisar signo",IF(AND(C1495&lt;&gt;"Servicio",H1495&lt;&gt;0),"IVA solo en Servicio",IF(AND(C1495="Servicio",F1495=""),"Falta servicio","OK")))))))))</f>
        <v/>
      </c>
    </row>
    <row r="1496" spans="1:12" ht="22" customHeight="1">
      <c r="A1496" s="3"/>
      <c r="B1496" s="7"/>
      <c r="C1496" s="3"/>
      <c r="D1496" s="3"/>
      <c r="E1496" s="3"/>
      <c r="F1496" s="3"/>
      <c r="G1496" s="4"/>
      <c r="H1496" s="4"/>
      <c r="I1496" s="3"/>
      <c r="J1496" s="3"/>
      <c r="K1496" s="8" t="str">
        <f t="shared" si="23"/>
        <v/>
      </c>
      <c r="L1496" s="1" t="str">
        <f>IF(COUNTA(A1496:J1496)=0,"",IF(OR(AND(C1496&lt;&gt;"Servicio",C1496&lt;&gt;"Cobro",C1496&lt;&gt;"Anticipo",C1496&lt;&gt;"Aplicación anticipo",C1496&lt;&gt;"Retención ISR",C1496&lt;&gt;"Retención IVA"),AND(C1496="Servicio",F1496&lt;&gt;"TMS",F1496&lt;&gt;"Valoración",F1496&lt;&gt;"EEG",F1496&lt;&gt;"Neurofeedback",F1496&lt;&gt;"Fotobiomodulación",F1496&lt;&gt;"Psicoterapia",F1496&lt;&gt;"Otros")),"Tipo o categoría inválido",IF(COUNTA(A1496:J1496)=0,"",IF(OR(A1496="",B1496="",C1496="",G1496=""),"Faltan datos",IF(COUNTIF($A$7:$A$2006,A1496)&gt;1,"ID duplicado",IF(OR(B1496&lt;DATE(Configuración!$C$5,1,1),B1496&gt;=DATE(Configuración!$C$5+1,1,1)),"Fecha fuera del año",IF(OR(G1496&lt;0,H1496&lt;0),"Revisar signo",IF(AND(C1496&lt;&gt;"Servicio",H1496&lt;&gt;0),"IVA solo en Servicio",IF(AND(C1496="Servicio",F1496=""),"Falta servicio","OK")))))))))</f>
        <v/>
      </c>
    </row>
    <row r="1497" spans="1:12" ht="22" customHeight="1">
      <c r="A1497" s="3"/>
      <c r="B1497" s="7"/>
      <c r="C1497" s="3"/>
      <c r="D1497" s="3"/>
      <c r="E1497" s="3"/>
      <c r="F1497" s="3"/>
      <c r="G1497" s="4"/>
      <c r="H1497" s="4"/>
      <c r="I1497" s="3"/>
      <c r="J1497" s="3"/>
      <c r="K1497" s="8" t="str">
        <f t="shared" si="23"/>
        <v/>
      </c>
      <c r="L1497" s="1" t="str">
        <f>IF(COUNTA(A1497:J1497)=0,"",IF(OR(AND(C1497&lt;&gt;"Servicio",C1497&lt;&gt;"Cobro",C1497&lt;&gt;"Anticipo",C1497&lt;&gt;"Aplicación anticipo",C1497&lt;&gt;"Retención ISR",C1497&lt;&gt;"Retención IVA"),AND(C1497="Servicio",F1497&lt;&gt;"TMS",F1497&lt;&gt;"Valoración",F1497&lt;&gt;"EEG",F1497&lt;&gt;"Neurofeedback",F1497&lt;&gt;"Fotobiomodulación",F1497&lt;&gt;"Psicoterapia",F1497&lt;&gt;"Otros")),"Tipo o categoría inválido",IF(COUNTA(A1497:J1497)=0,"",IF(OR(A1497="",B1497="",C1497="",G1497=""),"Faltan datos",IF(COUNTIF($A$7:$A$2006,A1497)&gt;1,"ID duplicado",IF(OR(B1497&lt;DATE(Configuración!$C$5,1,1),B1497&gt;=DATE(Configuración!$C$5+1,1,1)),"Fecha fuera del año",IF(OR(G1497&lt;0,H1497&lt;0),"Revisar signo",IF(AND(C1497&lt;&gt;"Servicio",H1497&lt;&gt;0),"IVA solo en Servicio",IF(AND(C1497="Servicio",F1497=""),"Falta servicio","OK")))))))))</f>
        <v/>
      </c>
    </row>
    <row r="1498" spans="1:12" ht="22" customHeight="1">
      <c r="A1498" s="3"/>
      <c r="B1498" s="7"/>
      <c r="C1498" s="3"/>
      <c r="D1498" s="3"/>
      <c r="E1498" s="3"/>
      <c r="F1498" s="3"/>
      <c r="G1498" s="4"/>
      <c r="H1498" s="4"/>
      <c r="I1498" s="3"/>
      <c r="J1498" s="3"/>
      <c r="K1498" s="8" t="str">
        <f t="shared" si="23"/>
        <v/>
      </c>
      <c r="L1498" s="1" t="str">
        <f>IF(COUNTA(A1498:J1498)=0,"",IF(OR(AND(C1498&lt;&gt;"Servicio",C1498&lt;&gt;"Cobro",C1498&lt;&gt;"Anticipo",C1498&lt;&gt;"Aplicación anticipo",C1498&lt;&gt;"Retención ISR",C1498&lt;&gt;"Retención IVA"),AND(C1498="Servicio",F1498&lt;&gt;"TMS",F1498&lt;&gt;"Valoración",F1498&lt;&gt;"EEG",F1498&lt;&gt;"Neurofeedback",F1498&lt;&gt;"Fotobiomodulación",F1498&lt;&gt;"Psicoterapia",F1498&lt;&gt;"Otros")),"Tipo o categoría inválido",IF(COUNTA(A1498:J1498)=0,"",IF(OR(A1498="",B1498="",C1498="",G1498=""),"Faltan datos",IF(COUNTIF($A$7:$A$2006,A1498)&gt;1,"ID duplicado",IF(OR(B1498&lt;DATE(Configuración!$C$5,1,1),B1498&gt;=DATE(Configuración!$C$5+1,1,1)),"Fecha fuera del año",IF(OR(G1498&lt;0,H1498&lt;0),"Revisar signo",IF(AND(C1498&lt;&gt;"Servicio",H1498&lt;&gt;0),"IVA solo en Servicio",IF(AND(C1498="Servicio",F1498=""),"Falta servicio","OK")))))))))</f>
        <v/>
      </c>
    </row>
    <row r="1499" spans="1:12" ht="22" customHeight="1">
      <c r="A1499" s="3"/>
      <c r="B1499" s="7"/>
      <c r="C1499" s="3"/>
      <c r="D1499" s="3"/>
      <c r="E1499" s="3"/>
      <c r="F1499" s="3"/>
      <c r="G1499" s="4"/>
      <c r="H1499" s="4"/>
      <c r="I1499" s="3"/>
      <c r="J1499" s="3"/>
      <c r="K1499" s="8" t="str">
        <f t="shared" si="23"/>
        <v/>
      </c>
      <c r="L1499" s="1" t="str">
        <f>IF(COUNTA(A1499:J1499)=0,"",IF(OR(AND(C1499&lt;&gt;"Servicio",C1499&lt;&gt;"Cobro",C1499&lt;&gt;"Anticipo",C1499&lt;&gt;"Aplicación anticipo",C1499&lt;&gt;"Retención ISR",C1499&lt;&gt;"Retención IVA"),AND(C1499="Servicio",F1499&lt;&gt;"TMS",F1499&lt;&gt;"Valoración",F1499&lt;&gt;"EEG",F1499&lt;&gt;"Neurofeedback",F1499&lt;&gt;"Fotobiomodulación",F1499&lt;&gt;"Psicoterapia",F1499&lt;&gt;"Otros")),"Tipo o categoría inválido",IF(COUNTA(A1499:J1499)=0,"",IF(OR(A1499="",B1499="",C1499="",G1499=""),"Faltan datos",IF(COUNTIF($A$7:$A$2006,A1499)&gt;1,"ID duplicado",IF(OR(B1499&lt;DATE(Configuración!$C$5,1,1),B1499&gt;=DATE(Configuración!$C$5+1,1,1)),"Fecha fuera del año",IF(OR(G1499&lt;0,H1499&lt;0),"Revisar signo",IF(AND(C1499&lt;&gt;"Servicio",H1499&lt;&gt;0),"IVA solo en Servicio",IF(AND(C1499="Servicio",F1499=""),"Falta servicio","OK")))))))))</f>
        <v/>
      </c>
    </row>
    <row r="1500" spans="1:12" ht="22" customHeight="1">
      <c r="A1500" s="3"/>
      <c r="B1500" s="7"/>
      <c r="C1500" s="3"/>
      <c r="D1500" s="3"/>
      <c r="E1500" s="3"/>
      <c r="F1500" s="3"/>
      <c r="G1500" s="4"/>
      <c r="H1500" s="4"/>
      <c r="I1500" s="3"/>
      <c r="J1500" s="3"/>
      <c r="K1500" s="8" t="str">
        <f t="shared" si="23"/>
        <v/>
      </c>
      <c r="L1500" s="1" t="str">
        <f>IF(COUNTA(A1500:J1500)=0,"",IF(OR(AND(C1500&lt;&gt;"Servicio",C1500&lt;&gt;"Cobro",C1500&lt;&gt;"Anticipo",C1500&lt;&gt;"Aplicación anticipo",C1500&lt;&gt;"Retención ISR",C1500&lt;&gt;"Retención IVA"),AND(C1500="Servicio",F1500&lt;&gt;"TMS",F1500&lt;&gt;"Valoración",F1500&lt;&gt;"EEG",F1500&lt;&gt;"Neurofeedback",F1500&lt;&gt;"Fotobiomodulación",F1500&lt;&gt;"Psicoterapia",F1500&lt;&gt;"Otros")),"Tipo o categoría inválido",IF(COUNTA(A1500:J1500)=0,"",IF(OR(A1500="",B1500="",C1500="",G1500=""),"Faltan datos",IF(COUNTIF($A$7:$A$2006,A1500)&gt;1,"ID duplicado",IF(OR(B1500&lt;DATE(Configuración!$C$5,1,1),B1500&gt;=DATE(Configuración!$C$5+1,1,1)),"Fecha fuera del año",IF(OR(G1500&lt;0,H1500&lt;0),"Revisar signo",IF(AND(C1500&lt;&gt;"Servicio",H1500&lt;&gt;0),"IVA solo en Servicio",IF(AND(C1500="Servicio",F1500=""),"Falta servicio","OK")))))))))</f>
        <v/>
      </c>
    </row>
    <row r="1501" spans="1:12" ht="22" customHeight="1">
      <c r="A1501" s="3"/>
      <c r="B1501" s="7"/>
      <c r="C1501" s="3"/>
      <c r="D1501" s="3"/>
      <c r="E1501" s="3"/>
      <c r="F1501" s="3"/>
      <c r="G1501" s="4"/>
      <c r="H1501" s="4"/>
      <c r="I1501" s="3"/>
      <c r="J1501" s="3"/>
      <c r="K1501" s="8" t="str">
        <f t="shared" si="23"/>
        <v/>
      </c>
      <c r="L1501" s="1" t="str">
        <f>IF(COUNTA(A1501:J1501)=0,"",IF(OR(AND(C1501&lt;&gt;"Servicio",C1501&lt;&gt;"Cobro",C1501&lt;&gt;"Anticipo",C1501&lt;&gt;"Aplicación anticipo",C1501&lt;&gt;"Retención ISR",C1501&lt;&gt;"Retención IVA"),AND(C1501="Servicio",F1501&lt;&gt;"TMS",F1501&lt;&gt;"Valoración",F1501&lt;&gt;"EEG",F1501&lt;&gt;"Neurofeedback",F1501&lt;&gt;"Fotobiomodulación",F1501&lt;&gt;"Psicoterapia",F1501&lt;&gt;"Otros")),"Tipo o categoría inválido",IF(COUNTA(A1501:J1501)=0,"",IF(OR(A1501="",B1501="",C1501="",G1501=""),"Faltan datos",IF(COUNTIF($A$7:$A$2006,A1501)&gt;1,"ID duplicado",IF(OR(B1501&lt;DATE(Configuración!$C$5,1,1),B1501&gt;=DATE(Configuración!$C$5+1,1,1)),"Fecha fuera del año",IF(OR(G1501&lt;0,H1501&lt;0),"Revisar signo",IF(AND(C1501&lt;&gt;"Servicio",H1501&lt;&gt;0),"IVA solo en Servicio",IF(AND(C1501="Servicio",F1501=""),"Falta servicio","OK")))))))))</f>
        <v/>
      </c>
    </row>
    <row r="1502" spans="1:12" ht="22" customHeight="1">
      <c r="A1502" s="3"/>
      <c r="B1502" s="7"/>
      <c r="C1502" s="3"/>
      <c r="D1502" s="3"/>
      <c r="E1502" s="3"/>
      <c r="F1502" s="3"/>
      <c r="G1502" s="4"/>
      <c r="H1502" s="4"/>
      <c r="I1502" s="3"/>
      <c r="J1502" s="3"/>
      <c r="K1502" s="8" t="str">
        <f t="shared" si="23"/>
        <v/>
      </c>
      <c r="L1502" s="1" t="str">
        <f>IF(COUNTA(A1502:J1502)=0,"",IF(OR(AND(C1502&lt;&gt;"Servicio",C1502&lt;&gt;"Cobro",C1502&lt;&gt;"Anticipo",C1502&lt;&gt;"Aplicación anticipo",C1502&lt;&gt;"Retención ISR",C1502&lt;&gt;"Retención IVA"),AND(C1502="Servicio",F1502&lt;&gt;"TMS",F1502&lt;&gt;"Valoración",F1502&lt;&gt;"EEG",F1502&lt;&gt;"Neurofeedback",F1502&lt;&gt;"Fotobiomodulación",F1502&lt;&gt;"Psicoterapia",F1502&lt;&gt;"Otros")),"Tipo o categoría inválido",IF(COUNTA(A1502:J1502)=0,"",IF(OR(A1502="",B1502="",C1502="",G1502=""),"Faltan datos",IF(COUNTIF($A$7:$A$2006,A1502)&gt;1,"ID duplicado",IF(OR(B1502&lt;DATE(Configuración!$C$5,1,1),B1502&gt;=DATE(Configuración!$C$5+1,1,1)),"Fecha fuera del año",IF(OR(G1502&lt;0,H1502&lt;0),"Revisar signo",IF(AND(C1502&lt;&gt;"Servicio",H1502&lt;&gt;0),"IVA solo en Servicio",IF(AND(C1502="Servicio",F1502=""),"Falta servicio","OK")))))))))</f>
        <v/>
      </c>
    </row>
    <row r="1503" spans="1:12" ht="22" customHeight="1">
      <c r="A1503" s="3"/>
      <c r="B1503" s="7"/>
      <c r="C1503" s="3"/>
      <c r="D1503" s="3"/>
      <c r="E1503" s="3"/>
      <c r="F1503" s="3"/>
      <c r="G1503" s="4"/>
      <c r="H1503" s="4"/>
      <c r="I1503" s="3"/>
      <c r="J1503" s="3"/>
      <c r="K1503" s="8" t="str">
        <f t="shared" si="23"/>
        <v/>
      </c>
      <c r="L1503" s="1" t="str">
        <f>IF(COUNTA(A1503:J1503)=0,"",IF(OR(AND(C1503&lt;&gt;"Servicio",C1503&lt;&gt;"Cobro",C1503&lt;&gt;"Anticipo",C1503&lt;&gt;"Aplicación anticipo",C1503&lt;&gt;"Retención ISR",C1503&lt;&gt;"Retención IVA"),AND(C1503="Servicio",F1503&lt;&gt;"TMS",F1503&lt;&gt;"Valoración",F1503&lt;&gt;"EEG",F1503&lt;&gt;"Neurofeedback",F1503&lt;&gt;"Fotobiomodulación",F1503&lt;&gt;"Psicoterapia",F1503&lt;&gt;"Otros")),"Tipo o categoría inválido",IF(COUNTA(A1503:J1503)=0,"",IF(OR(A1503="",B1503="",C1503="",G1503=""),"Faltan datos",IF(COUNTIF($A$7:$A$2006,A1503)&gt;1,"ID duplicado",IF(OR(B1503&lt;DATE(Configuración!$C$5,1,1),B1503&gt;=DATE(Configuración!$C$5+1,1,1)),"Fecha fuera del año",IF(OR(G1503&lt;0,H1503&lt;0),"Revisar signo",IF(AND(C1503&lt;&gt;"Servicio",H1503&lt;&gt;0),"IVA solo en Servicio",IF(AND(C1503="Servicio",F1503=""),"Falta servicio","OK")))))))))</f>
        <v/>
      </c>
    </row>
    <row r="1504" spans="1:12" ht="22" customHeight="1">
      <c r="A1504" s="3"/>
      <c r="B1504" s="7"/>
      <c r="C1504" s="3"/>
      <c r="D1504" s="3"/>
      <c r="E1504" s="3"/>
      <c r="F1504" s="3"/>
      <c r="G1504" s="4"/>
      <c r="H1504" s="4"/>
      <c r="I1504" s="3"/>
      <c r="J1504" s="3"/>
      <c r="K1504" s="8" t="str">
        <f t="shared" si="23"/>
        <v/>
      </c>
      <c r="L1504" s="1" t="str">
        <f>IF(COUNTA(A1504:J1504)=0,"",IF(OR(AND(C1504&lt;&gt;"Servicio",C1504&lt;&gt;"Cobro",C1504&lt;&gt;"Anticipo",C1504&lt;&gt;"Aplicación anticipo",C1504&lt;&gt;"Retención ISR",C1504&lt;&gt;"Retención IVA"),AND(C1504="Servicio",F1504&lt;&gt;"TMS",F1504&lt;&gt;"Valoración",F1504&lt;&gt;"EEG",F1504&lt;&gt;"Neurofeedback",F1504&lt;&gt;"Fotobiomodulación",F1504&lt;&gt;"Psicoterapia",F1504&lt;&gt;"Otros")),"Tipo o categoría inválido",IF(COUNTA(A1504:J1504)=0,"",IF(OR(A1504="",B1504="",C1504="",G1504=""),"Faltan datos",IF(COUNTIF($A$7:$A$2006,A1504)&gt;1,"ID duplicado",IF(OR(B1504&lt;DATE(Configuración!$C$5,1,1),B1504&gt;=DATE(Configuración!$C$5+1,1,1)),"Fecha fuera del año",IF(OR(G1504&lt;0,H1504&lt;0),"Revisar signo",IF(AND(C1504&lt;&gt;"Servicio",H1504&lt;&gt;0),"IVA solo en Servicio",IF(AND(C1504="Servicio",F1504=""),"Falta servicio","OK")))))))))</f>
        <v/>
      </c>
    </row>
    <row r="1505" spans="1:12" ht="22" customHeight="1">
      <c r="A1505" s="3"/>
      <c r="B1505" s="7"/>
      <c r="C1505" s="3"/>
      <c r="D1505" s="3"/>
      <c r="E1505" s="3"/>
      <c r="F1505" s="3"/>
      <c r="G1505" s="4"/>
      <c r="H1505" s="4"/>
      <c r="I1505" s="3"/>
      <c r="J1505" s="3"/>
      <c r="K1505" s="8" t="str">
        <f t="shared" si="23"/>
        <v/>
      </c>
      <c r="L1505" s="1" t="str">
        <f>IF(COUNTA(A1505:J1505)=0,"",IF(OR(AND(C1505&lt;&gt;"Servicio",C1505&lt;&gt;"Cobro",C1505&lt;&gt;"Anticipo",C1505&lt;&gt;"Aplicación anticipo",C1505&lt;&gt;"Retención ISR",C1505&lt;&gt;"Retención IVA"),AND(C1505="Servicio",F1505&lt;&gt;"TMS",F1505&lt;&gt;"Valoración",F1505&lt;&gt;"EEG",F1505&lt;&gt;"Neurofeedback",F1505&lt;&gt;"Fotobiomodulación",F1505&lt;&gt;"Psicoterapia",F1505&lt;&gt;"Otros")),"Tipo o categoría inválido",IF(COUNTA(A1505:J1505)=0,"",IF(OR(A1505="",B1505="",C1505="",G1505=""),"Faltan datos",IF(COUNTIF($A$7:$A$2006,A1505)&gt;1,"ID duplicado",IF(OR(B1505&lt;DATE(Configuración!$C$5,1,1),B1505&gt;=DATE(Configuración!$C$5+1,1,1)),"Fecha fuera del año",IF(OR(G1505&lt;0,H1505&lt;0),"Revisar signo",IF(AND(C1505&lt;&gt;"Servicio",H1505&lt;&gt;0),"IVA solo en Servicio",IF(AND(C1505="Servicio",F1505=""),"Falta servicio","OK")))))))))</f>
        <v/>
      </c>
    </row>
    <row r="1506" spans="1:12" ht="22" customHeight="1">
      <c r="A1506" s="3"/>
      <c r="B1506" s="7"/>
      <c r="C1506" s="3"/>
      <c r="D1506" s="3"/>
      <c r="E1506" s="3"/>
      <c r="F1506" s="3"/>
      <c r="G1506" s="4"/>
      <c r="H1506" s="4"/>
      <c r="I1506" s="3"/>
      <c r="J1506" s="3"/>
      <c r="K1506" s="8" t="str">
        <f t="shared" si="23"/>
        <v/>
      </c>
      <c r="L1506" s="1" t="str">
        <f>IF(COUNTA(A1506:J1506)=0,"",IF(OR(AND(C1506&lt;&gt;"Servicio",C1506&lt;&gt;"Cobro",C1506&lt;&gt;"Anticipo",C1506&lt;&gt;"Aplicación anticipo",C1506&lt;&gt;"Retención ISR",C1506&lt;&gt;"Retención IVA"),AND(C1506="Servicio",F1506&lt;&gt;"TMS",F1506&lt;&gt;"Valoración",F1506&lt;&gt;"EEG",F1506&lt;&gt;"Neurofeedback",F1506&lt;&gt;"Fotobiomodulación",F1506&lt;&gt;"Psicoterapia",F1506&lt;&gt;"Otros")),"Tipo o categoría inválido",IF(COUNTA(A1506:J1506)=0,"",IF(OR(A1506="",B1506="",C1506="",G1506=""),"Faltan datos",IF(COUNTIF($A$7:$A$2006,A1506)&gt;1,"ID duplicado",IF(OR(B1506&lt;DATE(Configuración!$C$5,1,1),B1506&gt;=DATE(Configuración!$C$5+1,1,1)),"Fecha fuera del año",IF(OR(G1506&lt;0,H1506&lt;0),"Revisar signo",IF(AND(C1506&lt;&gt;"Servicio",H1506&lt;&gt;0),"IVA solo en Servicio",IF(AND(C1506="Servicio",F1506=""),"Falta servicio","OK")))))))))</f>
        <v/>
      </c>
    </row>
    <row r="1507" spans="1:12" ht="22" customHeight="1">
      <c r="A1507" s="3"/>
      <c r="B1507" s="7"/>
      <c r="C1507" s="3"/>
      <c r="D1507" s="3"/>
      <c r="E1507" s="3"/>
      <c r="F1507" s="3"/>
      <c r="G1507" s="4"/>
      <c r="H1507" s="4"/>
      <c r="I1507" s="3"/>
      <c r="J1507" s="3"/>
      <c r="K1507" s="8" t="str">
        <f t="shared" si="23"/>
        <v/>
      </c>
      <c r="L1507" s="1" t="str">
        <f>IF(COUNTA(A1507:J1507)=0,"",IF(OR(AND(C1507&lt;&gt;"Servicio",C1507&lt;&gt;"Cobro",C1507&lt;&gt;"Anticipo",C1507&lt;&gt;"Aplicación anticipo",C1507&lt;&gt;"Retención ISR",C1507&lt;&gt;"Retención IVA"),AND(C1507="Servicio",F1507&lt;&gt;"TMS",F1507&lt;&gt;"Valoración",F1507&lt;&gt;"EEG",F1507&lt;&gt;"Neurofeedback",F1507&lt;&gt;"Fotobiomodulación",F1507&lt;&gt;"Psicoterapia",F1507&lt;&gt;"Otros")),"Tipo o categoría inválido",IF(COUNTA(A1507:J1507)=0,"",IF(OR(A1507="",B1507="",C1507="",G1507=""),"Faltan datos",IF(COUNTIF($A$7:$A$2006,A1507)&gt;1,"ID duplicado",IF(OR(B1507&lt;DATE(Configuración!$C$5,1,1),B1507&gt;=DATE(Configuración!$C$5+1,1,1)),"Fecha fuera del año",IF(OR(G1507&lt;0,H1507&lt;0),"Revisar signo",IF(AND(C1507&lt;&gt;"Servicio",H1507&lt;&gt;0),"IVA solo en Servicio",IF(AND(C1507="Servicio",F1507=""),"Falta servicio","OK")))))))))</f>
        <v/>
      </c>
    </row>
    <row r="1508" spans="1:12" ht="22" customHeight="1">
      <c r="A1508" s="3"/>
      <c r="B1508" s="7"/>
      <c r="C1508" s="3"/>
      <c r="D1508" s="3"/>
      <c r="E1508" s="3"/>
      <c r="F1508" s="3"/>
      <c r="G1508" s="4"/>
      <c r="H1508" s="4"/>
      <c r="I1508" s="3"/>
      <c r="J1508" s="3"/>
      <c r="K1508" s="8" t="str">
        <f t="shared" si="23"/>
        <v/>
      </c>
      <c r="L1508" s="1" t="str">
        <f>IF(COUNTA(A1508:J1508)=0,"",IF(OR(AND(C1508&lt;&gt;"Servicio",C1508&lt;&gt;"Cobro",C1508&lt;&gt;"Anticipo",C1508&lt;&gt;"Aplicación anticipo",C1508&lt;&gt;"Retención ISR",C1508&lt;&gt;"Retención IVA"),AND(C1508="Servicio",F1508&lt;&gt;"TMS",F1508&lt;&gt;"Valoración",F1508&lt;&gt;"EEG",F1508&lt;&gt;"Neurofeedback",F1508&lt;&gt;"Fotobiomodulación",F1508&lt;&gt;"Psicoterapia",F1508&lt;&gt;"Otros")),"Tipo o categoría inválido",IF(COUNTA(A1508:J1508)=0,"",IF(OR(A1508="",B1508="",C1508="",G1508=""),"Faltan datos",IF(COUNTIF($A$7:$A$2006,A1508)&gt;1,"ID duplicado",IF(OR(B1508&lt;DATE(Configuración!$C$5,1,1),B1508&gt;=DATE(Configuración!$C$5+1,1,1)),"Fecha fuera del año",IF(OR(G1508&lt;0,H1508&lt;0),"Revisar signo",IF(AND(C1508&lt;&gt;"Servicio",H1508&lt;&gt;0),"IVA solo en Servicio",IF(AND(C1508="Servicio",F1508=""),"Falta servicio","OK")))))))))</f>
        <v/>
      </c>
    </row>
    <row r="1509" spans="1:12" ht="22" customHeight="1">
      <c r="A1509" s="3"/>
      <c r="B1509" s="7"/>
      <c r="C1509" s="3"/>
      <c r="D1509" s="3"/>
      <c r="E1509" s="3"/>
      <c r="F1509" s="3"/>
      <c r="G1509" s="4"/>
      <c r="H1509" s="4"/>
      <c r="I1509" s="3"/>
      <c r="J1509" s="3"/>
      <c r="K1509" s="8" t="str">
        <f t="shared" si="23"/>
        <v/>
      </c>
      <c r="L1509" s="1" t="str">
        <f>IF(COUNTA(A1509:J1509)=0,"",IF(OR(AND(C1509&lt;&gt;"Servicio",C1509&lt;&gt;"Cobro",C1509&lt;&gt;"Anticipo",C1509&lt;&gt;"Aplicación anticipo",C1509&lt;&gt;"Retención ISR",C1509&lt;&gt;"Retención IVA"),AND(C1509="Servicio",F1509&lt;&gt;"TMS",F1509&lt;&gt;"Valoración",F1509&lt;&gt;"EEG",F1509&lt;&gt;"Neurofeedback",F1509&lt;&gt;"Fotobiomodulación",F1509&lt;&gt;"Psicoterapia",F1509&lt;&gt;"Otros")),"Tipo o categoría inválido",IF(COUNTA(A1509:J1509)=0,"",IF(OR(A1509="",B1509="",C1509="",G1509=""),"Faltan datos",IF(COUNTIF($A$7:$A$2006,A1509)&gt;1,"ID duplicado",IF(OR(B1509&lt;DATE(Configuración!$C$5,1,1),B1509&gt;=DATE(Configuración!$C$5+1,1,1)),"Fecha fuera del año",IF(OR(G1509&lt;0,H1509&lt;0),"Revisar signo",IF(AND(C1509&lt;&gt;"Servicio",H1509&lt;&gt;0),"IVA solo en Servicio",IF(AND(C1509="Servicio",F1509=""),"Falta servicio","OK")))))))))</f>
        <v/>
      </c>
    </row>
    <row r="1510" spans="1:12" ht="22" customHeight="1">
      <c r="A1510" s="3"/>
      <c r="B1510" s="7"/>
      <c r="C1510" s="3"/>
      <c r="D1510" s="3"/>
      <c r="E1510" s="3"/>
      <c r="F1510" s="3"/>
      <c r="G1510" s="4"/>
      <c r="H1510" s="4"/>
      <c r="I1510" s="3"/>
      <c r="J1510" s="3"/>
      <c r="K1510" s="8" t="str">
        <f t="shared" si="23"/>
        <v/>
      </c>
      <c r="L1510" s="1" t="str">
        <f>IF(COUNTA(A1510:J1510)=0,"",IF(OR(AND(C1510&lt;&gt;"Servicio",C1510&lt;&gt;"Cobro",C1510&lt;&gt;"Anticipo",C1510&lt;&gt;"Aplicación anticipo",C1510&lt;&gt;"Retención ISR",C1510&lt;&gt;"Retención IVA"),AND(C1510="Servicio",F1510&lt;&gt;"TMS",F1510&lt;&gt;"Valoración",F1510&lt;&gt;"EEG",F1510&lt;&gt;"Neurofeedback",F1510&lt;&gt;"Fotobiomodulación",F1510&lt;&gt;"Psicoterapia",F1510&lt;&gt;"Otros")),"Tipo o categoría inválido",IF(COUNTA(A1510:J1510)=0,"",IF(OR(A1510="",B1510="",C1510="",G1510=""),"Faltan datos",IF(COUNTIF($A$7:$A$2006,A1510)&gt;1,"ID duplicado",IF(OR(B1510&lt;DATE(Configuración!$C$5,1,1),B1510&gt;=DATE(Configuración!$C$5+1,1,1)),"Fecha fuera del año",IF(OR(G1510&lt;0,H1510&lt;0),"Revisar signo",IF(AND(C1510&lt;&gt;"Servicio",H1510&lt;&gt;0),"IVA solo en Servicio",IF(AND(C1510="Servicio",F1510=""),"Falta servicio","OK")))))))))</f>
        <v/>
      </c>
    </row>
    <row r="1511" spans="1:12" ht="22" customHeight="1">
      <c r="A1511" s="3"/>
      <c r="B1511" s="7"/>
      <c r="C1511" s="3"/>
      <c r="D1511" s="3"/>
      <c r="E1511" s="3"/>
      <c r="F1511" s="3"/>
      <c r="G1511" s="4"/>
      <c r="H1511" s="4"/>
      <c r="I1511" s="3"/>
      <c r="J1511" s="3"/>
      <c r="K1511" s="8" t="str">
        <f t="shared" si="23"/>
        <v/>
      </c>
      <c r="L1511" s="1" t="str">
        <f>IF(COUNTA(A1511:J1511)=0,"",IF(OR(AND(C1511&lt;&gt;"Servicio",C1511&lt;&gt;"Cobro",C1511&lt;&gt;"Anticipo",C1511&lt;&gt;"Aplicación anticipo",C1511&lt;&gt;"Retención ISR",C1511&lt;&gt;"Retención IVA"),AND(C1511="Servicio",F1511&lt;&gt;"TMS",F1511&lt;&gt;"Valoración",F1511&lt;&gt;"EEG",F1511&lt;&gt;"Neurofeedback",F1511&lt;&gt;"Fotobiomodulación",F1511&lt;&gt;"Psicoterapia",F1511&lt;&gt;"Otros")),"Tipo o categoría inválido",IF(COUNTA(A1511:J1511)=0,"",IF(OR(A1511="",B1511="",C1511="",G1511=""),"Faltan datos",IF(COUNTIF($A$7:$A$2006,A1511)&gt;1,"ID duplicado",IF(OR(B1511&lt;DATE(Configuración!$C$5,1,1),B1511&gt;=DATE(Configuración!$C$5+1,1,1)),"Fecha fuera del año",IF(OR(G1511&lt;0,H1511&lt;0),"Revisar signo",IF(AND(C1511&lt;&gt;"Servicio",H1511&lt;&gt;0),"IVA solo en Servicio",IF(AND(C1511="Servicio",F1511=""),"Falta servicio","OK")))))))))</f>
        <v/>
      </c>
    </row>
    <row r="1512" spans="1:12" ht="22" customHeight="1">
      <c r="A1512" s="3"/>
      <c r="B1512" s="7"/>
      <c r="C1512" s="3"/>
      <c r="D1512" s="3"/>
      <c r="E1512" s="3"/>
      <c r="F1512" s="3"/>
      <c r="G1512" s="4"/>
      <c r="H1512" s="4"/>
      <c r="I1512" s="3"/>
      <c r="J1512" s="3"/>
      <c r="K1512" s="8" t="str">
        <f t="shared" si="23"/>
        <v/>
      </c>
      <c r="L1512" s="1" t="str">
        <f>IF(COUNTA(A1512:J1512)=0,"",IF(OR(AND(C1512&lt;&gt;"Servicio",C1512&lt;&gt;"Cobro",C1512&lt;&gt;"Anticipo",C1512&lt;&gt;"Aplicación anticipo",C1512&lt;&gt;"Retención ISR",C1512&lt;&gt;"Retención IVA"),AND(C1512="Servicio",F1512&lt;&gt;"TMS",F1512&lt;&gt;"Valoración",F1512&lt;&gt;"EEG",F1512&lt;&gt;"Neurofeedback",F1512&lt;&gt;"Fotobiomodulación",F1512&lt;&gt;"Psicoterapia",F1512&lt;&gt;"Otros")),"Tipo o categoría inválido",IF(COUNTA(A1512:J1512)=0,"",IF(OR(A1512="",B1512="",C1512="",G1512=""),"Faltan datos",IF(COUNTIF($A$7:$A$2006,A1512)&gt;1,"ID duplicado",IF(OR(B1512&lt;DATE(Configuración!$C$5,1,1),B1512&gt;=DATE(Configuración!$C$5+1,1,1)),"Fecha fuera del año",IF(OR(G1512&lt;0,H1512&lt;0),"Revisar signo",IF(AND(C1512&lt;&gt;"Servicio",H1512&lt;&gt;0),"IVA solo en Servicio",IF(AND(C1512="Servicio",F1512=""),"Falta servicio","OK")))))))))</f>
        <v/>
      </c>
    </row>
    <row r="1513" spans="1:12" ht="22" customHeight="1">
      <c r="A1513" s="3"/>
      <c r="B1513" s="7"/>
      <c r="C1513" s="3"/>
      <c r="D1513" s="3"/>
      <c r="E1513" s="3"/>
      <c r="F1513" s="3"/>
      <c r="G1513" s="4"/>
      <c r="H1513" s="4"/>
      <c r="I1513" s="3"/>
      <c r="J1513" s="3"/>
      <c r="K1513" s="8" t="str">
        <f t="shared" si="23"/>
        <v/>
      </c>
      <c r="L1513" s="1" t="str">
        <f>IF(COUNTA(A1513:J1513)=0,"",IF(OR(AND(C1513&lt;&gt;"Servicio",C1513&lt;&gt;"Cobro",C1513&lt;&gt;"Anticipo",C1513&lt;&gt;"Aplicación anticipo",C1513&lt;&gt;"Retención ISR",C1513&lt;&gt;"Retención IVA"),AND(C1513="Servicio",F1513&lt;&gt;"TMS",F1513&lt;&gt;"Valoración",F1513&lt;&gt;"EEG",F1513&lt;&gt;"Neurofeedback",F1513&lt;&gt;"Fotobiomodulación",F1513&lt;&gt;"Psicoterapia",F1513&lt;&gt;"Otros")),"Tipo o categoría inválido",IF(COUNTA(A1513:J1513)=0,"",IF(OR(A1513="",B1513="",C1513="",G1513=""),"Faltan datos",IF(COUNTIF($A$7:$A$2006,A1513)&gt;1,"ID duplicado",IF(OR(B1513&lt;DATE(Configuración!$C$5,1,1),B1513&gt;=DATE(Configuración!$C$5+1,1,1)),"Fecha fuera del año",IF(OR(G1513&lt;0,H1513&lt;0),"Revisar signo",IF(AND(C1513&lt;&gt;"Servicio",H1513&lt;&gt;0),"IVA solo en Servicio",IF(AND(C1513="Servicio",F1513=""),"Falta servicio","OK")))))))))</f>
        <v/>
      </c>
    </row>
    <row r="1514" spans="1:12" ht="22" customHeight="1">
      <c r="A1514" s="3"/>
      <c r="B1514" s="7"/>
      <c r="C1514" s="3"/>
      <c r="D1514" s="3"/>
      <c r="E1514" s="3"/>
      <c r="F1514" s="3"/>
      <c r="G1514" s="4"/>
      <c r="H1514" s="4"/>
      <c r="I1514" s="3"/>
      <c r="J1514" s="3"/>
      <c r="K1514" s="8" t="str">
        <f t="shared" si="23"/>
        <v/>
      </c>
      <c r="L1514" s="1" t="str">
        <f>IF(COUNTA(A1514:J1514)=0,"",IF(OR(AND(C1514&lt;&gt;"Servicio",C1514&lt;&gt;"Cobro",C1514&lt;&gt;"Anticipo",C1514&lt;&gt;"Aplicación anticipo",C1514&lt;&gt;"Retención ISR",C1514&lt;&gt;"Retención IVA"),AND(C1514="Servicio",F1514&lt;&gt;"TMS",F1514&lt;&gt;"Valoración",F1514&lt;&gt;"EEG",F1514&lt;&gt;"Neurofeedback",F1514&lt;&gt;"Fotobiomodulación",F1514&lt;&gt;"Psicoterapia",F1514&lt;&gt;"Otros")),"Tipo o categoría inválido",IF(COUNTA(A1514:J1514)=0,"",IF(OR(A1514="",B1514="",C1514="",G1514=""),"Faltan datos",IF(COUNTIF($A$7:$A$2006,A1514)&gt;1,"ID duplicado",IF(OR(B1514&lt;DATE(Configuración!$C$5,1,1),B1514&gt;=DATE(Configuración!$C$5+1,1,1)),"Fecha fuera del año",IF(OR(G1514&lt;0,H1514&lt;0),"Revisar signo",IF(AND(C1514&lt;&gt;"Servicio",H1514&lt;&gt;0),"IVA solo en Servicio",IF(AND(C1514="Servicio",F1514=""),"Falta servicio","OK")))))))))</f>
        <v/>
      </c>
    </row>
    <row r="1515" spans="1:12" ht="22" customHeight="1">
      <c r="A1515" s="3"/>
      <c r="B1515" s="7"/>
      <c r="C1515" s="3"/>
      <c r="D1515" s="3"/>
      <c r="E1515" s="3"/>
      <c r="F1515" s="3"/>
      <c r="G1515" s="4"/>
      <c r="H1515" s="4"/>
      <c r="I1515" s="3"/>
      <c r="J1515" s="3"/>
      <c r="K1515" s="8" t="str">
        <f t="shared" si="23"/>
        <v/>
      </c>
      <c r="L1515" s="1" t="str">
        <f>IF(COUNTA(A1515:J1515)=0,"",IF(OR(AND(C1515&lt;&gt;"Servicio",C1515&lt;&gt;"Cobro",C1515&lt;&gt;"Anticipo",C1515&lt;&gt;"Aplicación anticipo",C1515&lt;&gt;"Retención ISR",C1515&lt;&gt;"Retención IVA"),AND(C1515="Servicio",F1515&lt;&gt;"TMS",F1515&lt;&gt;"Valoración",F1515&lt;&gt;"EEG",F1515&lt;&gt;"Neurofeedback",F1515&lt;&gt;"Fotobiomodulación",F1515&lt;&gt;"Psicoterapia",F1515&lt;&gt;"Otros")),"Tipo o categoría inválido",IF(COUNTA(A1515:J1515)=0,"",IF(OR(A1515="",B1515="",C1515="",G1515=""),"Faltan datos",IF(COUNTIF($A$7:$A$2006,A1515)&gt;1,"ID duplicado",IF(OR(B1515&lt;DATE(Configuración!$C$5,1,1),B1515&gt;=DATE(Configuración!$C$5+1,1,1)),"Fecha fuera del año",IF(OR(G1515&lt;0,H1515&lt;0),"Revisar signo",IF(AND(C1515&lt;&gt;"Servicio",H1515&lt;&gt;0),"IVA solo en Servicio",IF(AND(C1515="Servicio",F1515=""),"Falta servicio","OK")))))))))</f>
        <v/>
      </c>
    </row>
    <row r="1516" spans="1:12" ht="22" customHeight="1">
      <c r="A1516" s="3"/>
      <c r="B1516" s="7"/>
      <c r="C1516" s="3"/>
      <c r="D1516" s="3"/>
      <c r="E1516" s="3"/>
      <c r="F1516" s="3"/>
      <c r="G1516" s="4"/>
      <c r="H1516" s="4"/>
      <c r="I1516" s="3"/>
      <c r="J1516" s="3"/>
      <c r="K1516" s="8" t="str">
        <f t="shared" si="23"/>
        <v/>
      </c>
      <c r="L1516" s="1" t="str">
        <f>IF(COUNTA(A1516:J1516)=0,"",IF(OR(AND(C1516&lt;&gt;"Servicio",C1516&lt;&gt;"Cobro",C1516&lt;&gt;"Anticipo",C1516&lt;&gt;"Aplicación anticipo",C1516&lt;&gt;"Retención ISR",C1516&lt;&gt;"Retención IVA"),AND(C1516="Servicio",F1516&lt;&gt;"TMS",F1516&lt;&gt;"Valoración",F1516&lt;&gt;"EEG",F1516&lt;&gt;"Neurofeedback",F1516&lt;&gt;"Fotobiomodulación",F1516&lt;&gt;"Psicoterapia",F1516&lt;&gt;"Otros")),"Tipo o categoría inválido",IF(COUNTA(A1516:J1516)=0,"",IF(OR(A1516="",B1516="",C1516="",G1516=""),"Faltan datos",IF(COUNTIF($A$7:$A$2006,A1516)&gt;1,"ID duplicado",IF(OR(B1516&lt;DATE(Configuración!$C$5,1,1),B1516&gt;=DATE(Configuración!$C$5+1,1,1)),"Fecha fuera del año",IF(OR(G1516&lt;0,H1516&lt;0),"Revisar signo",IF(AND(C1516&lt;&gt;"Servicio",H1516&lt;&gt;0),"IVA solo en Servicio",IF(AND(C1516="Servicio",F1516=""),"Falta servicio","OK")))))))))</f>
        <v/>
      </c>
    </row>
    <row r="1517" spans="1:12" ht="22" customHeight="1">
      <c r="A1517" s="3"/>
      <c r="B1517" s="7"/>
      <c r="C1517" s="3"/>
      <c r="D1517" s="3"/>
      <c r="E1517" s="3"/>
      <c r="F1517" s="3"/>
      <c r="G1517" s="4"/>
      <c r="H1517" s="4"/>
      <c r="I1517" s="3"/>
      <c r="J1517" s="3"/>
      <c r="K1517" s="8" t="str">
        <f t="shared" si="23"/>
        <v/>
      </c>
      <c r="L1517" s="1" t="str">
        <f>IF(COUNTA(A1517:J1517)=0,"",IF(OR(AND(C1517&lt;&gt;"Servicio",C1517&lt;&gt;"Cobro",C1517&lt;&gt;"Anticipo",C1517&lt;&gt;"Aplicación anticipo",C1517&lt;&gt;"Retención ISR",C1517&lt;&gt;"Retención IVA"),AND(C1517="Servicio",F1517&lt;&gt;"TMS",F1517&lt;&gt;"Valoración",F1517&lt;&gt;"EEG",F1517&lt;&gt;"Neurofeedback",F1517&lt;&gt;"Fotobiomodulación",F1517&lt;&gt;"Psicoterapia",F1517&lt;&gt;"Otros")),"Tipo o categoría inválido",IF(COUNTA(A1517:J1517)=0,"",IF(OR(A1517="",B1517="",C1517="",G1517=""),"Faltan datos",IF(COUNTIF($A$7:$A$2006,A1517)&gt;1,"ID duplicado",IF(OR(B1517&lt;DATE(Configuración!$C$5,1,1),B1517&gt;=DATE(Configuración!$C$5+1,1,1)),"Fecha fuera del año",IF(OR(G1517&lt;0,H1517&lt;0),"Revisar signo",IF(AND(C1517&lt;&gt;"Servicio",H1517&lt;&gt;0),"IVA solo en Servicio",IF(AND(C1517="Servicio",F1517=""),"Falta servicio","OK")))))))))</f>
        <v/>
      </c>
    </row>
    <row r="1518" spans="1:12" ht="22" customHeight="1">
      <c r="A1518" s="3"/>
      <c r="B1518" s="7"/>
      <c r="C1518" s="3"/>
      <c r="D1518" s="3"/>
      <c r="E1518" s="3"/>
      <c r="F1518" s="3"/>
      <c r="G1518" s="4"/>
      <c r="H1518" s="4"/>
      <c r="I1518" s="3"/>
      <c r="J1518" s="3"/>
      <c r="K1518" s="8" t="str">
        <f t="shared" si="23"/>
        <v/>
      </c>
      <c r="L1518" s="1" t="str">
        <f>IF(COUNTA(A1518:J1518)=0,"",IF(OR(AND(C1518&lt;&gt;"Servicio",C1518&lt;&gt;"Cobro",C1518&lt;&gt;"Anticipo",C1518&lt;&gt;"Aplicación anticipo",C1518&lt;&gt;"Retención ISR",C1518&lt;&gt;"Retención IVA"),AND(C1518="Servicio",F1518&lt;&gt;"TMS",F1518&lt;&gt;"Valoración",F1518&lt;&gt;"EEG",F1518&lt;&gt;"Neurofeedback",F1518&lt;&gt;"Fotobiomodulación",F1518&lt;&gt;"Psicoterapia",F1518&lt;&gt;"Otros")),"Tipo o categoría inválido",IF(COUNTA(A1518:J1518)=0,"",IF(OR(A1518="",B1518="",C1518="",G1518=""),"Faltan datos",IF(COUNTIF($A$7:$A$2006,A1518)&gt;1,"ID duplicado",IF(OR(B1518&lt;DATE(Configuración!$C$5,1,1),B1518&gt;=DATE(Configuración!$C$5+1,1,1)),"Fecha fuera del año",IF(OR(G1518&lt;0,H1518&lt;0),"Revisar signo",IF(AND(C1518&lt;&gt;"Servicio",H1518&lt;&gt;0),"IVA solo en Servicio",IF(AND(C1518="Servicio",F1518=""),"Falta servicio","OK")))))))))</f>
        <v/>
      </c>
    </row>
    <row r="1519" spans="1:12" ht="22" customHeight="1">
      <c r="A1519" s="3"/>
      <c r="B1519" s="7"/>
      <c r="C1519" s="3"/>
      <c r="D1519" s="3"/>
      <c r="E1519" s="3"/>
      <c r="F1519" s="3"/>
      <c r="G1519" s="4"/>
      <c r="H1519" s="4"/>
      <c r="I1519" s="3"/>
      <c r="J1519" s="3"/>
      <c r="K1519" s="8" t="str">
        <f t="shared" si="23"/>
        <v/>
      </c>
      <c r="L1519" s="1" t="str">
        <f>IF(COUNTA(A1519:J1519)=0,"",IF(OR(AND(C1519&lt;&gt;"Servicio",C1519&lt;&gt;"Cobro",C1519&lt;&gt;"Anticipo",C1519&lt;&gt;"Aplicación anticipo",C1519&lt;&gt;"Retención ISR",C1519&lt;&gt;"Retención IVA"),AND(C1519="Servicio",F1519&lt;&gt;"TMS",F1519&lt;&gt;"Valoración",F1519&lt;&gt;"EEG",F1519&lt;&gt;"Neurofeedback",F1519&lt;&gt;"Fotobiomodulación",F1519&lt;&gt;"Psicoterapia",F1519&lt;&gt;"Otros")),"Tipo o categoría inválido",IF(COUNTA(A1519:J1519)=0,"",IF(OR(A1519="",B1519="",C1519="",G1519=""),"Faltan datos",IF(COUNTIF($A$7:$A$2006,A1519)&gt;1,"ID duplicado",IF(OR(B1519&lt;DATE(Configuración!$C$5,1,1),B1519&gt;=DATE(Configuración!$C$5+1,1,1)),"Fecha fuera del año",IF(OR(G1519&lt;0,H1519&lt;0),"Revisar signo",IF(AND(C1519&lt;&gt;"Servicio",H1519&lt;&gt;0),"IVA solo en Servicio",IF(AND(C1519="Servicio",F1519=""),"Falta servicio","OK")))))))))</f>
        <v/>
      </c>
    </row>
    <row r="1520" spans="1:12" ht="22" customHeight="1">
      <c r="A1520" s="3"/>
      <c r="B1520" s="7"/>
      <c r="C1520" s="3"/>
      <c r="D1520" s="3"/>
      <c r="E1520" s="3"/>
      <c r="F1520" s="3"/>
      <c r="G1520" s="4"/>
      <c r="H1520" s="4"/>
      <c r="I1520" s="3"/>
      <c r="J1520" s="3"/>
      <c r="K1520" s="8" t="str">
        <f t="shared" si="23"/>
        <v/>
      </c>
      <c r="L1520" s="1" t="str">
        <f>IF(COUNTA(A1520:J1520)=0,"",IF(OR(AND(C1520&lt;&gt;"Servicio",C1520&lt;&gt;"Cobro",C1520&lt;&gt;"Anticipo",C1520&lt;&gt;"Aplicación anticipo",C1520&lt;&gt;"Retención ISR",C1520&lt;&gt;"Retención IVA"),AND(C1520="Servicio",F1520&lt;&gt;"TMS",F1520&lt;&gt;"Valoración",F1520&lt;&gt;"EEG",F1520&lt;&gt;"Neurofeedback",F1520&lt;&gt;"Fotobiomodulación",F1520&lt;&gt;"Psicoterapia",F1520&lt;&gt;"Otros")),"Tipo o categoría inválido",IF(COUNTA(A1520:J1520)=0,"",IF(OR(A1520="",B1520="",C1520="",G1520=""),"Faltan datos",IF(COUNTIF($A$7:$A$2006,A1520)&gt;1,"ID duplicado",IF(OR(B1520&lt;DATE(Configuración!$C$5,1,1),B1520&gt;=DATE(Configuración!$C$5+1,1,1)),"Fecha fuera del año",IF(OR(G1520&lt;0,H1520&lt;0),"Revisar signo",IF(AND(C1520&lt;&gt;"Servicio",H1520&lt;&gt;0),"IVA solo en Servicio",IF(AND(C1520="Servicio",F1520=""),"Falta servicio","OK")))))))))</f>
        <v/>
      </c>
    </row>
    <row r="1521" spans="1:12" ht="22" customHeight="1">
      <c r="A1521" s="3"/>
      <c r="B1521" s="7"/>
      <c r="C1521" s="3"/>
      <c r="D1521" s="3"/>
      <c r="E1521" s="3"/>
      <c r="F1521" s="3"/>
      <c r="G1521" s="4"/>
      <c r="H1521" s="4"/>
      <c r="I1521" s="3"/>
      <c r="J1521" s="3"/>
      <c r="K1521" s="8" t="str">
        <f t="shared" si="23"/>
        <v/>
      </c>
      <c r="L1521" s="1" t="str">
        <f>IF(COUNTA(A1521:J1521)=0,"",IF(OR(AND(C1521&lt;&gt;"Servicio",C1521&lt;&gt;"Cobro",C1521&lt;&gt;"Anticipo",C1521&lt;&gt;"Aplicación anticipo",C1521&lt;&gt;"Retención ISR",C1521&lt;&gt;"Retención IVA"),AND(C1521="Servicio",F1521&lt;&gt;"TMS",F1521&lt;&gt;"Valoración",F1521&lt;&gt;"EEG",F1521&lt;&gt;"Neurofeedback",F1521&lt;&gt;"Fotobiomodulación",F1521&lt;&gt;"Psicoterapia",F1521&lt;&gt;"Otros")),"Tipo o categoría inválido",IF(COUNTA(A1521:J1521)=0,"",IF(OR(A1521="",B1521="",C1521="",G1521=""),"Faltan datos",IF(COUNTIF($A$7:$A$2006,A1521)&gt;1,"ID duplicado",IF(OR(B1521&lt;DATE(Configuración!$C$5,1,1),B1521&gt;=DATE(Configuración!$C$5+1,1,1)),"Fecha fuera del año",IF(OR(G1521&lt;0,H1521&lt;0),"Revisar signo",IF(AND(C1521&lt;&gt;"Servicio",H1521&lt;&gt;0),"IVA solo en Servicio",IF(AND(C1521="Servicio",F1521=""),"Falta servicio","OK")))))))))</f>
        <v/>
      </c>
    </row>
    <row r="1522" spans="1:12" ht="22" customHeight="1">
      <c r="A1522" s="3"/>
      <c r="B1522" s="7"/>
      <c r="C1522" s="3"/>
      <c r="D1522" s="3"/>
      <c r="E1522" s="3"/>
      <c r="F1522" s="3"/>
      <c r="G1522" s="4"/>
      <c r="H1522" s="4"/>
      <c r="I1522" s="3"/>
      <c r="J1522" s="3"/>
      <c r="K1522" s="8" t="str">
        <f t="shared" si="23"/>
        <v/>
      </c>
      <c r="L1522" s="1" t="str">
        <f>IF(COUNTA(A1522:J1522)=0,"",IF(OR(AND(C1522&lt;&gt;"Servicio",C1522&lt;&gt;"Cobro",C1522&lt;&gt;"Anticipo",C1522&lt;&gt;"Aplicación anticipo",C1522&lt;&gt;"Retención ISR",C1522&lt;&gt;"Retención IVA"),AND(C1522="Servicio",F1522&lt;&gt;"TMS",F1522&lt;&gt;"Valoración",F1522&lt;&gt;"EEG",F1522&lt;&gt;"Neurofeedback",F1522&lt;&gt;"Fotobiomodulación",F1522&lt;&gt;"Psicoterapia",F1522&lt;&gt;"Otros")),"Tipo o categoría inválido",IF(COUNTA(A1522:J1522)=0,"",IF(OR(A1522="",B1522="",C1522="",G1522=""),"Faltan datos",IF(COUNTIF($A$7:$A$2006,A1522)&gt;1,"ID duplicado",IF(OR(B1522&lt;DATE(Configuración!$C$5,1,1),B1522&gt;=DATE(Configuración!$C$5+1,1,1)),"Fecha fuera del año",IF(OR(G1522&lt;0,H1522&lt;0),"Revisar signo",IF(AND(C1522&lt;&gt;"Servicio",H1522&lt;&gt;0),"IVA solo en Servicio",IF(AND(C1522="Servicio",F1522=""),"Falta servicio","OK")))))))))</f>
        <v/>
      </c>
    </row>
    <row r="1523" spans="1:12" ht="22" customHeight="1">
      <c r="A1523" s="3"/>
      <c r="B1523" s="7"/>
      <c r="C1523" s="3"/>
      <c r="D1523" s="3"/>
      <c r="E1523" s="3"/>
      <c r="F1523" s="3"/>
      <c r="G1523" s="4"/>
      <c r="H1523" s="4"/>
      <c r="I1523" s="3"/>
      <c r="J1523" s="3"/>
      <c r="K1523" s="8" t="str">
        <f t="shared" si="23"/>
        <v/>
      </c>
      <c r="L1523" s="1" t="str">
        <f>IF(COUNTA(A1523:J1523)=0,"",IF(OR(AND(C1523&lt;&gt;"Servicio",C1523&lt;&gt;"Cobro",C1523&lt;&gt;"Anticipo",C1523&lt;&gt;"Aplicación anticipo",C1523&lt;&gt;"Retención ISR",C1523&lt;&gt;"Retención IVA"),AND(C1523="Servicio",F1523&lt;&gt;"TMS",F1523&lt;&gt;"Valoración",F1523&lt;&gt;"EEG",F1523&lt;&gt;"Neurofeedback",F1523&lt;&gt;"Fotobiomodulación",F1523&lt;&gt;"Psicoterapia",F1523&lt;&gt;"Otros")),"Tipo o categoría inválido",IF(COUNTA(A1523:J1523)=0,"",IF(OR(A1523="",B1523="",C1523="",G1523=""),"Faltan datos",IF(COUNTIF($A$7:$A$2006,A1523)&gt;1,"ID duplicado",IF(OR(B1523&lt;DATE(Configuración!$C$5,1,1),B1523&gt;=DATE(Configuración!$C$5+1,1,1)),"Fecha fuera del año",IF(OR(G1523&lt;0,H1523&lt;0),"Revisar signo",IF(AND(C1523&lt;&gt;"Servicio",H1523&lt;&gt;0),"IVA solo en Servicio",IF(AND(C1523="Servicio",F1523=""),"Falta servicio","OK")))))))))</f>
        <v/>
      </c>
    </row>
    <row r="1524" spans="1:12" ht="22" customHeight="1">
      <c r="A1524" s="3"/>
      <c r="B1524" s="7"/>
      <c r="C1524" s="3"/>
      <c r="D1524" s="3"/>
      <c r="E1524" s="3"/>
      <c r="F1524" s="3"/>
      <c r="G1524" s="4"/>
      <c r="H1524" s="4"/>
      <c r="I1524" s="3"/>
      <c r="J1524" s="3"/>
      <c r="K1524" s="8" t="str">
        <f t="shared" si="23"/>
        <v/>
      </c>
      <c r="L1524" s="1" t="str">
        <f>IF(COUNTA(A1524:J1524)=0,"",IF(OR(AND(C1524&lt;&gt;"Servicio",C1524&lt;&gt;"Cobro",C1524&lt;&gt;"Anticipo",C1524&lt;&gt;"Aplicación anticipo",C1524&lt;&gt;"Retención ISR",C1524&lt;&gt;"Retención IVA"),AND(C1524="Servicio",F1524&lt;&gt;"TMS",F1524&lt;&gt;"Valoración",F1524&lt;&gt;"EEG",F1524&lt;&gt;"Neurofeedback",F1524&lt;&gt;"Fotobiomodulación",F1524&lt;&gt;"Psicoterapia",F1524&lt;&gt;"Otros")),"Tipo o categoría inválido",IF(COUNTA(A1524:J1524)=0,"",IF(OR(A1524="",B1524="",C1524="",G1524=""),"Faltan datos",IF(COUNTIF($A$7:$A$2006,A1524)&gt;1,"ID duplicado",IF(OR(B1524&lt;DATE(Configuración!$C$5,1,1),B1524&gt;=DATE(Configuración!$C$5+1,1,1)),"Fecha fuera del año",IF(OR(G1524&lt;0,H1524&lt;0),"Revisar signo",IF(AND(C1524&lt;&gt;"Servicio",H1524&lt;&gt;0),"IVA solo en Servicio",IF(AND(C1524="Servicio",F1524=""),"Falta servicio","OK")))))))))</f>
        <v/>
      </c>
    </row>
    <row r="1525" spans="1:12" ht="22" customHeight="1">
      <c r="A1525" s="3"/>
      <c r="B1525" s="7"/>
      <c r="C1525" s="3"/>
      <c r="D1525" s="3"/>
      <c r="E1525" s="3"/>
      <c r="F1525" s="3"/>
      <c r="G1525" s="4"/>
      <c r="H1525" s="4"/>
      <c r="I1525" s="3"/>
      <c r="J1525" s="3"/>
      <c r="K1525" s="8" t="str">
        <f t="shared" si="23"/>
        <v/>
      </c>
      <c r="L1525" s="1" t="str">
        <f>IF(COUNTA(A1525:J1525)=0,"",IF(OR(AND(C1525&lt;&gt;"Servicio",C1525&lt;&gt;"Cobro",C1525&lt;&gt;"Anticipo",C1525&lt;&gt;"Aplicación anticipo",C1525&lt;&gt;"Retención ISR",C1525&lt;&gt;"Retención IVA"),AND(C1525="Servicio",F1525&lt;&gt;"TMS",F1525&lt;&gt;"Valoración",F1525&lt;&gt;"EEG",F1525&lt;&gt;"Neurofeedback",F1525&lt;&gt;"Fotobiomodulación",F1525&lt;&gt;"Psicoterapia",F1525&lt;&gt;"Otros")),"Tipo o categoría inválido",IF(COUNTA(A1525:J1525)=0,"",IF(OR(A1525="",B1525="",C1525="",G1525=""),"Faltan datos",IF(COUNTIF($A$7:$A$2006,A1525)&gt;1,"ID duplicado",IF(OR(B1525&lt;DATE(Configuración!$C$5,1,1),B1525&gt;=DATE(Configuración!$C$5+1,1,1)),"Fecha fuera del año",IF(OR(G1525&lt;0,H1525&lt;0),"Revisar signo",IF(AND(C1525&lt;&gt;"Servicio",H1525&lt;&gt;0),"IVA solo en Servicio",IF(AND(C1525="Servicio",F1525=""),"Falta servicio","OK")))))))))</f>
        <v/>
      </c>
    </row>
    <row r="1526" spans="1:12" ht="22" customHeight="1">
      <c r="A1526" s="3"/>
      <c r="B1526" s="7"/>
      <c r="C1526" s="3"/>
      <c r="D1526" s="3"/>
      <c r="E1526" s="3"/>
      <c r="F1526" s="3"/>
      <c r="G1526" s="4"/>
      <c r="H1526" s="4"/>
      <c r="I1526" s="3"/>
      <c r="J1526" s="3"/>
      <c r="K1526" s="8" t="str">
        <f t="shared" si="23"/>
        <v/>
      </c>
      <c r="L1526" s="1" t="str">
        <f>IF(COUNTA(A1526:J1526)=0,"",IF(OR(AND(C1526&lt;&gt;"Servicio",C1526&lt;&gt;"Cobro",C1526&lt;&gt;"Anticipo",C1526&lt;&gt;"Aplicación anticipo",C1526&lt;&gt;"Retención ISR",C1526&lt;&gt;"Retención IVA"),AND(C1526="Servicio",F1526&lt;&gt;"TMS",F1526&lt;&gt;"Valoración",F1526&lt;&gt;"EEG",F1526&lt;&gt;"Neurofeedback",F1526&lt;&gt;"Fotobiomodulación",F1526&lt;&gt;"Psicoterapia",F1526&lt;&gt;"Otros")),"Tipo o categoría inválido",IF(COUNTA(A1526:J1526)=0,"",IF(OR(A1526="",B1526="",C1526="",G1526=""),"Faltan datos",IF(COUNTIF($A$7:$A$2006,A1526)&gt;1,"ID duplicado",IF(OR(B1526&lt;DATE(Configuración!$C$5,1,1),B1526&gt;=DATE(Configuración!$C$5+1,1,1)),"Fecha fuera del año",IF(OR(G1526&lt;0,H1526&lt;0),"Revisar signo",IF(AND(C1526&lt;&gt;"Servicio",H1526&lt;&gt;0),"IVA solo en Servicio",IF(AND(C1526="Servicio",F1526=""),"Falta servicio","OK")))))))))</f>
        <v/>
      </c>
    </row>
    <row r="1527" spans="1:12" ht="22" customHeight="1">
      <c r="A1527" s="3"/>
      <c r="B1527" s="7"/>
      <c r="C1527" s="3"/>
      <c r="D1527" s="3"/>
      <c r="E1527" s="3"/>
      <c r="F1527" s="3"/>
      <c r="G1527" s="4"/>
      <c r="H1527" s="4"/>
      <c r="I1527" s="3"/>
      <c r="J1527" s="3"/>
      <c r="K1527" s="8" t="str">
        <f t="shared" si="23"/>
        <v/>
      </c>
      <c r="L1527" s="1" t="str">
        <f>IF(COUNTA(A1527:J1527)=0,"",IF(OR(AND(C1527&lt;&gt;"Servicio",C1527&lt;&gt;"Cobro",C1527&lt;&gt;"Anticipo",C1527&lt;&gt;"Aplicación anticipo",C1527&lt;&gt;"Retención ISR",C1527&lt;&gt;"Retención IVA"),AND(C1527="Servicio",F1527&lt;&gt;"TMS",F1527&lt;&gt;"Valoración",F1527&lt;&gt;"EEG",F1527&lt;&gt;"Neurofeedback",F1527&lt;&gt;"Fotobiomodulación",F1527&lt;&gt;"Psicoterapia",F1527&lt;&gt;"Otros")),"Tipo o categoría inválido",IF(COUNTA(A1527:J1527)=0,"",IF(OR(A1527="",B1527="",C1527="",G1527=""),"Faltan datos",IF(COUNTIF($A$7:$A$2006,A1527)&gt;1,"ID duplicado",IF(OR(B1527&lt;DATE(Configuración!$C$5,1,1),B1527&gt;=DATE(Configuración!$C$5+1,1,1)),"Fecha fuera del año",IF(OR(G1527&lt;0,H1527&lt;0),"Revisar signo",IF(AND(C1527&lt;&gt;"Servicio",H1527&lt;&gt;0),"IVA solo en Servicio",IF(AND(C1527="Servicio",F1527=""),"Falta servicio","OK")))))))))</f>
        <v/>
      </c>
    </row>
    <row r="1528" spans="1:12" ht="22" customHeight="1">
      <c r="A1528" s="3"/>
      <c r="B1528" s="7"/>
      <c r="C1528" s="3"/>
      <c r="D1528" s="3"/>
      <c r="E1528" s="3"/>
      <c r="F1528" s="3"/>
      <c r="G1528" s="4"/>
      <c r="H1528" s="4"/>
      <c r="I1528" s="3"/>
      <c r="J1528" s="3"/>
      <c r="K1528" s="8" t="str">
        <f t="shared" si="23"/>
        <v/>
      </c>
      <c r="L1528" s="1" t="str">
        <f>IF(COUNTA(A1528:J1528)=0,"",IF(OR(AND(C1528&lt;&gt;"Servicio",C1528&lt;&gt;"Cobro",C1528&lt;&gt;"Anticipo",C1528&lt;&gt;"Aplicación anticipo",C1528&lt;&gt;"Retención ISR",C1528&lt;&gt;"Retención IVA"),AND(C1528="Servicio",F1528&lt;&gt;"TMS",F1528&lt;&gt;"Valoración",F1528&lt;&gt;"EEG",F1528&lt;&gt;"Neurofeedback",F1528&lt;&gt;"Fotobiomodulación",F1528&lt;&gt;"Psicoterapia",F1528&lt;&gt;"Otros")),"Tipo o categoría inválido",IF(COUNTA(A1528:J1528)=0,"",IF(OR(A1528="",B1528="",C1528="",G1528=""),"Faltan datos",IF(COUNTIF($A$7:$A$2006,A1528)&gt;1,"ID duplicado",IF(OR(B1528&lt;DATE(Configuración!$C$5,1,1),B1528&gt;=DATE(Configuración!$C$5+1,1,1)),"Fecha fuera del año",IF(OR(G1528&lt;0,H1528&lt;0),"Revisar signo",IF(AND(C1528&lt;&gt;"Servicio",H1528&lt;&gt;0),"IVA solo en Servicio",IF(AND(C1528="Servicio",F1528=""),"Falta servicio","OK")))))))))</f>
        <v/>
      </c>
    </row>
    <row r="1529" spans="1:12" ht="22" customHeight="1">
      <c r="A1529" s="3"/>
      <c r="B1529" s="7"/>
      <c r="C1529" s="3"/>
      <c r="D1529" s="3"/>
      <c r="E1529" s="3"/>
      <c r="F1529" s="3"/>
      <c r="G1529" s="4"/>
      <c r="H1529" s="4"/>
      <c r="I1529" s="3"/>
      <c r="J1529" s="3"/>
      <c r="K1529" s="8" t="str">
        <f t="shared" si="23"/>
        <v/>
      </c>
      <c r="L1529" s="1" t="str">
        <f>IF(COUNTA(A1529:J1529)=0,"",IF(OR(AND(C1529&lt;&gt;"Servicio",C1529&lt;&gt;"Cobro",C1529&lt;&gt;"Anticipo",C1529&lt;&gt;"Aplicación anticipo",C1529&lt;&gt;"Retención ISR",C1529&lt;&gt;"Retención IVA"),AND(C1529="Servicio",F1529&lt;&gt;"TMS",F1529&lt;&gt;"Valoración",F1529&lt;&gt;"EEG",F1529&lt;&gt;"Neurofeedback",F1529&lt;&gt;"Fotobiomodulación",F1529&lt;&gt;"Psicoterapia",F1529&lt;&gt;"Otros")),"Tipo o categoría inválido",IF(COUNTA(A1529:J1529)=0,"",IF(OR(A1529="",B1529="",C1529="",G1529=""),"Faltan datos",IF(COUNTIF($A$7:$A$2006,A1529)&gt;1,"ID duplicado",IF(OR(B1529&lt;DATE(Configuración!$C$5,1,1),B1529&gt;=DATE(Configuración!$C$5+1,1,1)),"Fecha fuera del año",IF(OR(G1529&lt;0,H1529&lt;0),"Revisar signo",IF(AND(C1529&lt;&gt;"Servicio",H1529&lt;&gt;0),"IVA solo en Servicio",IF(AND(C1529="Servicio",F1529=""),"Falta servicio","OK")))))))))</f>
        <v/>
      </c>
    </row>
    <row r="1530" spans="1:12" ht="22" customHeight="1">
      <c r="A1530" s="3"/>
      <c r="B1530" s="7"/>
      <c r="C1530" s="3"/>
      <c r="D1530" s="3"/>
      <c r="E1530" s="3"/>
      <c r="F1530" s="3"/>
      <c r="G1530" s="4"/>
      <c r="H1530" s="4"/>
      <c r="I1530" s="3"/>
      <c r="J1530" s="3"/>
      <c r="K1530" s="8" t="str">
        <f t="shared" si="23"/>
        <v/>
      </c>
      <c r="L1530" s="1" t="str">
        <f>IF(COUNTA(A1530:J1530)=0,"",IF(OR(AND(C1530&lt;&gt;"Servicio",C1530&lt;&gt;"Cobro",C1530&lt;&gt;"Anticipo",C1530&lt;&gt;"Aplicación anticipo",C1530&lt;&gt;"Retención ISR",C1530&lt;&gt;"Retención IVA"),AND(C1530="Servicio",F1530&lt;&gt;"TMS",F1530&lt;&gt;"Valoración",F1530&lt;&gt;"EEG",F1530&lt;&gt;"Neurofeedback",F1530&lt;&gt;"Fotobiomodulación",F1530&lt;&gt;"Psicoterapia",F1530&lt;&gt;"Otros")),"Tipo o categoría inválido",IF(COUNTA(A1530:J1530)=0,"",IF(OR(A1530="",B1530="",C1530="",G1530=""),"Faltan datos",IF(COUNTIF($A$7:$A$2006,A1530)&gt;1,"ID duplicado",IF(OR(B1530&lt;DATE(Configuración!$C$5,1,1),B1530&gt;=DATE(Configuración!$C$5+1,1,1)),"Fecha fuera del año",IF(OR(G1530&lt;0,H1530&lt;0),"Revisar signo",IF(AND(C1530&lt;&gt;"Servicio",H1530&lt;&gt;0),"IVA solo en Servicio",IF(AND(C1530="Servicio",F1530=""),"Falta servicio","OK")))))))))</f>
        <v/>
      </c>
    </row>
    <row r="1531" spans="1:12" ht="22" customHeight="1">
      <c r="A1531" s="3"/>
      <c r="B1531" s="7"/>
      <c r="C1531" s="3"/>
      <c r="D1531" s="3"/>
      <c r="E1531" s="3"/>
      <c r="F1531" s="3"/>
      <c r="G1531" s="4"/>
      <c r="H1531" s="4"/>
      <c r="I1531" s="3"/>
      <c r="J1531" s="3"/>
      <c r="K1531" s="8" t="str">
        <f t="shared" si="23"/>
        <v/>
      </c>
      <c r="L1531" s="1" t="str">
        <f>IF(COUNTA(A1531:J1531)=0,"",IF(OR(AND(C1531&lt;&gt;"Servicio",C1531&lt;&gt;"Cobro",C1531&lt;&gt;"Anticipo",C1531&lt;&gt;"Aplicación anticipo",C1531&lt;&gt;"Retención ISR",C1531&lt;&gt;"Retención IVA"),AND(C1531="Servicio",F1531&lt;&gt;"TMS",F1531&lt;&gt;"Valoración",F1531&lt;&gt;"EEG",F1531&lt;&gt;"Neurofeedback",F1531&lt;&gt;"Fotobiomodulación",F1531&lt;&gt;"Psicoterapia",F1531&lt;&gt;"Otros")),"Tipo o categoría inválido",IF(COUNTA(A1531:J1531)=0,"",IF(OR(A1531="",B1531="",C1531="",G1531=""),"Faltan datos",IF(COUNTIF($A$7:$A$2006,A1531)&gt;1,"ID duplicado",IF(OR(B1531&lt;DATE(Configuración!$C$5,1,1),B1531&gt;=DATE(Configuración!$C$5+1,1,1)),"Fecha fuera del año",IF(OR(G1531&lt;0,H1531&lt;0),"Revisar signo",IF(AND(C1531&lt;&gt;"Servicio",H1531&lt;&gt;0),"IVA solo en Servicio",IF(AND(C1531="Servicio",F1531=""),"Falta servicio","OK")))))))))</f>
        <v/>
      </c>
    </row>
    <row r="1532" spans="1:12" ht="22" customHeight="1">
      <c r="A1532" s="3"/>
      <c r="B1532" s="7"/>
      <c r="C1532" s="3"/>
      <c r="D1532" s="3"/>
      <c r="E1532" s="3"/>
      <c r="F1532" s="3"/>
      <c r="G1532" s="4"/>
      <c r="H1532" s="4"/>
      <c r="I1532" s="3"/>
      <c r="J1532" s="3"/>
      <c r="K1532" s="8" t="str">
        <f t="shared" si="23"/>
        <v/>
      </c>
      <c r="L1532" s="1" t="str">
        <f>IF(COUNTA(A1532:J1532)=0,"",IF(OR(AND(C1532&lt;&gt;"Servicio",C1532&lt;&gt;"Cobro",C1532&lt;&gt;"Anticipo",C1532&lt;&gt;"Aplicación anticipo",C1532&lt;&gt;"Retención ISR",C1532&lt;&gt;"Retención IVA"),AND(C1532="Servicio",F1532&lt;&gt;"TMS",F1532&lt;&gt;"Valoración",F1532&lt;&gt;"EEG",F1532&lt;&gt;"Neurofeedback",F1532&lt;&gt;"Fotobiomodulación",F1532&lt;&gt;"Psicoterapia",F1532&lt;&gt;"Otros")),"Tipo o categoría inválido",IF(COUNTA(A1532:J1532)=0,"",IF(OR(A1532="",B1532="",C1532="",G1532=""),"Faltan datos",IF(COUNTIF($A$7:$A$2006,A1532)&gt;1,"ID duplicado",IF(OR(B1532&lt;DATE(Configuración!$C$5,1,1),B1532&gt;=DATE(Configuración!$C$5+1,1,1)),"Fecha fuera del año",IF(OR(G1532&lt;0,H1532&lt;0),"Revisar signo",IF(AND(C1532&lt;&gt;"Servicio",H1532&lt;&gt;0),"IVA solo en Servicio",IF(AND(C1532="Servicio",F1532=""),"Falta servicio","OK")))))))))</f>
        <v/>
      </c>
    </row>
    <row r="1533" spans="1:12" ht="22" customHeight="1">
      <c r="A1533" s="3"/>
      <c r="B1533" s="7"/>
      <c r="C1533" s="3"/>
      <c r="D1533" s="3"/>
      <c r="E1533" s="3"/>
      <c r="F1533" s="3"/>
      <c r="G1533" s="4"/>
      <c r="H1533" s="4"/>
      <c r="I1533" s="3"/>
      <c r="J1533" s="3"/>
      <c r="K1533" s="8" t="str">
        <f t="shared" si="23"/>
        <v/>
      </c>
      <c r="L1533" s="1" t="str">
        <f>IF(COUNTA(A1533:J1533)=0,"",IF(OR(AND(C1533&lt;&gt;"Servicio",C1533&lt;&gt;"Cobro",C1533&lt;&gt;"Anticipo",C1533&lt;&gt;"Aplicación anticipo",C1533&lt;&gt;"Retención ISR",C1533&lt;&gt;"Retención IVA"),AND(C1533="Servicio",F1533&lt;&gt;"TMS",F1533&lt;&gt;"Valoración",F1533&lt;&gt;"EEG",F1533&lt;&gt;"Neurofeedback",F1533&lt;&gt;"Fotobiomodulación",F1533&lt;&gt;"Psicoterapia",F1533&lt;&gt;"Otros")),"Tipo o categoría inválido",IF(COUNTA(A1533:J1533)=0,"",IF(OR(A1533="",B1533="",C1533="",G1533=""),"Faltan datos",IF(COUNTIF($A$7:$A$2006,A1533)&gt;1,"ID duplicado",IF(OR(B1533&lt;DATE(Configuración!$C$5,1,1),B1533&gt;=DATE(Configuración!$C$5+1,1,1)),"Fecha fuera del año",IF(OR(G1533&lt;0,H1533&lt;0),"Revisar signo",IF(AND(C1533&lt;&gt;"Servicio",H1533&lt;&gt;0),"IVA solo en Servicio",IF(AND(C1533="Servicio",F1533=""),"Falta servicio","OK")))))))))</f>
        <v/>
      </c>
    </row>
    <row r="1534" spans="1:12" ht="22" customHeight="1">
      <c r="A1534" s="3"/>
      <c r="B1534" s="7"/>
      <c r="C1534" s="3"/>
      <c r="D1534" s="3"/>
      <c r="E1534" s="3"/>
      <c r="F1534" s="3"/>
      <c r="G1534" s="4"/>
      <c r="H1534" s="4"/>
      <c r="I1534" s="3"/>
      <c r="J1534" s="3"/>
      <c r="K1534" s="8" t="str">
        <f t="shared" si="23"/>
        <v/>
      </c>
      <c r="L1534" s="1" t="str">
        <f>IF(COUNTA(A1534:J1534)=0,"",IF(OR(AND(C1534&lt;&gt;"Servicio",C1534&lt;&gt;"Cobro",C1534&lt;&gt;"Anticipo",C1534&lt;&gt;"Aplicación anticipo",C1534&lt;&gt;"Retención ISR",C1534&lt;&gt;"Retención IVA"),AND(C1534="Servicio",F1534&lt;&gt;"TMS",F1534&lt;&gt;"Valoración",F1534&lt;&gt;"EEG",F1534&lt;&gt;"Neurofeedback",F1534&lt;&gt;"Fotobiomodulación",F1534&lt;&gt;"Psicoterapia",F1534&lt;&gt;"Otros")),"Tipo o categoría inválido",IF(COUNTA(A1534:J1534)=0,"",IF(OR(A1534="",B1534="",C1534="",G1534=""),"Faltan datos",IF(COUNTIF($A$7:$A$2006,A1534)&gt;1,"ID duplicado",IF(OR(B1534&lt;DATE(Configuración!$C$5,1,1),B1534&gt;=DATE(Configuración!$C$5+1,1,1)),"Fecha fuera del año",IF(OR(G1534&lt;0,H1534&lt;0),"Revisar signo",IF(AND(C1534&lt;&gt;"Servicio",H1534&lt;&gt;0),"IVA solo en Servicio",IF(AND(C1534="Servicio",F1534=""),"Falta servicio","OK")))))))))</f>
        <v/>
      </c>
    </row>
    <row r="1535" spans="1:12" ht="22" customHeight="1">
      <c r="A1535" s="3"/>
      <c r="B1535" s="7"/>
      <c r="C1535" s="3"/>
      <c r="D1535" s="3"/>
      <c r="E1535" s="3"/>
      <c r="F1535" s="3"/>
      <c r="G1535" s="4"/>
      <c r="H1535" s="4"/>
      <c r="I1535" s="3"/>
      <c r="J1535" s="3"/>
      <c r="K1535" s="8" t="str">
        <f t="shared" si="23"/>
        <v/>
      </c>
      <c r="L1535" s="1" t="str">
        <f>IF(COUNTA(A1535:J1535)=0,"",IF(OR(AND(C1535&lt;&gt;"Servicio",C1535&lt;&gt;"Cobro",C1535&lt;&gt;"Anticipo",C1535&lt;&gt;"Aplicación anticipo",C1535&lt;&gt;"Retención ISR",C1535&lt;&gt;"Retención IVA"),AND(C1535="Servicio",F1535&lt;&gt;"TMS",F1535&lt;&gt;"Valoración",F1535&lt;&gt;"EEG",F1535&lt;&gt;"Neurofeedback",F1535&lt;&gt;"Fotobiomodulación",F1535&lt;&gt;"Psicoterapia",F1535&lt;&gt;"Otros")),"Tipo o categoría inválido",IF(COUNTA(A1535:J1535)=0,"",IF(OR(A1535="",B1535="",C1535="",G1535=""),"Faltan datos",IF(COUNTIF($A$7:$A$2006,A1535)&gt;1,"ID duplicado",IF(OR(B1535&lt;DATE(Configuración!$C$5,1,1),B1535&gt;=DATE(Configuración!$C$5+1,1,1)),"Fecha fuera del año",IF(OR(G1535&lt;0,H1535&lt;0),"Revisar signo",IF(AND(C1535&lt;&gt;"Servicio",H1535&lt;&gt;0),"IVA solo en Servicio",IF(AND(C1535="Servicio",F1535=""),"Falta servicio","OK")))))))))</f>
        <v/>
      </c>
    </row>
    <row r="1536" spans="1:12" ht="22" customHeight="1">
      <c r="A1536" s="3"/>
      <c r="B1536" s="7"/>
      <c r="C1536" s="3"/>
      <c r="D1536" s="3"/>
      <c r="E1536" s="3"/>
      <c r="F1536" s="3"/>
      <c r="G1536" s="4"/>
      <c r="H1536" s="4"/>
      <c r="I1536" s="3"/>
      <c r="J1536" s="3"/>
      <c r="K1536" s="8" t="str">
        <f t="shared" si="23"/>
        <v/>
      </c>
      <c r="L1536" s="1" t="str">
        <f>IF(COUNTA(A1536:J1536)=0,"",IF(OR(AND(C1536&lt;&gt;"Servicio",C1536&lt;&gt;"Cobro",C1536&lt;&gt;"Anticipo",C1536&lt;&gt;"Aplicación anticipo",C1536&lt;&gt;"Retención ISR",C1536&lt;&gt;"Retención IVA"),AND(C1536="Servicio",F1536&lt;&gt;"TMS",F1536&lt;&gt;"Valoración",F1536&lt;&gt;"EEG",F1536&lt;&gt;"Neurofeedback",F1536&lt;&gt;"Fotobiomodulación",F1536&lt;&gt;"Psicoterapia",F1536&lt;&gt;"Otros")),"Tipo o categoría inválido",IF(COUNTA(A1536:J1536)=0,"",IF(OR(A1536="",B1536="",C1536="",G1536=""),"Faltan datos",IF(COUNTIF($A$7:$A$2006,A1536)&gt;1,"ID duplicado",IF(OR(B1536&lt;DATE(Configuración!$C$5,1,1),B1536&gt;=DATE(Configuración!$C$5+1,1,1)),"Fecha fuera del año",IF(OR(G1536&lt;0,H1536&lt;0),"Revisar signo",IF(AND(C1536&lt;&gt;"Servicio",H1536&lt;&gt;0),"IVA solo en Servicio",IF(AND(C1536="Servicio",F1536=""),"Falta servicio","OK")))))))))</f>
        <v/>
      </c>
    </row>
    <row r="1537" spans="1:12" ht="22" customHeight="1">
      <c r="A1537" s="3"/>
      <c r="B1537" s="7"/>
      <c r="C1537" s="3"/>
      <c r="D1537" s="3"/>
      <c r="E1537" s="3"/>
      <c r="F1537" s="3"/>
      <c r="G1537" s="4"/>
      <c r="H1537" s="4"/>
      <c r="I1537" s="3"/>
      <c r="J1537" s="3"/>
      <c r="K1537" s="8" t="str">
        <f t="shared" si="23"/>
        <v/>
      </c>
      <c r="L1537" s="1" t="str">
        <f>IF(COUNTA(A1537:J1537)=0,"",IF(OR(AND(C1537&lt;&gt;"Servicio",C1537&lt;&gt;"Cobro",C1537&lt;&gt;"Anticipo",C1537&lt;&gt;"Aplicación anticipo",C1537&lt;&gt;"Retención ISR",C1537&lt;&gt;"Retención IVA"),AND(C1537="Servicio",F1537&lt;&gt;"TMS",F1537&lt;&gt;"Valoración",F1537&lt;&gt;"EEG",F1537&lt;&gt;"Neurofeedback",F1537&lt;&gt;"Fotobiomodulación",F1537&lt;&gt;"Psicoterapia",F1537&lt;&gt;"Otros")),"Tipo o categoría inválido",IF(COUNTA(A1537:J1537)=0,"",IF(OR(A1537="",B1537="",C1537="",G1537=""),"Faltan datos",IF(COUNTIF($A$7:$A$2006,A1537)&gt;1,"ID duplicado",IF(OR(B1537&lt;DATE(Configuración!$C$5,1,1),B1537&gt;=DATE(Configuración!$C$5+1,1,1)),"Fecha fuera del año",IF(OR(G1537&lt;0,H1537&lt;0),"Revisar signo",IF(AND(C1537&lt;&gt;"Servicio",H1537&lt;&gt;0),"IVA solo en Servicio",IF(AND(C1537="Servicio",F1537=""),"Falta servicio","OK")))))))))</f>
        <v/>
      </c>
    </row>
    <row r="1538" spans="1:12" ht="22" customHeight="1">
      <c r="A1538" s="3"/>
      <c r="B1538" s="7"/>
      <c r="C1538" s="3"/>
      <c r="D1538" s="3"/>
      <c r="E1538" s="3"/>
      <c r="F1538" s="3"/>
      <c r="G1538" s="4"/>
      <c r="H1538" s="4"/>
      <c r="I1538" s="3"/>
      <c r="J1538" s="3"/>
      <c r="K1538" s="8" t="str">
        <f t="shared" si="23"/>
        <v/>
      </c>
      <c r="L1538" s="1" t="str">
        <f>IF(COUNTA(A1538:J1538)=0,"",IF(OR(AND(C1538&lt;&gt;"Servicio",C1538&lt;&gt;"Cobro",C1538&lt;&gt;"Anticipo",C1538&lt;&gt;"Aplicación anticipo",C1538&lt;&gt;"Retención ISR",C1538&lt;&gt;"Retención IVA"),AND(C1538="Servicio",F1538&lt;&gt;"TMS",F1538&lt;&gt;"Valoración",F1538&lt;&gt;"EEG",F1538&lt;&gt;"Neurofeedback",F1538&lt;&gt;"Fotobiomodulación",F1538&lt;&gt;"Psicoterapia",F1538&lt;&gt;"Otros")),"Tipo o categoría inválido",IF(COUNTA(A1538:J1538)=0,"",IF(OR(A1538="",B1538="",C1538="",G1538=""),"Faltan datos",IF(COUNTIF($A$7:$A$2006,A1538)&gt;1,"ID duplicado",IF(OR(B1538&lt;DATE(Configuración!$C$5,1,1),B1538&gt;=DATE(Configuración!$C$5+1,1,1)),"Fecha fuera del año",IF(OR(G1538&lt;0,H1538&lt;0),"Revisar signo",IF(AND(C1538&lt;&gt;"Servicio",H1538&lt;&gt;0),"IVA solo en Servicio",IF(AND(C1538="Servicio",F1538=""),"Falta servicio","OK")))))))))</f>
        <v/>
      </c>
    </row>
    <row r="1539" spans="1:12" ht="22" customHeight="1">
      <c r="A1539" s="3"/>
      <c r="B1539" s="7"/>
      <c r="C1539" s="3"/>
      <c r="D1539" s="3"/>
      <c r="E1539" s="3"/>
      <c r="F1539" s="3"/>
      <c r="G1539" s="4"/>
      <c r="H1539" s="4"/>
      <c r="I1539" s="3"/>
      <c r="J1539" s="3"/>
      <c r="K1539" s="8" t="str">
        <f t="shared" si="23"/>
        <v/>
      </c>
      <c r="L1539" s="1" t="str">
        <f>IF(COUNTA(A1539:J1539)=0,"",IF(OR(AND(C1539&lt;&gt;"Servicio",C1539&lt;&gt;"Cobro",C1539&lt;&gt;"Anticipo",C1539&lt;&gt;"Aplicación anticipo",C1539&lt;&gt;"Retención ISR",C1539&lt;&gt;"Retención IVA"),AND(C1539="Servicio",F1539&lt;&gt;"TMS",F1539&lt;&gt;"Valoración",F1539&lt;&gt;"EEG",F1539&lt;&gt;"Neurofeedback",F1539&lt;&gt;"Fotobiomodulación",F1539&lt;&gt;"Psicoterapia",F1539&lt;&gt;"Otros")),"Tipo o categoría inválido",IF(COUNTA(A1539:J1539)=0,"",IF(OR(A1539="",B1539="",C1539="",G1539=""),"Faltan datos",IF(COUNTIF($A$7:$A$2006,A1539)&gt;1,"ID duplicado",IF(OR(B1539&lt;DATE(Configuración!$C$5,1,1),B1539&gt;=DATE(Configuración!$C$5+1,1,1)),"Fecha fuera del año",IF(OR(G1539&lt;0,H1539&lt;0),"Revisar signo",IF(AND(C1539&lt;&gt;"Servicio",H1539&lt;&gt;0),"IVA solo en Servicio",IF(AND(C1539="Servicio",F1539=""),"Falta servicio","OK")))))))))</f>
        <v/>
      </c>
    </row>
    <row r="1540" spans="1:12" ht="22" customHeight="1">
      <c r="A1540" s="3"/>
      <c r="B1540" s="7"/>
      <c r="C1540" s="3"/>
      <c r="D1540" s="3"/>
      <c r="E1540" s="3"/>
      <c r="F1540" s="3"/>
      <c r="G1540" s="4"/>
      <c r="H1540" s="4"/>
      <c r="I1540" s="3"/>
      <c r="J1540" s="3"/>
      <c r="K1540" s="8" t="str">
        <f t="shared" si="23"/>
        <v/>
      </c>
      <c r="L1540" s="1" t="str">
        <f>IF(COUNTA(A1540:J1540)=0,"",IF(OR(AND(C1540&lt;&gt;"Servicio",C1540&lt;&gt;"Cobro",C1540&lt;&gt;"Anticipo",C1540&lt;&gt;"Aplicación anticipo",C1540&lt;&gt;"Retención ISR",C1540&lt;&gt;"Retención IVA"),AND(C1540="Servicio",F1540&lt;&gt;"TMS",F1540&lt;&gt;"Valoración",F1540&lt;&gt;"EEG",F1540&lt;&gt;"Neurofeedback",F1540&lt;&gt;"Fotobiomodulación",F1540&lt;&gt;"Psicoterapia",F1540&lt;&gt;"Otros")),"Tipo o categoría inválido",IF(COUNTA(A1540:J1540)=0,"",IF(OR(A1540="",B1540="",C1540="",G1540=""),"Faltan datos",IF(COUNTIF($A$7:$A$2006,A1540)&gt;1,"ID duplicado",IF(OR(B1540&lt;DATE(Configuración!$C$5,1,1),B1540&gt;=DATE(Configuración!$C$5+1,1,1)),"Fecha fuera del año",IF(OR(G1540&lt;0,H1540&lt;0),"Revisar signo",IF(AND(C1540&lt;&gt;"Servicio",H1540&lt;&gt;0),"IVA solo en Servicio",IF(AND(C1540="Servicio",F1540=""),"Falta servicio","OK")))))))))</f>
        <v/>
      </c>
    </row>
    <row r="1541" spans="1:12" ht="22" customHeight="1">
      <c r="A1541" s="3"/>
      <c r="B1541" s="7"/>
      <c r="C1541" s="3"/>
      <c r="D1541" s="3"/>
      <c r="E1541" s="3"/>
      <c r="F1541" s="3"/>
      <c r="G1541" s="4"/>
      <c r="H1541" s="4"/>
      <c r="I1541" s="3"/>
      <c r="J1541" s="3"/>
      <c r="K1541" s="8" t="str">
        <f t="shared" si="23"/>
        <v/>
      </c>
      <c r="L1541" s="1" t="str">
        <f>IF(COUNTA(A1541:J1541)=0,"",IF(OR(AND(C1541&lt;&gt;"Servicio",C1541&lt;&gt;"Cobro",C1541&lt;&gt;"Anticipo",C1541&lt;&gt;"Aplicación anticipo",C1541&lt;&gt;"Retención ISR",C1541&lt;&gt;"Retención IVA"),AND(C1541="Servicio",F1541&lt;&gt;"TMS",F1541&lt;&gt;"Valoración",F1541&lt;&gt;"EEG",F1541&lt;&gt;"Neurofeedback",F1541&lt;&gt;"Fotobiomodulación",F1541&lt;&gt;"Psicoterapia",F1541&lt;&gt;"Otros")),"Tipo o categoría inválido",IF(COUNTA(A1541:J1541)=0,"",IF(OR(A1541="",B1541="",C1541="",G1541=""),"Faltan datos",IF(COUNTIF($A$7:$A$2006,A1541)&gt;1,"ID duplicado",IF(OR(B1541&lt;DATE(Configuración!$C$5,1,1),B1541&gt;=DATE(Configuración!$C$5+1,1,1)),"Fecha fuera del año",IF(OR(G1541&lt;0,H1541&lt;0),"Revisar signo",IF(AND(C1541&lt;&gt;"Servicio",H1541&lt;&gt;0),"IVA solo en Servicio",IF(AND(C1541="Servicio",F1541=""),"Falta servicio","OK")))))))))</f>
        <v/>
      </c>
    </row>
    <row r="1542" spans="1:12" ht="22" customHeight="1">
      <c r="A1542" s="3"/>
      <c r="B1542" s="7"/>
      <c r="C1542" s="3"/>
      <c r="D1542" s="3"/>
      <c r="E1542" s="3"/>
      <c r="F1542" s="3"/>
      <c r="G1542" s="4"/>
      <c r="H1542" s="4"/>
      <c r="I1542" s="3"/>
      <c r="J1542" s="3"/>
      <c r="K1542" s="8" t="str">
        <f t="shared" si="23"/>
        <v/>
      </c>
      <c r="L1542" s="1" t="str">
        <f>IF(COUNTA(A1542:J1542)=0,"",IF(OR(AND(C1542&lt;&gt;"Servicio",C1542&lt;&gt;"Cobro",C1542&lt;&gt;"Anticipo",C1542&lt;&gt;"Aplicación anticipo",C1542&lt;&gt;"Retención ISR",C1542&lt;&gt;"Retención IVA"),AND(C1542="Servicio",F1542&lt;&gt;"TMS",F1542&lt;&gt;"Valoración",F1542&lt;&gt;"EEG",F1542&lt;&gt;"Neurofeedback",F1542&lt;&gt;"Fotobiomodulación",F1542&lt;&gt;"Psicoterapia",F1542&lt;&gt;"Otros")),"Tipo o categoría inválido",IF(COUNTA(A1542:J1542)=0,"",IF(OR(A1542="",B1542="",C1542="",G1542=""),"Faltan datos",IF(COUNTIF($A$7:$A$2006,A1542)&gt;1,"ID duplicado",IF(OR(B1542&lt;DATE(Configuración!$C$5,1,1),B1542&gt;=DATE(Configuración!$C$5+1,1,1)),"Fecha fuera del año",IF(OR(G1542&lt;0,H1542&lt;0),"Revisar signo",IF(AND(C1542&lt;&gt;"Servicio",H1542&lt;&gt;0),"IVA solo en Servicio",IF(AND(C1542="Servicio",F1542=""),"Falta servicio","OK")))))))))</f>
        <v/>
      </c>
    </row>
    <row r="1543" spans="1:12" ht="22" customHeight="1">
      <c r="A1543" s="3"/>
      <c r="B1543" s="7"/>
      <c r="C1543" s="3"/>
      <c r="D1543" s="3"/>
      <c r="E1543" s="3"/>
      <c r="F1543" s="3"/>
      <c r="G1543" s="4"/>
      <c r="H1543" s="4"/>
      <c r="I1543" s="3"/>
      <c r="J1543" s="3"/>
      <c r="K1543" s="8" t="str">
        <f t="shared" ref="K1543:K1606" si="24">IF(A1543="","",G1543+H1543)</f>
        <v/>
      </c>
      <c r="L1543" s="1" t="str">
        <f>IF(COUNTA(A1543:J1543)=0,"",IF(OR(AND(C1543&lt;&gt;"Servicio",C1543&lt;&gt;"Cobro",C1543&lt;&gt;"Anticipo",C1543&lt;&gt;"Aplicación anticipo",C1543&lt;&gt;"Retención ISR",C1543&lt;&gt;"Retención IVA"),AND(C1543="Servicio",F1543&lt;&gt;"TMS",F1543&lt;&gt;"Valoración",F1543&lt;&gt;"EEG",F1543&lt;&gt;"Neurofeedback",F1543&lt;&gt;"Fotobiomodulación",F1543&lt;&gt;"Psicoterapia",F1543&lt;&gt;"Otros")),"Tipo o categoría inválido",IF(COUNTA(A1543:J1543)=0,"",IF(OR(A1543="",B1543="",C1543="",G1543=""),"Faltan datos",IF(COUNTIF($A$7:$A$2006,A1543)&gt;1,"ID duplicado",IF(OR(B1543&lt;DATE(Configuración!$C$5,1,1),B1543&gt;=DATE(Configuración!$C$5+1,1,1)),"Fecha fuera del año",IF(OR(G1543&lt;0,H1543&lt;0),"Revisar signo",IF(AND(C1543&lt;&gt;"Servicio",H1543&lt;&gt;0),"IVA solo en Servicio",IF(AND(C1543="Servicio",F1543=""),"Falta servicio","OK")))))))))</f>
        <v/>
      </c>
    </row>
    <row r="1544" spans="1:12" ht="22" customHeight="1">
      <c r="A1544" s="3"/>
      <c r="B1544" s="7"/>
      <c r="C1544" s="3"/>
      <c r="D1544" s="3"/>
      <c r="E1544" s="3"/>
      <c r="F1544" s="3"/>
      <c r="G1544" s="4"/>
      <c r="H1544" s="4"/>
      <c r="I1544" s="3"/>
      <c r="J1544" s="3"/>
      <c r="K1544" s="8" t="str">
        <f t="shared" si="24"/>
        <v/>
      </c>
      <c r="L1544" s="1" t="str">
        <f>IF(COUNTA(A1544:J1544)=0,"",IF(OR(AND(C1544&lt;&gt;"Servicio",C1544&lt;&gt;"Cobro",C1544&lt;&gt;"Anticipo",C1544&lt;&gt;"Aplicación anticipo",C1544&lt;&gt;"Retención ISR",C1544&lt;&gt;"Retención IVA"),AND(C1544="Servicio",F1544&lt;&gt;"TMS",F1544&lt;&gt;"Valoración",F1544&lt;&gt;"EEG",F1544&lt;&gt;"Neurofeedback",F1544&lt;&gt;"Fotobiomodulación",F1544&lt;&gt;"Psicoterapia",F1544&lt;&gt;"Otros")),"Tipo o categoría inválido",IF(COUNTA(A1544:J1544)=0,"",IF(OR(A1544="",B1544="",C1544="",G1544=""),"Faltan datos",IF(COUNTIF($A$7:$A$2006,A1544)&gt;1,"ID duplicado",IF(OR(B1544&lt;DATE(Configuración!$C$5,1,1),B1544&gt;=DATE(Configuración!$C$5+1,1,1)),"Fecha fuera del año",IF(OR(G1544&lt;0,H1544&lt;0),"Revisar signo",IF(AND(C1544&lt;&gt;"Servicio",H1544&lt;&gt;0),"IVA solo en Servicio",IF(AND(C1544="Servicio",F1544=""),"Falta servicio","OK")))))))))</f>
        <v/>
      </c>
    </row>
    <row r="1545" spans="1:12" ht="22" customHeight="1">
      <c r="A1545" s="3"/>
      <c r="B1545" s="7"/>
      <c r="C1545" s="3"/>
      <c r="D1545" s="3"/>
      <c r="E1545" s="3"/>
      <c r="F1545" s="3"/>
      <c r="G1545" s="4"/>
      <c r="H1545" s="4"/>
      <c r="I1545" s="3"/>
      <c r="J1545" s="3"/>
      <c r="K1545" s="8" t="str">
        <f t="shared" si="24"/>
        <v/>
      </c>
      <c r="L1545" s="1" t="str">
        <f>IF(COUNTA(A1545:J1545)=0,"",IF(OR(AND(C1545&lt;&gt;"Servicio",C1545&lt;&gt;"Cobro",C1545&lt;&gt;"Anticipo",C1545&lt;&gt;"Aplicación anticipo",C1545&lt;&gt;"Retención ISR",C1545&lt;&gt;"Retención IVA"),AND(C1545="Servicio",F1545&lt;&gt;"TMS",F1545&lt;&gt;"Valoración",F1545&lt;&gt;"EEG",F1545&lt;&gt;"Neurofeedback",F1545&lt;&gt;"Fotobiomodulación",F1545&lt;&gt;"Psicoterapia",F1545&lt;&gt;"Otros")),"Tipo o categoría inválido",IF(COUNTA(A1545:J1545)=0,"",IF(OR(A1545="",B1545="",C1545="",G1545=""),"Faltan datos",IF(COUNTIF($A$7:$A$2006,A1545)&gt;1,"ID duplicado",IF(OR(B1545&lt;DATE(Configuración!$C$5,1,1),B1545&gt;=DATE(Configuración!$C$5+1,1,1)),"Fecha fuera del año",IF(OR(G1545&lt;0,H1545&lt;0),"Revisar signo",IF(AND(C1545&lt;&gt;"Servicio",H1545&lt;&gt;0),"IVA solo en Servicio",IF(AND(C1545="Servicio",F1545=""),"Falta servicio","OK")))))))))</f>
        <v/>
      </c>
    </row>
    <row r="1546" spans="1:12" ht="22" customHeight="1">
      <c r="A1546" s="3"/>
      <c r="B1546" s="7"/>
      <c r="C1546" s="3"/>
      <c r="D1546" s="3"/>
      <c r="E1546" s="3"/>
      <c r="F1546" s="3"/>
      <c r="G1546" s="4"/>
      <c r="H1546" s="4"/>
      <c r="I1546" s="3"/>
      <c r="J1546" s="3"/>
      <c r="K1546" s="8" t="str">
        <f t="shared" si="24"/>
        <v/>
      </c>
      <c r="L1546" s="1" t="str">
        <f>IF(COUNTA(A1546:J1546)=0,"",IF(OR(AND(C1546&lt;&gt;"Servicio",C1546&lt;&gt;"Cobro",C1546&lt;&gt;"Anticipo",C1546&lt;&gt;"Aplicación anticipo",C1546&lt;&gt;"Retención ISR",C1546&lt;&gt;"Retención IVA"),AND(C1546="Servicio",F1546&lt;&gt;"TMS",F1546&lt;&gt;"Valoración",F1546&lt;&gt;"EEG",F1546&lt;&gt;"Neurofeedback",F1546&lt;&gt;"Fotobiomodulación",F1546&lt;&gt;"Psicoterapia",F1546&lt;&gt;"Otros")),"Tipo o categoría inválido",IF(COUNTA(A1546:J1546)=0,"",IF(OR(A1546="",B1546="",C1546="",G1546=""),"Faltan datos",IF(COUNTIF($A$7:$A$2006,A1546)&gt;1,"ID duplicado",IF(OR(B1546&lt;DATE(Configuración!$C$5,1,1),B1546&gt;=DATE(Configuración!$C$5+1,1,1)),"Fecha fuera del año",IF(OR(G1546&lt;0,H1546&lt;0),"Revisar signo",IF(AND(C1546&lt;&gt;"Servicio",H1546&lt;&gt;0),"IVA solo en Servicio",IF(AND(C1546="Servicio",F1546=""),"Falta servicio","OK")))))))))</f>
        <v/>
      </c>
    </row>
    <row r="1547" spans="1:12" ht="22" customHeight="1">
      <c r="A1547" s="3"/>
      <c r="B1547" s="7"/>
      <c r="C1547" s="3"/>
      <c r="D1547" s="3"/>
      <c r="E1547" s="3"/>
      <c r="F1547" s="3"/>
      <c r="G1547" s="4"/>
      <c r="H1547" s="4"/>
      <c r="I1547" s="3"/>
      <c r="J1547" s="3"/>
      <c r="K1547" s="8" t="str">
        <f t="shared" si="24"/>
        <v/>
      </c>
      <c r="L1547" s="1" t="str">
        <f>IF(COUNTA(A1547:J1547)=0,"",IF(OR(AND(C1547&lt;&gt;"Servicio",C1547&lt;&gt;"Cobro",C1547&lt;&gt;"Anticipo",C1547&lt;&gt;"Aplicación anticipo",C1547&lt;&gt;"Retención ISR",C1547&lt;&gt;"Retención IVA"),AND(C1547="Servicio",F1547&lt;&gt;"TMS",F1547&lt;&gt;"Valoración",F1547&lt;&gt;"EEG",F1547&lt;&gt;"Neurofeedback",F1547&lt;&gt;"Fotobiomodulación",F1547&lt;&gt;"Psicoterapia",F1547&lt;&gt;"Otros")),"Tipo o categoría inválido",IF(COUNTA(A1547:J1547)=0,"",IF(OR(A1547="",B1547="",C1547="",G1547=""),"Faltan datos",IF(COUNTIF($A$7:$A$2006,A1547)&gt;1,"ID duplicado",IF(OR(B1547&lt;DATE(Configuración!$C$5,1,1),B1547&gt;=DATE(Configuración!$C$5+1,1,1)),"Fecha fuera del año",IF(OR(G1547&lt;0,H1547&lt;0),"Revisar signo",IF(AND(C1547&lt;&gt;"Servicio",H1547&lt;&gt;0),"IVA solo en Servicio",IF(AND(C1547="Servicio",F1547=""),"Falta servicio","OK")))))))))</f>
        <v/>
      </c>
    </row>
    <row r="1548" spans="1:12" ht="22" customHeight="1">
      <c r="A1548" s="3"/>
      <c r="B1548" s="7"/>
      <c r="C1548" s="3"/>
      <c r="D1548" s="3"/>
      <c r="E1548" s="3"/>
      <c r="F1548" s="3"/>
      <c r="G1548" s="4"/>
      <c r="H1548" s="4"/>
      <c r="I1548" s="3"/>
      <c r="J1548" s="3"/>
      <c r="K1548" s="8" t="str">
        <f t="shared" si="24"/>
        <v/>
      </c>
      <c r="L1548" s="1" t="str">
        <f>IF(COUNTA(A1548:J1548)=0,"",IF(OR(AND(C1548&lt;&gt;"Servicio",C1548&lt;&gt;"Cobro",C1548&lt;&gt;"Anticipo",C1548&lt;&gt;"Aplicación anticipo",C1548&lt;&gt;"Retención ISR",C1548&lt;&gt;"Retención IVA"),AND(C1548="Servicio",F1548&lt;&gt;"TMS",F1548&lt;&gt;"Valoración",F1548&lt;&gt;"EEG",F1548&lt;&gt;"Neurofeedback",F1548&lt;&gt;"Fotobiomodulación",F1548&lt;&gt;"Psicoterapia",F1548&lt;&gt;"Otros")),"Tipo o categoría inválido",IF(COUNTA(A1548:J1548)=0,"",IF(OR(A1548="",B1548="",C1548="",G1548=""),"Faltan datos",IF(COUNTIF($A$7:$A$2006,A1548)&gt;1,"ID duplicado",IF(OR(B1548&lt;DATE(Configuración!$C$5,1,1),B1548&gt;=DATE(Configuración!$C$5+1,1,1)),"Fecha fuera del año",IF(OR(G1548&lt;0,H1548&lt;0),"Revisar signo",IF(AND(C1548&lt;&gt;"Servicio",H1548&lt;&gt;0),"IVA solo en Servicio",IF(AND(C1548="Servicio",F1548=""),"Falta servicio","OK")))))))))</f>
        <v/>
      </c>
    </row>
    <row r="1549" spans="1:12" ht="22" customHeight="1">
      <c r="A1549" s="3"/>
      <c r="B1549" s="7"/>
      <c r="C1549" s="3"/>
      <c r="D1549" s="3"/>
      <c r="E1549" s="3"/>
      <c r="F1549" s="3"/>
      <c r="G1549" s="4"/>
      <c r="H1549" s="4"/>
      <c r="I1549" s="3"/>
      <c r="J1549" s="3"/>
      <c r="K1549" s="8" t="str">
        <f t="shared" si="24"/>
        <v/>
      </c>
      <c r="L1549" s="1" t="str">
        <f>IF(COUNTA(A1549:J1549)=0,"",IF(OR(AND(C1549&lt;&gt;"Servicio",C1549&lt;&gt;"Cobro",C1549&lt;&gt;"Anticipo",C1549&lt;&gt;"Aplicación anticipo",C1549&lt;&gt;"Retención ISR",C1549&lt;&gt;"Retención IVA"),AND(C1549="Servicio",F1549&lt;&gt;"TMS",F1549&lt;&gt;"Valoración",F1549&lt;&gt;"EEG",F1549&lt;&gt;"Neurofeedback",F1549&lt;&gt;"Fotobiomodulación",F1549&lt;&gt;"Psicoterapia",F1549&lt;&gt;"Otros")),"Tipo o categoría inválido",IF(COUNTA(A1549:J1549)=0,"",IF(OR(A1549="",B1549="",C1549="",G1549=""),"Faltan datos",IF(COUNTIF($A$7:$A$2006,A1549)&gt;1,"ID duplicado",IF(OR(B1549&lt;DATE(Configuración!$C$5,1,1),B1549&gt;=DATE(Configuración!$C$5+1,1,1)),"Fecha fuera del año",IF(OR(G1549&lt;0,H1549&lt;0),"Revisar signo",IF(AND(C1549&lt;&gt;"Servicio",H1549&lt;&gt;0),"IVA solo en Servicio",IF(AND(C1549="Servicio",F1549=""),"Falta servicio","OK")))))))))</f>
        <v/>
      </c>
    </row>
    <row r="1550" spans="1:12" ht="22" customHeight="1">
      <c r="A1550" s="3"/>
      <c r="B1550" s="7"/>
      <c r="C1550" s="3"/>
      <c r="D1550" s="3"/>
      <c r="E1550" s="3"/>
      <c r="F1550" s="3"/>
      <c r="G1550" s="4"/>
      <c r="H1550" s="4"/>
      <c r="I1550" s="3"/>
      <c r="J1550" s="3"/>
      <c r="K1550" s="8" t="str">
        <f t="shared" si="24"/>
        <v/>
      </c>
      <c r="L1550" s="1" t="str">
        <f>IF(COUNTA(A1550:J1550)=0,"",IF(OR(AND(C1550&lt;&gt;"Servicio",C1550&lt;&gt;"Cobro",C1550&lt;&gt;"Anticipo",C1550&lt;&gt;"Aplicación anticipo",C1550&lt;&gt;"Retención ISR",C1550&lt;&gt;"Retención IVA"),AND(C1550="Servicio",F1550&lt;&gt;"TMS",F1550&lt;&gt;"Valoración",F1550&lt;&gt;"EEG",F1550&lt;&gt;"Neurofeedback",F1550&lt;&gt;"Fotobiomodulación",F1550&lt;&gt;"Psicoterapia",F1550&lt;&gt;"Otros")),"Tipo o categoría inválido",IF(COUNTA(A1550:J1550)=0,"",IF(OR(A1550="",B1550="",C1550="",G1550=""),"Faltan datos",IF(COUNTIF($A$7:$A$2006,A1550)&gt;1,"ID duplicado",IF(OR(B1550&lt;DATE(Configuración!$C$5,1,1),B1550&gt;=DATE(Configuración!$C$5+1,1,1)),"Fecha fuera del año",IF(OR(G1550&lt;0,H1550&lt;0),"Revisar signo",IF(AND(C1550&lt;&gt;"Servicio",H1550&lt;&gt;0),"IVA solo en Servicio",IF(AND(C1550="Servicio",F1550=""),"Falta servicio","OK")))))))))</f>
        <v/>
      </c>
    </row>
    <row r="1551" spans="1:12" ht="22" customHeight="1">
      <c r="A1551" s="3"/>
      <c r="B1551" s="7"/>
      <c r="C1551" s="3"/>
      <c r="D1551" s="3"/>
      <c r="E1551" s="3"/>
      <c r="F1551" s="3"/>
      <c r="G1551" s="4"/>
      <c r="H1551" s="4"/>
      <c r="I1551" s="3"/>
      <c r="J1551" s="3"/>
      <c r="K1551" s="8" t="str">
        <f t="shared" si="24"/>
        <v/>
      </c>
      <c r="L1551" s="1" t="str">
        <f>IF(COUNTA(A1551:J1551)=0,"",IF(OR(AND(C1551&lt;&gt;"Servicio",C1551&lt;&gt;"Cobro",C1551&lt;&gt;"Anticipo",C1551&lt;&gt;"Aplicación anticipo",C1551&lt;&gt;"Retención ISR",C1551&lt;&gt;"Retención IVA"),AND(C1551="Servicio",F1551&lt;&gt;"TMS",F1551&lt;&gt;"Valoración",F1551&lt;&gt;"EEG",F1551&lt;&gt;"Neurofeedback",F1551&lt;&gt;"Fotobiomodulación",F1551&lt;&gt;"Psicoterapia",F1551&lt;&gt;"Otros")),"Tipo o categoría inválido",IF(COUNTA(A1551:J1551)=0,"",IF(OR(A1551="",B1551="",C1551="",G1551=""),"Faltan datos",IF(COUNTIF($A$7:$A$2006,A1551)&gt;1,"ID duplicado",IF(OR(B1551&lt;DATE(Configuración!$C$5,1,1),B1551&gt;=DATE(Configuración!$C$5+1,1,1)),"Fecha fuera del año",IF(OR(G1551&lt;0,H1551&lt;0),"Revisar signo",IF(AND(C1551&lt;&gt;"Servicio",H1551&lt;&gt;0),"IVA solo en Servicio",IF(AND(C1551="Servicio",F1551=""),"Falta servicio","OK")))))))))</f>
        <v/>
      </c>
    </row>
    <row r="1552" spans="1:12" ht="22" customHeight="1">
      <c r="A1552" s="3"/>
      <c r="B1552" s="7"/>
      <c r="C1552" s="3"/>
      <c r="D1552" s="3"/>
      <c r="E1552" s="3"/>
      <c r="F1552" s="3"/>
      <c r="G1552" s="4"/>
      <c r="H1552" s="4"/>
      <c r="I1552" s="3"/>
      <c r="J1552" s="3"/>
      <c r="K1552" s="8" t="str">
        <f t="shared" si="24"/>
        <v/>
      </c>
      <c r="L1552" s="1" t="str">
        <f>IF(COUNTA(A1552:J1552)=0,"",IF(OR(AND(C1552&lt;&gt;"Servicio",C1552&lt;&gt;"Cobro",C1552&lt;&gt;"Anticipo",C1552&lt;&gt;"Aplicación anticipo",C1552&lt;&gt;"Retención ISR",C1552&lt;&gt;"Retención IVA"),AND(C1552="Servicio",F1552&lt;&gt;"TMS",F1552&lt;&gt;"Valoración",F1552&lt;&gt;"EEG",F1552&lt;&gt;"Neurofeedback",F1552&lt;&gt;"Fotobiomodulación",F1552&lt;&gt;"Psicoterapia",F1552&lt;&gt;"Otros")),"Tipo o categoría inválido",IF(COUNTA(A1552:J1552)=0,"",IF(OR(A1552="",B1552="",C1552="",G1552=""),"Faltan datos",IF(COUNTIF($A$7:$A$2006,A1552)&gt;1,"ID duplicado",IF(OR(B1552&lt;DATE(Configuración!$C$5,1,1),B1552&gt;=DATE(Configuración!$C$5+1,1,1)),"Fecha fuera del año",IF(OR(G1552&lt;0,H1552&lt;0),"Revisar signo",IF(AND(C1552&lt;&gt;"Servicio",H1552&lt;&gt;0),"IVA solo en Servicio",IF(AND(C1552="Servicio",F1552=""),"Falta servicio","OK")))))))))</f>
        <v/>
      </c>
    </row>
    <row r="1553" spans="1:12" ht="22" customHeight="1">
      <c r="A1553" s="3"/>
      <c r="B1553" s="7"/>
      <c r="C1553" s="3"/>
      <c r="D1553" s="3"/>
      <c r="E1553" s="3"/>
      <c r="F1553" s="3"/>
      <c r="G1553" s="4"/>
      <c r="H1553" s="4"/>
      <c r="I1553" s="3"/>
      <c r="J1553" s="3"/>
      <c r="K1553" s="8" t="str">
        <f t="shared" si="24"/>
        <v/>
      </c>
      <c r="L1553" s="1" t="str">
        <f>IF(COUNTA(A1553:J1553)=0,"",IF(OR(AND(C1553&lt;&gt;"Servicio",C1553&lt;&gt;"Cobro",C1553&lt;&gt;"Anticipo",C1553&lt;&gt;"Aplicación anticipo",C1553&lt;&gt;"Retención ISR",C1553&lt;&gt;"Retención IVA"),AND(C1553="Servicio",F1553&lt;&gt;"TMS",F1553&lt;&gt;"Valoración",F1553&lt;&gt;"EEG",F1553&lt;&gt;"Neurofeedback",F1553&lt;&gt;"Fotobiomodulación",F1553&lt;&gt;"Psicoterapia",F1553&lt;&gt;"Otros")),"Tipo o categoría inválido",IF(COUNTA(A1553:J1553)=0,"",IF(OR(A1553="",B1553="",C1553="",G1553=""),"Faltan datos",IF(COUNTIF($A$7:$A$2006,A1553)&gt;1,"ID duplicado",IF(OR(B1553&lt;DATE(Configuración!$C$5,1,1),B1553&gt;=DATE(Configuración!$C$5+1,1,1)),"Fecha fuera del año",IF(OR(G1553&lt;0,H1553&lt;0),"Revisar signo",IF(AND(C1553&lt;&gt;"Servicio",H1553&lt;&gt;0),"IVA solo en Servicio",IF(AND(C1553="Servicio",F1553=""),"Falta servicio","OK")))))))))</f>
        <v/>
      </c>
    </row>
    <row r="1554" spans="1:12" ht="22" customHeight="1">
      <c r="A1554" s="3"/>
      <c r="B1554" s="7"/>
      <c r="C1554" s="3"/>
      <c r="D1554" s="3"/>
      <c r="E1554" s="3"/>
      <c r="F1554" s="3"/>
      <c r="G1554" s="4"/>
      <c r="H1554" s="4"/>
      <c r="I1554" s="3"/>
      <c r="J1554" s="3"/>
      <c r="K1554" s="8" t="str">
        <f t="shared" si="24"/>
        <v/>
      </c>
      <c r="L1554" s="1" t="str">
        <f>IF(COUNTA(A1554:J1554)=0,"",IF(OR(AND(C1554&lt;&gt;"Servicio",C1554&lt;&gt;"Cobro",C1554&lt;&gt;"Anticipo",C1554&lt;&gt;"Aplicación anticipo",C1554&lt;&gt;"Retención ISR",C1554&lt;&gt;"Retención IVA"),AND(C1554="Servicio",F1554&lt;&gt;"TMS",F1554&lt;&gt;"Valoración",F1554&lt;&gt;"EEG",F1554&lt;&gt;"Neurofeedback",F1554&lt;&gt;"Fotobiomodulación",F1554&lt;&gt;"Psicoterapia",F1554&lt;&gt;"Otros")),"Tipo o categoría inválido",IF(COUNTA(A1554:J1554)=0,"",IF(OR(A1554="",B1554="",C1554="",G1554=""),"Faltan datos",IF(COUNTIF($A$7:$A$2006,A1554)&gt;1,"ID duplicado",IF(OR(B1554&lt;DATE(Configuración!$C$5,1,1),B1554&gt;=DATE(Configuración!$C$5+1,1,1)),"Fecha fuera del año",IF(OR(G1554&lt;0,H1554&lt;0),"Revisar signo",IF(AND(C1554&lt;&gt;"Servicio",H1554&lt;&gt;0),"IVA solo en Servicio",IF(AND(C1554="Servicio",F1554=""),"Falta servicio","OK")))))))))</f>
        <v/>
      </c>
    </row>
    <row r="1555" spans="1:12" ht="22" customHeight="1">
      <c r="A1555" s="3"/>
      <c r="B1555" s="7"/>
      <c r="C1555" s="3"/>
      <c r="D1555" s="3"/>
      <c r="E1555" s="3"/>
      <c r="F1555" s="3"/>
      <c r="G1555" s="4"/>
      <c r="H1555" s="4"/>
      <c r="I1555" s="3"/>
      <c r="J1555" s="3"/>
      <c r="K1555" s="8" t="str">
        <f t="shared" si="24"/>
        <v/>
      </c>
      <c r="L1555" s="1" t="str">
        <f>IF(COUNTA(A1555:J1555)=0,"",IF(OR(AND(C1555&lt;&gt;"Servicio",C1555&lt;&gt;"Cobro",C1555&lt;&gt;"Anticipo",C1555&lt;&gt;"Aplicación anticipo",C1555&lt;&gt;"Retención ISR",C1555&lt;&gt;"Retención IVA"),AND(C1555="Servicio",F1555&lt;&gt;"TMS",F1555&lt;&gt;"Valoración",F1555&lt;&gt;"EEG",F1555&lt;&gt;"Neurofeedback",F1555&lt;&gt;"Fotobiomodulación",F1555&lt;&gt;"Psicoterapia",F1555&lt;&gt;"Otros")),"Tipo o categoría inválido",IF(COUNTA(A1555:J1555)=0,"",IF(OR(A1555="",B1555="",C1555="",G1555=""),"Faltan datos",IF(COUNTIF($A$7:$A$2006,A1555)&gt;1,"ID duplicado",IF(OR(B1555&lt;DATE(Configuración!$C$5,1,1),B1555&gt;=DATE(Configuración!$C$5+1,1,1)),"Fecha fuera del año",IF(OR(G1555&lt;0,H1555&lt;0),"Revisar signo",IF(AND(C1555&lt;&gt;"Servicio",H1555&lt;&gt;0),"IVA solo en Servicio",IF(AND(C1555="Servicio",F1555=""),"Falta servicio","OK")))))))))</f>
        <v/>
      </c>
    </row>
    <row r="1556" spans="1:12" ht="22" customHeight="1">
      <c r="A1556" s="3"/>
      <c r="B1556" s="7"/>
      <c r="C1556" s="3"/>
      <c r="D1556" s="3"/>
      <c r="E1556" s="3"/>
      <c r="F1556" s="3"/>
      <c r="G1556" s="4"/>
      <c r="H1556" s="4"/>
      <c r="I1556" s="3"/>
      <c r="J1556" s="3"/>
      <c r="K1556" s="8" t="str">
        <f t="shared" si="24"/>
        <v/>
      </c>
      <c r="L1556" s="1" t="str">
        <f>IF(COUNTA(A1556:J1556)=0,"",IF(OR(AND(C1556&lt;&gt;"Servicio",C1556&lt;&gt;"Cobro",C1556&lt;&gt;"Anticipo",C1556&lt;&gt;"Aplicación anticipo",C1556&lt;&gt;"Retención ISR",C1556&lt;&gt;"Retención IVA"),AND(C1556="Servicio",F1556&lt;&gt;"TMS",F1556&lt;&gt;"Valoración",F1556&lt;&gt;"EEG",F1556&lt;&gt;"Neurofeedback",F1556&lt;&gt;"Fotobiomodulación",F1556&lt;&gt;"Psicoterapia",F1556&lt;&gt;"Otros")),"Tipo o categoría inválido",IF(COUNTA(A1556:J1556)=0,"",IF(OR(A1556="",B1556="",C1556="",G1556=""),"Faltan datos",IF(COUNTIF($A$7:$A$2006,A1556)&gt;1,"ID duplicado",IF(OR(B1556&lt;DATE(Configuración!$C$5,1,1),B1556&gt;=DATE(Configuración!$C$5+1,1,1)),"Fecha fuera del año",IF(OR(G1556&lt;0,H1556&lt;0),"Revisar signo",IF(AND(C1556&lt;&gt;"Servicio",H1556&lt;&gt;0),"IVA solo en Servicio",IF(AND(C1556="Servicio",F1556=""),"Falta servicio","OK")))))))))</f>
        <v/>
      </c>
    </row>
    <row r="1557" spans="1:12" ht="22" customHeight="1">
      <c r="A1557" s="3"/>
      <c r="B1557" s="7"/>
      <c r="C1557" s="3"/>
      <c r="D1557" s="3"/>
      <c r="E1557" s="3"/>
      <c r="F1557" s="3"/>
      <c r="G1557" s="4"/>
      <c r="H1557" s="4"/>
      <c r="I1557" s="3"/>
      <c r="J1557" s="3"/>
      <c r="K1557" s="8" t="str">
        <f t="shared" si="24"/>
        <v/>
      </c>
      <c r="L1557" s="1" t="str">
        <f>IF(COUNTA(A1557:J1557)=0,"",IF(OR(AND(C1557&lt;&gt;"Servicio",C1557&lt;&gt;"Cobro",C1557&lt;&gt;"Anticipo",C1557&lt;&gt;"Aplicación anticipo",C1557&lt;&gt;"Retención ISR",C1557&lt;&gt;"Retención IVA"),AND(C1557="Servicio",F1557&lt;&gt;"TMS",F1557&lt;&gt;"Valoración",F1557&lt;&gt;"EEG",F1557&lt;&gt;"Neurofeedback",F1557&lt;&gt;"Fotobiomodulación",F1557&lt;&gt;"Psicoterapia",F1557&lt;&gt;"Otros")),"Tipo o categoría inválido",IF(COUNTA(A1557:J1557)=0,"",IF(OR(A1557="",B1557="",C1557="",G1557=""),"Faltan datos",IF(COUNTIF($A$7:$A$2006,A1557)&gt;1,"ID duplicado",IF(OR(B1557&lt;DATE(Configuración!$C$5,1,1),B1557&gt;=DATE(Configuración!$C$5+1,1,1)),"Fecha fuera del año",IF(OR(G1557&lt;0,H1557&lt;0),"Revisar signo",IF(AND(C1557&lt;&gt;"Servicio",H1557&lt;&gt;0),"IVA solo en Servicio",IF(AND(C1557="Servicio",F1557=""),"Falta servicio","OK")))))))))</f>
        <v/>
      </c>
    </row>
    <row r="1558" spans="1:12" ht="22" customHeight="1">
      <c r="A1558" s="3"/>
      <c r="B1558" s="7"/>
      <c r="C1558" s="3"/>
      <c r="D1558" s="3"/>
      <c r="E1558" s="3"/>
      <c r="F1558" s="3"/>
      <c r="G1558" s="4"/>
      <c r="H1558" s="4"/>
      <c r="I1558" s="3"/>
      <c r="J1558" s="3"/>
      <c r="K1558" s="8" t="str">
        <f t="shared" si="24"/>
        <v/>
      </c>
      <c r="L1558" s="1" t="str">
        <f>IF(COUNTA(A1558:J1558)=0,"",IF(OR(AND(C1558&lt;&gt;"Servicio",C1558&lt;&gt;"Cobro",C1558&lt;&gt;"Anticipo",C1558&lt;&gt;"Aplicación anticipo",C1558&lt;&gt;"Retención ISR",C1558&lt;&gt;"Retención IVA"),AND(C1558="Servicio",F1558&lt;&gt;"TMS",F1558&lt;&gt;"Valoración",F1558&lt;&gt;"EEG",F1558&lt;&gt;"Neurofeedback",F1558&lt;&gt;"Fotobiomodulación",F1558&lt;&gt;"Psicoterapia",F1558&lt;&gt;"Otros")),"Tipo o categoría inválido",IF(COUNTA(A1558:J1558)=0,"",IF(OR(A1558="",B1558="",C1558="",G1558=""),"Faltan datos",IF(COUNTIF($A$7:$A$2006,A1558)&gt;1,"ID duplicado",IF(OR(B1558&lt;DATE(Configuración!$C$5,1,1),B1558&gt;=DATE(Configuración!$C$5+1,1,1)),"Fecha fuera del año",IF(OR(G1558&lt;0,H1558&lt;0),"Revisar signo",IF(AND(C1558&lt;&gt;"Servicio",H1558&lt;&gt;0),"IVA solo en Servicio",IF(AND(C1558="Servicio",F1558=""),"Falta servicio","OK")))))))))</f>
        <v/>
      </c>
    </row>
    <row r="1559" spans="1:12" ht="22" customHeight="1">
      <c r="A1559" s="3"/>
      <c r="B1559" s="7"/>
      <c r="C1559" s="3"/>
      <c r="D1559" s="3"/>
      <c r="E1559" s="3"/>
      <c r="F1559" s="3"/>
      <c r="G1559" s="4"/>
      <c r="H1559" s="4"/>
      <c r="I1559" s="3"/>
      <c r="J1559" s="3"/>
      <c r="K1559" s="8" t="str">
        <f t="shared" si="24"/>
        <v/>
      </c>
      <c r="L1559" s="1" t="str">
        <f>IF(COUNTA(A1559:J1559)=0,"",IF(OR(AND(C1559&lt;&gt;"Servicio",C1559&lt;&gt;"Cobro",C1559&lt;&gt;"Anticipo",C1559&lt;&gt;"Aplicación anticipo",C1559&lt;&gt;"Retención ISR",C1559&lt;&gt;"Retención IVA"),AND(C1559="Servicio",F1559&lt;&gt;"TMS",F1559&lt;&gt;"Valoración",F1559&lt;&gt;"EEG",F1559&lt;&gt;"Neurofeedback",F1559&lt;&gt;"Fotobiomodulación",F1559&lt;&gt;"Psicoterapia",F1559&lt;&gt;"Otros")),"Tipo o categoría inválido",IF(COUNTA(A1559:J1559)=0,"",IF(OR(A1559="",B1559="",C1559="",G1559=""),"Faltan datos",IF(COUNTIF($A$7:$A$2006,A1559)&gt;1,"ID duplicado",IF(OR(B1559&lt;DATE(Configuración!$C$5,1,1),B1559&gt;=DATE(Configuración!$C$5+1,1,1)),"Fecha fuera del año",IF(OR(G1559&lt;0,H1559&lt;0),"Revisar signo",IF(AND(C1559&lt;&gt;"Servicio",H1559&lt;&gt;0),"IVA solo en Servicio",IF(AND(C1559="Servicio",F1559=""),"Falta servicio","OK")))))))))</f>
        <v/>
      </c>
    </row>
    <row r="1560" spans="1:12" ht="22" customHeight="1">
      <c r="A1560" s="3"/>
      <c r="B1560" s="7"/>
      <c r="C1560" s="3"/>
      <c r="D1560" s="3"/>
      <c r="E1560" s="3"/>
      <c r="F1560" s="3"/>
      <c r="G1560" s="4"/>
      <c r="H1560" s="4"/>
      <c r="I1560" s="3"/>
      <c r="J1560" s="3"/>
      <c r="K1560" s="8" t="str">
        <f t="shared" si="24"/>
        <v/>
      </c>
      <c r="L1560" s="1" t="str">
        <f>IF(COUNTA(A1560:J1560)=0,"",IF(OR(AND(C1560&lt;&gt;"Servicio",C1560&lt;&gt;"Cobro",C1560&lt;&gt;"Anticipo",C1560&lt;&gt;"Aplicación anticipo",C1560&lt;&gt;"Retención ISR",C1560&lt;&gt;"Retención IVA"),AND(C1560="Servicio",F1560&lt;&gt;"TMS",F1560&lt;&gt;"Valoración",F1560&lt;&gt;"EEG",F1560&lt;&gt;"Neurofeedback",F1560&lt;&gt;"Fotobiomodulación",F1560&lt;&gt;"Psicoterapia",F1560&lt;&gt;"Otros")),"Tipo o categoría inválido",IF(COUNTA(A1560:J1560)=0,"",IF(OR(A1560="",B1560="",C1560="",G1560=""),"Faltan datos",IF(COUNTIF($A$7:$A$2006,A1560)&gt;1,"ID duplicado",IF(OR(B1560&lt;DATE(Configuración!$C$5,1,1),B1560&gt;=DATE(Configuración!$C$5+1,1,1)),"Fecha fuera del año",IF(OR(G1560&lt;0,H1560&lt;0),"Revisar signo",IF(AND(C1560&lt;&gt;"Servicio",H1560&lt;&gt;0),"IVA solo en Servicio",IF(AND(C1560="Servicio",F1560=""),"Falta servicio","OK")))))))))</f>
        <v/>
      </c>
    </row>
    <row r="1561" spans="1:12" ht="22" customHeight="1">
      <c r="A1561" s="3"/>
      <c r="B1561" s="7"/>
      <c r="C1561" s="3"/>
      <c r="D1561" s="3"/>
      <c r="E1561" s="3"/>
      <c r="F1561" s="3"/>
      <c r="G1561" s="4"/>
      <c r="H1561" s="4"/>
      <c r="I1561" s="3"/>
      <c r="J1561" s="3"/>
      <c r="K1561" s="8" t="str">
        <f t="shared" si="24"/>
        <v/>
      </c>
      <c r="L1561" s="1" t="str">
        <f>IF(COUNTA(A1561:J1561)=0,"",IF(OR(AND(C1561&lt;&gt;"Servicio",C1561&lt;&gt;"Cobro",C1561&lt;&gt;"Anticipo",C1561&lt;&gt;"Aplicación anticipo",C1561&lt;&gt;"Retención ISR",C1561&lt;&gt;"Retención IVA"),AND(C1561="Servicio",F1561&lt;&gt;"TMS",F1561&lt;&gt;"Valoración",F1561&lt;&gt;"EEG",F1561&lt;&gt;"Neurofeedback",F1561&lt;&gt;"Fotobiomodulación",F1561&lt;&gt;"Psicoterapia",F1561&lt;&gt;"Otros")),"Tipo o categoría inválido",IF(COUNTA(A1561:J1561)=0,"",IF(OR(A1561="",B1561="",C1561="",G1561=""),"Faltan datos",IF(COUNTIF($A$7:$A$2006,A1561)&gt;1,"ID duplicado",IF(OR(B1561&lt;DATE(Configuración!$C$5,1,1),B1561&gt;=DATE(Configuración!$C$5+1,1,1)),"Fecha fuera del año",IF(OR(G1561&lt;0,H1561&lt;0),"Revisar signo",IF(AND(C1561&lt;&gt;"Servicio",H1561&lt;&gt;0),"IVA solo en Servicio",IF(AND(C1561="Servicio",F1561=""),"Falta servicio","OK")))))))))</f>
        <v/>
      </c>
    </row>
    <row r="1562" spans="1:12" ht="22" customHeight="1">
      <c r="A1562" s="3"/>
      <c r="B1562" s="7"/>
      <c r="C1562" s="3"/>
      <c r="D1562" s="3"/>
      <c r="E1562" s="3"/>
      <c r="F1562" s="3"/>
      <c r="G1562" s="4"/>
      <c r="H1562" s="4"/>
      <c r="I1562" s="3"/>
      <c r="J1562" s="3"/>
      <c r="K1562" s="8" t="str">
        <f t="shared" si="24"/>
        <v/>
      </c>
      <c r="L1562" s="1" t="str">
        <f>IF(COUNTA(A1562:J1562)=0,"",IF(OR(AND(C1562&lt;&gt;"Servicio",C1562&lt;&gt;"Cobro",C1562&lt;&gt;"Anticipo",C1562&lt;&gt;"Aplicación anticipo",C1562&lt;&gt;"Retención ISR",C1562&lt;&gt;"Retención IVA"),AND(C1562="Servicio",F1562&lt;&gt;"TMS",F1562&lt;&gt;"Valoración",F1562&lt;&gt;"EEG",F1562&lt;&gt;"Neurofeedback",F1562&lt;&gt;"Fotobiomodulación",F1562&lt;&gt;"Psicoterapia",F1562&lt;&gt;"Otros")),"Tipo o categoría inválido",IF(COUNTA(A1562:J1562)=0,"",IF(OR(A1562="",B1562="",C1562="",G1562=""),"Faltan datos",IF(COUNTIF($A$7:$A$2006,A1562)&gt;1,"ID duplicado",IF(OR(B1562&lt;DATE(Configuración!$C$5,1,1),B1562&gt;=DATE(Configuración!$C$5+1,1,1)),"Fecha fuera del año",IF(OR(G1562&lt;0,H1562&lt;0),"Revisar signo",IF(AND(C1562&lt;&gt;"Servicio",H1562&lt;&gt;0),"IVA solo en Servicio",IF(AND(C1562="Servicio",F1562=""),"Falta servicio","OK")))))))))</f>
        <v/>
      </c>
    </row>
    <row r="1563" spans="1:12" ht="22" customHeight="1">
      <c r="A1563" s="3"/>
      <c r="B1563" s="7"/>
      <c r="C1563" s="3"/>
      <c r="D1563" s="3"/>
      <c r="E1563" s="3"/>
      <c r="F1563" s="3"/>
      <c r="G1563" s="4"/>
      <c r="H1563" s="4"/>
      <c r="I1563" s="3"/>
      <c r="J1563" s="3"/>
      <c r="K1563" s="8" t="str">
        <f t="shared" si="24"/>
        <v/>
      </c>
      <c r="L1563" s="1" t="str">
        <f>IF(COUNTA(A1563:J1563)=0,"",IF(OR(AND(C1563&lt;&gt;"Servicio",C1563&lt;&gt;"Cobro",C1563&lt;&gt;"Anticipo",C1563&lt;&gt;"Aplicación anticipo",C1563&lt;&gt;"Retención ISR",C1563&lt;&gt;"Retención IVA"),AND(C1563="Servicio",F1563&lt;&gt;"TMS",F1563&lt;&gt;"Valoración",F1563&lt;&gt;"EEG",F1563&lt;&gt;"Neurofeedback",F1563&lt;&gt;"Fotobiomodulación",F1563&lt;&gt;"Psicoterapia",F1563&lt;&gt;"Otros")),"Tipo o categoría inválido",IF(COUNTA(A1563:J1563)=0,"",IF(OR(A1563="",B1563="",C1563="",G1563=""),"Faltan datos",IF(COUNTIF($A$7:$A$2006,A1563)&gt;1,"ID duplicado",IF(OR(B1563&lt;DATE(Configuración!$C$5,1,1),B1563&gt;=DATE(Configuración!$C$5+1,1,1)),"Fecha fuera del año",IF(OR(G1563&lt;0,H1563&lt;0),"Revisar signo",IF(AND(C1563&lt;&gt;"Servicio",H1563&lt;&gt;0),"IVA solo en Servicio",IF(AND(C1563="Servicio",F1563=""),"Falta servicio","OK")))))))))</f>
        <v/>
      </c>
    </row>
    <row r="1564" spans="1:12" ht="22" customHeight="1">
      <c r="A1564" s="3"/>
      <c r="B1564" s="7"/>
      <c r="C1564" s="3"/>
      <c r="D1564" s="3"/>
      <c r="E1564" s="3"/>
      <c r="F1564" s="3"/>
      <c r="G1564" s="4"/>
      <c r="H1564" s="4"/>
      <c r="I1564" s="3"/>
      <c r="J1564" s="3"/>
      <c r="K1564" s="8" t="str">
        <f t="shared" si="24"/>
        <v/>
      </c>
      <c r="L1564" s="1" t="str">
        <f>IF(COUNTA(A1564:J1564)=0,"",IF(OR(AND(C1564&lt;&gt;"Servicio",C1564&lt;&gt;"Cobro",C1564&lt;&gt;"Anticipo",C1564&lt;&gt;"Aplicación anticipo",C1564&lt;&gt;"Retención ISR",C1564&lt;&gt;"Retención IVA"),AND(C1564="Servicio",F1564&lt;&gt;"TMS",F1564&lt;&gt;"Valoración",F1564&lt;&gt;"EEG",F1564&lt;&gt;"Neurofeedback",F1564&lt;&gt;"Fotobiomodulación",F1564&lt;&gt;"Psicoterapia",F1564&lt;&gt;"Otros")),"Tipo o categoría inválido",IF(COUNTA(A1564:J1564)=0,"",IF(OR(A1564="",B1564="",C1564="",G1564=""),"Faltan datos",IF(COUNTIF($A$7:$A$2006,A1564)&gt;1,"ID duplicado",IF(OR(B1564&lt;DATE(Configuración!$C$5,1,1),B1564&gt;=DATE(Configuración!$C$5+1,1,1)),"Fecha fuera del año",IF(OR(G1564&lt;0,H1564&lt;0),"Revisar signo",IF(AND(C1564&lt;&gt;"Servicio",H1564&lt;&gt;0),"IVA solo en Servicio",IF(AND(C1564="Servicio",F1564=""),"Falta servicio","OK")))))))))</f>
        <v/>
      </c>
    </row>
    <row r="1565" spans="1:12" ht="22" customHeight="1">
      <c r="A1565" s="3"/>
      <c r="B1565" s="7"/>
      <c r="C1565" s="3"/>
      <c r="D1565" s="3"/>
      <c r="E1565" s="3"/>
      <c r="F1565" s="3"/>
      <c r="G1565" s="4"/>
      <c r="H1565" s="4"/>
      <c r="I1565" s="3"/>
      <c r="J1565" s="3"/>
      <c r="K1565" s="8" t="str">
        <f t="shared" si="24"/>
        <v/>
      </c>
      <c r="L1565" s="1" t="str">
        <f>IF(COUNTA(A1565:J1565)=0,"",IF(OR(AND(C1565&lt;&gt;"Servicio",C1565&lt;&gt;"Cobro",C1565&lt;&gt;"Anticipo",C1565&lt;&gt;"Aplicación anticipo",C1565&lt;&gt;"Retención ISR",C1565&lt;&gt;"Retención IVA"),AND(C1565="Servicio",F1565&lt;&gt;"TMS",F1565&lt;&gt;"Valoración",F1565&lt;&gt;"EEG",F1565&lt;&gt;"Neurofeedback",F1565&lt;&gt;"Fotobiomodulación",F1565&lt;&gt;"Psicoterapia",F1565&lt;&gt;"Otros")),"Tipo o categoría inválido",IF(COUNTA(A1565:J1565)=0,"",IF(OR(A1565="",B1565="",C1565="",G1565=""),"Faltan datos",IF(COUNTIF($A$7:$A$2006,A1565)&gt;1,"ID duplicado",IF(OR(B1565&lt;DATE(Configuración!$C$5,1,1),B1565&gt;=DATE(Configuración!$C$5+1,1,1)),"Fecha fuera del año",IF(OR(G1565&lt;0,H1565&lt;0),"Revisar signo",IF(AND(C1565&lt;&gt;"Servicio",H1565&lt;&gt;0),"IVA solo en Servicio",IF(AND(C1565="Servicio",F1565=""),"Falta servicio","OK")))))))))</f>
        <v/>
      </c>
    </row>
    <row r="1566" spans="1:12" ht="22" customHeight="1">
      <c r="A1566" s="3"/>
      <c r="B1566" s="7"/>
      <c r="C1566" s="3"/>
      <c r="D1566" s="3"/>
      <c r="E1566" s="3"/>
      <c r="F1566" s="3"/>
      <c r="G1566" s="4"/>
      <c r="H1566" s="4"/>
      <c r="I1566" s="3"/>
      <c r="J1566" s="3"/>
      <c r="K1566" s="8" t="str">
        <f t="shared" si="24"/>
        <v/>
      </c>
      <c r="L1566" s="1" t="str">
        <f>IF(COUNTA(A1566:J1566)=0,"",IF(OR(AND(C1566&lt;&gt;"Servicio",C1566&lt;&gt;"Cobro",C1566&lt;&gt;"Anticipo",C1566&lt;&gt;"Aplicación anticipo",C1566&lt;&gt;"Retención ISR",C1566&lt;&gt;"Retención IVA"),AND(C1566="Servicio",F1566&lt;&gt;"TMS",F1566&lt;&gt;"Valoración",F1566&lt;&gt;"EEG",F1566&lt;&gt;"Neurofeedback",F1566&lt;&gt;"Fotobiomodulación",F1566&lt;&gt;"Psicoterapia",F1566&lt;&gt;"Otros")),"Tipo o categoría inválido",IF(COUNTA(A1566:J1566)=0,"",IF(OR(A1566="",B1566="",C1566="",G1566=""),"Faltan datos",IF(COUNTIF($A$7:$A$2006,A1566)&gt;1,"ID duplicado",IF(OR(B1566&lt;DATE(Configuración!$C$5,1,1),B1566&gt;=DATE(Configuración!$C$5+1,1,1)),"Fecha fuera del año",IF(OR(G1566&lt;0,H1566&lt;0),"Revisar signo",IF(AND(C1566&lt;&gt;"Servicio",H1566&lt;&gt;0),"IVA solo en Servicio",IF(AND(C1566="Servicio",F1566=""),"Falta servicio","OK")))))))))</f>
        <v/>
      </c>
    </row>
    <row r="1567" spans="1:12" ht="22" customHeight="1">
      <c r="A1567" s="3"/>
      <c r="B1567" s="7"/>
      <c r="C1567" s="3"/>
      <c r="D1567" s="3"/>
      <c r="E1567" s="3"/>
      <c r="F1567" s="3"/>
      <c r="G1567" s="4"/>
      <c r="H1567" s="4"/>
      <c r="I1567" s="3"/>
      <c r="J1567" s="3"/>
      <c r="K1567" s="8" t="str">
        <f t="shared" si="24"/>
        <v/>
      </c>
      <c r="L1567" s="1" t="str">
        <f>IF(COUNTA(A1567:J1567)=0,"",IF(OR(AND(C1567&lt;&gt;"Servicio",C1567&lt;&gt;"Cobro",C1567&lt;&gt;"Anticipo",C1567&lt;&gt;"Aplicación anticipo",C1567&lt;&gt;"Retención ISR",C1567&lt;&gt;"Retención IVA"),AND(C1567="Servicio",F1567&lt;&gt;"TMS",F1567&lt;&gt;"Valoración",F1567&lt;&gt;"EEG",F1567&lt;&gt;"Neurofeedback",F1567&lt;&gt;"Fotobiomodulación",F1567&lt;&gt;"Psicoterapia",F1567&lt;&gt;"Otros")),"Tipo o categoría inválido",IF(COUNTA(A1567:J1567)=0,"",IF(OR(A1567="",B1567="",C1567="",G1567=""),"Faltan datos",IF(COUNTIF($A$7:$A$2006,A1567)&gt;1,"ID duplicado",IF(OR(B1567&lt;DATE(Configuración!$C$5,1,1),B1567&gt;=DATE(Configuración!$C$5+1,1,1)),"Fecha fuera del año",IF(OR(G1567&lt;0,H1567&lt;0),"Revisar signo",IF(AND(C1567&lt;&gt;"Servicio",H1567&lt;&gt;0),"IVA solo en Servicio",IF(AND(C1567="Servicio",F1567=""),"Falta servicio","OK")))))))))</f>
        <v/>
      </c>
    </row>
    <row r="1568" spans="1:12" ht="22" customHeight="1">
      <c r="A1568" s="3"/>
      <c r="B1568" s="7"/>
      <c r="C1568" s="3"/>
      <c r="D1568" s="3"/>
      <c r="E1568" s="3"/>
      <c r="F1568" s="3"/>
      <c r="G1568" s="4"/>
      <c r="H1568" s="4"/>
      <c r="I1568" s="3"/>
      <c r="J1568" s="3"/>
      <c r="K1568" s="8" t="str">
        <f t="shared" si="24"/>
        <v/>
      </c>
      <c r="L1568" s="1" t="str">
        <f>IF(COUNTA(A1568:J1568)=0,"",IF(OR(AND(C1568&lt;&gt;"Servicio",C1568&lt;&gt;"Cobro",C1568&lt;&gt;"Anticipo",C1568&lt;&gt;"Aplicación anticipo",C1568&lt;&gt;"Retención ISR",C1568&lt;&gt;"Retención IVA"),AND(C1568="Servicio",F1568&lt;&gt;"TMS",F1568&lt;&gt;"Valoración",F1568&lt;&gt;"EEG",F1568&lt;&gt;"Neurofeedback",F1568&lt;&gt;"Fotobiomodulación",F1568&lt;&gt;"Psicoterapia",F1568&lt;&gt;"Otros")),"Tipo o categoría inválido",IF(COUNTA(A1568:J1568)=0,"",IF(OR(A1568="",B1568="",C1568="",G1568=""),"Faltan datos",IF(COUNTIF($A$7:$A$2006,A1568)&gt;1,"ID duplicado",IF(OR(B1568&lt;DATE(Configuración!$C$5,1,1),B1568&gt;=DATE(Configuración!$C$5+1,1,1)),"Fecha fuera del año",IF(OR(G1568&lt;0,H1568&lt;0),"Revisar signo",IF(AND(C1568&lt;&gt;"Servicio",H1568&lt;&gt;0),"IVA solo en Servicio",IF(AND(C1568="Servicio",F1568=""),"Falta servicio","OK")))))))))</f>
        <v/>
      </c>
    </row>
    <row r="1569" spans="1:12" ht="22" customHeight="1">
      <c r="A1569" s="3"/>
      <c r="B1569" s="7"/>
      <c r="C1569" s="3"/>
      <c r="D1569" s="3"/>
      <c r="E1569" s="3"/>
      <c r="F1569" s="3"/>
      <c r="G1569" s="4"/>
      <c r="H1569" s="4"/>
      <c r="I1569" s="3"/>
      <c r="J1569" s="3"/>
      <c r="K1569" s="8" t="str">
        <f t="shared" si="24"/>
        <v/>
      </c>
      <c r="L1569" s="1" t="str">
        <f>IF(COUNTA(A1569:J1569)=0,"",IF(OR(AND(C1569&lt;&gt;"Servicio",C1569&lt;&gt;"Cobro",C1569&lt;&gt;"Anticipo",C1569&lt;&gt;"Aplicación anticipo",C1569&lt;&gt;"Retención ISR",C1569&lt;&gt;"Retención IVA"),AND(C1569="Servicio",F1569&lt;&gt;"TMS",F1569&lt;&gt;"Valoración",F1569&lt;&gt;"EEG",F1569&lt;&gt;"Neurofeedback",F1569&lt;&gt;"Fotobiomodulación",F1569&lt;&gt;"Psicoterapia",F1569&lt;&gt;"Otros")),"Tipo o categoría inválido",IF(COUNTA(A1569:J1569)=0,"",IF(OR(A1569="",B1569="",C1569="",G1569=""),"Faltan datos",IF(COUNTIF($A$7:$A$2006,A1569)&gt;1,"ID duplicado",IF(OR(B1569&lt;DATE(Configuración!$C$5,1,1),B1569&gt;=DATE(Configuración!$C$5+1,1,1)),"Fecha fuera del año",IF(OR(G1569&lt;0,H1569&lt;0),"Revisar signo",IF(AND(C1569&lt;&gt;"Servicio",H1569&lt;&gt;0),"IVA solo en Servicio",IF(AND(C1569="Servicio",F1569=""),"Falta servicio","OK")))))))))</f>
        <v/>
      </c>
    </row>
    <row r="1570" spans="1:12" ht="22" customHeight="1">
      <c r="A1570" s="3"/>
      <c r="B1570" s="7"/>
      <c r="C1570" s="3"/>
      <c r="D1570" s="3"/>
      <c r="E1570" s="3"/>
      <c r="F1570" s="3"/>
      <c r="G1570" s="4"/>
      <c r="H1570" s="4"/>
      <c r="I1570" s="3"/>
      <c r="J1570" s="3"/>
      <c r="K1570" s="8" t="str">
        <f t="shared" si="24"/>
        <v/>
      </c>
      <c r="L1570" s="1" t="str">
        <f>IF(COUNTA(A1570:J1570)=0,"",IF(OR(AND(C1570&lt;&gt;"Servicio",C1570&lt;&gt;"Cobro",C1570&lt;&gt;"Anticipo",C1570&lt;&gt;"Aplicación anticipo",C1570&lt;&gt;"Retención ISR",C1570&lt;&gt;"Retención IVA"),AND(C1570="Servicio",F1570&lt;&gt;"TMS",F1570&lt;&gt;"Valoración",F1570&lt;&gt;"EEG",F1570&lt;&gt;"Neurofeedback",F1570&lt;&gt;"Fotobiomodulación",F1570&lt;&gt;"Psicoterapia",F1570&lt;&gt;"Otros")),"Tipo o categoría inválido",IF(COUNTA(A1570:J1570)=0,"",IF(OR(A1570="",B1570="",C1570="",G1570=""),"Faltan datos",IF(COUNTIF($A$7:$A$2006,A1570)&gt;1,"ID duplicado",IF(OR(B1570&lt;DATE(Configuración!$C$5,1,1),B1570&gt;=DATE(Configuración!$C$5+1,1,1)),"Fecha fuera del año",IF(OR(G1570&lt;0,H1570&lt;0),"Revisar signo",IF(AND(C1570&lt;&gt;"Servicio",H1570&lt;&gt;0),"IVA solo en Servicio",IF(AND(C1570="Servicio",F1570=""),"Falta servicio","OK")))))))))</f>
        <v/>
      </c>
    </row>
    <row r="1571" spans="1:12" ht="22" customHeight="1">
      <c r="A1571" s="3"/>
      <c r="B1571" s="7"/>
      <c r="C1571" s="3"/>
      <c r="D1571" s="3"/>
      <c r="E1571" s="3"/>
      <c r="F1571" s="3"/>
      <c r="G1571" s="4"/>
      <c r="H1571" s="4"/>
      <c r="I1571" s="3"/>
      <c r="J1571" s="3"/>
      <c r="K1571" s="8" t="str">
        <f t="shared" si="24"/>
        <v/>
      </c>
      <c r="L1571" s="1" t="str">
        <f>IF(COUNTA(A1571:J1571)=0,"",IF(OR(AND(C1571&lt;&gt;"Servicio",C1571&lt;&gt;"Cobro",C1571&lt;&gt;"Anticipo",C1571&lt;&gt;"Aplicación anticipo",C1571&lt;&gt;"Retención ISR",C1571&lt;&gt;"Retención IVA"),AND(C1571="Servicio",F1571&lt;&gt;"TMS",F1571&lt;&gt;"Valoración",F1571&lt;&gt;"EEG",F1571&lt;&gt;"Neurofeedback",F1571&lt;&gt;"Fotobiomodulación",F1571&lt;&gt;"Psicoterapia",F1571&lt;&gt;"Otros")),"Tipo o categoría inválido",IF(COUNTA(A1571:J1571)=0,"",IF(OR(A1571="",B1571="",C1571="",G1571=""),"Faltan datos",IF(COUNTIF($A$7:$A$2006,A1571)&gt;1,"ID duplicado",IF(OR(B1571&lt;DATE(Configuración!$C$5,1,1),B1571&gt;=DATE(Configuración!$C$5+1,1,1)),"Fecha fuera del año",IF(OR(G1571&lt;0,H1571&lt;0),"Revisar signo",IF(AND(C1571&lt;&gt;"Servicio",H1571&lt;&gt;0),"IVA solo en Servicio",IF(AND(C1571="Servicio",F1571=""),"Falta servicio","OK")))))))))</f>
        <v/>
      </c>
    </row>
    <row r="1572" spans="1:12" ht="22" customHeight="1">
      <c r="A1572" s="3"/>
      <c r="B1572" s="7"/>
      <c r="C1572" s="3"/>
      <c r="D1572" s="3"/>
      <c r="E1572" s="3"/>
      <c r="F1572" s="3"/>
      <c r="G1572" s="4"/>
      <c r="H1572" s="4"/>
      <c r="I1572" s="3"/>
      <c r="J1572" s="3"/>
      <c r="K1572" s="8" t="str">
        <f t="shared" si="24"/>
        <v/>
      </c>
      <c r="L1572" s="1" t="str">
        <f>IF(COUNTA(A1572:J1572)=0,"",IF(OR(AND(C1572&lt;&gt;"Servicio",C1572&lt;&gt;"Cobro",C1572&lt;&gt;"Anticipo",C1572&lt;&gt;"Aplicación anticipo",C1572&lt;&gt;"Retención ISR",C1572&lt;&gt;"Retención IVA"),AND(C1572="Servicio",F1572&lt;&gt;"TMS",F1572&lt;&gt;"Valoración",F1572&lt;&gt;"EEG",F1572&lt;&gt;"Neurofeedback",F1572&lt;&gt;"Fotobiomodulación",F1572&lt;&gt;"Psicoterapia",F1572&lt;&gt;"Otros")),"Tipo o categoría inválido",IF(COUNTA(A1572:J1572)=0,"",IF(OR(A1572="",B1572="",C1572="",G1572=""),"Faltan datos",IF(COUNTIF($A$7:$A$2006,A1572)&gt;1,"ID duplicado",IF(OR(B1572&lt;DATE(Configuración!$C$5,1,1),B1572&gt;=DATE(Configuración!$C$5+1,1,1)),"Fecha fuera del año",IF(OR(G1572&lt;0,H1572&lt;0),"Revisar signo",IF(AND(C1572&lt;&gt;"Servicio",H1572&lt;&gt;0),"IVA solo en Servicio",IF(AND(C1572="Servicio",F1572=""),"Falta servicio","OK")))))))))</f>
        <v/>
      </c>
    </row>
    <row r="1573" spans="1:12" ht="22" customHeight="1">
      <c r="A1573" s="3"/>
      <c r="B1573" s="7"/>
      <c r="C1573" s="3"/>
      <c r="D1573" s="3"/>
      <c r="E1573" s="3"/>
      <c r="F1573" s="3"/>
      <c r="G1573" s="4"/>
      <c r="H1573" s="4"/>
      <c r="I1573" s="3"/>
      <c r="J1573" s="3"/>
      <c r="K1573" s="8" t="str">
        <f t="shared" si="24"/>
        <v/>
      </c>
      <c r="L1573" s="1" t="str">
        <f>IF(COUNTA(A1573:J1573)=0,"",IF(OR(AND(C1573&lt;&gt;"Servicio",C1573&lt;&gt;"Cobro",C1573&lt;&gt;"Anticipo",C1573&lt;&gt;"Aplicación anticipo",C1573&lt;&gt;"Retención ISR",C1573&lt;&gt;"Retención IVA"),AND(C1573="Servicio",F1573&lt;&gt;"TMS",F1573&lt;&gt;"Valoración",F1573&lt;&gt;"EEG",F1573&lt;&gt;"Neurofeedback",F1573&lt;&gt;"Fotobiomodulación",F1573&lt;&gt;"Psicoterapia",F1573&lt;&gt;"Otros")),"Tipo o categoría inválido",IF(COUNTA(A1573:J1573)=0,"",IF(OR(A1573="",B1573="",C1573="",G1573=""),"Faltan datos",IF(COUNTIF($A$7:$A$2006,A1573)&gt;1,"ID duplicado",IF(OR(B1573&lt;DATE(Configuración!$C$5,1,1),B1573&gt;=DATE(Configuración!$C$5+1,1,1)),"Fecha fuera del año",IF(OR(G1573&lt;0,H1573&lt;0),"Revisar signo",IF(AND(C1573&lt;&gt;"Servicio",H1573&lt;&gt;0),"IVA solo en Servicio",IF(AND(C1573="Servicio",F1573=""),"Falta servicio","OK")))))))))</f>
        <v/>
      </c>
    </row>
    <row r="1574" spans="1:12" ht="22" customHeight="1">
      <c r="A1574" s="3"/>
      <c r="B1574" s="7"/>
      <c r="C1574" s="3"/>
      <c r="D1574" s="3"/>
      <c r="E1574" s="3"/>
      <c r="F1574" s="3"/>
      <c r="G1574" s="4"/>
      <c r="H1574" s="4"/>
      <c r="I1574" s="3"/>
      <c r="J1574" s="3"/>
      <c r="K1574" s="8" t="str">
        <f t="shared" si="24"/>
        <v/>
      </c>
      <c r="L1574" s="1" t="str">
        <f>IF(COUNTA(A1574:J1574)=0,"",IF(OR(AND(C1574&lt;&gt;"Servicio",C1574&lt;&gt;"Cobro",C1574&lt;&gt;"Anticipo",C1574&lt;&gt;"Aplicación anticipo",C1574&lt;&gt;"Retención ISR",C1574&lt;&gt;"Retención IVA"),AND(C1574="Servicio",F1574&lt;&gt;"TMS",F1574&lt;&gt;"Valoración",F1574&lt;&gt;"EEG",F1574&lt;&gt;"Neurofeedback",F1574&lt;&gt;"Fotobiomodulación",F1574&lt;&gt;"Psicoterapia",F1574&lt;&gt;"Otros")),"Tipo o categoría inválido",IF(COUNTA(A1574:J1574)=0,"",IF(OR(A1574="",B1574="",C1574="",G1574=""),"Faltan datos",IF(COUNTIF($A$7:$A$2006,A1574)&gt;1,"ID duplicado",IF(OR(B1574&lt;DATE(Configuración!$C$5,1,1),B1574&gt;=DATE(Configuración!$C$5+1,1,1)),"Fecha fuera del año",IF(OR(G1574&lt;0,H1574&lt;0),"Revisar signo",IF(AND(C1574&lt;&gt;"Servicio",H1574&lt;&gt;0),"IVA solo en Servicio",IF(AND(C1574="Servicio",F1574=""),"Falta servicio","OK")))))))))</f>
        <v/>
      </c>
    </row>
    <row r="1575" spans="1:12" ht="22" customHeight="1">
      <c r="A1575" s="3"/>
      <c r="B1575" s="7"/>
      <c r="C1575" s="3"/>
      <c r="D1575" s="3"/>
      <c r="E1575" s="3"/>
      <c r="F1575" s="3"/>
      <c r="G1575" s="4"/>
      <c r="H1575" s="4"/>
      <c r="I1575" s="3"/>
      <c r="J1575" s="3"/>
      <c r="K1575" s="8" t="str">
        <f t="shared" si="24"/>
        <v/>
      </c>
      <c r="L1575" s="1" t="str">
        <f>IF(COUNTA(A1575:J1575)=0,"",IF(OR(AND(C1575&lt;&gt;"Servicio",C1575&lt;&gt;"Cobro",C1575&lt;&gt;"Anticipo",C1575&lt;&gt;"Aplicación anticipo",C1575&lt;&gt;"Retención ISR",C1575&lt;&gt;"Retención IVA"),AND(C1575="Servicio",F1575&lt;&gt;"TMS",F1575&lt;&gt;"Valoración",F1575&lt;&gt;"EEG",F1575&lt;&gt;"Neurofeedback",F1575&lt;&gt;"Fotobiomodulación",F1575&lt;&gt;"Psicoterapia",F1575&lt;&gt;"Otros")),"Tipo o categoría inválido",IF(COUNTA(A1575:J1575)=0,"",IF(OR(A1575="",B1575="",C1575="",G1575=""),"Faltan datos",IF(COUNTIF($A$7:$A$2006,A1575)&gt;1,"ID duplicado",IF(OR(B1575&lt;DATE(Configuración!$C$5,1,1),B1575&gt;=DATE(Configuración!$C$5+1,1,1)),"Fecha fuera del año",IF(OR(G1575&lt;0,H1575&lt;0),"Revisar signo",IF(AND(C1575&lt;&gt;"Servicio",H1575&lt;&gt;0),"IVA solo en Servicio",IF(AND(C1575="Servicio",F1575=""),"Falta servicio","OK")))))))))</f>
        <v/>
      </c>
    </row>
    <row r="1576" spans="1:12" ht="22" customHeight="1">
      <c r="A1576" s="3"/>
      <c r="B1576" s="7"/>
      <c r="C1576" s="3"/>
      <c r="D1576" s="3"/>
      <c r="E1576" s="3"/>
      <c r="F1576" s="3"/>
      <c r="G1576" s="4"/>
      <c r="H1576" s="4"/>
      <c r="I1576" s="3"/>
      <c r="J1576" s="3"/>
      <c r="K1576" s="8" t="str">
        <f t="shared" si="24"/>
        <v/>
      </c>
      <c r="L1576" s="1" t="str">
        <f>IF(COUNTA(A1576:J1576)=0,"",IF(OR(AND(C1576&lt;&gt;"Servicio",C1576&lt;&gt;"Cobro",C1576&lt;&gt;"Anticipo",C1576&lt;&gt;"Aplicación anticipo",C1576&lt;&gt;"Retención ISR",C1576&lt;&gt;"Retención IVA"),AND(C1576="Servicio",F1576&lt;&gt;"TMS",F1576&lt;&gt;"Valoración",F1576&lt;&gt;"EEG",F1576&lt;&gt;"Neurofeedback",F1576&lt;&gt;"Fotobiomodulación",F1576&lt;&gt;"Psicoterapia",F1576&lt;&gt;"Otros")),"Tipo o categoría inválido",IF(COUNTA(A1576:J1576)=0,"",IF(OR(A1576="",B1576="",C1576="",G1576=""),"Faltan datos",IF(COUNTIF($A$7:$A$2006,A1576)&gt;1,"ID duplicado",IF(OR(B1576&lt;DATE(Configuración!$C$5,1,1),B1576&gt;=DATE(Configuración!$C$5+1,1,1)),"Fecha fuera del año",IF(OR(G1576&lt;0,H1576&lt;0),"Revisar signo",IF(AND(C1576&lt;&gt;"Servicio",H1576&lt;&gt;0),"IVA solo en Servicio",IF(AND(C1576="Servicio",F1576=""),"Falta servicio","OK")))))))))</f>
        <v/>
      </c>
    </row>
    <row r="1577" spans="1:12" ht="22" customHeight="1">
      <c r="A1577" s="3"/>
      <c r="B1577" s="7"/>
      <c r="C1577" s="3"/>
      <c r="D1577" s="3"/>
      <c r="E1577" s="3"/>
      <c r="F1577" s="3"/>
      <c r="G1577" s="4"/>
      <c r="H1577" s="4"/>
      <c r="I1577" s="3"/>
      <c r="J1577" s="3"/>
      <c r="K1577" s="8" t="str">
        <f t="shared" si="24"/>
        <v/>
      </c>
      <c r="L1577" s="1" t="str">
        <f>IF(COUNTA(A1577:J1577)=0,"",IF(OR(AND(C1577&lt;&gt;"Servicio",C1577&lt;&gt;"Cobro",C1577&lt;&gt;"Anticipo",C1577&lt;&gt;"Aplicación anticipo",C1577&lt;&gt;"Retención ISR",C1577&lt;&gt;"Retención IVA"),AND(C1577="Servicio",F1577&lt;&gt;"TMS",F1577&lt;&gt;"Valoración",F1577&lt;&gt;"EEG",F1577&lt;&gt;"Neurofeedback",F1577&lt;&gt;"Fotobiomodulación",F1577&lt;&gt;"Psicoterapia",F1577&lt;&gt;"Otros")),"Tipo o categoría inválido",IF(COUNTA(A1577:J1577)=0,"",IF(OR(A1577="",B1577="",C1577="",G1577=""),"Faltan datos",IF(COUNTIF($A$7:$A$2006,A1577)&gt;1,"ID duplicado",IF(OR(B1577&lt;DATE(Configuración!$C$5,1,1),B1577&gt;=DATE(Configuración!$C$5+1,1,1)),"Fecha fuera del año",IF(OR(G1577&lt;0,H1577&lt;0),"Revisar signo",IF(AND(C1577&lt;&gt;"Servicio",H1577&lt;&gt;0),"IVA solo en Servicio",IF(AND(C1577="Servicio",F1577=""),"Falta servicio","OK")))))))))</f>
        <v/>
      </c>
    </row>
    <row r="1578" spans="1:12" ht="22" customHeight="1">
      <c r="A1578" s="3"/>
      <c r="B1578" s="7"/>
      <c r="C1578" s="3"/>
      <c r="D1578" s="3"/>
      <c r="E1578" s="3"/>
      <c r="F1578" s="3"/>
      <c r="G1578" s="4"/>
      <c r="H1578" s="4"/>
      <c r="I1578" s="3"/>
      <c r="J1578" s="3"/>
      <c r="K1578" s="8" t="str">
        <f t="shared" si="24"/>
        <v/>
      </c>
      <c r="L1578" s="1" t="str">
        <f>IF(COUNTA(A1578:J1578)=0,"",IF(OR(AND(C1578&lt;&gt;"Servicio",C1578&lt;&gt;"Cobro",C1578&lt;&gt;"Anticipo",C1578&lt;&gt;"Aplicación anticipo",C1578&lt;&gt;"Retención ISR",C1578&lt;&gt;"Retención IVA"),AND(C1578="Servicio",F1578&lt;&gt;"TMS",F1578&lt;&gt;"Valoración",F1578&lt;&gt;"EEG",F1578&lt;&gt;"Neurofeedback",F1578&lt;&gt;"Fotobiomodulación",F1578&lt;&gt;"Psicoterapia",F1578&lt;&gt;"Otros")),"Tipo o categoría inválido",IF(COUNTA(A1578:J1578)=0,"",IF(OR(A1578="",B1578="",C1578="",G1578=""),"Faltan datos",IF(COUNTIF($A$7:$A$2006,A1578)&gt;1,"ID duplicado",IF(OR(B1578&lt;DATE(Configuración!$C$5,1,1),B1578&gt;=DATE(Configuración!$C$5+1,1,1)),"Fecha fuera del año",IF(OR(G1578&lt;0,H1578&lt;0),"Revisar signo",IF(AND(C1578&lt;&gt;"Servicio",H1578&lt;&gt;0),"IVA solo en Servicio",IF(AND(C1578="Servicio",F1578=""),"Falta servicio","OK")))))))))</f>
        <v/>
      </c>
    </row>
    <row r="1579" spans="1:12" ht="22" customHeight="1">
      <c r="A1579" s="3"/>
      <c r="B1579" s="7"/>
      <c r="C1579" s="3"/>
      <c r="D1579" s="3"/>
      <c r="E1579" s="3"/>
      <c r="F1579" s="3"/>
      <c r="G1579" s="4"/>
      <c r="H1579" s="4"/>
      <c r="I1579" s="3"/>
      <c r="J1579" s="3"/>
      <c r="K1579" s="8" t="str">
        <f t="shared" si="24"/>
        <v/>
      </c>
      <c r="L1579" s="1" t="str">
        <f>IF(COUNTA(A1579:J1579)=0,"",IF(OR(AND(C1579&lt;&gt;"Servicio",C1579&lt;&gt;"Cobro",C1579&lt;&gt;"Anticipo",C1579&lt;&gt;"Aplicación anticipo",C1579&lt;&gt;"Retención ISR",C1579&lt;&gt;"Retención IVA"),AND(C1579="Servicio",F1579&lt;&gt;"TMS",F1579&lt;&gt;"Valoración",F1579&lt;&gt;"EEG",F1579&lt;&gt;"Neurofeedback",F1579&lt;&gt;"Fotobiomodulación",F1579&lt;&gt;"Psicoterapia",F1579&lt;&gt;"Otros")),"Tipo o categoría inválido",IF(COUNTA(A1579:J1579)=0,"",IF(OR(A1579="",B1579="",C1579="",G1579=""),"Faltan datos",IF(COUNTIF($A$7:$A$2006,A1579)&gt;1,"ID duplicado",IF(OR(B1579&lt;DATE(Configuración!$C$5,1,1),B1579&gt;=DATE(Configuración!$C$5+1,1,1)),"Fecha fuera del año",IF(OR(G1579&lt;0,H1579&lt;0),"Revisar signo",IF(AND(C1579&lt;&gt;"Servicio",H1579&lt;&gt;0),"IVA solo en Servicio",IF(AND(C1579="Servicio",F1579=""),"Falta servicio","OK")))))))))</f>
        <v/>
      </c>
    </row>
    <row r="1580" spans="1:12" ht="22" customHeight="1">
      <c r="A1580" s="3"/>
      <c r="B1580" s="7"/>
      <c r="C1580" s="3"/>
      <c r="D1580" s="3"/>
      <c r="E1580" s="3"/>
      <c r="F1580" s="3"/>
      <c r="G1580" s="4"/>
      <c r="H1580" s="4"/>
      <c r="I1580" s="3"/>
      <c r="J1580" s="3"/>
      <c r="K1580" s="8" t="str">
        <f t="shared" si="24"/>
        <v/>
      </c>
      <c r="L1580" s="1" t="str">
        <f>IF(COUNTA(A1580:J1580)=0,"",IF(OR(AND(C1580&lt;&gt;"Servicio",C1580&lt;&gt;"Cobro",C1580&lt;&gt;"Anticipo",C1580&lt;&gt;"Aplicación anticipo",C1580&lt;&gt;"Retención ISR",C1580&lt;&gt;"Retención IVA"),AND(C1580="Servicio",F1580&lt;&gt;"TMS",F1580&lt;&gt;"Valoración",F1580&lt;&gt;"EEG",F1580&lt;&gt;"Neurofeedback",F1580&lt;&gt;"Fotobiomodulación",F1580&lt;&gt;"Psicoterapia",F1580&lt;&gt;"Otros")),"Tipo o categoría inválido",IF(COUNTA(A1580:J1580)=0,"",IF(OR(A1580="",B1580="",C1580="",G1580=""),"Faltan datos",IF(COUNTIF($A$7:$A$2006,A1580)&gt;1,"ID duplicado",IF(OR(B1580&lt;DATE(Configuración!$C$5,1,1),B1580&gt;=DATE(Configuración!$C$5+1,1,1)),"Fecha fuera del año",IF(OR(G1580&lt;0,H1580&lt;0),"Revisar signo",IF(AND(C1580&lt;&gt;"Servicio",H1580&lt;&gt;0),"IVA solo en Servicio",IF(AND(C1580="Servicio",F1580=""),"Falta servicio","OK")))))))))</f>
        <v/>
      </c>
    </row>
    <row r="1581" spans="1:12" ht="22" customHeight="1">
      <c r="A1581" s="3"/>
      <c r="B1581" s="7"/>
      <c r="C1581" s="3"/>
      <c r="D1581" s="3"/>
      <c r="E1581" s="3"/>
      <c r="F1581" s="3"/>
      <c r="G1581" s="4"/>
      <c r="H1581" s="4"/>
      <c r="I1581" s="3"/>
      <c r="J1581" s="3"/>
      <c r="K1581" s="8" t="str">
        <f t="shared" si="24"/>
        <v/>
      </c>
      <c r="L1581" s="1" t="str">
        <f>IF(COUNTA(A1581:J1581)=0,"",IF(OR(AND(C1581&lt;&gt;"Servicio",C1581&lt;&gt;"Cobro",C1581&lt;&gt;"Anticipo",C1581&lt;&gt;"Aplicación anticipo",C1581&lt;&gt;"Retención ISR",C1581&lt;&gt;"Retención IVA"),AND(C1581="Servicio",F1581&lt;&gt;"TMS",F1581&lt;&gt;"Valoración",F1581&lt;&gt;"EEG",F1581&lt;&gt;"Neurofeedback",F1581&lt;&gt;"Fotobiomodulación",F1581&lt;&gt;"Psicoterapia",F1581&lt;&gt;"Otros")),"Tipo o categoría inválido",IF(COUNTA(A1581:J1581)=0,"",IF(OR(A1581="",B1581="",C1581="",G1581=""),"Faltan datos",IF(COUNTIF($A$7:$A$2006,A1581)&gt;1,"ID duplicado",IF(OR(B1581&lt;DATE(Configuración!$C$5,1,1),B1581&gt;=DATE(Configuración!$C$5+1,1,1)),"Fecha fuera del año",IF(OR(G1581&lt;0,H1581&lt;0),"Revisar signo",IF(AND(C1581&lt;&gt;"Servicio",H1581&lt;&gt;0),"IVA solo en Servicio",IF(AND(C1581="Servicio",F1581=""),"Falta servicio","OK")))))))))</f>
        <v/>
      </c>
    </row>
    <row r="1582" spans="1:12" ht="22" customHeight="1">
      <c r="A1582" s="3"/>
      <c r="B1582" s="7"/>
      <c r="C1582" s="3"/>
      <c r="D1582" s="3"/>
      <c r="E1582" s="3"/>
      <c r="F1582" s="3"/>
      <c r="G1582" s="4"/>
      <c r="H1582" s="4"/>
      <c r="I1582" s="3"/>
      <c r="J1582" s="3"/>
      <c r="K1582" s="8" t="str">
        <f t="shared" si="24"/>
        <v/>
      </c>
      <c r="L1582" s="1" t="str">
        <f>IF(COUNTA(A1582:J1582)=0,"",IF(OR(AND(C1582&lt;&gt;"Servicio",C1582&lt;&gt;"Cobro",C1582&lt;&gt;"Anticipo",C1582&lt;&gt;"Aplicación anticipo",C1582&lt;&gt;"Retención ISR",C1582&lt;&gt;"Retención IVA"),AND(C1582="Servicio",F1582&lt;&gt;"TMS",F1582&lt;&gt;"Valoración",F1582&lt;&gt;"EEG",F1582&lt;&gt;"Neurofeedback",F1582&lt;&gt;"Fotobiomodulación",F1582&lt;&gt;"Psicoterapia",F1582&lt;&gt;"Otros")),"Tipo o categoría inválido",IF(COUNTA(A1582:J1582)=0,"",IF(OR(A1582="",B1582="",C1582="",G1582=""),"Faltan datos",IF(COUNTIF($A$7:$A$2006,A1582)&gt;1,"ID duplicado",IF(OR(B1582&lt;DATE(Configuración!$C$5,1,1),B1582&gt;=DATE(Configuración!$C$5+1,1,1)),"Fecha fuera del año",IF(OR(G1582&lt;0,H1582&lt;0),"Revisar signo",IF(AND(C1582&lt;&gt;"Servicio",H1582&lt;&gt;0),"IVA solo en Servicio",IF(AND(C1582="Servicio",F1582=""),"Falta servicio","OK")))))))))</f>
        <v/>
      </c>
    </row>
    <row r="1583" spans="1:12" ht="22" customHeight="1">
      <c r="A1583" s="3"/>
      <c r="B1583" s="7"/>
      <c r="C1583" s="3"/>
      <c r="D1583" s="3"/>
      <c r="E1583" s="3"/>
      <c r="F1583" s="3"/>
      <c r="G1583" s="4"/>
      <c r="H1583" s="4"/>
      <c r="I1583" s="3"/>
      <c r="J1583" s="3"/>
      <c r="K1583" s="8" t="str">
        <f t="shared" si="24"/>
        <v/>
      </c>
      <c r="L1583" s="1" t="str">
        <f>IF(COUNTA(A1583:J1583)=0,"",IF(OR(AND(C1583&lt;&gt;"Servicio",C1583&lt;&gt;"Cobro",C1583&lt;&gt;"Anticipo",C1583&lt;&gt;"Aplicación anticipo",C1583&lt;&gt;"Retención ISR",C1583&lt;&gt;"Retención IVA"),AND(C1583="Servicio",F1583&lt;&gt;"TMS",F1583&lt;&gt;"Valoración",F1583&lt;&gt;"EEG",F1583&lt;&gt;"Neurofeedback",F1583&lt;&gt;"Fotobiomodulación",F1583&lt;&gt;"Psicoterapia",F1583&lt;&gt;"Otros")),"Tipo o categoría inválido",IF(COUNTA(A1583:J1583)=0,"",IF(OR(A1583="",B1583="",C1583="",G1583=""),"Faltan datos",IF(COUNTIF($A$7:$A$2006,A1583)&gt;1,"ID duplicado",IF(OR(B1583&lt;DATE(Configuración!$C$5,1,1),B1583&gt;=DATE(Configuración!$C$5+1,1,1)),"Fecha fuera del año",IF(OR(G1583&lt;0,H1583&lt;0),"Revisar signo",IF(AND(C1583&lt;&gt;"Servicio",H1583&lt;&gt;0),"IVA solo en Servicio",IF(AND(C1583="Servicio",F1583=""),"Falta servicio","OK")))))))))</f>
        <v/>
      </c>
    </row>
    <row r="1584" spans="1:12" ht="22" customHeight="1">
      <c r="A1584" s="3"/>
      <c r="B1584" s="7"/>
      <c r="C1584" s="3"/>
      <c r="D1584" s="3"/>
      <c r="E1584" s="3"/>
      <c r="F1584" s="3"/>
      <c r="G1584" s="4"/>
      <c r="H1584" s="4"/>
      <c r="I1584" s="3"/>
      <c r="J1584" s="3"/>
      <c r="K1584" s="8" t="str">
        <f t="shared" si="24"/>
        <v/>
      </c>
      <c r="L1584" s="1" t="str">
        <f>IF(COUNTA(A1584:J1584)=0,"",IF(OR(AND(C1584&lt;&gt;"Servicio",C1584&lt;&gt;"Cobro",C1584&lt;&gt;"Anticipo",C1584&lt;&gt;"Aplicación anticipo",C1584&lt;&gt;"Retención ISR",C1584&lt;&gt;"Retención IVA"),AND(C1584="Servicio",F1584&lt;&gt;"TMS",F1584&lt;&gt;"Valoración",F1584&lt;&gt;"EEG",F1584&lt;&gt;"Neurofeedback",F1584&lt;&gt;"Fotobiomodulación",F1584&lt;&gt;"Psicoterapia",F1584&lt;&gt;"Otros")),"Tipo o categoría inválido",IF(COUNTA(A1584:J1584)=0,"",IF(OR(A1584="",B1584="",C1584="",G1584=""),"Faltan datos",IF(COUNTIF($A$7:$A$2006,A1584)&gt;1,"ID duplicado",IF(OR(B1584&lt;DATE(Configuración!$C$5,1,1),B1584&gt;=DATE(Configuración!$C$5+1,1,1)),"Fecha fuera del año",IF(OR(G1584&lt;0,H1584&lt;0),"Revisar signo",IF(AND(C1584&lt;&gt;"Servicio",H1584&lt;&gt;0),"IVA solo en Servicio",IF(AND(C1584="Servicio",F1584=""),"Falta servicio","OK")))))))))</f>
        <v/>
      </c>
    </row>
    <row r="1585" spans="1:12" ht="22" customHeight="1">
      <c r="A1585" s="3"/>
      <c r="B1585" s="7"/>
      <c r="C1585" s="3"/>
      <c r="D1585" s="3"/>
      <c r="E1585" s="3"/>
      <c r="F1585" s="3"/>
      <c r="G1585" s="4"/>
      <c r="H1585" s="4"/>
      <c r="I1585" s="3"/>
      <c r="J1585" s="3"/>
      <c r="K1585" s="8" t="str">
        <f t="shared" si="24"/>
        <v/>
      </c>
      <c r="L1585" s="1" t="str">
        <f>IF(COUNTA(A1585:J1585)=0,"",IF(OR(AND(C1585&lt;&gt;"Servicio",C1585&lt;&gt;"Cobro",C1585&lt;&gt;"Anticipo",C1585&lt;&gt;"Aplicación anticipo",C1585&lt;&gt;"Retención ISR",C1585&lt;&gt;"Retención IVA"),AND(C1585="Servicio",F1585&lt;&gt;"TMS",F1585&lt;&gt;"Valoración",F1585&lt;&gt;"EEG",F1585&lt;&gt;"Neurofeedback",F1585&lt;&gt;"Fotobiomodulación",F1585&lt;&gt;"Psicoterapia",F1585&lt;&gt;"Otros")),"Tipo o categoría inválido",IF(COUNTA(A1585:J1585)=0,"",IF(OR(A1585="",B1585="",C1585="",G1585=""),"Faltan datos",IF(COUNTIF($A$7:$A$2006,A1585)&gt;1,"ID duplicado",IF(OR(B1585&lt;DATE(Configuración!$C$5,1,1),B1585&gt;=DATE(Configuración!$C$5+1,1,1)),"Fecha fuera del año",IF(OR(G1585&lt;0,H1585&lt;0),"Revisar signo",IF(AND(C1585&lt;&gt;"Servicio",H1585&lt;&gt;0),"IVA solo en Servicio",IF(AND(C1585="Servicio",F1585=""),"Falta servicio","OK")))))))))</f>
        <v/>
      </c>
    </row>
    <row r="1586" spans="1:12" ht="22" customHeight="1">
      <c r="A1586" s="3"/>
      <c r="B1586" s="7"/>
      <c r="C1586" s="3"/>
      <c r="D1586" s="3"/>
      <c r="E1586" s="3"/>
      <c r="F1586" s="3"/>
      <c r="G1586" s="4"/>
      <c r="H1586" s="4"/>
      <c r="I1586" s="3"/>
      <c r="J1586" s="3"/>
      <c r="K1586" s="8" t="str">
        <f t="shared" si="24"/>
        <v/>
      </c>
      <c r="L1586" s="1" t="str">
        <f>IF(COUNTA(A1586:J1586)=0,"",IF(OR(AND(C1586&lt;&gt;"Servicio",C1586&lt;&gt;"Cobro",C1586&lt;&gt;"Anticipo",C1586&lt;&gt;"Aplicación anticipo",C1586&lt;&gt;"Retención ISR",C1586&lt;&gt;"Retención IVA"),AND(C1586="Servicio",F1586&lt;&gt;"TMS",F1586&lt;&gt;"Valoración",F1586&lt;&gt;"EEG",F1586&lt;&gt;"Neurofeedback",F1586&lt;&gt;"Fotobiomodulación",F1586&lt;&gt;"Psicoterapia",F1586&lt;&gt;"Otros")),"Tipo o categoría inválido",IF(COUNTA(A1586:J1586)=0,"",IF(OR(A1586="",B1586="",C1586="",G1586=""),"Faltan datos",IF(COUNTIF($A$7:$A$2006,A1586)&gt;1,"ID duplicado",IF(OR(B1586&lt;DATE(Configuración!$C$5,1,1),B1586&gt;=DATE(Configuración!$C$5+1,1,1)),"Fecha fuera del año",IF(OR(G1586&lt;0,H1586&lt;0),"Revisar signo",IF(AND(C1586&lt;&gt;"Servicio",H1586&lt;&gt;0),"IVA solo en Servicio",IF(AND(C1586="Servicio",F1586=""),"Falta servicio","OK")))))))))</f>
        <v/>
      </c>
    </row>
    <row r="1587" spans="1:12" ht="22" customHeight="1">
      <c r="A1587" s="3"/>
      <c r="B1587" s="7"/>
      <c r="C1587" s="3"/>
      <c r="D1587" s="3"/>
      <c r="E1587" s="3"/>
      <c r="F1587" s="3"/>
      <c r="G1587" s="4"/>
      <c r="H1587" s="4"/>
      <c r="I1587" s="3"/>
      <c r="J1587" s="3"/>
      <c r="K1587" s="8" t="str">
        <f t="shared" si="24"/>
        <v/>
      </c>
      <c r="L1587" s="1" t="str">
        <f>IF(COUNTA(A1587:J1587)=0,"",IF(OR(AND(C1587&lt;&gt;"Servicio",C1587&lt;&gt;"Cobro",C1587&lt;&gt;"Anticipo",C1587&lt;&gt;"Aplicación anticipo",C1587&lt;&gt;"Retención ISR",C1587&lt;&gt;"Retención IVA"),AND(C1587="Servicio",F1587&lt;&gt;"TMS",F1587&lt;&gt;"Valoración",F1587&lt;&gt;"EEG",F1587&lt;&gt;"Neurofeedback",F1587&lt;&gt;"Fotobiomodulación",F1587&lt;&gt;"Psicoterapia",F1587&lt;&gt;"Otros")),"Tipo o categoría inválido",IF(COUNTA(A1587:J1587)=0,"",IF(OR(A1587="",B1587="",C1587="",G1587=""),"Faltan datos",IF(COUNTIF($A$7:$A$2006,A1587)&gt;1,"ID duplicado",IF(OR(B1587&lt;DATE(Configuración!$C$5,1,1),B1587&gt;=DATE(Configuración!$C$5+1,1,1)),"Fecha fuera del año",IF(OR(G1587&lt;0,H1587&lt;0),"Revisar signo",IF(AND(C1587&lt;&gt;"Servicio",H1587&lt;&gt;0),"IVA solo en Servicio",IF(AND(C1587="Servicio",F1587=""),"Falta servicio","OK")))))))))</f>
        <v/>
      </c>
    </row>
    <row r="1588" spans="1:12" ht="22" customHeight="1">
      <c r="A1588" s="3"/>
      <c r="B1588" s="7"/>
      <c r="C1588" s="3"/>
      <c r="D1588" s="3"/>
      <c r="E1588" s="3"/>
      <c r="F1588" s="3"/>
      <c r="G1588" s="4"/>
      <c r="H1588" s="4"/>
      <c r="I1588" s="3"/>
      <c r="J1588" s="3"/>
      <c r="K1588" s="8" t="str">
        <f t="shared" si="24"/>
        <v/>
      </c>
      <c r="L1588" s="1" t="str">
        <f>IF(COUNTA(A1588:J1588)=0,"",IF(OR(AND(C1588&lt;&gt;"Servicio",C1588&lt;&gt;"Cobro",C1588&lt;&gt;"Anticipo",C1588&lt;&gt;"Aplicación anticipo",C1588&lt;&gt;"Retención ISR",C1588&lt;&gt;"Retención IVA"),AND(C1588="Servicio",F1588&lt;&gt;"TMS",F1588&lt;&gt;"Valoración",F1588&lt;&gt;"EEG",F1588&lt;&gt;"Neurofeedback",F1588&lt;&gt;"Fotobiomodulación",F1588&lt;&gt;"Psicoterapia",F1588&lt;&gt;"Otros")),"Tipo o categoría inválido",IF(COUNTA(A1588:J1588)=0,"",IF(OR(A1588="",B1588="",C1588="",G1588=""),"Faltan datos",IF(COUNTIF($A$7:$A$2006,A1588)&gt;1,"ID duplicado",IF(OR(B1588&lt;DATE(Configuración!$C$5,1,1),B1588&gt;=DATE(Configuración!$C$5+1,1,1)),"Fecha fuera del año",IF(OR(G1588&lt;0,H1588&lt;0),"Revisar signo",IF(AND(C1588&lt;&gt;"Servicio",H1588&lt;&gt;0),"IVA solo en Servicio",IF(AND(C1588="Servicio",F1588=""),"Falta servicio","OK")))))))))</f>
        <v/>
      </c>
    </row>
    <row r="1589" spans="1:12" ht="22" customHeight="1">
      <c r="A1589" s="3"/>
      <c r="B1589" s="7"/>
      <c r="C1589" s="3"/>
      <c r="D1589" s="3"/>
      <c r="E1589" s="3"/>
      <c r="F1589" s="3"/>
      <c r="G1589" s="4"/>
      <c r="H1589" s="4"/>
      <c r="I1589" s="3"/>
      <c r="J1589" s="3"/>
      <c r="K1589" s="8" t="str">
        <f t="shared" si="24"/>
        <v/>
      </c>
      <c r="L1589" s="1" t="str">
        <f>IF(COUNTA(A1589:J1589)=0,"",IF(OR(AND(C1589&lt;&gt;"Servicio",C1589&lt;&gt;"Cobro",C1589&lt;&gt;"Anticipo",C1589&lt;&gt;"Aplicación anticipo",C1589&lt;&gt;"Retención ISR",C1589&lt;&gt;"Retención IVA"),AND(C1589="Servicio",F1589&lt;&gt;"TMS",F1589&lt;&gt;"Valoración",F1589&lt;&gt;"EEG",F1589&lt;&gt;"Neurofeedback",F1589&lt;&gt;"Fotobiomodulación",F1589&lt;&gt;"Psicoterapia",F1589&lt;&gt;"Otros")),"Tipo o categoría inválido",IF(COUNTA(A1589:J1589)=0,"",IF(OR(A1589="",B1589="",C1589="",G1589=""),"Faltan datos",IF(COUNTIF($A$7:$A$2006,A1589)&gt;1,"ID duplicado",IF(OR(B1589&lt;DATE(Configuración!$C$5,1,1),B1589&gt;=DATE(Configuración!$C$5+1,1,1)),"Fecha fuera del año",IF(OR(G1589&lt;0,H1589&lt;0),"Revisar signo",IF(AND(C1589&lt;&gt;"Servicio",H1589&lt;&gt;0),"IVA solo en Servicio",IF(AND(C1589="Servicio",F1589=""),"Falta servicio","OK")))))))))</f>
        <v/>
      </c>
    </row>
    <row r="1590" spans="1:12" ht="22" customHeight="1">
      <c r="A1590" s="3"/>
      <c r="B1590" s="7"/>
      <c r="C1590" s="3"/>
      <c r="D1590" s="3"/>
      <c r="E1590" s="3"/>
      <c r="F1590" s="3"/>
      <c r="G1590" s="4"/>
      <c r="H1590" s="4"/>
      <c r="I1590" s="3"/>
      <c r="J1590" s="3"/>
      <c r="K1590" s="8" t="str">
        <f t="shared" si="24"/>
        <v/>
      </c>
      <c r="L1590" s="1" t="str">
        <f>IF(COUNTA(A1590:J1590)=0,"",IF(OR(AND(C1590&lt;&gt;"Servicio",C1590&lt;&gt;"Cobro",C1590&lt;&gt;"Anticipo",C1590&lt;&gt;"Aplicación anticipo",C1590&lt;&gt;"Retención ISR",C1590&lt;&gt;"Retención IVA"),AND(C1590="Servicio",F1590&lt;&gt;"TMS",F1590&lt;&gt;"Valoración",F1590&lt;&gt;"EEG",F1590&lt;&gt;"Neurofeedback",F1590&lt;&gt;"Fotobiomodulación",F1590&lt;&gt;"Psicoterapia",F1590&lt;&gt;"Otros")),"Tipo o categoría inválido",IF(COUNTA(A1590:J1590)=0,"",IF(OR(A1590="",B1590="",C1590="",G1590=""),"Faltan datos",IF(COUNTIF($A$7:$A$2006,A1590)&gt;1,"ID duplicado",IF(OR(B1590&lt;DATE(Configuración!$C$5,1,1),B1590&gt;=DATE(Configuración!$C$5+1,1,1)),"Fecha fuera del año",IF(OR(G1590&lt;0,H1590&lt;0),"Revisar signo",IF(AND(C1590&lt;&gt;"Servicio",H1590&lt;&gt;0),"IVA solo en Servicio",IF(AND(C1590="Servicio",F1590=""),"Falta servicio","OK")))))))))</f>
        <v/>
      </c>
    </row>
    <row r="1591" spans="1:12" ht="22" customHeight="1">
      <c r="A1591" s="3"/>
      <c r="B1591" s="7"/>
      <c r="C1591" s="3"/>
      <c r="D1591" s="3"/>
      <c r="E1591" s="3"/>
      <c r="F1591" s="3"/>
      <c r="G1591" s="4"/>
      <c r="H1591" s="4"/>
      <c r="I1591" s="3"/>
      <c r="J1591" s="3"/>
      <c r="K1591" s="8" t="str">
        <f t="shared" si="24"/>
        <v/>
      </c>
      <c r="L1591" s="1" t="str">
        <f>IF(COUNTA(A1591:J1591)=0,"",IF(OR(AND(C1591&lt;&gt;"Servicio",C1591&lt;&gt;"Cobro",C1591&lt;&gt;"Anticipo",C1591&lt;&gt;"Aplicación anticipo",C1591&lt;&gt;"Retención ISR",C1591&lt;&gt;"Retención IVA"),AND(C1591="Servicio",F1591&lt;&gt;"TMS",F1591&lt;&gt;"Valoración",F1591&lt;&gt;"EEG",F1591&lt;&gt;"Neurofeedback",F1591&lt;&gt;"Fotobiomodulación",F1591&lt;&gt;"Psicoterapia",F1591&lt;&gt;"Otros")),"Tipo o categoría inválido",IF(COUNTA(A1591:J1591)=0,"",IF(OR(A1591="",B1591="",C1591="",G1591=""),"Faltan datos",IF(COUNTIF($A$7:$A$2006,A1591)&gt;1,"ID duplicado",IF(OR(B1591&lt;DATE(Configuración!$C$5,1,1),B1591&gt;=DATE(Configuración!$C$5+1,1,1)),"Fecha fuera del año",IF(OR(G1591&lt;0,H1591&lt;0),"Revisar signo",IF(AND(C1591&lt;&gt;"Servicio",H1591&lt;&gt;0),"IVA solo en Servicio",IF(AND(C1591="Servicio",F1591=""),"Falta servicio","OK")))))))))</f>
        <v/>
      </c>
    </row>
    <row r="1592" spans="1:12" ht="22" customHeight="1">
      <c r="A1592" s="3"/>
      <c r="B1592" s="7"/>
      <c r="C1592" s="3"/>
      <c r="D1592" s="3"/>
      <c r="E1592" s="3"/>
      <c r="F1592" s="3"/>
      <c r="G1592" s="4"/>
      <c r="H1592" s="4"/>
      <c r="I1592" s="3"/>
      <c r="J1592" s="3"/>
      <c r="K1592" s="8" t="str">
        <f t="shared" si="24"/>
        <v/>
      </c>
      <c r="L1592" s="1" t="str">
        <f>IF(COUNTA(A1592:J1592)=0,"",IF(OR(AND(C1592&lt;&gt;"Servicio",C1592&lt;&gt;"Cobro",C1592&lt;&gt;"Anticipo",C1592&lt;&gt;"Aplicación anticipo",C1592&lt;&gt;"Retención ISR",C1592&lt;&gt;"Retención IVA"),AND(C1592="Servicio",F1592&lt;&gt;"TMS",F1592&lt;&gt;"Valoración",F1592&lt;&gt;"EEG",F1592&lt;&gt;"Neurofeedback",F1592&lt;&gt;"Fotobiomodulación",F1592&lt;&gt;"Psicoterapia",F1592&lt;&gt;"Otros")),"Tipo o categoría inválido",IF(COUNTA(A1592:J1592)=0,"",IF(OR(A1592="",B1592="",C1592="",G1592=""),"Faltan datos",IF(COUNTIF($A$7:$A$2006,A1592)&gt;1,"ID duplicado",IF(OR(B1592&lt;DATE(Configuración!$C$5,1,1),B1592&gt;=DATE(Configuración!$C$5+1,1,1)),"Fecha fuera del año",IF(OR(G1592&lt;0,H1592&lt;0),"Revisar signo",IF(AND(C1592&lt;&gt;"Servicio",H1592&lt;&gt;0),"IVA solo en Servicio",IF(AND(C1592="Servicio",F1592=""),"Falta servicio","OK")))))))))</f>
        <v/>
      </c>
    </row>
    <row r="1593" spans="1:12" ht="22" customHeight="1">
      <c r="A1593" s="3"/>
      <c r="B1593" s="7"/>
      <c r="C1593" s="3"/>
      <c r="D1593" s="3"/>
      <c r="E1593" s="3"/>
      <c r="F1593" s="3"/>
      <c r="G1593" s="4"/>
      <c r="H1593" s="4"/>
      <c r="I1593" s="3"/>
      <c r="J1593" s="3"/>
      <c r="K1593" s="8" t="str">
        <f t="shared" si="24"/>
        <v/>
      </c>
      <c r="L1593" s="1" t="str">
        <f>IF(COUNTA(A1593:J1593)=0,"",IF(OR(AND(C1593&lt;&gt;"Servicio",C1593&lt;&gt;"Cobro",C1593&lt;&gt;"Anticipo",C1593&lt;&gt;"Aplicación anticipo",C1593&lt;&gt;"Retención ISR",C1593&lt;&gt;"Retención IVA"),AND(C1593="Servicio",F1593&lt;&gt;"TMS",F1593&lt;&gt;"Valoración",F1593&lt;&gt;"EEG",F1593&lt;&gt;"Neurofeedback",F1593&lt;&gt;"Fotobiomodulación",F1593&lt;&gt;"Psicoterapia",F1593&lt;&gt;"Otros")),"Tipo o categoría inválido",IF(COUNTA(A1593:J1593)=0,"",IF(OR(A1593="",B1593="",C1593="",G1593=""),"Faltan datos",IF(COUNTIF($A$7:$A$2006,A1593)&gt;1,"ID duplicado",IF(OR(B1593&lt;DATE(Configuración!$C$5,1,1),B1593&gt;=DATE(Configuración!$C$5+1,1,1)),"Fecha fuera del año",IF(OR(G1593&lt;0,H1593&lt;0),"Revisar signo",IF(AND(C1593&lt;&gt;"Servicio",H1593&lt;&gt;0),"IVA solo en Servicio",IF(AND(C1593="Servicio",F1593=""),"Falta servicio","OK")))))))))</f>
        <v/>
      </c>
    </row>
    <row r="1594" spans="1:12" ht="22" customHeight="1">
      <c r="A1594" s="3"/>
      <c r="B1594" s="7"/>
      <c r="C1594" s="3"/>
      <c r="D1594" s="3"/>
      <c r="E1594" s="3"/>
      <c r="F1594" s="3"/>
      <c r="G1594" s="4"/>
      <c r="H1594" s="4"/>
      <c r="I1594" s="3"/>
      <c r="J1594" s="3"/>
      <c r="K1594" s="8" t="str">
        <f t="shared" si="24"/>
        <v/>
      </c>
      <c r="L1594" s="1" t="str">
        <f>IF(COUNTA(A1594:J1594)=0,"",IF(OR(AND(C1594&lt;&gt;"Servicio",C1594&lt;&gt;"Cobro",C1594&lt;&gt;"Anticipo",C1594&lt;&gt;"Aplicación anticipo",C1594&lt;&gt;"Retención ISR",C1594&lt;&gt;"Retención IVA"),AND(C1594="Servicio",F1594&lt;&gt;"TMS",F1594&lt;&gt;"Valoración",F1594&lt;&gt;"EEG",F1594&lt;&gt;"Neurofeedback",F1594&lt;&gt;"Fotobiomodulación",F1594&lt;&gt;"Psicoterapia",F1594&lt;&gt;"Otros")),"Tipo o categoría inválido",IF(COUNTA(A1594:J1594)=0,"",IF(OR(A1594="",B1594="",C1594="",G1594=""),"Faltan datos",IF(COUNTIF($A$7:$A$2006,A1594)&gt;1,"ID duplicado",IF(OR(B1594&lt;DATE(Configuración!$C$5,1,1),B1594&gt;=DATE(Configuración!$C$5+1,1,1)),"Fecha fuera del año",IF(OR(G1594&lt;0,H1594&lt;0),"Revisar signo",IF(AND(C1594&lt;&gt;"Servicio",H1594&lt;&gt;0),"IVA solo en Servicio",IF(AND(C1594="Servicio",F1594=""),"Falta servicio","OK")))))))))</f>
        <v/>
      </c>
    </row>
    <row r="1595" spans="1:12" ht="22" customHeight="1">
      <c r="A1595" s="3"/>
      <c r="B1595" s="7"/>
      <c r="C1595" s="3"/>
      <c r="D1595" s="3"/>
      <c r="E1595" s="3"/>
      <c r="F1595" s="3"/>
      <c r="G1595" s="4"/>
      <c r="H1595" s="4"/>
      <c r="I1595" s="3"/>
      <c r="J1595" s="3"/>
      <c r="K1595" s="8" t="str">
        <f t="shared" si="24"/>
        <v/>
      </c>
      <c r="L1595" s="1" t="str">
        <f>IF(COUNTA(A1595:J1595)=0,"",IF(OR(AND(C1595&lt;&gt;"Servicio",C1595&lt;&gt;"Cobro",C1595&lt;&gt;"Anticipo",C1595&lt;&gt;"Aplicación anticipo",C1595&lt;&gt;"Retención ISR",C1595&lt;&gt;"Retención IVA"),AND(C1595="Servicio",F1595&lt;&gt;"TMS",F1595&lt;&gt;"Valoración",F1595&lt;&gt;"EEG",F1595&lt;&gt;"Neurofeedback",F1595&lt;&gt;"Fotobiomodulación",F1595&lt;&gt;"Psicoterapia",F1595&lt;&gt;"Otros")),"Tipo o categoría inválido",IF(COUNTA(A1595:J1595)=0,"",IF(OR(A1595="",B1595="",C1595="",G1595=""),"Faltan datos",IF(COUNTIF($A$7:$A$2006,A1595)&gt;1,"ID duplicado",IF(OR(B1595&lt;DATE(Configuración!$C$5,1,1),B1595&gt;=DATE(Configuración!$C$5+1,1,1)),"Fecha fuera del año",IF(OR(G1595&lt;0,H1595&lt;0),"Revisar signo",IF(AND(C1595&lt;&gt;"Servicio",H1595&lt;&gt;0),"IVA solo en Servicio",IF(AND(C1595="Servicio",F1595=""),"Falta servicio","OK")))))))))</f>
        <v/>
      </c>
    </row>
    <row r="1596" spans="1:12" ht="22" customHeight="1">
      <c r="A1596" s="3"/>
      <c r="B1596" s="7"/>
      <c r="C1596" s="3"/>
      <c r="D1596" s="3"/>
      <c r="E1596" s="3"/>
      <c r="F1596" s="3"/>
      <c r="G1596" s="4"/>
      <c r="H1596" s="4"/>
      <c r="I1596" s="3"/>
      <c r="J1596" s="3"/>
      <c r="K1596" s="8" t="str">
        <f t="shared" si="24"/>
        <v/>
      </c>
      <c r="L1596" s="1" t="str">
        <f>IF(COUNTA(A1596:J1596)=0,"",IF(OR(AND(C1596&lt;&gt;"Servicio",C1596&lt;&gt;"Cobro",C1596&lt;&gt;"Anticipo",C1596&lt;&gt;"Aplicación anticipo",C1596&lt;&gt;"Retención ISR",C1596&lt;&gt;"Retención IVA"),AND(C1596="Servicio",F1596&lt;&gt;"TMS",F1596&lt;&gt;"Valoración",F1596&lt;&gt;"EEG",F1596&lt;&gt;"Neurofeedback",F1596&lt;&gt;"Fotobiomodulación",F1596&lt;&gt;"Psicoterapia",F1596&lt;&gt;"Otros")),"Tipo o categoría inválido",IF(COUNTA(A1596:J1596)=0,"",IF(OR(A1596="",B1596="",C1596="",G1596=""),"Faltan datos",IF(COUNTIF($A$7:$A$2006,A1596)&gt;1,"ID duplicado",IF(OR(B1596&lt;DATE(Configuración!$C$5,1,1),B1596&gt;=DATE(Configuración!$C$5+1,1,1)),"Fecha fuera del año",IF(OR(G1596&lt;0,H1596&lt;0),"Revisar signo",IF(AND(C1596&lt;&gt;"Servicio",H1596&lt;&gt;0),"IVA solo en Servicio",IF(AND(C1596="Servicio",F1596=""),"Falta servicio","OK")))))))))</f>
        <v/>
      </c>
    </row>
    <row r="1597" spans="1:12" ht="22" customHeight="1">
      <c r="A1597" s="3"/>
      <c r="B1597" s="7"/>
      <c r="C1597" s="3"/>
      <c r="D1597" s="3"/>
      <c r="E1597" s="3"/>
      <c r="F1597" s="3"/>
      <c r="G1597" s="4"/>
      <c r="H1597" s="4"/>
      <c r="I1597" s="3"/>
      <c r="J1597" s="3"/>
      <c r="K1597" s="8" t="str">
        <f t="shared" si="24"/>
        <v/>
      </c>
      <c r="L1597" s="1" t="str">
        <f>IF(COUNTA(A1597:J1597)=0,"",IF(OR(AND(C1597&lt;&gt;"Servicio",C1597&lt;&gt;"Cobro",C1597&lt;&gt;"Anticipo",C1597&lt;&gt;"Aplicación anticipo",C1597&lt;&gt;"Retención ISR",C1597&lt;&gt;"Retención IVA"),AND(C1597="Servicio",F1597&lt;&gt;"TMS",F1597&lt;&gt;"Valoración",F1597&lt;&gt;"EEG",F1597&lt;&gt;"Neurofeedback",F1597&lt;&gt;"Fotobiomodulación",F1597&lt;&gt;"Psicoterapia",F1597&lt;&gt;"Otros")),"Tipo o categoría inválido",IF(COUNTA(A1597:J1597)=0,"",IF(OR(A1597="",B1597="",C1597="",G1597=""),"Faltan datos",IF(COUNTIF($A$7:$A$2006,A1597)&gt;1,"ID duplicado",IF(OR(B1597&lt;DATE(Configuración!$C$5,1,1),B1597&gt;=DATE(Configuración!$C$5+1,1,1)),"Fecha fuera del año",IF(OR(G1597&lt;0,H1597&lt;0),"Revisar signo",IF(AND(C1597&lt;&gt;"Servicio",H1597&lt;&gt;0),"IVA solo en Servicio",IF(AND(C1597="Servicio",F1597=""),"Falta servicio","OK")))))))))</f>
        <v/>
      </c>
    </row>
    <row r="1598" spans="1:12" ht="22" customHeight="1">
      <c r="A1598" s="3"/>
      <c r="B1598" s="7"/>
      <c r="C1598" s="3"/>
      <c r="D1598" s="3"/>
      <c r="E1598" s="3"/>
      <c r="F1598" s="3"/>
      <c r="G1598" s="4"/>
      <c r="H1598" s="4"/>
      <c r="I1598" s="3"/>
      <c r="J1598" s="3"/>
      <c r="K1598" s="8" t="str">
        <f t="shared" si="24"/>
        <v/>
      </c>
      <c r="L1598" s="1" t="str">
        <f>IF(COUNTA(A1598:J1598)=0,"",IF(OR(AND(C1598&lt;&gt;"Servicio",C1598&lt;&gt;"Cobro",C1598&lt;&gt;"Anticipo",C1598&lt;&gt;"Aplicación anticipo",C1598&lt;&gt;"Retención ISR",C1598&lt;&gt;"Retención IVA"),AND(C1598="Servicio",F1598&lt;&gt;"TMS",F1598&lt;&gt;"Valoración",F1598&lt;&gt;"EEG",F1598&lt;&gt;"Neurofeedback",F1598&lt;&gt;"Fotobiomodulación",F1598&lt;&gt;"Psicoterapia",F1598&lt;&gt;"Otros")),"Tipo o categoría inválido",IF(COUNTA(A1598:J1598)=0,"",IF(OR(A1598="",B1598="",C1598="",G1598=""),"Faltan datos",IF(COUNTIF($A$7:$A$2006,A1598)&gt;1,"ID duplicado",IF(OR(B1598&lt;DATE(Configuración!$C$5,1,1),B1598&gt;=DATE(Configuración!$C$5+1,1,1)),"Fecha fuera del año",IF(OR(G1598&lt;0,H1598&lt;0),"Revisar signo",IF(AND(C1598&lt;&gt;"Servicio",H1598&lt;&gt;0),"IVA solo en Servicio",IF(AND(C1598="Servicio",F1598=""),"Falta servicio","OK")))))))))</f>
        <v/>
      </c>
    </row>
    <row r="1599" spans="1:12" ht="22" customHeight="1">
      <c r="A1599" s="3"/>
      <c r="B1599" s="7"/>
      <c r="C1599" s="3"/>
      <c r="D1599" s="3"/>
      <c r="E1599" s="3"/>
      <c r="F1599" s="3"/>
      <c r="G1599" s="4"/>
      <c r="H1599" s="4"/>
      <c r="I1599" s="3"/>
      <c r="J1599" s="3"/>
      <c r="K1599" s="8" t="str">
        <f t="shared" si="24"/>
        <v/>
      </c>
      <c r="L1599" s="1" t="str">
        <f>IF(COUNTA(A1599:J1599)=0,"",IF(OR(AND(C1599&lt;&gt;"Servicio",C1599&lt;&gt;"Cobro",C1599&lt;&gt;"Anticipo",C1599&lt;&gt;"Aplicación anticipo",C1599&lt;&gt;"Retención ISR",C1599&lt;&gt;"Retención IVA"),AND(C1599="Servicio",F1599&lt;&gt;"TMS",F1599&lt;&gt;"Valoración",F1599&lt;&gt;"EEG",F1599&lt;&gt;"Neurofeedback",F1599&lt;&gt;"Fotobiomodulación",F1599&lt;&gt;"Psicoterapia",F1599&lt;&gt;"Otros")),"Tipo o categoría inválido",IF(COUNTA(A1599:J1599)=0,"",IF(OR(A1599="",B1599="",C1599="",G1599=""),"Faltan datos",IF(COUNTIF($A$7:$A$2006,A1599)&gt;1,"ID duplicado",IF(OR(B1599&lt;DATE(Configuración!$C$5,1,1),B1599&gt;=DATE(Configuración!$C$5+1,1,1)),"Fecha fuera del año",IF(OR(G1599&lt;0,H1599&lt;0),"Revisar signo",IF(AND(C1599&lt;&gt;"Servicio",H1599&lt;&gt;0),"IVA solo en Servicio",IF(AND(C1599="Servicio",F1599=""),"Falta servicio","OK")))))))))</f>
        <v/>
      </c>
    </row>
    <row r="1600" spans="1:12" ht="22" customHeight="1">
      <c r="A1600" s="3"/>
      <c r="B1600" s="7"/>
      <c r="C1600" s="3"/>
      <c r="D1600" s="3"/>
      <c r="E1600" s="3"/>
      <c r="F1600" s="3"/>
      <c r="G1600" s="4"/>
      <c r="H1600" s="4"/>
      <c r="I1600" s="3"/>
      <c r="J1600" s="3"/>
      <c r="K1600" s="8" t="str">
        <f t="shared" si="24"/>
        <v/>
      </c>
      <c r="L1600" s="1" t="str">
        <f>IF(COUNTA(A1600:J1600)=0,"",IF(OR(AND(C1600&lt;&gt;"Servicio",C1600&lt;&gt;"Cobro",C1600&lt;&gt;"Anticipo",C1600&lt;&gt;"Aplicación anticipo",C1600&lt;&gt;"Retención ISR",C1600&lt;&gt;"Retención IVA"),AND(C1600="Servicio",F1600&lt;&gt;"TMS",F1600&lt;&gt;"Valoración",F1600&lt;&gt;"EEG",F1600&lt;&gt;"Neurofeedback",F1600&lt;&gt;"Fotobiomodulación",F1600&lt;&gt;"Psicoterapia",F1600&lt;&gt;"Otros")),"Tipo o categoría inválido",IF(COUNTA(A1600:J1600)=0,"",IF(OR(A1600="",B1600="",C1600="",G1600=""),"Faltan datos",IF(COUNTIF($A$7:$A$2006,A1600)&gt;1,"ID duplicado",IF(OR(B1600&lt;DATE(Configuración!$C$5,1,1),B1600&gt;=DATE(Configuración!$C$5+1,1,1)),"Fecha fuera del año",IF(OR(G1600&lt;0,H1600&lt;0),"Revisar signo",IF(AND(C1600&lt;&gt;"Servicio",H1600&lt;&gt;0),"IVA solo en Servicio",IF(AND(C1600="Servicio",F1600=""),"Falta servicio","OK")))))))))</f>
        <v/>
      </c>
    </row>
    <row r="1601" spans="1:12" ht="22" customHeight="1">
      <c r="A1601" s="3"/>
      <c r="B1601" s="7"/>
      <c r="C1601" s="3"/>
      <c r="D1601" s="3"/>
      <c r="E1601" s="3"/>
      <c r="F1601" s="3"/>
      <c r="G1601" s="4"/>
      <c r="H1601" s="4"/>
      <c r="I1601" s="3"/>
      <c r="J1601" s="3"/>
      <c r="K1601" s="8" t="str">
        <f t="shared" si="24"/>
        <v/>
      </c>
      <c r="L1601" s="1" t="str">
        <f>IF(COUNTA(A1601:J1601)=0,"",IF(OR(AND(C1601&lt;&gt;"Servicio",C1601&lt;&gt;"Cobro",C1601&lt;&gt;"Anticipo",C1601&lt;&gt;"Aplicación anticipo",C1601&lt;&gt;"Retención ISR",C1601&lt;&gt;"Retención IVA"),AND(C1601="Servicio",F1601&lt;&gt;"TMS",F1601&lt;&gt;"Valoración",F1601&lt;&gt;"EEG",F1601&lt;&gt;"Neurofeedback",F1601&lt;&gt;"Fotobiomodulación",F1601&lt;&gt;"Psicoterapia",F1601&lt;&gt;"Otros")),"Tipo o categoría inválido",IF(COUNTA(A1601:J1601)=0,"",IF(OR(A1601="",B1601="",C1601="",G1601=""),"Faltan datos",IF(COUNTIF($A$7:$A$2006,A1601)&gt;1,"ID duplicado",IF(OR(B1601&lt;DATE(Configuración!$C$5,1,1),B1601&gt;=DATE(Configuración!$C$5+1,1,1)),"Fecha fuera del año",IF(OR(G1601&lt;0,H1601&lt;0),"Revisar signo",IF(AND(C1601&lt;&gt;"Servicio",H1601&lt;&gt;0),"IVA solo en Servicio",IF(AND(C1601="Servicio",F1601=""),"Falta servicio","OK")))))))))</f>
        <v/>
      </c>
    </row>
    <row r="1602" spans="1:12" ht="22" customHeight="1">
      <c r="A1602" s="3"/>
      <c r="B1602" s="7"/>
      <c r="C1602" s="3"/>
      <c r="D1602" s="3"/>
      <c r="E1602" s="3"/>
      <c r="F1602" s="3"/>
      <c r="G1602" s="4"/>
      <c r="H1602" s="4"/>
      <c r="I1602" s="3"/>
      <c r="J1602" s="3"/>
      <c r="K1602" s="8" t="str">
        <f t="shared" si="24"/>
        <v/>
      </c>
      <c r="L1602" s="1" t="str">
        <f>IF(COUNTA(A1602:J1602)=0,"",IF(OR(AND(C1602&lt;&gt;"Servicio",C1602&lt;&gt;"Cobro",C1602&lt;&gt;"Anticipo",C1602&lt;&gt;"Aplicación anticipo",C1602&lt;&gt;"Retención ISR",C1602&lt;&gt;"Retención IVA"),AND(C1602="Servicio",F1602&lt;&gt;"TMS",F1602&lt;&gt;"Valoración",F1602&lt;&gt;"EEG",F1602&lt;&gt;"Neurofeedback",F1602&lt;&gt;"Fotobiomodulación",F1602&lt;&gt;"Psicoterapia",F1602&lt;&gt;"Otros")),"Tipo o categoría inválido",IF(COUNTA(A1602:J1602)=0,"",IF(OR(A1602="",B1602="",C1602="",G1602=""),"Faltan datos",IF(COUNTIF($A$7:$A$2006,A1602)&gt;1,"ID duplicado",IF(OR(B1602&lt;DATE(Configuración!$C$5,1,1),B1602&gt;=DATE(Configuración!$C$5+1,1,1)),"Fecha fuera del año",IF(OR(G1602&lt;0,H1602&lt;0),"Revisar signo",IF(AND(C1602&lt;&gt;"Servicio",H1602&lt;&gt;0),"IVA solo en Servicio",IF(AND(C1602="Servicio",F1602=""),"Falta servicio","OK")))))))))</f>
        <v/>
      </c>
    </row>
    <row r="1603" spans="1:12" ht="22" customHeight="1">
      <c r="A1603" s="3"/>
      <c r="B1603" s="7"/>
      <c r="C1603" s="3"/>
      <c r="D1603" s="3"/>
      <c r="E1603" s="3"/>
      <c r="F1603" s="3"/>
      <c r="G1603" s="4"/>
      <c r="H1603" s="4"/>
      <c r="I1603" s="3"/>
      <c r="J1603" s="3"/>
      <c r="K1603" s="8" t="str">
        <f t="shared" si="24"/>
        <v/>
      </c>
      <c r="L1603" s="1" t="str">
        <f>IF(COUNTA(A1603:J1603)=0,"",IF(OR(AND(C1603&lt;&gt;"Servicio",C1603&lt;&gt;"Cobro",C1603&lt;&gt;"Anticipo",C1603&lt;&gt;"Aplicación anticipo",C1603&lt;&gt;"Retención ISR",C1603&lt;&gt;"Retención IVA"),AND(C1603="Servicio",F1603&lt;&gt;"TMS",F1603&lt;&gt;"Valoración",F1603&lt;&gt;"EEG",F1603&lt;&gt;"Neurofeedback",F1603&lt;&gt;"Fotobiomodulación",F1603&lt;&gt;"Psicoterapia",F1603&lt;&gt;"Otros")),"Tipo o categoría inválido",IF(COUNTA(A1603:J1603)=0,"",IF(OR(A1603="",B1603="",C1603="",G1603=""),"Faltan datos",IF(COUNTIF($A$7:$A$2006,A1603)&gt;1,"ID duplicado",IF(OR(B1603&lt;DATE(Configuración!$C$5,1,1),B1603&gt;=DATE(Configuración!$C$5+1,1,1)),"Fecha fuera del año",IF(OR(G1603&lt;0,H1603&lt;0),"Revisar signo",IF(AND(C1603&lt;&gt;"Servicio",H1603&lt;&gt;0),"IVA solo en Servicio",IF(AND(C1603="Servicio",F1603=""),"Falta servicio","OK")))))))))</f>
        <v/>
      </c>
    </row>
    <row r="1604" spans="1:12" ht="22" customHeight="1">
      <c r="A1604" s="3"/>
      <c r="B1604" s="7"/>
      <c r="C1604" s="3"/>
      <c r="D1604" s="3"/>
      <c r="E1604" s="3"/>
      <c r="F1604" s="3"/>
      <c r="G1604" s="4"/>
      <c r="H1604" s="4"/>
      <c r="I1604" s="3"/>
      <c r="J1604" s="3"/>
      <c r="K1604" s="8" t="str">
        <f t="shared" si="24"/>
        <v/>
      </c>
      <c r="L1604" s="1" t="str">
        <f>IF(COUNTA(A1604:J1604)=0,"",IF(OR(AND(C1604&lt;&gt;"Servicio",C1604&lt;&gt;"Cobro",C1604&lt;&gt;"Anticipo",C1604&lt;&gt;"Aplicación anticipo",C1604&lt;&gt;"Retención ISR",C1604&lt;&gt;"Retención IVA"),AND(C1604="Servicio",F1604&lt;&gt;"TMS",F1604&lt;&gt;"Valoración",F1604&lt;&gt;"EEG",F1604&lt;&gt;"Neurofeedback",F1604&lt;&gt;"Fotobiomodulación",F1604&lt;&gt;"Psicoterapia",F1604&lt;&gt;"Otros")),"Tipo o categoría inválido",IF(COUNTA(A1604:J1604)=0,"",IF(OR(A1604="",B1604="",C1604="",G1604=""),"Faltan datos",IF(COUNTIF($A$7:$A$2006,A1604)&gt;1,"ID duplicado",IF(OR(B1604&lt;DATE(Configuración!$C$5,1,1),B1604&gt;=DATE(Configuración!$C$5+1,1,1)),"Fecha fuera del año",IF(OR(G1604&lt;0,H1604&lt;0),"Revisar signo",IF(AND(C1604&lt;&gt;"Servicio",H1604&lt;&gt;0),"IVA solo en Servicio",IF(AND(C1604="Servicio",F1604=""),"Falta servicio","OK")))))))))</f>
        <v/>
      </c>
    </row>
    <row r="1605" spans="1:12" ht="22" customHeight="1">
      <c r="A1605" s="3"/>
      <c r="B1605" s="7"/>
      <c r="C1605" s="3"/>
      <c r="D1605" s="3"/>
      <c r="E1605" s="3"/>
      <c r="F1605" s="3"/>
      <c r="G1605" s="4"/>
      <c r="H1605" s="4"/>
      <c r="I1605" s="3"/>
      <c r="J1605" s="3"/>
      <c r="K1605" s="8" t="str">
        <f t="shared" si="24"/>
        <v/>
      </c>
      <c r="L1605" s="1" t="str">
        <f>IF(COUNTA(A1605:J1605)=0,"",IF(OR(AND(C1605&lt;&gt;"Servicio",C1605&lt;&gt;"Cobro",C1605&lt;&gt;"Anticipo",C1605&lt;&gt;"Aplicación anticipo",C1605&lt;&gt;"Retención ISR",C1605&lt;&gt;"Retención IVA"),AND(C1605="Servicio",F1605&lt;&gt;"TMS",F1605&lt;&gt;"Valoración",F1605&lt;&gt;"EEG",F1605&lt;&gt;"Neurofeedback",F1605&lt;&gt;"Fotobiomodulación",F1605&lt;&gt;"Psicoterapia",F1605&lt;&gt;"Otros")),"Tipo o categoría inválido",IF(COUNTA(A1605:J1605)=0,"",IF(OR(A1605="",B1605="",C1605="",G1605=""),"Faltan datos",IF(COUNTIF($A$7:$A$2006,A1605)&gt;1,"ID duplicado",IF(OR(B1605&lt;DATE(Configuración!$C$5,1,1),B1605&gt;=DATE(Configuración!$C$5+1,1,1)),"Fecha fuera del año",IF(OR(G1605&lt;0,H1605&lt;0),"Revisar signo",IF(AND(C1605&lt;&gt;"Servicio",H1605&lt;&gt;0),"IVA solo en Servicio",IF(AND(C1605="Servicio",F1605=""),"Falta servicio","OK")))))))))</f>
        <v/>
      </c>
    </row>
    <row r="1606" spans="1:12" ht="22" customHeight="1">
      <c r="A1606" s="3"/>
      <c r="B1606" s="7"/>
      <c r="C1606" s="3"/>
      <c r="D1606" s="3"/>
      <c r="E1606" s="3"/>
      <c r="F1606" s="3"/>
      <c r="G1606" s="4"/>
      <c r="H1606" s="4"/>
      <c r="I1606" s="3"/>
      <c r="J1606" s="3"/>
      <c r="K1606" s="8" t="str">
        <f t="shared" si="24"/>
        <v/>
      </c>
      <c r="L1606" s="1" t="str">
        <f>IF(COUNTA(A1606:J1606)=0,"",IF(OR(AND(C1606&lt;&gt;"Servicio",C1606&lt;&gt;"Cobro",C1606&lt;&gt;"Anticipo",C1606&lt;&gt;"Aplicación anticipo",C1606&lt;&gt;"Retención ISR",C1606&lt;&gt;"Retención IVA"),AND(C1606="Servicio",F1606&lt;&gt;"TMS",F1606&lt;&gt;"Valoración",F1606&lt;&gt;"EEG",F1606&lt;&gt;"Neurofeedback",F1606&lt;&gt;"Fotobiomodulación",F1606&lt;&gt;"Psicoterapia",F1606&lt;&gt;"Otros")),"Tipo o categoría inválido",IF(COUNTA(A1606:J1606)=0,"",IF(OR(A1606="",B1606="",C1606="",G1606=""),"Faltan datos",IF(COUNTIF($A$7:$A$2006,A1606)&gt;1,"ID duplicado",IF(OR(B1606&lt;DATE(Configuración!$C$5,1,1),B1606&gt;=DATE(Configuración!$C$5+1,1,1)),"Fecha fuera del año",IF(OR(G1606&lt;0,H1606&lt;0),"Revisar signo",IF(AND(C1606&lt;&gt;"Servicio",H1606&lt;&gt;0),"IVA solo en Servicio",IF(AND(C1606="Servicio",F1606=""),"Falta servicio","OK")))))))))</f>
        <v/>
      </c>
    </row>
    <row r="1607" spans="1:12" ht="22" customHeight="1">
      <c r="A1607" s="3"/>
      <c r="B1607" s="7"/>
      <c r="C1607" s="3"/>
      <c r="D1607" s="3"/>
      <c r="E1607" s="3"/>
      <c r="F1607" s="3"/>
      <c r="G1607" s="4"/>
      <c r="H1607" s="4"/>
      <c r="I1607" s="3"/>
      <c r="J1607" s="3"/>
      <c r="K1607" s="8" t="str">
        <f t="shared" ref="K1607:K1670" si="25">IF(A1607="","",G1607+H1607)</f>
        <v/>
      </c>
      <c r="L1607" s="1" t="str">
        <f>IF(COUNTA(A1607:J1607)=0,"",IF(OR(AND(C1607&lt;&gt;"Servicio",C1607&lt;&gt;"Cobro",C1607&lt;&gt;"Anticipo",C1607&lt;&gt;"Aplicación anticipo",C1607&lt;&gt;"Retención ISR",C1607&lt;&gt;"Retención IVA"),AND(C1607="Servicio",F1607&lt;&gt;"TMS",F1607&lt;&gt;"Valoración",F1607&lt;&gt;"EEG",F1607&lt;&gt;"Neurofeedback",F1607&lt;&gt;"Fotobiomodulación",F1607&lt;&gt;"Psicoterapia",F1607&lt;&gt;"Otros")),"Tipo o categoría inválido",IF(COUNTA(A1607:J1607)=0,"",IF(OR(A1607="",B1607="",C1607="",G1607=""),"Faltan datos",IF(COUNTIF($A$7:$A$2006,A1607)&gt;1,"ID duplicado",IF(OR(B1607&lt;DATE(Configuración!$C$5,1,1),B1607&gt;=DATE(Configuración!$C$5+1,1,1)),"Fecha fuera del año",IF(OR(G1607&lt;0,H1607&lt;0),"Revisar signo",IF(AND(C1607&lt;&gt;"Servicio",H1607&lt;&gt;0),"IVA solo en Servicio",IF(AND(C1607="Servicio",F1607=""),"Falta servicio","OK")))))))))</f>
        <v/>
      </c>
    </row>
    <row r="1608" spans="1:12" ht="22" customHeight="1">
      <c r="A1608" s="3"/>
      <c r="B1608" s="7"/>
      <c r="C1608" s="3"/>
      <c r="D1608" s="3"/>
      <c r="E1608" s="3"/>
      <c r="F1608" s="3"/>
      <c r="G1608" s="4"/>
      <c r="H1608" s="4"/>
      <c r="I1608" s="3"/>
      <c r="J1608" s="3"/>
      <c r="K1608" s="8" t="str">
        <f t="shared" si="25"/>
        <v/>
      </c>
      <c r="L1608" s="1" t="str">
        <f>IF(COUNTA(A1608:J1608)=0,"",IF(OR(AND(C1608&lt;&gt;"Servicio",C1608&lt;&gt;"Cobro",C1608&lt;&gt;"Anticipo",C1608&lt;&gt;"Aplicación anticipo",C1608&lt;&gt;"Retención ISR",C1608&lt;&gt;"Retención IVA"),AND(C1608="Servicio",F1608&lt;&gt;"TMS",F1608&lt;&gt;"Valoración",F1608&lt;&gt;"EEG",F1608&lt;&gt;"Neurofeedback",F1608&lt;&gt;"Fotobiomodulación",F1608&lt;&gt;"Psicoterapia",F1608&lt;&gt;"Otros")),"Tipo o categoría inválido",IF(COUNTA(A1608:J1608)=0,"",IF(OR(A1608="",B1608="",C1608="",G1608=""),"Faltan datos",IF(COUNTIF($A$7:$A$2006,A1608)&gt;1,"ID duplicado",IF(OR(B1608&lt;DATE(Configuración!$C$5,1,1),B1608&gt;=DATE(Configuración!$C$5+1,1,1)),"Fecha fuera del año",IF(OR(G1608&lt;0,H1608&lt;0),"Revisar signo",IF(AND(C1608&lt;&gt;"Servicio",H1608&lt;&gt;0),"IVA solo en Servicio",IF(AND(C1608="Servicio",F1608=""),"Falta servicio","OK")))))))))</f>
        <v/>
      </c>
    </row>
    <row r="1609" spans="1:12" ht="22" customHeight="1">
      <c r="A1609" s="3"/>
      <c r="B1609" s="7"/>
      <c r="C1609" s="3"/>
      <c r="D1609" s="3"/>
      <c r="E1609" s="3"/>
      <c r="F1609" s="3"/>
      <c r="G1609" s="4"/>
      <c r="H1609" s="4"/>
      <c r="I1609" s="3"/>
      <c r="J1609" s="3"/>
      <c r="K1609" s="8" t="str">
        <f t="shared" si="25"/>
        <v/>
      </c>
      <c r="L1609" s="1" t="str">
        <f>IF(COUNTA(A1609:J1609)=0,"",IF(OR(AND(C1609&lt;&gt;"Servicio",C1609&lt;&gt;"Cobro",C1609&lt;&gt;"Anticipo",C1609&lt;&gt;"Aplicación anticipo",C1609&lt;&gt;"Retención ISR",C1609&lt;&gt;"Retención IVA"),AND(C1609="Servicio",F1609&lt;&gt;"TMS",F1609&lt;&gt;"Valoración",F1609&lt;&gt;"EEG",F1609&lt;&gt;"Neurofeedback",F1609&lt;&gt;"Fotobiomodulación",F1609&lt;&gt;"Psicoterapia",F1609&lt;&gt;"Otros")),"Tipo o categoría inválido",IF(COUNTA(A1609:J1609)=0,"",IF(OR(A1609="",B1609="",C1609="",G1609=""),"Faltan datos",IF(COUNTIF($A$7:$A$2006,A1609)&gt;1,"ID duplicado",IF(OR(B1609&lt;DATE(Configuración!$C$5,1,1),B1609&gt;=DATE(Configuración!$C$5+1,1,1)),"Fecha fuera del año",IF(OR(G1609&lt;0,H1609&lt;0),"Revisar signo",IF(AND(C1609&lt;&gt;"Servicio",H1609&lt;&gt;0),"IVA solo en Servicio",IF(AND(C1609="Servicio",F1609=""),"Falta servicio","OK")))))))))</f>
        <v/>
      </c>
    </row>
    <row r="1610" spans="1:12" ht="22" customHeight="1">
      <c r="A1610" s="3"/>
      <c r="B1610" s="7"/>
      <c r="C1610" s="3"/>
      <c r="D1610" s="3"/>
      <c r="E1610" s="3"/>
      <c r="F1610" s="3"/>
      <c r="G1610" s="4"/>
      <c r="H1610" s="4"/>
      <c r="I1610" s="3"/>
      <c r="J1610" s="3"/>
      <c r="K1610" s="8" t="str">
        <f t="shared" si="25"/>
        <v/>
      </c>
      <c r="L1610" s="1" t="str">
        <f>IF(COUNTA(A1610:J1610)=0,"",IF(OR(AND(C1610&lt;&gt;"Servicio",C1610&lt;&gt;"Cobro",C1610&lt;&gt;"Anticipo",C1610&lt;&gt;"Aplicación anticipo",C1610&lt;&gt;"Retención ISR",C1610&lt;&gt;"Retención IVA"),AND(C1610="Servicio",F1610&lt;&gt;"TMS",F1610&lt;&gt;"Valoración",F1610&lt;&gt;"EEG",F1610&lt;&gt;"Neurofeedback",F1610&lt;&gt;"Fotobiomodulación",F1610&lt;&gt;"Psicoterapia",F1610&lt;&gt;"Otros")),"Tipo o categoría inválido",IF(COUNTA(A1610:J1610)=0,"",IF(OR(A1610="",B1610="",C1610="",G1610=""),"Faltan datos",IF(COUNTIF($A$7:$A$2006,A1610)&gt;1,"ID duplicado",IF(OR(B1610&lt;DATE(Configuración!$C$5,1,1),B1610&gt;=DATE(Configuración!$C$5+1,1,1)),"Fecha fuera del año",IF(OR(G1610&lt;0,H1610&lt;0),"Revisar signo",IF(AND(C1610&lt;&gt;"Servicio",H1610&lt;&gt;0),"IVA solo en Servicio",IF(AND(C1610="Servicio",F1610=""),"Falta servicio","OK")))))))))</f>
        <v/>
      </c>
    </row>
    <row r="1611" spans="1:12" ht="22" customHeight="1">
      <c r="A1611" s="3"/>
      <c r="B1611" s="7"/>
      <c r="C1611" s="3"/>
      <c r="D1611" s="3"/>
      <c r="E1611" s="3"/>
      <c r="F1611" s="3"/>
      <c r="G1611" s="4"/>
      <c r="H1611" s="4"/>
      <c r="I1611" s="3"/>
      <c r="J1611" s="3"/>
      <c r="K1611" s="8" t="str">
        <f t="shared" si="25"/>
        <v/>
      </c>
      <c r="L1611" s="1" t="str">
        <f>IF(COUNTA(A1611:J1611)=0,"",IF(OR(AND(C1611&lt;&gt;"Servicio",C1611&lt;&gt;"Cobro",C1611&lt;&gt;"Anticipo",C1611&lt;&gt;"Aplicación anticipo",C1611&lt;&gt;"Retención ISR",C1611&lt;&gt;"Retención IVA"),AND(C1611="Servicio",F1611&lt;&gt;"TMS",F1611&lt;&gt;"Valoración",F1611&lt;&gt;"EEG",F1611&lt;&gt;"Neurofeedback",F1611&lt;&gt;"Fotobiomodulación",F1611&lt;&gt;"Psicoterapia",F1611&lt;&gt;"Otros")),"Tipo o categoría inválido",IF(COUNTA(A1611:J1611)=0,"",IF(OR(A1611="",B1611="",C1611="",G1611=""),"Faltan datos",IF(COUNTIF($A$7:$A$2006,A1611)&gt;1,"ID duplicado",IF(OR(B1611&lt;DATE(Configuración!$C$5,1,1),B1611&gt;=DATE(Configuración!$C$5+1,1,1)),"Fecha fuera del año",IF(OR(G1611&lt;0,H1611&lt;0),"Revisar signo",IF(AND(C1611&lt;&gt;"Servicio",H1611&lt;&gt;0),"IVA solo en Servicio",IF(AND(C1611="Servicio",F1611=""),"Falta servicio","OK")))))))))</f>
        <v/>
      </c>
    </row>
    <row r="1612" spans="1:12" ht="22" customHeight="1">
      <c r="A1612" s="3"/>
      <c r="B1612" s="7"/>
      <c r="C1612" s="3"/>
      <c r="D1612" s="3"/>
      <c r="E1612" s="3"/>
      <c r="F1612" s="3"/>
      <c r="G1612" s="4"/>
      <c r="H1612" s="4"/>
      <c r="I1612" s="3"/>
      <c r="J1612" s="3"/>
      <c r="K1612" s="8" t="str">
        <f t="shared" si="25"/>
        <v/>
      </c>
      <c r="L1612" s="1" t="str">
        <f>IF(COUNTA(A1612:J1612)=0,"",IF(OR(AND(C1612&lt;&gt;"Servicio",C1612&lt;&gt;"Cobro",C1612&lt;&gt;"Anticipo",C1612&lt;&gt;"Aplicación anticipo",C1612&lt;&gt;"Retención ISR",C1612&lt;&gt;"Retención IVA"),AND(C1612="Servicio",F1612&lt;&gt;"TMS",F1612&lt;&gt;"Valoración",F1612&lt;&gt;"EEG",F1612&lt;&gt;"Neurofeedback",F1612&lt;&gt;"Fotobiomodulación",F1612&lt;&gt;"Psicoterapia",F1612&lt;&gt;"Otros")),"Tipo o categoría inválido",IF(COUNTA(A1612:J1612)=0,"",IF(OR(A1612="",B1612="",C1612="",G1612=""),"Faltan datos",IF(COUNTIF($A$7:$A$2006,A1612)&gt;1,"ID duplicado",IF(OR(B1612&lt;DATE(Configuración!$C$5,1,1),B1612&gt;=DATE(Configuración!$C$5+1,1,1)),"Fecha fuera del año",IF(OR(G1612&lt;0,H1612&lt;0),"Revisar signo",IF(AND(C1612&lt;&gt;"Servicio",H1612&lt;&gt;0),"IVA solo en Servicio",IF(AND(C1612="Servicio",F1612=""),"Falta servicio","OK")))))))))</f>
        <v/>
      </c>
    </row>
    <row r="1613" spans="1:12" ht="22" customHeight="1">
      <c r="A1613" s="3"/>
      <c r="B1613" s="7"/>
      <c r="C1613" s="3"/>
      <c r="D1613" s="3"/>
      <c r="E1613" s="3"/>
      <c r="F1613" s="3"/>
      <c r="G1613" s="4"/>
      <c r="H1613" s="4"/>
      <c r="I1613" s="3"/>
      <c r="J1613" s="3"/>
      <c r="K1613" s="8" t="str">
        <f t="shared" si="25"/>
        <v/>
      </c>
      <c r="L1613" s="1" t="str">
        <f>IF(COUNTA(A1613:J1613)=0,"",IF(OR(AND(C1613&lt;&gt;"Servicio",C1613&lt;&gt;"Cobro",C1613&lt;&gt;"Anticipo",C1613&lt;&gt;"Aplicación anticipo",C1613&lt;&gt;"Retención ISR",C1613&lt;&gt;"Retención IVA"),AND(C1613="Servicio",F1613&lt;&gt;"TMS",F1613&lt;&gt;"Valoración",F1613&lt;&gt;"EEG",F1613&lt;&gt;"Neurofeedback",F1613&lt;&gt;"Fotobiomodulación",F1613&lt;&gt;"Psicoterapia",F1613&lt;&gt;"Otros")),"Tipo o categoría inválido",IF(COUNTA(A1613:J1613)=0,"",IF(OR(A1613="",B1613="",C1613="",G1613=""),"Faltan datos",IF(COUNTIF($A$7:$A$2006,A1613)&gt;1,"ID duplicado",IF(OR(B1613&lt;DATE(Configuración!$C$5,1,1),B1613&gt;=DATE(Configuración!$C$5+1,1,1)),"Fecha fuera del año",IF(OR(G1613&lt;0,H1613&lt;0),"Revisar signo",IF(AND(C1613&lt;&gt;"Servicio",H1613&lt;&gt;0),"IVA solo en Servicio",IF(AND(C1613="Servicio",F1613=""),"Falta servicio","OK")))))))))</f>
        <v/>
      </c>
    </row>
    <row r="1614" spans="1:12" ht="22" customHeight="1">
      <c r="A1614" s="3"/>
      <c r="B1614" s="7"/>
      <c r="C1614" s="3"/>
      <c r="D1614" s="3"/>
      <c r="E1614" s="3"/>
      <c r="F1614" s="3"/>
      <c r="G1614" s="4"/>
      <c r="H1614" s="4"/>
      <c r="I1614" s="3"/>
      <c r="J1614" s="3"/>
      <c r="K1614" s="8" t="str">
        <f t="shared" si="25"/>
        <v/>
      </c>
      <c r="L1614" s="1" t="str">
        <f>IF(COUNTA(A1614:J1614)=0,"",IF(OR(AND(C1614&lt;&gt;"Servicio",C1614&lt;&gt;"Cobro",C1614&lt;&gt;"Anticipo",C1614&lt;&gt;"Aplicación anticipo",C1614&lt;&gt;"Retención ISR",C1614&lt;&gt;"Retención IVA"),AND(C1614="Servicio",F1614&lt;&gt;"TMS",F1614&lt;&gt;"Valoración",F1614&lt;&gt;"EEG",F1614&lt;&gt;"Neurofeedback",F1614&lt;&gt;"Fotobiomodulación",F1614&lt;&gt;"Psicoterapia",F1614&lt;&gt;"Otros")),"Tipo o categoría inválido",IF(COUNTA(A1614:J1614)=0,"",IF(OR(A1614="",B1614="",C1614="",G1614=""),"Faltan datos",IF(COUNTIF($A$7:$A$2006,A1614)&gt;1,"ID duplicado",IF(OR(B1614&lt;DATE(Configuración!$C$5,1,1),B1614&gt;=DATE(Configuración!$C$5+1,1,1)),"Fecha fuera del año",IF(OR(G1614&lt;0,H1614&lt;0),"Revisar signo",IF(AND(C1614&lt;&gt;"Servicio",H1614&lt;&gt;0),"IVA solo en Servicio",IF(AND(C1614="Servicio",F1614=""),"Falta servicio","OK")))))))))</f>
        <v/>
      </c>
    </row>
    <row r="1615" spans="1:12" ht="22" customHeight="1">
      <c r="A1615" s="3"/>
      <c r="B1615" s="7"/>
      <c r="C1615" s="3"/>
      <c r="D1615" s="3"/>
      <c r="E1615" s="3"/>
      <c r="F1615" s="3"/>
      <c r="G1615" s="4"/>
      <c r="H1615" s="4"/>
      <c r="I1615" s="3"/>
      <c r="J1615" s="3"/>
      <c r="K1615" s="8" t="str">
        <f t="shared" si="25"/>
        <v/>
      </c>
      <c r="L1615" s="1" t="str">
        <f>IF(COUNTA(A1615:J1615)=0,"",IF(OR(AND(C1615&lt;&gt;"Servicio",C1615&lt;&gt;"Cobro",C1615&lt;&gt;"Anticipo",C1615&lt;&gt;"Aplicación anticipo",C1615&lt;&gt;"Retención ISR",C1615&lt;&gt;"Retención IVA"),AND(C1615="Servicio",F1615&lt;&gt;"TMS",F1615&lt;&gt;"Valoración",F1615&lt;&gt;"EEG",F1615&lt;&gt;"Neurofeedback",F1615&lt;&gt;"Fotobiomodulación",F1615&lt;&gt;"Psicoterapia",F1615&lt;&gt;"Otros")),"Tipo o categoría inválido",IF(COUNTA(A1615:J1615)=0,"",IF(OR(A1615="",B1615="",C1615="",G1615=""),"Faltan datos",IF(COUNTIF($A$7:$A$2006,A1615)&gt;1,"ID duplicado",IF(OR(B1615&lt;DATE(Configuración!$C$5,1,1),B1615&gt;=DATE(Configuración!$C$5+1,1,1)),"Fecha fuera del año",IF(OR(G1615&lt;0,H1615&lt;0),"Revisar signo",IF(AND(C1615&lt;&gt;"Servicio",H1615&lt;&gt;0),"IVA solo en Servicio",IF(AND(C1615="Servicio",F1615=""),"Falta servicio","OK")))))))))</f>
        <v/>
      </c>
    </row>
    <row r="1616" spans="1:12" ht="22" customHeight="1">
      <c r="A1616" s="3"/>
      <c r="B1616" s="7"/>
      <c r="C1616" s="3"/>
      <c r="D1616" s="3"/>
      <c r="E1616" s="3"/>
      <c r="F1616" s="3"/>
      <c r="G1616" s="4"/>
      <c r="H1616" s="4"/>
      <c r="I1616" s="3"/>
      <c r="J1616" s="3"/>
      <c r="K1616" s="8" t="str">
        <f t="shared" si="25"/>
        <v/>
      </c>
      <c r="L1616" s="1" t="str">
        <f>IF(COUNTA(A1616:J1616)=0,"",IF(OR(AND(C1616&lt;&gt;"Servicio",C1616&lt;&gt;"Cobro",C1616&lt;&gt;"Anticipo",C1616&lt;&gt;"Aplicación anticipo",C1616&lt;&gt;"Retención ISR",C1616&lt;&gt;"Retención IVA"),AND(C1616="Servicio",F1616&lt;&gt;"TMS",F1616&lt;&gt;"Valoración",F1616&lt;&gt;"EEG",F1616&lt;&gt;"Neurofeedback",F1616&lt;&gt;"Fotobiomodulación",F1616&lt;&gt;"Psicoterapia",F1616&lt;&gt;"Otros")),"Tipo o categoría inválido",IF(COUNTA(A1616:J1616)=0,"",IF(OR(A1616="",B1616="",C1616="",G1616=""),"Faltan datos",IF(COUNTIF($A$7:$A$2006,A1616)&gt;1,"ID duplicado",IF(OR(B1616&lt;DATE(Configuración!$C$5,1,1),B1616&gt;=DATE(Configuración!$C$5+1,1,1)),"Fecha fuera del año",IF(OR(G1616&lt;0,H1616&lt;0),"Revisar signo",IF(AND(C1616&lt;&gt;"Servicio",H1616&lt;&gt;0),"IVA solo en Servicio",IF(AND(C1616="Servicio",F1616=""),"Falta servicio","OK")))))))))</f>
        <v/>
      </c>
    </row>
    <row r="1617" spans="1:12" ht="22" customHeight="1">
      <c r="A1617" s="3"/>
      <c r="B1617" s="7"/>
      <c r="C1617" s="3"/>
      <c r="D1617" s="3"/>
      <c r="E1617" s="3"/>
      <c r="F1617" s="3"/>
      <c r="G1617" s="4"/>
      <c r="H1617" s="4"/>
      <c r="I1617" s="3"/>
      <c r="J1617" s="3"/>
      <c r="K1617" s="8" t="str">
        <f t="shared" si="25"/>
        <v/>
      </c>
      <c r="L1617" s="1" t="str">
        <f>IF(COUNTA(A1617:J1617)=0,"",IF(OR(AND(C1617&lt;&gt;"Servicio",C1617&lt;&gt;"Cobro",C1617&lt;&gt;"Anticipo",C1617&lt;&gt;"Aplicación anticipo",C1617&lt;&gt;"Retención ISR",C1617&lt;&gt;"Retención IVA"),AND(C1617="Servicio",F1617&lt;&gt;"TMS",F1617&lt;&gt;"Valoración",F1617&lt;&gt;"EEG",F1617&lt;&gt;"Neurofeedback",F1617&lt;&gt;"Fotobiomodulación",F1617&lt;&gt;"Psicoterapia",F1617&lt;&gt;"Otros")),"Tipo o categoría inválido",IF(COUNTA(A1617:J1617)=0,"",IF(OR(A1617="",B1617="",C1617="",G1617=""),"Faltan datos",IF(COUNTIF($A$7:$A$2006,A1617)&gt;1,"ID duplicado",IF(OR(B1617&lt;DATE(Configuración!$C$5,1,1),B1617&gt;=DATE(Configuración!$C$5+1,1,1)),"Fecha fuera del año",IF(OR(G1617&lt;0,H1617&lt;0),"Revisar signo",IF(AND(C1617&lt;&gt;"Servicio",H1617&lt;&gt;0),"IVA solo en Servicio",IF(AND(C1617="Servicio",F1617=""),"Falta servicio","OK")))))))))</f>
        <v/>
      </c>
    </row>
    <row r="1618" spans="1:12" ht="22" customHeight="1">
      <c r="A1618" s="3"/>
      <c r="B1618" s="7"/>
      <c r="C1618" s="3"/>
      <c r="D1618" s="3"/>
      <c r="E1618" s="3"/>
      <c r="F1618" s="3"/>
      <c r="G1618" s="4"/>
      <c r="H1618" s="4"/>
      <c r="I1618" s="3"/>
      <c r="J1618" s="3"/>
      <c r="K1618" s="8" t="str">
        <f t="shared" si="25"/>
        <v/>
      </c>
      <c r="L1618" s="1" t="str">
        <f>IF(COUNTA(A1618:J1618)=0,"",IF(OR(AND(C1618&lt;&gt;"Servicio",C1618&lt;&gt;"Cobro",C1618&lt;&gt;"Anticipo",C1618&lt;&gt;"Aplicación anticipo",C1618&lt;&gt;"Retención ISR",C1618&lt;&gt;"Retención IVA"),AND(C1618="Servicio",F1618&lt;&gt;"TMS",F1618&lt;&gt;"Valoración",F1618&lt;&gt;"EEG",F1618&lt;&gt;"Neurofeedback",F1618&lt;&gt;"Fotobiomodulación",F1618&lt;&gt;"Psicoterapia",F1618&lt;&gt;"Otros")),"Tipo o categoría inválido",IF(COUNTA(A1618:J1618)=0,"",IF(OR(A1618="",B1618="",C1618="",G1618=""),"Faltan datos",IF(COUNTIF($A$7:$A$2006,A1618)&gt;1,"ID duplicado",IF(OR(B1618&lt;DATE(Configuración!$C$5,1,1),B1618&gt;=DATE(Configuración!$C$5+1,1,1)),"Fecha fuera del año",IF(OR(G1618&lt;0,H1618&lt;0),"Revisar signo",IF(AND(C1618&lt;&gt;"Servicio",H1618&lt;&gt;0),"IVA solo en Servicio",IF(AND(C1618="Servicio",F1618=""),"Falta servicio","OK")))))))))</f>
        <v/>
      </c>
    </row>
    <row r="1619" spans="1:12" ht="22" customHeight="1">
      <c r="A1619" s="3"/>
      <c r="B1619" s="7"/>
      <c r="C1619" s="3"/>
      <c r="D1619" s="3"/>
      <c r="E1619" s="3"/>
      <c r="F1619" s="3"/>
      <c r="G1619" s="4"/>
      <c r="H1619" s="4"/>
      <c r="I1619" s="3"/>
      <c r="J1619" s="3"/>
      <c r="K1619" s="8" t="str">
        <f t="shared" si="25"/>
        <v/>
      </c>
      <c r="L1619" s="1" t="str">
        <f>IF(COUNTA(A1619:J1619)=0,"",IF(OR(AND(C1619&lt;&gt;"Servicio",C1619&lt;&gt;"Cobro",C1619&lt;&gt;"Anticipo",C1619&lt;&gt;"Aplicación anticipo",C1619&lt;&gt;"Retención ISR",C1619&lt;&gt;"Retención IVA"),AND(C1619="Servicio",F1619&lt;&gt;"TMS",F1619&lt;&gt;"Valoración",F1619&lt;&gt;"EEG",F1619&lt;&gt;"Neurofeedback",F1619&lt;&gt;"Fotobiomodulación",F1619&lt;&gt;"Psicoterapia",F1619&lt;&gt;"Otros")),"Tipo o categoría inválido",IF(COUNTA(A1619:J1619)=0,"",IF(OR(A1619="",B1619="",C1619="",G1619=""),"Faltan datos",IF(COUNTIF($A$7:$A$2006,A1619)&gt;1,"ID duplicado",IF(OR(B1619&lt;DATE(Configuración!$C$5,1,1),B1619&gt;=DATE(Configuración!$C$5+1,1,1)),"Fecha fuera del año",IF(OR(G1619&lt;0,H1619&lt;0),"Revisar signo",IF(AND(C1619&lt;&gt;"Servicio",H1619&lt;&gt;0),"IVA solo en Servicio",IF(AND(C1619="Servicio",F1619=""),"Falta servicio","OK")))))))))</f>
        <v/>
      </c>
    </row>
    <row r="1620" spans="1:12" ht="22" customHeight="1">
      <c r="A1620" s="3"/>
      <c r="B1620" s="7"/>
      <c r="C1620" s="3"/>
      <c r="D1620" s="3"/>
      <c r="E1620" s="3"/>
      <c r="F1620" s="3"/>
      <c r="G1620" s="4"/>
      <c r="H1620" s="4"/>
      <c r="I1620" s="3"/>
      <c r="J1620" s="3"/>
      <c r="K1620" s="8" t="str">
        <f t="shared" si="25"/>
        <v/>
      </c>
      <c r="L1620" s="1" t="str">
        <f>IF(COUNTA(A1620:J1620)=0,"",IF(OR(AND(C1620&lt;&gt;"Servicio",C1620&lt;&gt;"Cobro",C1620&lt;&gt;"Anticipo",C1620&lt;&gt;"Aplicación anticipo",C1620&lt;&gt;"Retención ISR",C1620&lt;&gt;"Retención IVA"),AND(C1620="Servicio",F1620&lt;&gt;"TMS",F1620&lt;&gt;"Valoración",F1620&lt;&gt;"EEG",F1620&lt;&gt;"Neurofeedback",F1620&lt;&gt;"Fotobiomodulación",F1620&lt;&gt;"Psicoterapia",F1620&lt;&gt;"Otros")),"Tipo o categoría inválido",IF(COUNTA(A1620:J1620)=0,"",IF(OR(A1620="",B1620="",C1620="",G1620=""),"Faltan datos",IF(COUNTIF($A$7:$A$2006,A1620)&gt;1,"ID duplicado",IF(OR(B1620&lt;DATE(Configuración!$C$5,1,1),B1620&gt;=DATE(Configuración!$C$5+1,1,1)),"Fecha fuera del año",IF(OR(G1620&lt;0,H1620&lt;0),"Revisar signo",IF(AND(C1620&lt;&gt;"Servicio",H1620&lt;&gt;0),"IVA solo en Servicio",IF(AND(C1620="Servicio",F1620=""),"Falta servicio","OK")))))))))</f>
        <v/>
      </c>
    </row>
    <row r="1621" spans="1:12" ht="22" customHeight="1">
      <c r="A1621" s="3"/>
      <c r="B1621" s="7"/>
      <c r="C1621" s="3"/>
      <c r="D1621" s="3"/>
      <c r="E1621" s="3"/>
      <c r="F1621" s="3"/>
      <c r="G1621" s="4"/>
      <c r="H1621" s="4"/>
      <c r="I1621" s="3"/>
      <c r="J1621" s="3"/>
      <c r="K1621" s="8" t="str">
        <f t="shared" si="25"/>
        <v/>
      </c>
      <c r="L1621" s="1" t="str">
        <f>IF(COUNTA(A1621:J1621)=0,"",IF(OR(AND(C1621&lt;&gt;"Servicio",C1621&lt;&gt;"Cobro",C1621&lt;&gt;"Anticipo",C1621&lt;&gt;"Aplicación anticipo",C1621&lt;&gt;"Retención ISR",C1621&lt;&gt;"Retención IVA"),AND(C1621="Servicio",F1621&lt;&gt;"TMS",F1621&lt;&gt;"Valoración",F1621&lt;&gt;"EEG",F1621&lt;&gt;"Neurofeedback",F1621&lt;&gt;"Fotobiomodulación",F1621&lt;&gt;"Psicoterapia",F1621&lt;&gt;"Otros")),"Tipo o categoría inválido",IF(COUNTA(A1621:J1621)=0,"",IF(OR(A1621="",B1621="",C1621="",G1621=""),"Faltan datos",IF(COUNTIF($A$7:$A$2006,A1621)&gt;1,"ID duplicado",IF(OR(B1621&lt;DATE(Configuración!$C$5,1,1),B1621&gt;=DATE(Configuración!$C$5+1,1,1)),"Fecha fuera del año",IF(OR(G1621&lt;0,H1621&lt;0),"Revisar signo",IF(AND(C1621&lt;&gt;"Servicio",H1621&lt;&gt;0),"IVA solo en Servicio",IF(AND(C1621="Servicio",F1621=""),"Falta servicio","OK")))))))))</f>
        <v/>
      </c>
    </row>
    <row r="1622" spans="1:12" ht="22" customHeight="1">
      <c r="A1622" s="3"/>
      <c r="B1622" s="7"/>
      <c r="C1622" s="3"/>
      <c r="D1622" s="3"/>
      <c r="E1622" s="3"/>
      <c r="F1622" s="3"/>
      <c r="G1622" s="4"/>
      <c r="H1622" s="4"/>
      <c r="I1622" s="3"/>
      <c r="J1622" s="3"/>
      <c r="K1622" s="8" t="str">
        <f t="shared" si="25"/>
        <v/>
      </c>
      <c r="L1622" s="1" t="str">
        <f>IF(COUNTA(A1622:J1622)=0,"",IF(OR(AND(C1622&lt;&gt;"Servicio",C1622&lt;&gt;"Cobro",C1622&lt;&gt;"Anticipo",C1622&lt;&gt;"Aplicación anticipo",C1622&lt;&gt;"Retención ISR",C1622&lt;&gt;"Retención IVA"),AND(C1622="Servicio",F1622&lt;&gt;"TMS",F1622&lt;&gt;"Valoración",F1622&lt;&gt;"EEG",F1622&lt;&gt;"Neurofeedback",F1622&lt;&gt;"Fotobiomodulación",F1622&lt;&gt;"Psicoterapia",F1622&lt;&gt;"Otros")),"Tipo o categoría inválido",IF(COUNTA(A1622:J1622)=0,"",IF(OR(A1622="",B1622="",C1622="",G1622=""),"Faltan datos",IF(COUNTIF($A$7:$A$2006,A1622)&gt;1,"ID duplicado",IF(OR(B1622&lt;DATE(Configuración!$C$5,1,1),B1622&gt;=DATE(Configuración!$C$5+1,1,1)),"Fecha fuera del año",IF(OR(G1622&lt;0,H1622&lt;0),"Revisar signo",IF(AND(C1622&lt;&gt;"Servicio",H1622&lt;&gt;0),"IVA solo en Servicio",IF(AND(C1622="Servicio",F1622=""),"Falta servicio","OK")))))))))</f>
        <v/>
      </c>
    </row>
    <row r="1623" spans="1:12" ht="22" customHeight="1">
      <c r="A1623" s="3"/>
      <c r="B1623" s="7"/>
      <c r="C1623" s="3"/>
      <c r="D1623" s="3"/>
      <c r="E1623" s="3"/>
      <c r="F1623" s="3"/>
      <c r="G1623" s="4"/>
      <c r="H1623" s="4"/>
      <c r="I1623" s="3"/>
      <c r="J1623" s="3"/>
      <c r="K1623" s="8" t="str">
        <f t="shared" si="25"/>
        <v/>
      </c>
      <c r="L1623" s="1" t="str">
        <f>IF(COUNTA(A1623:J1623)=0,"",IF(OR(AND(C1623&lt;&gt;"Servicio",C1623&lt;&gt;"Cobro",C1623&lt;&gt;"Anticipo",C1623&lt;&gt;"Aplicación anticipo",C1623&lt;&gt;"Retención ISR",C1623&lt;&gt;"Retención IVA"),AND(C1623="Servicio",F1623&lt;&gt;"TMS",F1623&lt;&gt;"Valoración",F1623&lt;&gt;"EEG",F1623&lt;&gt;"Neurofeedback",F1623&lt;&gt;"Fotobiomodulación",F1623&lt;&gt;"Psicoterapia",F1623&lt;&gt;"Otros")),"Tipo o categoría inválido",IF(COUNTA(A1623:J1623)=0,"",IF(OR(A1623="",B1623="",C1623="",G1623=""),"Faltan datos",IF(COUNTIF($A$7:$A$2006,A1623)&gt;1,"ID duplicado",IF(OR(B1623&lt;DATE(Configuración!$C$5,1,1),B1623&gt;=DATE(Configuración!$C$5+1,1,1)),"Fecha fuera del año",IF(OR(G1623&lt;0,H1623&lt;0),"Revisar signo",IF(AND(C1623&lt;&gt;"Servicio",H1623&lt;&gt;0),"IVA solo en Servicio",IF(AND(C1623="Servicio",F1623=""),"Falta servicio","OK")))))))))</f>
        <v/>
      </c>
    </row>
    <row r="1624" spans="1:12" ht="22" customHeight="1">
      <c r="A1624" s="3"/>
      <c r="B1624" s="7"/>
      <c r="C1624" s="3"/>
      <c r="D1624" s="3"/>
      <c r="E1624" s="3"/>
      <c r="F1624" s="3"/>
      <c r="G1624" s="4"/>
      <c r="H1624" s="4"/>
      <c r="I1624" s="3"/>
      <c r="J1624" s="3"/>
      <c r="K1624" s="8" t="str">
        <f t="shared" si="25"/>
        <v/>
      </c>
      <c r="L1624" s="1" t="str">
        <f>IF(COUNTA(A1624:J1624)=0,"",IF(OR(AND(C1624&lt;&gt;"Servicio",C1624&lt;&gt;"Cobro",C1624&lt;&gt;"Anticipo",C1624&lt;&gt;"Aplicación anticipo",C1624&lt;&gt;"Retención ISR",C1624&lt;&gt;"Retención IVA"),AND(C1624="Servicio",F1624&lt;&gt;"TMS",F1624&lt;&gt;"Valoración",F1624&lt;&gt;"EEG",F1624&lt;&gt;"Neurofeedback",F1624&lt;&gt;"Fotobiomodulación",F1624&lt;&gt;"Psicoterapia",F1624&lt;&gt;"Otros")),"Tipo o categoría inválido",IF(COUNTA(A1624:J1624)=0,"",IF(OR(A1624="",B1624="",C1624="",G1624=""),"Faltan datos",IF(COUNTIF($A$7:$A$2006,A1624)&gt;1,"ID duplicado",IF(OR(B1624&lt;DATE(Configuración!$C$5,1,1),B1624&gt;=DATE(Configuración!$C$5+1,1,1)),"Fecha fuera del año",IF(OR(G1624&lt;0,H1624&lt;0),"Revisar signo",IF(AND(C1624&lt;&gt;"Servicio",H1624&lt;&gt;0),"IVA solo en Servicio",IF(AND(C1624="Servicio",F1624=""),"Falta servicio","OK")))))))))</f>
        <v/>
      </c>
    </row>
    <row r="1625" spans="1:12" ht="22" customHeight="1">
      <c r="A1625" s="3"/>
      <c r="B1625" s="7"/>
      <c r="C1625" s="3"/>
      <c r="D1625" s="3"/>
      <c r="E1625" s="3"/>
      <c r="F1625" s="3"/>
      <c r="G1625" s="4"/>
      <c r="H1625" s="4"/>
      <c r="I1625" s="3"/>
      <c r="J1625" s="3"/>
      <c r="K1625" s="8" t="str">
        <f t="shared" si="25"/>
        <v/>
      </c>
      <c r="L1625" s="1" t="str">
        <f>IF(COUNTA(A1625:J1625)=0,"",IF(OR(AND(C1625&lt;&gt;"Servicio",C1625&lt;&gt;"Cobro",C1625&lt;&gt;"Anticipo",C1625&lt;&gt;"Aplicación anticipo",C1625&lt;&gt;"Retención ISR",C1625&lt;&gt;"Retención IVA"),AND(C1625="Servicio",F1625&lt;&gt;"TMS",F1625&lt;&gt;"Valoración",F1625&lt;&gt;"EEG",F1625&lt;&gt;"Neurofeedback",F1625&lt;&gt;"Fotobiomodulación",F1625&lt;&gt;"Psicoterapia",F1625&lt;&gt;"Otros")),"Tipo o categoría inválido",IF(COUNTA(A1625:J1625)=0,"",IF(OR(A1625="",B1625="",C1625="",G1625=""),"Faltan datos",IF(COUNTIF($A$7:$A$2006,A1625)&gt;1,"ID duplicado",IF(OR(B1625&lt;DATE(Configuración!$C$5,1,1),B1625&gt;=DATE(Configuración!$C$5+1,1,1)),"Fecha fuera del año",IF(OR(G1625&lt;0,H1625&lt;0),"Revisar signo",IF(AND(C1625&lt;&gt;"Servicio",H1625&lt;&gt;0),"IVA solo en Servicio",IF(AND(C1625="Servicio",F1625=""),"Falta servicio","OK")))))))))</f>
        <v/>
      </c>
    </row>
    <row r="1626" spans="1:12" ht="22" customHeight="1">
      <c r="A1626" s="3"/>
      <c r="B1626" s="7"/>
      <c r="C1626" s="3"/>
      <c r="D1626" s="3"/>
      <c r="E1626" s="3"/>
      <c r="F1626" s="3"/>
      <c r="G1626" s="4"/>
      <c r="H1626" s="4"/>
      <c r="I1626" s="3"/>
      <c r="J1626" s="3"/>
      <c r="K1626" s="8" t="str">
        <f t="shared" si="25"/>
        <v/>
      </c>
      <c r="L1626" s="1" t="str">
        <f>IF(COUNTA(A1626:J1626)=0,"",IF(OR(AND(C1626&lt;&gt;"Servicio",C1626&lt;&gt;"Cobro",C1626&lt;&gt;"Anticipo",C1626&lt;&gt;"Aplicación anticipo",C1626&lt;&gt;"Retención ISR",C1626&lt;&gt;"Retención IVA"),AND(C1626="Servicio",F1626&lt;&gt;"TMS",F1626&lt;&gt;"Valoración",F1626&lt;&gt;"EEG",F1626&lt;&gt;"Neurofeedback",F1626&lt;&gt;"Fotobiomodulación",F1626&lt;&gt;"Psicoterapia",F1626&lt;&gt;"Otros")),"Tipo o categoría inválido",IF(COUNTA(A1626:J1626)=0,"",IF(OR(A1626="",B1626="",C1626="",G1626=""),"Faltan datos",IF(COUNTIF($A$7:$A$2006,A1626)&gt;1,"ID duplicado",IF(OR(B1626&lt;DATE(Configuración!$C$5,1,1),B1626&gt;=DATE(Configuración!$C$5+1,1,1)),"Fecha fuera del año",IF(OR(G1626&lt;0,H1626&lt;0),"Revisar signo",IF(AND(C1626&lt;&gt;"Servicio",H1626&lt;&gt;0),"IVA solo en Servicio",IF(AND(C1626="Servicio",F1626=""),"Falta servicio","OK")))))))))</f>
        <v/>
      </c>
    </row>
    <row r="1627" spans="1:12" ht="22" customHeight="1">
      <c r="A1627" s="3"/>
      <c r="B1627" s="7"/>
      <c r="C1627" s="3"/>
      <c r="D1627" s="3"/>
      <c r="E1627" s="3"/>
      <c r="F1627" s="3"/>
      <c r="G1627" s="4"/>
      <c r="H1627" s="4"/>
      <c r="I1627" s="3"/>
      <c r="J1627" s="3"/>
      <c r="K1627" s="8" t="str">
        <f t="shared" si="25"/>
        <v/>
      </c>
      <c r="L1627" s="1" t="str">
        <f>IF(COUNTA(A1627:J1627)=0,"",IF(OR(AND(C1627&lt;&gt;"Servicio",C1627&lt;&gt;"Cobro",C1627&lt;&gt;"Anticipo",C1627&lt;&gt;"Aplicación anticipo",C1627&lt;&gt;"Retención ISR",C1627&lt;&gt;"Retención IVA"),AND(C1627="Servicio",F1627&lt;&gt;"TMS",F1627&lt;&gt;"Valoración",F1627&lt;&gt;"EEG",F1627&lt;&gt;"Neurofeedback",F1627&lt;&gt;"Fotobiomodulación",F1627&lt;&gt;"Psicoterapia",F1627&lt;&gt;"Otros")),"Tipo o categoría inválido",IF(COUNTA(A1627:J1627)=0,"",IF(OR(A1627="",B1627="",C1627="",G1627=""),"Faltan datos",IF(COUNTIF($A$7:$A$2006,A1627)&gt;1,"ID duplicado",IF(OR(B1627&lt;DATE(Configuración!$C$5,1,1),B1627&gt;=DATE(Configuración!$C$5+1,1,1)),"Fecha fuera del año",IF(OR(G1627&lt;0,H1627&lt;0),"Revisar signo",IF(AND(C1627&lt;&gt;"Servicio",H1627&lt;&gt;0),"IVA solo en Servicio",IF(AND(C1627="Servicio",F1627=""),"Falta servicio","OK")))))))))</f>
        <v/>
      </c>
    </row>
    <row r="1628" spans="1:12" ht="22" customHeight="1">
      <c r="A1628" s="3"/>
      <c r="B1628" s="7"/>
      <c r="C1628" s="3"/>
      <c r="D1628" s="3"/>
      <c r="E1628" s="3"/>
      <c r="F1628" s="3"/>
      <c r="G1628" s="4"/>
      <c r="H1628" s="4"/>
      <c r="I1628" s="3"/>
      <c r="J1628" s="3"/>
      <c r="K1628" s="8" t="str">
        <f t="shared" si="25"/>
        <v/>
      </c>
      <c r="L1628" s="1" t="str">
        <f>IF(COUNTA(A1628:J1628)=0,"",IF(OR(AND(C1628&lt;&gt;"Servicio",C1628&lt;&gt;"Cobro",C1628&lt;&gt;"Anticipo",C1628&lt;&gt;"Aplicación anticipo",C1628&lt;&gt;"Retención ISR",C1628&lt;&gt;"Retención IVA"),AND(C1628="Servicio",F1628&lt;&gt;"TMS",F1628&lt;&gt;"Valoración",F1628&lt;&gt;"EEG",F1628&lt;&gt;"Neurofeedback",F1628&lt;&gt;"Fotobiomodulación",F1628&lt;&gt;"Psicoterapia",F1628&lt;&gt;"Otros")),"Tipo o categoría inválido",IF(COUNTA(A1628:J1628)=0,"",IF(OR(A1628="",B1628="",C1628="",G1628=""),"Faltan datos",IF(COUNTIF($A$7:$A$2006,A1628)&gt;1,"ID duplicado",IF(OR(B1628&lt;DATE(Configuración!$C$5,1,1),B1628&gt;=DATE(Configuración!$C$5+1,1,1)),"Fecha fuera del año",IF(OR(G1628&lt;0,H1628&lt;0),"Revisar signo",IF(AND(C1628&lt;&gt;"Servicio",H1628&lt;&gt;0),"IVA solo en Servicio",IF(AND(C1628="Servicio",F1628=""),"Falta servicio","OK")))))))))</f>
        <v/>
      </c>
    </row>
    <row r="1629" spans="1:12" ht="22" customHeight="1">
      <c r="A1629" s="3"/>
      <c r="B1629" s="7"/>
      <c r="C1629" s="3"/>
      <c r="D1629" s="3"/>
      <c r="E1629" s="3"/>
      <c r="F1629" s="3"/>
      <c r="G1629" s="4"/>
      <c r="H1629" s="4"/>
      <c r="I1629" s="3"/>
      <c r="J1629" s="3"/>
      <c r="K1629" s="8" t="str">
        <f t="shared" si="25"/>
        <v/>
      </c>
      <c r="L1629" s="1" t="str">
        <f>IF(COUNTA(A1629:J1629)=0,"",IF(OR(AND(C1629&lt;&gt;"Servicio",C1629&lt;&gt;"Cobro",C1629&lt;&gt;"Anticipo",C1629&lt;&gt;"Aplicación anticipo",C1629&lt;&gt;"Retención ISR",C1629&lt;&gt;"Retención IVA"),AND(C1629="Servicio",F1629&lt;&gt;"TMS",F1629&lt;&gt;"Valoración",F1629&lt;&gt;"EEG",F1629&lt;&gt;"Neurofeedback",F1629&lt;&gt;"Fotobiomodulación",F1629&lt;&gt;"Psicoterapia",F1629&lt;&gt;"Otros")),"Tipo o categoría inválido",IF(COUNTA(A1629:J1629)=0,"",IF(OR(A1629="",B1629="",C1629="",G1629=""),"Faltan datos",IF(COUNTIF($A$7:$A$2006,A1629)&gt;1,"ID duplicado",IF(OR(B1629&lt;DATE(Configuración!$C$5,1,1),B1629&gt;=DATE(Configuración!$C$5+1,1,1)),"Fecha fuera del año",IF(OR(G1629&lt;0,H1629&lt;0),"Revisar signo",IF(AND(C1629&lt;&gt;"Servicio",H1629&lt;&gt;0),"IVA solo en Servicio",IF(AND(C1629="Servicio",F1629=""),"Falta servicio","OK")))))))))</f>
        <v/>
      </c>
    </row>
    <row r="1630" spans="1:12" ht="22" customHeight="1">
      <c r="A1630" s="3"/>
      <c r="B1630" s="7"/>
      <c r="C1630" s="3"/>
      <c r="D1630" s="3"/>
      <c r="E1630" s="3"/>
      <c r="F1630" s="3"/>
      <c r="G1630" s="4"/>
      <c r="H1630" s="4"/>
      <c r="I1630" s="3"/>
      <c r="J1630" s="3"/>
      <c r="K1630" s="8" t="str">
        <f t="shared" si="25"/>
        <v/>
      </c>
      <c r="L1630" s="1" t="str">
        <f>IF(COUNTA(A1630:J1630)=0,"",IF(OR(AND(C1630&lt;&gt;"Servicio",C1630&lt;&gt;"Cobro",C1630&lt;&gt;"Anticipo",C1630&lt;&gt;"Aplicación anticipo",C1630&lt;&gt;"Retención ISR",C1630&lt;&gt;"Retención IVA"),AND(C1630="Servicio",F1630&lt;&gt;"TMS",F1630&lt;&gt;"Valoración",F1630&lt;&gt;"EEG",F1630&lt;&gt;"Neurofeedback",F1630&lt;&gt;"Fotobiomodulación",F1630&lt;&gt;"Psicoterapia",F1630&lt;&gt;"Otros")),"Tipo o categoría inválido",IF(COUNTA(A1630:J1630)=0,"",IF(OR(A1630="",B1630="",C1630="",G1630=""),"Faltan datos",IF(COUNTIF($A$7:$A$2006,A1630)&gt;1,"ID duplicado",IF(OR(B1630&lt;DATE(Configuración!$C$5,1,1),B1630&gt;=DATE(Configuración!$C$5+1,1,1)),"Fecha fuera del año",IF(OR(G1630&lt;0,H1630&lt;0),"Revisar signo",IF(AND(C1630&lt;&gt;"Servicio",H1630&lt;&gt;0),"IVA solo en Servicio",IF(AND(C1630="Servicio",F1630=""),"Falta servicio","OK")))))))))</f>
        <v/>
      </c>
    </row>
    <row r="1631" spans="1:12" ht="22" customHeight="1">
      <c r="A1631" s="3"/>
      <c r="B1631" s="7"/>
      <c r="C1631" s="3"/>
      <c r="D1631" s="3"/>
      <c r="E1631" s="3"/>
      <c r="F1631" s="3"/>
      <c r="G1631" s="4"/>
      <c r="H1631" s="4"/>
      <c r="I1631" s="3"/>
      <c r="J1631" s="3"/>
      <c r="K1631" s="8" t="str">
        <f t="shared" si="25"/>
        <v/>
      </c>
      <c r="L1631" s="1" t="str">
        <f>IF(COUNTA(A1631:J1631)=0,"",IF(OR(AND(C1631&lt;&gt;"Servicio",C1631&lt;&gt;"Cobro",C1631&lt;&gt;"Anticipo",C1631&lt;&gt;"Aplicación anticipo",C1631&lt;&gt;"Retención ISR",C1631&lt;&gt;"Retención IVA"),AND(C1631="Servicio",F1631&lt;&gt;"TMS",F1631&lt;&gt;"Valoración",F1631&lt;&gt;"EEG",F1631&lt;&gt;"Neurofeedback",F1631&lt;&gt;"Fotobiomodulación",F1631&lt;&gt;"Psicoterapia",F1631&lt;&gt;"Otros")),"Tipo o categoría inválido",IF(COUNTA(A1631:J1631)=0,"",IF(OR(A1631="",B1631="",C1631="",G1631=""),"Faltan datos",IF(COUNTIF($A$7:$A$2006,A1631)&gt;1,"ID duplicado",IF(OR(B1631&lt;DATE(Configuración!$C$5,1,1),B1631&gt;=DATE(Configuración!$C$5+1,1,1)),"Fecha fuera del año",IF(OR(G1631&lt;0,H1631&lt;0),"Revisar signo",IF(AND(C1631&lt;&gt;"Servicio",H1631&lt;&gt;0),"IVA solo en Servicio",IF(AND(C1631="Servicio",F1631=""),"Falta servicio","OK")))))))))</f>
        <v/>
      </c>
    </row>
    <row r="1632" spans="1:12" ht="22" customHeight="1">
      <c r="A1632" s="3"/>
      <c r="B1632" s="7"/>
      <c r="C1632" s="3"/>
      <c r="D1632" s="3"/>
      <c r="E1632" s="3"/>
      <c r="F1632" s="3"/>
      <c r="G1632" s="4"/>
      <c r="H1632" s="4"/>
      <c r="I1632" s="3"/>
      <c r="J1632" s="3"/>
      <c r="K1632" s="8" t="str">
        <f t="shared" si="25"/>
        <v/>
      </c>
      <c r="L1632" s="1" t="str">
        <f>IF(COUNTA(A1632:J1632)=0,"",IF(OR(AND(C1632&lt;&gt;"Servicio",C1632&lt;&gt;"Cobro",C1632&lt;&gt;"Anticipo",C1632&lt;&gt;"Aplicación anticipo",C1632&lt;&gt;"Retención ISR",C1632&lt;&gt;"Retención IVA"),AND(C1632="Servicio",F1632&lt;&gt;"TMS",F1632&lt;&gt;"Valoración",F1632&lt;&gt;"EEG",F1632&lt;&gt;"Neurofeedback",F1632&lt;&gt;"Fotobiomodulación",F1632&lt;&gt;"Psicoterapia",F1632&lt;&gt;"Otros")),"Tipo o categoría inválido",IF(COUNTA(A1632:J1632)=0,"",IF(OR(A1632="",B1632="",C1632="",G1632=""),"Faltan datos",IF(COUNTIF($A$7:$A$2006,A1632)&gt;1,"ID duplicado",IF(OR(B1632&lt;DATE(Configuración!$C$5,1,1),B1632&gt;=DATE(Configuración!$C$5+1,1,1)),"Fecha fuera del año",IF(OR(G1632&lt;0,H1632&lt;0),"Revisar signo",IF(AND(C1632&lt;&gt;"Servicio",H1632&lt;&gt;0),"IVA solo en Servicio",IF(AND(C1632="Servicio",F1632=""),"Falta servicio","OK")))))))))</f>
        <v/>
      </c>
    </row>
    <row r="1633" spans="1:12" ht="22" customHeight="1">
      <c r="A1633" s="3"/>
      <c r="B1633" s="7"/>
      <c r="C1633" s="3"/>
      <c r="D1633" s="3"/>
      <c r="E1633" s="3"/>
      <c r="F1633" s="3"/>
      <c r="G1633" s="4"/>
      <c r="H1633" s="4"/>
      <c r="I1633" s="3"/>
      <c r="J1633" s="3"/>
      <c r="K1633" s="8" t="str">
        <f t="shared" si="25"/>
        <v/>
      </c>
      <c r="L1633" s="1" t="str">
        <f>IF(COUNTA(A1633:J1633)=0,"",IF(OR(AND(C1633&lt;&gt;"Servicio",C1633&lt;&gt;"Cobro",C1633&lt;&gt;"Anticipo",C1633&lt;&gt;"Aplicación anticipo",C1633&lt;&gt;"Retención ISR",C1633&lt;&gt;"Retención IVA"),AND(C1633="Servicio",F1633&lt;&gt;"TMS",F1633&lt;&gt;"Valoración",F1633&lt;&gt;"EEG",F1633&lt;&gt;"Neurofeedback",F1633&lt;&gt;"Fotobiomodulación",F1633&lt;&gt;"Psicoterapia",F1633&lt;&gt;"Otros")),"Tipo o categoría inválido",IF(COUNTA(A1633:J1633)=0,"",IF(OR(A1633="",B1633="",C1633="",G1633=""),"Faltan datos",IF(COUNTIF($A$7:$A$2006,A1633)&gt;1,"ID duplicado",IF(OR(B1633&lt;DATE(Configuración!$C$5,1,1),B1633&gt;=DATE(Configuración!$C$5+1,1,1)),"Fecha fuera del año",IF(OR(G1633&lt;0,H1633&lt;0),"Revisar signo",IF(AND(C1633&lt;&gt;"Servicio",H1633&lt;&gt;0),"IVA solo en Servicio",IF(AND(C1633="Servicio",F1633=""),"Falta servicio","OK")))))))))</f>
        <v/>
      </c>
    </row>
    <row r="1634" spans="1:12" ht="22" customHeight="1">
      <c r="A1634" s="3"/>
      <c r="B1634" s="7"/>
      <c r="C1634" s="3"/>
      <c r="D1634" s="3"/>
      <c r="E1634" s="3"/>
      <c r="F1634" s="3"/>
      <c r="G1634" s="4"/>
      <c r="H1634" s="4"/>
      <c r="I1634" s="3"/>
      <c r="J1634" s="3"/>
      <c r="K1634" s="8" t="str">
        <f t="shared" si="25"/>
        <v/>
      </c>
      <c r="L1634" s="1" t="str">
        <f>IF(COUNTA(A1634:J1634)=0,"",IF(OR(AND(C1634&lt;&gt;"Servicio",C1634&lt;&gt;"Cobro",C1634&lt;&gt;"Anticipo",C1634&lt;&gt;"Aplicación anticipo",C1634&lt;&gt;"Retención ISR",C1634&lt;&gt;"Retención IVA"),AND(C1634="Servicio",F1634&lt;&gt;"TMS",F1634&lt;&gt;"Valoración",F1634&lt;&gt;"EEG",F1634&lt;&gt;"Neurofeedback",F1634&lt;&gt;"Fotobiomodulación",F1634&lt;&gt;"Psicoterapia",F1634&lt;&gt;"Otros")),"Tipo o categoría inválido",IF(COUNTA(A1634:J1634)=0,"",IF(OR(A1634="",B1634="",C1634="",G1634=""),"Faltan datos",IF(COUNTIF($A$7:$A$2006,A1634)&gt;1,"ID duplicado",IF(OR(B1634&lt;DATE(Configuración!$C$5,1,1),B1634&gt;=DATE(Configuración!$C$5+1,1,1)),"Fecha fuera del año",IF(OR(G1634&lt;0,H1634&lt;0),"Revisar signo",IF(AND(C1634&lt;&gt;"Servicio",H1634&lt;&gt;0),"IVA solo en Servicio",IF(AND(C1634="Servicio",F1634=""),"Falta servicio","OK")))))))))</f>
        <v/>
      </c>
    </row>
    <row r="1635" spans="1:12" ht="22" customHeight="1">
      <c r="A1635" s="3"/>
      <c r="B1635" s="7"/>
      <c r="C1635" s="3"/>
      <c r="D1635" s="3"/>
      <c r="E1635" s="3"/>
      <c r="F1635" s="3"/>
      <c r="G1635" s="4"/>
      <c r="H1635" s="4"/>
      <c r="I1635" s="3"/>
      <c r="J1635" s="3"/>
      <c r="K1635" s="8" t="str">
        <f t="shared" si="25"/>
        <v/>
      </c>
      <c r="L1635" s="1" t="str">
        <f>IF(COUNTA(A1635:J1635)=0,"",IF(OR(AND(C1635&lt;&gt;"Servicio",C1635&lt;&gt;"Cobro",C1635&lt;&gt;"Anticipo",C1635&lt;&gt;"Aplicación anticipo",C1635&lt;&gt;"Retención ISR",C1635&lt;&gt;"Retención IVA"),AND(C1635="Servicio",F1635&lt;&gt;"TMS",F1635&lt;&gt;"Valoración",F1635&lt;&gt;"EEG",F1635&lt;&gt;"Neurofeedback",F1635&lt;&gt;"Fotobiomodulación",F1635&lt;&gt;"Psicoterapia",F1635&lt;&gt;"Otros")),"Tipo o categoría inválido",IF(COUNTA(A1635:J1635)=0,"",IF(OR(A1635="",B1635="",C1635="",G1635=""),"Faltan datos",IF(COUNTIF($A$7:$A$2006,A1635)&gt;1,"ID duplicado",IF(OR(B1635&lt;DATE(Configuración!$C$5,1,1),B1635&gt;=DATE(Configuración!$C$5+1,1,1)),"Fecha fuera del año",IF(OR(G1635&lt;0,H1635&lt;0),"Revisar signo",IF(AND(C1635&lt;&gt;"Servicio",H1635&lt;&gt;0),"IVA solo en Servicio",IF(AND(C1635="Servicio",F1635=""),"Falta servicio","OK")))))))))</f>
        <v/>
      </c>
    </row>
    <row r="1636" spans="1:12" ht="22" customHeight="1">
      <c r="A1636" s="3"/>
      <c r="B1636" s="7"/>
      <c r="C1636" s="3"/>
      <c r="D1636" s="3"/>
      <c r="E1636" s="3"/>
      <c r="F1636" s="3"/>
      <c r="G1636" s="4"/>
      <c r="H1636" s="4"/>
      <c r="I1636" s="3"/>
      <c r="J1636" s="3"/>
      <c r="K1636" s="8" t="str">
        <f t="shared" si="25"/>
        <v/>
      </c>
      <c r="L1636" s="1" t="str">
        <f>IF(COUNTA(A1636:J1636)=0,"",IF(OR(AND(C1636&lt;&gt;"Servicio",C1636&lt;&gt;"Cobro",C1636&lt;&gt;"Anticipo",C1636&lt;&gt;"Aplicación anticipo",C1636&lt;&gt;"Retención ISR",C1636&lt;&gt;"Retención IVA"),AND(C1636="Servicio",F1636&lt;&gt;"TMS",F1636&lt;&gt;"Valoración",F1636&lt;&gt;"EEG",F1636&lt;&gt;"Neurofeedback",F1636&lt;&gt;"Fotobiomodulación",F1636&lt;&gt;"Psicoterapia",F1636&lt;&gt;"Otros")),"Tipo o categoría inválido",IF(COUNTA(A1636:J1636)=0,"",IF(OR(A1636="",B1636="",C1636="",G1636=""),"Faltan datos",IF(COUNTIF($A$7:$A$2006,A1636)&gt;1,"ID duplicado",IF(OR(B1636&lt;DATE(Configuración!$C$5,1,1),B1636&gt;=DATE(Configuración!$C$5+1,1,1)),"Fecha fuera del año",IF(OR(G1636&lt;0,H1636&lt;0),"Revisar signo",IF(AND(C1636&lt;&gt;"Servicio",H1636&lt;&gt;0),"IVA solo en Servicio",IF(AND(C1636="Servicio",F1636=""),"Falta servicio","OK")))))))))</f>
        <v/>
      </c>
    </row>
    <row r="1637" spans="1:12" ht="22" customHeight="1">
      <c r="A1637" s="3"/>
      <c r="B1637" s="7"/>
      <c r="C1637" s="3"/>
      <c r="D1637" s="3"/>
      <c r="E1637" s="3"/>
      <c r="F1637" s="3"/>
      <c r="G1637" s="4"/>
      <c r="H1637" s="4"/>
      <c r="I1637" s="3"/>
      <c r="J1637" s="3"/>
      <c r="K1637" s="8" t="str">
        <f t="shared" si="25"/>
        <v/>
      </c>
      <c r="L1637" s="1" t="str">
        <f>IF(COUNTA(A1637:J1637)=0,"",IF(OR(AND(C1637&lt;&gt;"Servicio",C1637&lt;&gt;"Cobro",C1637&lt;&gt;"Anticipo",C1637&lt;&gt;"Aplicación anticipo",C1637&lt;&gt;"Retención ISR",C1637&lt;&gt;"Retención IVA"),AND(C1637="Servicio",F1637&lt;&gt;"TMS",F1637&lt;&gt;"Valoración",F1637&lt;&gt;"EEG",F1637&lt;&gt;"Neurofeedback",F1637&lt;&gt;"Fotobiomodulación",F1637&lt;&gt;"Psicoterapia",F1637&lt;&gt;"Otros")),"Tipo o categoría inválido",IF(COUNTA(A1637:J1637)=0,"",IF(OR(A1637="",B1637="",C1637="",G1637=""),"Faltan datos",IF(COUNTIF($A$7:$A$2006,A1637)&gt;1,"ID duplicado",IF(OR(B1637&lt;DATE(Configuración!$C$5,1,1),B1637&gt;=DATE(Configuración!$C$5+1,1,1)),"Fecha fuera del año",IF(OR(G1637&lt;0,H1637&lt;0),"Revisar signo",IF(AND(C1637&lt;&gt;"Servicio",H1637&lt;&gt;0),"IVA solo en Servicio",IF(AND(C1637="Servicio",F1637=""),"Falta servicio","OK")))))))))</f>
        <v/>
      </c>
    </row>
    <row r="1638" spans="1:12" ht="22" customHeight="1">
      <c r="A1638" s="3"/>
      <c r="B1638" s="7"/>
      <c r="C1638" s="3"/>
      <c r="D1638" s="3"/>
      <c r="E1638" s="3"/>
      <c r="F1638" s="3"/>
      <c r="G1638" s="4"/>
      <c r="H1638" s="4"/>
      <c r="I1638" s="3"/>
      <c r="J1638" s="3"/>
      <c r="K1638" s="8" t="str">
        <f t="shared" si="25"/>
        <v/>
      </c>
      <c r="L1638" s="1" t="str">
        <f>IF(COUNTA(A1638:J1638)=0,"",IF(OR(AND(C1638&lt;&gt;"Servicio",C1638&lt;&gt;"Cobro",C1638&lt;&gt;"Anticipo",C1638&lt;&gt;"Aplicación anticipo",C1638&lt;&gt;"Retención ISR",C1638&lt;&gt;"Retención IVA"),AND(C1638="Servicio",F1638&lt;&gt;"TMS",F1638&lt;&gt;"Valoración",F1638&lt;&gt;"EEG",F1638&lt;&gt;"Neurofeedback",F1638&lt;&gt;"Fotobiomodulación",F1638&lt;&gt;"Psicoterapia",F1638&lt;&gt;"Otros")),"Tipo o categoría inválido",IF(COUNTA(A1638:J1638)=0,"",IF(OR(A1638="",B1638="",C1638="",G1638=""),"Faltan datos",IF(COUNTIF($A$7:$A$2006,A1638)&gt;1,"ID duplicado",IF(OR(B1638&lt;DATE(Configuración!$C$5,1,1),B1638&gt;=DATE(Configuración!$C$5+1,1,1)),"Fecha fuera del año",IF(OR(G1638&lt;0,H1638&lt;0),"Revisar signo",IF(AND(C1638&lt;&gt;"Servicio",H1638&lt;&gt;0),"IVA solo en Servicio",IF(AND(C1638="Servicio",F1638=""),"Falta servicio","OK")))))))))</f>
        <v/>
      </c>
    </row>
    <row r="1639" spans="1:12" ht="22" customHeight="1">
      <c r="A1639" s="3"/>
      <c r="B1639" s="7"/>
      <c r="C1639" s="3"/>
      <c r="D1639" s="3"/>
      <c r="E1639" s="3"/>
      <c r="F1639" s="3"/>
      <c r="G1639" s="4"/>
      <c r="H1639" s="4"/>
      <c r="I1639" s="3"/>
      <c r="J1639" s="3"/>
      <c r="K1639" s="8" t="str">
        <f t="shared" si="25"/>
        <v/>
      </c>
      <c r="L1639" s="1" t="str">
        <f>IF(COUNTA(A1639:J1639)=0,"",IF(OR(AND(C1639&lt;&gt;"Servicio",C1639&lt;&gt;"Cobro",C1639&lt;&gt;"Anticipo",C1639&lt;&gt;"Aplicación anticipo",C1639&lt;&gt;"Retención ISR",C1639&lt;&gt;"Retención IVA"),AND(C1639="Servicio",F1639&lt;&gt;"TMS",F1639&lt;&gt;"Valoración",F1639&lt;&gt;"EEG",F1639&lt;&gt;"Neurofeedback",F1639&lt;&gt;"Fotobiomodulación",F1639&lt;&gt;"Psicoterapia",F1639&lt;&gt;"Otros")),"Tipo o categoría inválido",IF(COUNTA(A1639:J1639)=0,"",IF(OR(A1639="",B1639="",C1639="",G1639=""),"Faltan datos",IF(COUNTIF($A$7:$A$2006,A1639)&gt;1,"ID duplicado",IF(OR(B1639&lt;DATE(Configuración!$C$5,1,1),B1639&gt;=DATE(Configuración!$C$5+1,1,1)),"Fecha fuera del año",IF(OR(G1639&lt;0,H1639&lt;0),"Revisar signo",IF(AND(C1639&lt;&gt;"Servicio",H1639&lt;&gt;0),"IVA solo en Servicio",IF(AND(C1639="Servicio",F1639=""),"Falta servicio","OK")))))))))</f>
        <v/>
      </c>
    </row>
    <row r="1640" spans="1:12" ht="22" customHeight="1">
      <c r="A1640" s="3"/>
      <c r="B1640" s="7"/>
      <c r="C1640" s="3"/>
      <c r="D1640" s="3"/>
      <c r="E1640" s="3"/>
      <c r="F1640" s="3"/>
      <c r="G1640" s="4"/>
      <c r="H1640" s="4"/>
      <c r="I1640" s="3"/>
      <c r="J1640" s="3"/>
      <c r="K1640" s="8" t="str">
        <f t="shared" si="25"/>
        <v/>
      </c>
      <c r="L1640" s="1" t="str">
        <f>IF(COUNTA(A1640:J1640)=0,"",IF(OR(AND(C1640&lt;&gt;"Servicio",C1640&lt;&gt;"Cobro",C1640&lt;&gt;"Anticipo",C1640&lt;&gt;"Aplicación anticipo",C1640&lt;&gt;"Retención ISR",C1640&lt;&gt;"Retención IVA"),AND(C1640="Servicio",F1640&lt;&gt;"TMS",F1640&lt;&gt;"Valoración",F1640&lt;&gt;"EEG",F1640&lt;&gt;"Neurofeedback",F1640&lt;&gt;"Fotobiomodulación",F1640&lt;&gt;"Psicoterapia",F1640&lt;&gt;"Otros")),"Tipo o categoría inválido",IF(COUNTA(A1640:J1640)=0,"",IF(OR(A1640="",B1640="",C1640="",G1640=""),"Faltan datos",IF(COUNTIF($A$7:$A$2006,A1640)&gt;1,"ID duplicado",IF(OR(B1640&lt;DATE(Configuración!$C$5,1,1),B1640&gt;=DATE(Configuración!$C$5+1,1,1)),"Fecha fuera del año",IF(OR(G1640&lt;0,H1640&lt;0),"Revisar signo",IF(AND(C1640&lt;&gt;"Servicio",H1640&lt;&gt;0),"IVA solo en Servicio",IF(AND(C1640="Servicio",F1640=""),"Falta servicio","OK")))))))))</f>
        <v/>
      </c>
    </row>
    <row r="1641" spans="1:12" ht="22" customHeight="1">
      <c r="A1641" s="3"/>
      <c r="B1641" s="7"/>
      <c r="C1641" s="3"/>
      <c r="D1641" s="3"/>
      <c r="E1641" s="3"/>
      <c r="F1641" s="3"/>
      <c r="G1641" s="4"/>
      <c r="H1641" s="4"/>
      <c r="I1641" s="3"/>
      <c r="J1641" s="3"/>
      <c r="K1641" s="8" t="str">
        <f t="shared" si="25"/>
        <v/>
      </c>
      <c r="L1641" s="1" t="str">
        <f>IF(COUNTA(A1641:J1641)=0,"",IF(OR(AND(C1641&lt;&gt;"Servicio",C1641&lt;&gt;"Cobro",C1641&lt;&gt;"Anticipo",C1641&lt;&gt;"Aplicación anticipo",C1641&lt;&gt;"Retención ISR",C1641&lt;&gt;"Retención IVA"),AND(C1641="Servicio",F1641&lt;&gt;"TMS",F1641&lt;&gt;"Valoración",F1641&lt;&gt;"EEG",F1641&lt;&gt;"Neurofeedback",F1641&lt;&gt;"Fotobiomodulación",F1641&lt;&gt;"Psicoterapia",F1641&lt;&gt;"Otros")),"Tipo o categoría inválido",IF(COUNTA(A1641:J1641)=0,"",IF(OR(A1641="",B1641="",C1641="",G1641=""),"Faltan datos",IF(COUNTIF($A$7:$A$2006,A1641)&gt;1,"ID duplicado",IF(OR(B1641&lt;DATE(Configuración!$C$5,1,1),B1641&gt;=DATE(Configuración!$C$5+1,1,1)),"Fecha fuera del año",IF(OR(G1641&lt;0,H1641&lt;0),"Revisar signo",IF(AND(C1641&lt;&gt;"Servicio",H1641&lt;&gt;0),"IVA solo en Servicio",IF(AND(C1641="Servicio",F1641=""),"Falta servicio","OK")))))))))</f>
        <v/>
      </c>
    </row>
    <row r="1642" spans="1:12" ht="22" customHeight="1">
      <c r="A1642" s="3"/>
      <c r="B1642" s="7"/>
      <c r="C1642" s="3"/>
      <c r="D1642" s="3"/>
      <c r="E1642" s="3"/>
      <c r="F1642" s="3"/>
      <c r="G1642" s="4"/>
      <c r="H1642" s="4"/>
      <c r="I1642" s="3"/>
      <c r="J1642" s="3"/>
      <c r="K1642" s="8" t="str">
        <f t="shared" si="25"/>
        <v/>
      </c>
      <c r="L1642" s="1" t="str">
        <f>IF(COUNTA(A1642:J1642)=0,"",IF(OR(AND(C1642&lt;&gt;"Servicio",C1642&lt;&gt;"Cobro",C1642&lt;&gt;"Anticipo",C1642&lt;&gt;"Aplicación anticipo",C1642&lt;&gt;"Retención ISR",C1642&lt;&gt;"Retención IVA"),AND(C1642="Servicio",F1642&lt;&gt;"TMS",F1642&lt;&gt;"Valoración",F1642&lt;&gt;"EEG",F1642&lt;&gt;"Neurofeedback",F1642&lt;&gt;"Fotobiomodulación",F1642&lt;&gt;"Psicoterapia",F1642&lt;&gt;"Otros")),"Tipo o categoría inválido",IF(COUNTA(A1642:J1642)=0,"",IF(OR(A1642="",B1642="",C1642="",G1642=""),"Faltan datos",IF(COUNTIF($A$7:$A$2006,A1642)&gt;1,"ID duplicado",IF(OR(B1642&lt;DATE(Configuración!$C$5,1,1),B1642&gt;=DATE(Configuración!$C$5+1,1,1)),"Fecha fuera del año",IF(OR(G1642&lt;0,H1642&lt;0),"Revisar signo",IF(AND(C1642&lt;&gt;"Servicio",H1642&lt;&gt;0),"IVA solo en Servicio",IF(AND(C1642="Servicio",F1642=""),"Falta servicio","OK")))))))))</f>
        <v/>
      </c>
    </row>
    <row r="1643" spans="1:12" ht="22" customHeight="1">
      <c r="A1643" s="3"/>
      <c r="B1643" s="7"/>
      <c r="C1643" s="3"/>
      <c r="D1643" s="3"/>
      <c r="E1643" s="3"/>
      <c r="F1643" s="3"/>
      <c r="G1643" s="4"/>
      <c r="H1643" s="4"/>
      <c r="I1643" s="3"/>
      <c r="J1643" s="3"/>
      <c r="K1643" s="8" t="str">
        <f t="shared" si="25"/>
        <v/>
      </c>
      <c r="L1643" s="1" t="str">
        <f>IF(COUNTA(A1643:J1643)=0,"",IF(OR(AND(C1643&lt;&gt;"Servicio",C1643&lt;&gt;"Cobro",C1643&lt;&gt;"Anticipo",C1643&lt;&gt;"Aplicación anticipo",C1643&lt;&gt;"Retención ISR",C1643&lt;&gt;"Retención IVA"),AND(C1643="Servicio",F1643&lt;&gt;"TMS",F1643&lt;&gt;"Valoración",F1643&lt;&gt;"EEG",F1643&lt;&gt;"Neurofeedback",F1643&lt;&gt;"Fotobiomodulación",F1643&lt;&gt;"Psicoterapia",F1643&lt;&gt;"Otros")),"Tipo o categoría inválido",IF(COUNTA(A1643:J1643)=0,"",IF(OR(A1643="",B1643="",C1643="",G1643=""),"Faltan datos",IF(COUNTIF($A$7:$A$2006,A1643)&gt;1,"ID duplicado",IF(OR(B1643&lt;DATE(Configuración!$C$5,1,1),B1643&gt;=DATE(Configuración!$C$5+1,1,1)),"Fecha fuera del año",IF(OR(G1643&lt;0,H1643&lt;0),"Revisar signo",IF(AND(C1643&lt;&gt;"Servicio",H1643&lt;&gt;0),"IVA solo en Servicio",IF(AND(C1643="Servicio",F1643=""),"Falta servicio","OK")))))))))</f>
        <v/>
      </c>
    </row>
    <row r="1644" spans="1:12" ht="22" customHeight="1">
      <c r="A1644" s="3"/>
      <c r="B1644" s="7"/>
      <c r="C1644" s="3"/>
      <c r="D1644" s="3"/>
      <c r="E1644" s="3"/>
      <c r="F1644" s="3"/>
      <c r="G1644" s="4"/>
      <c r="H1644" s="4"/>
      <c r="I1644" s="3"/>
      <c r="J1644" s="3"/>
      <c r="K1644" s="8" t="str">
        <f t="shared" si="25"/>
        <v/>
      </c>
      <c r="L1644" s="1" t="str">
        <f>IF(COUNTA(A1644:J1644)=0,"",IF(OR(AND(C1644&lt;&gt;"Servicio",C1644&lt;&gt;"Cobro",C1644&lt;&gt;"Anticipo",C1644&lt;&gt;"Aplicación anticipo",C1644&lt;&gt;"Retención ISR",C1644&lt;&gt;"Retención IVA"),AND(C1644="Servicio",F1644&lt;&gt;"TMS",F1644&lt;&gt;"Valoración",F1644&lt;&gt;"EEG",F1644&lt;&gt;"Neurofeedback",F1644&lt;&gt;"Fotobiomodulación",F1644&lt;&gt;"Psicoterapia",F1644&lt;&gt;"Otros")),"Tipo o categoría inválido",IF(COUNTA(A1644:J1644)=0,"",IF(OR(A1644="",B1644="",C1644="",G1644=""),"Faltan datos",IF(COUNTIF($A$7:$A$2006,A1644)&gt;1,"ID duplicado",IF(OR(B1644&lt;DATE(Configuración!$C$5,1,1),B1644&gt;=DATE(Configuración!$C$5+1,1,1)),"Fecha fuera del año",IF(OR(G1644&lt;0,H1644&lt;0),"Revisar signo",IF(AND(C1644&lt;&gt;"Servicio",H1644&lt;&gt;0),"IVA solo en Servicio",IF(AND(C1644="Servicio",F1644=""),"Falta servicio","OK")))))))))</f>
        <v/>
      </c>
    </row>
    <row r="1645" spans="1:12" ht="22" customHeight="1">
      <c r="A1645" s="3"/>
      <c r="B1645" s="7"/>
      <c r="C1645" s="3"/>
      <c r="D1645" s="3"/>
      <c r="E1645" s="3"/>
      <c r="F1645" s="3"/>
      <c r="G1645" s="4"/>
      <c r="H1645" s="4"/>
      <c r="I1645" s="3"/>
      <c r="J1645" s="3"/>
      <c r="K1645" s="8" t="str">
        <f t="shared" si="25"/>
        <v/>
      </c>
      <c r="L1645" s="1" t="str">
        <f>IF(COUNTA(A1645:J1645)=0,"",IF(OR(AND(C1645&lt;&gt;"Servicio",C1645&lt;&gt;"Cobro",C1645&lt;&gt;"Anticipo",C1645&lt;&gt;"Aplicación anticipo",C1645&lt;&gt;"Retención ISR",C1645&lt;&gt;"Retención IVA"),AND(C1645="Servicio",F1645&lt;&gt;"TMS",F1645&lt;&gt;"Valoración",F1645&lt;&gt;"EEG",F1645&lt;&gt;"Neurofeedback",F1645&lt;&gt;"Fotobiomodulación",F1645&lt;&gt;"Psicoterapia",F1645&lt;&gt;"Otros")),"Tipo o categoría inválido",IF(COUNTA(A1645:J1645)=0,"",IF(OR(A1645="",B1645="",C1645="",G1645=""),"Faltan datos",IF(COUNTIF($A$7:$A$2006,A1645)&gt;1,"ID duplicado",IF(OR(B1645&lt;DATE(Configuración!$C$5,1,1),B1645&gt;=DATE(Configuración!$C$5+1,1,1)),"Fecha fuera del año",IF(OR(G1645&lt;0,H1645&lt;0),"Revisar signo",IF(AND(C1645&lt;&gt;"Servicio",H1645&lt;&gt;0),"IVA solo en Servicio",IF(AND(C1645="Servicio",F1645=""),"Falta servicio","OK")))))))))</f>
        <v/>
      </c>
    </row>
    <row r="1646" spans="1:12" ht="22" customHeight="1">
      <c r="A1646" s="3"/>
      <c r="B1646" s="7"/>
      <c r="C1646" s="3"/>
      <c r="D1646" s="3"/>
      <c r="E1646" s="3"/>
      <c r="F1646" s="3"/>
      <c r="G1646" s="4"/>
      <c r="H1646" s="4"/>
      <c r="I1646" s="3"/>
      <c r="J1646" s="3"/>
      <c r="K1646" s="8" t="str">
        <f t="shared" si="25"/>
        <v/>
      </c>
      <c r="L1646" s="1" t="str">
        <f>IF(COUNTA(A1646:J1646)=0,"",IF(OR(AND(C1646&lt;&gt;"Servicio",C1646&lt;&gt;"Cobro",C1646&lt;&gt;"Anticipo",C1646&lt;&gt;"Aplicación anticipo",C1646&lt;&gt;"Retención ISR",C1646&lt;&gt;"Retención IVA"),AND(C1646="Servicio",F1646&lt;&gt;"TMS",F1646&lt;&gt;"Valoración",F1646&lt;&gt;"EEG",F1646&lt;&gt;"Neurofeedback",F1646&lt;&gt;"Fotobiomodulación",F1646&lt;&gt;"Psicoterapia",F1646&lt;&gt;"Otros")),"Tipo o categoría inválido",IF(COUNTA(A1646:J1646)=0,"",IF(OR(A1646="",B1646="",C1646="",G1646=""),"Faltan datos",IF(COUNTIF($A$7:$A$2006,A1646)&gt;1,"ID duplicado",IF(OR(B1646&lt;DATE(Configuración!$C$5,1,1),B1646&gt;=DATE(Configuración!$C$5+1,1,1)),"Fecha fuera del año",IF(OR(G1646&lt;0,H1646&lt;0),"Revisar signo",IF(AND(C1646&lt;&gt;"Servicio",H1646&lt;&gt;0),"IVA solo en Servicio",IF(AND(C1646="Servicio",F1646=""),"Falta servicio","OK")))))))))</f>
        <v/>
      </c>
    </row>
    <row r="1647" spans="1:12" ht="22" customHeight="1">
      <c r="A1647" s="3"/>
      <c r="B1647" s="7"/>
      <c r="C1647" s="3"/>
      <c r="D1647" s="3"/>
      <c r="E1647" s="3"/>
      <c r="F1647" s="3"/>
      <c r="G1647" s="4"/>
      <c r="H1647" s="4"/>
      <c r="I1647" s="3"/>
      <c r="J1647" s="3"/>
      <c r="K1647" s="8" t="str">
        <f t="shared" si="25"/>
        <v/>
      </c>
      <c r="L1647" s="1" t="str">
        <f>IF(COUNTA(A1647:J1647)=0,"",IF(OR(AND(C1647&lt;&gt;"Servicio",C1647&lt;&gt;"Cobro",C1647&lt;&gt;"Anticipo",C1647&lt;&gt;"Aplicación anticipo",C1647&lt;&gt;"Retención ISR",C1647&lt;&gt;"Retención IVA"),AND(C1647="Servicio",F1647&lt;&gt;"TMS",F1647&lt;&gt;"Valoración",F1647&lt;&gt;"EEG",F1647&lt;&gt;"Neurofeedback",F1647&lt;&gt;"Fotobiomodulación",F1647&lt;&gt;"Psicoterapia",F1647&lt;&gt;"Otros")),"Tipo o categoría inválido",IF(COUNTA(A1647:J1647)=0,"",IF(OR(A1647="",B1647="",C1647="",G1647=""),"Faltan datos",IF(COUNTIF($A$7:$A$2006,A1647)&gt;1,"ID duplicado",IF(OR(B1647&lt;DATE(Configuración!$C$5,1,1),B1647&gt;=DATE(Configuración!$C$5+1,1,1)),"Fecha fuera del año",IF(OR(G1647&lt;0,H1647&lt;0),"Revisar signo",IF(AND(C1647&lt;&gt;"Servicio",H1647&lt;&gt;0),"IVA solo en Servicio",IF(AND(C1647="Servicio",F1647=""),"Falta servicio","OK")))))))))</f>
        <v/>
      </c>
    </row>
    <row r="1648" spans="1:12" ht="22" customHeight="1">
      <c r="A1648" s="3"/>
      <c r="B1648" s="7"/>
      <c r="C1648" s="3"/>
      <c r="D1648" s="3"/>
      <c r="E1648" s="3"/>
      <c r="F1648" s="3"/>
      <c r="G1648" s="4"/>
      <c r="H1648" s="4"/>
      <c r="I1648" s="3"/>
      <c r="J1648" s="3"/>
      <c r="K1648" s="8" t="str">
        <f t="shared" si="25"/>
        <v/>
      </c>
      <c r="L1648" s="1" t="str">
        <f>IF(COUNTA(A1648:J1648)=0,"",IF(OR(AND(C1648&lt;&gt;"Servicio",C1648&lt;&gt;"Cobro",C1648&lt;&gt;"Anticipo",C1648&lt;&gt;"Aplicación anticipo",C1648&lt;&gt;"Retención ISR",C1648&lt;&gt;"Retención IVA"),AND(C1648="Servicio",F1648&lt;&gt;"TMS",F1648&lt;&gt;"Valoración",F1648&lt;&gt;"EEG",F1648&lt;&gt;"Neurofeedback",F1648&lt;&gt;"Fotobiomodulación",F1648&lt;&gt;"Psicoterapia",F1648&lt;&gt;"Otros")),"Tipo o categoría inválido",IF(COUNTA(A1648:J1648)=0,"",IF(OR(A1648="",B1648="",C1648="",G1648=""),"Faltan datos",IF(COUNTIF($A$7:$A$2006,A1648)&gt;1,"ID duplicado",IF(OR(B1648&lt;DATE(Configuración!$C$5,1,1),B1648&gt;=DATE(Configuración!$C$5+1,1,1)),"Fecha fuera del año",IF(OR(G1648&lt;0,H1648&lt;0),"Revisar signo",IF(AND(C1648&lt;&gt;"Servicio",H1648&lt;&gt;0),"IVA solo en Servicio",IF(AND(C1648="Servicio",F1648=""),"Falta servicio","OK")))))))))</f>
        <v/>
      </c>
    </row>
    <row r="1649" spans="1:12" ht="22" customHeight="1">
      <c r="A1649" s="3"/>
      <c r="B1649" s="7"/>
      <c r="C1649" s="3"/>
      <c r="D1649" s="3"/>
      <c r="E1649" s="3"/>
      <c r="F1649" s="3"/>
      <c r="G1649" s="4"/>
      <c r="H1649" s="4"/>
      <c r="I1649" s="3"/>
      <c r="J1649" s="3"/>
      <c r="K1649" s="8" t="str">
        <f t="shared" si="25"/>
        <v/>
      </c>
      <c r="L1649" s="1" t="str">
        <f>IF(COUNTA(A1649:J1649)=0,"",IF(OR(AND(C1649&lt;&gt;"Servicio",C1649&lt;&gt;"Cobro",C1649&lt;&gt;"Anticipo",C1649&lt;&gt;"Aplicación anticipo",C1649&lt;&gt;"Retención ISR",C1649&lt;&gt;"Retención IVA"),AND(C1649="Servicio",F1649&lt;&gt;"TMS",F1649&lt;&gt;"Valoración",F1649&lt;&gt;"EEG",F1649&lt;&gt;"Neurofeedback",F1649&lt;&gt;"Fotobiomodulación",F1649&lt;&gt;"Psicoterapia",F1649&lt;&gt;"Otros")),"Tipo o categoría inválido",IF(COUNTA(A1649:J1649)=0,"",IF(OR(A1649="",B1649="",C1649="",G1649=""),"Faltan datos",IF(COUNTIF($A$7:$A$2006,A1649)&gt;1,"ID duplicado",IF(OR(B1649&lt;DATE(Configuración!$C$5,1,1),B1649&gt;=DATE(Configuración!$C$5+1,1,1)),"Fecha fuera del año",IF(OR(G1649&lt;0,H1649&lt;0),"Revisar signo",IF(AND(C1649&lt;&gt;"Servicio",H1649&lt;&gt;0),"IVA solo en Servicio",IF(AND(C1649="Servicio",F1649=""),"Falta servicio","OK")))))))))</f>
        <v/>
      </c>
    </row>
    <row r="1650" spans="1:12" ht="22" customHeight="1">
      <c r="A1650" s="3"/>
      <c r="B1650" s="7"/>
      <c r="C1650" s="3"/>
      <c r="D1650" s="3"/>
      <c r="E1650" s="3"/>
      <c r="F1650" s="3"/>
      <c r="G1650" s="4"/>
      <c r="H1650" s="4"/>
      <c r="I1650" s="3"/>
      <c r="J1650" s="3"/>
      <c r="K1650" s="8" t="str">
        <f t="shared" si="25"/>
        <v/>
      </c>
      <c r="L1650" s="1" t="str">
        <f>IF(COUNTA(A1650:J1650)=0,"",IF(OR(AND(C1650&lt;&gt;"Servicio",C1650&lt;&gt;"Cobro",C1650&lt;&gt;"Anticipo",C1650&lt;&gt;"Aplicación anticipo",C1650&lt;&gt;"Retención ISR",C1650&lt;&gt;"Retención IVA"),AND(C1650="Servicio",F1650&lt;&gt;"TMS",F1650&lt;&gt;"Valoración",F1650&lt;&gt;"EEG",F1650&lt;&gt;"Neurofeedback",F1650&lt;&gt;"Fotobiomodulación",F1650&lt;&gt;"Psicoterapia",F1650&lt;&gt;"Otros")),"Tipo o categoría inválido",IF(COUNTA(A1650:J1650)=0,"",IF(OR(A1650="",B1650="",C1650="",G1650=""),"Faltan datos",IF(COUNTIF($A$7:$A$2006,A1650)&gt;1,"ID duplicado",IF(OR(B1650&lt;DATE(Configuración!$C$5,1,1),B1650&gt;=DATE(Configuración!$C$5+1,1,1)),"Fecha fuera del año",IF(OR(G1650&lt;0,H1650&lt;0),"Revisar signo",IF(AND(C1650&lt;&gt;"Servicio",H1650&lt;&gt;0),"IVA solo en Servicio",IF(AND(C1650="Servicio",F1650=""),"Falta servicio","OK")))))))))</f>
        <v/>
      </c>
    </row>
    <row r="1651" spans="1:12" ht="22" customHeight="1">
      <c r="A1651" s="3"/>
      <c r="B1651" s="7"/>
      <c r="C1651" s="3"/>
      <c r="D1651" s="3"/>
      <c r="E1651" s="3"/>
      <c r="F1651" s="3"/>
      <c r="G1651" s="4"/>
      <c r="H1651" s="4"/>
      <c r="I1651" s="3"/>
      <c r="J1651" s="3"/>
      <c r="K1651" s="8" t="str">
        <f t="shared" si="25"/>
        <v/>
      </c>
      <c r="L1651" s="1" t="str">
        <f>IF(COUNTA(A1651:J1651)=0,"",IF(OR(AND(C1651&lt;&gt;"Servicio",C1651&lt;&gt;"Cobro",C1651&lt;&gt;"Anticipo",C1651&lt;&gt;"Aplicación anticipo",C1651&lt;&gt;"Retención ISR",C1651&lt;&gt;"Retención IVA"),AND(C1651="Servicio",F1651&lt;&gt;"TMS",F1651&lt;&gt;"Valoración",F1651&lt;&gt;"EEG",F1651&lt;&gt;"Neurofeedback",F1651&lt;&gt;"Fotobiomodulación",F1651&lt;&gt;"Psicoterapia",F1651&lt;&gt;"Otros")),"Tipo o categoría inválido",IF(COUNTA(A1651:J1651)=0,"",IF(OR(A1651="",B1651="",C1651="",G1651=""),"Faltan datos",IF(COUNTIF($A$7:$A$2006,A1651)&gt;1,"ID duplicado",IF(OR(B1651&lt;DATE(Configuración!$C$5,1,1),B1651&gt;=DATE(Configuración!$C$5+1,1,1)),"Fecha fuera del año",IF(OR(G1651&lt;0,H1651&lt;0),"Revisar signo",IF(AND(C1651&lt;&gt;"Servicio",H1651&lt;&gt;0),"IVA solo en Servicio",IF(AND(C1651="Servicio",F1651=""),"Falta servicio","OK")))))))))</f>
        <v/>
      </c>
    </row>
    <row r="1652" spans="1:12" ht="22" customHeight="1">
      <c r="A1652" s="3"/>
      <c r="B1652" s="7"/>
      <c r="C1652" s="3"/>
      <c r="D1652" s="3"/>
      <c r="E1652" s="3"/>
      <c r="F1652" s="3"/>
      <c r="G1652" s="4"/>
      <c r="H1652" s="4"/>
      <c r="I1652" s="3"/>
      <c r="J1652" s="3"/>
      <c r="K1652" s="8" t="str">
        <f t="shared" si="25"/>
        <v/>
      </c>
      <c r="L1652" s="1" t="str">
        <f>IF(COUNTA(A1652:J1652)=0,"",IF(OR(AND(C1652&lt;&gt;"Servicio",C1652&lt;&gt;"Cobro",C1652&lt;&gt;"Anticipo",C1652&lt;&gt;"Aplicación anticipo",C1652&lt;&gt;"Retención ISR",C1652&lt;&gt;"Retención IVA"),AND(C1652="Servicio",F1652&lt;&gt;"TMS",F1652&lt;&gt;"Valoración",F1652&lt;&gt;"EEG",F1652&lt;&gt;"Neurofeedback",F1652&lt;&gt;"Fotobiomodulación",F1652&lt;&gt;"Psicoterapia",F1652&lt;&gt;"Otros")),"Tipo o categoría inválido",IF(COUNTA(A1652:J1652)=0,"",IF(OR(A1652="",B1652="",C1652="",G1652=""),"Faltan datos",IF(COUNTIF($A$7:$A$2006,A1652)&gt;1,"ID duplicado",IF(OR(B1652&lt;DATE(Configuración!$C$5,1,1),B1652&gt;=DATE(Configuración!$C$5+1,1,1)),"Fecha fuera del año",IF(OR(G1652&lt;0,H1652&lt;0),"Revisar signo",IF(AND(C1652&lt;&gt;"Servicio",H1652&lt;&gt;0),"IVA solo en Servicio",IF(AND(C1652="Servicio",F1652=""),"Falta servicio","OK")))))))))</f>
        <v/>
      </c>
    </row>
    <row r="1653" spans="1:12" ht="22" customHeight="1">
      <c r="A1653" s="3"/>
      <c r="B1653" s="7"/>
      <c r="C1653" s="3"/>
      <c r="D1653" s="3"/>
      <c r="E1653" s="3"/>
      <c r="F1653" s="3"/>
      <c r="G1653" s="4"/>
      <c r="H1653" s="4"/>
      <c r="I1653" s="3"/>
      <c r="J1653" s="3"/>
      <c r="K1653" s="8" t="str">
        <f t="shared" si="25"/>
        <v/>
      </c>
      <c r="L1653" s="1" t="str">
        <f>IF(COUNTA(A1653:J1653)=0,"",IF(OR(AND(C1653&lt;&gt;"Servicio",C1653&lt;&gt;"Cobro",C1653&lt;&gt;"Anticipo",C1653&lt;&gt;"Aplicación anticipo",C1653&lt;&gt;"Retención ISR",C1653&lt;&gt;"Retención IVA"),AND(C1653="Servicio",F1653&lt;&gt;"TMS",F1653&lt;&gt;"Valoración",F1653&lt;&gt;"EEG",F1653&lt;&gt;"Neurofeedback",F1653&lt;&gt;"Fotobiomodulación",F1653&lt;&gt;"Psicoterapia",F1653&lt;&gt;"Otros")),"Tipo o categoría inválido",IF(COUNTA(A1653:J1653)=0,"",IF(OR(A1653="",B1653="",C1653="",G1653=""),"Faltan datos",IF(COUNTIF($A$7:$A$2006,A1653)&gt;1,"ID duplicado",IF(OR(B1653&lt;DATE(Configuración!$C$5,1,1),B1653&gt;=DATE(Configuración!$C$5+1,1,1)),"Fecha fuera del año",IF(OR(G1653&lt;0,H1653&lt;0),"Revisar signo",IF(AND(C1653&lt;&gt;"Servicio",H1653&lt;&gt;0),"IVA solo en Servicio",IF(AND(C1653="Servicio",F1653=""),"Falta servicio","OK")))))))))</f>
        <v/>
      </c>
    </row>
    <row r="1654" spans="1:12" ht="22" customHeight="1">
      <c r="A1654" s="3"/>
      <c r="B1654" s="7"/>
      <c r="C1654" s="3"/>
      <c r="D1654" s="3"/>
      <c r="E1654" s="3"/>
      <c r="F1654" s="3"/>
      <c r="G1654" s="4"/>
      <c r="H1654" s="4"/>
      <c r="I1654" s="3"/>
      <c r="J1654" s="3"/>
      <c r="K1654" s="8" t="str">
        <f t="shared" si="25"/>
        <v/>
      </c>
      <c r="L1654" s="1" t="str">
        <f>IF(COUNTA(A1654:J1654)=0,"",IF(OR(AND(C1654&lt;&gt;"Servicio",C1654&lt;&gt;"Cobro",C1654&lt;&gt;"Anticipo",C1654&lt;&gt;"Aplicación anticipo",C1654&lt;&gt;"Retención ISR",C1654&lt;&gt;"Retención IVA"),AND(C1654="Servicio",F1654&lt;&gt;"TMS",F1654&lt;&gt;"Valoración",F1654&lt;&gt;"EEG",F1654&lt;&gt;"Neurofeedback",F1654&lt;&gt;"Fotobiomodulación",F1654&lt;&gt;"Psicoterapia",F1654&lt;&gt;"Otros")),"Tipo o categoría inválido",IF(COUNTA(A1654:J1654)=0,"",IF(OR(A1654="",B1654="",C1654="",G1654=""),"Faltan datos",IF(COUNTIF($A$7:$A$2006,A1654)&gt;1,"ID duplicado",IF(OR(B1654&lt;DATE(Configuración!$C$5,1,1),B1654&gt;=DATE(Configuración!$C$5+1,1,1)),"Fecha fuera del año",IF(OR(G1654&lt;0,H1654&lt;0),"Revisar signo",IF(AND(C1654&lt;&gt;"Servicio",H1654&lt;&gt;0),"IVA solo en Servicio",IF(AND(C1654="Servicio",F1654=""),"Falta servicio","OK")))))))))</f>
        <v/>
      </c>
    </row>
    <row r="1655" spans="1:12" ht="22" customHeight="1">
      <c r="A1655" s="3"/>
      <c r="B1655" s="7"/>
      <c r="C1655" s="3"/>
      <c r="D1655" s="3"/>
      <c r="E1655" s="3"/>
      <c r="F1655" s="3"/>
      <c r="G1655" s="4"/>
      <c r="H1655" s="4"/>
      <c r="I1655" s="3"/>
      <c r="J1655" s="3"/>
      <c r="K1655" s="8" t="str">
        <f t="shared" si="25"/>
        <v/>
      </c>
      <c r="L1655" s="1" t="str">
        <f>IF(COUNTA(A1655:J1655)=0,"",IF(OR(AND(C1655&lt;&gt;"Servicio",C1655&lt;&gt;"Cobro",C1655&lt;&gt;"Anticipo",C1655&lt;&gt;"Aplicación anticipo",C1655&lt;&gt;"Retención ISR",C1655&lt;&gt;"Retención IVA"),AND(C1655="Servicio",F1655&lt;&gt;"TMS",F1655&lt;&gt;"Valoración",F1655&lt;&gt;"EEG",F1655&lt;&gt;"Neurofeedback",F1655&lt;&gt;"Fotobiomodulación",F1655&lt;&gt;"Psicoterapia",F1655&lt;&gt;"Otros")),"Tipo o categoría inválido",IF(COUNTA(A1655:J1655)=0,"",IF(OR(A1655="",B1655="",C1655="",G1655=""),"Faltan datos",IF(COUNTIF($A$7:$A$2006,A1655)&gt;1,"ID duplicado",IF(OR(B1655&lt;DATE(Configuración!$C$5,1,1),B1655&gt;=DATE(Configuración!$C$5+1,1,1)),"Fecha fuera del año",IF(OR(G1655&lt;0,H1655&lt;0),"Revisar signo",IF(AND(C1655&lt;&gt;"Servicio",H1655&lt;&gt;0),"IVA solo en Servicio",IF(AND(C1655="Servicio",F1655=""),"Falta servicio","OK")))))))))</f>
        <v/>
      </c>
    </row>
    <row r="1656" spans="1:12" ht="22" customHeight="1">
      <c r="A1656" s="3"/>
      <c r="B1656" s="7"/>
      <c r="C1656" s="3"/>
      <c r="D1656" s="3"/>
      <c r="E1656" s="3"/>
      <c r="F1656" s="3"/>
      <c r="G1656" s="4"/>
      <c r="H1656" s="4"/>
      <c r="I1656" s="3"/>
      <c r="J1656" s="3"/>
      <c r="K1656" s="8" t="str">
        <f t="shared" si="25"/>
        <v/>
      </c>
      <c r="L1656" s="1" t="str">
        <f>IF(COUNTA(A1656:J1656)=0,"",IF(OR(AND(C1656&lt;&gt;"Servicio",C1656&lt;&gt;"Cobro",C1656&lt;&gt;"Anticipo",C1656&lt;&gt;"Aplicación anticipo",C1656&lt;&gt;"Retención ISR",C1656&lt;&gt;"Retención IVA"),AND(C1656="Servicio",F1656&lt;&gt;"TMS",F1656&lt;&gt;"Valoración",F1656&lt;&gt;"EEG",F1656&lt;&gt;"Neurofeedback",F1656&lt;&gt;"Fotobiomodulación",F1656&lt;&gt;"Psicoterapia",F1656&lt;&gt;"Otros")),"Tipo o categoría inválido",IF(COUNTA(A1656:J1656)=0,"",IF(OR(A1656="",B1656="",C1656="",G1656=""),"Faltan datos",IF(COUNTIF($A$7:$A$2006,A1656)&gt;1,"ID duplicado",IF(OR(B1656&lt;DATE(Configuración!$C$5,1,1),B1656&gt;=DATE(Configuración!$C$5+1,1,1)),"Fecha fuera del año",IF(OR(G1656&lt;0,H1656&lt;0),"Revisar signo",IF(AND(C1656&lt;&gt;"Servicio",H1656&lt;&gt;0),"IVA solo en Servicio",IF(AND(C1656="Servicio",F1656=""),"Falta servicio","OK")))))))))</f>
        <v/>
      </c>
    </row>
    <row r="1657" spans="1:12" ht="22" customHeight="1">
      <c r="A1657" s="3"/>
      <c r="B1657" s="7"/>
      <c r="C1657" s="3"/>
      <c r="D1657" s="3"/>
      <c r="E1657" s="3"/>
      <c r="F1657" s="3"/>
      <c r="G1657" s="4"/>
      <c r="H1657" s="4"/>
      <c r="I1657" s="3"/>
      <c r="J1657" s="3"/>
      <c r="K1657" s="8" t="str">
        <f t="shared" si="25"/>
        <v/>
      </c>
      <c r="L1657" s="1" t="str">
        <f>IF(COUNTA(A1657:J1657)=0,"",IF(OR(AND(C1657&lt;&gt;"Servicio",C1657&lt;&gt;"Cobro",C1657&lt;&gt;"Anticipo",C1657&lt;&gt;"Aplicación anticipo",C1657&lt;&gt;"Retención ISR",C1657&lt;&gt;"Retención IVA"),AND(C1657="Servicio",F1657&lt;&gt;"TMS",F1657&lt;&gt;"Valoración",F1657&lt;&gt;"EEG",F1657&lt;&gt;"Neurofeedback",F1657&lt;&gt;"Fotobiomodulación",F1657&lt;&gt;"Psicoterapia",F1657&lt;&gt;"Otros")),"Tipo o categoría inválido",IF(COUNTA(A1657:J1657)=0,"",IF(OR(A1657="",B1657="",C1657="",G1657=""),"Faltan datos",IF(COUNTIF($A$7:$A$2006,A1657)&gt;1,"ID duplicado",IF(OR(B1657&lt;DATE(Configuración!$C$5,1,1),B1657&gt;=DATE(Configuración!$C$5+1,1,1)),"Fecha fuera del año",IF(OR(G1657&lt;0,H1657&lt;0),"Revisar signo",IF(AND(C1657&lt;&gt;"Servicio",H1657&lt;&gt;0),"IVA solo en Servicio",IF(AND(C1657="Servicio",F1657=""),"Falta servicio","OK")))))))))</f>
        <v/>
      </c>
    </row>
    <row r="1658" spans="1:12" ht="22" customHeight="1">
      <c r="A1658" s="3"/>
      <c r="B1658" s="7"/>
      <c r="C1658" s="3"/>
      <c r="D1658" s="3"/>
      <c r="E1658" s="3"/>
      <c r="F1658" s="3"/>
      <c r="G1658" s="4"/>
      <c r="H1658" s="4"/>
      <c r="I1658" s="3"/>
      <c r="J1658" s="3"/>
      <c r="K1658" s="8" t="str">
        <f t="shared" si="25"/>
        <v/>
      </c>
      <c r="L1658" s="1" t="str">
        <f>IF(COUNTA(A1658:J1658)=0,"",IF(OR(AND(C1658&lt;&gt;"Servicio",C1658&lt;&gt;"Cobro",C1658&lt;&gt;"Anticipo",C1658&lt;&gt;"Aplicación anticipo",C1658&lt;&gt;"Retención ISR",C1658&lt;&gt;"Retención IVA"),AND(C1658="Servicio",F1658&lt;&gt;"TMS",F1658&lt;&gt;"Valoración",F1658&lt;&gt;"EEG",F1658&lt;&gt;"Neurofeedback",F1658&lt;&gt;"Fotobiomodulación",F1658&lt;&gt;"Psicoterapia",F1658&lt;&gt;"Otros")),"Tipo o categoría inválido",IF(COUNTA(A1658:J1658)=0,"",IF(OR(A1658="",B1658="",C1658="",G1658=""),"Faltan datos",IF(COUNTIF($A$7:$A$2006,A1658)&gt;1,"ID duplicado",IF(OR(B1658&lt;DATE(Configuración!$C$5,1,1),B1658&gt;=DATE(Configuración!$C$5+1,1,1)),"Fecha fuera del año",IF(OR(G1658&lt;0,H1658&lt;0),"Revisar signo",IF(AND(C1658&lt;&gt;"Servicio",H1658&lt;&gt;0),"IVA solo en Servicio",IF(AND(C1658="Servicio",F1658=""),"Falta servicio","OK")))))))))</f>
        <v/>
      </c>
    </row>
    <row r="1659" spans="1:12" ht="22" customHeight="1">
      <c r="A1659" s="3"/>
      <c r="B1659" s="7"/>
      <c r="C1659" s="3"/>
      <c r="D1659" s="3"/>
      <c r="E1659" s="3"/>
      <c r="F1659" s="3"/>
      <c r="G1659" s="4"/>
      <c r="H1659" s="4"/>
      <c r="I1659" s="3"/>
      <c r="J1659" s="3"/>
      <c r="K1659" s="8" t="str">
        <f t="shared" si="25"/>
        <v/>
      </c>
      <c r="L1659" s="1" t="str">
        <f>IF(COUNTA(A1659:J1659)=0,"",IF(OR(AND(C1659&lt;&gt;"Servicio",C1659&lt;&gt;"Cobro",C1659&lt;&gt;"Anticipo",C1659&lt;&gt;"Aplicación anticipo",C1659&lt;&gt;"Retención ISR",C1659&lt;&gt;"Retención IVA"),AND(C1659="Servicio",F1659&lt;&gt;"TMS",F1659&lt;&gt;"Valoración",F1659&lt;&gt;"EEG",F1659&lt;&gt;"Neurofeedback",F1659&lt;&gt;"Fotobiomodulación",F1659&lt;&gt;"Psicoterapia",F1659&lt;&gt;"Otros")),"Tipo o categoría inválido",IF(COUNTA(A1659:J1659)=0,"",IF(OR(A1659="",B1659="",C1659="",G1659=""),"Faltan datos",IF(COUNTIF($A$7:$A$2006,A1659)&gt;1,"ID duplicado",IF(OR(B1659&lt;DATE(Configuración!$C$5,1,1),B1659&gt;=DATE(Configuración!$C$5+1,1,1)),"Fecha fuera del año",IF(OR(G1659&lt;0,H1659&lt;0),"Revisar signo",IF(AND(C1659&lt;&gt;"Servicio",H1659&lt;&gt;0),"IVA solo en Servicio",IF(AND(C1659="Servicio",F1659=""),"Falta servicio","OK")))))))))</f>
        <v/>
      </c>
    </row>
    <row r="1660" spans="1:12" ht="22" customHeight="1">
      <c r="A1660" s="3"/>
      <c r="B1660" s="7"/>
      <c r="C1660" s="3"/>
      <c r="D1660" s="3"/>
      <c r="E1660" s="3"/>
      <c r="F1660" s="3"/>
      <c r="G1660" s="4"/>
      <c r="H1660" s="4"/>
      <c r="I1660" s="3"/>
      <c r="J1660" s="3"/>
      <c r="K1660" s="8" t="str">
        <f t="shared" si="25"/>
        <v/>
      </c>
      <c r="L1660" s="1" t="str">
        <f>IF(COUNTA(A1660:J1660)=0,"",IF(OR(AND(C1660&lt;&gt;"Servicio",C1660&lt;&gt;"Cobro",C1660&lt;&gt;"Anticipo",C1660&lt;&gt;"Aplicación anticipo",C1660&lt;&gt;"Retención ISR",C1660&lt;&gt;"Retención IVA"),AND(C1660="Servicio",F1660&lt;&gt;"TMS",F1660&lt;&gt;"Valoración",F1660&lt;&gt;"EEG",F1660&lt;&gt;"Neurofeedback",F1660&lt;&gt;"Fotobiomodulación",F1660&lt;&gt;"Psicoterapia",F1660&lt;&gt;"Otros")),"Tipo o categoría inválido",IF(COUNTA(A1660:J1660)=0,"",IF(OR(A1660="",B1660="",C1660="",G1660=""),"Faltan datos",IF(COUNTIF($A$7:$A$2006,A1660)&gt;1,"ID duplicado",IF(OR(B1660&lt;DATE(Configuración!$C$5,1,1),B1660&gt;=DATE(Configuración!$C$5+1,1,1)),"Fecha fuera del año",IF(OR(G1660&lt;0,H1660&lt;0),"Revisar signo",IF(AND(C1660&lt;&gt;"Servicio",H1660&lt;&gt;0),"IVA solo en Servicio",IF(AND(C1660="Servicio",F1660=""),"Falta servicio","OK")))))))))</f>
        <v/>
      </c>
    </row>
    <row r="1661" spans="1:12" ht="22" customHeight="1">
      <c r="A1661" s="3"/>
      <c r="B1661" s="7"/>
      <c r="C1661" s="3"/>
      <c r="D1661" s="3"/>
      <c r="E1661" s="3"/>
      <c r="F1661" s="3"/>
      <c r="G1661" s="4"/>
      <c r="H1661" s="4"/>
      <c r="I1661" s="3"/>
      <c r="J1661" s="3"/>
      <c r="K1661" s="8" t="str">
        <f t="shared" si="25"/>
        <v/>
      </c>
      <c r="L1661" s="1" t="str">
        <f>IF(COUNTA(A1661:J1661)=0,"",IF(OR(AND(C1661&lt;&gt;"Servicio",C1661&lt;&gt;"Cobro",C1661&lt;&gt;"Anticipo",C1661&lt;&gt;"Aplicación anticipo",C1661&lt;&gt;"Retención ISR",C1661&lt;&gt;"Retención IVA"),AND(C1661="Servicio",F1661&lt;&gt;"TMS",F1661&lt;&gt;"Valoración",F1661&lt;&gt;"EEG",F1661&lt;&gt;"Neurofeedback",F1661&lt;&gt;"Fotobiomodulación",F1661&lt;&gt;"Psicoterapia",F1661&lt;&gt;"Otros")),"Tipo o categoría inválido",IF(COUNTA(A1661:J1661)=0,"",IF(OR(A1661="",B1661="",C1661="",G1661=""),"Faltan datos",IF(COUNTIF($A$7:$A$2006,A1661)&gt;1,"ID duplicado",IF(OR(B1661&lt;DATE(Configuración!$C$5,1,1),B1661&gt;=DATE(Configuración!$C$5+1,1,1)),"Fecha fuera del año",IF(OR(G1661&lt;0,H1661&lt;0),"Revisar signo",IF(AND(C1661&lt;&gt;"Servicio",H1661&lt;&gt;0),"IVA solo en Servicio",IF(AND(C1661="Servicio",F1661=""),"Falta servicio","OK")))))))))</f>
        <v/>
      </c>
    </row>
    <row r="1662" spans="1:12" ht="22" customHeight="1">
      <c r="A1662" s="3"/>
      <c r="B1662" s="7"/>
      <c r="C1662" s="3"/>
      <c r="D1662" s="3"/>
      <c r="E1662" s="3"/>
      <c r="F1662" s="3"/>
      <c r="G1662" s="4"/>
      <c r="H1662" s="4"/>
      <c r="I1662" s="3"/>
      <c r="J1662" s="3"/>
      <c r="K1662" s="8" t="str">
        <f t="shared" si="25"/>
        <v/>
      </c>
      <c r="L1662" s="1" t="str">
        <f>IF(COUNTA(A1662:J1662)=0,"",IF(OR(AND(C1662&lt;&gt;"Servicio",C1662&lt;&gt;"Cobro",C1662&lt;&gt;"Anticipo",C1662&lt;&gt;"Aplicación anticipo",C1662&lt;&gt;"Retención ISR",C1662&lt;&gt;"Retención IVA"),AND(C1662="Servicio",F1662&lt;&gt;"TMS",F1662&lt;&gt;"Valoración",F1662&lt;&gt;"EEG",F1662&lt;&gt;"Neurofeedback",F1662&lt;&gt;"Fotobiomodulación",F1662&lt;&gt;"Psicoterapia",F1662&lt;&gt;"Otros")),"Tipo o categoría inválido",IF(COUNTA(A1662:J1662)=0,"",IF(OR(A1662="",B1662="",C1662="",G1662=""),"Faltan datos",IF(COUNTIF($A$7:$A$2006,A1662)&gt;1,"ID duplicado",IF(OR(B1662&lt;DATE(Configuración!$C$5,1,1),B1662&gt;=DATE(Configuración!$C$5+1,1,1)),"Fecha fuera del año",IF(OR(G1662&lt;0,H1662&lt;0),"Revisar signo",IF(AND(C1662&lt;&gt;"Servicio",H1662&lt;&gt;0),"IVA solo en Servicio",IF(AND(C1662="Servicio",F1662=""),"Falta servicio","OK")))))))))</f>
        <v/>
      </c>
    </row>
    <row r="1663" spans="1:12" ht="22" customHeight="1">
      <c r="A1663" s="3"/>
      <c r="B1663" s="7"/>
      <c r="C1663" s="3"/>
      <c r="D1663" s="3"/>
      <c r="E1663" s="3"/>
      <c r="F1663" s="3"/>
      <c r="G1663" s="4"/>
      <c r="H1663" s="4"/>
      <c r="I1663" s="3"/>
      <c r="J1663" s="3"/>
      <c r="K1663" s="8" t="str">
        <f t="shared" si="25"/>
        <v/>
      </c>
      <c r="L1663" s="1" t="str">
        <f>IF(COUNTA(A1663:J1663)=0,"",IF(OR(AND(C1663&lt;&gt;"Servicio",C1663&lt;&gt;"Cobro",C1663&lt;&gt;"Anticipo",C1663&lt;&gt;"Aplicación anticipo",C1663&lt;&gt;"Retención ISR",C1663&lt;&gt;"Retención IVA"),AND(C1663="Servicio",F1663&lt;&gt;"TMS",F1663&lt;&gt;"Valoración",F1663&lt;&gt;"EEG",F1663&lt;&gt;"Neurofeedback",F1663&lt;&gt;"Fotobiomodulación",F1663&lt;&gt;"Psicoterapia",F1663&lt;&gt;"Otros")),"Tipo o categoría inválido",IF(COUNTA(A1663:J1663)=0,"",IF(OR(A1663="",B1663="",C1663="",G1663=""),"Faltan datos",IF(COUNTIF($A$7:$A$2006,A1663)&gt;1,"ID duplicado",IF(OR(B1663&lt;DATE(Configuración!$C$5,1,1),B1663&gt;=DATE(Configuración!$C$5+1,1,1)),"Fecha fuera del año",IF(OR(G1663&lt;0,H1663&lt;0),"Revisar signo",IF(AND(C1663&lt;&gt;"Servicio",H1663&lt;&gt;0),"IVA solo en Servicio",IF(AND(C1663="Servicio",F1663=""),"Falta servicio","OK")))))))))</f>
        <v/>
      </c>
    </row>
    <row r="1664" spans="1:12" ht="22" customHeight="1">
      <c r="A1664" s="3"/>
      <c r="B1664" s="7"/>
      <c r="C1664" s="3"/>
      <c r="D1664" s="3"/>
      <c r="E1664" s="3"/>
      <c r="F1664" s="3"/>
      <c r="G1664" s="4"/>
      <c r="H1664" s="4"/>
      <c r="I1664" s="3"/>
      <c r="J1664" s="3"/>
      <c r="K1664" s="8" t="str">
        <f t="shared" si="25"/>
        <v/>
      </c>
      <c r="L1664" s="1" t="str">
        <f>IF(COUNTA(A1664:J1664)=0,"",IF(OR(AND(C1664&lt;&gt;"Servicio",C1664&lt;&gt;"Cobro",C1664&lt;&gt;"Anticipo",C1664&lt;&gt;"Aplicación anticipo",C1664&lt;&gt;"Retención ISR",C1664&lt;&gt;"Retención IVA"),AND(C1664="Servicio",F1664&lt;&gt;"TMS",F1664&lt;&gt;"Valoración",F1664&lt;&gt;"EEG",F1664&lt;&gt;"Neurofeedback",F1664&lt;&gt;"Fotobiomodulación",F1664&lt;&gt;"Psicoterapia",F1664&lt;&gt;"Otros")),"Tipo o categoría inválido",IF(COUNTA(A1664:J1664)=0,"",IF(OR(A1664="",B1664="",C1664="",G1664=""),"Faltan datos",IF(COUNTIF($A$7:$A$2006,A1664)&gt;1,"ID duplicado",IF(OR(B1664&lt;DATE(Configuración!$C$5,1,1),B1664&gt;=DATE(Configuración!$C$5+1,1,1)),"Fecha fuera del año",IF(OR(G1664&lt;0,H1664&lt;0),"Revisar signo",IF(AND(C1664&lt;&gt;"Servicio",H1664&lt;&gt;0),"IVA solo en Servicio",IF(AND(C1664="Servicio",F1664=""),"Falta servicio","OK")))))))))</f>
        <v/>
      </c>
    </row>
    <row r="1665" spans="1:12" ht="22" customHeight="1">
      <c r="A1665" s="3"/>
      <c r="B1665" s="7"/>
      <c r="C1665" s="3"/>
      <c r="D1665" s="3"/>
      <c r="E1665" s="3"/>
      <c r="F1665" s="3"/>
      <c r="G1665" s="4"/>
      <c r="H1665" s="4"/>
      <c r="I1665" s="3"/>
      <c r="J1665" s="3"/>
      <c r="K1665" s="8" t="str">
        <f t="shared" si="25"/>
        <v/>
      </c>
      <c r="L1665" s="1" t="str">
        <f>IF(COUNTA(A1665:J1665)=0,"",IF(OR(AND(C1665&lt;&gt;"Servicio",C1665&lt;&gt;"Cobro",C1665&lt;&gt;"Anticipo",C1665&lt;&gt;"Aplicación anticipo",C1665&lt;&gt;"Retención ISR",C1665&lt;&gt;"Retención IVA"),AND(C1665="Servicio",F1665&lt;&gt;"TMS",F1665&lt;&gt;"Valoración",F1665&lt;&gt;"EEG",F1665&lt;&gt;"Neurofeedback",F1665&lt;&gt;"Fotobiomodulación",F1665&lt;&gt;"Psicoterapia",F1665&lt;&gt;"Otros")),"Tipo o categoría inválido",IF(COUNTA(A1665:J1665)=0,"",IF(OR(A1665="",B1665="",C1665="",G1665=""),"Faltan datos",IF(COUNTIF($A$7:$A$2006,A1665)&gt;1,"ID duplicado",IF(OR(B1665&lt;DATE(Configuración!$C$5,1,1),B1665&gt;=DATE(Configuración!$C$5+1,1,1)),"Fecha fuera del año",IF(OR(G1665&lt;0,H1665&lt;0),"Revisar signo",IF(AND(C1665&lt;&gt;"Servicio",H1665&lt;&gt;0),"IVA solo en Servicio",IF(AND(C1665="Servicio",F1665=""),"Falta servicio","OK")))))))))</f>
        <v/>
      </c>
    </row>
    <row r="1666" spans="1:12" ht="22" customHeight="1">
      <c r="A1666" s="3"/>
      <c r="B1666" s="7"/>
      <c r="C1666" s="3"/>
      <c r="D1666" s="3"/>
      <c r="E1666" s="3"/>
      <c r="F1666" s="3"/>
      <c r="G1666" s="4"/>
      <c r="H1666" s="4"/>
      <c r="I1666" s="3"/>
      <c r="J1666" s="3"/>
      <c r="K1666" s="8" t="str">
        <f t="shared" si="25"/>
        <v/>
      </c>
      <c r="L1666" s="1" t="str">
        <f>IF(COUNTA(A1666:J1666)=0,"",IF(OR(AND(C1666&lt;&gt;"Servicio",C1666&lt;&gt;"Cobro",C1666&lt;&gt;"Anticipo",C1666&lt;&gt;"Aplicación anticipo",C1666&lt;&gt;"Retención ISR",C1666&lt;&gt;"Retención IVA"),AND(C1666="Servicio",F1666&lt;&gt;"TMS",F1666&lt;&gt;"Valoración",F1666&lt;&gt;"EEG",F1666&lt;&gt;"Neurofeedback",F1666&lt;&gt;"Fotobiomodulación",F1666&lt;&gt;"Psicoterapia",F1666&lt;&gt;"Otros")),"Tipo o categoría inválido",IF(COUNTA(A1666:J1666)=0,"",IF(OR(A1666="",B1666="",C1666="",G1666=""),"Faltan datos",IF(COUNTIF($A$7:$A$2006,A1666)&gt;1,"ID duplicado",IF(OR(B1666&lt;DATE(Configuración!$C$5,1,1),B1666&gt;=DATE(Configuración!$C$5+1,1,1)),"Fecha fuera del año",IF(OR(G1666&lt;0,H1666&lt;0),"Revisar signo",IF(AND(C1666&lt;&gt;"Servicio",H1666&lt;&gt;0),"IVA solo en Servicio",IF(AND(C1666="Servicio",F1666=""),"Falta servicio","OK")))))))))</f>
        <v/>
      </c>
    </row>
    <row r="1667" spans="1:12" ht="22" customHeight="1">
      <c r="A1667" s="3"/>
      <c r="B1667" s="7"/>
      <c r="C1667" s="3"/>
      <c r="D1667" s="3"/>
      <c r="E1667" s="3"/>
      <c r="F1667" s="3"/>
      <c r="G1667" s="4"/>
      <c r="H1667" s="4"/>
      <c r="I1667" s="3"/>
      <c r="J1667" s="3"/>
      <c r="K1667" s="8" t="str">
        <f t="shared" si="25"/>
        <v/>
      </c>
      <c r="L1667" s="1" t="str">
        <f>IF(COUNTA(A1667:J1667)=0,"",IF(OR(AND(C1667&lt;&gt;"Servicio",C1667&lt;&gt;"Cobro",C1667&lt;&gt;"Anticipo",C1667&lt;&gt;"Aplicación anticipo",C1667&lt;&gt;"Retención ISR",C1667&lt;&gt;"Retención IVA"),AND(C1667="Servicio",F1667&lt;&gt;"TMS",F1667&lt;&gt;"Valoración",F1667&lt;&gt;"EEG",F1667&lt;&gt;"Neurofeedback",F1667&lt;&gt;"Fotobiomodulación",F1667&lt;&gt;"Psicoterapia",F1667&lt;&gt;"Otros")),"Tipo o categoría inválido",IF(COUNTA(A1667:J1667)=0,"",IF(OR(A1667="",B1667="",C1667="",G1667=""),"Faltan datos",IF(COUNTIF($A$7:$A$2006,A1667)&gt;1,"ID duplicado",IF(OR(B1667&lt;DATE(Configuración!$C$5,1,1),B1667&gt;=DATE(Configuración!$C$5+1,1,1)),"Fecha fuera del año",IF(OR(G1667&lt;0,H1667&lt;0),"Revisar signo",IF(AND(C1667&lt;&gt;"Servicio",H1667&lt;&gt;0),"IVA solo en Servicio",IF(AND(C1667="Servicio",F1667=""),"Falta servicio","OK")))))))))</f>
        <v/>
      </c>
    </row>
    <row r="1668" spans="1:12" ht="22" customHeight="1">
      <c r="A1668" s="3"/>
      <c r="B1668" s="7"/>
      <c r="C1668" s="3"/>
      <c r="D1668" s="3"/>
      <c r="E1668" s="3"/>
      <c r="F1668" s="3"/>
      <c r="G1668" s="4"/>
      <c r="H1668" s="4"/>
      <c r="I1668" s="3"/>
      <c r="J1668" s="3"/>
      <c r="K1668" s="8" t="str">
        <f t="shared" si="25"/>
        <v/>
      </c>
      <c r="L1668" s="1" t="str">
        <f>IF(COUNTA(A1668:J1668)=0,"",IF(OR(AND(C1668&lt;&gt;"Servicio",C1668&lt;&gt;"Cobro",C1668&lt;&gt;"Anticipo",C1668&lt;&gt;"Aplicación anticipo",C1668&lt;&gt;"Retención ISR",C1668&lt;&gt;"Retención IVA"),AND(C1668="Servicio",F1668&lt;&gt;"TMS",F1668&lt;&gt;"Valoración",F1668&lt;&gt;"EEG",F1668&lt;&gt;"Neurofeedback",F1668&lt;&gt;"Fotobiomodulación",F1668&lt;&gt;"Psicoterapia",F1668&lt;&gt;"Otros")),"Tipo o categoría inválido",IF(COUNTA(A1668:J1668)=0,"",IF(OR(A1668="",B1668="",C1668="",G1668=""),"Faltan datos",IF(COUNTIF($A$7:$A$2006,A1668)&gt;1,"ID duplicado",IF(OR(B1668&lt;DATE(Configuración!$C$5,1,1),B1668&gt;=DATE(Configuración!$C$5+1,1,1)),"Fecha fuera del año",IF(OR(G1668&lt;0,H1668&lt;0),"Revisar signo",IF(AND(C1668&lt;&gt;"Servicio",H1668&lt;&gt;0),"IVA solo en Servicio",IF(AND(C1668="Servicio",F1668=""),"Falta servicio","OK")))))))))</f>
        <v/>
      </c>
    </row>
    <row r="1669" spans="1:12" ht="22" customHeight="1">
      <c r="A1669" s="3"/>
      <c r="B1669" s="7"/>
      <c r="C1669" s="3"/>
      <c r="D1669" s="3"/>
      <c r="E1669" s="3"/>
      <c r="F1669" s="3"/>
      <c r="G1669" s="4"/>
      <c r="H1669" s="4"/>
      <c r="I1669" s="3"/>
      <c r="J1669" s="3"/>
      <c r="K1669" s="8" t="str">
        <f t="shared" si="25"/>
        <v/>
      </c>
      <c r="L1669" s="1" t="str">
        <f>IF(COUNTA(A1669:J1669)=0,"",IF(OR(AND(C1669&lt;&gt;"Servicio",C1669&lt;&gt;"Cobro",C1669&lt;&gt;"Anticipo",C1669&lt;&gt;"Aplicación anticipo",C1669&lt;&gt;"Retención ISR",C1669&lt;&gt;"Retención IVA"),AND(C1669="Servicio",F1669&lt;&gt;"TMS",F1669&lt;&gt;"Valoración",F1669&lt;&gt;"EEG",F1669&lt;&gt;"Neurofeedback",F1669&lt;&gt;"Fotobiomodulación",F1669&lt;&gt;"Psicoterapia",F1669&lt;&gt;"Otros")),"Tipo o categoría inválido",IF(COUNTA(A1669:J1669)=0,"",IF(OR(A1669="",B1669="",C1669="",G1669=""),"Faltan datos",IF(COUNTIF($A$7:$A$2006,A1669)&gt;1,"ID duplicado",IF(OR(B1669&lt;DATE(Configuración!$C$5,1,1),B1669&gt;=DATE(Configuración!$C$5+1,1,1)),"Fecha fuera del año",IF(OR(G1669&lt;0,H1669&lt;0),"Revisar signo",IF(AND(C1669&lt;&gt;"Servicio",H1669&lt;&gt;0),"IVA solo en Servicio",IF(AND(C1669="Servicio",F1669=""),"Falta servicio","OK")))))))))</f>
        <v/>
      </c>
    </row>
    <row r="1670" spans="1:12" ht="22" customHeight="1">
      <c r="A1670" s="3"/>
      <c r="B1670" s="7"/>
      <c r="C1670" s="3"/>
      <c r="D1670" s="3"/>
      <c r="E1670" s="3"/>
      <c r="F1670" s="3"/>
      <c r="G1670" s="4"/>
      <c r="H1670" s="4"/>
      <c r="I1670" s="3"/>
      <c r="J1670" s="3"/>
      <c r="K1670" s="8" t="str">
        <f t="shared" si="25"/>
        <v/>
      </c>
      <c r="L1670" s="1" t="str">
        <f>IF(COUNTA(A1670:J1670)=0,"",IF(OR(AND(C1670&lt;&gt;"Servicio",C1670&lt;&gt;"Cobro",C1670&lt;&gt;"Anticipo",C1670&lt;&gt;"Aplicación anticipo",C1670&lt;&gt;"Retención ISR",C1670&lt;&gt;"Retención IVA"),AND(C1670="Servicio",F1670&lt;&gt;"TMS",F1670&lt;&gt;"Valoración",F1670&lt;&gt;"EEG",F1670&lt;&gt;"Neurofeedback",F1670&lt;&gt;"Fotobiomodulación",F1670&lt;&gt;"Psicoterapia",F1670&lt;&gt;"Otros")),"Tipo o categoría inválido",IF(COUNTA(A1670:J1670)=0,"",IF(OR(A1670="",B1670="",C1670="",G1670=""),"Faltan datos",IF(COUNTIF($A$7:$A$2006,A1670)&gt;1,"ID duplicado",IF(OR(B1670&lt;DATE(Configuración!$C$5,1,1),B1670&gt;=DATE(Configuración!$C$5+1,1,1)),"Fecha fuera del año",IF(OR(G1670&lt;0,H1670&lt;0),"Revisar signo",IF(AND(C1670&lt;&gt;"Servicio",H1670&lt;&gt;0),"IVA solo en Servicio",IF(AND(C1670="Servicio",F1670=""),"Falta servicio","OK")))))))))</f>
        <v/>
      </c>
    </row>
    <row r="1671" spans="1:12" ht="22" customHeight="1">
      <c r="A1671" s="3"/>
      <c r="B1671" s="7"/>
      <c r="C1671" s="3"/>
      <c r="D1671" s="3"/>
      <c r="E1671" s="3"/>
      <c r="F1671" s="3"/>
      <c r="G1671" s="4"/>
      <c r="H1671" s="4"/>
      <c r="I1671" s="3"/>
      <c r="J1671" s="3"/>
      <c r="K1671" s="8" t="str">
        <f t="shared" ref="K1671:K1734" si="26">IF(A1671="","",G1671+H1671)</f>
        <v/>
      </c>
      <c r="L1671" s="1" t="str">
        <f>IF(COUNTA(A1671:J1671)=0,"",IF(OR(AND(C1671&lt;&gt;"Servicio",C1671&lt;&gt;"Cobro",C1671&lt;&gt;"Anticipo",C1671&lt;&gt;"Aplicación anticipo",C1671&lt;&gt;"Retención ISR",C1671&lt;&gt;"Retención IVA"),AND(C1671="Servicio",F1671&lt;&gt;"TMS",F1671&lt;&gt;"Valoración",F1671&lt;&gt;"EEG",F1671&lt;&gt;"Neurofeedback",F1671&lt;&gt;"Fotobiomodulación",F1671&lt;&gt;"Psicoterapia",F1671&lt;&gt;"Otros")),"Tipo o categoría inválido",IF(COUNTA(A1671:J1671)=0,"",IF(OR(A1671="",B1671="",C1671="",G1671=""),"Faltan datos",IF(COUNTIF($A$7:$A$2006,A1671)&gt;1,"ID duplicado",IF(OR(B1671&lt;DATE(Configuración!$C$5,1,1),B1671&gt;=DATE(Configuración!$C$5+1,1,1)),"Fecha fuera del año",IF(OR(G1671&lt;0,H1671&lt;0),"Revisar signo",IF(AND(C1671&lt;&gt;"Servicio",H1671&lt;&gt;0),"IVA solo en Servicio",IF(AND(C1671="Servicio",F1671=""),"Falta servicio","OK")))))))))</f>
        <v/>
      </c>
    </row>
    <row r="1672" spans="1:12" ht="22" customHeight="1">
      <c r="A1672" s="3"/>
      <c r="B1672" s="7"/>
      <c r="C1672" s="3"/>
      <c r="D1672" s="3"/>
      <c r="E1672" s="3"/>
      <c r="F1672" s="3"/>
      <c r="G1672" s="4"/>
      <c r="H1672" s="4"/>
      <c r="I1672" s="3"/>
      <c r="J1672" s="3"/>
      <c r="K1672" s="8" t="str">
        <f t="shared" si="26"/>
        <v/>
      </c>
      <c r="L1672" s="1" t="str">
        <f>IF(COUNTA(A1672:J1672)=0,"",IF(OR(AND(C1672&lt;&gt;"Servicio",C1672&lt;&gt;"Cobro",C1672&lt;&gt;"Anticipo",C1672&lt;&gt;"Aplicación anticipo",C1672&lt;&gt;"Retención ISR",C1672&lt;&gt;"Retención IVA"),AND(C1672="Servicio",F1672&lt;&gt;"TMS",F1672&lt;&gt;"Valoración",F1672&lt;&gt;"EEG",F1672&lt;&gt;"Neurofeedback",F1672&lt;&gt;"Fotobiomodulación",F1672&lt;&gt;"Psicoterapia",F1672&lt;&gt;"Otros")),"Tipo o categoría inválido",IF(COUNTA(A1672:J1672)=0,"",IF(OR(A1672="",B1672="",C1672="",G1672=""),"Faltan datos",IF(COUNTIF($A$7:$A$2006,A1672)&gt;1,"ID duplicado",IF(OR(B1672&lt;DATE(Configuración!$C$5,1,1),B1672&gt;=DATE(Configuración!$C$5+1,1,1)),"Fecha fuera del año",IF(OR(G1672&lt;0,H1672&lt;0),"Revisar signo",IF(AND(C1672&lt;&gt;"Servicio",H1672&lt;&gt;0),"IVA solo en Servicio",IF(AND(C1672="Servicio",F1672=""),"Falta servicio","OK")))))))))</f>
        <v/>
      </c>
    </row>
    <row r="1673" spans="1:12" ht="22" customHeight="1">
      <c r="A1673" s="3"/>
      <c r="B1673" s="7"/>
      <c r="C1673" s="3"/>
      <c r="D1673" s="3"/>
      <c r="E1673" s="3"/>
      <c r="F1673" s="3"/>
      <c r="G1673" s="4"/>
      <c r="H1673" s="4"/>
      <c r="I1673" s="3"/>
      <c r="J1673" s="3"/>
      <c r="K1673" s="8" t="str">
        <f t="shared" si="26"/>
        <v/>
      </c>
      <c r="L1673" s="1" t="str">
        <f>IF(COUNTA(A1673:J1673)=0,"",IF(OR(AND(C1673&lt;&gt;"Servicio",C1673&lt;&gt;"Cobro",C1673&lt;&gt;"Anticipo",C1673&lt;&gt;"Aplicación anticipo",C1673&lt;&gt;"Retención ISR",C1673&lt;&gt;"Retención IVA"),AND(C1673="Servicio",F1673&lt;&gt;"TMS",F1673&lt;&gt;"Valoración",F1673&lt;&gt;"EEG",F1673&lt;&gt;"Neurofeedback",F1673&lt;&gt;"Fotobiomodulación",F1673&lt;&gt;"Psicoterapia",F1673&lt;&gt;"Otros")),"Tipo o categoría inválido",IF(COUNTA(A1673:J1673)=0,"",IF(OR(A1673="",B1673="",C1673="",G1673=""),"Faltan datos",IF(COUNTIF($A$7:$A$2006,A1673)&gt;1,"ID duplicado",IF(OR(B1673&lt;DATE(Configuración!$C$5,1,1),B1673&gt;=DATE(Configuración!$C$5+1,1,1)),"Fecha fuera del año",IF(OR(G1673&lt;0,H1673&lt;0),"Revisar signo",IF(AND(C1673&lt;&gt;"Servicio",H1673&lt;&gt;0),"IVA solo en Servicio",IF(AND(C1673="Servicio",F1673=""),"Falta servicio","OK")))))))))</f>
        <v/>
      </c>
    </row>
    <row r="1674" spans="1:12" ht="22" customHeight="1">
      <c r="A1674" s="3"/>
      <c r="B1674" s="7"/>
      <c r="C1674" s="3"/>
      <c r="D1674" s="3"/>
      <c r="E1674" s="3"/>
      <c r="F1674" s="3"/>
      <c r="G1674" s="4"/>
      <c r="H1674" s="4"/>
      <c r="I1674" s="3"/>
      <c r="J1674" s="3"/>
      <c r="K1674" s="8" t="str">
        <f t="shared" si="26"/>
        <v/>
      </c>
      <c r="L1674" s="1" t="str">
        <f>IF(COUNTA(A1674:J1674)=0,"",IF(OR(AND(C1674&lt;&gt;"Servicio",C1674&lt;&gt;"Cobro",C1674&lt;&gt;"Anticipo",C1674&lt;&gt;"Aplicación anticipo",C1674&lt;&gt;"Retención ISR",C1674&lt;&gt;"Retención IVA"),AND(C1674="Servicio",F1674&lt;&gt;"TMS",F1674&lt;&gt;"Valoración",F1674&lt;&gt;"EEG",F1674&lt;&gt;"Neurofeedback",F1674&lt;&gt;"Fotobiomodulación",F1674&lt;&gt;"Psicoterapia",F1674&lt;&gt;"Otros")),"Tipo o categoría inválido",IF(COUNTA(A1674:J1674)=0,"",IF(OR(A1674="",B1674="",C1674="",G1674=""),"Faltan datos",IF(COUNTIF($A$7:$A$2006,A1674)&gt;1,"ID duplicado",IF(OR(B1674&lt;DATE(Configuración!$C$5,1,1),B1674&gt;=DATE(Configuración!$C$5+1,1,1)),"Fecha fuera del año",IF(OR(G1674&lt;0,H1674&lt;0),"Revisar signo",IF(AND(C1674&lt;&gt;"Servicio",H1674&lt;&gt;0),"IVA solo en Servicio",IF(AND(C1674="Servicio",F1674=""),"Falta servicio","OK")))))))))</f>
        <v/>
      </c>
    </row>
    <row r="1675" spans="1:12" ht="22" customHeight="1">
      <c r="A1675" s="3"/>
      <c r="B1675" s="7"/>
      <c r="C1675" s="3"/>
      <c r="D1675" s="3"/>
      <c r="E1675" s="3"/>
      <c r="F1675" s="3"/>
      <c r="G1675" s="4"/>
      <c r="H1675" s="4"/>
      <c r="I1675" s="3"/>
      <c r="J1675" s="3"/>
      <c r="K1675" s="8" t="str">
        <f t="shared" si="26"/>
        <v/>
      </c>
      <c r="L1675" s="1" t="str">
        <f>IF(COUNTA(A1675:J1675)=0,"",IF(OR(AND(C1675&lt;&gt;"Servicio",C1675&lt;&gt;"Cobro",C1675&lt;&gt;"Anticipo",C1675&lt;&gt;"Aplicación anticipo",C1675&lt;&gt;"Retención ISR",C1675&lt;&gt;"Retención IVA"),AND(C1675="Servicio",F1675&lt;&gt;"TMS",F1675&lt;&gt;"Valoración",F1675&lt;&gt;"EEG",F1675&lt;&gt;"Neurofeedback",F1675&lt;&gt;"Fotobiomodulación",F1675&lt;&gt;"Psicoterapia",F1675&lt;&gt;"Otros")),"Tipo o categoría inválido",IF(COUNTA(A1675:J1675)=0,"",IF(OR(A1675="",B1675="",C1675="",G1675=""),"Faltan datos",IF(COUNTIF($A$7:$A$2006,A1675)&gt;1,"ID duplicado",IF(OR(B1675&lt;DATE(Configuración!$C$5,1,1),B1675&gt;=DATE(Configuración!$C$5+1,1,1)),"Fecha fuera del año",IF(OR(G1675&lt;0,H1675&lt;0),"Revisar signo",IF(AND(C1675&lt;&gt;"Servicio",H1675&lt;&gt;0),"IVA solo en Servicio",IF(AND(C1675="Servicio",F1675=""),"Falta servicio","OK")))))))))</f>
        <v/>
      </c>
    </row>
    <row r="1676" spans="1:12" ht="22" customHeight="1">
      <c r="A1676" s="3"/>
      <c r="B1676" s="7"/>
      <c r="C1676" s="3"/>
      <c r="D1676" s="3"/>
      <c r="E1676" s="3"/>
      <c r="F1676" s="3"/>
      <c r="G1676" s="4"/>
      <c r="H1676" s="4"/>
      <c r="I1676" s="3"/>
      <c r="J1676" s="3"/>
      <c r="K1676" s="8" t="str">
        <f t="shared" si="26"/>
        <v/>
      </c>
      <c r="L1676" s="1" t="str">
        <f>IF(COUNTA(A1676:J1676)=0,"",IF(OR(AND(C1676&lt;&gt;"Servicio",C1676&lt;&gt;"Cobro",C1676&lt;&gt;"Anticipo",C1676&lt;&gt;"Aplicación anticipo",C1676&lt;&gt;"Retención ISR",C1676&lt;&gt;"Retención IVA"),AND(C1676="Servicio",F1676&lt;&gt;"TMS",F1676&lt;&gt;"Valoración",F1676&lt;&gt;"EEG",F1676&lt;&gt;"Neurofeedback",F1676&lt;&gt;"Fotobiomodulación",F1676&lt;&gt;"Psicoterapia",F1676&lt;&gt;"Otros")),"Tipo o categoría inválido",IF(COUNTA(A1676:J1676)=0,"",IF(OR(A1676="",B1676="",C1676="",G1676=""),"Faltan datos",IF(COUNTIF($A$7:$A$2006,A1676)&gt;1,"ID duplicado",IF(OR(B1676&lt;DATE(Configuración!$C$5,1,1),B1676&gt;=DATE(Configuración!$C$5+1,1,1)),"Fecha fuera del año",IF(OR(G1676&lt;0,H1676&lt;0),"Revisar signo",IF(AND(C1676&lt;&gt;"Servicio",H1676&lt;&gt;0),"IVA solo en Servicio",IF(AND(C1676="Servicio",F1676=""),"Falta servicio","OK")))))))))</f>
        <v/>
      </c>
    </row>
    <row r="1677" spans="1:12" ht="22" customHeight="1">
      <c r="A1677" s="3"/>
      <c r="B1677" s="7"/>
      <c r="C1677" s="3"/>
      <c r="D1677" s="3"/>
      <c r="E1677" s="3"/>
      <c r="F1677" s="3"/>
      <c r="G1677" s="4"/>
      <c r="H1677" s="4"/>
      <c r="I1677" s="3"/>
      <c r="J1677" s="3"/>
      <c r="K1677" s="8" t="str">
        <f t="shared" si="26"/>
        <v/>
      </c>
      <c r="L1677" s="1" t="str">
        <f>IF(COUNTA(A1677:J1677)=0,"",IF(OR(AND(C1677&lt;&gt;"Servicio",C1677&lt;&gt;"Cobro",C1677&lt;&gt;"Anticipo",C1677&lt;&gt;"Aplicación anticipo",C1677&lt;&gt;"Retención ISR",C1677&lt;&gt;"Retención IVA"),AND(C1677="Servicio",F1677&lt;&gt;"TMS",F1677&lt;&gt;"Valoración",F1677&lt;&gt;"EEG",F1677&lt;&gt;"Neurofeedback",F1677&lt;&gt;"Fotobiomodulación",F1677&lt;&gt;"Psicoterapia",F1677&lt;&gt;"Otros")),"Tipo o categoría inválido",IF(COUNTA(A1677:J1677)=0,"",IF(OR(A1677="",B1677="",C1677="",G1677=""),"Faltan datos",IF(COUNTIF($A$7:$A$2006,A1677)&gt;1,"ID duplicado",IF(OR(B1677&lt;DATE(Configuración!$C$5,1,1),B1677&gt;=DATE(Configuración!$C$5+1,1,1)),"Fecha fuera del año",IF(OR(G1677&lt;0,H1677&lt;0),"Revisar signo",IF(AND(C1677&lt;&gt;"Servicio",H1677&lt;&gt;0),"IVA solo en Servicio",IF(AND(C1677="Servicio",F1677=""),"Falta servicio","OK")))))))))</f>
        <v/>
      </c>
    </row>
    <row r="1678" spans="1:12" ht="22" customHeight="1">
      <c r="A1678" s="3"/>
      <c r="B1678" s="7"/>
      <c r="C1678" s="3"/>
      <c r="D1678" s="3"/>
      <c r="E1678" s="3"/>
      <c r="F1678" s="3"/>
      <c r="G1678" s="4"/>
      <c r="H1678" s="4"/>
      <c r="I1678" s="3"/>
      <c r="J1678" s="3"/>
      <c r="K1678" s="8" t="str">
        <f t="shared" si="26"/>
        <v/>
      </c>
      <c r="L1678" s="1" t="str">
        <f>IF(COUNTA(A1678:J1678)=0,"",IF(OR(AND(C1678&lt;&gt;"Servicio",C1678&lt;&gt;"Cobro",C1678&lt;&gt;"Anticipo",C1678&lt;&gt;"Aplicación anticipo",C1678&lt;&gt;"Retención ISR",C1678&lt;&gt;"Retención IVA"),AND(C1678="Servicio",F1678&lt;&gt;"TMS",F1678&lt;&gt;"Valoración",F1678&lt;&gt;"EEG",F1678&lt;&gt;"Neurofeedback",F1678&lt;&gt;"Fotobiomodulación",F1678&lt;&gt;"Psicoterapia",F1678&lt;&gt;"Otros")),"Tipo o categoría inválido",IF(COUNTA(A1678:J1678)=0,"",IF(OR(A1678="",B1678="",C1678="",G1678=""),"Faltan datos",IF(COUNTIF($A$7:$A$2006,A1678)&gt;1,"ID duplicado",IF(OR(B1678&lt;DATE(Configuración!$C$5,1,1),B1678&gt;=DATE(Configuración!$C$5+1,1,1)),"Fecha fuera del año",IF(OR(G1678&lt;0,H1678&lt;0),"Revisar signo",IF(AND(C1678&lt;&gt;"Servicio",H1678&lt;&gt;0),"IVA solo en Servicio",IF(AND(C1678="Servicio",F1678=""),"Falta servicio","OK")))))))))</f>
        <v/>
      </c>
    </row>
    <row r="1679" spans="1:12" ht="22" customHeight="1">
      <c r="A1679" s="3"/>
      <c r="B1679" s="7"/>
      <c r="C1679" s="3"/>
      <c r="D1679" s="3"/>
      <c r="E1679" s="3"/>
      <c r="F1679" s="3"/>
      <c r="G1679" s="4"/>
      <c r="H1679" s="4"/>
      <c r="I1679" s="3"/>
      <c r="J1679" s="3"/>
      <c r="K1679" s="8" t="str">
        <f t="shared" si="26"/>
        <v/>
      </c>
      <c r="L1679" s="1" t="str">
        <f>IF(COUNTA(A1679:J1679)=0,"",IF(OR(AND(C1679&lt;&gt;"Servicio",C1679&lt;&gt;"Cobro",C1679&lt;&gt;"Anticipo",C1679&lt;&gt;"Aplicación anticipo",C1679&lt;&gt;"Retención ISR",C1679&lt;&gt;"Retención IVA"),AND(C1679="Servicio",F1679&lt;&gt;"TMS",F1679&lt;&gt;"Valoración",F1679&lt;&gt;"EEG",F1679&lt;&gt;"Neurofeedback",F1679&lt;&gt;"Fotobiomodulación",F1679&lt;&gt;"Psicoterapia",F1679&lt;&gt;"Otros")),"Tipo o categoría inválido",IF(COUNTA(A1679:J1679)=0,"",IF(OR(A1679="",B1679="",C1679="",G1679=""),"Faltan datos",IF(COUNTIF($A$7:$A$2006,A1679)&gt;1,"ID duplicado",IF(OR(B1679&lt;DATE(Configuración!$C$5,1,1),B1679&gt;=DATE(Configuración!$C$5+1,1,1)),"Fecha fuera del año",IF(OR(G1679&lt;0,H1679&lt;0),"Revisar signo",IF(AND(C1679&lt;&gt;"Servicio",H1679&lt;&gt;0),"IVA solo en Servicio",IF(AND(C1679="Servicio",F1679=""),"Falta servicio","OK")))))))))</f>
        <v/>
      </c>
    </row>
    <row r="1680" spans="1:12" ht="22" customHeight="1">
      <c r="A1680" s="3"/>
      <c r="B1680" s="7"/>
      <c r="C1680" s="3"/>
      <c r="D1680" s="3"/>
      <c r="E1680" s="3"/>
      <c r="F1680" s="3"/>
      <c r="G1680" s="4"/>
      <c r="H1680" s="4"/>
      <c r="I1680" s="3"/>
      <c r="J1680" s="3"/>
      <c r="K1680" s="8" t="str">
        <f t="shared" si="26"/>
        <v/>
      </c>
      <c r="L1680" s="1" t="str">
        <f>IF(COUNTA(A1680:J1680)=0,"",IF(OR(AND(C1680&lt;&gt;"Servicio",C1680&lt;&gt;"Cobro",C1680&lt;&gt;"Anticipo",C1680&lt;&gt;"Aplicación anticipo",C1680&lt;&gt;"Retención ISR",C1680&lt;&gt;"Retención IVA"),AND(C1680="Servicio",F1680&lt;&gt;"TMS",F1680&lt;&gt;"Valoración",F1680&lt;&gt;"EEG",F1680&lt;&gt;"Neurofeedback",F1680&lt;&gt;"Fotobiomodulación",F1680&lt;&gt;"Psicoterapia",F1680&lt;&gt;"Otros")),"Tipo o categoría inválido",IF(COUNTA(A1680:J1680)=0,"",IF(OR(A1680="",B1680="",C1680="",G1680=""),"Faltan datos",IF(COUNTIF($A$7:$A$2006,A1680)&gt;1,"ID duplicado",IF(OR(B1680&lt;DATE(Configuración!$C$5,1,1),B1680&gt;=DATE(Configuración!$C$5+1,1,1)),"Fecha fuera del año",IF(OR(G1680&lt;0,H1680&lt;0),"Revisar signo",IF(AND(C1680&lt;&gt;"Servicio",H1680&lt;&gt;0),"IVA solo en Servicio",IF(AND(C1680="Servicio",F1680=""),"Falta servicio","OK")))))))))</f>
        <v/>
      </c>
    </row>
    <row r="1681" spans="1:12" ht="22" customHeight="1">
      <c r="A1681" s="3"/>
      <c r="B1681" s="7"/>
      <c r="C1681" s="3"/>
      <c r="D1681" s="3"/>
      <c r="E1681" s="3"/>
      <c r="F1681" s="3"/>
      <c r="G1681" s="4"/>
      <c r="H1681" s="4"/>
      <c r="I1681" s="3"/>
      <c r="J1681" s="3"/>
      <c r="K1681" s="8" t="str">
        <f t="shared" si="26"/>
        <v/>
      </c>
      <c r="L1681" s="1" t="str">
        <f>IF(COUNTA(A1681:J1681)=0,"",IF(OR(AND(C1681&lt;&gt;"Servicio",C1681&lt;&gt;"Cobro",C1681&lt;&gt;"Anticipo",C1681&lt;&gt;"Aplicación anticipo",C1681&lt;&gt;"Retención ISR",C1681&lt;&gt;"Retención IVA"),AND(C1681="Servicio",F1681&lt;&gt;"TMS",F1681&lt;&gt;"Valoración",F1681&lt;&gt;"EEG",F1681&lt;&gt;"Neurofeedback",F1681&lt;&gt;"Fotobiomodulación",F1681&lt;&gt;"Psicoterapia",F1681&lt;&gt;"Otros")),"Tipo o categoría inválido",IF(COUNTA(A1681:J1681)=0,"",IF(OR(A1681="",B1681="",C1681="",G1681=""),"Faltan datos",IF(COUNTIF($A$7:$A$2006,A1681)&gt;1,"ID duplicado",IF(OR(B1681&lt;DATE(Configuración!$C$5,1,1),B1681&gt;=DATE(Configuración!$C$5+1,1,1)),"Fecha fuera del año",IF(OR(G1681&lt;0,H1681&lt;0),"Revisar signo",IF(AND(C1681&lt;&gt;"Servicio",H1681&lt;&gt;0),"IVA solo en Servicio",IF(AND(C1681="Servicio",F1681=""),"Falta servicio","OK")))))))))</f>
        <v/>
      </c>
    </row>
    <row r="1682" spans="1:12" ht="22" customHeight="1">
      <c r="A1682" s="3"/>
      <c r="B1682" s="7"/>
      <c r="C1682" s="3"/>
      <c r="D1682" s="3"/>
      <c r="E1682" s="3"/>
      <c r="F1682" s="3"/>
      <c r="G1682" s="4"/>
      <c r="H1682" s="4"/>
      <c r="I1682" s="3"/>
      <c r="J1682" s="3"/>
      <c r="K1682" s="8" t="str">
        <f t="shared" si="26"/>
        <v/>
      </c>
      <c r="L1682" s="1" t="str">
        <f>IF(COUNTA(A1682:J1682)=0,"",IF(OR(AND(C1682&lt;&gt;"Servicio",C1682&lt;&gt;"Cobro",C1682&lt;&gt;"Anticipo",C1682&lt;&gt;"Aplicación anticipo",C1682&lt;&gt;"Retención ISR",C1682&lt;&gt;"Retención IVA"),AND(C1682="Servicio",F1682&lt;&gt;"TMS",F1682&lt;&gt;"Valoración",F1682&lt;&gt;"EEG",F1682&lt;&gt;"Neurofeedback",F1682&lt;&gt;"Fotobiomodulación",F1682&lt;&gt;"Psicoterapia",F1682&lt;&gt;"Otros")),"Tipo o categoría inválido",IF(COUNTA(A1682:J1682)=0,"",IF(OR(A1682="",B1682="",C1682="",G1682=""),"Faltan datos",IF(COUNTIF($A$7:$A$2006,A1682)&gt;1,"ID duplicado",IF(OR(B1682&lt;DATE(Configuración!$C$5,1,1),B1682&gt;=DATE(Configuración!$C$5+1,1,1)),"Fecha fuera del año",IF(OR(G1682&lt;0,H1682&lt;0),"Revisar signo",IF(AND(C1682&lt;&gt;"Servicio",H1682&lt;&gt;0),"IVA solo en Servicio",IF(AND(C1682="Servicio",F1682=""),"Falta servicio","OK")))))))))</f>
        <v/>
      </c>
    </row>
    <row r="1683" spans="1:12" ht="22" customHeight="1">
      <c r="A1683" s="3"/>
      <c r="B1683" s="7"/>
      <c r="C1683" s="3"/>
      <c r="D1683" s="3"/>
      <c r="E1683" s="3"/>
      <c r="F1683" s="3"/>
      <c r="G1683" s="4"/>
      <c r="H1683" s="4"/>
      <c r="I1683" s="3"/>
      <c r="J1683" s="3"/>
      <c r="K1683" s="8" t="str">
        <f t="shared" si="26"/>
        <v/>
      </c>
      <c r="L1683" s="1" t="str">
        <f>IF(COUNTA(A1683:J1683)=0,"",IF(OR(AND(C1683&lt;&gt;"Servicio",C1683&lt;&gt;"Cobro",C1683&lt;&gt;"Anticipo",C1683&lt;&gt;"Aplicación anticipo",C1683&lt;&gt;"Retención ISR",C1683&lt;&gt;"Retención IVA"),AND(C1683="Servicio",F1683&lt;&gt;"TMS",F1683&lt;&gt;"Valoración",F1683&lt;&gt;"EEG",F1683&lt;&gt;"Neurofeedback",F1683&lt;&gt;"Fotobiomodulación",F1683&lt;&gt;"Psicoterapia",F1683&lt;&gt;"Otros")),"Tipo o categoría inválido",IF(COUNTA(A1683:J1683)=0,"",IF(OR(A1683="",B1683="",C1683="",G1683=""),"Faltan datos",IF(COUNTIF($A$7:$A$2006,A1683)&gt;1,"ID duplicado",IF(OR(B1683&lt;DATE(Configuración!$C$5,1,1),B1683&gt;=DATE(Configuración!$C$5+1,1,1)),"Fecha fuera del año",IF(OR(G1683&lt;0,H1683&lt;0),"Revisar signo",IF(AND(C1683&lt;&gt;"Servicio",H1683&lt;&gt;0),"IVA solo en Servicio",IF(AND(C1683="Servicio",F1683=""),"Falta servicio","OK")))))))))</f>
        <v/>
      </c>
    </row>
    <row r="1684" spans="1:12" ht="22" customHeight="1">
      <c r="A1684" s="3"/>
      <c r="B1684" s="7"/>
      <c r="C1684" s="3"/>
      <c r="D1684" s="3"/>
      <c r="E1684" s="3"/>
      <c r="F1684" s="3"/>
      <c r="G1684" s="4"/>
      <c r="H1684" s="4"/>
      <c r="I1684" s="3"/>
      <c r="J1684" s="3"/>
      <c r="K1684" s="8" t="str">
        <f t="shared" si="26"/>
        <v/>
      </c>
      <c r="L1684" s="1" t="str">
        <f>IF(COUNTA(A1684:J1684)=0,"",IF(OR(AND(C1684&lt;&gt;"Servicio",C1684&lt;&gt;"Cobro",C1684&lt;&gt;"Anticipo",C1684&lt;&gt;"Aplicación anticipo",C1684&lt;&gt;"Retención ISR",C1684&lt;&gt;"Retención IVA"),AND(C1684="Servicio",F1684&lt;&gt;"TMS",F1684&lt;&gt;"Valoración",F1684&lt;&gt;"EEG",F1684&lt;&gt;"Neurofeedback",F1684&lt;&gt;"Fotobiomodulación",F1684&lt;&gt;"Psicoterapia",F1684&lt;&gt;"Otros")),"Tipo o categoría inválido",IF(COUNTA(A1684:J1684)=0,"",IF(OR(A1684="",B1684="",C1684="",G1684=""),"Faltan datos",IF(COUNTIF($A$7:$A$2006,A1684)&gt;1,"ID duplicado",IF(OR(B1684&lt;DATE(Configuración!$C$5,1,1),B1684&gt;=DATE(Configuración!$C$5+1,1,1)),"Fecha fuera del año",IF(OR(G1684&lt;0,H1684&lt;0),"Revisar signo",IF(AND(C1684&lt;&gt;"Servicio",H1684&lt;&gt;0),"IVA solo en Servicio",IF(AND(C1684="Servicio",F1684=""),"Falta servicio","OK")))))))))</f>
        <v/>
      </c>
    </row>
    <row r="1685" spans="1:12" ht="22" customHeight="1">
      <c r="A1685" s="3"/>
      <c r="B1685" s="7"/>
      <c r="C1685" s="3"/>
      <c r="D1685" s="3"/>
      <c r="E1685" s="3"/>
      <c r="F1685" s="3"/>
      <c r="G1685" s="4"/>
      <c r="H1685" s="4"/>
      <c r="I1685" s="3"/>
      <c r="J1685" s="3"/>
      <c r="K1685" s="8" t="str">
        <f t="shared" si="26"/>
        <v/>
      </c>
      <c r="L1685" s="1" t="str">
        <f>IF(COUNTA(A1685:J1685)=0,"",IF(OR(AND(C1685&lt;&gt;"Servicio",C1685&lt;&gt;"Cobro",C1685&lt;&gt;"Anticipo",C1685&lt;&gt;"Aplicación anticipo",C1685&lt;&gt;"Retención ISR",C1685&lt;&gt;"Retención IVA"),AND(C1685="Servicio",F1685&lt;&gt;"TMS",F1685&lt;&gt;"Valoración",F1685&lt;&gt;"EEG",F1685&lt;&gt;"Neurofeedback",F1685&lt;&gt;"Fotobiomodulación",F1685&lt;&gt;"Psicoterapia",F1685&lt;&gt;"Otros")),"Tipo o categoría inválido",IF(COUNTA(A1685:J1685)=0,"",IF(OR(A1685="",B1685="",C1685="",G1685=""),"Faltan datos",IF(COUNTIF($A$7:$A$2006,A1685)&gt;1,"ID duplicado",IF(OR(B1685&lt;DATE(Configuración!$C$5,1,1),B1685&gt;=DATE(Configuración!$C$5+1,1,1)),"Fecha fuera del año",IF(OR(G1685&lt;0,H1685&lt;0),"Revisar signo",IF(AND(C1685&lt;&gt;"Servicio",H1685&lt;&gt;0),"IVA solo en Servicio",IF(AND(C1685="Servicio",F1685=""),"Falta servicio","OK")))))))))</f>
        <v/>
      </c>
    </row>
    <row r="1686" spans="1:12" ht="22" customHeight="1">
      <c r="A1686" s="3"/>
      <c r="B1686" s="7"/>
      <c r="C1686" s="3"/>
      <c r="D1686" s="3"/>
      <c r="E1686" s="3"/>
      <c r="F1686" s="3"/>
      <c r="G1686" s="4"/>
      <c r="H1686" s="4"/>
      <c r="I1686" s="3"/>
      <c r="J1686" s="3"/>
      <c r="K1686" s="8" t="str">
        <f t="shared" si="26"/>
        <v/>
      </c>
      <c r="L1686" s="1" t="str">
        <f>IF(COUNTA(A1686:J1686)=0,"",IF(OR(AND(C1686&lt;&gt;"Servicio",C1686&lt;&gt;"Cobro",C1686&lt;&gt;"Anticipo",C1686&lt;&gt;"Aplicación anticipo",C1686&lt;&gt;"Retención ISR",C1686&lt;&gt;"Retención IVA"),AND(C1686="Servicio",F1686&lt;&gt;"TMS",F1686&lt;&gt;"Valoración",F1686&lt;&gt;"EEG",F1686&lt;&gt;"Neurofeedback",F1686&lt;&gt;"Fotobiomodulación",F1686&lt;&gt;"Psicoterapia",F1686&lt;&gt;"Otros")),"Tipo o categoría inválido",IF(COUNTA(A1686:J1686)=0,"",IF(OR(A1686="",B1686="",C1686="",G1686=""),"Faltan datos",IF(COUNTIF($A$7:$A$2006,A1686)&gt;1,"ID duplicado",IF(OR(B1686&lt;DATE(Configuración!$C$5,1,1),B1686&gt;=DATE(Configuración!$C$5+1,1,1)),"Fecha fuera del año",IF(OR(G1686&lt;0,H1686&lt;0),"Revisar signo",IF(AND(C1686&lt;&gt;"Servicio",H1686&lt;&gt;0),"IVA solo en Servicio",IF(AND(C1686="Servicio",F1686=""),"Falta servicio","OK")))))))))</f>
        <v/>
      </c>
    </row>
    <row r="1687" spans="1:12" ht="22" customHeight="1">
      <c r="A1687" s="3"/>
      <c r="B1687" s="7"/>
      <c r="C1687" s="3"/>
      <c r="D1687" s="3"/>
      <c r="E1687" s="3"/>
      <c r="F1687" s="3"/>
      <c r="G1687" s="4"/>
      <c r="H1687" s="4"/>
      <c r="I1687" s="3"/>
      <c r="J1687" s="3"/>
      <c r="K1687" s="8" t="str">
        <f t="shared" si="26"/>
        <v/>
      </c>
      <c r="L1687" s="1" t="str">
        <f>IF(COUNTA(A1687:J1687)=0,"",IF(OR(AND(C1687&lt;&gt;"Servicio",C1687&lt;&gt;"Cobro",C1687&lt;&gt;"Anticipo",C1687&lt;&gt;"Aplicación anticipo",C1687&lt;&gt;"Retención ISR",C1687&lt;&gt;"Retención IVA"),AND(C1687="Servicio",F1687&lt;&gt;"TMS",F1687&lt;&gt;"Valoración",F1687&lt;&gt;"EEG",F1687&lt;&gt;"Neurofeedback",F1687&lt;&gt;"Fotobiomodulación",F1687&lt;&gt;"Psicoterapia",F1687&lt;&gt;"Otros")),"Tipo o categoría inválido",IF(COUNTA(A1687:J1687)=0,"",IF(OR(A1687="",B1687="",C1687="",G1687=""),"Faltan datos",IF(COUNTIF($A$7:$A$2006,A1687)&gt;1,"ID duplicado",IF(OR(B1687&lt;DATE(Configuración!$C$5,1,1),B1687&gt;=DATE(Configuración!$C$5+1,1,1)),"Fecha fuera del año",IF(OR(G1687&lt;0,H1687&lt;0),"Revisar signo",IF(AND(C1687&lt;&gt;"Servicio",H1687&lt;&gt;0),"IVA solo en Servicio",IF(AND(C1687="Servicio",F1687=""),"Falta servicio","OK")))))))))</f>
        <v/>
      </c>
    </row>
    <row r="1688" spans="1:12" ht="22" customHeight="1">
      <c r="A1688" s="3"/>
      <c r="B1688" s="7"/>
      <c r="C1688" s="3"/>
      <c r="D1688" s="3"/>
      <c r="E1688" s="3"/>
      <c r="F1688" s="3"/>
      <c r="G1688" s="4"/>
      <c r="H1688" s="4"/>
      <c r="I1688" s="3"/>
      <c r="J1688" s="3"/>
      <c r="K1688" s="8" t="str">
        <f t="shared" si="26"/>
        <v/>
      </c>
      <c r="L1688" s="1" t="str">
        <f>IF(COUNTA(A1688:J1688)=0,"",IF(OR(AND(C1688&lt;&gt;"Servicio",C1688&lt;&gt;"Cobro",C1688&lt;&gt;"Anticipo",C1688&lt;&gt;"Aplicación anticipo",C1688&lt;&gt;"Retención ISR",C1688&lt;&gt;"Retención IVA"),AND(C1688="Servicio",F1688&lt;&gt;"TMS",F1688&lt;&gt;"Valoración",F1688&lt;&gt;"EEG",F1688&lt;&gt;"Neurofeedback",F1688&lt;&gt;"Fotobiomodulación",F1688&lt;&gt;"Psicoterapia",F1688&lt;&gt;"Otros")),"Tipo o categoría inválido",IF(COUNTA(A1688:J1688)=0,"",IF(OR(A1688="",B1688="",C1688="",G1688=""),"Faltan datos",IF(COUNTIF($A$7:$A$2006,A1688)&gt;1,"ID duplicado",IF(OR(B1688&lt;DATE(Configuración!$C$5,1,1),B1688&gt;=DATE(Configuración!$C$5+1,1,1)),"Fecha fuera del año",IF(OR(G1688&lt;0,H1688&lt;0),"Revisar signo",IF(AND(C1688&lt;&gt;"Servicio",H1688&lt;&gt;0),"IVA solo en Servicio",IF(AND(C1688="Servicio",F1688=""),"Falta servicio","OK")))))))))</f>
        <v/>
      </c>
    </row>
    <row r="1689" spans="1:12" ht="22" customHeight="1">
      <c r="A1689" s="3"/>
      <c r="B1689" s="7"/>
      <c r="C1689" s="3"/>
      <c r="D1689" s="3"/>
      <c r="E1689" s="3"/>
      <c r="F1689" s="3"/>
      <c r="G1689" s="4"/>
      <c r="H1689" s="4"/>
      <c r="I1689" s="3"/>
      <c r="J1689" s="3"/>
      <c r="K1689" s="8" t="str">
        <f t="shared" si="26"/>
        <v/>
      </c>
      <c r="L1689" s="1" t="str">
        <f>IF(COUNTA(A1689:J1689)=0,"",IF(OR(AND(C1689&lt;&gt;"Servicio",C1689&lt;&gt;"Cobro",C1689&lt;&gt;"Anticipo",C1689&lt;&gt;"Aplicación anticipo",C1689&lt;&gt;"Retención ISR",C1689&lt;&gt;"Retención IVA"),AND(C1689="Servicio",F1689&lt;&gt;"TMS",F1689&lt;&gt;"Valoración",F1689&lt;&gt;"EEG",F1689&lt;&gt;"Neurofeedback",F1689&lt;&gt;"Fotobiomodulación",F1689&lt;&gt;"Psicoterapia",F1689&lt;&gt;"Otros")),"Tipo o categoría inválido",IF(COUNTA(A1689:J1689)=0,"",IF(OR(A1689="",B1689="",C1689="",G1689=""),"Faltan datos",IF(COUNTIF($A$7:$A$2006,A1689)&gt;1,"ID duplicado",IF(OR(B1689&lt;DATE(Configuración!$C$5,1,1),B1689&gt;=DATE(Configuración!$C$5+1,1,1)),"Fecha fuera del año",IF(OR(G1689&lt;0,H1689&lt;0),"Revisar signo",IF(AND(C1689&lt;&gt;"Servicio",H1689&lt;&gt;0),"IVA solo en Servicio",IF(AND(C1689="Servicio",F1689=""),"Falta servicio","OK")))))))))</f>
        <v/>
      </c>
    </row>
    <row r="1690" spans="1:12" ht="22" customHeight="1">
      <c r="A1690" s="3"/>
      <c r="B1690" s="7"/>
      <c r="C1690" s="3"/>
      <c r="D1690" s="3"/>
      <c r="E1690" s="3"/>
      <c r="F1690" s="3"/>
      <c r="G1690" s="4"/>
      <c r="H1690" s="4"/>
      <c r="I1690" s="3"/>
      <c r="J1690" s="3"/>
      <c r="K1690" s="8" t="str">
        <f t="shared" si="26"/>
        <v/>
      </c>
      <c r="L1690" s="1" t="str">
        <f>IF(COUNTA(A1690:J1690)=0,"",IF(OR(AND(C1690&lt;&gt;"Servicio",C1690&lt;&gt;"Cobro",C1690&lt;&gt;"Anticipo",C1690&lt;&gt;"Aplicación anticipo",C1690&lt;&gt;"Retención ISR",C1690&lt;&gt;"Retención IVA"),AND(C1690="Servicio",F1690&lt;&gt;"TMS",F1690&lt;&gt;"Valoración",F1690&lt;&gt;"EEG",F1690&lt;&gt;"Neurofeedback",F1690&lt;&gt;"Fotobiomodulación",F1690&lt;&gt;"Psicoterapia",F1690&lt;&gt;"Otros")),"Tipo o categoría inválido",IF(COUNTA(A1690:J1690)=0,"",IF(OR(A1690="",B1690="",C1690="",G1690=""),"Faltan datos",IF(COUNTIF($A$7:$A$2006,A1690)&gt;1,"ID duplicado",IF(OR(B1690&lt;DATE(Configuración!$C$5,1,1),B1690&gt;=DATE(Configuración!$C$5+1,1,1)),"Fecha fuera del año",IF(OR(G1690&lt;0,H1690&lt;0),"Revisar signo",IF(AND(C1690&lt;&gt;"Servicio",H1690&lt;&gt;0),"IVA solo en Servicio",IF(AND(C1690="Servicio",F1690=""),"Falta servicio","OK")))))))))</f>
        <v/>
      </c>
    </row>
    <row r="1691" spans="1:12" ht="22" customHeight="1">
      <c r="A1691" s="3"/>
      <c r="B1691" s="7"/>
      <c r="C1691" s="3"/>
      <c r="D1691" s="3"/>
      <c r="E1691" s="3"/>
      <c r="F1691" s="3"/>
      <c r="G1691" s="4"/>
      <c r="H1691" s="4"/>
      <c r="I1691" s="3"/>
      <c r="J1691" s="3"/>
      <c r="K1691" s="8" t="str">
        <f t="shared" si="26"/>
        <v/>
      </c>
      <c r="L1691" s="1" t="str">
        <f>IF(COUNTA(A1691:J1691)=0,"",IF(OR(AND(C1691&lt;&gt;"Servicio",C1691&lt;&gt;"Cobro",C1691&lt;&gt;"Anticipo",C1691&lt;&gt;"Aplicación anticipo",C1691&lt;&gt;"Retención ISR",C1691&lt;&gt;"Retención IVA"),AND(C1691="Servicio",F1691&lt;&gt;"TMS",F1691&lt;&gt;"Valoración",F1691&lt;&gt;"EEG",F1691&lt;&gt;"Neurofeedback",F1691&lt;&gt;"Fotobiomodulación",F1691&lt;&gt;"Psicoterapia",F1691&lt;&gt;"Otros")),"Tipo o categoría inválido",IF(COUNTA(A1691:J1691)=0,"",IF(OR(A1691="",B1691="",C1691="",G1691=""),"Faltan datos",IF(COUNTIF($A$7:$A$2006,A1691)&gt;1,"ID duplicado",IF(OR(B1691&lt;DATE(Configuración!$C$5,1,1),B1691&gt;=DATE(Configuración!$C$5+1,1,1)),"Fecha fuera del año",IF(OR(G1691&lt;0,H1691&lt;0),"Revisar signo",IF(AND(C1691&lt;&gt;"Servicio",H1691&lt;&gt;0),"IVA solo en Servicio",IF(AND(C1691="Servicio",F1691=""),"Falta servicio","OK")))))))))</f>
        <v/>
      </c>
    </row>
    <row r="1692" spans="1:12" ht="22" customHeight="1">
      <c r="A1692" s="3"/>
      <c r="B1692" s="7"/>
      <c r="C1692" s="3"/>
      <c r="D1692" s="3"/>
      <c r="E1692" s="3"/>
      <c r="F1692" s="3"/>
      <c r="G1692" s="4"/>
      <c r="H1692" s="4"/>
      <c r="I1692" s="3"/>
      <c r="J1692" s="3"/>
      <c r="K1692" s="8" t="str">
        <f t="shared" si="26"/>
        <v/>
      </c>
      <c r="L1692" s="1" t="str">
        <f>IF(COUNTA(A1692:J1692)=0,"",IF(OR(AND(C1692&lt;&gt;"Servicio",C1692&lt;&gt;"Cobro",C1692&lt;&gt;"Anticipo",C1692&lt;&gt;"Aplicación anticipo",C1692&lt;&gt;"Retención ISR",C1692&lt;&gt;"Retención IVA"),AND(C1692="Servicio",F1692&lt;&gt;"TMS",F1692&lt;&gt;"Valoración",F1692&lt;&gt;"EEG",F1692&lt;&gt;"Neurofeedback",F1692&lt;&gt;"Fotobiomodulación",F1692&lt;&gt;"Psicoterapia",F1692&lt;&gt;"Otros")),"Tipo o categoría inválido",IF(COUNTA(A1692:J1692)=0,"",IF(OR(A1692="",B1692="",C1692="",G1692=""),"Faltan datos",IF(COUNTIF($A$7:$A$2006,A1692)&gt;1,"ID duplicado",IF(OR(B1692&lt;DATE(Configuración!$C$5,1,1),B1692&gt;=DATE(Configuración!$C$5+1,1,1)),"Fecha fuera del año",IF(OR(G1692&lt;0,H1692&lt;0),"Revisar signo",IF(AND(C1692&lt;&gt;"Servicio",H1692&lt;&gt;0),"IVA solo en Servicio",IF(AND(C1692="Servicio",F1692=""),"Falta servicio","OK")))))))))</f>
        <v/>
      </c>
    </row>
    <row r="1693" spans="1:12" ht="22" customHeight="1">
      <c r="A1693" s="3"/>
      <c r="B1693" s="7"/>
      <c r="C1693" s="3"/>
      <c r="D1693" s="3"/>
      <c r="E1693" s="3"/>
      <c r="F1693" s="3"/>
      <c r="G1693" s="4"/>
      <c r="H1693" s="4"/>
      <c r="I1693" s="3"/>
      <c r="J1693" s="3"/>
      <c r="K1693" s="8" t="str">
        <f t="shared" si="26"/>
        <v/>
      </c>
      <c r="L1693" s="1" t="str">
        <f>IF(COUNTA(A1693:J1693)=0,"",IF(OR(AND(C1693&lt;&gt;"Servicio",C1693&lt;&gt;"Cobro",C1693&lt;&gt;"Anticipo",C1693&lt;&gt;"Aplicación anticipo",C1693&lt;&gt;"Retención ISR",C1693&lt;&gt;"Retención IVA"),AND(C1693="Servicio",F1693&lt;&gt;"TMS",F1693&lt;&gt;"Valoración",F1693&lt;&gt;"EEG",F1693&lt;&gt;"Neurofeedback",F1693&lt;&gt;"Fotobiomodulación",F1693&lt;&gt;"Psicoterapia",F1693&lt;&gt;"Otros")),"Tipo o categoría inválido",IF(COUNTA(A1693:J1693)=0,"",IF(OR(A1693="",B1693="",C1693="",G1693=""),"Faltan datos",IF(COUNTIF($A$7:$A$2006,A1693)&gt;1,"ID duplicado",IF(OR(B1693&lt;DATE(Configuración!$C$5,1,1),B1693&gt;=DATE(Configuración!$C$5+1,1,1)),"Fecha fuera del año",IF(OR(G1693&lt;0,H1693&lt;0),"Revisar signo",IF(AND(C1693&lt;&gt;"Servicio",H1693&lt;&gt;0),"IVA solo en Servicio",IF(AND(C1693="Servicio",F1693=""),"Falta servicio","OK")))))))))</f>
        <v/>
      </c>
    </row>
    <row r="1694" spans="1:12" ht="22" customHeight="1">
      <c r="A1694" s="3"/>
      <c r="B1694" s="7"/>
      <c r="C1694" s="3"/>
      <c r="D1694" s="3"/>
      <c r="E1694" s="3"/>
      <c r="F1694" s="3"/>
      <c r="G1694" s="4"/>
      <c r="H1694" s="4"/>
      <c r="I1694" s="3"/>
      <c r="J1694" s="3"/>
      <c r="K1694" s="8" t="str">
        <f t="shared" si="26"/>
        <v/>
      </c>
      <c r="L1694" s="1" t="str">
        <f>IF(COUNTA(A1694:J1694)=0,"",IF(OR(AND(C1694&lt;&gt;"Servicio",C1694&lt;&gt;"Cobro",C1694&lt;&gt;"Anticipo",C1694&lt;&gt;"Aplicación anticipo",C1694&lt;&gt;"Retención ISR",C1694&lt;&gt;"Retención IVA"),AND(C1694="Servicio",F1694&lt;&gt;"TMS",F1694&lt;&gt;"Valoración",F1694&lt;&gt;"EEG",F1694&lt;&gt;"Neurofeedback",F1694&lt;&gt;"Fotobiomodulación",F1694&lt;&gt;"Psicoterapia",F1694&lt;&gt;"Otros")),"Tipo o categoría inválido",IF(COUNTA(A1694:J1694)=0,"",IF(OR(A1694="",B1694="",C1694="",G1694=""),"Faltan datos",IF(COUNTIF($A$7:$A$2006,A1694)&gt;1,"ID duplicado",IF(OR(B1694&lt;DATE(Configuración!$C$5,1,1),B1694&gt;=DATE(Configuración!$C$5+1,1,1)),"Fecha fuera del año",IF(OR(G1694&lt;0,H1694&lt;0),"Revisar signo",IF(AND(C1694&lt;&gt;"Servicio",H1694&lt;&gt;0),"IVA solo en Servicio",IF(AND(C1694="Servicio",F1694=""),"Falta servicio","OK")))))))))</f>
        <v/>
      </c>
    </row>
    <row r="1695" spans="1:12" ht="22" customHeight="1">
      <c r="A1695" s="3"/>
      <c r="B1695" s="7"/>
      <c r="C1695" s="3"/>
      <c r="D1695" s="3"/>
      <c r="E1695" s="3"/>
      <c r="F1695" s="3"/>
      <c r="G1695" s="4"/>
      <c r="H1695" s="4"/>
      <c r="I1695" s="3"/>
      <c r="J1695" s="3"/>
      <c r="K1695" s="8" t="str">
        <f t="shared" si="26"/>
        <v/>
      </c>
      <c r="L1695" s="1" t="str">
        <f>IF(COUNTA(A1695:J1695)=0,"",IF(OR(AND(C1695&lt;&gt;"Servicio",C1695&lt;&gt;"Cobro",C1695&lt;&gt;"Anticipo",C1695&lt;&gt;"Aplicación anticipo",C1695&lt;&gt;"Retención ISR",C1695&lt;&gt;"Retención IVA"),AND(C1695="Servicio",F1695&lt;&gt;"TMS",F1695&lt;&gt;"Valoración",F1695&lt;&gt;"EEG",F1695&lt;&gt;"Neurofeedback",F1695&lt;&gt;"Fotobiomodulación",F1695&lt;&gt;"Psicoterapia",F1695&lt;&gt;"Otros")),"Tipo o categoría inválido",IF(COUNTA(A1695:J1695)=0,"",IF(OR(A1695="",B1695="",C1695="",G1695=""),"Faltan datos",IF(COUNTIF($A$7:$A$2006,A1695)&gt;1,"ID duplicado",IF(OR(B1695&lt;DATE(Configuración!$C$5,1,1),B1695&gt;=DATE(Configuración!$C$5+1,1,1)),"Fecha fuera del año",IF(OR(G1695&lt;0,H1695&lt;0),"Revisar signo",IF(AND(C1695&lt;&gt;"Servicio",H1695&lt;&gt;0),"IVA solo en Servicio",IF(AND(C1695="Servicio",F1695=""),"Falta servicio","OK")))))))))</f>
        <v/>
      </c>
    </row>
    <row r="1696" spans="1:12" ht="22" customHeight="1">
      <c r="A1696" s="3"/>
      <c r="B1696" s="7"/>
      <c r="C1696" s="3"/>
      <c r="D1696" s="3"/>
      <c r="E1696" s="3"/>
      <c r="F1696" s="3"/>
      <c r="G1696" s="4"/>
      <c r="H1696" s="4"/>
      <c r="I1696" s="3"/>
      <c r="J1696" s="3"/>
      <c r="K1696" s="8" t="str">
        <f t="shared" si="26"/>
        <v/>
      </c>
      <c r="L1696" s="1" t="str">
        <f>IF(COUNTA(A1696:J1696)=0,"",IF(OR(AND(C1696&lt;&gt;"Servicio",C1696&lt;&gt;"Cobro",C1696&lt;&gt;"Anticipo",C1696&lt;&gt;"Aplicación anticipo",C1696&lt;&gt;"Retención ISR",C1696&lt;&gt;"Retención IVA"),AND(C1696="Servicio",F1696&lt;&gt;"TMS",F1696&lt;&gt;"Valoración",F1696&lt;&gt;"EEG",F1696&lt;&gt;"Neurofeedback",F1696&lt;&gt;"Fotobiomodulación",F1696&lt;&gt;"Psicoterapia",F1696&lt;&gt;"Otros")),"Tipo o categoría inválido",IF(COUNTA(A1696:J1696)=0,"",IF(OR(A1696="",B1696="",C1696="",G1696=""),"Faltan datos",IF(COUNTIF($A$7:$A$2006,A1696)&gt;1,"ID duplicado",IF(OR(B1696&lt;DATE(Configuración!$C$5,1,1),B1696&gt;=DATE(Configuración!$C$5+1,1,1)),"Fecha fuera del año",IF(OR(G1696&lt;0,H1696&lt;0),"Revisar signo",IF(AND(C1696&lt;&gt;"Servicio",H1696&lt;&gt;0),"IVA solo en Servicio",IF(AND(C1696="Servicio",F1696=""),"Falta servicio","OK")))))))))</f>
        <v/>
      </c>
    </row>
    <row r="1697" spans="1:12" ht="22" customHeight="1">
      <c r="A1697" s="3"/>
      <c r="B1697" s="7"/>
      <c r="C1697" s="3"/>
      <c r="D1697" s="3"/>
      <c r="E1697" s="3"/>
      <c r="F1697" s="3"/>
      <c r="G1697" s="4"/>
      <c r="H1697" s="4"/>
      <c r="I1697" s="3"/>
      <c r="J1697" s="3"/>
      <c r="K1697" s="8" t="str">
        <f t="shared" si="26"/>
        <v/>
      </c>
      <c r="L1697" s="1" t="str">
        <f>IF(COUNTA(A1697:J1697)=0,"",IF(OR(AND(C1697&lt;&gt;"Servicio",C1697&lt;&gt;"Cobro",C1697&lt;&gt;"Anticipo",C1697&lt;&gt;"Aplicación anticipo",C1697&lt;&gt;"Retención ISR",C1697&lt;&gt;"Retención IVA"),AND(C1697="Servicio",F1697&lt;&gt;"TMS",F1697&lt;&gt;"Valoración",F1697&lt;&gt;"EEG",F1697&lt;&gt;"Neurofeedback",F1697&lt;&gt;"Fotobiomodulación",F1697&lt;&gt;"Psicoterapia",F1697&lt;&gt;"Otros")),"Tipo o categoría inválido",IF(COUNTA(A1697:J1697)=0,"",IF(OR(A1697="",B1697="",C1697="",G1697=""),"Faltan datos",IF(COUNTIF($A$7:$A$2006,A1697)&gt;1,"ID duplicado",IF(OR(B1697&lt;DATE(Configuración!$C$5,1,1),B1697&gt;=DATE(Configuración!$C$5+1,1,1)),"Fecha fuera del año",IF(OR(G1697&lt;0,H1697&lt;0),"Revisar signo",IF(AND(C1697&lt;&gt;"Servicio",H1697&lt;&gt;0),"IVA solo en Servicio",IF(AND(C1697="Servicio",F1697=""),"Falta servicio","OK")))))))))</f>
        <v/>
      </c>
    </row>
    <row r="1698" spans="1:12" ht="22" customHeight="1">
      <c r="A1698" s="3"/>
      <c r="B1698" s="7"/>
      <c r="C1698" s="3"/>
      <c r="D1698" s="3"/>
      <c r="E1698" s="3"/>
      <c r="F1698" s="3"/>
      <c r="G1698" s="4"/>
      <c r="H1698" s="4"/>
      <c r="I1698" s="3"/>
      <c r="J1698" s="3"/>
      <c r="K1698" s="8" t="str">
        <f t="shared" si="26"/>
        <v/>
      </c>
      <c r="L1698" s="1" t="str">
        <f>IF(COUNTA(A1698:J1698)=0,"",IF(OR(AND(C1698&lt;&gt;"Servicio",C1698&lt;&gt;"Cobro",C1698&lt;&gt;"Anticipo",C1698&lt;&gt;"Aplicación anticipo",C1698&lt;&gt;"Retención ISR",C1698&lt;&gt;"Retención IVA"),AND(C1698="Servicio",F1698&lt;&gt;"TMS",F1698&lt;&gt;"Valoración",F1698&lt;&gt;"EEG",F1698&lt;&gt;"Neurofeedback",F1698&lt;&gt;"Fotobiomodulación",F1698&lt;&gt;"Psicoterapia",F1698&lt;&gt;"Otros")),"Tipo o categoría inválido",IF(COUNTA(A1698:J1698)=0,"",IF(OR(A1698="",B1698="",C1698="",G1698=""),"Faltan datos",IF(COUNTIF($A$7:$A$2006,A1698)&gt;1,"ID duplicado",IF(OR(B1698&lt;DATE(Configuración!$C$5,1,1),B1698&gt;=DATE(Configuración!$C$5+1,1,1)),"Fecha fuera del año",IF(OR(G1698&lt;0,H1698&lt;0),"Revisar signo",IF(AND(C1698&lt;&gt;"Servicio",H1698&lt;&gt;0),"IVA solo en Servicio",IF(AND(C1698="Servicio",F1698=""),"Falta servicio","OK")))))))))</f>
        <v/>
      </c>
    </row>
    <row r="1699" spans="1:12" ht="22" customHeight="1">
      <c r="A1699" s="3"/>
      <c r="B1699" s="7"/>
      <c r="C1699" s="3"/>
      <c r="D1699" s="3"/>
      <c r="E1699" s="3"/>
      <c r="F1699" s="3"/>
      <c r="G1699" s="4"/>
      <c r="H1699" s="4"/>
      <c r="I1699" s="3"/>
      <c r="J1699" s="3"/>
      <c r="K1699" s="8" t="str">
        <f t="shared" si="26"/>
        <v/>
      </c>
      <c r="L1699" s="1" t="str">
        <f>IF(COUNTA(A1699:J1699)=0,"",IF(OR(AND(C1699&lt;&gt;"Servicio",C1699&lt;&gt;"Cobro",C1699&lt;&gt;"Anticipo",C1699&lt;&gt;"Aplicación anticipo",C1699&lt;&gt;"Retención ISR",C1699&lt;&gt;"Retención IVA"),AND(C1699="Servicio",F1699&lt;&gt;"TMS",F1699&lt;&gt;"Valoración",F1699&lt;&gt;"EEG",F1699&lt;&gt;"Neurofeedback",F1699&lt;&gt;"Fotobiomodulación",F1699&lt;&gt;"Psicoterapia",F1699&lt;&gt;"Otros")),"Tipo o categoría inválido",IF(COUNTA(A1699:J1699)=0,"",IF(OR(A1699="",B1699="",C1699="",G1699=""),"Faltan datos",IF(COUNTIF($A$7:$A$2006,A1699)&gt;1,"ID duplicado",IF(OR(B1699&lt;DATE(Configuración!$C$5,1,1),B1699&gt;=DATE(Configuración!$C$5+1,1,1)),"Fecha fuera del año",IF(OR(G1699&lt;0,H1699&lt;0),"Revisar signo",IF(AND(C1699&lt;&gt;"Servicio",H1699&lt;&gt;0),"IVA solo en Servicio",IF(AND(C1699="Servicio",F1699=""),"Falta servicio","OK")))))))))</f>
        <v/>
      </c>
    </row>
    <row r="1700" spans="1:12" ht="22" customHeight="1">
      <c r="A1700" s="3"/>
      <c r="B1700" s="7"/>
      <c r="C1700" s="3"/>
      <c r="D1700" s="3"/>
      <c r="E1700" s="3"/>
      <c r="F1700" s="3"/>
      <c r="G1700" s="4"/>
      <c r="H1700" s="4"/>
      <c r="I1700" s="3"/>
      <c r="J1700" s="3"/>
      <c r="K1700" s="8" t="str">
        <f t="shared" si="26"/>
        <v/>
      </c>
      <c r="L1700" s="1" t="str">
        <f>IF(COUNTA(A1700:J1700)=0,"",IF(OR(AND(C1700&lt;&gt;"Servicio",C1700&lt;&gt;"Cobro",C1700&lt;&gt;"Anticipo",C1700&lt;&gt;"Aplicación anticipo",C1700&lt;&gt;"Retención ISR",C1700&lt;&gt;"Retención IVA"),AND(C1700="Servicio",F1700&lt;&gt;"TMS",F1700&lt;&gt;"Valoración",F1700&lt;&gt;"EEG",F1700&lt;&gt;"Neurofeedback",F1700&lt;&gt;"Fotobiomodulación",F1700&lt;&gt;"Psicoterapia",F1700&lt;&gt;"Otros")),"Tipo o categoría inválido",IF(COUNTA(A1700:J1700)=0,"",IF(OR(A1700="",B1700="",C1700="",G1700=""),"Faltan datos",IF(COUNTIF($A$7:$A$2006,A1700)&gt;1,"ID duplicado",IF(OR(B1700&lt;DATE(Configuración!$C$5,1,1),B1700&gt;=DATE(Configuración!$C$5+1,1,1)),"Fecha fuera del año",IF(OR(G1700&lt;0,H1700&lt;0),"Revisar signo",IF(AND(C1700&lt;&gt;"Servicio",H1700&lt;&gt;0),"IVA solo en Servicio",IF(AND(C1700="Servicio",F1700=""),"Falta servicio","OK")))))))))</f>
        <v/>
      </c>
    </row>
    <row r="1701" spans="1:12" ht="22" customHeight="1">
      <c r="A1701" s="3"/>
      <c r="B1701" s="7"/>
      <c r="C1701" s="3"/>
      <c r="D1701" s="3"/>
      <c r="E1701" s="3"/>
      <c r="F1701" s="3"/>
      <c r="G1701" s="4"/>
      <c r="H1701" s="4"/>
      <c r="I1701" s="3"/>
      <c r="J1701" s="3"/>
      <c r="K1701" s="8" t="str">
        <f t="shared" si="26"/>
        <v/>
      </c>
      <c r="L1701" s="1" t="str">
        <f>IF(COUNTA(A1701:J1701)=0,"",IF(OR(AND(C1701&lt;&gt;"Servicio",C1701&lt;&gt;"Cobro",C1701&lt;&gt;"Anticipo",C1701&lt;&gt;"Aplicación anticipo",C1701&lt;&gt;"Retención ISR",C1701&lt;&gt;"Retención IVA"),AND(C1701="Servicio",F1701&lt;&gt;"TMS",F1701&lt;&gt;"Valoración",F1701&lt;&gt;"EEG",F1701&lt;&gt;"Neurofeedback",F1701&lt;&gt;"Fotobiomodulación",F1701&lt;&gt;"Psicoterapia",F1701&lt;&gt;"Otros")),"Tipo o categoría inválido",IF(COUNTA(A1701:J1701)=0,"",IF(OR(A1701="",B1701="",C1701="",G1701=""),"Faltan datos",IF(COUNTIF($A$7:$A$2006,A1701)&gt;1,"ID duplicado",IF(OR(B1701&lt;DATE(Configuración!$C$5,1,1),B1701&gt;=DATE(Configuración!$C$5+1,1,1)),"Fecha fuera del año",IF(OR(G1701&lt;0,H1701&lt;0),"Revisar signo",IF(AND(C1701&lt;&gt;"Servicio",H1701&lt;&gt;0),"IVA solo en Servicio",IF(AND(C1701="Servicio",F1701=""),"Falta servicio","OK")))))))))</f>
        <v/>
      </c>
    </row>
    <row r="1702" spans="1:12" ht="22" customHeight="1">
      <c r="A1702" s="3"/>
      <c r="B1702" s="7"/>
      <c r="C1702" s="3"/>
      <c r="D1702" s="3"/>
      <c r="E1702" s="3"/>
      <c r="F1702" s="3"/>
      <c r="G1702" s="4"/>
      <c r="H1702" s="4"/>
      <c r="I1702" s="3"/>
      <c r="J1702" s="3"/>
      <c r="K1702" s="8" t="str">
        <f t="shared" si="26"/>
        <v/>
      </c>
      <c r="L1702" s="1" t="str">
        <f>IF(COUNTA(A1702:J1702)=0,"",IF(OR(AND(C1702&lt;&gt;"Servicio",C1702&lt;&gt;"Cobro",C1702&lt;&gt;"Anticipo",C1702&lt;&gt;"Aplicación anticipo",C1702&lt;&gt;"Retención ISR",C1702&lt;&gt;"Retención IVA"),AND(C1702="Servicio",F1702&lt;&gt;"TMS",F1702&lt;&gt;"Valoración",F1702&lt;&gt;"EEG",F1702&lt;&gt;"Neurofeedback",F1702&lt;&gt;"Fotobiomodulación",F1702&lt;&gt;"Psicoterapia",F1702&lt;&gt;"Otros")),"Tipo o categoría inválido",IF(COUNTA(A1702:J1702)=0,"",IF(OR(A1702="",B1702="",C1702="",G1702=""),"Faltan datos",IF(COUNTIF($A$7:$A$2006,A1702)&gt;1,"ID duplicado",IF(OR(B1702&lt;DATE(Configuración!$C$5,1,1),B1702&gt;=DATE(Configuración!$C$5+1,1,1)),"Fecha fuera del año",IF(OR(G1702&lt;0,H1702&lt;0),"Revisar signo",IF(AND(C1702&lt;&gt;"Servicio",H1702&lt;&gt;0),"IVA solo en Servicio",IF(AND(C1702="Servicio",F1702=""),"Falta servicio","OK")))))))))</f>
        <v/>
      </c>
    </row>
    <row r="1703" spans="1:12" ht="22" customHeight="1">
      <c r="A1703" s="3"/>
      <c r="B1703" s="7"/>
      <c r="C1703" s="3"/>
      <c r="D1703" s="3"/>
      <c r="E1703" s="3"/>
      <c r="F1703" s="3"/>
      <c r="G1703" s="4"/>
      <c r="H1703" s="4"/>
      <c r="I1703" s="3"/>
      <c r="J1703" s="3"/>
      <c r="K1703" s="8" t="str">
        <f t="shared" si="26"/>
        <v/>
      </c>
      <c r="L1703" s="1" t="str">
        <f>IF(COUNTA(A1703:J1703)=0,"",IF(OR(AND(C1703&lt;&gt;"Servicio",C1703&lt;&gt;"Cobro",C1703&lt;&gt;"Anticipo",C1703&lt;&gt;"Aplicación anticipo",C1703&lt;&gt;"Retención ISR",C1703&lt;&gt;"Retención IVA"),AND(C1703="Servicio",F1703&lt;&gt;"TMS",F1703&lt;&gt;"Valoración",F1703&lt;&gt;"EEG",F1703&lt;&gt;"Neurofeedback",F1703&lt;&gt;"Fotobiomodulación",F1703&lt;&gt;"Psicoterapia",F1703&lt;&gt;"Otros")),"Tipo o categoría inválido",IF(COUNTA(A1703:J1703)=0,"",IF(OR(A1703="",B1703="",C1703="",G1703=""),"Faltan datos",IF(COUNTIF($A$7:$A$2006,A1703)&gt;1,"ID duplicado",IF(OR(B1703&lt;DATE(Configuración!$C$5,1,1),B1703&gt;=DATE(Configuración!$C$5+1,1,1)),"Fecha fuera del año",IF(OR(G1703&lt;0,H1703&lt;0),"Revisar signo",IF(AND(C1703&lt;&gt;"Servicio",H1703&lt;&gt;0),"IVA solo en Servicio",IF(AND(C1703="Servicio",F1703=""),"Falta servicio","OK")))))))))</f>
        <v/>
      </c>
    </row>
    <row r="1704" spans="1:12" ht="22" customHeight="1">
      <c r="A1704" s="3"/>
      <c r="B1704" s="7"/>
      <c r="C1704" s="3"/>
      <c r="D1704" s="3"/>
      <c r="E1704" s="3"/>
      <c r="F1704" s="3"/>
      <c r="G1704" s="4"/>
      <c r="H1704" s="4"/>
      <c r="I1704" s="3"/>
      <c r="J1704" s="3"/>
      <c r="K1704" s="8" t="str">
        <f t="shared" si="26"/>
        <v/>
      </c>
      <c r="L1704" s="1" t="str">
        <f>IF(COUNTA(A1704:J1704)=0,"",IF(OR(AND(C1704&lt;&gt;"Servicio",C1704&lt;&gt;"Cobro",C1704&lt;&gt;"Anticipo",C1704&lt;&gt;"Aplicación anticipo",C1704&lt;&gt;"Retención ISR",C1704&lt;&gt;"Retención IVA"),AND(C1704="Servicio",F1704&lt;&gt;"TMS",F1704&lt;&gt;"Valoración",F1704&lt;&gt;"EEG",F1704&lt;&gt;"Neurofeedback",F1704&lt;&gt;"Fotobiomodulación",F1704&lt;&gt;"Psicoterapia",F1704&lt;&gt;"Otros")),"Tipo o categoría inválido",IF(COUNTA(A1704:J1704)=0,"",IF(OR(A1704="",B1704="",C1704="",G1704=""),"Faltan datos",IF(COUNTIF($A$7:$A$2006,A1704)&gt;1,"ID duplicado",IF(OR(B1704&lt;DATE(Configuración!$C$5,1,1),B1704&gt;=DATE(Configuración!$C$5+1,1,1)),"Fecha fuera del año",IF(OR(G1704&lt;0,H1704&lt;0),"Revisar signo",IF(AND(C1704&lt;&gt;"Servicio",H1704&lt;&gt;0),"IVA solo en Servicio",IF(AND(C1704="Servicio",F1704=""),"Falta servicio","OK")))))))))</f>
        <v/>
      </c>
    </row>
    <row r="1705" spans="1:12" ht="22" customHeight="1">
      <c r="A1705" s="3"/>
      <c r="B1705" s="7"/>
      <c r="C1705" s="3"/>
      <c r="D1705" s="3"/>
      <c r="E1705" s="3"/>
      <c r="F1705" s="3"/>
      <c r="G1705" s="4"/>
      <c r="H1705" s="4"/>
      <c r="I1705" s="3"/>
      <c r="J1705" s="3"/>
      <c r="K1705" s="8" t="str">
        <f t="shared" si="26"/>
        <v/>
      </c>
      <c r="L1705" s="1" t="str">
        <f>IF(COUNTA(A1705:J1705)=0,"",IF(OR(AND(C1705&lt;&gt;"Servicio",C1705&lt;&gt;"Cobro",C1705&lt;&gt;"Anticipo",C1705&lt;&gt;"Aplicación anticipo",C1705&lt;&gt;"Retención ISR",C1705&lt;&gt;"Retención IVA"),AND(C1705="Servicio",F1705&lt;&gt;"TMS",F1705&lt;&gt;"Valoración",F1705&lt;&gt;"EEG",F1705&lt;&gt;"Neurofeedback",F1705&lt;&gt;"Fotobiomodulación",F1705&lt;&gt;"Psicoterapia",F1705&lt;&gt;"Otros")),"Tipo o categoría inválido",IF(COUNTA(A1705:J1705)=0,"",IF(OR(A1705="",B1705="",C1705="",G1705=""),"Faltan datos",IF(COUNTIF($A$7:$A$2006,A1705)&gt;1,"ID duplicado",IF(OR(B1705&lt;DATE(Configuración!$C$5,1,1),B1705&gt;=DATE(Configuración!$C$5+1,1,1)),"Fecha fuera del año",IF(OR(G1705&lt;0,H1705&lt;0),"Revisar signo",IF(AND(C1705&lt;&gt;"Servicio",H1705&lt;&gt;0),"IVA solo en Servicio",IF(AND(C1705="Servicio",F1705=""),"Falta servicio","OK")))))))))</f>
        <v/>
      </c>
    </row>
    <row r="1706" spans="1:12" ht="22" customHeight="1">
      <c r="A1706" s="3"/>
      <c r="B1706" s="7"/>
      <c r="C1706" s="3"/>
      <c r="D1706" s="3"/>
      <c r="E1706" s="3"/>
      <c r="F1706" s="3"/>
      <c r="G1706" s="4"/>
      <c r="H1706" s="4"/>
      <c r="I1706" s="3"/>
      <c r="J1706" s="3"/>
      <c r="K1706" s="8" t="str">
        <f t="shared" si="26"/>
        <v/>
      </c>
      <c r="L1706" s="1" t="str">
        <f>IF(COUNTA(A1706:J1706)=0,"",IF(OR(AND(C1706&lt;&gt;"Servicio",C1706&lt;&gt;"Cobro",C1706&lt;&gt;"Anticipo",C1706&lt;&gt;"Aplicación anticipo",C1706&lt;&gt;"Retención ISR",C1706&lt;&gt;"Retención IVA"),AND(C1706="Servicio",F1706&lt;&gt;"TMS",F1706&lt;&gt;"Valoración",F1706&lt;&gt;"EEG",F1706&lt;&gt;"Neurofeedback",F1706&lt;&gt;"Fotobiomodulación",F1706&lt;&gt;"Psicoterapia",F1706&lt;&gt;"Otros")),"Tipo o categoría inválido",IF(COUNTA(A1706:J1706)=0,"",IF(OR(A1706="",B1706="",C1706="",G1706=""),"Faltan datos",IF(COUNTIF($A$7:$A$2006,A1706)&gt;1,"ID duplicado",IF(OR(B1706&lt;DATE(Configuración!$C$5,1,1),B1706&gt;=DATE(Configuración!$C$5+1,1,1)),"Fecha fuera del año",IF(OR(G1706&lt;0,H1706&lt;0),"Revisar signo",IF(AND(C1706&lt;&gt;"Servicio",H1706&lt;&gt;0),"IVA solo en Servicio",IF(AND(C1706="Servicio",F1706=""),"Falta servicio","OK")))))))))</f>
        <v/>
      </c>
    </row>
    <row r="1707" spans="1:12" ht="22" customHeight="1">
      <c r="A1707" s="3"/>
      <c r="B1707" s="7"/>
      <c r="C1707" s="3"/>
      <c r="D1707" s="3"/>
      <c r="E1707" s="3"/>
      <c r="F1707" s="3"/>
      <c r="G1707" s="4"/>
      <c r="H1707" s="4"/>
      <c r="I1707" s="3"/>
      <c r="J1707" s="3"/>
      <c r="K1707" s="8" t="str">
        <f t="shared" si="26"/>
        <v/>
      </c>
      <c r="L1707" s="1" t="str">
        <f>IF(COUNTA(A1707:J1707)=0,"",IF(OR(AND(C1707&lt;&gt;"Servicio",C1707&lt;&gt;"Cobro",C1707&lt;&gt;"Anticipo",C1707&lt;&gt;"Aplicación anticipo",C1707&lt;&gt;"Retención ISR",C1707&lt;&gt;"Retención IVA"),AND(C1707="Servicio",F1707&lt;&gt;"TMS",F1707&lt;&gt;"Valoración",F1707&lt;&gt;"EEG",F1707&lt;&gt;"Neurofeedback",F1707&lt;&gt;"Fotobiomodulación",F1707&lt;&gt;"Psicoterapia",F1707&lt;&gt;"Otros")),"Tipo o categoría inválido",IF(COUNTA(A1707:J1707)=0,"",IF(OR(A1707="",B1707="",C1707="",G1707=""),"Faltan datos",IF(COUNTIF($A$7:$A$2006,A1707)&gt;1,"ID duplicado",IF(OR(B1707&lt;DATE(Configuración!$C$5,1,1),B1707&gt;=DATE(Configuración!$C$5+1,1,1)),"Fecha fuera del año",IF(OR(G1707&lt;0,H1707&lt;0),"Revisar signo",IF(AND(C1707&lt;&gt;"Servicio",H1707&lt;&gt;0),"IVA solo en Servicio",IF(AND(C1707="Servicio",F1707=""),"Falta servicio","OK")))))))))</f>
        <v/>
      </c>
    </row>
    <row r="1708" spans="1:12" ht="22" customHeight="1">
      <c r="A1708" s="3"/>
      <c r="B1708" s="7"/>
      <c r="C1708" s="3"/>
      <c r="D1708" s="3"/>
      <c r="E1708" s="3"/>
      <c r="F1708" s="3"/>
      <c r="G1708" s="4"/>
      <c r="H1708" s="4"/>
      <c r="I1708" s="3"/>
      <c r="J1708" s="3"/>
      <c r="K1708" s="8" t="str">
        <f t="shared" si="26"/>
        <v/>
      </c>
      <c r="L1708" s="1" t="str">
        <f>IF(COUNTA(A1708:J1708)=0,"",IF(OR(AND(C1708&lt;&gt;"Servicio",C1708&lt;&gt;"Cobro",C1708&lt;&gt;"Anticipo",C1708&lt;&gt;"Aplicación anticipo",C1708&lt;&gt;"Retención ISR",C1708&lt;&gt;"Retención IVA"),AND(C1708="Servicio",F1708&lt;&gt;"TMS",F1708&lt;&gt;"Valoración",F1708&lt;&gt;"EEG",F1708&lt;&gt;"Neurofeedback",F1708&lt;&gt;"Fotobiomodulación",F1708&lt;&gt;"Psicoterapia",F1708&lt;&gt;"Otros")),"Tipo o categoría inválido",IF(COUNTA(A1708:J1708)=0,"",IF(OR(A1708="",B1708="",C1708="",G1708=""),"Faltan datos",IF(COUNTIF($A$7:$A$2006,A1708)&gt;1,"ID duplicado",IF(OR(B1708&lt;DATE(Configuración!$C$5,1,1),B1708&gt;=DATE(Configuración!$C$5+1,1,1)),"Fecha fuera del año",IF(OR(G1708&lt;0,H1708&lt;0),"Revisar signo",IF(AND(C1708&lt;&gt;"Servicio",H1708&lt;&gt;0),"IVA solo en Servicio",IF(AND(C1708="Servicio",F1708=""),"Falta servicio","OK")))))))))</f>
        <v/>
      </c>
    </row>
    <row r="1709" spans="1:12" ht="22" customHeight="1">
      <c r="A1709" s="3"/>
      <c r="B1709" s="7"/>
      <c r="C1709" s="3"/>
      <c r="D1709" s="3"/>
      <c r="E1709" s="3"/>
      <c r="F1709" s="3"/>
      <c r="G1709" s="4"/>
      <c r="H1709" s="4"/>
      <c r="I1709" s="3"/>
      <c r="J1709" s="3"/>
      <c r="K1709" s="8" t="str">
        <f t="shared" si="26"/>
        <v/>
      </c>
      <c r="L1709" s="1" t="str">
        <f>IF(COUNTA(A1709:J1709)=0,"",IF(OR(AND(C1709&lt;&gt;"Servicio",C1709&lt;&gt;"Cobro",C1709&lt;&gt;"Anticipo",C1709&lt;&gt;"Aplicación anticipo",C1709&lt;&gt;"Retención ISR",C1709&lt;&gt;"Retención IVA"),AND(C1709="Servicio",F1709&lt;&gt;"TMS",F1709&lt;&gt;"Valoración",F1709&lt;&gt;"EEG",F1709&lt;&gt;"Neurofeedback",F1709&lt;&gt;"Fotobiomodulación",F1709&lt;&gt;"Psicoterapia",F1709&lt;&gt;"Otros")),"Tipo o categoría inválido",IF(COUNTA(A1709:J1709)=0,"",IF(OR(A1709="",B1709="",C1709="",G1709=""),"Faltan datos",IF(COUNTIF($A$7:$A$2006,A1709)&gt;1,"ID duplicado",IF(OR(B1709&lt;DATE(Configuración!$C$5,1,1),B1709&gt;=DATE(Configuración!$C$5+1,1,1)),"Fecha fuera del año",IF(OR(G1709&lt;0,H1709&lt;0),"Revisar signo",IF(AND(C1709&lt;&gt;"Servicio",H1709&lt;&gt;0),"IVA solo en Servicio",IF(AND(C1709="Servicio",F1709=""),"Falta servicio","OK")))))))))</f>
        <v/>
      </c>
    </row>
    <row r="1710" spans="1:12" ht="22" customHeight="1">
      <c r="A1710" s="3"/>
      <c r="B1710" s="7"/>
      <c r="C1710" s="3"/>
      <c r="D1710" s="3"/>
      <c r="E1710" s="3"/>
      <c r="F1710" s="3"/>
      <c r="G1710" s="4"/>
      <c r="H1710" s="4"/>
      <c r="I1710" s="3"/>
      <c r="J1710" s="3"/>
      <c r="K1710" s="8" t="str">
        <f t="shared" si="26"/>
        <v/>
      </c>
      <c r="L1710" s="1" t="str">
        <f>IF(COUNTA(A1710:J1710)=0,"",IF(OR(AND(C1710&lt;&gt;"Servicio",C1710&lt;&gt;"Cobro",C1710&lt;&gt;"Anticipo",C1710&lt;&gt;"Aplicación anticipo",C1710&lt;&gt;"Retención ISR",C1710&lt;&gt;"Retención IVA"),AND(C1710="Servicio",F1710&lt;&gt;"TMS",F1710&lt;&gt;"Valoración",F1710&lt;&gt;"EEG",F1710&lt;&gt;"Neurofeedback",F1710&lt;&gt;"Fotobiomodulación",F1710&lt;&gt;"Psicoterapia",F1710&lt;&gt;"Otros")),"Tipo o categoría inválido",IF(COUNTA(A1710:J1710)=0,"",IF(OR(A1710="",B1710="",C1710="",G1710=""),"Faltan datos",IF(COUNTIF($A$7:$A$2006,A1710)&gt;1,"ID duplicado",IF(OR(B1710&lt;DATE(Configuración!$C$5,1,1),B1710&gt;=DATE(Configuración!$C$5+1,1,1)),"Fecha fuera del año",IF(OR(G1710&lt;0,H1710&lt;0),"Revisar signo",IF(AND(C1710&lt;&gt;"Servicio",H1710&lt;&gt;0),"IVA solo en Servicio",IF(AND(C1710="Servicio",F1710=""),"Falta servicio","OK")))))))))</f>
        <v/>
      </c>
    </row>
    <row r="1711" spans="1:12" ht="22" customHeight="1">
      <c r="A1711" s="3"/>
      <c r="B1711" s="7"/>
      <c r="C1711" s="3"/>
      <c r="D1711" s="3"/>
      <c r="E1711" s="3"/>
      <c r="F1711" s="3"/>
      <c r="G1711" s="4"/>
      <c r="H1711" s="4"/>
      <c r="I1711" s="3"/>
      <c r="J1711" s="3"/>
      <c r="K1711" s="8" t="str">
        <f t="shared" si="26"/>
        <v/>
      </c>
      <c r="L1711" s="1" t="str">
        <f>IF(COUNTA(A1711:J1711)=0,"",IF(OR(AND(C1711&lt;&gt;"Servicio",C1711&lt;&gt;"Cobro",C1711&lt;&gt;"Anticipo",C1711&lt;&gt;"Aplicación anticipo",C1711&lt;&gt;"Retención ISR",C1711&lt;&gt;"Retención IVA"),AND(C1711="Servicio",F1711&lt;&gt;"TMS",F1711&lt;&gt;"Valoración",F1711&lt;&gt;"EEG",F1711&lt;&gt;"Neurofeedback",F1711&lt;&gt;"Fotobiomodulación",F1711&lt;&gt;"Psicoterapia",F1711&lt;&gt;"Otros")),"Tipo o categoría inválido",IF(COUNTA(A1711:J1711)=0,"",IF(OR(A1711="",B1711="",C1711="",G1711=""),"Faltan datos",IF(COUNTIF($A$7:$A$2006,A1711)&gt;1,"ID duplicado",IF(OR(B1711&lt;DATE(Configuración!$C$5,1,1),B1711&gt;=DATE(Configuración!$C$5+1,1,1)),"Fecha fuera del año",IF(OR(G1711&lt;0,H1711&lt;0),"Revisar signo",IF(AND(C1711&lt;&gt;"Servicio",H1711&lt;&gt;0),"IVA solo en Servicio",IF(AND(C1711="Servicio",F1711=""),"Falta servicio","OK")))))))))</f>
        <v/>
      </c>
    </row>
    <row r="1712" spans="1:12" ht="22" customHeight="1">
      <c r="A1712" s="3"/>
      <c r="B1712" s="7"/>
      <c r="C1712" s="3"/>
      <c r="D1712" s="3"/>
      <c r="E1712" s="3"/>
      <c r="F1712" s="3"/>
      <c r="G1712" s="4"/>
      <c r="H1712" s="4"/>
      <c r="I1712" s="3"/>
      <c r="J1712" s="3"/>
      <c r="K1712" s="8" t="str">
        <f t="shared" si="26"/>
        <v/>
      </c>
      <c r="L1712" s="1" t="str">
        <f>IF(COUNTA(A1712:J1712)=0,"",IF(OR(AND(C1712&lt;&gt;"Servicio",C1712&lt;&gt;"Cobro",C1712&lt;&gt;"Anticipo",C1712&lt;&gt;"Aplicación anticipo",C1712&lt;&gt;"Retención ISR",C1712&lt;&gt;"Retención IVA"),AND(C1712="Servicio",F1712&lt;&gt;"TMS",F1712&lt;&gt;"Valoración",F1712&lt;&gt;"EEG",F1712&lt;&gt;"Neurofeedback",F1712&lt;&gt;"Fotobiomodulación",F1712&lt;&gt;"Psicoterapia",F1712&lt;&gt;"Otros")),"Tipo o categoría inválido",IF(COUNTA(A1712:J1712)=0,"",IF(OR(A1712="",B1712="",C1712="",G1712=""),"Faltan datos",IF(COUNTIF($A$7:$A$2006,A1712)&gt;1,"ID duplicado",IF(OR(B1712&lt;DATE(Configuración!$C$5,1,1),B1712&gt;=DATE(Configuración!$C$5+1,1,1)),"Fecha fuera del año",IF(OR(G1712&lt;0,H1712&lt;0),"Revisar signo",IF(AND(C1712&lt;&gt;"Servicio",H1712&lt;&gt;0),"IVA solo en Servicio",IF(AND(C1712="Servicio",F1712=""),"Falta servicio","OK")))))))))</f>
        <v/>
      </c>
    </row>
    <row r="1713" spans="1:12" ht="22" customHeight="1">
      <c r="A1713" s="3"/>
      <c r="B1713" s="7"/>
      <c r="C1713" s="3"/>
      <c r="D1713" s="3"/>
      <c r="E1713" s="3"/>
      <c r="F1713" s="3"/>
      <c r="G1713" s="4"/>
      <c r="H1713" s="4"/>
      <c r="I1713" s="3"/>
      <c r="J1713" s="3"/>
      <c r="K1713" s="8" t="str">
        <f t="shared" si="26"/>
        <v/>
      </c>
      <c r="L1713" s="1" t="str">
        <f>IF(COUNTA(A1713:J1713)=0,"",IF(OR(AND(C1713&lt;&gt;"Servicio",C1713&lt;&gt;"Cobro",C1713&lt;&gt;"Anticipo",C1713&lt;&gt;"Aplicación anticipo",C1713&lt;&gt;"Retención ISR",C1713&lt;&gt;"Retención IVA"),AND(C1713="Servicio",F1713&lt;&gt;"TMS",F1713&lt;&gt;"Valoración",F1713&lt;&gt;"EEG",F1713&lt;&gt;"Neurofeedback",F1713&lt;&gt;"Fotobiomodulación",F1713&lt;&gt;"Psicoterapia",F1713&lt;&gt;"Otros")),"Tipo o categoría inválido",IF(COUNTA(A1713:J1713)=0,"",IF(OR(A1713="",B1713="",C1713="",G1713=""),"Faltan datos",IF(COUNTIF($A$7:$A$2006,A1713)&gt;1,"ID duplicado",IF(OR(B1713&lt;DATE(Configuración!$C$5,1,1),B1713&gt;=DATE(Configuración!$C$5+1,1,1)),"Fecha fuera del año",IF(OR(G1713&lt;0,H1713&lt;0),"Revisar signo",IF(AND(C1713&lt;&gt;"Servicio",H1713&lt;&gt;0),"IVA solo en Servicio",IF(AND(C1713="Servicio",F1713=""),"Falta servicio","OK")))))))))</f>
        <v/>
      </c>
    </row>
    <row r="1714" spans="1:12" ht="22" customHeight="1">
      <c r="A1714" s="3"/>
      <c r="B1714" s="7"/>
      <c r="C1714" s="3"/>
      <c r="D1714" s="3"/>
      <c r="E1714" s="3"/>
      <c r="F1714" s="3"/>
      <c r="G1714" s="4"/>
      <c r="H1714" s="4"/>
      <c r="I1714" s="3"/>
      <c r="J1714" s="3"/>
      <c r="K1714" s="8" t="str">
        <f t="shared" si="26"/>
        <v/>
      </c>
      <c r="L1714" s="1" t="str">
        <f>IF(COUNTA(A1714:J1714)=0,"",IF(OR(AND(C1714&lt;&gt;"Servicio",C1714&lt;&gt;"Cobro",C1714&lt;&gt;"Anticipo",C1714&lt;&gt;"Aplicación anticipo",C1714&lt;&gt;"Retención ISR",C1714&lt;&gt;"Retención IVA"),AND(C1714="Servicio",F1714&lt;&gt;"TMS",F1714&lt;&gt;"Valoración",F1714&lt;&gt;"EEG",F1714&lt;&gt;"Neurofeedback",F1714&lt;&gt;"Fotobiomodulación",F1714&lt;&gt;"Psicoterapia",F1714&lt;&gt;"Otros")),"Tipo o categoría inválido",IF(COUNTA(A1714:J1714)=0,"",IF(OR(A1714="",B1714="",C1714="",G1714=""),"Faltan datos",IF(COUNTIF($A$7:$A$2006,A1714)&gt;1,"ID duplicado",IF(OR(B1714&lt;DATE(Configuración!$C$5,1,1),B1714&gt;=DATE(Configuración!$C$5+1,1,1)),"Fecha fuera del año",IF(OR(G1714&lt;0,H1714&lt;0),"Revisar signo",IF(AND(C1714&lt;&gt;"Servicio",H1714&lt;&gt;0),"IVA solo en Servicio",IF(AND(C1714="Servicio",F1714=""),"Falta servicio","OK")))))))))</f>
        <v/>
      </c>
    </row>
    <row r="1715" spans="1:12" ht="22" customHeight="1">
      <c r="A1715" s="3"/>
      <c r="B1715" s="7"/>
      <c r="C1715" s="3"/>
      <c r="D1715" s="3"/>
      <c r="E1715" s="3"/>
      <c r="F1715" s="3"/>
      <c r="G1715" s="4"/>
      <c r="H1715" s="4"/>
      <c r="I1715" s="3"/>
      <c r="J1715" s="3"/>
      <c r="K1715" s="8" t="str">
        <f t="shared" si="26"/>
        <v/>
      </c>
      <c r="L1715" s="1" t="str">
        <f>IF(COUNTA(A1715:J1715)=0,"",IF(OR(AND(C1715&lt;&gt;"Servicio",C1715&lt;&gt;"Cobro",C1715&lt;&gt;"Anticipo",C1715&lt;&gt;"Aplicación anticipo",C1715&lt;&gt;"Retención ISR",C1715&lt;&gt;"Retención IVA"),AND(C1715="Servicio",F1715&lt;&gt;"TMS",F1715&lt;&gt;"Valoración",F1715&lt;&gt;"EEG",F1715&lt;&gt;"Neurofeedback",F1715&lt;&gt;"Fotobiomodulación",F1715&lt;&gt;"Psicoterapia",F1715&lt;&gt;"Otros")),"Tipo o categoría inválido",IF(COUNTA(A1715:J1715)=0,"",IF(OR(A1715="",B1715="",C1715="",G1715=""),"Faltan datos",IF(COUNTIF($A$7:$A$2006,A1715)&gt;1,"ID duplicado",IF(OR(B1715&lt;DATE(Configuración!$C$5,1,1),B1715&gt;=DATE(Configuración!$C$5+1,1,1)),"Fecha fuera del año",IF(OR(G1715&lt;0,H1715&lt;0),"Revisar signo",IF(AND(C1715&lt;&gt;"Servicio",H1715&lt;&gt;0),"IVA solo en Servicio",IF(AND(C1715="Servicio",F1715=""),"Falta servicio","OK")))))))))</f>
        <v/>
      </c>
    </row>
    <row r="1716" spans="1:12" ht="22" customHeight="1">
      <c r="A1716" s="3"/>
      <c r="B1716" s="7"/>
      <c r="C1716" s="3"/>
      <c r="D1716" s="3"/>
      <c r="E1716" s="3"/>
      <c r="F1716" s="3"/>
      <c r="G1716" s="4"/>
      <c r="H1716" s="4"/>
      <c r="I1716" s="3"/>
      <c r="J1716" s="3"/>
      <c r="K1716" s="8" t="str">
        <f t="shared" si="26"/>
        <v/>
      </c>
      <c r="L1716" s="1" t="str">
        <f>IF(COUNTA(A1716:J1716)=0,"",IF(OR(AND(C1716&lt;&gt;"Servicio",C1716&lt;&gt;"Cobro",C1716&lt;&gt;"Anticipo",C1716&lt;&gt;"Aplicación anticipo",C1716&lt;&gt;"Retención ISR",C1716&lt;&gt;"Retención IVA"),AND(C1716="Servicio",F1716&lt;&gt;"TMS",F1716&lt;&gt;"Valoración",F1716&lt;&gt;"EEG",F1716&lt;&gt;"Neurofeedback",F1716&lt;&gt;"Fotobiomodulación",F1716&lt;&gt;"Psicoterapia",F1716&lt;&gt;"Otros")),"Tipo o categoría inválido",IF(COUNTA(A1716:J1716)=0,"",IF(OR(A1716="",B1716="",C1716="",G1716=""),"Faltan datos",IF(COUNTIF($A$7:$A$2006,A1716)&gt;1,"ID duplicado",IF(OR(B1716&lt;DATE(Configuración!$C$5,1,1),B1716&gt;=DATE(Configuración!$C$5+1,1,1)),"Fecha fuera del año",IF(OR(G1716&lt;0,H1716&lt;0),"Revisar signo",IF(AND(C1716&lt;&gt;"Servicio",H1716&lt;&gt;0),"IVA solo en Servicio",IF(AND(C1716="Servicio",F1716=""),"Falta servicio","OK")))))))))</f>
        <v/>
      </c>
    </row>
    <row r="1717" spans="1:12" ht="22" customHeight="1">
      <c r="A1717" s="3"/>
      <c r="B1717" s="7"/>
      <c r="C1717" s="3"/>
      <c r="D1717" s="3"/>
      <c r="E1717" s="3"/>
      <c r="F1717" s="3"/>
      <c r="G1717" s="4"/>
      <c r="H1717" s="4"/>
      <c r="I1717" s="3"/>
      <c r="J1717" s="3"/>
      <c r="K1717" s="8" t="str">
        <f t="shared" si="26"/>
        <v/>
      </c>
      <c r="L1717" s="1" t="str">
        <f>IF(COUNTA(A1717:J1717)=0,"",IF(OR(AND(C1717&lt;&gt;"Servicio",C1717&lt;&gt;"Cobro",C1717&lt;&gt;"Anticipo",C1717&lt;&gt;"Aplicación anticipo",C1717&lt;&gt;"Retención ISR",C1717&lt;&gt;"Retención IVA"),AND(C1717="Servicio",F1717&lt;&gt;"TMS",F1717&lt;&gt;"Valoración",F1717&lt;&gt;"EEG",F1717&lt;&gt;"Neurofeedback",F1717&lt;&gt;"Fotobiomodulación",F1717&lt;&gt;"Psicoterapia",F1717&lt;&gt;"Otros")),"Tipo o categoría inválido",IF(COUNTA(A1717:J1717)=0,"",IF(OR(A1717="",B1717="",C1717="",G1717=""),"Faltan datos",IF(COUNTIF($A$7:$A$2006,A1717)&gt;1,"ID duplicado",IF(OR(B1717&lt;DATE(Configuración!$C$5,1,1),B1717&gt;=DATE(Configuración!$C$5+1,1,1)),"Fecha fuera del año",IF(OR(G1717&lt;0,H1717&lt;0),"Revisar signo",IF(AND(C1717&lt;&gt;"Servicio",H1717&lt;&gt;0),"IVA solo en Servicio",IF(AND(C1717="Servicio",F1717=""),"Falta servicio","OK")))))))))</f>
        <v/>
      </c>
    </row>
    <row r="1718" spans="1:12" ht="22" customHeight="1">
      <c r="A1718" s="3"/>
      <c r="B1718" s="7"/>
      <c r="C1718" s="3"/>
      <c r="D1718" s="3"/>
      <c r="E1718" s="3"/>
      <c r="F1718" s="3"/>
      <c r="G1718" s="4"/>
      <c r="H1718" s="4"/>
      <c r="I1718" s="3"/>
      <c r="J1718" s="3"/>
      <c r="K1718" s="8" t="str">
        <f t="shared" si="26"/>
        <v/>
      </c>
      <c r="L1718" s="1" t="str">
        <f>IF(COUNTA(A1718:J1718)=0,"",IF(OR(AND(C1718&lt;&gt;"Servicio",C1718&lt;&gt;"Cobro",C1718&lt;&gt;"Anticipo",C1718&lt;&gt;"Aplicación anticipo",C1718&lt;&gt;"Retención ISR",C1718&lt;&gt;"Retención IVA"),AND(C1718="Servicio",F1718&lt;&gt;"TMS",F1718&lt;&gt;"Valoración",F1718&lt;&gt;"EEG",F1718&lt;&gt;"Neurofeedback",F1718&lt;&gt;"Fotobiomodulación",F1718&lt;&gt;"Psicoterapia",F1718&lt;&gt;"Otros")),"Tipo o categoría inválido",IF(COUNTA(A1718:J1718)=0,"",IF(OR(A1718="",B1718="",C1718="",G1718=""),"Faltan datos",IF(COUNTIF($A$7:$A$2006,A1718)&gt;1,"ID duplicado",IF(OR(B1718&lt;DATE(Configuración!$C$5,1,1),B1718&gt;=DATE(Configuración!$C$5+1,1,1)),"Fecha fuera del año",IF(OR(G1718&lt;0,H1718&lt;0),"Revisar signo",IF(AND(C1718&lt;&gt;"Servicio",H1718&lt;&gt;0),"IVA solo en Servicio",IF(AND(C1718="Servicio",F1718=""),"Falta servicio","OK")))))))))</f>
        <v/>
      </c>
    </row>
    <row r="1719" spans="1:12" ht="22" customHeight="1">
      <c r="A1719" s="3"/>
      <c r="B1719" s="7"/>
      <c r="C1719" s="3"/>
      <c r="D1719" s="3"/>
      <c r="E1719" s="3"/>
      <c r="F1719" s="3"/>
      <c r="G1719" s="4"/>
      <c r="H1719" s="4"/>
      <c r="I1719" s="3"/>
      <c r="J1719" s="3"/>
      <c r="K1719" s="8" t="str">
        <f t="shared" si="26"/>
        <v/>
      </c>
      <c r="L1719" s="1" t="str">
        <f>IF(COUNTA(A1719:J1719)=0,"",IF(OR(AND(C1719&lt;&gt;"Servicio",C1719&lt;&gt;"Cobro",C1719&lt;&gt;"Anticipo",C1719&lt;&gt;"Aplicación anticipo",C1719&lt;&gt;"Retención ISR",C1719&lt;&gt;"Retención IVA"),AND(C1719="Servicio",F1719&lt;&gt;"TMS",F1719&lt;&gt;"Valoración",F1719&lt;&gt;"EEG",F1719&lt;&gt;"Neurofeedback",F1719&lt;&gt;"Fotobiomodulación",F1719&lt;&gt;"Psicoterapia",F1719&lt;&gt;"Otros")),"Tipo o categoría inválido",IF(COUNTA(A1719:J1719)=0,"",IF(OR(A1719="",B1719="",C1719="",G1719=""),"Faltan datos",IF(COUNTIF($A$7:$A$2006,A1719)&gt;1,"ID duplicado",IF(OR(B1719&lt;DATE(Configuración!$C$5,1,1),B1719&gt;=DATE(Configuración!$C$5+1,1,1)),"Fecha fuera del año",IF(OR(G1719&lt;0,H1719&lt;0),"Revisar signo",IF(AND(C1719&lt;&gt;"Servicio",H1719&lt;&gt;0),"IVA solo en Servicio",IF(AND(C1719="Servicio",F1719=""),"Falta servicio","OK")))))))))</f>
        <v/>
      </c>
    </row>
    <row r="1720" spans="1:12" ht="22" customHeight="1">
      <c r="A1720" s="3"/>
      <c r="B1720" s="7"/>
      <c r="C1720" s="3"/>
      <c r="D1720" s="3"/>
      <c r="E1720" s="3"/>
      <c r="F1720" s="3"/>
      <c r="G1720" s="4"/>
      <c r="H1720" s="4"/>
      <c r="I1720" s="3"/>
      <c r="J1720" s="3"/>
      <c r="K1720" s="8" t="str">
        <f t="shared" si="26"/>
        <v/>
      </c>
      <c r="L1720" s="1" t="str">
        <f>IF(COUNTA(A1720:J1720)=0,"",IF(OR(AND(C1720&lt;&gt;"Servicio",C1720&lt;&gt;"Cobro",C1720&lt;&gt;"Anticipo",C1720&lt;&gt;"Aplicación anticipo",C1720&lt;&gt;"Retención ISR",C1720&lt;&gt;"Retención IVA"),AND(C1720="Servicio",F1720&lt;&gt;"TMS",F1720&lt;&gt;"Valoración",F1720&lt;&gt;"EEG",F1720&lt;&gt;"Neurofeedback",F1720&lt;&gt;"Fotobiomodulación",F1720&lt;&gt;"Psicoterapia",F1720&lt;&gt;"Otros")),"Tipo o categoría inválido",IF(COUNTA(A1720:J1720)=0,"",IF(OR(A1720="",B1720="",C1720="",G1720=""),"Faltan datos",IF(COUNTIF($A$7:$A$2006,A1720)&gt;1,"ID duplicado",IF(OR(B1720&lt;DATE(Configuración!$C$5,1,1),B1720&gt;=DATE(Configuración!$C$5+1,1,1)),"Fecha fuera del año",IF(OR(G1720&lt;0,H1720&lt;0),"Revisar signo",IF(AND(C1720&lt;&gt;"Servicio",H1720&lt;&gt;0),"IVA solo en Servicio",IF(AND(C1720="Servicio",F1720=""),"Falta servicio","OK")))))))))</f>
        <v/>
      </c>
    </row>
    <row r="1721" spans="1:12" ht="22" customHeight="1">
      <c r="A1721" s="3"/>
      <c r="B1721" s="7"/>
      <c r="C1721" s="3"/>
      <c r="D1721" s="3"/>
      <c r="E1721" s="3"/>
      <c r="F1721" s="3"/>
      <c r="G1721" s="4"/>
      <c r="H1721" s="4"/>
      <c r="I1721" s="3"/>
      <c r="J1721" s="3"/>
      <c r="K1721" s="8" t="str">
        <f t="shared" si="26"/>
        <v/>
      </c>
      <c r="L1721" s="1" t="str">
        <f>IF(COUNTA(A1721:J1721)=0,"",IF(OR(AND(C1721&lt;&gt;"Servicio",C1721&lt;&gt;"Cobro",C1721&lt;&gt;"Anticipo",C1721&lt;&gt;"Aplicación anticipo",C1721&lt;&gt;"Retención ISR",C1721&lt;&gt;"Retención IVA"),AND(C1721="Servicio",F1721&lt;&gt;"TMS",F1721&lt;&gt;"Valoración",F1721&lt;&gt;"EEG",F1721&lt;&gt;"Neurofeedback",F1721&lt;&gt;"Fotobiomodulación",F1721&lt;&gt;"Psicoterapia",F1721&lt;&gt;"Otros")),"Tipo o categoría inválido",IF(COUNTA(A1721:J1721)=0,"",IF(OR(A1721="",B1721="",C1721="",G1721=""),"Faltan datos",IF(COUNTIF($A$7:$A$2006,A1721)&gt;1,"ID duplicado",IF(OR(B1721&lt;DATE(Configuración!$C$5,1,1),B1721&gt;=DATE(Configuración!$C$5+1,1,1)),"Fecha fuera del año",IF(OR(G1721&lt;0,H1721&lt;0),"Revisar signo",IF(AND(C1721&lt;&gt;"Servicio",H1721&lt;&gt;0),"IVA solo en Servicio",IF(AND(C1721="Servicio",F1721=""),"Falta servicio","OK")))))))))</f>
        <v/>
      </c>
    </row>
    <row r="1722" spans="1:12" ht="22" customHeight="1">
      <c r="A1722" s="3"/>
      <c r="B1722" s="7"/>
      <c r="C1722" s="3"/>
      <c r="D1722" s="3"/>
      <c r="E1722" s="3"/>
      <c r="F1722" s="3"/>
      <c r="G1722" s="4"/>
      <c r="H1722" s="4"/>
      <c r="I1722" s="3"/>
      <c r="J1722" s="3"/>
      <c r="K1722" s="8" t="str">
        <f t="shared" si="26"/>
        <v/>
      </c>
      <c r="L1722" s="1" t="str">
        <f>IF(COUNTA(A1722:J1722)=0,"",IF(OR(AND(C1722&lt;&gt;"Servicio",C1722&lt;&gt;"Cobro",C1722&lt;&gt;"Anticipo",C1722&lt;&gt;"Aplicación anticipo",C1722&lt;&gt;"Retención ISR",C1722&lt;&gt;"Retención IVA"),AND(C1722="Servicio",F1722&lt;&gt;"TMS",F1722&lt;&gt;"Valoración",F1722&lt;&gt;"EEG",F1722&lt;&gt;"Neurofeedback",F1722&lt;&gt;"Fotobiomodulación",F1722&lt;&gt;"Psicoterapia",F1722&lt;&gt;"Otros")),"Tipo o categoría inválido",IF(COUNTA(A1722:J1722)=0,"",IF(OR(A1722="",B1722="",C1722="",G1722=""),"Faltan datos",IF(COUNTIF($A$7:$A$2006,A1722)&gt;1,"ID duplicado",IF(OR(B1722&lt;DATE(Configuración!$C$5,1,1),B1722&gt;=DATE(Configuración!$C$5+1,1,1)),"Fecha fuera del año",IF(OR(G1722&lt;0,H1722&lt;0),"Revisar signo",IF(AND(C1722&lt;&gt;"Servicio",H1722&lt;&gt;0),"IVA solo en Servicio",IF(AND(C1722="Servicio",F1722=""),"Falta servicio","OK")))))))))</f>
        <v/>
      </c>
    </row>
    <row r="1723" spans="1:12" ht="22" customHeight="1">
      <c r="A1723" s="3"/>
      <c r="B1723" s="7"/>
      <c r="C1723" s="3"/>
      <c r="D1723" s="3"/>
      <c r="E1723" s="3"/>
      <c r="F1723" s="3"/>
      <c r="G1723" s="4"/>
      <c r="H1723" s="4"/>
      <c r="I1723" s="3"/>
      <c r="J1723" s="3"/>
      <c r="K1723" s="8" t="str">
        <f t="shared" si="26"/>
        <v/>
      </c>
      <c r="L1723" s="1" t="str">
        <f>IF(COUNTA(A1723:J1723)=0,"",IF(OR(AND(C1723&lt;&gt;"Servicio",C1723&lt;&gt;"Cobro",C1723&lt;&gt;"Anticipo",C1723&lt;&gt;"Aplicación anticipo",C1723&lt;&gt;"Retención ISR",C1723&lt;&gt;"Retención IVA"),AND(C1723="Servicio",F1723&lt;&gt;"TMS",F1723&lt;&gt;"Valoración",F1723&lt;&gt;"EEG",F1723&lt;&gt;"Neurofeedback",F1723&lt;&gt;"Fotobiomodulación",F1723&lt;&gt;"Psicoterapia",F1723&lt;&gt;"Otros")),"Tipo o categoría inválido",IF(COUNTA(A1723:J1723)=0,"",IF(OR(A1723="",B1723="",C1723="",G1723=""),"Faltan datos",IF(COUNTIF($A$7:$A$2006,A1723)&gt;1,"ID duplicado",IF(OR(B1723&lt;DATE(Configuración!$C$5,1,1),B1723&gt;=DATE(Configuración!$C$5+1,1,1)),"Fecha fuera del año",IF(OR(G1723&lt;0,H1723&lt;0),"Revisar signo",IF(AND(C1723&lt;&gt;"Servicio",H1723&lt;&gt;0),"IVA solo en Servicio",IF(AND(C1723="Servicio",F1723=""),"Falta servicio","OK")))))))))</f>
        <v/>
      </c>
    </row>
    <row r="1724" spans="1:12" ht="22" customHeight="1">
      <c r="A1724" s="3"/>
      <c r="B1724" s="7"/>
      <c r="C1724" s="3"/>
      <c r="D1724" s="3"/>
      <c r="E1724" s="3"/>
      <c r="F1724" s="3"/>
      <c r="G1724" s="4"/>
      <c r="H1724" s="4"/>
      <c r="I1724" s="3"/>
      <c r="J1724" s="3"/>
      <c r="K1724" s="8" t="str">
        <f t="shared" si="26"/>
        <v/>
      </c>
      <c r="L1724" s="1" t="str">
        <f>IF(COUNTA(A1724:J1724)=0,"",IF(OR(AND(C1724&lt;&gt;"Servicio",C1724&lt;&gt;"Cobro",C1724&lt;&gt;"Anticipo",C1724&lt;&gt;"Aplicación anticipo",C1724&lt;&gt;"Retención ISR",C1724&lt;&gt;"Retención IVA"),AND(C1724="Servicio",F1724&lt;&gt;"TMS",F1724&lt;&gt;"Valoración",F1724&lt;&gt;"EEG",F1724&lt;&gt;"Neurofeedback",F1724&lt;&gt;"Fotobiomodulación",F1724&lt;&gt;"Psicoterapia",F1724&lt;&gt;"Otros")),"Tipo o categoría inválido",IF(COUNTA(A1724:J1724)=0,"",IF(OR(A1724="",B1724="",C1724="",G1724=""),"Faltan datos",IF(COUNTIF($A$7:$A$2006,A1724)&gt;1,"ID duplicado",IF(OR(B1724&lt;DATE(Configuración!$C$5,1,1),B1724&gt;=DATE(Configuración!$C$5+1,1,1)),"Fecha fuera del año",IF(OR(G1724&lt;0,H1724&lt;0),"Revisar signo",IF(AND(C1724&lt;&gt;"Servicio",H1724&lt;&gt;0),"IVA solo en Servicio",IF(AND(C1724="Servicio",F1724=""),"Falta servicio","OK")))))))))</f>
        <v/>
      </c>
    </row>
    <row r="1725" spans="1:12" ht="22" customHeight="1">
      <c r="A1725" s="3"/>
      <c r="B1725" s="7"/>
      <c r="C1725" s="3"/>
      <c r="D1725" s="3"/>
      <c r="E1725" s="3"/>
      <c r="F1725" s="3"/>
      <c r="G1725" s="4"/>
      <c r="H1725" s="4"/>
      <c r="I1725" s="3"/>
      <c r="J1725" s="3"/>
      <c r="K1725" s="8" t="str">
        <f t="shared" si="26"/>
        <v/>
      </c>
      <c r="L1725" s="1" t="str">
        <f>IF(COUNTA(A1725:J1725)=0,"",IF(OR(AND(C1725&lt;&gt;"Servicio",C1725&lt;&gt;"Cobro",C1725&lt;&gt;"Anticipo",C1725&lt;&gt;"Aplicación anticipo",C1725&lt;&gt;"Retención ISR",C1725&lt;&gt;"Retención IVA"),AND(C1725="Servicio",F1725&lt;&gt;"TMS",F1725&lt;&gt;"Valoración",F1725&lt;&gt;"EEG",F1725&lt;&gt;"Neurofeedback",F1725&lt;&gt;"Fotobiomodulación",F1725&lt;&gt;"Psicoterapia",F1725&lt;&gt;"Otros")),"Tipo o categoría inválido",IF(COUNTA(A1725:J1725)=0,"",IF(OR(A1725="",B1725="",C1725="",G1725=""),"Faltan datos",IF(COUNTIF($A$7:$A$2006,A1725)&gt;1,"ID duplicado",IF(OR(B1725&lt;DATE(Configuración!$C$5,1,1),B1725&gt;=DATE(Configuración!$C$5+1,1,1)),"Fecha fuera del año",IF(OR(G1725&lt;0,H1725&lt;0),"Revisar signo",IF(AND(C1725&lt;&gt;"Servicio",H1725&lt;&gt;0),"IVA solo en Servicio",IF(AND(C1725="Servicio",F1725=""),"Falta servicio","OK")))))))))</f>
        <v/>
      </c>
    </row>
    <row r="1726" spans="1:12" ht="22" customHeight="1">
      <c r="A1726" s="3"/>
      <c r="B1726" s="7"/>
      <c r="C1726" s="3"/>
      <c r="D1726" s="3"/>
      <c r="E1726" s="3"/>
      <c r="F1726" s="3"/>
      <c r="G1726" s="4"/>
      <c r="H1726" s="4"/>
      <c r="I1726" s="3"/>
      <c r="J1726" s="3"/>
      <c r="K1726" s="8" t="str">
        <f t="shared" si="26"/>
        <v/>
      </c>
      <c r="L1726" s="1" t="str">
        <f>IF(COUNTA(A1726:J1726)=0,"",IF(OR(AND(C1726&lt;&gt;"Servicio",C1726&lt;&gt;"Cobro",C1726&lt;&gt;"Anticipo",C1726&lt;&gt;"Aplicación anticipo",C1726&lt;&gt;"Retención ISR",C1726&lt;&gt;"Retención IVA"),AND(C1726="Servicio",F1726&lt;&gt;"TMS",F1726&lt;&gt;"Valoración",F1726&lt;&gt;"EEG",F1726&lt;&gt;"Neurofeedback",F1726&lt;&gt;"Fotobiomodulación",F1726&lt;&gt;"Psicoterapia",F1726&lt;&gt;"Otros")),"Tipo o categoría inválido",IF(COUNTA(A1726:J1726)=0,"",IF(OR(A1726="",B1726="",C1726="",G1726=""),"Faltan datos",IF(COUNTIF($A$7:$A$2006,A1726)&gt;1,"ID duplicado",IF(OR(B1726&lt;DATE(Configuración!$C$5,1,1),B1726&gt;=DATE(Configuración!$C$5+1,1,1)),"Fecha fuera del año",IF(OR(G1726&lt;0,H1726&lt;0),"Revisar signo",IF(AND(C1726&lt;&gt;"Servicio",H1726&lt;&gt;0),"IVA solo en Servicio",IF(AND(C1726="Servicio",F1726=""),"Falta servicio","OK")))))))))</f>
        <v/>
      </c>
    </row>
    <row r="1727" spans="1:12" ht="22" customHeight="1">
      <c r="A1727" s="3"/>
      <c r="B1727" s="7"/>
      <c r="C1727" s="3"/>
      <c r="D1727" s="3"/>
      <c r="E1727" s="3"/>
      <c r="F1727" s="3"/>
      <c r="G1727" s="4"/>
      <c r="H1727" s="4"/>
      <c r="I1727" s="3"/>
      <c r="J1727" s="3"/>
      <c r="K1727" s="8" t="str">
        <f t="shared" si="26"/>
        <v/>
      </c>
      <c r="L1727" s="1" t="str">
        <f>IF(COUNTA(A1727:J1727)=0,"",IF(OR(AND(C1727&lt;&gt;"Servicio",C1727&lt;&gt;"Cobro",C1727&lt;&gt;"Anticipo",C1727&lt;&gt;"Aplicación anticipo",C1727&lt;&gt;"Retención ISR",C1727&lt;&gt;"Retención IVA"),AND(C1727="Servicio",F1727&lt;&gt;"TMS",F1727&lt;&gt;"Valoración",F1727&lt;&gt;"EEG",F1727&lt;&gt;"Neurofeedback",F1727&lt;&gt;"Fotobiomodulación",F1727&lt;&gt;"Psicoterapia",F1727&lt;&gt;"Otros")),"Tipo o categoría inválido",IF(COUNTA(A1727:J1727)=0,"",IF(OR(A1727="",B1727="",C1727="",G1727=""),"Faltan datos",IF(COUNTIF($A$7:$A$2006,A1727)&gt;1,"ID duplicado",IF(OR(B1727&lt;DATE(Configuración!$C$5,1,1),B1727&gt;=DATE(Configuración!$C$5+1,1,1)),"Fecha fuera del año",IF(OR(G1727&lt;0,H1727&lt;0),"Revisar signo",IF(AND(C1727&lt;&gt;"Servicio",H1727&lt;&gt;0),"IVA solo en Servicio",IF(AND(C1727="Servicio",F1727=""),"Falta servicio","OK")))))))))</f>
        <v/>
      </c>
    </row>
    <row r="1728" spans="1:12" ht="22" customHeight="1">
      <c r="A1728" s="3"/>
      <c r="B1728" s="7"/>
      <c r="C1728" s="3"/>
      <c r="D1728" s="3"/>
      <c r="E1728" s="3"/>
      <c r="F1728" s="3"/>
      <c r="G1728" s="4"/>
      <c r="H1728" s="4"/>
      <c r="I1728" s="3"/>
      <c r="J1728" s="3"/>
      <c r="K1728" s="8" t="str">
        <f t="shared" si="26"/>
        <v/>
      </c>
      <c r="L1728" s="1" t="str">
        <f>IF(COUNTA(A1728:J1728)=0,"",IF(OR(AND(C1728&lt;&gt;"Servicio",C1728&lt;&gt;"Cobro",C1728&lt;&gt;"Anticipo",C1728&lt;&gt;"Aplicación anticipo",C1728&lt;&gt;"Retención ISR",C1728&lt;&gt;"Retención IVA"),AND(C1728="Servicio",F1728&lt;&gt;"TMS",F1728&lt;&gt;"Valoración",F1728&lt;&gt;"EEG",F1728&lt;&gt;"Neurofeedback",F1728&lt;&gt;"Fotobiomodulación",F1728&lt;&gt;"Psicoterapia",F1728&lt;&gt;"Otros")),"Tipo o categoría inválido",IF(COUNTA(A1728:J1728)=0,"",IF(OR(A1728="",B1728="",C1728="",G1728=""),"Faltan datos",IF(COUNTIF($A$7:$A$2006,A1728)&gt;1,"ID duplicado",IF(OR(B1728&lt;DATE(Configuración!$C$5,1,1),B1728&gt;=DATE(Configuración!$C$5+1,1,1)),"Fecha fuera del año",IF(OR(G1728&lt;0,H1728&lt;0),"Revisar signo",IF(AND(C1728&lt;&gt;"Servicio",H1728&lt;&gt;0),"IVA solo en Servicio",IF(AND(C1728="Servicio",F1728=""),"Falta servicio","OK")))))))))</f>
        <v/>
      </c>
    </row>
    <row r="1729" spans="1:12" ht="22" customHeight="1">
      <c r="A1729" s="3"/>
      <c r="B1729" s="7"/>
      <c r="C1729" s="3"/>
      <c r="D1729" s="3"/>
      <c r="E1729" s="3"/>
      <c r="F1729" s="3"/>
      <c r="G1729" s="4"/>
      <c r="H1729" s="4"/>
      <c r="I1729" s="3"/>
      <c r="J1729" s="3"/>
      <c r="K1729" s="8" t="str">
        <f t="shared" si="26"/>
        <v/>
      </c>
      <c r="L1729" s="1" t="str">
        <f>IF(COUNTA(A1729:J1729)=0,"",IF(OR(AND(C1729&lt;&gt;"Servicio",C1729&lt;&gt;"Cobro",C1729&lt;&gt;"Anticipo",C1729&lt;&gt;"Aplicación anticipo",C1729&lt;&gt;"Retención ISR",C1729&lt;&gt;"Retención IVA"),AND(C1729="Servicio",F1729&lt;&gt;"TMS",F1729&lt;&gt;"Valoración",F1729&lt;&gt;"EEG",F1729&lt;&gt;"Neurofeedback",F1729&lt;&gt;"Fotobiomodulación",F1729&lt;&gt;"Psicoterapia",F1729&lt;&gt;"Otros")),"Tipo o categoría inválido",IF(COUNTA(A1729:J1729)=0,"",IF(OR(A1729="",B1729="",C1729="",G1729=""),"Faltan datos",IF(COUNTIF($A$7:$A$2006,A1729)&gt;1,"ID duplicado",IF(OR(B1729&lt;DATE(Configuración!$C$5,1,1),B1729&gt;=DATE(Configuración!$C$5+1,1,1)),"Fecha fuera del año",IF(OR(G1729&lt;0,H1729&lt;0),"Revisar signo",IF(AND(C1729&lt;&gt;"Servicio",H1729&lt;&gt;0),"IVA solo en Servicio",IF(AND(C1729="Servicio",F1729=""),"Falta servicio","OK")))))))))</f>
        <v/>
      </c>
    </row>
    <row r="1730" spans="1:12" ht="22" customHeight="1">
      <c r="A1730" s="3"/>
      <c r="B1730" s="7"/>
      <c r="C1730" s="3"/>
      <c r="D1730" s="3"/>
      <c r="E1730" s="3"/>
      <c r="F1730" s="3"/>
      <c r="G1730" s="4"/>
      <c r="H1730" s="4"/>
      <c r="I1730" s="3"/>
      <c r="J1730" s="3"/>
      <c r="K1730" s="8" t="str">
        <f t="shared" si="26"/>
        <v/>
      </c>
      <c r="L1730" s="1" t="str">
        <f>IF(COUNTA(A1730:J1730)=0,"",IF(OR(AND(C1730&lt;&gt;"Servicio",C1730&lt;&gt;"Cobro",C1730&lt;&gt;"Anticipo",C1730&lt;&gt;"Aplicación anticipo",C1730&lt;&gt;"Retención ISR",C1730&lt;&gt;"Retención IVA"),AND(C1730="Servicio",F1730&lt;&gt;"TMS",F1730&lt;&gt;"Valoración",F1730&lt;&gt;"EEG",F1730&lt;&gt;"Neurofeedback",F1730&lt;&gt;"Fotobiomodulación",F1730&lt;&gt;"Psicoterapia",F1730&lt;&gt;"Otros")),"Tipo o categoría inválido",IF(COUNTA(A1730:J1730)=0,"",IF(OR(A1730="",B1730="",C1730="",G1730=""),"Faltan datos",IF(COUNTIF($A$7:$A$2006,A1730)&gt;1,"ID duplicado",IF(OR(B1730&lt;DATE(Configuración!$C$5,1,1),B1730&gt;=DATE(Configuración!$C$5+1,1,1)),"Fecha fuera del año",IF(OR(G1730&lt;0,H1730&lt;0),"Revisar signo",IF(AND(C1730&lt;&gt;"Servicio",H1730&lt;&gt;0),"IVA solo en Servicio",IF(AND(C1730="Servicio",F1730=""),"Falta servicio","OK")))))))))</f>
        <v/>
      </c>
    </row>
    <row r="1731" spans="1:12" ht="22" customHeight="1">
      <c r="A1731" s="3"/>
      <c r="B1731" s="7"/>
      <c r="C1731" s="3"/>
      <c r="D1731" s="3"/>
      <c r="E1731" s="3"/>
      <c r="F1731" s="3"/>
      <c r="G1731" s="4"/>
      <c r="H1731" s="4"/>
      <c r="I1731" s="3"/>
      <c r="J1731" s="3"/>
      <c r="K1731" s="8" t="str">
        <f t="shared" si="26"/>
        <v/>
      </c>
      <c r="L1731" s="1" t="str">
        <f>IF(COUNTA(A1731:J1731)=0,"",IF(OR(AND(C1731&lt;&gt;"Servicio",C1731&lt;&gt;"Cobro",C1731&lt;&gt;"Anticipo",C1731&lt;&gt;"Aplicación anticipo",C1731&lt;&gt;"Retención ISR",C1731&lt;&gt;"Retención IVA"),AND(C1731="Servicio",F1731&lt;&gt;"TMS",F1731&lt;&gt;"Valoración",F1731&lt;&gt;"EEG",F1731&lt;&gt;"Neurofeedback",F1731&lt;&gt;"Fotobiomodulación",F1731&lt;&gt;"Psicoterapia",F1731&lt;&gt;"Otros")),"Tipo o categoría inválido",IF(COUNTA(A1731:J1731)=0,"",IF(OR(A1731="",B1731="",C1731="",G1731=""),"Faltan datos",IF(COUNTIF($A$7:$A$2006,A1731)&gt;1,"ID duplicado",IF(OR(B1731&lt;DATE(Configuración!$C$5,1,1),B1731&gt;=DATE(Configuración!$C$5+1,1,1)),"Fecha fuera del año",IF(OR(G1731&lt;0,H1731&lt;0),"Revisar signo",IF(AND(C1731&lt;&gt;"Servicio",H1731&lt;&gt;0),"IVA solo en Servicio",IF(AND(C1731="Servicio",F1731=""),"Falta servicio","OK")))))))))</f>
        <v/>
      </c>
    </row>
    <row r="1732" spans="1:12" ht="22" customHeight="1">
      <c r="A1732" s="3"/>
      <c r="B1732" s="7"/>
      <c r="C1732" s="3"/>
      <c r="D1732" s="3"/>
      <c r="E1732" s="3"/>
      <c r="F1732" s="3"/>
      <c r="G1732" s="4"/>
      <c r="H1732" s="4"/>
      <c r="I1732" s="3"/>
      <c r="J1732" s="3"/>
      <c r="K1732" s="8" t="str">
        <f t="shared" si="26"/>
        <v/>
      </c>
      <c r="L1732" s="1" t="str">
        <f>IF(COUNTA(A1732:J1732)=0,"",IF(OR(AND(C1732&lt;&gt;"Servicio",C1732&lt;&gt;"Cobro",C1732&lt;&gt;"Anticipo",C1732&lt;&gt;"Aplicación anticipo",C1732&lt;&gt;"Retención ISR",C1732&lt;&gt;"Retención IVA"),AND(C1732="Servicio",F1732&lt;&gt;"TMS",F1732&lt;&gt;"Valoración",F1732&lt;&gt;"EEG",F1732&lt;&gt;"Neurofeedback",F1732&lt;&gt;"Fotobiomodulación",F1732&lt;&gt;"Psicoterapia",F1732&lt;&gt;"Otros")),"Tipo o categoría inválido",IF(COUNTA(A1732:J1732)=0,"",IF(OR(A1732="",B1732="",C1732="",G1732=""),"Faltan datos",IF(COUNTIF($A$7:$A$2006,A1732)&gt;1,"ID duplicado",IF(OR(B1732&lt;DATE(Configuración!$C$5,1,1),B1732&gt;=DATE(Configuración!$C$5+1,1,1)),"Fecha fuera del año",IF(OR(G1732&lt;0,H1732&lt;0),"Revisar signo",IF(AND(C1732&lt;&gt;"Servicio",H1732&lt;&gt;0),"IVA solo en Servicio",IF(AND(C1732="Servicio",F1732=""),"Falta servicio","OK")))))))))</f>
        <v/>
      </c>
    </row>
    <row r="1733" spans="1:12" ht="22" customHeight="1">
      <c r="A1733" s="3"/>
      <c r="B1733" s="7"/>
      <c r="C1733" s="3"/>
      <c r="D1733" s="3"/>
      <c r="E1733" s="3"/>
      <c r="F1733" s="3"/>
      <c r="G1733" s="4"/>
      <c r="H1733" s="4"/>
      <c r="I1733" s="3"/>
      <c r="J1733" s="3"/>
      <c r="K1733" s="8" t="str">
        <f t="shared" si="26"/>
        <v/>
      </c>
      <c r="L1733" s="1" t="str">
        <f>IF(COUNTA(A1733:J1733)=0,"",IF(OR(AND(C1733&lt;&gt;"Servicio",C1733&lt;&gt;"Cobro",C1733&lt;&gt;"Anticipo",C1733&lt;&gt;"Aplicación anticipo",C1733&lt;&gt;"Retención ISR",C1733&lt;&gt;"Retención IVA"),AND(C1733="Servicio",F1733&lt;&gt;"TMS",F1733&lt;&gt;"Valoración",F1733&lt;&gt;"EEG",F1733&lt;&gt;"Neurofeedback",F1733&lt;&gt;"Fotobiomodulación",F1733&lt;&gt;"Psicoterapia",F1733&lt;&gt;"Otros")),"Tipo o categoría inválido",IF(COUNTA(A1733:J1733)=0,"",IF(OR(A1733="",B1733="",C1733="",G1733=""),"Faltan datos",IF(COUNTIF($A$7:$A$2006,A1733)&gt;1,"ID duplicado",IF(OR(B1733&lt;DATE(Configuración!$C$5,1,1),B1733&gt;=DATE(Configuración!$C$5+1,1,1)),"Fecha fuera del año",IF(OR(G1733&lt;0,H1733&lt;0),"Revisar signo",IF(AND(C1733&lt;&gt;"Servicio",H1733&lt;&gt;0),"IVA solo en Servicio",IF(AND(C1733="Servicio",F1733=""),"Falta servicio","OK")))))))))</f>
        <v/>
      </c>
    </row>
    <row r="1734" spans="1:12" ht="22" customHeight="1">
      <c r="A1734" s="3"/>
      <c r="B1734" s="7"/>
      <c r="C1734" s="3"/>
      <c r="D1734" s="3"/>
      <c r="E1734" s="3"/>
      <c r="F1734" s="3"/>
      <c r="G1734" s="4"/>
      <c r="H1734" s="4"/>
      <c r="I1734" s="3"/>
      <c r="J1734" s="3"/>
      <c r="K1734" s="8" t="str">
        <f t="shared" si="26"/>
        <v/>
      </c>
      <c r="L1734" s="1" t="str">
        <f>IF(COUNTA(A1734:J1734)=0,"",IF(OR(AND(C1734&lt;&gt;"Servicio",C1734&lt;&gt;"Cobro",C1734&lt;&gt;"Anticipo",C1734&lt;&gt;"Aplicación anticipo",C1734&lt;&gt;"Retención ISR",C1734&lt;&gt;"Retención IVA"),AND(C1734="Servicio",F1734&lt;&gt;"TMS",F1734&lt;&gt;"Valoración",F1734&lt;&gt;"EEG",F1734&lt;&gt;"Neurofeedback",F1734&lt;&gt;"Fotobiomodulación",F1734&lt;&gt;"Psicoterapia",F1734&lt;&gt;"Otros")),"Tipo o categoría inválido",IF(COUNTA(A1734:J1734)=0,"",IF(OR(A1734="",B1734="",C1734="",G1734=""),"Faltan datos",IF(COUNTIF($A$7:$A$2006,A1734)&gt;1,"ID duplicado",IF(OR(B1734&lt;DATE(Configuración!$C$5,1,1),B1734&gt;=DATE(Configuración!$C$5+1,1,1)),"Fecha fuera del año",IF(OR(G1734&lt;0,H1734&lt;0),"Revisar signo",IF(AND(C1734&lt;&gt;"Servicio",H1734&lt;&gt;0),"IVA solo en Servicio",IF(AND(C1734="Servicio",F1734=""),"Falta servicio","OK")))))))))</f>
        <v/>
      </c>
    </row>
    <row r="1735" spans="1:12" ht="22" customHeight="1">
      <c r="A1735" s="3"/>
      <c r="B1735" s="7"/>
      <c r="C1735" s="3"/>
      <c r="D1735" s="3"/>
      <c r="E1735" s="3"/>
      <c r="F1735" s="3"/>
      <c r="G1735" s="4"/>
      <c r="H1735" s="4"/>
      <c r="I1735" s="3"/>
      <c r="J1735" s="3"/>
      <c r="K1735" s="8" t="str">
        <f t="shared" ref="K1735:K1798" si="27">IF(A1735="","",G1735+H1735)</f>
        <v/>
      </c>
      <c r="L1735" s="1" t="str">
        <f>IF(COUNTA(A1735:J1735)=0,"",IF(OR(AND(C1735&lt;&gt;"Servicio",C1735&lt;&gt;"Cobro",C1735&lt;&gt;"Anticipo",C1735&lt;&gt;"Aplicación anticipo",C1735&lt;&gt;"Retención ISR",C1735&lt;&gt;"Retención IVA"),AND(C1735="Servicio",F1735&lt;&gt;"TMS",F1735&lt;&gt;"Valoración",F1735&lt;&gt;"EEG",F1735&lt;&gt;"Neurofeedback",F1735&lt;&gt;"Fotobiomodulación",F1735&lt;&gt;"Psicoterapia",F1735&lt;&gt;"Otros")),"Tipo o categoría inválido",IF(COUNTA(A1735:J1735)=0,"",IF(OR(A1735="",B1735="",C1735="",G1735=""),"Faltan datos",IF(COUNTIF($A$7:$A$2006,A1735)&gt;1,"ID duplicado",IF(OR(B1735&lt;DATE(Configuración!$C$5,1,1),B1735&gt;=DATE(Configuración!$C$5+1,1,1)),"Fecha fuera del año",IF(OR(G1735&lt;0,H1735&lt;0),"Revisar signo",IF(AND(C1735&lt;&gt;"Servicio",H1735&lt;&gt;0),"IVA solo en Servicio",IF(AND(C1735="Servicio",F1735=""),"Falta servicio","OK")))))))))</f>
        <v/>
      </c>
    </row>
    <row r="1736" spans="1:12" ht="22" customHeight="1">
      <c r="A1736" s="3"/>
      <c r="B1736" s="7"/>
      <c r="C1736" s="3"/>
      <c r="D1736" s="3"/>
      <c r="E1736" s="3"/>
      <c r="F1736" s="3"/>
      <c r="G1736" s="4"/>
      <c r="H1736" s="4"/>
      <c r="I1736" s="3"/>
      <c r="J1736" s="3"/>
      <c r="K1736" s="8" t="str">
        <f t="shared" si="27"/>
        <v/>
      </c>
      <c r="L1736" s="1" t="str">
        <f>IF(COUNTA(A1736:J1736)=0,"",IF(OR(AND(C1736&lt;&gt;"Servicio",C1736&lt;&gt;"Cobro",C1736&lt;&gt;"Anticipo",C1736&lt;&gt;"Aplicación anticipo",C1736&lt;&gt;"Retención ISR",C1736&lt;&gt;"Retención IVA"),AND(C1736="Servicio",F1736&lt;&gt;"TMS",F1736&lt;&gt;"Valoración",F1736&lt;&gt;"EEG",F1736&lt;&gt;"Neurofeedback",F1736&lt;&gt;"Fotobiomodulación",F1736&lt;&gt;"Psicoterapia",F1736&lt;&gt;"Otros")),"Tipo o categoría inválido",IF(COUNTA(A1736:J1736)=0,"",IF(OR(A1736="",B1736="",C1736="",G1736=""),"Faltan datos",IF(COUNTIF($A$7:$A$2006,A1736)&gt;1,"ID duplicado",IF(OR(B1736&lt;DATE(Configuración!$C$5,1,1),B1736&gt;=DATE(Configuración!$C$5+1,1,1)),"Fecha fuera del año",IF(OR(G1736&lt;0,H1736&lt;0),"Revisar signo",IF(AND(C1736&lt;&gt;"Servicio",H1736&lt;&gt;0),"IVA solo en Servicio",IF(AND(C1736="Servicio",F1736=""),"Falta servicio","OK")))))))))</f>
        <v/>
      </c>
    </row>
    <row r="1737" spans="1:12" ht="22" customHeight="1">
      <c r="A1737" s="3"/>
      <c r="B1737" s="7"/>
      <c r="C1737" s="3"/>
      <c r="D1737" s="3"/>
      <c r="E1737" s="3"/>
      <c r="F1737" s="3"/>
      <c r="G1737" s="4"/>
      <c r="H1737" s="4"/>
      <c r="I1737" s="3"/>
      <c r="J1737" s="3"/>
      <c r="K1737" s="8" t="str">
        <f t="shared" si="27"/>
        <v/>
      </c>
      <c r="L1737" s="1" t="str">
        <f>IF(COUNTA(A1737:J1737)=0,"",IF(OR(AND(C1737&lt;&gt;"Servicio",C1737&lt;&gt;"Cobro",C1737&lt;&gt;"Anticipo",C1737&lt;&gt;"Aplicación anticipo",C1737&lt;&gt;"Retención ISR",C1737&lt;&gt;"Retención IVA"),AND(C1737="Servicio",F1737&lt;&gt;"TMS",F1737&lt;&gt;"Valoración",F1737&lt;&gt;"EEG",F1737&lt;&gt;"Neurofeedback",F1737&lt;&gt;"Fotobiomodulación",F1737&lt;&gt;"Psicoterapia",F1737&lt;&gt;"Otros")),"Tipo o categoría inválido",IF(COUNTA(A1737:J1737)=0,"",IF(OR(A1737="",B1737="",C1737="",G1737=""),"Faltan datos",IF(COUNTIF($A$7:$A$2006,A1737)&gt;1,"ID duplicado",IF(OR(B1737&lt;DATE(Configuración!$C$5,1,1),B1737&gt;=DATE(Configuración!$C$5+1,1,1)),"Fecha fuera del año",IF(OR(G1737&lt;0,H1737&lt;0),"Revisar signo",IF(AND(C1737&lt;&gt;"Servicio",H1737&lt;&gt;0),"IVA solo en Servicio",IF(AND(C1737="Servicio",F1737=""),"Falta servicio","OK")))))))))</f>
        <v/>
      </c>
    </row>
    <row r="1738" spans="1:12" ht="22" customHeight="1">
      <c r="A1738" s="3"/>
      <c r="B1738" s="7"/>
      <c r="C1738" s="3"/>
      <c r="D1738" s="3"/>
      <c r="E1738" s="3"/>
      <c r="F1738" s="3"/>
      <c r="G1738" s="4"/>
      <c r="H1738" s="4"/>
      <c r="I1738" s="3"/>
      <c r="J1738" s="3"/>
      <c r="K1738" s="8" t="str">
        <f t="shared" si="27"/>
        <v/>
      </c>
      <c r="L1738" s="1" t="str">
        <f>IF(COUNTA(A1738:J1738)=0,"",IF(OR(AND(C1738&lt;&gt;"Servicio",C1738&lt;&gt;"Cobro",C1738&lt;&gt;"Anticipo",C1738&lt;&gt;"Aplicación anticipo",C1738&lt;&gt;"Retención ISR",C1738&lt;&gt;"Retención IVA"),AND(C1738="Servicio",F1738&lt;&gt;"TMS",F1738&lt;&gt;"Valoración",F1738&lt;&gt;"EEG",F1738&lt;&gt;"Neurofeedback",F1738&lt;&gt;"Fotobiomodulación",F1738&lt;&gt;"Psicoterapia",F1738&lt;&gt;"Otros")),"Tipo o categoría inválido",IF(COUNTA(A1738:J1738)=0,"",IF(OR(A1738="",B1738="",C1738="",G1738=""),"Faltan datos",IF(COUNTIF($A$7:$A$2006,A1738)&gt;1,"ID duplicado",IF(OR(B1738&lt;DATE(Configuración!$C$5,1,1),B1738&gt;=DATE(Configuración!$C$5+1,1,1)),"Fecha fuera del año",IF(OR(G1738&lt;0,H1738&lt;0),"Revisar signo",IF(AND(C1738&lt;&gt;"Servicio",H1738&lt;&gt;0),"IVA solo en Servicio",IF(AND(C1738="Servicio",F1738=""),"Falta servicio","OK")))))))))</f>
        <v/>
      </c>
    </row>
    <row r="1739" spans="1:12" ht="22" customHeight="1">
      <c r="A1739" s="3"/>
      <c r="B1739" s="7"/>
      <c r="C1739" s="3"/>
      <c r="D1739" s="3"/>
      <c r="E1739" s="3"/>
      <c r="F1739" s="3"/>
      <c r="G1739" s="4"/>
      <c r="H1739" s="4"/>
      <c r="I1739" s="3"/>
      <c r="J1739" s="3"/>
      <c r="K1739" s="8" t="str">
        <f t="shared" si="27"/>
        <v/>
      </c>
      <c r="L1739" s="1" t="str">
        <f>IF(COUNTA(A1739:J1739)=0,"",IF(OR(AND(C1739&lt;&gt;"Servicio",C1739&lt;&gt;"Cobro",C1739&lt;&gt;"Anticipo",C1739&lt;&gt;"Aplicación anticipo",C1739&lt;&gt;"Retención ISR",C1739&lt;&gt;"Retención IVA"),AND(C1739="Servicio",F1739&lt;&gt;"TMS",F1739&lt;&gt;"Valoración",F1739&lt;&gt;"EEG",F1739&lt;&gt;"Neurofeedback",F1739&lt;&gt;"Fotobiomodulación",F1739&lt;&gt;"Psicoterapia",F1739&lt;&gt;"Otros")),"Tipo o categoría inválido",IF(COUNTA(A1739:J1739)=0,"",IF(OR(A1739="",B1739="",C1739="",G1739=""),"Faltan datos",IF(COUNTIF($A$7:$A$2006,A1739)&gt;1,"ID duplicado",IF(OR(B1739&lt;DATE(Configuración!$C$5,1,1),B1739&gt;=DATE(Configuración!$C$5+1,1,1)),"Fecha fuera del año",IF(OR(G1739&lt;0,H1739&lt;0),"Revisar signo",IF(AND(C1739&lt;&gt;"Servicio",H1739&lt;&gt;0),"IVA solo en Servicio",IF(AND(C1739="Servicio",F1739=""),"Falta servicio","OK")))))))))</f>
        <v/>
      </c>
    </row>
    <row r="1740" spans="1:12" ht="22" customHeight="1">
      <c r="A1740" s="3"/>
      <c r="B1740" s="7"/>
      <c r="C1740" s="3"/>
      <c r="D1740" s="3"/>
      <c r="E1740" s="3"/>
      <c r="F1740" s="3"/>
      <c r="G1740" s="4"/>
      <c r="H1740" s="4"/>
      <c r="I1740" s="3"/>
      <c r="J1740" s="3"/>
      <c r="K1740" s="8" t="str">
        <f t="shared" si="27"/>
        <v/>
      </c>
      <c r="L1740" s="1" t="str">
        <f>IF(COUNTA(A1740:J1740)=0,"",IF(OR(AND(C1740&lt;&gt;"Servicio",C1740&lt;&gt;"Cobro",C1740&lt;&gt;"Anticipo",C1740&lt;&gt;"Aplicación anticipo",C1740&lt;&gt;"Retención ISR",C1740&lt;&gt;"Retención IVA"),AND(C1740="Servicio",F1740&lt;&gt;"TMS",F1740&lt;&gt;"Valoración",F1740&lt;&gt;"EEG",F1740&lt;&gt;"Neurofeedback",F1740&lt;&gt;"Fotobiomodulación",F1740&lt;&gt;"Psicoterapia",F1740&lt;&gt;"Otros")),"Tipo o categoría inválido",IF(COUNTA(A1740:J1740)=0,"",IF(OR(A1740="",B1740="",C1740="",G1740=""),"Faltan datos",IF(COUNTIF($A$7:$A$2006,A1740)&gt;1,"ID duplicado",IF(OR(B1740&lt;DATE(Configuración!$C$5,1,1),B1740&gt;=DATE(Configuración!$C$5+1,1,1)),"Fecha fuera del año",IF(OR(G1740&lt;0,H1740&lt;0),"Revisar signo",IF(AND(C1740&lt;&gt;"Servicio",H1740&lt;&gt;0),"IVA solo en Servicio",IF(AND(C1740="Servicio",F1740=""),"Falta servicio","OK")))))))))</f>
        <v/>
      </c>
    </row>
    <row r="1741" spans="1:12" ht="22" customHeight="1">
      <c r="A1741" s="3"/>
      <c r="B1741" s="7"/>
      <c r="C1741" s="3"/>
      <c r="D1741" s="3"/>
      <c r="E1741" s="3"/>
      <c r="F1741" s="3"/>
      <c r="G1741" s="4"/>
      <c r="H1741" s="4"/>
      <c r="I1741" s="3"/>
      <c r="J1741" s="3"/>
      <c r="K1741" s="8" t="str">
        <f t="shared" si="27"/>
        <v/>
      </c>
      <c r="L1741" s="1" t="str">
        <f>IF(COUNTA(A1741:J1741)=0,"",IF(OR(AND(C1741&lt;&gt;"Servicio",C1741&lt;&gt;"Cobro",C1741&lt;&gt;"Anticipo",C1741&lt;&gt;"Aplicación anticipo",C1741&lt;&gt;"Retención ISR",C1741&lt;&gt;"Retención IVA"),AND(C1741="Servicio",F1741&lt;&gt;"TMS",F1741&lt;&gt;"Valoración",F1741&lt;&gt;"EEG",F1741&lt;&gt;"Neurofeedback",F1741&lt;&gt;"Fotobiomodulación",F1741&lt;&gt;"Psicoterapia",F1741&lt;&gt;"Otros")),"Tipo o categoría inválido",IF(COUNTA(A1741:J1741)=0,"",IF(OR(A1741="",B1741="",C1741="",G1741=""),"Faltan datos",IF(COUNTIF($A$7:$A$2006,A1741)&gt;1,"ID duplicado",IF(OR(B1741&lt;DATE(Configuración!$C$5,1,1),B1741&gt;=DATE(Configuración!$C$5+1,1,1)),"Fecha fuera del año",IF(OR(G1741&lt;0,H1741&lt;0),"Revisar signo",IF(AND(C1741&lt;&gt;"Servicio",H1741&lt;&gt;0),"IVA solo en Servicio",IF(AND(C1741="Servicio",F1741=""),"Falta servicio","OK")))))))))</f>
        <v/>
      </c>
    </row>
    <row r="1742" spans="1:12" ht="22" customHeight="1">
      <c r="A1742" s="3"/>
      <c r="B1742" s="7"/>
      <c r="C1742" s="3"/>
      <c r="D1742" s="3"/>
      <c r="E1742" s="3"/>
      <c r="F1742" s="3"/>
      <c r="G1742" s="4"/>
      <c r="H1742" s="4"/>
      <c r="I1742" s="3"/>
      <c r="J1742" s="3"/>
      <c r="K1742" s="8" t="str">
        <f t="shared" si="27"/>
        <v/>
      </c>
      <c r="L1742" s="1" t="str">
        <f>IF(COUNTA(A1742:J1742)=0,"",IF(OR(AND(C1742&lt;&gt;"Servicio",C1742&lt;&gt;"Cobro",C1742&lt;&gt;"Anticipo",C1742&lt;&gt;"Aplicación anticipo",C1742&lt;&gt;"Retención ISR",C1742&lt;&gt;"Retención IVA"),AND(C1742="Servicio",F1742&lt;&gt;"TMS",F1742&lt;&gt;"Valoración",F1742&lt;&gt;"EEG",F1742&lt;&gt;"Neurofeedback",F1742&lt;&gt;"Fotobiomodulación",F1742&lt;&gt;"Psicoterapia",F1742&lt;&gt;"Otros")),"Tipo o categoría inválido",IF(COUNTA(A1742:J1742)=0,"",IF(OR(A1742="",B1742="",C1742="",G1742=""),"Faltan datos",IF(COUNTIF($A$7:$A$2006,A1742)&gt;1,"ID duplicado",IF(OR(B1742&lt;DATE(Configuración!$C$5,1,1),B1742&gt;=DATE(Configuración!$C$5+1,1,1)),"Fecha fuera del año",IF(OR(G1742&lt;0,H1742&lt;0),"Revisar signo",IF(AND(C1742&lt;&gt;"Servicio",H1742&lt;&gt;0),"IVA solo en Servicio",IF(AND(C1742="Servicio",F1742=""),"Falta servicio","OK")))))))))</f>
        <v/>
      </c>
    </row>
    <row r="1743" spans="1:12" ht="22" customHeight="1">
      <c r="A1743" s="3"/>
      <c r="B1743" s="7"/>
      <c r="C1743" s="3"/>
      <c r="D1743" s="3"/>
      <c r="E1743" s="3"/>
      <c r="F1743" s="3"/>
      <c r="G1743" s="4"/>
      <c r="H1743" s="4"/>
      <c r="I1743" s="3"/>
      <c r="J1743" s="3"/>
      <c r="K1743" s="8" t="str">
        <f t="shared" si="27"/>
        <v/>
      </c>
      <c r="L1743" s="1" t="str">
        <f>IF(COUNTA(A1743:J1743)=0,"",IF(OR(AND(C1743&lt;&gt;"Servicio",C1743&lt;&gt;"Cobro",C1743&lt;&gt;"Anticipo",C1743&lt;&gt;"Aplicación anticipo",C1743&lt;&gt;"Retención ISR",C1743&lt;&gt;"Retención IVA"),AND(C1743="Servicio",F1743&lt;&gt;"TMS",F1743&lt;&gt;"Valoración",F1743&lt;&gt;"EEG",F1743&lt;&gt;"Neurofeedback",F1743&lt;&gt;"Fotobiomodulación",F1743&lt;&gt;"Psicoterapia",F1743&lt;&gt;"Otros")),"Tipo o categoría inválido",IF(COUNTA(A1743:J1743)=0,"",IF(OR(A1743="",B1743="",C1743="",G1743=""),"Faltan datos",IF(COUNTIF($A$7:$A$2006,A1743)&gt;1,"ID duplicado",IF(OR(B1743&lt;DATE(Configuración!$C$5,1,1),B1743&gt;=DATE(Configuración!$C$5+1,1,1)),"Fecha fuera del año",IF(OR(G1743&lt;0,H1743&lt;0),"Revisar signo",IF(AND(C1743&lt;&gt;"Servicio",H1743&lt;&gt;0),"IVA solo en Servicio",IF(AND(C1743="Servicio",F1743=""),"Falta servicio","OK")))))))))</f>
        <v/>
      </c>
    </row>
    <row r="1744" spans="1:12" ht="22" customHeight="1">
      <c r="A1744" s="3"/>
      <c r="B1744" s="7"/>
      <c r="C1744" s="3"/>
      <c r="D1744" s="3"/>
      <c r="E1744" s="3"/>
      <c r="F1744" s="3"/>
      <c r="G1744" s="4"/>
      <c r="H1744" s="4"/>
      <c r="I1744" s="3"/>
      <c r="J1744" s="3"/>
      <c r="K1744" s="8" t="str">
        <f t="shared" si="27"/>
        <v/>
      </c>
      <c r="L1744" s="1" t="str">
        <f>IF(COUNTA(A1744:J1744)=0,"",IF(OR(AND(C1744&lt;&gt;"Servicio",C1744&lt;&gt;"Cobro",C1744&lt;&gt;"Anticipo",C1744&lt;&gt;"Aplicación anticipo",C1744&lt;&gt;"Retención ISR",C1744&lt;&gt;"Retención IVA"),AND(C1744="Servicio",F1744&lt;&gt;"TMS",F1744&lt;&gt;"Valoración",F1744&lt;&gt;"EEG",F1744&lt;&gt;"Neurofeedback",F1744&lt;&gt;"Fotobiomodulación",F1744&lt;&gt;"Psicoterapia",F1744&lt;&gt;"Otros")),"Tipo o categoría inválido",IF(COUNTA(A1744:J1744)=0,"",IF(OR(A1744="",B1744="",C1744="",G1744=""),"Faltan datos",IF(COUNTIF($A$7:$A$2006,A1744)&gt;1,"ID duplicado",IF(OR(B1744&lt;DATE(Configuración!$C$5,1,1),B1744&gt;=DATE(Configuración!$C$5+1,1,1)),"Fecha fuera del año",IF(OR(G1744&lt;0,H1744&lt;0),"Revisar signo",IF(AND(C1744&lt;&gt;"Servicio",H1744&lt;&gt;0),"IVA solo en Servicio",IF(AND(C1744="Servicio",F1744=""),"Falta servicio","OK")))))))))</f>
        <v/>
      </c>
    </row>
    <row r="1745" spans="1:12" ht="22" customHeight="1">
      <c r="A1745" s="3"/>
      <c r="B1745" s="7"/>
      <c r="C1745" s="3"/>
      <c r="D1745" s="3"/>
      <c r="E1745" s="3"/>
      <c r="F1745" s="3"/>
      <c r="G1745" s="4"/>
      <c r="H1745" s="4"/>
      <c r="I1745" s="3"/>
      <c r="J1745" s="3"/>
      <c r="K1745" s="8" t="str">
        <f t="shared" si="27"/>
        <v/>
      </c>
      <c r="L1745" s="1" t="str">
        <f>IF(COUNTA(A1745:J1745)=0,"",IF(OR(AND(C1745&lt;&gt;"Servicio",C1745&lt;&gt;"Cobro",C1745&lt;&gt;"Anticipo",C1745&lt;&gt;"Aplicación anticipo",C1745&lt;&gt;"Retención ISR",C1745&lt;&gt;"Retención IVA"),AND(C1745="Servicio",F1745&lt;&gt;"TMS",F1745&lt;&gt;"Valoración",F1745&lt;&gt;"EEG",F1745&lt;&gt;"Neurofeedback",F1745&lt;&gt;"Fotobiomodulación",F1745&lt;&gt;"Psicoterapia",F1745&lt;&gt;"Otros")),"Tipo o categoría inválido",IF(COUNTA(A1745:J1745)=0,"",IF(OR(A1745="",B1745="",C1745="",G1745=""),"Faltan datos",IF(COUNTIF($A$7:$A$2006,A1745)&gt;1,"ID duplicado",IF(OR(B1745&lt;DATE(Configuración!$C$5,1,1),B1745&gt;=DATE(Configuración!$C$5+1,1,1)),"Fecha fuera del año",IF(OR(G1745&lt;0,H1745&lt;0),"Revisar signo",IF(AND(C1745&lt;&gt;"Servicio",H1745&lt;&gt;0),"IVA solo en Servicio",IF(AND(C1745="Servicio",F1745=""),"Falta servicio","OK")))))))))</f>
        <v/>
      </c>
    </row>
    <row r="1746" spans="1:12" ht="22" customHeight="1">
      <c r="A1746" s="3"/>
      <c r="B1746" s="7"/>
      <c r="C1746" s="3"/>
      <c r="D1746" s="3"/>
      <c r="E1746" s="3"/>
      <c r="F1746" s="3"/>
      <c r="G1746" s="4"/>
      <c r="H1746" s="4"/>
      <c r="I1746" s="3"/>
      <c r="J1746" s="3"/>
      <c r="K1746" s="8" t="str">
        <f t="shared" si="27"/>
        <v/>
      </c>
      <c r="L1746" s="1" t="str">
        <f>IF(COUNTA(A1746:J1746)=0,"",IF(OR(AND(C1746&lt;&gt;"Servicio",C1746&lt;&gt;"Cobro",C1746&lt;&gt;"Anticipo",C1746&lt;&gt;"Aplicación anticipo",C1746&lt;&gt;"Retención ISR",C1746&lt;&gt;"Retención IVA"),AND(C1746="Servicio",F1746&lt;&gt;"TMS",F1746&lt;&gt;"Valoración",F1746&lt;&gt;"EEG",F1746&lt;&gt;"Neurofeedback",F1746&lt;&gt;"Fotobiomodulación",F1746&lt;&gt;"Psicoterapia",F1746&lt;&gt;"Otros")),"Tipo o categoría inválido",IF(COUNTA(A1746:J1746)=0,"",IF(OR(A1746="",B1746="",C1746="",G1746=""),"Faltan datos",IF(COUNTIF($A$7:$A$2006,A1746)&gt;1,"ID duplicado",IF(OR(B1746&lt;DATE(Configuración!$C$5,1,1),B1746&gt;=DATE(Configuración!$C$5+1,1,1)),"Fecha fuera del año",IF(OR(G1746&lt;0,H1746&lt;0),"Revisar signo",IF(AND(C1746&lt;&gt;"Servicio",H1746&lt;&gt;0),"IVA solo en Servicio",IF(AND(C1746="Servicio",F1746=""),"Falta servicio","OK")))))))))</f>
        <v/>
      </c>
    </row>
    <row r="1747" spans="1:12" ht="22" customHeight="1">
      <c r="A1747" s="3"/>
      <c r="B1747" s="7"/>
      <c r="C1747" s="3"/>
      <c r="D1747" s="3"/>
      <c r="E1747" s="3"/>
      <c r="F1747" s="3"/>
      <c r="G1747" s="4"/>
      <c r="H1747" s="4"/>
      <c r="I1747" s="3"/>
      <c r="J1747" s="3"/>
      <c r="K1747" s="8" t="str">
        <f t="shared" si="27"/>
        <v/>
      </c>
      <c r="L1747" s="1" t="str">
        <f>IF(COUNTA(A1747:J1747)=0,"",IF(OR(AND(C1747&lt;&gt;"Servicio",C1747&lt;&gt;"Cobro",C1747&lt;&gt;"Anticipo",C1747&lt;&gt;"Aplicación anticipo",C1747&lt;&gt;"Retención ISR",C1747&lt;&gt;"Retención IVA"),AND(C1747="Servicio",F1747&lt;&gt;"TMS",F1747&lt;&gt;"Valoración",F1747&lt;&gt;"EEG",F1747&lt;&gt;"Neurofeedback",F1747&lt;&gt;"Fotobiomodulación",F1747&lt;&gt;"Psicoterapia",F1747&lt;&gt;"Otros")),"Tipo o categoría inválido",IF(COUNTA(A1747:J1747)=0,"",IF(OR(A1747="",B1747="",C1747="",G1747=""),"Faltan datos",IF(COUNTIF($A$7:$A$2006,A1747)&gt;1,"ID duplicado",IF(OR(B1747&lt;DATE(Configuración!$C$5,1,1),B1747&gt;=DATE(Configuración!$C$5+1,1,1)),"Fecha fuera del año",IF(OR(G1747&lt;0,H1747&lt;0),"Revisar signo",IF(AND(C1747&lt;&gt;"Servicio",H1747&lt;&gt;0),"IVA solo en Servicio",IF(AND(C1747="Servicio",F1747=""),"Falta servicio","OK")))))))))</f>
        <v/>
      </c>
    </row>
    <row r="1748" spans="1:12" ht="22" customHeight="1">
      <c r="A1748" s="3"/>
      <c r="B1748" s="7"/>
      <c r="C1748" s="3"/>
      <c r="D1748" s="3"/>
      <c r="E1748" s="3"/>
      <c r="F1748" s="3"/>
      <c r="G1748" s="4"/>
      <c r="H1748" s="4"/>
      <c r="I1748" s="3"/>
      <c r="J1748" s="3"/>
      <c r="K1748" s="8" t="str">
        <f t="shared" si="27"/>
        <v/>
      </c>
      <c r="L1748" s="1" t="str">
        <f>IF(COUNTA(A1748:J1748)=0,"",IF(OR(AND(C1748&lt;&gt;"Servicio",C1748&lt;&gt;"Cobro",C1748&lt;&gt;"Anticipo",C1748&lt;&gt;"Aplicación anticipo",C1748&lt;&gt;"Retención ISR",C1748&lt;&gt;"Retención IVA"),AND(C1748="Servicio",F1748&lt;&gt;"TMS",F1748&lt;&gt;"Valoración",F1748&lt;&gt;"EEG",F1748&lt;&gt;"Neurofeedback",F1748&lt;&gt;"Fotobiomodulación",F1748&lt;&gt;"Psicoterapia",F1748&lt;&gt;"Otros")),"Tipo o categoría inválido",IF(COUNTA(A1748:J1748)=0,"",IF(OR(A1748="",B1748="",C1748="",G1748=""),"Faltan datos",IF(COUNTIF($A$7:$A$2006,A1748)&gt;1,"ID duplicado",IF(OR(B1748&lt;DATE(Configuración!$C$5,1,1),B1748&gt;=DATE(Configuración!$C$5+1,1,1)),"Fecha fuera del año",IF(OR(G1748&lt;0,H1748&lt;0),"Revisar signo",IF(AND(C1748&lt;&gt;"Servicio",H1748&lt;&gt;0),"IVA solo en Servicio",IF(AND(C1748="Servicio",F1748=""),"Falta servicio","OK")))))))))</f>
        <v/>
      </c>
    </row>
    <row r="1749" spans="1:12" ht="22" customHeight="1">
      <c r="A1749" s="3"/>
      <c r="B1749" s="7"/>
      <c r="C1749" s="3"/>
      <c r="D1749" s="3"/>
      <c r="E1749" s="3"/>
      <c r="F1749" s="3"/>
      <c r="G1749" s="4"/>
      <c r="H1749" s="4"/>
      <c r="I1749" s="3"/>
      <c r="J1749" s="3"/>
      <c r="K1749" s="8" t="str">
        <f t="shared" si="27"/>
        <v/>
      </c>
      <c r="L1749" s="1" t="str">
        <f>IF(COUNTA(A1749:J1749)=0,"",IF(OR(AND(C1749&lt;&gt;"Servicio",C1749&lt;&gt;"Cobro",C1749&lt;&gt;"Anticipo",C1749&lt;&gt;"Aplicación anticipo",C1749&lt;&gt;"Retención ISR",C1749&lt;&gt;"Retención IVA"),AND(C1749="Servicio",F1749&lt;&gt;"TMS",F1749&lt;&gt;"Valoración",F1749&lt;&gt;"EEG",F1749&lt;&gt;"Neurofeedback",F1749&lt;&gt;"Fotobiomodulación",F1749&lt;&gt;"Psicoterapia",F1749&lt;&gt;"Otros")),"Tipo o categoría inválido",IF(COUNTA(A1749:J1749)=0,"",IF(OR(A1749="",B1749="",C1749="",G1749=""),"Faltan datos",IF(COUNTIF($A$7:$A$2006,A1749)&gt;1,"ID duplicado",IF(OR(B1749&lt;DATE(Configuración!$C$5,1,1),B1749&gt;=DATE(Configuración!$C$5+1,1,1)),"Fecha fuera del año",IF(OR(G1749&lt;0,H1749&lt;0),"Revisar signo",IF(AND(C1749&lt;&gt;"Servicio",H1749&lt;&gt;0),"IVA solo en Servicio",IF(AND(C1749="Servicio",F1749=""),"Falta servicio","OK")))))))))</f>
        <v/>
      </c>
    </row>
    <row r="1750" spans="1:12" ht="22" customHeight="1">
      <c r="A1750" s="3"/>
      <c r="B1750" s="7"/>
      <c r="C1750" s="3"/>
      <c r="D1750" s="3"/>
      <c r="E1750" s="3"/>
      <c r="F1750" s="3"/>
      <c r="G1750" s="4"/>
      <c r="H1750" s="4"/>
      <c r="I1750" s="3"/>
      <c r="J1750" s="3"/>
      <c r="K1750" s="8" t="str">
        <f t="shared" si="27"/>
        <v/>
      </c>
      <c r="L1750" s="1" t="str">
        <f>IF(COUNTA(A1750:J1750)=0,"",IF(OR(AND(C1750&lt;&gt;"Servicio",C1750&lt;&gt;"Cobro",C1750&lt;&gt;"Anticipo",C1750&lt;&gt;"Aplicación anticipo",C1750&lt;&gt;"Retención ISR",C1750&lt;&gt;"Retención IVA"),AND(C1750="Servicio",F1750&lt;&gt;"TMS",F1750&lt;&gt;"Valoración",F1750&lt;&gt;"EEG",F1750&lt;&gt;"Neurofeedback",F1750&lt;&gt;"Fotobiomodulación",F1750&lt;&gt;"Psicoterapia",F1750&lt;&gt;"Otros")),"Tipo o categoría inválido",IF(COUNTA(A1750:J1750)=0,"",IF(OR(A1750="",B1750="",C1750="",G1750=""),"Faltan datos",IF(COUNTIF($A$7:$A$2006,A1750)&gt;1,"ID duplicado",IF(OR(B1750&lt;DATE(Configuración!$C$5,1,1),B1750&gt;=DATE(Configuración!$C$5+1,1,1)),"Fecha fuera del año",IF(OR(G1750&lt;0,H1750&lt;0),"Revisar signo",IF(AND(C1750&lt;&gt;"Servicio",H1750&lt;&gt;0),"IVA solo en Servicio",IF(AND(C1750="Servicio",F1750=""),"Falta servicio","OK")))))))))</f>
        <v/>
      </c>
    </row>
    <row r="1751" spans="1:12" ht="22" customHeight="1">
      <c r="A1751" s="3"/>
      <c r="B1751" s="7"/>
      <c r="C1751" s="3"/>
      <c r="D1751" s="3"/>
      <c r="E1751" s="3"/>
      <c r="F1751" s="3"/>
      <c r="G1751" s="4"/>
      <c r="H1751" s="4"/>
      <c r="I1751" s="3"/>
      <c r="J1751" s="3"/>
      <c r="K1751" s="8" t="str">
        <f t="shared" si="27"/>
        <v/>
      </c>
      <c r="L1751" s="1" t="str">
        <f>IF(COUNTA(A1751:J1751)=0,"",IF(OR(AND(C1751&lt;&gt;"Servicio",C1751&lt;&gt;"Cobro",C1751&lt;&gt;"Anticipo",C1751&lt;&gt;"Aplicación anticipo",C1751&lt;&gt;"Retención ISR",C1751&lt;&gt;"Retención IVA"),AND(C1751="Servicio",F1751&lt;&gt;"TMS",F1751&lt;&gt;"Valoración",F1751&lt;&gt;"EEG",F1751&lt;&gt;"Neurofeedback",F1751&lt;&gt;"Fotobiomodulación",F1751&lt;&gt;"Psicoterapia",F1751&lt;&gt;"Otros")),"Tipo o categoría inválido",IF(COUNTA(A1751:J1751)=0,"",IF(OR(A1751="",B1751="",C1751="",G1751=""),"Faltan datos",IF(COUNTIF($A$7:$A$2006,A1751)&gt;1,"ID duplicado",IF(OR(B1751&lt;DATE(Configuración!$C$5,1,1),B1751&gt;=DATE(Configuración!$C$5+1,1,1)),"Fecha fuera del año",IF(OR(G1751&lt;0,H1751&lt;0),"Revisar signo",IF(AND(C1751&lt;&gt;"Servicio",H1751&lt;&gt;0),"IVA solo en Servicio",IF(AND(C1751="Servicio",F1751=""),"Falta servicio","OK")))))))))</f>
        <v/>
      </c>
    </row>
    <row r="1752" spans="1:12" ht="22" customHeight="1">
      <c r="A1752" s="3"/>
      <c r="B1752" s="7"/>
      <c r="C1752" s="3"/>
      <c r="D1752" s="3"/>
      <c r="E1752" s="3"/>
      <c r="F1752" s="3"/>
      <c r="G1752" s="4"/>
      <c r="H1752" s="4"/>
      <c r="I1752" s="3"/>
      <c r="J1752" s="3"/>
      <c r="K1752" s="8" t="str">
        <f t="shared" si="27"/>
        <v/>
      </c>
      <c r="L1752" s="1" t="str">
        <f>IF(COUNTA(A1752:J1752)=0,"",IF(OR(AND(C1752&lt;&gt;"Servicio",C1752&lt;&gt;"Cobro",C1752&lt;&gt;"Anticipo",C1752&lt;&gt;"Aplicación anticipo",C1752&lt;&gt;"Retención ISR",C1752&lt;&gt;"Retención IVA"),AND(C1752="Servicio",F1752&lt;&gt;"TMS",F1752&lt;&gt;"Valoración",F1752&lt;&gt;"EEG",F1752&lt;&gt;"Neurofeedback",F1752&lt;&gt;"Fotobiomodulación",F1752&lt;&gt;"Psicoterapia",F1752&lt;&gt;"Otros")),"Tipo o categoría inválido",IF(COUNTA(A1752:J1752)=0,"",IF(OR(A1752="",B1752="",C1752="",G1752=""),"Faltan datos",IF(COUNTIF($A$7:$A$2006,A1752)&gt;1,"ID duplicado",IF(OR(B1752&lt;DATE(Configuración!$C$5,1,1),B1752&gt;=DATE(Configuración!$C$5+1,1,1)),"Fecha fuera del año",IF(OR(G1752&lt;0,H1752&lt;0),"Revisar signo",IF(AND(C1752&lt;&gt;"Servicio",H1752&lt;&gt;0),"IVA solo en Servicio",IF(AND(C1752="Servicio",F1752=""),"Falta servicio","OK")))))))))</f>
        <v/>
      </c>
    </row>
    <row r="1753" spans="1:12" ht="22" customHeight="1">
      <c r="A1753" s="3"/>
      <c r="B1753" s="7"/>
      <c r="C1753" s="3"/>
      <c r="D1753" s="3"/>
      <c r="E1753" s="3"/>
      <c r="F1753" s="3"/>
      <c r="G1753" s="4"/>
      <c r="H1753" s="4"/>
      <c r="I1753" s="3"/>
      <c r="J1753" s="3"/>
      <c r="K1753" s="8" t="str">
        <f t="shared" si="27"/>
        <v/>
      </c>
      <c r="L1753" s="1" t="str">
        <f>IF(COUNTA(A1753:J1753)=0,"",IF(OR(AND(C1753&lt;&gt;"Servicio",C1753&lt;&gt;"Cobro",C1753&lt;&gt;"Anticipo",C1753&lt;&gt;"Aplicación anticipo",C1753&lt;&gt;"Retención ISR",C1753&lt;&gt;"Retención IVA"),AND(C1753="Servicio",F1753&lt;&gt;"TMS",F1753&lt;&gt;"Valoración",F1753&lt;&gt;"EEG",F1753&lt;&gt;"Neurofeedback",F1753&lt;&gt;"Fotobiomodulación",F1753&lt;&gt;"Psicoterapia",F1753&lt;&gt;"Otros")),"Tipo o categoría inválido",IF(COUNTA(A1753:J1753)=0,"",IF(OR(A1753="",B1753="",C1753="",G1753=""),"Faltan datos",IF(COUNTIF($A$7:$A$2006,A1753)&gt;1,"ID duplicado",IF(OR(B1753&lt;DATE(Configuración!$C$5,1,1),B1753&gt;=DATE(Configuración!$C$5+1,1,1)),"Fecha fuera del año",IF(OR(G1753&lt;0,H1753&lt;0),"Revisar signo",IF(AND(C1753&lt;&gt;"Servicio",H1753&lt;&gt;0),"IVA solo en Servicio",IF(AND(C1753="Servicio",F1753=""),"Falta servicio","OK")))))))))</f>
        <v/>
      </c>
    </row>
    <row r="1754" spans="1:12" ht="22" customHeight="1">
      <c r="A1754" s="3"/>
      <c r="B1754" s="7"/>
      <c r="C1754" s="3"/>
      <c r="D1754" s="3"/>
      <c r="E1754" s="3"/>
      <c r="F1754" s="3"/>
      <c r="G1754" s="4"/>
      <c r="H1754" s="4"/>
      <c r="I1754" s="3"/>
      <c r="J1754" s="3"/>
      <c r="K1754" s="8" t="str">
        <f t="shared" si="27"/>
        <v/>
      </c>
      <c r="L1754" s="1" t="str">
        <f>IF(COUNTA(A1754:J1754)=0,"",IF(OR(AND(C1754&lt;&gt;"Servicio",C1754&lt;&gt;"Cobro",C1754&lt;&gt;"Anticipo",C1754&lt;&gt;"Aplicación anticipo",C1754&lt;&gt;"Retención ISR",C1754&lt;&gt;"Retención IVA"),AND(C1754="Servicio",F1754&lt;&gt;"TMS",F1754&lt;&gt;"Valoración",F1754&lt;&gt;"EEG",F1754&lt;&gt;"Neurofeedback",F1754&lt;&gt;"Fotobiomodulación",F1754&lt;&gt;"Psicoterapia",F1754&lt;&gt;"Otros")),"Tipo o categoría inválido",IF(COUNTA(A1754:J1754)=0,"",IF(OR(A1754="",B1754="",C1754="",G1754=""),"Faltan datos",IF(COUNTIF($A$7:$A$2006,A1754)&gt;1,"ID duplicado",IF(OR(B1754&lt;DATE(Configuración!$C$5,1,1),B1754&gt;=DATE(Configuración!$C$5+1,1,1)),"Fecha fuera del año",IF(OR(G1754&lt;0,H1754&lt;0),"Revisar signo",IF(AND(C1754&lt;&gt;"Servicio",H1754&lt;&gt;0),"IVA solo en Servicio",IF(AND(C1754="Servicio",F1754=""),"Falta servicio","OK")))))))))</f>
        <v/>
      </c>
    </row>
    <row r="1755" spans="1:12" ht="22" customHeight="1">
      <c r="A1755" s="3"/>
      <c r="B1755" s="7"/>
      <c r="C1755" s="3"/>
      <c r="D1755" s="3"/>
      <c r="E1755" s="3"/>
      <c r="F1755" s="3"/>
      <c r="G1755" s="4"/>
      <c r="H1755" s="4"/>
      <c r="I1755" s="3"/>
      <c r="J1755" s="3"/>
      <c r="K1755" s="8" t="str">
        <f t="shared" si="27"/>
        <v/>
      </c>
      <c r="L1755" s="1" t="str">
        <f>IF(COUNTA(A1755:J1755)=0,"",IF(OR(AND(C1755&lt;&gt;"Servicio",C1755&lt;&gt;"Cobro",C1755&lt;&gt;"Anticipo",C1755&lt;&gt;"Aplicación anticipo",C1755&lt;&gt;"Retención ISR",C1755&lt;&gt;"Retención IVA"),AND(C1755="Servicio",F1755&lt;&gt;"TMS",F1755&lt;&gt;"Valoración",F1755&lt;&gt;"EEG",F1755&lt;&gt;"Neurofeedback",F1755&lt;&gt;"Fotobiomodulación",F1755&lt;&gt;"Psicoterapia",F1755&lt;&gt;"Otros")),"Tipo o categoría inválido",IF(COUNTA(A1755:J1755)=0,"",IF(OR(A1755="",B1755="",C1755="",G1755=""),"Faltan datos",IF(COUNTIF($A$7:$A$2006,A1755)&gt;1,"ID duplicado",IF(OR(B1755&lt;DATE(Configuración!$C$5,1,1),B1755&gt;=DATE(Configuración!$C$5+1,1,1)),"Fecha fuera del año",IF(OR(G1755&lt;0,H1755&lt;0),"Revisar signo",IF(AND(C1755&lt;&gt;"Servicio",H1755&lt;&gt;0),"IVA solo en Servicio",IF(AND(C1755="Servicio",F1755=""),"Falta servicio","OK")))))))))</f>
        <v/>
      </c>
    </row>
    <row r="1756" spans="1:12" ht="22" customHeight="1">
      <c r="A1756" s="3"/>
      <c r="B1756" s="7"/>
      <c r="C1756" s="3"/>
      <c r="D1756" s="3"/>
      <c r="E1756" s="3"/>
      <c r="F1756" s="3"/>
      <c r="G1756" s="4"/>
      <c r="H1756" s="4"/>
      <c r="I1756" s="3"/>
      <c r="J1756" s="3"/>
      <c r="K1756" s="8" t="str">
        <f t="shared" si="27"/>
        <v/>
      </c>
      <c r="L1756" s="1" t="str">
        <f>IF(COUNTA(A1756:J1756)=0,"",IF(OR(AND(C1756&lt;&gt;"Servicio",C1756&lt;&gt;"Cobro",C1756&lt;&gt;"Anticipo",C1756&lt;&gt;"Aplicación anticipo",C1756&lt;&gt;"Retención ISR",C1756&lt;&gt;"Retención IVA"),AND(C1756="Servicio",F1756&lt;&gt;"TMS",F1756&lt;&gt;"Valoración",F1756&lt;&gt;"EEG",F1756&lt;&gt;"Neurofeedback",F1756&lt;&gt;"Fotobiomodulación",F1756&lt;&gt;"Psicoterapia",F1756&lt;&gt;"Otros")),"Tipo o categoría inválido",IF(COUNTA(A1756:J1756)=0,"",IF(OR(A1756="",B1756="",C1756="",G1756=""),"Faltan datos",IF(COUNTIF($A$7:$A$2006,A1756)&gt;1,"ID duplicado",IF(OR(B1756&lt;DATE(Configuración!$C$5,1,1),B1756&gt;=DATE(Configuración!$C$5+1,1,1)),"Fecha fuera del año",IF(OR(G1756&lt;0,H1756&lt;0),"Revisar signo",IF(AND(C1756&lt;&gt;"Servicio",H1756&lt;&gt;0),"IVA solo en Servicio",IF(AND(C1756="Servicio",F1756=""),"Falta servicio","OK")))))))))</f>
        <v/>
      </c>
    </row>
    <row r="1757" spans="1:12" ht="22" customHeight="1">
      <c r="A1757" s="3"/>
      <c r="B1757" s="7"/>
      <c r="C1757" s="3"/>
      <c r="D1757" s="3"/>
      <c r="E1757" s="3"/>
      <c r="F1757" s="3"/>
      <c r="G1757" s="4"/>
      <c r="H1757" s="4"/>
      <c r="I1757" s="3"/>
      <c r="J1757" s="3"/>
      <c r="K1757" s="8" t="str">
        <f t="shared" si="27"/>
        <v/>
      </c>
      <c r="L1757" s="1" t="str">
        <f>IF(COUNTA(A1757:J1757)=0,"",IF(OR(AND(C1757&lt;&gt;"Servicio",C1757&lt;&gt;"Cobro",C1757&lt;&gt;"Anticipo",C1757&lt;&gt;"Aplicación anticipo",C1757&lt;&gt;"Retención ISR",C1757&lt;&gt;"Retención IVA"),AND(C1757="Servicio",F1757&lt;&gt;"TMS",F1757&lt;&gt;"Valoración",F1757&lt;&gt;"EEG",F1757&lt;&gt;"Neurofeedback",F1757&lt;&gt;"Fotobiomodulación",F1757&lt;&gt;"Psicoterapia",F1757&lt;&gt;"Otros")),"Tipo o categoría inválido",IF(COUNTA(A1757:J1757)=0,"",IF(OR(A1757="",B1757="",C1757="",G1757=""),"Faltan datos",IF(COUNTIF($A$7:$A$2006,A1757)&gt;1,"ID duplicado",IF(OR(B1757&lt;DATE(Configuración!$C$5,1,1),B1757&gt;=DATE(Configuración!$C$5+1,1,1)),"Fecha fuera del año",IF(OR(G1757&lt;0,H1757&lt;0),"Revisar signo",IF(AND(C1757&lt;&gt;"Servicio",H1757&lt;&gt;0),"IVA solo en Servicio",IF(AND(C1757="Servicio",F1757=""),"Falta servicio","OK")))))))))</f>
        <v/>
      </c>
    </row>
    <row r="1758" spans="1:12" ht="22" customHeight="1">
      <c r="A1758" s="3"/>
      <c r="B1758" s="7"/>
      <c r="C1758" s="3"/>
      <c r="D1758" s="3"/>
      <c r="E1758" s="3"/>
      <c r="F1758" s="3"/>
      <c r="G1758" s="4"/>
      <c r="H1758" s="4"/>
      <c r="I1758" s="3"/>
      <c r="J1758" s="3"/>
      <c r="K1758" s="8" t="str">
        <f t="shared" si="27"/>
        <v/>
      </c>
      <c r="L1758" s="1" t="str">
        <f>IF(COUNTA(A1758:J1758)=0,"",IF(OR(AND(C1758&lt;&gt;"Servicio",C1758&lt;&gt;"Cobro",C1758&lt;&gt;"Anticipo",C1758&lt;&gt;"Aplicación anticipo",C1758&lt;&gt;"Retención ISR",C1758&lt;&gt;"Retención IVA"),AND(C1758="Servicio",F1758&lt;&gt;"TMS",F1758&lt;&gt;"Valoración",F1758&lt;&gt;"EEG",F1758&lt;&gt;"Neurofeedback",F1758&lt;&gt;"Fotobiomodulación",F1758&lt;&gt;"Psicoterapia",F1758&lt;&gt;"Otros")),"Tipo o categoría inválido",IF(COUNTA(A1758:J1758)=0,"",IF(OR(A1758="",B1758="",C1758="",G1758=""),"Faltan datos",IF(COUNTIF($A$7:$A$2006,A1758)&gt;1,"ID duplicado",IF(OR(B1758&lt;DATE(Configuración!$C$5,1,1),B1758&gt;=DATE(Configuración!$C$5+1,1,1)),"Fecha fuera del año",IF(OR(G1758&lt;0,H1758&lt;0),"Revisar signo",IF(AND(C1758&lt;&gt;"Servicio",H1758&lt;&gt;0),"IVA solo en Servicio",IF(AND(C1758="Servicio",F1758=""),"Falta servicio","OK")))))))))</f>
        <v/>
      </c>
    </row>
    <row r="1759" spans="1:12" ht="22" customHeight="1">
      <c r="A1759" s="3"/>
      <c r="B1759" s="7"/>
      <c r="C1759" s="3"/>
      <c r="D1759" s="3"/>
      <c r="E1759" s="3"/>
      <c r="F1759" s="3"/>
      <c r="G1759" s="4"/>
      <c r="H1759" s="4"/>
      <c r="I1759" s="3"/>
      <c r="J1759" s="3"/>
      <c r="K1759" s="8" t="str">
        <f t="shared" si="27"/>
        <v/>
      </c>
      <c r="L1759" s="1" t="str">
        <f>IF(COUNTA(A1759:J1759)=0,"",IF(OR(AND(C1759&lt;&gt;"Servicio",C1759&lt;&gt;"Cobro",C1759&lt;&gt;"Anticipo",C1759&lt;&gt;"Aplicación anticipo",C1759&lt;&gt;"Retención ISR",C1759&lt;&gt;"Retención IVA"),AND(C1759="Servicio",F1759&lt;&gt;"TMS",F1759&lt;&gt;"Valoración",F1759&lt;&gt;"EEG",F1759&lt;&gt;"Neurofeedback",F1759&lt;&gt;"Fotobiomodulación",F1759&lt;&gt;"Psicoterapia",F1759&lt;&gt;"Otros")),"Tipo o categoría inválido",IF(COUNTA(A1759:J1759)=0,"",IF(OR(A1759="",B1759="",C1759="",G1759=""),"Faltan datos",IF(COUNTIF($A$7:$A$2006,A1759)&gt;1,"ID duplicado",IF(OR(B1759&lt;DATE(Configuración!$C$5,1,1),B1759&gt;=DATE(Configuración!$C$5+1,1,1)),"Fecha fuera del año",IF(OR(G1759&lt;0,H1759&lt;0),"Revisar signo",IF(AND(C1759&lt;&gt;"Servicio",H1759&lt;&gt;0),"IVA solo en Servicio",IF(AND(C1759="Servicio",F1759=""),"Falta servicio","OK")))))))))</f>
        <v/>
      </c>
    </row>
    <row r="1760" spans="1:12" ht="22" customHeight="1">
      <c r="A1760" s="3"/>
      <c r="B1760" s="7"/>
      <c r="C1760" s="3"/>
      <c r="D1760" s="3"/>
      <c r="E1760" s="3"/>
      <c r="F1760" s="3"/>
      <c r="G1760" s="4"/>
      <c r="H1760" s="4"/>
      <c r="I1760" s="3"/>
      <c r="J1760" s="3"/>
      <c r="K1760" s="8" t="str">
        <f t="shared" si="27"/>
        <v/>
      </c>
      <c r="L1760" s="1" t="str">
        <f>IF(COUNTA(A1760:J1760)=0,"",IF(OR(AND(C1760&lt;&gt;"Servicio",C1760&lt;&gt;"Cobro",C1760&lt;&gt;"Anticipo",C1760&lt;&gt;"Aplicación anticipo",C1760&lt;&gt;"Retención ISR",C1760&lt;&gt;"Retención IVA"),AND(C1760="Servicio",F1760&lt;&gt;"TMS",F1760&lt;&gt;"Valoración",F1760&lt;&gt;"EEG",F1760&lt;&gt;"Neurofeedback",F1760&lt;&gt;"Fotobiomodulación",F1760&lt;&gt;"Psicoterapia",F1760&lt;&gt;"Otros")),"Tipo o categoría inválido",IF(COUNTA(A1760:J1760)=0,"",IF(OR(A1760="",B1760="",C1760="",G1760=""),"Faltan datos",IF(COUNTIF($A$7:$A$2006,A1760)&gt;1,"ID duplicado",IF(OR(B1760&lt;DATE(Configuración!$C$5,1,1),B1760&gt;=DATE(Configuración!$C$5+1,1,1)),"Fecha fuera del año",IF(OR(G1760&lt;0,H1760&lt;0),"Revisar signo",IF(AND(C1760&lt;&gt;"Servicio",H1760&lt;&gt;0),"IVA solo en Servicio",IF(AND(C1760="Servicio",F1760=""),"Falta servicio","OK")))))))))</f>
        <v/>
      </c>
    </row>
    <row r="1761" spans="1:12" ht="22" customHeight="1">
      <c r="A1761" s="3"/>
      <c r="B1761" s="7"/>
      <c r="C1761" s="3"/>
      <c r="D1761" s="3"/>
      <c r="E1761" s="3"/>
      <c r="F1761" s="3"/>
      <c r="G1761" s="4"/>
      <c r="H1761" s="4"/>
      <c r="I1761" s="3"/>
      <c r="J1761" s="3"/>
      <c r="K1761" s="8" t="str">
        <f t="shared" si="27"/>
        <v/>
      </c>
      <c r="L1761" s="1" t="str">
        <f>IF(COUNTA(A1761:J1761)=0,"",IF(OR(AND(C1761&lt;&gt;"Servicio",C1761&lt;&gt;"Cobro",C1761&lt;&gt;"Anticipo",C1761&lt;&gt;"Aplicación anticipo",C1761&lt;&gt;"Retención ISR",C1761&lt;&gt;"Retención IVA"),AND(C1761="Servicio",F1761&lt;&gt;"TMS",F1761&lt;&gt;"Valoración",F1761&lt;&gt;"EEG",F1761&lt;&gt;"Neurofeedback",F1761&lt;&gt;"Fotobiomodulación",F1761&lt;&gt;"Psicoterapia",F1761&lt;&gt;"Otros")),"Tipo o categoría inválido",IF(COUNTA(A1761:J1761)=0,"",IF(OR(A1761="",B1761="",C1761="",G1761=""),"Faltan datos",IF(COUNTIF($A$7:$A$2006,A1761)&gt;1,"ID duplicado",IF(OR(B1761&lt;DATE(Configuración!$C$5,1,1),B1761&gt;=DATE(Configuración!$C$5+1,1,1)),"Fecha fuera del año",IF(OR(G1761&lt;0,H1761&lt;0),"Revisar signo",IF(AND(C1761&lt;&gt;"Servicio",H1761&lt;&gt;0),"IVA solo en Servicio",IF(AND(C1761="Servicio",F1761=""),"Falta servicio","OK")))))))))</f>
        <v/>
      </c>
    </row>
    <row r="1762" spans="1:12" ht="22" customHeight="1">
      <c r="A1762" s="3"/>
      <c r="B1762" s="7"/>
      <c r="C1762" s="3"/>
      <c r="D1762" s="3"/>
      <c r="E1762" s="3"/>
      <c r="F1762" s="3"/>
      <c r="G1762" s="4"/>
      <c r="H1762" s="4"/>
      <c r="I1762" s="3"/>
      <c r="J1762" s="3"/>
      <c r="K1762" s="8" t="str">
        <f t="shared" si="27"/>
        <v/>
      </c>
      <c r="L1762" s="1" t="str">
        <f>IF(COUNTA(A1762:J1762)=0,"",IF(OR(AND(C1762&lt;&gt;"Servicio",C1762&lt;&gt;"Cobro",C1762&lt;&gt;"Anticipo",C1762&lt;&gt;"Aplicación anticipo",C1762&lt;&gt;"Retención ISR",C1762&lt;&gt;"Retención IVA"),AND(C1762="Servicio",F1762&lt;&gt;"TMS",F1762&lt;&gt;"Valoración",F1762&lt;&gt;"EEG",F1762&lt;&gt;"Neurofeedback",F1762&lt;&gt;"Fotobiomodulación",F1762&lt;&gt;"Psicoterapia",F1762&lt;&gt;"Otros")),"Tipo o categoría inválido",IF(COUNTA(A1762:J1762)=0,"",IF(OR(A1762="",B1762="",C1762="",G1762=""),"Faltan datos",IF(COUNTIF($A$7:$A$2006,A1762)&gt;1,"ID duplicado",IF(OR(B1762&lt;DATE(Configuración!$C$5,1,1),B1762&gt;=DATE(Configuración!$C$5+1,1,1)),"Fecha fuera del año",IF(OR(G1762&lt;0,H1762&lt;0),"Revisar signo",IF(AND(C1762&lt;&gt;"Servicio",H1762&lt;&gt;0),"IVA solo en Servicio",IF(AND(C1762="Servicio",F1762=""),"Falta servicio","OK")))))))))</f>
        <v/>
      </c>
    </row>
    <row r="1763" spans="1:12" ht="22" customHeight="1">
      <c r="A1763" s="3"/>
      <c r="B1763" s="7"/>
      <c r="C1763" s="3"/>
      <c r="D1763" s="3"/>
      <c r="E1763" s="3"/>
      <c r="F1763" s="3"/>
      <c r="G1763" s="4"/>
      <c r="H1763" s="4"/>
      <c r="I1763" s="3"/>
      <c r="J1763" s="3"/>
      <c r="K1763" s="8" t="str">
        <f t="shared" si="27"/>
        <v/>
      </c>
      <c r="L1763" s="1" t="str">
        <f>IF(COUNTA(A1763:J1763)=0,"",IF(OR(AND(C1763&lt;&gt;"Servicio",C1763&lt;&gt;"Cobro",C1763&lt;&gt;"Anticipo",C1763&lt;&gt;"Aplicación anticipo",C1763&lt;&gt;"Retención ISR",C1763&lt;&gt;"Retención IVA"),AND(C1763="Servicio",F1763&lt;&gt;"TMS",F1763&lt;&gt;"Valoración",F1763&lt;&gt;"EEG",F1763&lt;&gt;"Neurofeedback",F1763&lt;&gt;"Fotobiomodulación",F1763&lt;&gt;"Psicoterapia",F1763&lt;&gt;"Otros")),"Tipo o categoría inválido",IF(COUNTA(A1763:J1763)=0,"",IF(OR(A1763="",B1763="",C1763="",G1763=""),"Faltan datos",IF(COUNTIF($A$7:$A$2006,A1763)&gt;1,"ID duplicado",IF(OR(B1763&lt;DATE(Configuración!$C$5,1,1),B1763&gt;=DATE(Configuración!$C$5+1,1,1)),"Fecha fuera del año",IF(OR(G1763&lt;0,H1763&lt;0),"Revisar signo",IF(AND(C1763&lt;&gt;"Servicio",H1763&lt;&gt;0),"IVA solo en Servicio",IF(AND(C1763="Servicio",F1763=""),"Falta servicio","OK")))))))))</f>
        <v/>
      </c>
    </row>
    <row r="1764" spans="1:12" ht="22" customHeight="1">
      <c r="A1764" s="3"/>
      <c r="B1764" s="7"/>
      <c r="C1764" s="3"/>
      <c r="D1764" s="3"/>
      <c r="E1764" s="3"/>
      <c r="F1764" s="3"/>
      <c r="G1764" s="4"/>
      <c r="H1764" s="4"/>
      <c r="I1764" s="3"/>
      <c r="J1764" s="3"/>
      <c r="K1764" s="8" t="str">
        <f t="shared" si="27"/>
        <v/>
      </c>
      <c r="L1764" s="1" t="str">
        <f>IF(COUNTA(A1764:J1764)=0,"",IF(OR(AND(C1764&lt;&gt;"Servicio",C1764&lt;&gt;"Cobro",C1764&lt;&gt;"Anticipo",C1764&lt;&gt;"Aplicación anticipo",C1764&lt;&gt;"Retención ISR",C1764&lt;&gt;"Retención IVA"),AND(C1764="Servicio",F1764&lt;&gt;"TMS",F1764&lt;&gt;"Valoración",F1764&lt;&gt;"EEG",F1764&lt;&gt;"Neurofeedback",F1764&lt;&gt;"Fotobiomodulación",F1764&lt;&gt;"Psicoterapia",F1764&lt;&gt;"Otros")),"Tipo o categoría inválido",IF(COUNTA(A1764:J1764)=0,"",IF(OR(A1764="",B1764="",C1764="",G1764=""),"Faltan datos",IF(COUNTIF($A$7:$A$2006,A1764)&gt;1,"ID duplicado",IF(OR(B1764&lt;DATE(Configuración!$C$5,1,1),B1764&gt;=DATE(Configuración!$C$5+1,1,1)),"Fecha fuera del año",IF(OR(G1764&lt;0,H1764&lt;0),"Revisar signo",IF(AND(C1764&lt;&gt;"Servicio",H1764&lt;&gt;0),"IVA solo en Servicio",IF(AND(C1764="Servicio",F1764=""),"Falta servicio","OK")))))))))</f>
        <v/>
      </c>
    </row>
    <row r="1765" spans="1:12" ht="22" customHeight="1">
      <c r="A1765" s="3"/>
      <c r="B1765" s="7"/>
      <c r="C1765" s="3"/>
      <c r="D1765" s="3"/>
      <c r="E1765" s="3"/>
      <c r="F1765" s="3"/>
      <c r="G1765" s="4"/>
      <c r="H1765" s="4"/>
      <c r="I1765" s="3"/>
      <c r="J1765" s="3"/>
      <c r="K1765" s="8" t="str">
        <f t="shared" si="27"/>
        <v/>
      </c>
      <c r="L1765" s="1" t="str">
        <f>IF(COUNTA(A1765:J1765)=0,"",IF(OR(AND(C1765&lt;&gt;"Servicio",C1765&lt;&gt;"Cobro",C1765&lt;&gt;"Anticipo",C1765&lt;&gt;"Aplicación anticipo",C1765&lt;&gt;"Retención ISR",C1765&lt;&gt;"Retención IVA"),AND(C1765="Servicio",F1765&lt;&gt;"TMS",F1765&lt;&gt;"Valoración",F1765&lt;&gt;"EEG",F1765&lt;&gt;"Neurofeedback",F1765&lt;&gt;"Fotobiomodulación",F1765&lt;&gt;"Psicoterapia",F1765&lt;&gt;"Otros")),"Tipo o categoría inválido",IF(COUNTA(A1765:J1765)=0,"",IF(OR(A1765="",B1765="",C1765="",G1765=""),"Faltan datos",IF(COUNTIF($A$7:$A$2006,A1765)&gt;1,"ID duplicado",IF(OR(B1765&lt;DATE(Configuración!$C$5,1,1),B1765&gt;=DATE(Configuración!$C$5+1,1,1)),"Fecha fuera del año",IF(OR(G1765&lt;0,H1765&lt;0),"Revisar signo",IF(AND(C1765&lt;&gt;"Servicio",H1765&lt;&gt;0),"IVA solo en Servicio",IF(AND(C1765="Servicio",F1765=""),"Falta servicio","OK")))))))))</f>
        <v/>
      </c>
    </row>
    <row r="1766" spans="1:12" ht="22" customHeight="1">
      <c r="A1766" s="3"/>
      <c r="B1766" s="7"/>
      <c r="C1766" s="3"/>
      <c r="D1766" s="3"/>
      <c r="E1766" s="3"/>
      <c r="F1766" s="3"/>
      <c r="G1766" s="4"/>
      <c r="H1766" s="4"/>
      <c r="I1766" s="3"/>
      <c r="J1766" s="3"/>
      <c r="K1766" s="8" t="str">
        <f t="shared" si="27"/>
        <v/>
      </c>
      <c r="L1766" s="1" t="str">
        <f>IF(COUNTA(A1766:J1766)=0,"",IF(OR(AND(C1766&lt;&gt;"Servicio",C1766&lt;&gt;"Cobro",C1766&lt;&gt;"Anticipo",C1766&lt;&gt;"Aplicación anticipo",C1766&lt;&gt;"Retención ISR",C1766&lt;&gt;"Retención IVA"),AND(C1766="Servicio",F1766&lt;&gt;"TMS",F1766&lt;&gt;"Valoración",F1766&lt;&gt;"EEG",F1766&lt;&gt;"Neurofeedback",F1766&lt;&gt;"Fotobiomodulación",F1766&lt;&gt;"Psicoterapia",F1766&lt;&gt;"Otros")),"Tipo o categoría inválido",IF(COUNTA(A1766:J1766)=0,"",IF(OR(A1766="",B1766="",C1766="",G1766=""),"Faltan datos",IF(COUNTIF($A$7:$A$2006,A1766)&gt;1,"ID duplicado",IF(OR(B1766&lt;DATE(Configuración!$C$5,1,1),B1766&gt;=DATE(Configuración!$C$5+1,1,1)),"Fecha fuera del año",IF(OR(G1766&lt;0,H1766&lt;0),"Revisar signo",IF(AND(C1766&lt;&gt;"Servicio",H1766&lt;&gt;0),"IVA solo en Servicio",IF(AND(C1766="Servicio",F1766=""),"Falta servicio","OK")))))))))</f>
        <v/>
      </c>
    </row>
    <row r="1767" spans="1:12" ht="22" customHeight="1">
      <c r="A1767" s="3"/>
      <c r="B1767" s="7"/>
      <c r="C1767" s="3"/>
      <c r="D1767" s="3"/>
      <c r="E1767" s="3"/>
      <c r="F1767" s="3"/>
      <c r="G1767" s="4"/>
      <c r="H1767" s="4"/>
      <c r="I1767" s="3"/>
      <c r="J1767" s="3"/>
      <c r="K1767" s="8" t="str">
        <f t="shared" si="27"/>
        <v/>
      </c>
      <c r="L1767" s="1" t="str">
        <f>IF(COUNTA(A1767:J1767)=0,"",IF(OR(AND(C1767&lt;&gt;"Servicio",C1767&lt;&gt;"Cobro",C1767&lt;&gt;"Anticipo",C1767&lt;&gt;"Aplicación anticipo",C1767&lt;&gt;"Retención ISR",C1767&lt;&gt;"Retención IVA"),AND(C1767="Servicio",F1767&lt;&gt;"TMS",F1767&lt;&gt;"Valoración",F1767&lt;&gt;"EEG",F1767&lt;&gt;"Neurofeedback",F1767&lt;&gt;"Fotobiomodulación",F1767&lt;&gt;"Psicoterapia",F1767&lt;&gt;"Otros")),"Tipo o categoría inválido",IF(COUNTA(A1767:J1767)=0,"",IF(OR(A1767="",B1767="",C1767="",G1767=""),"Faltan datos",IF(COUNTIF($A$7:$A$2006,A1767)&gt;1,"ID duplicado",IF(OR(B1767&lt;DATE(Configuración!$C$5,1,1),B1767&gt;=DATE(Configuración!$C$5+1,1,1)),"Fecha fuera del año",IF(OR(G1767&lt;0,H1767&lt;0),"Revisar signo",IF(AND(C1767&lt;&gt;"Servicio",H1767&lt;&gt;0),"IVA solo en Servicio",IF(AND(C1767="Servicio",F1767=""),"Falta servicio","OK")))))))))</f>
        <v/>
      </c>
    </row>
    <row r="1768" spans="1:12" ht="22" customHeight="1">
      <c r="A1768" s="3"/>
      <c r="B1768" s="7"/>
      <c r="C1768" s="3"/>
      <c r="D1768" s="3"/>
      <c r="E1768" s="3"/>
      <c r="F1768" s="3"/>
      <c r="G1768" s="4"/>
      <c r="H1768" s="4"/>
      <c r="I1768" s="3"/>
      <c r="J1768" s="3"/>
      <c r="K1768" s="8" t="str">
        <f t="shared" si="27"/>
        <v/>
      </c>
      <c r="L1768" s="1" t="str">
        <f>IF(COUNTA(A1768:J1768)=0,"",IF(OR(AND(C1768&lt;&gt;"Servicio",C1768&lt;&gt;"Cobro",C1768&lt;&gt;"Anticipo",C1768&lt;&gt;"Aplicación anticipo",C1768&lt;&gt;"Retención ISR",C1768&lt;&gt;"Retención IVA"),AND(C1768="Servicio",F1768&lt;&gt;"TMS",F1768&lt;&gt;"Valoración",F1768&lt;&gt;"EEG",F1768&lt;&gt;"Neurofeedback",F1768&lt;&gt;"Fotobiomodulación",F1768&lt;&gt;"Psicoterapia",F1768&lt;&gt;"Otros")),"Tipo o categoría inválido",IF(COUNTA(A1768:J1768)=0,"",IF(OR(A1768="",B1768="",C1768="",G1768=""),"Faltan datos",IF(COUNTIF($A$7:$A$2006,A1768)&gt;1,"ID duplicado",IF(OR(B1768&lt;DATE(Configuración!$C$5,1,1),B1768&gt;=DATE(Configuración!$C$5+1,1,1)),"Fecha fuera del año",IF(OR(G1768&lt;0,H1768&lt;0),"Revisar signo",IF(AND(C1768&lt;&gt;"Servicio",H1768&lt;&gt;0),"IVA solo en Servicio",IF(AND(C1768="Servicio",F1768=""),"Falta servicio","OK")))))))))</f>
        <v/>
      </c>
    </row>
    <row r="1769" spans="1:12" ht="22" customHeight="1">
      <c r="A1769" s="3"/>
      <c r="B1769" s="7"/>
      <c r="C1769" s="3"/>
      <c r="D1769" s="3"/>
      <c r="E1769" s="3"/>
      <c r="F1769" s="3"/>
      <c r="G1769" s="4"/>
      <c r="H1769" s="4"/>
      <c r="I1769" s="3"/>
      <c r="J1769" s="3"/>
      <c r="K1769" s="8" t="str">
        <f t="shared" si="27"/>
        <v/>
      </c>
      <c r="L1769" s="1" t="str">
        <f>IF(COUNTA(A1769:J1769)=0,"",IF(OR(AND(C1769&lt;&gt;"Servicio",C1769&lt;&gt;"Cobro",C1769&lt;&gt;"Anticipo",C1769&lt;&gt;"Aplicación anticipo",C1769&lt;&gt;"Retención ISR",C1769&lt;&gt;"Retención IVA"),AND(C1769="Servicio",F1769&lt;&gt;"TMS",F1769&lt;&gt;"Valoración",F1769&lt;&gt;"EEG",F1769&lt;&gt;"Neurofeedback",F1769&lt;&gt;"Fotobiomodulación",F1769&lt;&gt;"Psicoterapia",F1769&lt;&gt;"Otros")),"Tipo o categoría inválido",IF(COUNTA(A1769:J1769)=0,"",IF(OR(A1769="",B1769="",C1769="",G1769=""),"Faltan datos",IF(COUNTIF($A$7:$A$2006,A1769)&gt;1,"ID duplicado",IF(OR(B1769&lt;DATE(Configuración!$C$5,1,1),B1769&gt;=DATE(Configuración!$C$5+1,1,1)),"Fecha fuera del año",IF(OR(G1769&lt;0,H1769&lt;0),"Revisar signo",IF(AND(C1769&lt;&gt;"Servicio",H1769&lt;&gt;0),"IVA solo en Servicio",IF(AND(C1769="Servicio",F1769=""),"Falta servicio","OK")))))))))</f>
        <v/>
      </c>
    </row>
    <row r="1770" spans="1:12" ht="22" customHeight="1">
      <c r="A1770" s="3"/>
      <c r="B1770" s="7"/>
      <c r="C1770" s="3"/>
      <c r="D1770" s="3"/>
      <c r="E1770" s="3"/>
      <c r="F1770" s="3"/>
      <c r="G1770" s="4"/>
      <c r="H1770" s="4"/>
      <c r="I1770" s="3"/>
      <c r="J1770" s="3"/>
      <c r="K1770" s="8" t="str">
        <f t="shared" si="27"/>
        <v/>
      </c>
      <c r="L1770" s="1" t="str">
        <f>IF(COUNTA(A1770:J1770)=0,"",IF(OR(AND(C1770&lt;&gt;"Servicio",C1770&lt;&gt;"Cobro",C1770&lt;&gt;"Anticipo",C1770&lt;&gt;"Aplicación anticipo",C1770&lt;&gt;"Retención ISR",C1770&lt;&gt;"Retención IVA"),AND(C1770="Servicio",F1770&lt;&gt;"TMS",F1770&lt;&gt;"Valoración",F1770&lt;&gt;"EEG",F1770&lt;&gt;"Neurofeedback",F1770&lt;&gt;"Fotobiomodulación",F1770&lt;&gt;"Psicoterapia",F1770&lt;&gt;"Otros")),"Tipo o categoría inválido",IF(COUNTA(A1770:J1770)=0,"",IF(OR(A1770="",B1770="",C1770="",G1770=""),"Faltan datos",IF(COUNTIF($A$7:$A$2006,A1770)&gt;1,"ID duplicado",IF(OR(B1770&lt;DATE(Configuración!$C$5,1,1),B1770&gt;=DATE(Configuración!$C$5+1,1,1)),"Fecha fuera del año",IF(OR(G1770&lt;0,H1770&lt;0),"Revisar signo",IF(AND(C1770&lt;&gt;"Servicio",H1770&lt;&gt;0),"IVA solo en Servicio",IF(AND(C1770="Servicio",F1770=""),"Falta servicio","OK")))))))))</f>
        <v/>
      </c>
    </row>
    <row r="1771" spans="1:12" ht="22" customHeight="1">
      <c r="A1771" s="3"/>
      <c r="B1771" s="7"/>
      <c r="C1771" s="3"/>
      <c r="D1771" s="3"/>
      <c r="E1771" s="3"/>
      <c r="F1771" s="3"/>
      <c r="G1771" s="4"/>
      <c r="H1771" s="4"/>
      <c r="I1771" s="3"/>
      <c r="J1771" s="3"/>
      <c r="K1771" s="8" t="str">
        <f t="shared" si="27"/>
        <v/>
      </c>
      <c r="L1771" s="1" t="str">
        <f>IF(COUNTA(A1771:J1771)=0,"",IF(OR(AND(C1771&lt;&gt;"Servicio",C1771&lt;&gt;"Cobro",C1771&lt;&gt;"Anticipo",C1771&lt;&gt;"Aplicación anticipo",C1771&lt;&gt;"Retención ISR",C1771&lt;&gt;"Retención IVA"),AND(C1771="Servicio",F1771&lt;&gt;"TMS",F1771&lt;&gt;"Valoración",F1771&lt;&gt;"EEG",F1771&lt;&gt;"Neurofeedback",F1771&lt;&gt;"Fotobiomodulación",F1771&lt;&gt;"Psicoterapia",F1771&lt;&gt;"Otros")),"Tipo o categoría inválido",IF(COUNTA(A1771:J1771)=0,"",IF(OR(A1771="",B1771="",C1771="",G1771=""),"Faltan datos",IF(COUNTIF($A$7:$A$2006,A1771)&gt;1,"ID duplicado",IF(OR(B1771&lt;DATE(Configuración!$C$5,1,1),B1771&gt;=DATE(Configuración!$C$5+1,1,1)),"Fecha fuera del año",IF(OR(G1771&lt;0,H1771&lt;0),"Revisar signo",IF(AND(C1771&lt;&gt;"Servicio",H1771&lt;&gt;0),"IVA solo en Servicio",IF(AND(C1771="Servicio",F1771=""),"Falta servicio","OK")))))))))</f>
        <v/>
      </c>
    </row>
    <row r="1772" spans="1:12" ht="22" customHeight="1">
      <c r="A1772" s="3"/>
      <c r="B1772" s="7"/>
      <c r="C1772" s="3"/>
      <c r="D1772" s="3"/>
      <c r="E1772" s="3"/>
      <c r="F1772" s="3"/>
      <c r="G1772" s="4"/>
      <c r="H1772" s="4"/>
      <c r="I1772" s="3"/>
      <c r="J1772" s="3"/>
      <c r="K1772" s="8" t="str">
        <f t="shared" si="27"/>
        <v/>
      </c>
      <c r="L1772" s="1" t="str">
        <f>IF(COUNTA(A1772:J1772)=0,"",IF(OR(AND(C1772&lt;&gt;"Servicio",C1772&lt;&gt;"Cobro",C1772&lt;&gt;"Anticipo",C1772&lt;&gt;"Aplicación anticipo",C1772&lt;&gt;"Retención ISR",C1772&lt;&gt;"Retención IVA"),AND(C1772="Servicio",F1772&lt;&gt;"TMS",F1772&lt;&gt;"Valoración",F1772&lt;&gt;"EEG",F1772&lt;&gt;"Neurofeedback",F1772&lt;&gt;"Fotobiomodulación",F1772&lt;&gt;"Psicoterapia",F1772&lt;&gt;"Otros")),"Tipo o categoría inválido",IF(COUNTA(A1772:J1772)=0,"",IF(OR(A1772="",B1772="",C1772="",G1772=""),"Faltan datos",IF(COUNTIF($A$7:$A$2006,A1772)&gt;1,"ID duplicado",IF(OR(B1772&lt;DATE(Configuración!$C$5,1,1),B1772&gt;=DATE(Configuración!$C$5+1,1,1)),"Fecha fuera del año",IF(OR(G1772&lt;0,H1772&lt;0),"Revisar signo",IF(AND(C1772&lt;&gt;"Servicio",H1772&lt;&gt;0),"IVA solo en Servicio",IF(AND(C1772="Servicio",F1772=""),"Falta servicio","OK")))))))))</f>
        <v/>
      </c>
    </row>
    <row r="1773" spans="1:12" ht="22" customHeight="1">
      <c r="A1773" s="3"/>
      <c r="B1773" s="7"/>
      <c r="C1773" s="3"/>
      <c r="D1773" s="3"/>
      <c r="E1773" s="3"/>
      <c r="F1773" s="3"/>
      <c r="G1773" s="4"/>
      <c r="H1773" s="4"/>
      <c r="I1773" s="3"/>
      <c r="J1773" s="3"/>
      <c r="K1773" s="8" t="str">
        <f t="shared" si="27"/>
        <v/>
      </c>
      <c r="L1773" s="1" t="str">
        <f>IF(COUNTA(A1773:J1773)=0,"",IF(OR(AND(C1773&lt;&gt;"Servicio",C1773&lt;&gt;"Cobro",C1773&lt;&gt;"Anticipo",C1773&lt;&gt;"Aplicación anticipo",C1773&lt;&gt;"Retención ISR",C1773&lt;&gt;"Retención IVA"),AND(C1773="Servicio",F1773&lt;&gt;"TMS",F1773&lt;&gt;"Valoración",F1773&lt;&gt;"EEG",F1773&lt;&gt;"Neurofeedback",F1773&lt;&gt;"Fotobiomodulación",F1773&lt;&gt;"Psicoterapia",F1773&lt;&gt;"Otros")),"Tipo o categoría inválido",IF(COUNTA(A1773:J1773)=0,"",IF(OR(A1773="",B1773="",C1773="",G1773=""),"Faltan datos",IF(COUNTIF($A$7:$A$2006,A1773)&gt;1,"ID duplicado",IF(OR(B1773&lt;DATE(Configuración!$C$5,1,1),B1773&gt;=DATE(Configuración!$C$5+1,1,1)),"Fecha fuera del año",IF(OR(G1773&lt;0,H1773&lt;0),"Revisar signo",IF(AND(C1773&lt;&gt;"Servicio",H1773&lt;&gt;0),"IVA solo en Servicio",IF(AND(C1773="Servicio",F1773=""),"Falta servicio","OK")))))))))</f>
        <v/>
      </c>
    </row>
    <row r="1774" spans="1:12" ht="22" customHeight="1">
      <c r="A1774" s="3"/>
      <c r="B1774" s="7"/>
      <c r="C1774" s="3"/>
      <c r="D1774" s="3"/>
      <c r="E1774" s="3"/>
      <c r="F1774" s="3"/>
      <c r="G1774" s="4"/>
      <c r="H1774" s="4"/>
      <c r="I1774" s="3"/>
      <c r="J1774" s="3"/>
      <c r="K1774" s="8" t="str">
        <f t="shared" si="27"/>
        <v/>
      </c>
      <c r="L1774" s="1" t="str">
        <f>IF(COUNTA(A1774:J1774)=0,"",IF(OR(AND(C1774&lt;&gt;"Servicio",C1774&lt;&gt;"Cobro",C1774&lt;&gt;"Anticipo",C1774&lt;&gt;"Aplicación anticipo",C1774&lt;&gt;"Retención ISR",C1774&lt;&gt;"Retención IVA"),AND(C1774="Servicio",F1774&lt;&gt;"TMS",F1774&lt;&gt;"Valoración",F1774&lt;&gt;"EEG",F1774&lt;&gt;"Neurofeedback",F1774&lt;&gt;"Fotobiomodulación",F1774&lt;&gt;"Psicoterapia",F1774&lt;&gt;"Otros")),"Tipo o categoría inválido",IF(COUNTA(A1774:J1774)=0,"",IF(OR(A1774="",B1774="",C1774="",G1774=""),"Faltan datos",IF(COUNTIF($A$7:$A$2006,A1774)&gt;1,"ID duplicado",IF(OR(B1774&lt;DATE(Configuración!$C$5,1,1),B1774&gt;=DATE(Configuración!$C$5+1,1,1)),"Fecha fuera del año",IF(OR(G1774&lt;0,H1774&lt;0),"Revisar signo",IF(AND(C1774&lt;&gt;"Servicio",H1774&lt;&gt;0),"IVA solo en Servicio",IF(AND(C1774="Servicio",F1774=""),"Falta servicio","OK")))))))))</f>
        <v/>
      </c>
    </row>
    <row r="1775" spans="1:12" ht="22" customHeight="1">
      <c r="A1775" s="3"/>
      <c r="B1775" s="7"/>
      <c r="C1775" s="3"/>
      <c r="D1775" s="3"/>
      <c r="E1775" s="3"/>
      <c r="F1775" s="3"/>
      <c r="G1775" s="4"/>
      <c r="H1775" s="4"/>
      <c r="I1775" s="3"/>
      <c r="J1775" s="3"/>
      <c r="K1775" s="8" t="str">
        <f t="shared" si="27"/>
        <v/>
      </c>
      <c r="L1775" s="1" t="str">
        <f>IF(COUNTA(A1775:J1775)=0,"",IF(OR(AND(C1775&lt;&gt;"Servicio",C1775&lt;&gt;"Cobro",C1775&lt;&gt;"Anticipo",C1775&lt;&gt;"Aplicación anticipo",C1775&lt;&gt;"Retención ISR",C1775&lt;&gt;"Retención IVA"),AND(C1775="Servicio",F1775&lt;&gt;"TMS",F1775&lt;&gt;"Valoración",F1775&lt;&gt;"EEG",F1775&lt;&gt;"Neurofeedback",F1775&lt;&gt;"Fotobiomodulación",F1775&lt;&gt;"Psicoterapia",F1775&lt;&gt;"Otros")),"Tipo o categoría inválido",IF(COUNTA(A1775:J1775)=0,"",IF(OR(A1775="",B1775="",C1775="",G1775=""),"Faltan datos",IF(COUNTIF($A$7:$A$2006,A1775)&gt;1,"ID duplicado",IF(OR(B1775&lt;DATE(Configuración!$C$5,1,1),B1775&gt;=DATE(Configuración!$C$5+1,1,1)),"Fecha fuera del año",IF(OR(G1775&lt;0,H1775&lt;0),"Revisar signo",IF(AND(C1775&lt;&gt;"Servicio",H1775&lt;&gt;0),"IVA solo en Servicio",IF(AND(C1775="Servicio",F1775=""),"Falta servicio","OK")))))))))</f>
        <v/>
      </c>
    </row>
    <row r="1776" spans="1:12" ht="22" customHeight="1">
      <c r="A1776" s="3"/>
      <c r="B1776" s="7"/>
      <c r="C1776" s="3"/>
      <c r="D1776" s="3"/>
      <c r="E1776" s="3"/>
      <c r="F1776" s="3"/>
      <c r="G1776" s="4"/>
      <c r="H1776" s="4"/>
      <c r="I1776" s="3"/>
      <c r="J1776" s="3"/>
      <c r="K1776" s="8" t="str">
        <f t="shared" si="27"/>
        <v/>
      </c>
      <c r="L1776" s="1" t="str">
        <f>IF(COUNTA(A1776:J1776)=0,"",IF(OR(AND(C1776&lt;&gt;"Servicio",C1776&lt;&gt;"Cobro",C1776&lt;&gt;"Anticipo",C1776&lt;&gt;"Aplicación anticipo",C1776&lt;&gt;"Retención ISR",C1776&lt;&gt;"Retención IVA"),AND(C1776="Servicio",F1776&lt;&gt;"TMS",F1776&lt;&gt;"Valoración",F1776&lt;&gt;"EEG",F1776&lt;&gt;"Neurofeedback",F1776&lt;&gt;"Fotobiomodulación",F1776&lt;&gt;"Psicoterapia",F1776&lt;&gt;"Otros")),"Tipo o categoría inválido",IF(COUNTA(A1776:J1776)=0,"",IF(OR(A1776="",B1776="",C1776="",G1776=""),"Faltan datos",IF(COUNTIF($A$7:$A$2006,A1776)&gt;1,"ID duplicado",IF(OR(B1776&lt;DATE(Configuración!$C$5,1,1),B1776&gt;=DATE(Configuración!$C$5+1,1,1)),"Fecha fuera del año",IF(OR(G1776&lt;0,H1776&lt;0),"Revisar signo",IF(AND(C1776&lt;&gt;"Servicio",H1776&lt;&gt;0),"IVA solo en Servicio",IF(AND(C1776="Servicio",F1776=""),"Falta servicio","OK")))))))))</f>
        <v/>
      </c>
    </row>
    <row r="1777" spans="1:12" ht="22" customHeight="1">
      <c r="A1777" s="3"/>
      <c r="B1777" s="7"/>
      <c r="C1777" s="3"/>
      <c r="D1777" s="3"/>
      <c r="E1777" s="3"/>
      <c r="F1777" s="3"/>
      <c r="G1777" s="4"/>
      <c r="H1777" s="4"/>
      <c r="I1777" s="3"/>
      <c r="J1777" s="3"/>
      <c r="K1777" s="8" t="str">
        <f t="shared" si="27"/>
        <v/>
      </c>
      <c r="L1777" s="1" t="str">
        <f>IF(COUNTA(A1777:J1777)=0,"",IF(OR(AND(C1777&lt;&gt;"Servicio",C1777&lt;&gt;"Cobro",C1777&lt;&gt;"Anticipo",C1777&lt;&gt;"Aplicación anticipo",C1777&lt;&gt;"Retención ISR",C1777&lt;&gt;"Retención IVA"),AND(C1777="Servicio",F1777&lt;&gt;"TMS",F1777&lt;&gt;"Valoración",F1777&lt;&gt;"EEG",F1777&lt;&gt;"Neurofeedback",F1777&lt;&gt;"Fotobiomodulación",F1777&lt;&gt;"Psicoterapia",F1777&lt;&gt;"Otros")),"Tipo o categoría inválido",IF(COUNTA(A1777:J1777)=0,"",IF(OR(A1777="",B1777="",C1777="",G1777=""),"Faltan datos",IF(COUNTIF($A$7:$A$2006,A1777)&gt;1,"ID duplicado",IF(OR(B1777&lt;DATE(Configuración!$C$5,1,1),B1777&gt;=DATE(Configuración!$C$5+1,1,1)),"Fecha fuera del año",IF(OR(G1777&lt;0,H1777&lt;0),"Revisar signo",IF(AND(C1777&lt;&gt;"Servicio",H1777&lt;&gt;0),"IVA solo en Servicio",IF(AND(C1777="Servicio",F1777=""),"Falta servicio","OK")))))))))</f>
        <v/>
      </c>
    </row>
    <row r="1778" spans="1:12" ht="22" customHeight="1">
      <c r="A1778" s="3"/>
      <c r="B1778" s="7"/>
      <c r="C1778" s="3"/>
      <c r="D1778" s="3"/>
      <c r="E1778" s="3"/>
      <c r="F1778" s="3"/>
      <c r="G1778" s="4"/>
      <c r="H1778" s="4"/>
      <c r="I1778" s="3"/>
      <c r="J1778" s="3"/>
      <c r="K1778" s="8" t="str">
        <f t="shared" si="27"/>
        <v/>
      </c>
      <c r="L1778" s="1" t="str">
        <f>IF(COUNTA(A1778:J1778)=0,"",IF(OR(AND(C1778&lt;&gt;"Servicio",C1778&lt;&gt;"Cobro",C1778&lt;&gt;"Anticipo",C1778&lt;&gt;"Aplicación anticipo",C1778&lt;&gt;"Retención ISR",C1778&lt;&gt;"Retención IVA"),AND(C1778="Servicio",F1778&lt;&gt;"TMS",F1778&lt;&gt;"Valoración",F1778&lt;&gt;"EEG",F1778&lt;&gt;"Neurofeedback",F1778&lt;&gt;"Fotobiomodulación",F1778&lt;&gt;"Psicoterapia",F1778&lt;&gt;"Otros")),"Tipo o categoría inválido",IF(COUNTA(A1778:J1778)=0,"",IF(OR(A1778="",B1778="",C1778="",G1778=""),"Faltan datos",IF(COUNTIF($A$7:$A$2006,A1778)&gt;1,"ID duplicado",IF(OR(B1778&lt;DATE(Configuración!$C$5,1,1),B1778&gt;=DATE(Configuración!$C$5+1,1,1)),"Fecha fuera del año",IF(OR(G1778&lt;0,H1778&lt;0),"Revisar signo",IF(AND(C1778&lt;&gt;"Servicio",H1778&lt;&gt;0),"IVA solo en Servicio",IF(AND(C1778="Servicio",F1778=""),"Falta servicio","OK")))))))))</f>
        <v/>
      </c>
    </row>
    <row r="1779" spans="1:12" ht="22" customHeight="1">
      <c r="A1779" s="3"/>
      <c r="B1779" s="7"/>
      <c r="C1779" s="3"/>
      <c r="D1779" s="3"/>
      <c r="E1779" s="3"/>
      <c r="F1779" s="3"/>
      <c r="G1779" s="4"/>
      <c r="H1779" s="4"/>
      <c r="I1779" s="3"/>
      <c r="J1779" s="3"/>
      <c r="K1779" s="8" t="str">
        <f t="shared" si="27"/>
        <v/>
      </c>
      <c r="L1779" s="1" t="str">
        <f>IF(COUNTA(A1779:J1779)=0,"",IF(OR(AND(C1779&lt;&gt;"Servicio",C1779&lt;&gt;"Cobro",C1779&lt;&gt;"Anticipo",C1779&lt;&gt;"Aplicación anticipo",C1779&lt;&gt;"Retención ISR",C1779&lt;&gt;"Retención IVA"),AND(C1779="Servicio",F1779&lt;&gt;"TMS",F1779&lt;&gt;"Valoración",F1779&lt;&gt;"EEG",F1779&lt;&gt;"Neurofeedback",F1779&lt;&gt;"Fotobiomodulación",F1779&lt;&gt;"Psicoterapia",F1779&lt;&gt;"Otros")),"Tipo o categoría inválido",IF(COUNTA(A1779:J1779)=0,"",IF(OR(A1779="",B1779="",C1779="",G1779=""),"Faltan datos",IF(COUNTIF($A$7:$A$2006,A1779)&gt;1,"ID duplicado",IF(OR(B1779&lt;DATE(Configuración!$C$5,1,1),B1779&gt;=DATE(Configuración!$C$5+1,1,1)),"Fecha fuera del año",IF(OR(G1779&lt;0,H1779&lt;0),"Revisar signo",IF(AND(C1779&lt;&gt;"Servicio",H1779&lt;&gt;0),"IVA solo en Servicio",IF(AND(C1779="Servicio",F1779=""),"Falta servicio","OK")))))))))</f>
        <v/>
      </c>
    </row>
    <row r="1780" spans="1:12" ht="22" customHeight="1">
      <c r="A1780" s="3"/>
      <c r="B1780" s="7"/>
      <c r="C1780" s="3"/>
      <c r="D1780" s="3"/>
      <c r="E1780" s="3"/>
      <c r="F1780" s="3"/>
      <c r="G1780" s="4"/>
      <c r="H1780" s="4"/>
      <c r="I1780" s="3"/>
      <c r="J1780" s="3"/>
      <c r="K1780" s="8" t="str">
        <f t="shared" si="27"/>
        <v/>
      </c>
      <c r="L1780" s="1" t="str">
        <f>IF(COUNTA(A1780:J1780)=0,"",IF(OR(AND(C1780&lt;&gt;"Servicio",C1780&lt;&gt;"Cobro",C1780&lt;&gt;"Anticipo",C1780&lt;&gt;"Aplicación anticipo",C1780&lt;&gt;"Retención ISR",C1780&lt;&gt;"Retención IVA"),AND(C1780="Servicio",F1780&lt;&gt;"TMS",F1780&lt;&gt;"Valoración",F1780&lt;&gt;"EEG",F1780&lt;&gt;"Neurofeedback",F1780&lt;&gt;"Fotobiomodulación",F1780&lt;&gt;"Psicoterapia",F1780&lt;&gt;"Otros")),"Tipo o categoría inválido",IF(COUNTA(A1780:J1780)=0,"",IF(OR(A1780="",B1780="",C1780="",G1780=""),"Faltan datos",IF(COUNTIF($A$7:$A$2006,A1780)&gt;1,"ID duplicado",IF(OR(B1780&lt;DATE(Configuración!$C$5,1,1),B1780&gt;=DATE(Configuración!$C$5+1,1,1)),"Fecha fuera del año",IF(OR(G1780&lt;0,H1780&lt;0),"Revisar signo",IF(AND(C1780&lt;&gt;"Servicio",H1780&lt;&gt;0),"IVA solo en Servicio",IF(AND(C1780="Servicio",F1780=""),"Falta servicio","OK")))))))))</f>
        <v/>
      </c>
    </row>
    <row r="1781" spans="1:12" ht="22" customHeight="1">
      <c r="A1781" s="3"/>
      <c r="B1781" s="7"/>
      <c r="C1781" s="3"/>
      <c r="D1781" s="3"/>
      <c r="E1781" s="3"/>
      <c r="F1781" s="3"/>
      <c r="G1781" s="4"/>
      <c r="H1781" s="4"/>
      <c r="I1781" s="3"/>
      <c r="J1781" s="3"/>
      <c r="K1781" s="8" t="str">
        <f t="shared" si="27"/>
        <v/>
      </c>
      <c r="L1781" s="1" t="str">
        <f>IF(COUNTA(A1781:J1781)=0,"",IF(OR(AND(C1781&lt;&gt;"Servicio",C1781&lt;&gt;"Cobro",C1781&lt;&gt;"Anticipo",C1781&lt;&gt;"Aplicación anticipo",C1781&lt;&gt;"Retención ISR",C1781&lt;&gt;"Retención IVA"),AND(C1781="Servicio",F1781&lt;&gt;"TMS",F1781&lt;&gt;"Valoración",F1781&lt;&gt;"EEG",F1781&lt;&gt;"Neurofeedback",F1781&lt;&gt;"Fotobiomodulación",F1781&lt;&gt;"Psicoterapia",F1781&lt;&gt;"Otros")),"Tipo o categoría inválido",IF(COUNTA(A1781:J1781)=0,"",IF(OR(A1781="",B1781="",C1781="",G1781=""),"Faltan datos",IF(COUNTIF($A$7:$A$2006,A1781)&gt;1,"ID duplicado",IF(OR(B1781&lt;DATE(Configuración!$C$5,1,1),B1781&gt;=DATE(Configuración!$C$5+1,1,1)),"Fecha fuera del año",IF(OR(G1781&lt;0,H1781&lt;0),"Revisar signo",IF(AND(C1781&lt;&gt;"Servicio",H1781&lt;&gt;0),"IVA solo en Servicio",IF(AND(C1781="Servicio",F1781=""),"Falta servicio","OK")))))))))</f>
        <v/>
      </c>
    </row>
    <row r="1782" spans="1:12" ht="22" customHeight="1">
      <c r="A1782" s="3"/>
      <c r="B1782" s="7"/>
      <c r="C1782" s="3"/>
      <c r="D1782" s="3"/>
      <c r="E1782" s="3"/>
      <c r="F1782" s="3"/>
      <c r="G1782" s="4"/>
      <c r="H1782" s="4"/>
      <c r="I1782" s="3"/>
      <c r="J1782" s="3"/>
      <c r="K1782" s="8" t="str">
        <f t="shared" si="27"/>
        <v/>
      </c>
      <c r="L1782" s="1" t="str">
        <f>IF(COUNTA(A1782:J1782)=0,"",IF(OR(AND(C1782&lt;&gt;"Servicio",C1782&lt;&gt;"Cobro",C1782&lt;&gt;"Anticipo",C1782&lt;&gt;"Aplicación anticipo",C1782&lt;&gt;"Retención ISR",C1782&lt;&gt;"Retención IVA"),AND(C1782="Servicio",F1782&lt;&gt;"TMS",F1782&lt;&gt;"Valoración",F1782&lt;&gt;"EEG",F1782&lt;&gt;"Neurofeedback",F1782&lt;&gt;"Fotobiomodulación",F1782&lt;&gt;"Psicoterapia",F1782&lt;&gt;"Otros")),"Tipo o categoría inválido",IF(COUNTA(A1782:J1782)=0,"",IF(OR(A1782="",B1782="",C1782="",G1782=""),"Faltan datos",IF(COUNTIF($A$7:$A$2006,A1782)&gt;1,"ID duplicado",IF(OR(B1782&lt;DATE(Configuración!$C$5,1,1),B1782&gt;=DATE(Configuración!$C$5+1,1,1)),"Fecha fuera del año",IF(OR(G1782&lt;0,H1782&lt;0),"Revisar signo",IF(AND(C1782&lt;&gt;"Servicio",H1782&lt;&gt;0),"IVA solo en Servicio",IF(AND(C1782="Servicio",F1782=""),"Falta servicio","OK")))))))))</f>
        <v/>
      </c>
    </row>
    <row r="1783" spans="1:12" ht="22" customHeight="1">
      <c r="A1783" s="3"/>
      <c r="B1783" s="7"/>
      <c r="C1783" s="3"/>
      <c r="D1783" s="3"/>
      <c r="E1783" s="3"/>
      <c r="F1783" s="3"/>
      <c r="G1783" s="4"/>
      <c r="H1783" s="4"/>
      <c r="I1783" s="3"/>
      <c r="J1783" s="3"/>
      <c r="K1783" s="8" t="str">
        <f t="shared" si="27"/>
        <v/>
      </c>
      <c r="L1783" s="1" t="str">
        <f>IF(COUNTA(A1783:J1783)=0,"",IF(OR(AND(C1783&lt;&gt;"Servicio",C1783&lt;&gt;"Cobro",C1783&lt;&gt;"Anticipo",C1783&lt;&gt;"Aplicación anticipo",C1783&lt;&gt;"Retención ISR",C1783&lt;&gt;"Retención IVA"),AND(C1783="Servicio",F1783&lt;&gt;"TMS",F1783&lt;&gt;"Valoración",F1783&lt;&gt;"EEG",F1783&lt;&gt;"Neurofeedback",F1783&lt;&gt;"Fotobiomodulación",F1783&lt;&gt;"Psicoterapia",F1783&lt;&gt;"Otros")),"Tipo o categoría inválido",IF(COUNTA(A1783:J1783)=0,"",IF(OR(A1783="",B1783="",C1783="",G1783=""),"Faltan datos",IF(COUNTIF($A$7:$A$2006,A1783)&gt;1,"ID duplicado",IF(OR(B1783&lt;DATE(Configuración!$C$5,1,1),B1783&gt;=DATE(Configuración!$C$5+1,1,1)),"Fecha fuera del año",IF(OR(G1783&lt;0,H1783&lt;0),"Revisar signo",IF(AND(C1783&lt;&gt;"Servicio",H1783&lt;&gt;0),"IVA solo en Servicio",IF(AND(C1783="Servicio",F1783=""),"Falta servicio","OK")))))))))</f>
        <v/>
      </c>
    </row>
    <row r="1784" spans="1:12" ht="22" customHeight="1">
      <c r="A1784" s="3"/>
      <c r="B1784" s="7"/>
      <c r="C1784" s="3"/>
      <c r="D1784" s="3"/>
      <c r="E1784" s="3"/>
      <c r="F1784" s="3"/>
      <c r="G1784" s="4"/>
      <c r="H1784" s="4"/>
      <c r="I1784" s="3"/>
      <c r="J1784" s="3"/>
      <c r="K1784" s="8" t="str">
        <f t="shared" si="27"/>
        <v/>
      </c>
      <c r="L1784" s="1" t="str">
        <f>IF(COUNTA(A1784:J1784)=0,"",IF(OR(AND(C1784&lt;&gt;"Servicio",C1784&lt;&gt;"Cobro",C1784&lt;&gt;"Anticipo",C1784&lt;&gt;"Aplicación anticipo",C1784&lt;&gt;"Retención ISR",C1784&lt;&gt;"Retención IVA"),AND(C1784="Servicio",F1784&lt;&gt;"TMS",F1784&lt;&gt;"Valoración",F1784&lt;&gt;"EEG",F1784&lt;&gt;"Neurofeedback",F1784&lt;&gt;"Fotobiomodulación",F1784&lt;&gt;"Psicoterapia",F1784&lt;&gt;"Otros")),"Tipo o categoría inválido",IF(COUNTA(A1784:J1784)=0,"",IF(OR(A1784="",B1784="",C1784="",G1784=""),"Faltan datos",IF(COUNTIF($A$7:$A$2006,A1784)&gt;1,"ID duplicado",IF(OR(B1784&lt;DATE(Configuración!$C$5,1,1),B1784&gt;=DATE(Configuración!$C$5+1,1,1)),"Fecha fuera del año",IF(OR(G1784&lt;0,H1784&lt;0),"Revisar signo",IF(AND(C1784&lt;&gt;"Servicio",H1784&lt;&gt;0),"IVA solo en Servicio",IF(AND(C1784="Servicio",F1784=""),"Falta servicio","OK")))))))))</f>
        <v/>
      </c>
    </row>
    <row r="1785" spans="1:12" ht="22" customHeight="1">
      <c r="A1785" s="3"/>
      <c r="B1785" s="7"/>
      <c r="C1785" s="3"/>
      <c r="D1785" s="3"/>
      <c r="E1785" s="3"/>
      <c r="F1785" s="3"/>
      <c r="G1785" s="4"/>
      <c r="H1785" s="4"/>
      <c r="I1785" s="3"/>
      <c r="J1785" s="3"/>
      <c r="K1785" s="8" t="str">
        <f t="shared" si="27"/>
        <v/>
      </c>
      <c r="L1785" s="1" t="str">
        <f>IF(COUNTA(A1785:J1785)=0,"",IF(OR(AND(C1785&lt;&gt;"Servicio",C1785&lt;&gt;"Cobro",C1785&lt;&gt;"Anticipo",C1785&lt;&gt;"Aplicación anticipo",C1785&lt;&gt;"Retención ISR",C1785&lt;&gt;"Retención IVA"),AND(C1785="Servicio",F1785&lt;&gt;"TMS",F1785&lt;&gt;"Valoración",F1785&lt;&gt;"EEG",F1785&lt;&gt;"Neurofeedback",F1785&lt;&gt;"Fotobiomodulación",F1785&lt;&gt;"Psicoterapia",F1785&lt;&gt;"Otros")),"Tipo o categoría inválido",IF(COUNTA(A1785:J1785)=0,"",IF(OR(A1785="",B1785="",C1785="",G1785=""),"Faltan datos",IF(COUNTIF($A$7:$A$2006,A1785)&gt;1,"ID duplicado",IF(OR(B1785&lt;DATE(Configuración!$C$5,1,1),B1785&gt;=DATE(Configuración!$C$5+1,1,1)),"Fecha fuera del año",IF(OR(G1785&lt;0,H1785&lt;0),"Revisar signo",IF(AND(C1785&lt;&gt;"Servicio",H1785&lt;&gt;0),"IVA solo en Servicio",IF(AND(C1785="Servicio",F1785=""),"Falta servicio","OK")))))))))</f>
        <v/>
      </c>
    </row>
    <row r="1786" spans="1:12" ht="22" customHeight="1">
      <c r="A1786" s="3"/>
      <c r="B1786" s="7"/>
      <c r="C1786" s="3"/>
      <c r="D1786" s="3"/>
      <c r="E1786" s="3"/>
      <c r="F1786" s="3"/>
      <c r="G1786" s="4"/>
      <c r="H1786" s="4"/>
      <c r="I1786" s="3"/>
      <c r="J1786" s="3"/>
      <c r="K1786" s="8" t="str">
        <f t="shared" si="27"/>
        <v/>
      </c>
      <c r="L1786" s="1" t="str">
        <f>IF(COUNTA(A1786:J1786)=0,"",IF(OR(AND(C1786&lt;&gt;"Servicio",C1786&lt;&gt;"Cobro",C1786&lt;&gt;"Anticipo",C1786&lt;&gt;"Aplicación anticipo",C1786&lt;&gt;"Retención ISR",C1786&lt;&gt;"Retención IVA"),AND(C1786="Servicio",F1786&lt;&gt;"TMS",F1786&lt;&gt;"Valoración",F1786&lt;&gt;"EEG",F1786&lt;&gt;"Neurofeedback",F1786&lt;&gt;"Fotobiomodulación",F1786&lt;&gt;"Psicoterapia",F1786&lt;&gt;"Otros")),"Tipo o categoría inválido",IF(COUNTA(A1786:J1786)=0,"",IF(OR(A1786="",B1786="",C1786="",G1786=""),"Faltan datos",IF(COUNTIF($A$7:$A$2006,A1786)&gt;1,"ID duplicado",IF(OR(B1786&lt;DATE(Configuración!$C$5,1,1),B1786&gt;=DATE(Configuración!$C$5+1,1,1)),"Fecha fuera del año",IF(OR(G1786&lt;0,H1786&lt;0),"Revisar signo",IF(AND(C1786&lt;&gt;"Servicio",H1786&lt;&gt;0),"IVA solo en Servicio",IF(AND(C1786="Servicio",F1786=""),"Falta servicio","OK")))))))))</f>
        <v/>
      </c>
    </row>
    <row r="1787" spans="1:12" ht="22" customHeight="1">
      <c r="A1787" s="3"/>
      <c r="B1787" s="7"/>
      <c r="C1787" s="3"/>
      <c r="D1787" s="3"/>
      <c r="E1787" s="3"/>
      <c r="F1787" s="3"/>
      <c r="G1787" s="4"/>
      <c r="H1787" s="4"/>
      <c r="I1787" s="3"/>
      <c r="J1787" s="3"/>
      <c r="K1787" s="8" t="str">
        <f t="shared" si="27"/>
        <v/>
      </c>
      <c r="L1787" s="1" t="str">
        <f>IF(COUNTA(A1787:J1787)=0,"",IF(OR(AND(C1787&lt;&gt;"Servicio",C1787&lt;&gt;"Cobro",C1787&lt;&gt;"Anticipo",C1787&lt;&gt;"Aplicación anticipo",C1787&lt;&gt;"Retención ISR",C1787&lt;&gt;"Retención IVA"),AND(C1787="Servicio",F1787&lt;&gt;"TMS",F1787&lt;&gt;"Valoración",F1787&lt;&gt;"EEG",F1787&lt;&gt;"Neurofeedback",F1787&lt;&gt;"Fotobiomodulación",F1787&lt;&gt;"Psicoterapia",F1787&lt;&gt;"Otros")),"Tipo o categoría inválido",IF(COUNTA(A1787:J1787)=0,"",IF(OR(A1787="",B1787="",C1787="",G1787=""),"Faltan datos",IF(COUNTIF($A$7:$A$2006,A1787)&gt;1,"ID duplicado",IF(OR(B1787&lt;DATE(Configuración!$C$5,1,1),B1787&gt;=DATE(Configuración!$C$5+1,1,1)),"Fecha fuera del año",IF(OR(G1787&lt;0,H1787&lt;0),"Revisar signo",IF(AND(C1787&lt;&gt;"Servicio",H1787&lt;&gt;0),"IVA solo en Servicio",IF(AND(C1787="Servicio",F1787=""),"Falta servicio","OK")))))))))</f>
        <v/>
      </c>
    </row>
    <row r="1788" spans="1:12" ht="22" customHeight="1">
      <c r="A1788" s="3"/>
      <c r="B1788" s="7"/>
      <c r="C1788" s="3"/>
      <c r="D1788" s="3"/>
      <c r="E1788" s="3"/>
      <c r="F1788" s="3"/>
      <c r="G1788" s="4"/>
      <c r="H1788" s="4"/>
      <c r="I1788" s="3"/>
      <c r="J1788" s="3"/>
      <c r="K1788" s="8" t="str">
        <f t="shared" si="27"/>
        <v/>
      </c>
      <c r="L1788" s="1" t="str">
        <f>IF(COUNTA(A1788:J1788)=0,"",IF(OR(AND(C1788&lt;&gt;"Servicio",C1788&lt;&gt;"Cobro",C1788&lt;&gt;"Anticipo",C1788&lt;&gt;"Aplicación anticipo",C1788&lt;&gt;"Retención ISR",C1788&lt;&gt;"Retención IVA"),AND(C1788="Servicio",F1788&lt;&gt;"TMS",F1788&lt;&gt;"Valoración",F1788&lt;&gt;"EEG",F1788&lt;&gt;"Neurofeedback",F1788&lt;&gt;"Fotobiomodulación",F1788&lt;&gt;"Psicoterapia",F1788&lt;&gt;"Otros")),"Tipo o categoría inválido",IF(COUNTA(A1788:J1788)=0,"",IF(OR(A1788="",B1788="",C1788="",G1788=""),"Faltan datos",IF(COUNTIF($A$7:$A$2006,A1788)&gt;1,"ID duplicado",IF(OR(B1788&lt;DATE(Configuración!$C$5,1,1),B1788&gt;=DATE(Configuración!$C$5+1,1,1)),"Fecha fuera del año",IF(OR(G1788&lt;0,H1788&lt;0),"Revisar signo",IF(AND(C1788&lt;&gt;"Servicio",H1788&lt;&gt;0),"IVA solo en Servicio",IF(AND(C1788="Servicio",F1788=""),"Falta servicio","OK")))))))))</f>
        <v/>
      </c>
    </row>
    <row r="1789" spans="1:12" ht="22" customHeight="1">
      <c r="A1789" s="3"/>
      <c r="B1789" s="7"/>
      <c r="C1789" s="3"/>
      <c r="D1789" s="3"/>
      <c r="E1789" s="3"/>
      <c r="F1789" s="3"/>
      <c r="G1789" s="4"/>
      <c r="H1789" s="4"/>
      <c r="I1789" s="3"/>
      <c r="J1789" s="3"/>
      <c r="K1789" s="8" t="str">
        <f t="shared" si="27"/>
        <v/>
      </c>
      <c r="L1789" s="1" t="str">
        <f>IF(COUNTA(A1789:J1789)=0,"",IF(OR(AND(C1789&lt;&gt;"Servicio",C1789&lt;&gt;"Cobro",C1789&lt;&gt;"Anticipo",C1789&lt;&gt;"Aplicación anticipo",C1789&lt;&gt;"Retención ISR",C1789&lt;&gt;"Retención IVA"),AND(C1789="Servicio",F1789&lt;&gt;"TMS",F1789&lt;&gt;"Valoración",F1789&lt;&gt;"EEG",F1789&lt;&gt;"Neurofeedback",F1789&lt;&gt;"Fotobiomodulación",F1789&lt;&gt;"Psicoterapia",F1789&lt;&gt;"Otros")),"Tipo o categoría inválido",IF(COUNTA(A1789:J1789)=0,"",IF(OR(A1789="",B1789="",C1789="",G1789=""),"Faltan datos",IF(COUNTIF($A$7:$A$2006,A1789)&gt;1,"ID duplicado",IF(OR(B1789&lt;DATE(Configuración!$C$5,1,1),B1789&gt;=DATE(Configuración!$C$5+1,1,1)),"Fecha fuera del año",IF(OR(G1789&lt;0,H1789&lt;0),"Revisar signo",IF(AND(C1789&lt;&gt;"Servicio",H1789&lt;&gt;0),"IVA solo en Servicio",IF(AND(C1789="Servicio",F1789=""),"Falta servicio","OK")))))))))</f>
        <v/>
      </c>
    </row>
    <row r="1790" spans="1:12" ht="22" customHeight="1">
      <c r="A1790" s="3"/>
      <c r="B1790" s="7"/>
      <c r="C1790" s="3"/>
      <c r="D1790" s="3"/>
      <c r="E1790" s="3"/>
      <c r="F1790" s="3"/>
      <c r="G1790" s="4"/>
      <c r="H1790" s="4"/>
      <c r="I1790" s="3"/>
      <c r="J1790" s="3"/>
      <c r="K1790" s="8" t="str">
        <f t="shared" si="27"/>
        <v/>
      </c>
      <c r="L1790" s="1" t="str">
        <f>IF(COUNTA(A1790:J1790)=0,"",IF(OR(AND(C1790&lt;&gt;"Servicio",C1790&lt;&gt;"Cobro",C1790&lt;&gt;"Anticipo",C1790&lt;&gt;"Aplicación anticipo",C1790&lt;&gt;"Retención ISR",C1790&lt;&gt;"Retención IVA"),AND(C1790="Servicio",F1790&lt;&gt;"TMS",F1790&lt;&gt;"Valoración",F1790&lt;&gt;"EEG",F1790&lt;&gt;"Neurofeedback",F1790&lt;&gt;"Fotobiomodulación",F1790&lt;&gt;"Psicoterapia",F1790&lt;&gt;"Otros")),"Tipo o categoría inválido",IF(COUNTA(A1790:J1790)=0,"",IF(OR(A1790="",B1790="",C1790="",G1790=""),"Faltan datos",IF(COUNTIF($A$7:$A$2006,A1790)&gt;1,"ID duplicado",IF(OR(B1790&lt;DATE(Configuración!$C$5,1,1),B1790&gt;=DATE(Configuración!$C$5+1,1,1)),"Fecha fuera del año",IF(OR(G1790&lt;0,H1790&lt;0),"Revisar signo",IF(AND(C1790&lt;&gt;"Servicio",H1790&lt;&gt;0),"IVA solo en Servicio",IF(AND(C1790="Servicio",F1790=""),"Falta servicio","OK")))))))))</f>
        <v/>
      </c>
    </row>
    <row r="1791" spans="1:12" ht="22" customHeight="1">
      <c r="A1791" s="3"/>
      <c r="B1791" s="7"/>
      <c r="C1791" s="3"/>
      <c r="D1791" s="3"/>
      <c r="E1791" s="3"/>
      <c r="F1791" s="3"/>
      <c r="G1791" s="4"/>
      <c r="H1791" s="4"/>
      <c r="I1791" s="3"/>
      <c r="J1791" s="3"/>
      <c r="K1791" s="8" t="str">
        <f t="shared" si="27"/>
        <v/>
      </c>
      <c r="L1791" s="1" t="str">
        <f>IF(COUNTA(A1791:J1791)=0,"",IF(OR(AND(C1791&lt;&gt;"Servicio",C1791&lt;&gt;"Cobro",C1791&lt;&gt;"Anticipo",C1791&lt;&gt;"Aplicación anticipo",C1791&lt;&gt;"Retención ISR",C1791&lt;&gt;"Retención IVA"),AND(C1791="Servicio",F1791&lt;&gt;"TMS",F1791&lt;&gt;"Valoración",F1791&lt;&gt;"EEG",F1791&lt;&gt;"Neurofeedback",F1791&lt;&gt;"Fotobiomodulación",F1791&lt;&gt;"Psicoterapia",F1791&lt;&gt;"Otros")),"Tipo o categoría inválido",IF(COUNTA(A1791:J1791)=0,"",IF(OR(A1791="",B1791="",C1791="",G1791=""),"Faltan datos",IF(COUNTIF($A$7:$A$2006,A1791)&gt;1,"ID duplicado",IF(OR(B1791&lt;DATE(Configuración!$C$5,1,1),B1791&gt;=DATE(Configuración!$C$5+1,1,1)),"Fecha fuera del año",IF(OR(G1791&lt;0,H1791&lt;0),"Revisar signo",IF(AND(C1791&lt;&gt;"Servicio",H1791&lt;&gt;0),"IVA solo en Servicio",IF(AND(C1791="Servicio",F1791=""),"Falta servicio","OK")))))))))</f>
        <v/>
      </c>
    </row>
    <row r="1792" spans="1:12" ht="22" customHeight="1">
      <c r="A1792" s="3"/>
      <c r="B1792" s="7"/>
      <c r="C1792" s="3"/>
      <c r="D1792" s="3"/>
      <c r="E1792" s="3"/>
      <c r="F1792" s="3"/>
      <c r="G1792" s="4"/>
      <c r="H1792" s="4"/>
      <c r="I1792" s="3"/>
      <c r="J1792" s="3"/>
      <c r="K1792" s="8" t="str">
        <f t="shared" si="27"/>
        <v/>
      </c>
      <c r="L1792" s="1" t="str">
        <f>IF(COUNTA(A1792:J1792)=0,"",IF(OR(AND(C1792&lt;&gt;"Servicio",C1792&lt;&gt;"Cobro",C1792&lt;&gt;"Anticipo",C1792&lt;&gt;"Aplicación anticipo",C1792&lt;&gt;"Retención ISR",C1792&lt;&gt;"Retención IVA"),AND(C1792="Servicio",F1792&lt;&gt;"TMS",F1792&lt;&gt;"Valoración",F1792&lt;&gt;"EEG",F1792&lt;&gt;"Neurofeedback",F1792&lt;&gt;"Fotobiomodulación",F1792&lt;&gt;"Psicoterapia",F1792&lt;&gt;"Otros")),"Tipo o categoría inválido",IF(COUNTA(A1792:J1792)=0,"",IF(OR(A1792="",B1792="",C1792="",G1792=""),"Faltan datos",IF(COUNTIF($A$7:$A$2006,A1792)&gt;1,"ID duplicado",IF(OR(B1792&lt;DATE(Configuración!$C$5,1,1),B1792&gt;=DATE(Configuración!$C$5+1,1,1)),"Fecha fuera del año",IF(OR(G1792&lt;0,H1792&lt;0),"Revisar signo",IF(AND(C1792&lt;&gt;"Servicio",H1792&lt;&gt;0),"IVA solo en Servicio",IF(AND(C1792="Servicio",F1792=""),"Falta servicio","OK")))))))))</f>
        <v/>
      </c>
    </row>
    <row r="1793" spans="1:12" ht="22" customHeight="1">
      <c r="A1793" s="3"/>
      <c r="B1793" s="7"/>
      <c r="C1793" s="3"/>
      <c r="D1793" s="3"/>
      <c r="E1793" s="3"/>
      <c r="F1793" s="3"/>
      <c r="G1793" s="4"/>
      <c r="H1793" s="4"/>
      <c r="I1793" s="3"/>
      <c r="J1793" s="3"/>
      <c r="K1793" s="8" t="str">
        <f t="shared" si="27"/>
        <v/>
      </c>
      <c r="L1793" s="1" t="str">
        <f>IF(COUNTA(A1793:J1793)=0,"",IF(OR(AND(C1793&lt;&gt;"Servicio",C1793&lt;&gt;"Cobro",C1793&lt;&gt;"Anticipo",C1793&lt;&gt;"Aplicación anticipo",C1793&lt;&gt;"Retención ISR",C1793&lt;&gt;"Retención IVA"),AND(C1793="Servicio",F1793&lt;&gt;"TMS",F1793&lt;&gt;"Valoración",F1793&lt;&gt;"EEG",F1793&lt;&gt;"Neurofeedback",F1793&lt;&gt;"Fotobiomodulación",F1793&lt;&gt;"Psicoterapia",F1793&lt;&gt;"Otros")),"Tipo o categoría inválido",IF(COUNTA(A1793:J1793)=0,"",IF(OR(A1793="",B1793="",C1793="",G1793=""),"Faltan datos",IF(COUNTIF($A$7:$A$2006,A1793)&gt;1,"ID duplicado",IF(OR(B1793&lt;DATE(Configuración!$C$5,1,1),B1793&gt;=DATE(Configuración!$C$5+1,1,1)),"Fecha fuera del año",IF(OR(G1793&lt;0,H1793&lt;0),"Revisar signo",IF(AND(C1793&lt;&gt;"Servicio",H1793&lt;&gt;0),"IVA solo en Servicio",IF(AND(C1793="Servicio",F1793=""),"Falta servicio","OK")))))))))</f>
        <v/>
      </c>
    </row>
    <row r="1794" spans="1:12" ht="22" customHeight="1">
      <c r="A1794" s="3"/>
      <c r="B1794" s="7"/>
      <c r="C1794" s="3"/>
      <c r="D1794" s="3"/>
      <c r="E1794" s="3"/>
      <c r="F1794" s="3"/>
      <c r="G1794" s="4"/>
      <c r="H1794" s="4"/>
      <c r="I1794" s="3"/>
      <c r="J1794" s="3"/>
      <c r="K1794" s="8" t="str">
        <f t="shared" si="27"/>
        <v/>
      </c>
      <c r="L1794" s="1" t="str">
        <f>IF(COUNTA(A1794:J1794)=0,"",IF(OR(AND(C1794&lt;&gt;"Servicio",C1794&lt;&gt;"Cobro",C1794&lt;&gt;"Anticipo",C1794&lt;&gt;"Aplicación anticipo",C1794&lt;&gt;"Retención ISR",C1794&lt;&gt;"Retención IVA"),AND(C1794="Servicio",F1794&lt;&gt;"TMS",F1794&lt;&gt;"Valoración",F1794&lt;&gt;"EEG",F1794&lt;&gt;"Neurofeedback",F1794&lt;&gt;"Fotobiomodulación",F1794&lt;&gt;"Psicoterapia",F1794&lt;&gt;"Otros")),"Tipo o categoría inválido",IF(COUNTA(A1794:J1794)=0,"",IF(OR(A1794="",B1794="",C1794="",G1794=""),"Faltan datos",IF(COUNTIF($A$7:$A$2006,A1794)&gt;1,"ID duplicado",IF(OR(B1794&lt;DATE(Configuración!$C$5,1,1),B1794&gt;=DATE(Configuración!$C$5+1,1,1)),"Fecha fuera del año",IF(OR(G1794&lt;0,H1794&lt;0),"Revisar signo",IF(AND(C1794&lt;&gt;"Servicio",H1794&lt;&gt;0),"IVA solo en Servicio",IF(AND(C1794="Servicio",F1794=""),"Falta servicio","OK")))))))))</f>
        <v/>
      </c>
    </row>
    <row r="1795" spans="1:12" ht="22" customHeight="1">
      <c r="A1795" s="3"/>
      <c r="B1795" s="7"/>
      <c r="C1795" s="3"/>
      <c r="D1795" s="3"/>
      <c r="E1795" s="3"/>
      <c r="F1795" s="3"/>
      <c r="G1795" s="4"/>
      <c r="H1795" s="4"/>
      <c r="I1795" s="3"/>
      <c r="J1795" s="3"/>
      <c r="K1795" s="8" t="str">
        <f t="shared" si="27"/>
        <v/>
      </c>
      <c r="L1795" s="1" t="str">
        <f>IF(COUNTA(A1795:J1795)=0,"",IF(OR(AND(C1795&lt;&gt;"Servicio",C1795&lt;&gt;"Cobro",C1795&lt;&gt;"Anticipo",C1795&lt;&gt;"Aplicación anticipo",C1795&lt;&gt;"Retención ISR",C1795&lt;&gt;"Retención IVA"),AND(C1795="Servicio",F1795&lt;&gt;"TMS",F1795&lt;&gt;"Valoración",F1795&lt;&gt;"EEG",F1795&lt;&gt;"Neurofeedback",F1795&lt;&gt;"Fotobiomodulación",F1795&lt;&gt;"Psicoterapia",F1795&lt;&gt;"Otros")),"Tipo o categoría inválido",IF(COUNTA(A1795:J1795)=0,"",IF(OR(A1795="",B1795="",C1795="",G1795=""),"Faltan datos",IF(COUNTIF($A$7:$A$2006,A1795)&gt;1,"ID duplicado",IF(OR(B1795&lt;DATE(Configuración!$C$5,1,1),B1795&gt;=DATE(Configuración!$C$5+1,1,1)),"Fecha fuera del año",IF(OR(G1795&lt;0,H1795&lt;0),"Revisar signo",IF(AND(C1795&lt;&gt;"Servicio",H1795&lt;&gt;0),"IVA solo en Servicio",IF(AND(C1795="Servicio",F1795=""),"Falta servicio","OK")))))))))</f>
        <v/>
      </c>
    </row>
    <row r="1796" spans="1:12" ht="22" customHeight="1">
      <c r="A1796" s="3"/>
      <c r="B1796" s="7"/>
      <c r="C1796" s="3"/>
      <c r="D1796" s="3"/>
      <c r="E1796" s="3"/>
      <c r="F1796" s="3"/>
      <c r="G1796" s="4"/>
      <c r="H1796" s="4"/>
      <c r="I1796" s="3"/>
      <c r="J1796" s="3"/>
      <c r="K1796" s="8" t="str">
        <f t="shared" si="27"/>
        <v/>
      </c>
      <c r="L1796" s="1" t="str">
        <f>IF(COUNTA(A1796:J1796)=0,"",IF(OR(AND(C1796&lt;&gt;"Servicio",C1796&lt;&gt;"Cobro",C1796&lt;&gt;"Anticipo",C1796&lt;&gt;"Aplicación anticipo",C1796&lt;&gt;"Retención ISR",C1796&lt;&gt;"Retención IVA"),AND(C1796="Servicio",F1796&lt;&gt;"TMS",F1796&lt;&gt;"Valoración",F1796&lt;&gt;"EEG",F1796&lt;&gt;"Neurofeedback",F1796&lt;&gt;"Fotobiomodulación",F1796&lt;&gt;"Psicoterapia",F1796&lt;&gt;"Otros")),"Tipo o categoría inválido",IF(COUNTA(A1796:J1796)=0,"",IF(OR(A1796="",B1796="",C1796="",G1796=""),"Faltan datos",IF(COUNTIF($A$7:$A$2006,A1796)&gt;1,"ID duplicado",IF(OR(B1796&lt;DATE(Configuración!$C$5,1,1),B1796&gt;=DATE(Configuración!$C$5+1,1,1)),"Fecha fuera del año",IF(OR(G1796&lt;0,H1796&lt;0),"Revisar signo",IF(AND(C1796&lt;&gt;"Servicio",H1796&lt;&gt;0),"IVA solo en Servicio",IF(AND(C1796="Servicio",F1796=""),"Falta servicio","OK")))))))))</f>
        <v/>
      </c>
    </row>
    <row r="1797" spans="1:12" ht="22" customHeight="1">
      <c r="A1797" s="3"/>
      <c r="B1797" s="7"/>
      <c r="C1797" s="3"/>
      <c r="D1797" s="3"/>
      <c r="E1797" s="3"/>
      <c r="F1797" s="3"/>
      <c r="G1797" s="4"/>
      <c r="H1797" s="4"/>
      <c r="I1797" s="3"/>
      <c r="J1797" s="3"/>
      <c r="K1797" s="8" t="str">
        <f t="shared" si="27"/>
        <v/>
      </c>
      <c r="L1797" s="1" t="str">
        <f>IF(COUNTA(A1797:J1797)=0,"",IF(OR(AND(C1797&lt;&gt;"Servicio",C1797&lt;&gt;"Cobro",C1797&lt;&gt;"Anticipo",C1797&lt;&gt;"Aplicación anticipo",C1797&lt;&gt;"Retención ISR",C1797&lt;&gt;"Retención IVA"),AND(C1797="Servicio",F1797&lt;&gt;"TMS",F1797&lt;&gt;"Valoración",F1797&lt;&gt;"EEG",F1797&lt;&gt;"Neurofeedback",F1797&lt;&gt;"Fotobiomodulación",F1797&lt;&gt;"Psicoterapia",F1797&lt;&gt;"Otros")),"Tipo o categoría inválido",IF(COUNTA(A1797:J1797)=0,"",IF(OR(A1797="",B1797="",C1797="",G1797=""),"Faltan datos",IF(COUNTIF($A$7:$A$2006,A1797)&gt;1,"ID duplicado",IF(OR(B1797&lt;DATE(Configuración!$C$5,1,1),B1797&gt;=DATE(Configuración!$C$5+1,1,1)),"Fecha fuera del año",IF(OR(G1797&lt;0,H1797&lt;0),"Revisar signo",IF(AND(C1797&lt;&gt;"Servicio",H1797&lt;&gt;0),"IVA solo en Servicio",IF(AND(C1797="Servicio",F1797=""),"Falta servicio","OK")))))))))</f>
        <v/>
      </c>
    </row>
    <row r="1798" spans="1:12" ht="22" customHeight="1">
      <c r="A1798" s="3"/>
      <c r="B1798" s="7"/>
      <c r="C1798" s="3"/>
      <c r="D1798" s="3"/>
      <c r="E1798" s="3"/>
      <c r="F1798" s="3"/>
      <c r="G1798" s="4"/>
      <c r="H1798" s="4"/>
      <c r="I1798" s="3"/>
      <c r="J1798" s="3"/>
      <c r="K1798" s="8" t="str">
        <f t="shared" si="27"/>
        <v/>
      </c>
      <c r="L1798" s="1" t="str">
        <f>IF(COUNTA(A1798:J1798)=0,"",IF(OR(AND(C1798&lt;&gt;"Servicio",C1798&lt;&gt;"Cobro",C1798&lt;&gt;"Anticipo",C1798&lt;&gt;"Aplicación anticipo",C1798&lt;&gt;"Retención ISR",C1798&lt;&gt;"Retención IVA"),AND(C1798="Servicio",F1798&lt;&gt;"TMS",F1798&lt;&gt;"Valoración",F1798&lt;&gt;"EEG",F1798&lt;&gt;"Neurofeedback",F1798&lt;&gt;"Fotobiomodulación",F1798&lt;&gt;"Psicoterapia",F1798&lt;&gt;"Otros")),"Tipo o categoría inválido",IF(COUNTA(A1798:J1798)=0,"",IF(OR(A1798="",B1798="",C1798="",G1798=""),"Faltan datos",IF(COUNTIF($A$7:$A$2006,A1798)&gt;1,"ID duplicado",IF(OR(B1798&lt;DATE(Configuración!$C$5,1,1),B1798&gt;=DATE(Configuración!$C$5+1,1,1)),"Fecha fuera del año",IF(OR(G1798&lt;0,H1798&lt;0),"Revisar signo",IF(AND(C1798&lt;&gt;"Servicio",H1798&lt;&gt;0),"IVA solo en Servicio",IF(AND(C1798="Servicio",F1798=""),"Falta servicio","OK")))))))))</f>
        <v/>
      </c>
    </row>
    <row r="1799" spans="1:12" ht="22" customHeight="1">
      <c r="A1799" s="3"/>
      <c r="B1799" s="7"/>
      <c r="C1799" s="3"/>
      <c r="D1799" s="3"/>
      <c r="E1799" s="3"/>
      <c r="F1799" s="3"/>
      <c r="G1799" s="4"/>
      <c r="H1799" s="4"/>
      <c r="I1799" s="3"/>
      <c r="J1799" s="3"/>
      <c r="K1799" s="8" t="str">
        <f t="shared" ref="K1799:K1862" si="28">IF(A1799="","",G1799+H1799)</f>
        <v/>
      </c>
      <c r="L1799" s="1" t="str">
        <f>IF(COUNTA(A1799:J1799)=0,"",IF(OR(AND(C1799&lt;&gt;"Servicio",C1799&lt;&gt;"Cobro",C1799&lt;&gt;"Anticipo",C1799&lt;&gt;"Aplicación anticipo",C1799&lt;&gt;"Retención ISR",C1799&lt;&gt;"Retención IVA"),AND(C1799="Servicio",F1799&lt;&gt;"TMS",F1799&lt;&gt;"Valoración",F1799&lt;&gt;"EEG",F1799&lt;&gt;"Neurofeedback",F1799&lt;&gt;"Fotobiomodulación",F1799&lt;&gt;"Psicoterapia",F1799&lt;&gt;"Otros")),"Tipo o categoría inválido",IF(COUNTA(A1799:J1799)=0,"",IF(OR(A1799="",B1799="",C1799="",G1799=""),"Faltan datos",IF(COUNTIF($A$7:$A$2006,A1799)&gt;1,"ID duplicado",IF(OR(B1799&lt;DATE(Configuración!$C$5,1,1),B1799&gt;=DATE(Configuración!$C$5+1,1,1)),"Fecha fuera del año",IF(OR(G1799&lt;0,H1799&lt;0),"Revisar signo",IF(AND(C1799&lt;&gt;"Servicio",H1799&lt;&gt;0),"IVA solo en Servicio",IF(AND(C1799="Servicio",F1799=""),"Falta servicio","OK")))))))))</f>
        <v/>
      </c>
    </row>
    <row r="1800" spans="1:12" ht="22" customHeight="1">
      <c r="A1800" s="3"/>
      <c r="B1800" s="7"/>
      <c r="C1800" s="3"/>
      <c r="D1800" s="3"/>
      <c r="E1800" s="3"/>
      <c r="F1800" s="3"/>
      <c r="G1800" s="4"/>
      <c r="H1800" s="4"/>
      <c r="I1800" s="3"/>
      <c r="J1800" s="3"/>
      <c r="K1800" s="8" t="str">
        <f t="shared" si="28"/>
        <v/>
      </c>
      <c r="L1800" s="1" t="str">
        <f>IF(COUNTA(A1800:J1800)=0,"",IF(OR(AND(C1800&lt;&gt;"Servicio",C1800&lt;&gt;"Cobro",C1800&lt;&gt;"Anticipo",C1800&lt;&gt;"Aplicación anticipo",C1800&lt;&gt;"Retención ISR",C1800&lt;&gt;"Retención IVA"),AND(C1800="Servicio",F1800&lt;&gt;"TMS",F1800&lt;&gt;"Valoración",F1800&lt;&gt;"EEG",F1800&lt;&gt;"Neurofeedback",F1800&lt;&gt;"Fotobiomodulación",F1800&lt;&gt;"Psicoterapia",F1800&lt;&gt;"Otros")),"Tipo o categoría inválido",IF(COUNTA(A1800:J1800)=0,"",IF(OR(A1800="",B1800="",C1800="",G1800=""),"Faltan datos",IF(COUNTIF($A$7:$A$2006,A1800)&gt;1,"ID duplicado",IF(OR(B1800&lt;DATE(Configuración!$C$5,1,1),B1800&gt;=DATE(Configuración!$C$5+1,1,1)),"Fecha fuera del año",IF(OR(G1800&lt;0,H1800&lt;0),"Revisar signo",IF(AND(C1800&lt;&gt;"Servicio",H1800&lt;&gt;0),"IVA solo en Servicio",IF(AND(C1800="Servicio",F1800=""),"Falta servicio","OK")))))))))</f>
        <v/>
      </c>
    </row>
    <row r="1801" spans="1:12" ht="22" customHeight="1">
      <c r="A1801" s="3"/>
      <c r="B1801" s="7"/>
      <c r="C1801" s="3"/>
      <c r="D1801" s="3"/>
      <c r="E1801" s="3"/>
      <c r="F1801" s="3"/>
      <c r="G1801" s="4"/>
      <c r="H1801" s="4"/>
      <c r="I1801" s="3"/>
      <c r="J1801" s="3"/>
      <c r="K1801" s="8" t="str">
        <f t="shared" si="28"/>
        <v/>
      </c>
      <c r="L1801" s="1" t="str">
        <f>IF(COUNTA(A1801:J1801)=0,"",IF(OR(AND(C1801&lt;&gt;"Servicio",C1801&lt;&gt;"Cobro",C1801&lt;&gt;"Anticipo",C1801&lt;&gt;"Aplicación anticipo",C1801&lt;&gt;"Retención ISR",C1801&lt;&gt;"Retención IVA"),AND(C1801="Servicio",F1801&lt;&gt;"TMS",F1801&lt;&gt;"Valoración",F1801&lt;&gt;"EEG",F1801&lt;&gt;"Neurofeedback",F1801&lt;&gt;"Fotobiomodulación",F1801&lt;&gt;"Psicoterapia",F1801&lt;&gt;"Otros")),"Tipo o categoría inválido",IF(COUNTA(A1801:J1801)=0,"",IF(OR(A1801="",B1801="",C1801="",G1801=""),"Faltan datos",IF(COUNTIF($A$7:$A$2006,A1801)&gt;1,"ID duplicado",IF(OR(B1801&lt;DATE(Configuración!$C$5,1,1),B1801&gt;=DATE(Configuración!$C$5+1,1,1)),"Fecha fuera del año",IF(OR(G1801&lt;0,H1801&lt;0),"Revisar signo",IF(AND(C1801&lt;&gt;"Servicio",H1801&lt;&gt;0),"IVA solo en Servicio",IF(AND(C1801="Servicio",F1801=""),"Falta servicio","OK")))))))))</f>
        <v/>
      </c>
    </row>
    <row r="1802" spans="1:12" ht="22" customHeight="1">
      <c r="A1802" s="3"/>
      <c r="B1802" s="7"/>
      <c r="C1802" s="3"/>
      <c r="D1802" s="3"/>
      <c r="E1802" s="3"/>
      <c r="F1802" s="3"/>
      <c r="G1802" s="4"/>
      <c r="H1802" s="4"/>
      <c r="I1802" s="3"/>
      <c r="J1802" s="3"/>
      <c r="K1802" s="8" t="str">
        <f t="shared" si="28"/>
        <v/>
      </c>
      <c r="L1802" s="1" t="str">
        <f>IF(COUNTA(A1802:J1802)=0,"",IF(OR(AND(C1802&lt;&gt;"Servicio",C1802&lt;&gt;"Cobro",C1802&lt;&gt;"Anticipo",C1802&lt;&gt;"Aplicación anticipo",C1802&lt;&gt;"Retención ISR",C1802&lt;&gt;"Retención IVA"),AND(C1802="Servicio",F1802&lt;&gt;"TMS",F1802&lt;&gt;"Valoración",F1802&lt;&gt;"EEG",F1802&lt;&gt;"Neurofeedback",F1802&lt;&gt;"Fotobiomodulación",F1802&lt;&gt;"Psicoterapia",F1802&lt;&gt;"Otros")),"Tipo o categoría inválido",IF(COUNTA(A1802:J1802)=0,"",IF(OR(A1802="",B1802="",C1802="",G1802=""),"Faltan datos",IF(COUNTIF($A$7:$A$2006,A1802)&gt;1,"ID duplicado",IF(OR(B1802&lt;DATE(Configuración!$C$5,1,1),B1802&gt;=DATE(Configuración!$C$5+1,1,1)),"Fecha fuera del año",IF(OR(G1802&lt;0,H1802&lt;0),"Revisar signo",IF(AND(C1802&lt;&gt;"Servicio",H1802&lt;&gt;0),"IVA solo en Servicio",IF(AND(C1802="Servicio",F1802=""),"Falta servicio","OK")))))))))</f>
        <v/>
      </c>
    </row>
    <row r="1803" spans="1:12" ht="22" customHeight="1">
      <c r="A1803" s="3"/>
      <c r="B1803" s="7"/>
      <c r="C1803" s="3"/>
      <c r="D1803" s="3"/>
      <c r="E1803" s="3"/>
      <c r="F1803" s="3"/>
      <c r="G1803" s="4"/>
      <c r="H1803" s="4"/>
      <c r="I1803" s="3"/>
      <c r="J1803" s="3"/>
      <c r="K1803" s="8" t="str">
        <f t="shared" si="28"/>
        <v/>
      </c>
      <c r="L1803" s="1" t="str">
        <f>IF(COUNTA(A1803:J1803)=0,"",IF(OR(AND(C1803&lt;&gt;"Servicio",C1803&lt;&gt;"Cobro",C1803&lt;&gt;"Anticipo",C1803&lt;&gt;"Aplicación anticipo",C1803&lt;&gt;"Retención ISR",C1803&lt;&gt;"Retención IVA"),AND(C1803="Servicio",F1803&lt;&gt;"TMS",F1803&lt;&gt;"Valoración",F1803&lt;&gt;"EEG",F1803&lt;&gt;"Neurofeedback",F1803&lt;&gt;"Fotobiomodulación",F1803&lt;&gt;"Psicoterapia",F1803&lt;&gt;"Otros")),"Tipo o categoría inválido",IF(COUNTA(A1803:J1803)=0,"",IF(OR(A1803="",B1803="",C1803="",G1803=""),"Faltan datos",IF(COUNTIF($A$7:$A$2006,A1803)&gt;1,"ID duplicado",IF(OR(B1803&lt;DATE(Configuración!$C$5,1,1),B1803&gt;=DATE(Configuración!$C$5+1,1,1)),"Fecha fuera del año",IF(OR(G1803&lt;0,H1803&lt;0),"Revisar signo",IF(AND(C1803&lt;&gt;"Servicio",H1803&lt;&gt;0),"IVA solo en Servicio",IF(AND(C1803="Servicio",F1803=""),"Falta servicio","OK")))))))))</f>
        <v/>
      </c>
    </row>
    <row r="1804" spans="1:12" ht="22" customHeight="1">
      <c r="A1804" s="3"/>
      <c r="B1804" s="7"/>
      <c r="C1804" s="3"/>
      <c r="D1804" s="3"/>
      <c r="E1804" s="3"/>
      <c r="F1804" s="3"/>
      <c r="G1804" s="4"/>
      <c r="H1804" s="4"/>
      <c r="I1804" s="3"/>
      <c r="J1804" s="3"/>
      <c r="K1804" s="8" t="str">
        <f t="shared" si="28"/>
        <v/>
      </c>
      <c r="L1804" s="1" t="str">
        <f>IF(COUNTA(A1804:J1804)=0,"",IF(OR(AND(C1804&lt;&gt;"Servicio",C1804&lt;&gt;"Cobro",C1804&lt;&gt;"Anticipo",C1804&lt;&gt;"Aplicación anticipo",C1804&lt;&gt;"Retención ISR",C1804&lt;&gt;"Retención IVA"),AND(C1804="Servicio",F1804&lt;&gt;"TMS",F1804&lt;&gt;"Valoración",F1804&lt;&gt;"EEG",F1804&lt;&gt;"Neurofeedback",F1804&lt;&gt;"Fotobiomodulación",F1804&lt;&gt;"Psicoterapia",F1804&lt;&gt;"Otros")),"Tipo o categoría inválido",IF(COUNTA(A1804:J1804)=0,"",IF(OR(A1804="",B1804="",C1804="",G1804=""),"Faltan datos",IF(COUNTIF($A$7:$A$2006,A1804)&gt;1,"ID duplicado",IF(OR(B1804&lt;DATE(Configuración!$C$5,1,1),B1804&gt;=DATE(Configuración!$C$5+1,1,1)),"Fecha fuera del año",IF(OR(G1804&lt;0,H1804&lt;0),"Revisar signo",IF(AND(C1804&lt;&gt;"Servicio",H1804&lt;&gt;0),"IVA solo en Servicio",IF(AND(C1804="Servicio",F1804=""),"Falta servicio","OK")))))))))</f>
        <v/>
      </c>
    </row>
    <row r="1805" spans="1:12" ht="22" customHeight="1">
      <c r="A1805" s="3"/>
      <c r="B1805" s="7"/>
      <c r="C1805" s="3"/>
      <c r="D1805" s="3"/>
      <c r="E1805" s="3"/>
      <c r="F1805" s="3"/>
      <c r="G1805" s="4"/>
      <c r="H1805" s="4"/>
      <c r="I1805" s="3"/>
      <c r="J1805" s="3"/>
      <c r="K1805" s="8" t="str">
        <f t="shared" si="28"/>
        <v/>
      </c>
      <c r="L1805" s="1" t="str">
        <f>IF(COUNTA(A1805:J1805)=0,"",IF(OR(AND(C1805&lt;&gt;"Servicio",C1805&lt;&gt;"Cobro",C1805&lt;&gt;"Anticipo",C1805&lt;&gt;"Aplicación anticipo",C1805&lt;&gt;"Retención ISR",C1805&lt;&gt;"Retención IVA"),AND(C1805="Servicio",F1805&lt;&gt;"TMS",F1805&lt;&gt;"Valoración",F1805&lt;&gt;"EEG",F1805&lt;&gt;"Neurofeedback",F1805&lt;&gt;"Fotobiomodulación",F1805&lt;&gt;"Psicoterapia",F1805&lt;&gt;"Otros")),"Tipo o categoría inválido",IF(COUNTA(A1805:J1805)=0,"",IF(OR(A1805="",B1805="",C1805="",G1805=""),"Faltan datos",IF(COUNTIF($A$7:$A$2006,A1805)&gt;1,"ID duplicado",IF(OR(B1805&lt;DATE(Configuración!$C$5,1,1),B1805&gt;=DATE(Configuración!$C$5+1,1,1)),"Fecha fuera del año",IF(OR(G1805&lt;0,H1805&lt;0),"Revisar signo",IF(AND(C1805&lt;&gt;"Servicio",H1805&lt;&gt;0),"IVA solo en Servicio",IF(AND(C1805="Servicio",F1805=""),"Falta servicio","OK")))))))))</f>
        <v/>
      </c>
    </row>
    <row r="1806" spans="1:12" ht="22" customHeight="1">
      <c r="A1806" s="3"/>
      <c r="B1806" s="7"/>
      <c r="C1806" s="3"/>
      <c r="D1806" s="3"/>
      <c r="E1806" s="3"/>
      <c r="F1806" s="3"/>
      <c r="G1806" s="4"/>
      <c r="H1806" s="4"/>
      <c r="I1806" s="3"/>
      <c r="J1806" s="3"/>
      <c r="K1806" s="8" t="str">
        <f t="shared" si="28"/>
        <v/>
      </c>
      <c r="L1806" s="1" t="str">
        <f>IF(COUNTA(A1806:J1806)=0,"",IF(OR(AND(C1806&lt;&gt;"Servicio",C1806&lt;&gt;"Cobro",C1806&lt;&gt;"Anticipo",C1806&lt;&gt;"Aplicación anticipo",C1806&lt;&gt;"Retención ISR",C1806&lt;&gt;"Retención IVA"),AND(C1806="Servicio",F1806&lt;&gt;"TMS",F1806&lt;&gt;"Valoración",F1806&lt;&gt;"EEG",F1806&lt;&gt;"Neurofeedback",F1806&lt;&gt;"Fotobiomodulación",F1806&lt;&gt;"Psicoterapia",F1806&lt;&gt;"Otros")),"Tipo o categoría inválido",IF(COUNTA(A1806:J1806)=0,"",IF(OR(A1806="",B1806="",C1806="",G1806=""),"Faltan datos",IF(COUNTIF($A$7:$A$2006,A1806)&gt;1,"ID duplicado",IF(OR(B1806&lt;DATE(Configuración!$C$5,1,1),B1806&gt;=DATE(Configuración!$C$5+1,1,1)),"Fecha fuera del año",IF(OR(G1806&lt;0,H1806&lt;0),"Revisar signo",IF(AND(C1806&lt;&gt;"Servicio",H1806&lt;&gt;0),"IVA solo en Servicio",IF(AND(C1806="Servicio",F1806=""),"Falta servicio","OK")))))))))</f>
        <v/>
      </c>
    </row>
    <row r="1807" spans="1:12" ht="22" customHeight="1">
      <c r="A1807" s="3"/>
      <c r="B1807" s="7"/>
      <c r="C1807" s="3"/>
      <c r="D1807" s="3"/>
      <c r="E1807" s="3"/>
      <c r="F1807" s="3"/>
      <c r="G1807" s="4"/>
      <c r="H1807" s="4"/>
      <c r="I1807" s="3"/>
      <c r="J1807" s="3"/>
      <c r="K1807" s="8" t="str">
        <f t="shared" si="28"/>
        <v/>
      </c>
      <c r="L1807" s="1" t="str">
        <f>IF(COUNTA(A1807:J1807)=0,"",IF(OR(AND(C1807&lt;&gt;"Servicio",C1807&lt;&gt;"Cobro",C1807&lt;&gt;"Anticipo",C1807&lt;&gt;"Aplicación anticipo",C1807&lt;&gt;"Retención ISR",C1807&lt;&gt;"Retención IVA"),AND(C1807="Servicio",F1807&lt;&gt;"TMS",F1807&lt;&gt;"Valoración",F1807&lt;&gt;"EEG",F1807&lt;&gt;"Neurofeedback",F1807&lt;&gt;"Fotobiomodulación",F1807&lt;&gt;"Psicoterapia",F1807&lt;&gt;"Otros")),"Tipo o categoría inválido",IF(COUNTA(A1807:J1807)=0,"",IF(OR(A1807="",B1807="",C1807="",G1807=""),"Faltan datos",IF(COUNTIF($A$7:$A$2006,A1807)&gt;1,"ID duplicado",IF(OR(B1807&lt;DATE(Configuración!$C$5,1,1),B1807&gt;=DATE(Configuración!$C$5+1,1,1)),"Fecha fuera del año",IF(OR(G1807&lt;0,H1807&lt;0),"Revisar signo",IF(AND(C1807&lt;&gt;"Servicio",H1807&lt;&gt;0),"IVA solo en Servicio",IF(AND(C1807="Servicio",F1807=""),"Falta servicio","OK")))))))))</f>
        <v/>
      </c>
    </row>
    <row r="1808" spans="1:12" ht="22" customHeight="1">
      <c r="A1808" s="3"/>
      <c r="B1808" s="7"/>
      <c r="C1808" s="3"/>
      <c r="D1808" s="3"/>
      <c r="E1808" s="3"/>
      <c r="F1808" s="3"/>
      <c r="G1808" s="4"/>
      <c r="H1808" s="4"/>
      <c r="I1808" s="3"/>
      <c r="J1808" s="3"/>
      <c r="K1808" s="8" t="str">
        <f t="shared" si="28"/>
        <v/>
      </c>
      <c r="L1808" s="1" t="str">
        <f>IF(COUNTA(A1808:J1808)=0,"",IF(OR(AND(C1808&lt;&gt;"Servicio",C1808&lt;&gt;"Cobro",C1808&lt;&gt;"Anticipo",C1808&lt;&gt;"Aplicación anticipo",C1808&lt;&gt;"Retención ISR",C1808&lt;&gt;"Retención IVA"),AND(C1808="Servicio",F1808&lt;&gt;"TMS",F1808&lt;&gt;"Valoración",F1808&lt;&gt;"EEG",F1808&lt;&gt;"Neurofeedback",F1808&lt;&gt;"Fotobiomodulación",F1808&lt;&gt;"Psicoterapia",F1808&lt;&gt;"Otros")),"Tipo o categoría inválido",IF(COUNTA(A1808:J1808)=0,"",IF(OR(A1808="",B1808="",C1808="",G1808=""),"Faltan datos",IF(COUNTIF($A$7:$A$2006,A1808)&gt;1,"ID duplicado",IF(OR(B1808&lt;DATE(Configuración!$C$5,1,1),B1808&gt;=DATE(Configuración!$C$5+1,1,1)),"Fecha fuera del año",IF(OR(G1808&lt;0,H1808&lt;0),"Revisar signo",IF(AND(C1808&lt;&gt;"Servicio",H1808&lt;&gt;0),"IVA solo en Servicio",IF(AND(C1808="Servicio",F1808=""),"Falta servicio","OK")))))))))</f>
        <v/>
      </c>
    </row>
    <row r="1809" spans="1:12" ht="22" customHeight="1">
      <c r="A1809" s="3"/>
      <c r="B1809" s="7"/>
      <c r="C1809" s="3"/>
      <c r="D1809" s="3"/>
      <c r="E1809" s="3"/>
      <c r="F1809" s="3"/>
      <c r="G1809" s="4"/>
      <c r="H1809" s="4"/>
      <c r="I1809" s="3"/>
      <c r="J1809" s="3"/>
      <c r="K1809" s="8" t="str">
        <f t="shared" si="28"/>
        <v/>
      </c>
      <c r="L1809" s="1" t="str">
        <f>IF(COUNTA(A1809:J1809)=0,"",IF(OR(AND(C1809&lt;&gt;"Servicio",C1809&lt;&gt;"Cobro",C1809&lt;&gt;"Anticipo",C1809&lt;&gt;"Aplicación anticipo",C1809&lt;&gt;"Retención ISR",C1809&lt;&gt;"Retención IVA"),AND(C1809="Servicio",F1809&lt;&gt;"TMS",F1809&lt;&gt;"Valoración",F1809&lt;&gt;"EEG",F1809&lt;&gt;"Neurofeedback",F1809&lt;&gt;"Fotobiomodulación",F1809&lt;&gt;"Psicoterapia",F1809&lt;&gt;"Otros")),"Tipo o categoría inválido",IF(COUNTA(A1809:J1809)=0,"",IF(OR(A1809="",B1809="",C1809="",G1809=""),"Faltan datos",IF(COUNTIF($A$7:$A$2006,A1809)&gt;1,"ID duplicado",IF(OR(B1809&lt;DATE(Configuración!$C$5,1,1),B1809&gt;=DATE(Configuración!$C$5+1,1,1)),"Fecha fuera del año",IF(OR(G1809&lt;0,H1809&lt;0),"Revisar signo",IF(AND(C1809&lt;&gt;"Servicio",H1809&lt;&gt;0),"IVA solo en Servicio",IF(AND(C1809="Servicio",F1809=""),"Falta servicio","OK")))))))))</f>
        <v/>
      </c>
    </row>
    <row r="1810" spans="1:12" ht="22" customHeight="1">
      <c r="A1810" s="3"/>
      <c r="B1810" s="7"/>
      <c r="C1810" s="3"/>
      <c r="D1810" s="3"/>
      <c r="E1810" s="3"/>
      <c r="F1810" s="3"/>
      <c r="G1810" s="4"/>
      <c r="H1810" s="4"/>
      <c r="I1810" s="3"/>
      <c r="J1810" s="3"/>
      <c r="K1810" s="8" t="str">
        <f t="shared" si="28"/>
        <v/>
      </c>
      <c r="L1810" s="1" t="str">
        <f>IF(COUNTA(A1810:J1810)=0,"",IF(OR(AND(C1810&lt;&gt;"Servicio",C1810&lt;&gt;"Cobro",C1810&lt;&gt;"Anticipo",C1810&lt;&gt;"Aplicación anticipo",C1810&lt;&gt;"Retención ISR",C1810&lt;&gt;"Retención IVA"),AND(C1810="Servicio",F1810&lt;&gt;"TMS",F1810&lt;&gt;"Valoración",F1810&lt;&gt;"EEG",F1810&lt;&gt;"Neurofeedback",F1810&lt;&gt;"Fotobiomodulación",F1810&lt;&gt;"Psicoterapia",F1810&lt;&gt;"Otros")),"Tipo o categoría inválido",IF(COUNTA(A1810:J1810)=0,"",IF(OR(A1810="",B1810="",C1810="",G1810=""),"Faltan datos",IF(COUNTIF($A$7:$A$2006,A1810)&gt;1,"ID duplicado",IF(OR(B1810&lt;DATE(Configuración!$C$5,1,1),B1810&gt;=DATE(Configuración!$C$5+1,1,1)),"Fecha fuera del año",IF(OR(G1810&lt;0,H1810&lt;0),"Revisar signo",IF(AND(C1810&lt;&gt;"Servicio",H1810&lt;&gt;0),"IVA solo en Servicio",IF(AND(C1810="Servicio",F1810=""),"Falta servicio","OK")))))))))</f>
        <v/>
      </c>
    </row>
    <row r="1811" spans="1:12" ht="22" customHeight="1">
      <c r="A1811" s="3"/>
      <c r="B1811" s="7"/>
      <c r="C1811" s="3"/>
      <c r="D1811" s="3"/>
      <c r="E1811" s="3"/>
      <c r="F1811" s="3"/>
      <c r="G1811" s="4"/>
      <c r="H1811" s="4"/>
      <c r="I1811" s="3"/>
      <c r="J1811" s="3"/>
      <c r="K1811" s="8" t="str">
        <f t="shared" si="28"/>
        <v/>
      </c>
      <c r="L1811" s="1" t="str">
        <f>IF(COUNTA(A1811:J1811)=0,"",IF(OR(AND(C1811&lt;&gt;"Servicio",C1811&lt;&gt;"Cobro",C1811&lt;&gt;"Anticipo",C1811&lt;&gt;"Aplicación anticipo",C1811&lt;&gt;"Retención ISR",C1811&lt;&gt;"Retención IVA"),AND(C1811="Servicio",F1811&lt;&gt;"TMS",F1811&lt;&gt;"Valoración",F1811&lt;&gt;"EEG",F1811&lt;&gt;"Neurofeedback",F1811&lt;&gt;"Fotobiomodulación",F1811&lt;&gt;"Psicoterapia",F1811&lt;&gt;"Otros")),"Tipo o categoría inválido",IF(COUNTA(A1811:J1811)=0,"",IF(OR(A1811="",B1811="",C1811="",G1811=""),"Faltan datos",IF(COUNTIF($A$7:$A$2006,A1811)&gt;1,"ID duplicado",IF(OR(B1811&lt;DATE(Configuración!$C$5,1,1),B1811&gt;=DATE(Configuración!$C$5+1,1,1)),"Fecha fuera del año",IF(OR(G1811&lt;0,H1811&lt;0),"Revisar signo",IF(AND(C1811&lt;&gt;"Servicio",H1811&lt;&gt;0),"IVA solo en Servicio",IF(AND(C1811="Servicio",F1811=""),"Falta servicio","OK")))))))))</f>
        <v/>
      </c>
    </row>
    <row r="1812" spans="1:12" ht="22" customHeight="1">
      <c r="A1812" s="3"/>
      <c r="B1812" s="7"/>
      <c r="C1812" s="3"/>
      <c r="D1812" s="3"/>
      <c r="E1812" s="3"/>
      <c r="F1812" s="3"/>
      <c r="G1812" s="4"/>
      <c r="H1812" s="4"/>
      <c r="I1812" s="3"/>
      <c r="J1812" s="3"/>
      <c r="K1812" s="8" t="str">
        <f t="shared" si="28"/>
        <v/>
      </c>
      <c r="L1812" s="1" t="str">
        <f>IF(COUNTA(A1812:J1812)=0,"",IF(OR(AND(C1812&lt;&gt;"Servicio",C1812&lt;&gt;"Cobro",C1812&lt;&gt;"Anticipo",C1812&lt;&gt;"Aplicación anticipo",C1812&lt;&gt;"Retención ISR",C1812&lt;&gt;"Retención IVA"),AND(C1812="Servicio",F1812&lt;&gt;"TMS",F1812&lt;&gt;"Valoración",F1812&lt;&gt;"EEG",F1812&lt;&gt;"Neurofeedback",F1812&lt;&gt;"Fotobiomodulación",F1812&lt;&gt;"Psicoterapia",F1812&lt;&gt;"Otros")),"Tipo o categoría inválido",IF(COUNTA(A1812:J1812)=0,"",IF(OR(A1812="",B1812="",C1812="",G1812=""),"Faltan datos",IF(COUNTIF($A$7:$A$2006,A1812)&gt;1,"ID duplicado",IF(OR(B1812&lt;DATE(Configuración!$C$5,1,1),B1812&gt;=DATE(Configuración!$C$5+1,1,1)),"Fecha fuera del año",IF(OR(G1812&lt;0,H1812&lt;0),"Revisar signo",IF(AND(C1812&lt;&gt;"Servicio",H1812&lt;&gt;0),"IVA solo en Servicio",IF(AND(C1812="Servicio",F1812=""),"Falta servicio","OK")))))))))</f>
        <v/>
      </c>
    </row>
    <row r="1813" spans="1:12" ht="22" customHeight="1">
      <c r="A1813" s="3"/>
      <c r="B1813" s="7"/>
      <c r="C1813" s="3"/>
      <c r="D1813" s="3"/>
      <c r="E1813" s="3"/>
      <c r="F1813" s="3"/>
      <c r="G1813" s="4"/>
      <c r="H1813" s="4"/>
      <c r="I1813" s="3"/>
      <c r="J1813" s="3"/>
      <c r="K1813" s="8" t="str">
        <f t="shared" si="28"/>
        <v/>
      </c>
      <c r="L1813" s="1" t="str">
        <f>IF(COUNTA(A1813:J1813)=0,"",IF(OR(AND(C1813&lt;&gt;"Servicio",C1813&lt;&gt;"Cobro",C1813&lt;&gt;"Anticipo",C1813&lt;&gt;"Aplicación anticipo",C1813&lt;&gt;"Retención ISR",C1813&lt;&gt;"Retención IVA"),AND(C1813="Servicio",F1813&lt;&gt;"TMS",F1813&lt;&gt;"Valoración",F1813&lt;&gt;"EEG",F1813&lt;&gt;"Neurofeedback",F1813&lt;&gt;"Fotobiomodulación",F1813&lt;&gt;"Psicoterapia",F1813&lt;&gt;"Otros")),"Tipo o categoría inválido",IF(COUNTA(A1813:J1813)=0,"",IF(OR(A1813="",B1813="",C1813="",G1813=""),"Faltan datos",IF(COUNTIF($A$7:$A$2006,A1813)&gt;1,"ID duplicado",IF(OR(B1813&lt;DATE(Configuración!$C$5,1,1),B1813&gt;=DATE(Configuración!$C$5+1,1,1)),"Fecha fuera del año",IF(OR(G1813&lt;0,H1813&lt;0),"Revisar signo",IF(AND(C1813&lt;&gt;"Servicio",H1813&lt;&gt;0),"IVA solo en Servicio",IF(AND(C1813="Servicio",F1813=""),"Falta servicio","OK")))))))))</f>
        <v/>
      </c>
    </row>
    <row r="1814" spans="1:12" ht="22" customHeight="1">
      <c r="A1814" s="3"/>
      <c r="B1814" s="7"/>
      <c r="C1814" s="3"/>
      <c r="D1814" s="3"/>
      <c r="E1814" s="3"/>
      <c r="F1814" s="3"/>
      <c r="G1814" s="4"/>
      <c r="H1814" s="4"/>
      <c r="I1814" s="3"/>
      <c r="J1814" s="3"/>
      <c r="K1814" s="8" t="str">
        <f t="shared" si="28"/>
        <v/>
      </c>
      <c r="L1814" s="1" t="str">
        <f>IF(COUNTA(A1814:J1814)=0,"",IF(OR(AND(C1814&lt;&gt;"Servicio",C1814&lt;&gt;"Cobro",C1814&lt;&gt;"Anticipo",C1814&lt;&gt;"Aplicación anticipo",C1814&lt;&gt;"Retención ISR",C1814&lt;&gt;"Retención IVA"),AND(C1814="Servicio",F1814&lt;&gt;"TMS",F1814&lt;&gt;"Valoración",F1814&lt;&gt;"EEG",F1814&lt;&gt;"Neurofeedback",F1814&lt;&gt;"Fotobiomodulación",F1814&lt;&gt;"Psicoterapia",F1814&lt;&gt;"Otros")),"Tipo o categoría inválido",IF(COUNTA(A1814:J1814)=0,"",IF(OR(A1814="",B1814="",C1814="",G1814=""),"Faltan datos",IF(COUNTIF($A$7:$A$2006,A1814)&gt;1,"ID duplicado",IF(OR(B1814&lt;DATE(Configuración!$C$5,1,1),B1814&gt;=DATE(Configuración!$C$5+1,1,1)),"Fecha fuera del año",IF(OR(G1814&lt;0,H1814&lt;0),"Revisar signo",IF(AND(C1814&lt;&gt;"Servicio",H1814&lt;&gt;0),"IVA solo en Servicio",IF(AND(C1814="Servicio",F1814=""),"Falta servicio","OK")))))))))</f>
        <v/>
      </c>
    </row>
    <row r="1815" spans="1:12" ht="22" customHeight="1">
      <c r="A1815" s="3"/>
      <c r="B1815" s="7"/>
      <c r="C1815" s="3"/>
      <c r="D1815" s="3"/>
      <c r="E1815" s="3"/>
      <c r="F1815" s="3"/>
      <c r="G1815" s="4"/>
      <c r="H1815" s="4"/>
      <c r="I1815" s="3"/>
      <c r="J1815" s="3"/>
      <c r="K1815" s="8" t="str">
        <f t="shared" si="28"/>
        <v/>
      </c>
      <c r="L1815" s="1" t="str">
        <f>IF(COUNTA(A1815:J1815)=0,"",IF(OR(AND(C1815&lt;&gt;"Servicio",C1815&lt;&gt;"Cobro",C1815&lt;&gt;"Anticipo",C1815&lt;&gt;"Aplicación anticipo",C1815&lt;&gt;"Retención ISR",C1815&lt;&gt;"Retención IVA"),AND(C1815="Servicio",F1815&lt;&gt;"TMS",F1815&lt;&gt;"Valoración",F1815&lt;&gt;"EEG",F1815&lt;&gt;"Neurofeedback",F1815&lt;&gt;"Fotobiomodulación",F1815&lt;&gt;"Psicoterapia",F1815&lt;&gt;"Otros")),"Tipo o categoría inválido",IF(COUNTA(A1815:J1815)=0,"",IF(OR(A1815="",B1815="",C1815="",G1815=""),"Faltan datos",IF(COUNTIF($A$7:$A$2006,A1815)&gt;1,"ID duplicado",IF(OR(B1815&lt;DATE(Configuración!$C$5,1,1),B1815&gt;=DATE(Configuración!$C$5+1,1,1)),"Fecha fuera del año",IF(OR(G1815&lt;0,H1815&lt;0),"Revisar signo",IF(AND(C1815&lt;&gt;"Servicio",H1815&lt;&gt;0),"IVA solo en Servicio",IF(AND(C1815="Servicio",F1815=""),"Falta servicio","OK")))))))))</f>
        <v/>
      </c>
    </row>
    <row r="1816" spans="1:12" ht="22" customHeight="1">
      <c r="A1816" s="3"/>
      <c r="B1816" s="7"/>
      <c r="C1816" s="3"/>
      <c r="D1816" s="3"/>
      <c r="E1816" s="3"/>
      <c r="F1816" s="3"/>
      <c r="G1816" s="4"/>
      <c r="H1816" s="4"/>
      <c r="I1816" s="3"/>
      <c r="J1816" s="3"/>
      <c r="K1816" s="8" t="str">
        <f t="shared" si="28"/>
        <v/>
      </c>
      <c r="L1816" s="1" t="str">
        <f>IF(COUNTA(A1816:J1816)=0,"",IF(OR(AND(C1816&lt;&gt;"Servicio",C1816&lt;&gt;"Cobro",C1816&lt;&gt;"Anticipo",C1816&lt;&gt;"Aplicación anticipo",C1816&lt;&gt;"Retención ISR",C1816&lt;&gt;"Retención IVA"),AND(C1816="Servicio",F1816&lt;&gt;"TMS",F1816&lt;&gt;"Valoración",F1816&lt;&gt;"EEG",F1816&lt;&gt;"Neurofeedback",F1816&lt;&gt;"Fotobiomodulación",F1816&lt;&gt;"Psicoterapia",F1816&lt;&gt;"Otros")),"Tipo o categoría inválido",IF(COUNTA(A1816:J1816)=0,"",IF(OR(A1816="",B1816="",C1816="",G1816=""),"Faltan datos",IF(COUNTIF($A$7:$A$2006,A1816)&gt;1,"ID duplicado",IF(OR(B1816&lt;DATE(Configuración!$C$5,1,1),B1816&gt;=DATE(Configuración!$C$5+1,1,1)),"Fecha fuera del año",IF(OR(G1816&lt;0,H1816&lt;0),"Revisar signo",IF(AND(C1816&lt;&gt;"Servicio",H1816&lt;&gt;0),"IVA solo en Servicio",IF(AND(C1816="Servicio",F1816=""),"Falta servicio","OK")))))))))</f>
        <v/>
      </c>
    </row>
    <row r="1817" spans="1:12" ht="22" customHeight="1">
      <c r="A1817" s="3"/>
      <c r="B1817" s="7"/>
      <c r="C1817" s="3"/>
      <c r="D1817" s="3"/>
      <c r="E1817" s="3"/>
      <c r="F1817" s="3"/>
      <c r="G1817" s="4"/>
      <c r="H1817" s="4"/>
      <c r="I1817" s="3"/>
      <c r="J1817" s="3"/>
      <c r="K1817" s="8" t="str">
        <f t="shared" si="28"/>
        <v/>
      </c>
      <c r="L1817" s="1" t="str">
        <f>IF(COUNTA(A1817:J1817)=0,"",IF(OR(AND(C1817&lt;&gt;"Servicio",C1817&lt;&gt;"Cobro",C1817&lt;&gt;"Anticipo",C1817&lt;&gt;"Aplicación anticipo",C1817&lt;&gt;"Retención ISR",C1817&lt;&gt;"Retención IVA"),AND(C1817="Servicio",F1817&lt;&gt;"TMS",F1817&lt;&gt;"Valoración",F1817&lt;&gt;"EEG",F1817&lt;&gt;"Neurofeedback",F1817&lt;&gt;"Fotobiomodulación",F1817&lt;&gt;"Psicoterapia",F1817&lt;&gt;"Otros")),"Tipo o categoría inválido",IF(COUNTA(A1817:J1817)=0,"",IF(OR(A1817="",B1817="",C1817="",G1817=""),"Faltan datos",IF(COUNTIF($A$7:$A$2006,A1817)&gt;1,"ID duplicado",IF(OR(B1817&lt;DATE(Configuración!$C$5,1,1),B1817&gt;=DATE(Configuración!$C$5+1,1,1)),"Fecha fuera del año",IF(OR(G1817&lt;0,H1817&lt;0),"Revisar signo",IF(AND(C1817&lt;&gt;"Servicio",H1817&lt;&gt;0),"IVA solo en Servicio",IF(AND(C1817="Servicio",F1817=""),"Falta servicio","OK")))))))))</f>
        <v/>
      </c>
    </row>
    <row r="1818" spans="1:12" ht="22" customHeight="1">
      <c r="A1818" s="3"/>
      <c r="B1818" s="7"/>
      <c r="C1818" s="3"/>
      <c r="D1818" s="3"/>
      <c r="E1818" s="3"/>
      <c r="F1818" s="3"/>
      <c r="G1818" s="4"/>
      <c r="H1818" s="4"/>
      <c r="I1818" s="3"/>
      <c r="J1818" s="3"/>
      <c r="K1818" s="8" t="str">
        <f t="shared" si="28"/>
        <v/>
      </c>
      <c r="L1818" s="1" t="str">
        <f>IF(COUNTA(A1818:J1818)=0,"",IF(OR(AND(C1818&lt;&gt;"Servicio",C1818&lt;&gt;"Cobro",C1818&lt;&gt;"Anticipo",C1818&lt;&gt;"Aplicación anticipo",C1818&lt;&gt;"Retención ISR",C1818&lt;&gt;"Retención IVA"),AND(C1818="Servicio",F1818&lt;&gt;"TMS",F1818&lt;&gt;"Valoración",F1818&lt;&gt;"EEG",F1818&lt;&gt;"Neurofeedback",F1818&lt;&gt;"Fotobiomodulación",F1818&lt;&gt;"Psicoterapia",F1818&lt;&gt;"Otros")),"Tipo o categoría inválido",IF(COUNTA(A1818:J1818)=0,"",IF(OR(A1818="",B1818="",C1818="",G1818=""),"Faltan datos",IF(COUNTIF($A$7:$A$2006,A1818)&gt;1,"ID duplicado",IF(OR(B1818&lt;DATE(Configuración!$C$5,1,1),B1818&gt;=DATE(Configuración!$C$5+1,1,1)),"Fecha fuera del año",IF(OR(G1818&lt;0,H1818&lt;0),"Revisar signo",IF(AND(C1818&lt;&gt;"Servicio",H1818&lt;&gt;0),"IVA solo en Servicio",IF(AND(C1818="Servicio",F1818=""),"Falta servicio","OK")))))))))</f>
        <v/>
      </c>
    </row>
    <row r="1819" spans="1:12" ht="22" customHeight="1">
      <c r="A1819" s="3"/>
      <c r="B1819" s="7"/>
      <c r="C1819" s="3"/>
      <c r="D1819" s="3"/>
      <c r="E1819" s="3"/>
      <c r="F1819" s="3"/>
      <c r="G1819" s="4"/>
      <c r="H1819" s="4"/>
      <c r="I1819" s="3"/>
      <c r="J1819" s="3"/>
      <c r="K1819" s="8" t="str">
        <f t="shared" si="28"/>
        <v/>
      </c>
      <c r="L1819" s="1" t="str">
        <f>IF(COUNTA(A1819:J1819)=0,"",IF(OR(AND(C1819&lt;&gt;"Servicio",C1819&lt;&gt;"Cobro",C1819&lt;&gt;"Anticipo",C1819&lt;&gt;"Aplicación anticipo",C1819&lt;&gt;"Retención ISR",C1819&lt;&gt;"Retención IVA"),AND(C1819="Servicio",F1819&lt;&gt;"TMS",F1819&lt;&gt;"Valoración",F1819&lt;&gt;"EEG",F1819&lt;&gt;"Neurofeedback",F1819&lt;&gt;"Fotobiomodulación",F1819&lt;&gt;"Psicoterapia",F1819&lt;&gt;"Otros")),"Tipo o categoría inválido",IF(COUNTA(A1819:J1819)=0,"",IF(OR(A1819="",B1819="",C1819="",G1819=""),"Faltan datos",IF(COUNTIF($A$7:$A$2006,A1819)&gt;1,"ID duplicado",IF(OR(B1819&lt;DATE(Configuración!$C$5,1,1),B1819&gt;=DATE(Configuración!$C$5+1,1,1)),"Fecha fuera del año",IF(OR(G1819&lt;0,H1819&lt;0),"Revisar signo",IF(AND(C1819&lt;&gt;"Servicio",H1819&lt;&gt;0),"IVA solo en Servicio",IF(AND(C1819="Servicio",F1819=""),"Falta servicio","OK")))))))))</f>
        <v/>
      </c>
    </row>
    <row r="1820" spans="1:12" ht="22" customHeight="1">
      <c r="A1820" s="3"/>
      <c r="B1820" s="7"/>
      <c r="C1820" s="3"/>
      <c r="D1820" s="3"/>
      <c r="E1820" s="3"/>
      <c r="F1820" s="3"/>
      <c r="G1820" s="4"/>
      <c r="H1820" s="4"/>
      <c r="I1820" s="3"/>
      <c r="J1820" s="3"/>
      <c r="K1820" s="8" t="str">
        <f t="shared" si="28"/>
        <v/>
      </c>
      <c r="L1820" s="1" t="str">
        <f>IF(COUNTA(A1820:J1820)=0,"",IF(OR(AND(C1820&lt;&gt;"Servicio",C1820&lt;&gt;"Cobro",C1820&lt;&gt;"Anticipo",C1820&lt;&gt;"Aplicación anticipo",C1820&lt;&gt;"Retención ISR",C1820&lt;&gt;"Retención IVA"),AND(C1820="Servicio",F1820&lt;&gt;"TMS",F1820&lt;&gt;"Valoración",F1820&lt;&gt;"EEG",F1820&lt;&gt;"Neurofeedback",F1820&lt;&gt;"Fotobiomodulación",F1820&lt;&gt;"Psicoterapia",F1820&lt;&gt;"Otros")),"Tipo o categoría inválido",IF(COUNTA(A1820:J1820)=0,"",IF(OR(A1820="",B1820="",C1820="",G1820=""),"Faltan datos",IF(COUNTIF($A$7:$A$2006,A1820)&gt;1,"ID duplicado",IF(OR(B1820&lt;DATE(Configuración!$C$5,1,1),B1820&gt;=DATE(Configuración!$C$5+1,1,1)),"Fecha fuera del año",IF(OR(G1820&lt;0,H1820&lt;0),"Revisar signo",IF(AND(C1820&lt;&gt;"Servicio",H1820&lt;&gt;0),"IVA solo en Servicio",IF(AND(C1820="Servicio",F1820=""),"Falta servicio","OK")))))))))</f>
        <v/>
      </c>
    </row>
    <row r="1821" spans="1:12" ht="22" customHeight="1">
      <c r="A1821" s="3"/>
      <c r="B1821" s="7"/>
      <c r="C1821" s="3"/>
      <c r="D1821" s="3"/>
      <c r="E1821" s="3"/>
      <c r="F1821" s="3"/>
      <c r="G1821" s="4"/>
      <c r="H1821" s="4"/>
      <c r="I1821" s="3"/>
      <c r="J1821" s="3"/>
      <c r="K1821" s="8" t="str">
        <f t="shared" si="28"/>
        <v/>
      </c>
      <c r="L1821" s="1" t="str">
        <f>IF(COUNTA(A1821:J1821)=0,"",IF(OR(AND(C1821&lt;&gt;"Servicio",C1821&lt;&gt;"Cobro",C1821&lt;&gt;"Anticipo",C1821&lt;&gt;"Aplicación anticipo",C1821&lt;&gt;"Retención ISR",C1821&lt;&gt;"Retención IVA"),AND(C1821="Servicio",F1821&lt;&gt;"TMS",F1821&lt;&gt;"Valoración",F1821&lt;&gt;"EEG",F1821&lt;&gt;"Neurofeedback",F1821&lt;&gt;"Fotobiomodulación",F1821&lt;&gt;"Psicoterapia",F1821&lt;&gt;"Otros")),"Tipo o categoría inválido",IF(COUNTA(A1821:J1821)=0,"",IF(OR(A1821="",B1821="",C1821="",G1821=""),"Faltan datos",IF(COUNTIF($A$7:$A$2006,A1821)&gt;1,"ID duplicado",IF(OR(B1821&lt;DATE(Configuración!$C$5,1,1),B1821&gt;=DATE(Configuración!$C$5+1,1,1)),"Fecha fuera del año",IF(OR(G1821&lt;0,H1821&lt;0),"Revisar signo",IF(AND(C1821&lt;&gt;"Servicio",H1821&lt;&gt;0),"IVA solo en Servicio",IF(AND(C1821="Servicio",F1821=""),"Falta servicio","OK")))))))))</f>
        <v/>
      </c>
    </row>
    <row r="1822" spans="1:12" ht="22" customHeight="1">
      <c r="A1822" s="3"/>
      <c r="B1822" s="7"/>
      <c r="C1822" s="3"/>
      <c r="D1822" s="3"/>
      <c r="E1822" s="3"/>
      <c r="F1822" s="3"/>
      <c r="G1822" s="4"/>
      <c r="H1822" s="4"/>
      <c r="I1822" s="3"/>
      <c r="J1822" s="3"/>
      <c r="K1822" s="8" t="str">
        <f t="shared" si="28"/>
        <v/>
      </c>
      <c r="L1822" s="1" t="str">
        <f>IF(COUNTA(A1822:J1822)=0,"",IF(OR(AND(C1822&lt;&gt;"Servicio",C1822&lt;&gt;"Cobro",C1822&lt;&gt;"Anticipo",C1822&lt;&gt;"Aplicación anticipo",C1822&lt;&gt;"Retención ISR",C1822&lt;&gt;"Retención IVA"),AND(C1822="Servicio",F1822&lt;&gt;"TMS",F1822&lt;&gt;"Valoración",F1822&lt;&gt;"EEG",F1822&lt;&gt;"Neurofeedback",F1822&lt;&gt;"Fotobiomodulación",F1822&lt;&gt;"Psicoterapia",F1822&lt;&gt;"Otros")),"Tipo o categoría inválido",IF(COUNTA(A1822:J1822)=0,"",IF(OR(A1822="",B1822="",C1822="",G1822=""),"Faltan datos",IF(COUNTIF($A$7:$A$2006,A1822)&gt;1,"ID duplicado",IF(OR(B1822&lt;DATE(Configuración!$C$5,1,1),B1822&gt;=DATE(Configuración!$C$5+1,1,1)),"Fecha fuera del año",IF(OR(G1822&lt;0,H1822&lt;0),"Revisar signo",IF(AND(C1822&lt;&gt;"Servicio",H1822&lt;&gt;0),"IVA solo en Servicio",IF(AND(C1822="Servicio",F1822=""),"Falta servicio","OK")))))))))</f>
        <v/>
      </c>
    </row>
    <row r="1823" spans="1:12" ht="22" customHeight="1">
      <c r="A1823" s="3"/>
      <c r="B1823" s="7"/>
      <c r="C1823" s="3"/>
      <c r="D1823" s="3"/>
      <c r="E1823" s="3"/>
      <c r="F1823" s="3"/>
      <c r="G1823" s="4"/>
      <c r="H1823" s="4"/>
      <c r="I1823" s="3"/>
      <c r="J1823" s="3"/>
      <c r="K1823" s="8" t="str">
        <f t="shared" si="28"/>
        <v/>
      </c>
      <c r="L1823" s="1" t="str">
        <f>IF(COUNTA(A1823:J1823)=0,"",IF(OR(AND(C1823&lt;&gt;"Servicio",C1823&lt;&gt;"Cobro",C1823&lt;&gt;"Anticipo",C1823&lt;&gt;"Aplicación anticipo",C1823&lt;&gt;"Retención ISR",C1823&lt;&gt;"Retención IVA"),AND(C1823="Servicio",F1823&lt;&gt;"TMS",F1823&lt;&gt;"Valoración",F1823&lt;&gt;"EEG",F1823&lt;&gt;"Neurofeedback",F1823&lt;&gt;"Fotobiomodulación",F1823&lt;&gt;"Psicoterapia",F1823&lt;&gt;"Otros")),"Tipo o categoría inválido",IF(COUNTA(A1823:J1823)=0,"",IF(OR(A1823="",B1823="",C1823="",G1823=""),"Faltan datos",IF(COUNTIF($A$7:$A$2006,A1823)&gt;1,"ID duplicado",IF(OR(B1823&lt;DATE(Configuración!$C$5,1,1),B1823&gt;=DATE(Configuración!$C$5+1,1,1)),"Fecha fuera del año",IF(OR(G1823&lt;0,H1823&lt;0),"Revisar signo",IF(AND(C1823&lt;&gt;"Servicio",H1823&lt;&gt;0),"IVA solo en Servicio",IF(AND(C1823="Servicio",F1823=""),"Falta servicio","OK")))))))))</f>
        <v/>
      </c>
    </row>
    <row r="1824" spans="1:12" ht="22" customHeight="1">
      <c r="A1824" s="3"/>
      <c r="B1824" s="7"/>
      <c r="C1824" s="3"/>
      <c r="D1824" s="3"/>
      <c r="E1824" s="3"/>
      <c r="F1824" s="3"/>
      <c r="G1824" s="4"/>
      <c r="H1824" s="4"/>
      <c r="I1824" s="3"/>
      <c r="J1824" s="3"/>
      <c r="K1824" s="8" t="str">
        <f t="shared" si="28"/>
        <v/>
      </c>
      <c r="L1824" s="1" t="str">
        <f>IF(COUNTA(A1824:J1824)=0,"",IF(OR(AND(C1824&lt;&gt;"Servicio",C1824&lt;&gt;"Cobro",C1824&lt;&gt;"Anticipo",C1824&lt;&gt;"Aplicación anticipo",C1824&lt;&gt;"Retención ISR",C1824&lt;&gt;"Retención IVA"),AND(C1824="Servicio",F1824&lt;&gt;"TMS",F1824&lt;&gt;"Valoración",F1824&lt;&gt;"EEG",F1824&lt;&gt;"Neurofeedback",F1824&lt;&gt;"Fotobiomodulación",F1824&lt;&gt;"Psicoterapia",F1824&lt;&gt;"Otros")),"Tipo o categoría inválido",IF(COUNTA(A1824:J1824)=0,"",IF(OR(A1824="",B1824="",C1824="",G1824=""),"Faltan datos",IF(COUNTIF($A$7:$A$2006,A1824)&gt;1,"ID duplicado",IF(OR(B1824&lt;DATE(Configuración!$C$5,1,1),B1824&gt;=DATE(Configuración!$C$5+1,1,1)),"Fecha fuera del año",IF(OR(G1824&lt;0,H1824&lt;0),"Revisar signo",IF(AND(C1824&lt;&gt;"Servicio",H1824&lt;&gt;0),"IVA solo en Servicio",IF(AND(C1824="Servicio",F1824=""),"Falta servicio","OK")))))))))</f>
        <v/>
      </c>
    </row>
    <row r="1825" spans="1:12" ht="22" customHeight="1">
      <c r="A1825" s="3"/>
      <c r="B1825" s="7"/>
      <c r="C1825" s="3"/>
      <c r="D1825" s="3"/>
      <c r="E1825" s="3"/>
      <c r="F1825" s="3"/>
      <c r="G1825" s="4"/>
      <c r="H1825" s="4"/>
      <c r="I1825" s="3"/>
      <c r="J1825" s="3"/>
      <c r="K1825" s="8" t="str">
        <f t="shared" si="28"/>
        <v/>
      </c>
      <c r="L1825" s="1" t="str">
        <f>IF(COUNTA(A1825:J1825)=0,"",IF(OR(AND(C1825&lt;&gt;"Servicio",C1825&lt;&gt;"Cobro",C1825&lt;&gt;"Anticipo",C1825&lt;&gt;"Aplicación anticipo",C1825&lt;&gt;"Retención ISR",C1825&lt;&gt;"Retención IVA"),AND(C1825="Servicio",F1825&lt;&gt;"TMS",F1825&lt;&gt;"Valoración",F1825&lt;&gt;"EEG",F1825&lt;&gt;"Neurofeedback",F1825&lt;&gt;"Fotobiomodulación",F1825&lt;&gt;"Psicoterapia",F1825&lt;&gt;"Otros")),"Tipo o categoría inválido",IF(COUNTA(A1825:J1825)=0,"",IF(OR(A1825="",B1825="",C1825="",G1825=""),"Faltan datos",IF(COUNTIF($A$7:$A$2006,A1825)&gt;1,"ID duplicado",IF(OR(B1825&lt;DATE(Configuración!$C$5,1,1),B1825&gt;=DATE(Configuración!$C$5+1,1,1)),"Fecha fuera del año",IF(OR(G1825&lt;0,H1825&lt;0),"Revisar signo",IF(AND(C1825&lt;&gt;"Servicio",H1825&lt;&gt;0),"IVA solo en Servicio",IF(AND(C1825="Servicio",F1825=""),"Falta servicio","OK")))))))))</f>
        <v/>
      </c>
    </row>
    <row r="1826" spans="1:12" ht="22" customHeight="1">
      <c r="A1826" s="3"/>
      <c r="B1826" s="7"/>
      <c r="C1826" s="3"/>
      <c r="D1826" s="3"/>
      <c r="E1826" s="3"/>
      <c r="F1826" s="3"/>
      <c r="G1826" s="4"/>
      <c r="H1826" s="4"/>
      <c r="I1826" s="3"/>
      <c r="J1826" s="3"/>
      <c r="K1826" s="8" t="str">
        <f t="shared" si="28"/>
        <v/>
      </c>
      <c r="L1826" s="1" t="str">
        <f>IF(COUNTA(A1826:J1826)=0,"",IF(OR(AND(C1826&lt;&gt;"Servicio",C1826&lt;&gt;"Cobro",C1826&lt;&gt;"Anticipo",C1826&lt;&gt;"Aplicación anticipo",C1826&lt;&gt;"Retención ISR",C1826&lt;&gt;"Retención IVA"),AND(C1826="Servicio",F1826&lt;&gt;"TMS",F1826&lt;&gt;"Valoración",F1826&lt;&gt;"EEG",F1826&lt;&gt;"Neurofeedback",F1826&lt;&gt;"Fotobiomodulación",F1826&lt;&gt;"Psicoterapia",F1826&lt;&gt;"Otros")),"Tipo o categoría inválido",IF(COUNTA(A1826:J1826)=0,"",IF(OR(A1826="",B1826="",C1826="",G1826=""),"Faltan datos",IF(COUNTIF($A$7:$A$2006,A1826)&gt;1,"ID duplicado",IF(OR(B1826&lt;DATE(Configuración!$C$5,1,1),B1826&gt;=DATE(Configuración!$C$5+1,1,1)),"Fecha fuera del año",IF(OR(G1826&lt;0,H1826&lt;0),"Revisar signo",IF(AND(C1826&lt;&gt;"Servicio",H1826&lt;&gt;0),"IVA solo en Servicio",IF(AND(C1826="Servicio",F1826=""),"Falta servicio","OK")))))))))</f>
        <v/>
      </c>
    </row>
    <row r="1827" spans="1:12" ht="22" customHeight="1">
      <c r="A1827" s="3"/>
      <c r="B1827" s="7"/>
      <c r="C1827" s="3"/>
      <c r="D1827" s="3"/>
      <c r="E1827" s="3"/>
      <c r="F1827" s="3"/>
      <c r="G1827" s="4"/>
      <c r="H1827" s="4"/>
      <c r="I1827" s="3"/>
      <c r="J1827" s="3"/>
      <c r="K1827" s="8" t="str">
        <f t="shared" si="28"/>
        <v/>
      </c>
      <c r="L1827" s="1" t="str">
        <f>IF(COUNTA(A1827:J1827)=0,"",IF(OR(AND(C1827&lt;&gt;"Servicio",C1827&lt;&gt;"Cobro",C1827&lt;&gt;"Anticipo",C1827&lt;&gt;"Aplicación anticipo",C1827&lt;&gt;"Retención ISR",C1827&lt;&gt;"Retención IVA"),AND(C1827="Servicio",F1827&lt;&gt;"TMS",F1827&lt;&gt;"Valoración",F1827&lt;&gt;"EEG",F1827&lt;&gt;"Neurofeedback",F1827&lt;&gt;"Fotobiomodulación",F1827&lt;&gt;"Psicoterapia",F1827&lt;&gt;"Otros")),"Tipo o categoría inválido",IF(COUNTA(A1827:J1827)=0,"",IF(OR(A1827="",B1827="",C1827="",G1827=""),"Faltan datos",IF(COUNTIF($A$7:$A$2006,A1827)&gt;1,"ID duplicado",IF(OR(B1827&lt;DATE(Configuración!$C$5,1,1),B1827&gt;=DATE(Configuración!$C$5+1,1,1)),"Fecha fuera del año",IF(OR(G1827&lt;0,H1827&lt;0),"Revisar signo",IF(AND(C1827&lt;&gt;"Servicio",H1827&lt;&gt;0),"IVA solo en Servicio",IF(AND(C1827="Servicio",F1827=""),"Falta servicio","OK")))))))))</f>
        <v/>
      </c>
    </row>
    <row r="1828" spans="1:12" ht="22" customHeight="1">
      <c r="A1828" s="3"/>
      <c r="B1828" s="7"/>
      <c r="C1828" s="3"/>
      <c r="D1828" s="3"/>
      <c r="E1828" s="3"/>
      <c r="F1828" s="3"/>
      <c r="G1828" s="4"/>
      <c r="H1828" s="4"/>
      <c r="I1828" s="3"/>
      <c r="J1828" s="3"/>
      <c r="K1828" s="8" t="str">
        <f t="shared" si="28"/>
        <v/>
      </c>
      <c r="L1828" s="1" t="str">
        <f>IF(COUNTA(A1828:J1828)=0,"",IF(OR(AND(C1828&lt;&gt;"Servicio",C1828&lt;&gt;"Cobro",C1828&lt;&gt;"Anticipo",C1828&lt;&gt;"Aplicación anticipo",C1828&lt;&gt;"Retención ISR",C1828&lt;&gt;"Retención IVA"),AND(C1828="Servicio",F1828&lt;&gt;"TMS",F1828&lt;&gt;"Valoración",F1828&lt;&gt;"EEG",F1828&lt;&gt;"Neurofeedback",F1828&lt;&gt;"Fotobiomodulación",F1828&lt;&gt;"Psicoterapia",F1828&lt;&gt;"Otros")),"Tipo o categoría inválido",IF(COUNTA(A1828:J1828)=0,"",IF(OR(A1828="",B1828="",C1828="",G1828=""),"Faltan datos",IF(COUNTIF($A$7:$A$2006,A1828)&gt;1,"ID duplicado",IF(OR(B1828&lt;DATE(Configuración!$C$5,1,1),B1828&gt;=DATE(Configuración!$C$5+1,1,1)),"Fecha fuera del año",IF(OR(G1828&lt;0,H1828&lt;0),"Revisar signo",IF(AND(C1828&lt;&gt;"Servicio",H1828&lt;&gt;0),"IVA solo en Servicio",IF(AND(C1828="Servicio",F1828=""),"Falta servicio","OK")))))))))</f>
        <v/>
      </c>
    </row>
    <row r="1829" spans="1:12" ht="22" customHeight="1">
      <c r="A1829" s="3"/>
      <c r="B1829" s="7"/>
      <c r="C1829" s="3"/>
      <c r="D1829" s="3"/>
      <c r="E1829" s="3"/>
      <c r="F1829" s="3"/>
      <c r="G1829" s="4"/>
      <c r="H1829" s="4"/>
      <c r="I1829" s="3"/>
      <c r="J1829" s="3"/>
      <c r="K1829" s="8" t="str">
        <f t="shared" si="28"/>
        <v/>
      </c>
      <c r="L1829" s="1" t="str">
        <f>IF(COUNTA(A1829:J1829)=0,"",IF(OR(AND(C1829&lt;&gt;"Servicio",C1829&lt;&gt;"Cobro",C1829&lt;&gt;"Anticipo",C1829&lt;&gt;"Aplicación anticipo",C1829&lt;&gt;"Retención ISR",C1829&lt;&gt;"Retención IVA"),AND(C1829="Servicio",F1829&lt;&gt;"TMS",F1829&lt;&gt;"Valoración",F1829&lt;&gt;"EEG",F1829&lt;&gt;"Neurofeedback",F1829&lt;&gt;"Fotobiomodulación",F1829&lt;&gt;"Psicoterapia",F1829&lt;&gt;"Otros")),"Tipo o categoría inválido",IF(COUNTA(A1829:J1829)=0,"",IF(OR(A1829="",B1829="",C1829="",G1829=""),"Faltan datos",IF(COUNTIF($A$7:$A$2006,A1829)&gt;1,"ID duplicado",IF(OR(B1829&lt;DATE(Configuración!$C$5,1,1),B1829&gt;=DATE(Configuración!$C$5+1,1,1)),"Fecha fuera del año",IF(OR(G1829&lt;0,H1829&lt;0),"Revisar signo",IF(AND(C1829&lt;&gt;"Servicio",H1829&lt;&gt;0),"IVA solo en Servicio",IF(AND(C1829="Servicio",F1829=""),"Falta servicio","OK")))))))))</f>
        <v/>
      </c>
    </row>
    <row r="1830" spans="1:12" ht="22" customHeight="1">
      <c r="A1830" s="3"/>
      <c r="B1830" s="7"/>
      <c r="C1830" s="3"/>
      <c r="D1830" s="3"/>
      <c r="E1830" s="3"/>
      <c r="F1830" s="3"/>
      <c r="G1830" s="4"/>
      <c r="H1830" s="4"/>
      <c r="I1830" s="3"/>
      <c r="J1830" s="3"/>
      <c r="K1830" s="8" t="str">
        <f t="shared" si="28"/>
        <v/>
      </c>
      <c r="L1830" s="1" t="str">
        <f>IF(COUNTA(A1830:J1830)=0,"",IF(OR(AND(C1830&lt;&gt;"Servicio",C1830&lt;&gt;"Cobro",C1830&lt;&gt;"Anticipo",C1830&lt;&gt;"Aplicación anticipo",C1830&lt;&gt;"Retención ISR",C1830&lt;&gt;"Retención IVA"),AND(C1830="Servicio",F1830&lt;&gt;"TMS",F1830&lt;&gt;"Valoración",F1830&lt;&gt;"EEG",F1830&lt;&gt;"Neurofeedback",F1830&lt;&gt;"Fotobiomodulación",F1830&lt;&gt;"Psicoterapia",F1830&lt;&gt;"Otros")),"Tipo o categoría inválido",IF(COUNTA(A1830:J1830)=0,"",IF(OR(A1830="",B1830="",C1830="",G1830=""),"Faltan datos",IF(COUNTIF($A$7:$A$2006,A1830)&gt;1,"ID duplicado",IF(OR(B1830&lt;DATE(Configuración!$C$5,1,1),B1830&gt;=DATE(Configuración!$C$5+1,1,1)),"Fecha fuera del año",IF(OR(G1830&lt;0,H1830&lt;0),"Revisar signo",IF(AND(C1830&lt;&gt;"Servicio",H1830&lt;&gt;0),"IVA solo en Servicio",IF(AND(C1830="Servicio",F1830=""),"Falta servicio","OK")))))))))</f>
        <v/>
      </c>
    </row>
    <row r="1831" spans="1:12" ht="22" customHeight="1">
      <c r="A1831" s="3"/>
      <c r="B1831" s="7"/>
      <c r="C1831" s="3"/>
      <c r="D1831" s="3"/>
      <c r="E1831" s="3"/>
      <c r="F1831" s="3"/>
      <c r="G1831" s="4"/>
      <c r="H1831" s="4"/>
      <c r="I1831" s="3"/>
      <c r="J1831" s="3"/>
      <c r="K1831" s="8" t="str">
        <f t="shared" si="28"/>
        <v/>
      </c>
      <c r="L1831" s="1" t="str">
        <f>IF(COUNTA(A1831:J1831)=0,"",IF(OR(AND(C1831&lt;&gt;"Servicio",C1831&lt;&gt;"Cobro",C1831&lt;&gt;"Anticipo",C1831&lt;&gt;"Aplicación anticipo",C1831&lt;&gt;"Retención ISR",C1831&lt;&gt;"Retención IVA"),AND(C1831="Servicio",F1831&lt;&gt;"TMS",F1831&lt;&gt;"Valoración",F1831&lt;&gt;"EEG",F1831&lt;&gt;"Neurofeedback",F1831&lt;&gt;"Fotobiomodulación",F1831&lt;&gt;"Psicoterapia",F1831&lt;&gt;"Otros")),"Tipo o categoría inválido",IF(COUNTA(A1831:J1831)=0,"",IF(OR(A1831="",B1831="",C1831="",G1831=""),"Faltan datos",IF(COUNTIF($A$7:$A$2006,A1831)&gt;1,"ID duplicado",IF(OR(B1831&lt;DATE(Configuración!$C$5,1,1),B1831&gt;=DATE(Configuración!$C$5+1,1,1)),"Fecha fuera del año",IF(OR(G1831&lt;0,H1831&lt;0),"Revisar signo",IF(AND(C1831&lt;&gt;"Servicio",H1831&lt;&gt;0),"IVA solo en Servicio",IF(AND(C1831="Servicio",F1831=""),"Falta servicio","OK")))))))))</f>
        <v/>
      </c>
    </row>
    <row r="1832" spans="1:12" ht="22" customHeight="1">
      <c r="A1832" s="3"/>
      <c r="B1832" s="7"/>
      <c r="C1832" s="3"/>
      <c r="D1832" s="3"/>
      <c r="E1832" s="3"/>
      <c r="F1832" s="3"/>
      <c r="G1832" s="4"/>
      <c r="H1832" s="4"/>
      <c r="I1832" s="3"/>
      <c r="J1832" s="3"/>
      <c r="K1832" s="8" t="str">
        <f t="shared" si="28"/>
        <v/>
      </c>
      <c r="L1832" s="1" t="str">
        <f>IF(COUNTA(A1832:J1832)=0,"",IF(OR(AND(C1832&lt;&gt;"Servicio",C1832&lt;&gt;"Cobro",C1832&lt;&gt;"Anticipo",C1832&lt;&gt;"Aplicación anticipo",C1832&lt;&gt;"Retención ISR",C1832&lt;&gt;"Retención IVA"),AND(C1832="Servicio",F1832&lt;&gt;"TMS",F1832&lt;&gt;"Valoración",F1832&lt;&gt;"EEG",F1832&lt;&gt;"Neurofeedback",F1832&lt;&gt;"Fotobiomodulación",F1832&lt;&gt;"Psicoterapia",F1832&lt;&gt;"Otros")),"Tipo o categoría inválido",IF(COUNTA(A1832:J1832)=0,"",IF(OR(A1832="",B1832="",C1832="",G1832=""),"Faltan datos",IF(COUNTIF($A$7:$A$2006,A1832)&gt;1,"ID duplicado",IF(OR(B1832&lt;DATE(Configuración!$C$5,1,1),B1832&gt;=DATE(Configuración!$C$5+1,1,1)),"Fecha fuera del año",IF(OR(G1832&lt;0,H1832&lt;0),"Revisar signo",IF(AND(C1832&lt;&gt;"Servicio",H1832&lt;&gt;0),"IVA solo en Servicio",IF(AND(C1832="Servicio",F1832=""),"Falta servicio","OK")))))))))</f>
        <v/>
      </c>
    </row>
    <row r="1833" spans="1:12" ht="22" customHeight="1">
      <c r="A1833" s="3"/>
      <c r="B1833" s="7"/>
      <c r="C1833" s="3"/>
      <c r="D1833" s="3"/>
      <c r="E1833" s="3"/>
      <c r="F1833" s="3"/>
      <c r="G1833" s="4"/>
      <c r="H1833" s="4"/>
      <c r="I1833" s="3"/>
      <c r="J1833" s="3"/>
      <c r="K1833" s="8" t="str">
        <f t="shared" si="28"/>
        <v/>
      </c>
      <c r="L1833" s="1" t="str">
        <f>IF(COUNTA(A1833:J1833)=0,"",IF(OR(AND(C1833&lt;&gt;"Servicio",C1833&lt;&gt;"Cobro",C1833&lt;&gt;"Anticipo",C1833&lt;&gt;"Aplicación anticipo",C1833&lt;&gt;"Retención ISR",C1833&lt;&gt;"Retención IVA"),AND(C1833="Servicio",F1833&lt;&gt;"TMS",F1833&lt;&gt;"Valoración",F1833&lt;&gt;"EEG",F1833&lt;&gt;"Neurofeedback",F1833&lt;&gt;"Fotobiomodulación",F1833&lt;&gt;"Psicoterapia",F1833&lt;&gt;"Otros")),"Tipo o categoría inválido",IF(COUNTA(A1833:J1833)=0,"",IF(OR(A1833="",B1833="",C1833="",G1833=""),"Faltan datos",IF(COUNTIF($A$7:$A$2006,A1833)&gt;1,"ID duplicado",IF(OR(B1833&lt;DATE(Configuración!$C$5,1,1),B1833&gt;=DATE(Configuración!$C$5+1,1,1)),"Fecha fuera del año",IF(OR(G1833&lt;0,H1833&lt;0),"Revisar signo",IF(AND(C1833&lt;&gt;"Servicio",H1833&lt;&gt;0),"IVA solo en Servicio",IF(AND(C1833="Servicio",F1833=""),"Falta servicio","OK")))))))))</f>
        <v/>
      </c>
    </row>
    <row r="1834" spans="1:12" ht="22" customHeight="1">
      <c r="A1834" s="3"/>
      <c r="B1834" s="7"/>
      <c r="C1834" s="3"/>
      <c r="D1834" s="3"/>
      <c r="E1834" s="3"/>
      <c r="F1834" s="3"/>
      <c r="G1834" s="4"/>
      <c r="H1834" s="4"/>
      <c r="I1834" s="3"/>
      <c r="J1834" s="3"/>
      <c r="K1834" s="8" t="str">
        <f t="shared" si="28"/>
        <v/>
      </c>
      <c r="L1834" s="1" t="str">
        <f>IF(COUNTA(A1834:J1834)=0,"",IF(OR(AND(C1834&lt;&gt;"Servicio",C1834&lt;&gt;"Cobro",C1834&lt;&gt;"Anticipo",C1834&lt;&gt;"Aplicación anticipo",C1834&lt;&gt;"Retención ISR",C1834&lt;&gt;"Retención IVA"),AND(C1834="Servicio",F1834&lt;&gt;"TMS",F1834&lt;&gt;"Valoración",F1834&lt;&gt;"EEG",F1834&lt;&gt;"Neurofeedback",F1834&lt;&gt;"Fotobiomodulación",F1834&lt;&gt;"Psicoterapia",F1834&lt;&gt;"Otros")),"Tipo o categoría inválido",IF(COUNTA(A1834:J1834)=0,"",IF(OR(A1834="",B1834="",C1834="",G1834=""),"Faltan datos",IF(COUNTIF($A$7:$A$2006,A1834)&gt;1,"ID duplicado",IF(OR(B1834&lt;DATE(Configuración!$C$5,1,1),B1834&gt;=DATE(Configuración!$C$5+1,1,1)),"Fecha fuera del año",IF(OR(G1834&lt;0,H1834&lt;0),"Revisar signo",IF(AND(C1834&lt;&gt;"Servicio",H1834&lt;&gt;0),"IVA solo en Servicio",IF(AND(C1834="Servicio",F1834=""),"Falta servicio","OK")))))))))</f>
        <v/>
      </c>
    </row>
    <row r="1835" spans="1:12" ht="22" customHeight="1">
      <c r="A1835" s="3"/>
      <c r="B1835" s="7"/>
      <c r="C1835" s="3"/>
      <c r="D1835" s="3"/>
      <c r="E1835" s="3"/>
      <c r="F1835" s="3"/>
      <c r="G1835" s="4"/>
      <c r="H1835" s="4"/>
      <c r="I1835" s="3"/>
      <c r="J1835" s="3"/>
      <c r="K1835" s="8" t="str">
        <f t="shared" si="28"/>
        <v/>
      </c>
      <c r="L1835" s="1" t="str">
        <f>IF(COUNTA(A1835:J1835)=0,"",IF(OR(AND(C1835&lt;&gt;"Servicio",C1835&lt;&gt;"Cobro",C1835&lt;&gt;"Anticipo",C1835&lt;&gt;"Aplicación anticipo",C1835&lt;&gt;"Retención ISR",C1835&lt;&gt;"Retención IVA"),AND(C1835="Servicio",F1835&lt;&gt;"TMS",F1835&lt;&gt;"Valoración",F1835&lt;&gt;"EEG",F1835&lt;&gt;"Neurofeedback",F1835&lt;&gt;"Fotobiomodulación",F1835&lt;&gt;"Psicoterapia",F1835&lt;&gt;"Otros")),"Tipo o categoría inválido",IF(COUNTA(A1835:J1835)=0,"",IF(OR(A1835="",B1835="",C1835="",G1835=""),"Faltan datos",IF(COUNTIF($A$7:$A$2006,A1835)&gt;1,"ID duplicado",IF(OR(B1835&lt;DATE(Configuración!$C$5,1,1),B1835&gt;=DATE(Configuración!$C$5+1,1,1)),"Fecha fuera del año",IF(OR(G1835&lt;0,H1835&lt;0),"Revisar signo",IF(AND(C1835&lt;&gt;"Servicio",H1835&lt;&gt;0),"IVA solo en Servicio",IF(AND(C1835="Servicio",F1835=""),"Falta servicio","OK")))))))))</f>
        <v/>
      </c>
    </row>
    <row r="1836" spans="1:12" ht="22" customHeight="1">
      <c r="A1836" s="3"/>
      <c r="B1836" s="7"/>
      <c r="C1836" s="3"/>
      <c r="D1836" s="3"/>
      <c r="E1836" s="3"/>
      <c r="F1836" s="3"/>
      <c r="G1836" s="4"/>
      <c r="H1836" s="4"/>
      <c r="I1836" s="3"/>
      <c r="J1836" s="3"/>
      <c r="K1836" s="8" t="str">
        <f t="shared" si="28"/>
        <v/>
      </c>
      <c r="L1836" s="1" t="str">
        <f>IF(COUNTA(A1836:J1836)=0,"",IF(OR(AND(C1836&lt;&gt;"Servicio",C1836&lt;&gt;"Cobro",C1836&lt;&gt;"Anticipo",C1836&lt;&gt;"Aplicación anticipo",C1836&lt;&gt;"Retención ISR",C1836&lt;&gt;"Retención IVA"),AND(C1836="Servicio",F1836&lt;&gt;"TMS",F1836&lt;&gt;"Valoración",F1836&lt;&gt;"EEG",F1836&lt;&gt;"Neurofeedback",F1836&lt;&gt;"Fotobiomodulación",F1836&lt;&gt;"Psicoterapia",F1836&lt;&gt;"Otros")),"Tipo o categoría inválido",IF(COUNTA(A1836:J1836)=0,"",IF(OR(A1836="",B1836="",C1836="",G1836=""),"Faltan datos",IF(COUNTIF($A$7:$A$2006,A1836)&gt;1,"ID duplicado",IF(OR(B1836&lt;DATE(Configuración!$C$5,1,1),B1836&gt;=DATE(Configuración!$C$5+1,1,1)),"Fecha fuera del año",IF(OR(G1836&lt;0,H1836&lt;0),"Revisar signo",IF(AND(C1836&lt;&gt;"Servicio",H1836&lt;&gt;0),"IVA solo en Servicio",IF(AND(C1836="Servicio",F1836=""),"Falta servicio","OK")))))))))</f>
        <v/>
      </c>
    </row>
    <row r="1837" spans="1:12" ht="22" customHeight="1">
      <c r="A1837" s="3"/>
      <c r="B1837" s="7"/>
      <c r="C1837" s="3"/>
      <c r="D1837" s="3"/>
      <c r="E1837" s="3"/>
      <c r="F1837" s="3"/>
      <c r="G1837" s="4"/>
      <c r="H1837" s="4"/>
      <c r="I1837" s="3"/>
      <c r="J1837" s="3"/>
      <c r="K1837" s="8" t="str">
        <f t="shared" si="28"/>
        <v/>
      </c>
      <c r="L1837" s="1" t="str">
        <f>IF(COUNTA(A1837:J1837)=0,"",IF(OR(AND(C1837&lt;&gt;"Servicio",C1837&lt;&gt;"Cobro",C1837&lt;&gt;"Anticipo",C1837&lt;&gt;"Aplicación anticipo",C1837&lt;&gt;"Retención ISR",C1837&lt;&gt;"Retención IVA"),AND(C1837="Servicio",F1837&lt;&gt;"TMS",F1837&lt;&gt;"Valoración",F1837&lt;&gt;"EEG",F1837&lt;&gt;"Neurofeedback",F1837&lt;&gt;"Fotobiomodulación",F1837&lt;&gt;"Psicoterapia",F1837&lt;&gt;"Otros")),"Tipo o categoría inválido",IF(COUNTA(A1837:J1837)=0,"",IF(OR(A1837="",B1837="",C1837="",G1837=""),"Faltan datos",IF(COUNTIF($A$7:$A$2006,A1837)&gt;1,"ID duplicado",IF(OR(B1837&lt;DATE(Configuración!$C$5,1,1),B1837&gt;=DATE(Configuración!$C$5+1,1,1)),"Fecha fuera del año",IF(OR(G1837&lt;0,H1837&lt;0),"Revisar signo",IF(AND(C1837&lt;&gt;"Servicio",H1837&lt;&gt;0),"IVA solo en Servicio",IF(AND(C1837="Servicio",F1837=""),"Falta servicio","OK")))))))))</f>
        <v/>
      </c>
    </row>
    <row r="1838" spans="1:12" ht="22" customHeight="1">
      <c r="A1838" s="3"/>
      <c r="B1838" s="7"/>
      <c r="C1838" s="3"/>
      <c r="D1838" s="3"/>
      <c r="E1838" s="3"/>
      <c r="F1838" s="3"/>
      <c r="G1838" s="4"/>
      <c r="H1838" s="4"/>
      <c r="I1838" s="3"/>
      <c r="J1838" s="3"/>
      <c r="K1838" s="8" t="str">
        <f t="shared" si="28"/>
        <v/>
      </c>
      <c r="L1838" s="1" t="str">
        <f>IF(COUNTA(A1838:J1838)=0,"",IF(OR(AND(C1838&lt;&gt;"Servicio",C1838&lt;&gt;"Cobro",C1838&lt;&gt;"Anticipo",C1838&lt;&gt;"Aplicación anticipo",C1838&lt;&gt;"Retención ISR",C1838&lt;&gt;"Retención IVA"),AND(C1838="Servicio",F1838&lt;&gt;"TMS",F1838&lt;&gt;"Valoración",F1838&lt;&gt;"EEG",F1838&lt;&gt;"Neurofeedback",F1838&lt;&gt;"Fotobiomodulación",F1838&lt;&gt;"Psicoterapia",F1838&lt;&gt;"Otros")),"Tipo o categoría inválido",IF(COUNTA(A1838:J1838)=0,"",IF(OR(A1838="",B1838="",C1838="",G1838=""),"Faltan datos",IF(COUNTIF($A$7:$A$2006,A1838)&gt;1,"ID duplicado",IF(OR(B1838&lt;DATE(Configuración!$C$5,1,1),B1838&gt;=DATE(Configuración!$C$5+1,1,1)),"Fecha fuera del año",IF(OR(G1838&lt;0,H1838&lt;0),"Revisar signo",IF(AND(C1838&lt;&gt;"Servicio",H1838&lt;&gt;0),"IVA solo en Servicio",IF(AND(C1838="Servicio",F1838=""),"Falta servicio","OK")))))))))</f>
        <v/>
      </c>
    </row>
    <row r="1839" spans="1:12" ht="22" customHeight="1">
      <c r="A1839" s="3"/>
      <c r="B1839" s="7"/>
      <c r="C1839" s="3"/>
      <c r="D1839" s="3"/>
      <c r="E1839" s="3"/>
      <c r="F1839" s="3"/>
      <c r="G1839" s="4"/>
      <c r="H1839" s="4"/>
      <c r="I1839" s="3"/>
      <c r="J1839" s="3"/>
      <c r="K1839" s="8" t="str">
        <f t="shared" si="28"/>
        <v/>
      </c>
      <c r="L1839" s="1" t="str">
        <f>IF(COUNTA(A1839:J1839)=0,"",IF(OR(AND(C1839&lt;&gt;"Servicio",C1839&lt;&gt;"Cobro",C1839&lt;&gt;"Anticipo",C1839&lt;&gt;"Aplicación anticipo",C1839&lt;&gt;"Retención ISR",C1839&lt;&gt;"Retención IVA"),AND(C1839="Servicio",F1839&lt;&gt;"TMS",F1839&lt;&gt;"Valoración",F1839&lt;&gt;"EEG",F1839&lt;&gt;"Neurofeedback",F1839&lt;&gt;"Fotobiomodulación",F1839&lt;&gt;"Psicoterapia",F1839&lt;&gt;"Otros")),"Tipo o categoría inválido",IF(COUNTA(A1839:J1839)=0,"",IF(OR(A1839="",B1839="",C1839="",G1839=""),"Faltan datos",IF(COUNTIF($A$7:$A$2006,A1839)&gt;1,"ID duplicado",IF(OR(B1839&lt;DATE(Configuración!$C$5,1,1),B1839&gt;=DATE(Configuración!$C$5+1,1,1)),"Fecha fuera del año",IF(OR(G1839&lt;0,H1839&lt;0),"Revisar signo",IF(AND(C1839&lt;&gt;"Servicio",H1839&lt;&gt;0),"IVA solo en Servicio",IF(AND(C1839="Servicio",F1839=""),"Falta servicio","OK")))))))))</f>
        <v/>
      </c>
    </row>
    <row r="1840" spans="1:12" ht="22" customHeight="1">
      <c r="A1840" s="3"/>
      <c r="B1840" s="7"/>
      <c r="C1840" s="3"/>
      <c r="D1840" s="3"/>
      <c r="E1840" s="3"/>
      <c r="F1840" s="3"/>
      <c r="G1840" s="4"/>
      <c r="H1840" s="4"/>
      <c r="I1840" s="3"/>
      <c r="J1840" s="3"/>
      <c r="K1840" s="8" t="str">
        <f t="shared" si="28"/>
        <v/>
      </c>
      <c r="L1840" s="1" t="str">
        <f>IF(COUNTA(A1840:J1840)=0,"",IF(OR(AND(C1840&lt;&gt;"Servicio",C1840&lt;&gt;"Cobro",C1840&lt;&gt;"Anticipo",C1840&lt;&gt;"Aplicación anticipo",C1840&lt;&gt;"Retención ISR",C1840&lt;&gt;"Retención IVA"),AND(C1840="Servicio",F1840&lt;&gt;"TMS",F1840&lt;&gt;"Valoración",F1840&lt;&gt;"EEG",F1840&lt;&gt;"Neurofeedback",F1840&lt;&gt;"Fotobiomodulación",F1840&lt;&gt;"Psicoterapia",F1840&lt;&gt;"Otros")),"Tipo o categoría inválido",IF(COUNTA(A1840:J1840)=0,"",IF(OR(A1840="",B1840="",C1840="",G1840=""),"Faltan datos",IF(COUNTIF($A$7:$A$2006,A1840)&gt;1,"ID duplicado",IF(OR(B1840&lt;DATE(Configuración!$C$5,1,1),B1840&gt;=DATE(Configuración!$C$5+1,1,1)),"Fecha fuera del año",IF(OR(G1840&lt;0,H1840&lt;0),"Revisar signo",IF(AND(C1840&lt;&gt;"Servicio",H1840&lt;&gt;0),"IVA solo en Servicio",IF(AND(C1840="Servicio",F1840=""),"Falta servicio","OK")))))))))</f>
        <v/>
      </c>
    </row>
    <row r="1841" spans="1:12" ht="22" customHeight="1">
      <c r="A1841" s="3"/>
      <c r="B1841" s="7"/>
      <c r="C1841" s="3"/>
      <c r="D1841" s="3"/>
      <c r="E1841" s="3"/>
      <c r="F1841" s="3"/>
      <c r="G1841" s="4"/>
      <c r="H1841" s="4"/>
      <c r="I1841" s="3"/>
      <c r="J1841" s="3"/>
      <c r="K1841" s="8" t="str">
        <f t="shared" si="28"/>
        <v/>
      </c>
      <c r="L1841" s="1" t="str">
        <f>IF(COUNTA(A1841:J1841)=0,"",IF(OR(AND(C1841&lt;&gt;"Servicio",C1841&lt;&gt;"Cobro",C1841&lt;&gt;"Anticipo",C1841&lt;&gt;"Aplicación anticipo",C1841&lt;&gt;"Retención ISR",C1841&lt;&gt;"Retención IVA"),AND(C1841="Servicio",F1841&lt;&gt;"TMS",F1841&lt;&gt;"Valoración",F1841&lt;&gt;"EEG",F1841&lt;&gt;"Neurofeedback",F1841&lt;&gt;"Fotobiomodulación",F1841&lt;&gt;"Psicoterapia",F1841&lt;&gt;"Otros")),"Tipo o categoría inválido",IF(COUNTA(A1841:J1841)=0,"",IF(OR(A1841="",B1841="",C1841="",G1841=""),"Faltan datos",IF(COUNTIF($A$7:$A$2006,A1841)&gt;1,"ID duplicado",IF(OR(B1841&lt;DATE(Configuración!$C$5,1,1),B1841&gt;=DATE(Configuración!$C$5+1,1,1)),"Fecha fuera del año",IF(OR(G1841&lt;0,H1841&lt;0),"Revisar signo",IF(AND(C1841&lt;&gt;"Servicio",H1841&lt;&gt;0),"IVA solo en Servicio",IF(AND(C1841="Servicio",F1841=""),"Falta servicio","OK")))))))))</f>
        <v/>
      </c>
    </row>
    <row r="1842" spans="1:12" ht="22" customHeight="1">
      <c r="A1842" s="3"/>
      <c r="B1842" s="7"/>
      <c r="C1842" s="3"/>
      <c r="D1842" s="3"/>
      <c r="E1842" s="3"/>
      <c r="F1842" s="3"/>
      <c r="G1842" s="4"/>
      <c r="H1842" s="4"/>
      <c r="I1842" s="3"/>
      <c r="J1842" s="3"/>
      <c r="K1842" s="8" t="str">
        <f t="shared" si="28"/>
        <v/>
      </c>
      <c r="L1842" s="1" t="str">
        <f>IF(COUNTA(A1842:J1842)=0,"",IF(OR(AND(C1842&lt;&gt;"Servicio",C1842&lt;&gt;"Cobro",C1842&lt;&gt;"Anticipo",C1842&lt;&gt;"Aplicación anticipo",C1842&lt;&gt;"Retención ISR",C1842&lt;&gt;"Retención IVA"),AND(C1842="Servicio",F1842&lt;&gt;"TMS",F1842&lt;&gt;"Valoración",F1842&lt;&gt;"EEG",F1842&lt;&gt;"Neurofeedback",F1842&lt;&gt;"Fotobiomodulación",F1842&lt;&gt;"Psicoterapia",F1842&lt;&gt;"Otros")),"Tipo o categoría inválido",IF(COUNTA(A1842:J1842)=0,"",IF(OR(A1842="",B1842="",C1842="",G1842=""),"Faltan datos",IF(COUNTIF($A$7:$A$2006,A1842)&gt;1,"ID duplicado",IF(OR(B1842&lt;DATE(Configuración!$C$5,1,1),B1842&gt;=DATE(Configuración!$C$5+1,1,1)),"Fecha fuera del año",IF(OR(G1842&lt;0,H1842&lt;0),"Revisar signo",IF(AND(C1842&lt;&gt;"Servicio",H1842&lt;&gt;0),"IVA solo en Servicio",IF(AND(C1842="Servicio",F1842=""),"Falta servicio","OK")))))))))</f>
        <v/>
      </c>
    </row>
    <row r="1843" spans="1:12" ht="22" customHeight="1">
      <c r="A1843" s="3"/>
      <c r="B1843" s="7"/>
      <c r="C1843" s="3"/>
      <c r="D1843" s="3"/>
      <c r="E1843" s="3"/>
      <c r="F1843" s="3"/>
      <c r="G1843" s="4"/>
      <c r="H1843" s="4"/>
      <c r="I1843" s="3"/>
      <c r="J1843" s="3"/>
      <c r="K1843" s="8" t="str">
        <f t="shared" si="28"/>
        <v/>
      </c>
      <c r="L1843" s="1" t="str">
        <f>IF(COUNTA(A1843:J1843)=0,"",IF(OR(AND(C1843&lt;&gt;"Servicio",C1843&lt;&gt;"Cobro",C1843&lt;&gt;"Anticipo",C1843&lt;&gt;"Aplicación anticipo",C1843&lt;&gt;"Retención ISR",C1843&lt;&gt;"Retención IVA"),AND(C1843="Servicio",F1843&lt;&gt;"TMS",F1843&lt;&gt;"Valoración",F1843&lt;&gt;"EEG",F1843&lt;&gt;"Neurofeedback",F1843&lt;&gt;"Fotobiomodulación",F1843&lt;&gt;"Psicoterapia",F1843&lt;&gt;"Otros")),"Tipo o categoría inválido",IF(COUNTA(A1843:J1843)=0,"",IF(OR(A1843="",B1843="",C1843="",G1843=""),"Faltan datos",IF(COUNTIF($A$7:$A$2006,A1843)&gt;1,"ID duplicado",IF(OR(B1843&lt;DATE(Configuración!$C$5,1,1),B1843&gt;=DATE(Configuración!$C$5+1,1,1)),"Fecha fuera del año",IF(OR(G1843&lt;0,H1843&lt;0),"Revisar signo",IF(AND(C1843&lt;&gt;"Servicio",H1843&lt;&gt;0),"IVA solo en Servicio",IF(AND(C1843="Servicio",F1843=""),"Falta servicio","OK")))))))))</f>
        <v/>
      </c>
    </row>
    <row r="1844" spans="1:12" ht="22" customHeight="1">
      <c r="A1844" s="3"/>
      <c r="B1844" s="7"/>
      <c r="C1844" s="3"/>
      <c r="D1844" s="3"/>
      <c r="E1844" s="3"/>
      <c r="F1844" s="3"/>
      <c r="G1844" s="4"/>
      <c r="H1844" s="4"/>
      <c r="I1844" s="3"/>
      <c r="J1844" s="3"/>
      <c r="K1844" s="8" t="str">
        <f t="shared" si="28"/>
        <v/>
      </c>
      <c r="L1844" s="1" t="str">
        <f>IF(COUNTA(A1844:J1844)=0,"",IF(OR(AND(C1844&lt;&gt;"Servicio",C1844&lt;&gt;"Cobro",C1844&lt;&gt;"Anticipo",C1844&lt;&gt;"Aplicación anticipo",C1844&lt;&gt;"Retención ISR",C1844&lt;&gt;"Retención IVA"),AND(C1844="Servicio",F1844&lt;&gt;"TMS",F1844&lt;&gt;"Valoración",F1844&lt;&gt;"EEG",F1844&lt;&gt;"Neurofeedback",F1844&lt;&gt;"Fotobiomodulación",F1844&lt;&gt;"Psicoterapia",F1844&lt;&gt;"Otros")),"Tipo o categoría inválido",IF(COUNTA(A1844:J1844)=0,"",IF(OR(A1844="",B1844="",C1844="",G1844=""),"Faltan datos",IF(COUNTIF($A$7:$A$2006,A1844)&gt;1,"ID duplicado",IF(OR(B1844&lt;DATE(Configuración!$C$5,1,1),B1844&gt;=DATE(Configuración!$C$5+1,1,1)),"Fecha fuera del año",IF(OR(G1844&lt;0,H1844&lt;0),"Revisar signo",IF(AND(C1844&lt;&gt;"Servicio",H1844&lt;&gt;0),"IVA solo en Servicio",IF(AND(C1844="Servicio",F1844=""),"Falta servicio","OK")))))))))</f>
        <v/>
      </c>
    </row>
    <row r="1845" spans="1:12" ht="22" customHeight="1">
      <c r="A1845" s="3"/>
      <c r="B1845" s="7"/>
      <c r="C1845" s="3"/>
      <c r="D1845" s="3"/>
      <c r="E1845" s="3"/>
      <c r="F1845" s="3"/>
      <c r="G1845" s="4"/>
      <c r="H1845" s="4"/>
      <c r="I1845" s="3"/>
      <c r="J1845" s="3"/>
      <c r="K1845" s="8" t="str">
        <f t="shared" si="28"/>
        <v/>
      </c>
      <c r="L1845" s="1" t="str">
        <f>IF(COUNTA(A1845:J1845)=0,"",IF(OR(AND(C1845&lt;&gt;"Servicio",C1845&lt;&gt;"Cobro",C1845&lt;&gt;"Anticipo",C1845&lt;&gt;"Aplicación anticipo",C1845&lt;&gt;"Retención ISR",C1845&lt;&gt;"Retención IVA"),AND(C1845="Servicio",F1845&lt;&gt;"TMS",F1845&lt;&gt;"Valoración",F1845&lt;&gt;"EEG",F1845&lt;&gt;"Neurofeedback",F1845&lt;&gt;"Fotobiomodulación",F1845&lt;&gt;"Psicoterapia",F1845&lt;&gt;"Otros")),"Tipo o categoría inválido",IF(COUNTA(A1845:J1845)=0,"",IF(OR(A1845="",B1845="",C1845="",G1845=""),"Faltan datos",IF(COUNTIF($A$7:$A$2006,A1845)&gt;1,"ID duplicado",IF(OR(B1845&lt;DATE(Configuración!$C$5,1,1),B1845&gt;=DATE(Configuración!$C$5+1,1,1)),"Fecha fuera del año",IF(OR(G1845&lt;0,H1845&lt;0),"Revisar signo",IF(AND(C1845&lt;&gt;"Servicio",H1845&lt;&gt;0),"IVA solo en Servicio",IF(AND(C1845="Servicio",F1845=""),"Falta servicio","OK")))))))))</f>
        <v/>
      </c>
    </row>
    <row r="1846" spans="1:12" ht="22" customHeight="1">
      <c r="A1846" s="3"/>
      <c r="B1846" s="7"/>
      <c r="C1846" s="3"/>
      <c r="D1846" s="3"/>
      <c r="E1846" s="3"/>
      <c r="F1846" s="3"/>
      <c r="G1846" s="4"/>
      <c r="H1846" s="4"/>
      <c r="I1846" s="3"/>
      <c r="J1846" s="3"/>
      <c r="K1846" s="8" t="str">
        <f t="shared" si="28"/>
        <v/>
      </c>
      <c r="L1846" s="1" t="str">
        <f>IF(COUNTA(A1846:J1846)=0,"",IF(OR(AND(C1846&lt;&gt;"Servicio",C1846&lt;&gt;"Cobro",C1846&lt;&gt;"Anticipo",C1846&lt;&gt;"Aplicación anticipo",C1846&lt;&gt;"Retención ISR",C1846&lt;&gt;"Retención IVA"),AND(C1846="Servicio",F1846&lt;&gt;"TMS",F1846&lt;&gt;"Valoración",F1846&lt;&gt;"EEG",F1846&lt;&gt;"Neurofeedback",F1846&lt;&gt;"Fotobiomodulación",F1846&lt;&gt;"Psicoterapia",F1846&lt;&gt;"Otros")),"Tipo o categoría inválido",IF(COUNTA(A1846:J1846)=0,"",IF(OR(A1846="",B1846="",C1846="",G1846=""),"Faltan datos",IF(COUNTIF($A$7:$A$2006,A1846)&gt;1,"ID duplicado",IF(OR(B1846&lt;DATE(Configuración!$C$5,1,1),B1846&gt;=DATE(Configuración!$C$5+1,1,1)),"Fecha fuera del año",IF(OR(G1846&lt;0,H1846&lt;0),"Revisar signo",IF(AND(C1846&lt;&gt;"Servicio",H1846&lt;&gt;0),"IVA solo en Servicio",IF(AND(C1846="Servicio",F1846=""),"Falta servicio","OK")))))))))</f>
        <v/>
      </c>
    </row>
    <row r="1847" spans="1:12" ht="22" customHeight="1">
      <c r="A1847" s="3"/>
      <c r="B1847" s="7"/>
      <c r="C1847" s="3"/>
      <c r="D1847" s="3"/>
      <c r="E1847" s="3"/>
      <c r="F1847" s="3"/>
      <c r="G1847" s="4"/>
      <c r="H1847" s="4"/>
      <c r="I1847" s="3"/>
      <c r="J1847" s="3"/>
      <c r="K1847" s="8" t="str">
        <f t="shared" si="28"/>
        <v/>
      </c>
      <c r="L1847" s="1" t="str">
        <f>IF(COUNTA(A1847:J1847)=0,"",IF(OR(AND(C1847&lt;&gt;"Servicio",C1847&lt;&gt;"Cobro",C1847&lt;&gt;"Anticipo",C1847&lt;&gt;"Aplicación anticipo",C1847&lt;&gt;"Retención ISR",C1847&lt;&gt;"Retención IVA"),AND(C1847="Servicio",F1847&lt;&gt;"TMS",F1847&lt;&gt;"Valoración",F1847&lt;&gt;"EEG",F1847&lt;&gt;"Neurofeedback",F1847&lt;&gt;"Fotobiomodulación",F1847&lt;&gt;"Psicoterapia",F1847&lt;&gt;"Otros")),"Tipo o categoría inválido",IF(COUNTA(A1847:J1847)=0,"",IF(OR(A1847="",B1847="",C1847="",G1847=""),"Faltan datos",IF(COUNTIF($A$7:$A$2006,A1847)&gt;1,"ID duplicado",IF(OR(B1847&lt;DATE(Configuración!$C$5,1,1),B1847&gt;=DATE(Configuración!$C$5+1,1,1)),"Fecha fuera del año",IF(OR(G1847&lt;0,H1847&lt;0),"Revisar signo",IF(AND(C1847&lt;&gt;"Servicio",H1847&lt;&gt;0),"IVA solo en Servicio",IF(AND(C1847="Servicio",F1847=""),"Falta servicio","OK")))))))))</f>
        <v/>
      </c>
    </row>
    <row r="1848" spans="1:12" ht="22" customHeight="1">
      <c r="A1848" s="3"/>
      <c r="B1848" s="7"/>
      <c r="C1848" s="3"/>
      <c r="D1848" s="3"/>
      <c r="E1848" s="3"/>
      <c r="F1848" s="3"/>
      <c r="G1848" s="4"/>
      <c r="H1848" s="4"/>
      <c r="I1848" s="3"/>
      <c r="J1848" s="3"/>
      <c r="K1848" s="8" t="str">
        <f t="shared" si="28"/>
        <v/>
      </c>
      <c r="L1848" s="1" t="str">
        <f>IF(COUNTA(A1848:J1848)=0,"",IF(OR(AND(C1848&lt;&gt;"Servicio",C1848&lt;&gt;"Cobro",C1848&lt;&gt;"Anticipo",C1848&lt;&gt;"Aplicación anticipo",C1848&lt;&gt;"Retención ISR",C1848&lt;&gt;"Retención IVA"),AND(C1848="Servicio",F1848&lt;&gt;"TMS",F1848&lt;&gt;"Valoración",F1848&lt;&gt;"EEG",F1848&lt;&gt;"Neurofeedback",F1848&lt;&gt;"Fotobiomodulación",F1848&lt;&gt;"Psicoterapia",F1848&lt;&gt;"Otros")),"Tipo o categoría inválido",IF(COUNTA(A1848:J1848)=0,"",IF(OR(A1848="",B1848="",C1848="",G1848=""),"Faltan datos",IF(COUNTIF($A$7:$A$2006,A1848)&gt;1,"ID duplicado",IF(OR(B1848&lt;DATE(Configuración!$C$5,1,1),B1848&gt;=DATE(Configuración!$C$5+1,1,1)),"Fecha fuera del año",IF(OR(G1848&lt;0,H1848&lt;0),"Revisar signo",IF(AND(C1848&lt;&gt;"Servicio",H1848&lt;&gt;0),"IVA solo en Servicio",IF(AND(C1848="Servicio",F1848=""),"Falta servicio","OK")))))))))</f>
        <v/>
      </c>
    </row>
    <row r="1849" spans="1:12" ht="22" customHeight="1">
      <c r="A1849" s="3"/>
      <c r="B1849" s="7"/>
      <c r="C1849" s="3"/>
      <c r="D1849" s="3"/>
      <c r="E1849" s="3"/>
      <c r="F1849" s="3"/>
      <c r="G1849" s="4"/>
      <c r="H1849" s="4"/>
      <c r="I1849" s="3"/>
      <c r="J1849" s="3"/>
      <c r="K1849" s="8" t="str">
        <f t="shared" si="28"/>
        <v/>
      </c>
      <c r="L1849" s="1" t="str">
        <f>IF(COUNTA(A1849:J1849)=0,"",IF(OR(AND(C1849&lt;&gt;"Servicio",C1849&lt;&gt;"Cobro",C1849&lt;&gt;"Anticipo",C1849&lt;&gt;"Aplicación anticipo",C1849&lt;&gt;"Retención ISR",C1849&lt;&gt;"Retención IVA"),AND(C1849="Servicio",F1849&lt;&gt;"TMS",F1849&lt;&gt;"Valoración",F1849&lt;&gt;"EEG",F1849&lt;&gt;"Neurofeedback",F1849&lt;&gt;"Fotobiomodulación",F1849&lt;&gt;"Psicoterapia",F1849&lt;&gt;"Otros")),"Tipo o categoría inválido",IF(COUNTA(A1849:J1849)=0,"",IF(OR(A1849="",B1849="",C1849="",G1849=""),"Faltan datos",IF(COUNTIF($A$7:$A$2006,A1849)&gt;1,"ID duplicado",IF(OR(B1849&lt;DATE(Configuración!$C$5,1,1),B1849&gt;=DATE(Configuración!$C$5+1,1,1)),"Fecha fuera del año",IF(OR(G1849&lt;0,H1849&lt;0),"Revisar signo",IF(AND(C1849&lt;&gt;"Servicio",H1849&lt;&gt;0),"IVA solo en Servicio",IF(AND(C1849="Servicio",F1849=""),"Falta servicio","OK")))))))))</f>
        <v/>
      </c>
    </row>
    <row r="1850" spans="1:12" ht="22" customHeight="1">
      <c r="A1850" s="3"/>
      <c r="B1850" s="7"/>
      <c r="C1850" s="3"/>
      <c r="D1850" s="3"/>
      <c r="E1850" s="3"/>
      <c r="F1850" s="3"/>
      <c r="G1850" s="4"/>
      <c r="H1850" s="4"/>
      <c r="I1850" s="3"/>
      <c r="J1850" s="3"/>
      <c r="K1850" s="8" t="str">
        <f t="shared" si="28"/>
        <v/>
      </c>
      <c r="L1850" s="1" t="str">
        <f>IF(COUNTA(A1850:J1850)=0,"",IF(OR(AND(C1850&lt;&gt;"Servicio",C1850&lt;&gt;"Cobro",C1850&lt;&gt;"Anticipo",C1850&lt;&gt;"Aplicación anticipo",C1850&lt;&gt;"Retención ISR",C1850&lt;&gt;"Retención IVA"),AND(C1850="Servicio",F1850&lt;&gt;"TMS",F1850&lt;&gt;"Valoración",F1850&lt;&gt;"EEG",F1850&lt;&gt;"Neurofeedback",F1850&lt;&gt;"Fotobiomodulación",F1850&lt;&gt;"Psicoterapia",F1850&lt;&gt;"Otros")),"Tipo o categoría inválido",IF(COUNTA(A1850:J1850)=0,"",IF(OR(A1850="",B1850="",C1850="",G1850=""),"Faltan datos",IF(COUNTIF($A$7:$A$2006,A1850)&gt;1,"ID duplicado",IF(OR(B1850&lt;DATE(Configuración!$C$5,1,1),B1850&gt;=DATE(Configuración!$C$5+1,1,1)),"Fecha fuera del año",IF(OR(G1850&lt;0,H1850&lt;0),"Revisar signo",IF(AND(C1850&lt;&gt;"Servicio",H1850&lt;&gt;0),"IVA solo en Servicio",IF(AND(C1850="Servicio",F1850=""),"Falta servicio","OK")))))))))</f>
        <v/>
      </c>
    </row>
    <row r="1851" spans="1:12" ht="22" customHeight="1">
      <c r="A1851" s="3"/>
      <c r="B1851" s="7"/>
      <c r="C1851" s="3"/>
      <c r="D1851" s="3"/>
      <c r="E1851" s="3"/>
      <c r="F1851" s="3"/>
      <c r="G1851" s="4"/>
      <c r="H1851" s="4"/>
      <c r="I1851" s="3"/>
      <c r="J1851" s="3"/>
      <c r="K1851" s="8" t="str">
        <f t="shared" si="28"/>
        <v/>
      </c>
      <c r="L1851" s="1" t="str">
        <f>IF(COUNTA(A1851:J1851)=0,"",IF(OR(AND(C1851&lt;&gt;"Servicio",C1851&lt;&gt;"Cobro",C1851&lt;&gt;"Anticipo",C1851&lt;&gt;"Aplicación anticipo",C1851&lt;&gt;"Retención ISR",C1851&lt;&gt;"Retención IVA"),AND(C1851="Servicio",F1851&lt;&gt;"TMS",F1851&lt;&gt;"Valoración",F1851&lt;&gt;"EEG",F1851&lt;&gt;"Neurofeedback",F1851&lt;&gt;"Fotobiomodulación",F1851&lt;&gt;"Psicoterapia",F1851&lt;&gt;"Otros")),"Tipo o categoría inválido",IF(COUNTA(A1851:J1851)=0,"",IF(OR(A1851="",B1851="",C1851="",G1851=""),"Faltan datos",IF(COUNTIF($A$7:$A$2006,A1851)&gt;1,"ID duplicado",IF(OR(B1851&lt;DATE(Configuración!$C$5,1,1),B1851&gt;=DATE(Configuración!$C$5+1,1,1)),"Fecha fuera del año",IF(OR(G1851&lt;0,H1851&lt;0),"Revisar signo",IF(AND(C1851&lt;&gt;"Servicio",H1851&lt;&gt;0),"IVA solo en Servicio",IF(AND(C1851="Servicio",F1851=""),"Falta servicio","OK")))))))))</f>
        <v/>
      </c>
    </row>
    <row r="1852" spans="1:12" ht="22" customHeight="1">
      <c r="A1852" s="3"/>
      <c r="B1852" s="7"/>
      <c r="C1852" s="3"/>
      <c r="D1852" s="3"/>
      <c r="E1852" s="3"/>
      <c r="F1852" s="3"/>
      <c r="G1852" s="4"/>
      <c r="H1852" s="4"/>
      <c r="I1852" s="3"/>
      <c r="J1852" s="3"/>
      <c r="K1852" s="8" t="str">
        <f t="shared" si="28"/>
        <v/>
      </c>
      <c r="L1852" s="1" t="str">
        <f>IF(COUNTA(A1852:J1852)=0,"",IF(OR(AND(C1852&lt;&gt;"Servicio",C1852&lt;&gt;"Cobro",C1852&lt;&gt;"Anticipo",C1852&lt;&gt;"Aplicación anticipo",C1852&lt;&gt;"Retención ISR",C1852&lt;&gt;"Retención IVA"),AND(C1852="Servicio",F1852&lt;&gt;"TMS",F1852&lt;&gt;"Valoración",F1852&lt;&gt;"EEG",F1852&lt;&gt;"Neurofeedback",F1852&lt;&gt;"Fotobiomodulación",F1852&lt;&gt;"Psicoterapia",F1852&lt;&gt;"Otros")),"Tipo o categoría inválido",IF(COUNTA(A1852:J1852)=0,"",IF(OR(A1852="",B1852="",C1852="",G1852=""),"Faltan datos",IF(COUNTIF($A$7:$A$2006,A1852)&gt;1,"ID duplicado",IF(OR(B1852&lt;DATE(Configuración!$C$5,1,1),B1852&gt;=DATE(Configuración!$C$5+1,1,1)),"Fecha fuera del año",IF(OR(G1852&lt;0,H1852&lt;0),"Revisar signo",IF(AND(C1852&lt;&gt;"Servicio",H1852&lt;&gt;0),"IVA solo en Servicio",IF(AND(C1852="Servicio",F1852=""),"Falta servicio","OK")))))))))</f>
        <v/>
      </c>
    </row>
    <row r="1853" spans="1:12" ht="22" customHeight="1">
      <c r="A1853" s="3"/>
      <c r="B1853" s="7"/>
      <c r="C1853" s="3"/>
      <c r="D1853" s="3"/>
      <c r="E1853" s="3"/>
      <c r="F1853" s="3"/>
      <c r="G1853" s="4"/>
      <c r="H1853" s="4"/>
      <c r="I1853" s="3"/>
      <c r="J1853" s="3"/>
      <c r="K1853" s="8" t="str">
        <f t="shared" si="28"/>
        <v/>
      </c>
      <c r="L1853" s="1" t="str">
        <f>IF(COUNTA(A1853:J1853)=0,"",IF(OR(AND(C1853&lt;&gt;"Servicio",C1853&lt;&gt;"Cobro",C1853&lt;&gt;"Anticipo",C1853&lt;&gt;"Aplicación anticipo",C1853&lt;&gt;"Retención ISR",C1853&lt;&gt;"Retención IVA"),AND(C1853="Servicio",F1853&lt;&gt;"TMS",F1853&lt;&gt;"Valoración",F1853&lt;&gt;"EEG",F1853&lt;&gt;"Neurofeedback",F1853&lt;&gt;"Fotobiomodulación",F1853&lt;&gt;"Psicoterapia",F1853&lt;&gt;"Otros")),"Tipo o categoría inválido",IF(COUNTA(A1853:J1853)=0,"",IF(OR(A1853="",B1853="",C1853="",G1853=""),"Faltan datos",IF(COUNTIF($A$7:$A$2006,A1853)&gt;1,"ID duplicado",IF(OR(B1853&lt;DATE(Configuración!$C$5,1,1),B1853&gt;=DATE(Configuración!$C$5+1,1,1)),"Fecha fuera del año",IF(OR(G1853&lt;0,H1853&lt;0),"Revisar signo",IF(AND(C1853&lt;&gt;"Servicio",H1853&lt;&gt;0),"IVA solo en Servicio",IF(AND(C1853="Servicio",F1853=""),"Falta servicio","OK")))))))))</f>
        <v/>
      </c>
    </row>
    <row r="1854" spans="1:12" ht="22" customHeight="1">
      <c r="A1854" s="3"/>
      <c r="B1854" s="7"/>
      <c r="C1854" s="3"/>
      <c r="D1854" s="3"/>
      <c r="E1854" s="3"/>
      <c r="F1854" s="3"/>
      <c r="G1854" s="4"/>
      <c r="H1854" s="4"/>
      <c r="I1854" s="3"/>
      <c r="J1854" s="3"/>
      <c r="K1854" s="8" t="str">
        <f t="shared" si="28"/>
        <v/>
      </c>
      <c r="L1854" s="1" t="str">
        <f>IF(COUNTA(A1854:J1854)=0,"",IF(OR(AND(C1854&lt;&gt;"Servicio",C1854&lt;&gt;"Cobro",C1854&lt;&gt;"Anticipo",C1854&lt;&gt;"Aplicación anticipo",C1854&lt;&gt;"Retención ISR",C1854&lt;&gt;"Retención IVA"),AND(C1854="Servicio",F1854&lt;&gt;"TMS",F1854&lt;&gt;"Valoración",F1854&lt;&gt;"EEG",F1854&lt;&gt;"Neurofeedback",F1854&lt;&gt;"Fotobiomodulación",F1854&lt;&gt;"Psicoterapia",F1854&lt;&gt;"Otros")),"Tipo o categoría inválido",IF(COUNTA(A1854:J1854)=0,"",IF(OR(A1854="",B1854="",C1854="",G1854=""),"Faltan datos",IF(COUNTIF($A$7:$A$2006,A1854)&gt;1,"ID duplicado",IF(OR(B1854&lt;DATE(Configuración!$C$5,1,1),B1854&gt;=DATE(Configuración!$C$5+1,1,1)),"Fecha fuera del año",IF(OR(G1854&lt;0,H1854&lt;0),"Revisar signo",IF(AND(C1854&lt;&gt;"Servicio",H1854&lt;&gt;0),"IVA solo en Servicio",IF(AND(C1854="Servicio",F1854=""),"Falta servicio","OK")))))))))</f>
        <v/>
      </c>
    </row>
    <row r="1855" spans="1:12" ht="22" customHeight="1">
      <c r="A1855" s="3"/>
      <c r="B1855" s="7"/>
      <c r="C1855" s="3"/>
      <c r="D1855" s="3"/>
      <c r="E1855" s="3"/>
      <c r="F1855" s="3"/>
      <c r="G1855" s="4"/>
      <c r="H1855" s="4"/>
      <c r="I1855" s="3"/>
      <c r="J1855" s="3"/>
      <c r="K1855" s="8" t="str">
        <f t="shared" si="28"/>
        <v/>
      </c>
      <c r="L1855" s="1" t="str">
        <f>IF(COUNTA(A1855:J1855)=0,"",IF(OR(AND(C1855&lt;&gt;"Servicio",C1855&lt;&gt;"Cobro",C1855&lt;&gt;"Anticipo",C1855&lt;&gt;"Aplicación anticipo",C1855&lt;&gt;"Retención ISR",C1855&lt;&gt;"Retención IVA"),AND(C1855="Servicio",F1855&lt;&gt;"TMS",F1855&lt;&gt;"Valoración",F1855&lt;&gt;"EEG",F1855&lt;&gt;"Neurofeedback",F1855&lt;&gt;"Fotobiomodulación",F1855&lt;&gt;"Psicoterapia",F1855&lt;&gt;"Otros")),"Tipo o categoría inválido",IF(COUNTA(A1855:J1855)=0,"",IF(OR(A1855="",B1855="",C1855="",G1855=""),"Faltan datos",IF(COUNTIF($A$7:$A$2006,A1855)&gt;1,"ID duplicado",IF(OR(B1855&lt;DATE(Configuración!$C$5,1,1),B1855&gt;=DATE(Configuración!$C$5+1,1,1)),"Fecha fuera del año",IF(OR(G1855&lt;0,H1855&lt;0),"Revisar signo",IF(AND(C1855&lt;&gt;"Servicio",H1855&lt;&gt;0),"IVA solo en Servicio",IF(AND(C1855="Servicio",F1855=""),"Falta servicio","OK")))))))))</f>
        <v/>
      </c>
    </row>
    <row r="1856" spans="1:12" ht="22" customHeight="1">
      <c r="A1856" s="3"/>
      <c r="B1856" s="7"/>
      <c r="C1856" s="3"/>
      <c r="D1856" s="3"/>
      <c r="E1856" s="3"/>
      <c r="F1856" s="3"/>
      <c r="G1856" s="4"/>
      <c r="H1856" s="4"/>
      <c r="I1856" s="3"/>
      <c r="J1856" s="3"/>
      <c r="K1856" s="8" t="str">
        <f t="shared" si="28"/>
        <v/>
      </c>
      <c r="L1856" s="1" t="str">
        <f>IF(COUNTA(A1856:J1856)=0,"",IF(OR(AND(C1856&lt;&gt;"Servicio",C1856&lt;&gt;"Cobro",C1856&lt;&gt;"Anticipo",C1856&lt;&gt;"Aplicación anticipo",C1856&lt;&gt;"Retención ISR",C1856&lt;&gt;"Retención IVA"),AND(C1856="Servicio",F1856&lt;&gt;"TMS",F1856&lt;&gt;"Valoración",F1856&lt;&gt;"EEG",F1856&lt;&gt;"Neurofeedback",F1856&lt;&gt;"Fotobiomodulación",F1856&lt;&gt;"Psicoterapia",F1856&lt;&gt;"Otros")),"Tipo o categoría inválido",IF(COUNTA(A1856:J1856)=0,"",IF(OR(A1856="",B1856="",C1856="",G1856=""),"Faltan datos",IF(COUNTIF($A$7:$A$2006,A1856)&gt;1,"ID duplicado",IF(OR(B1856&lt;DATE(Configuración!$C$5,1,1),B1856&gt;=DATE(Configuración!$C$5+1,1,1)),"Fecha fuera del año",IF(OR(G1856&lt;0,H1856&lt;0),"Revisar signo",IF(AND(C1856&lt;&gt;"Servicio",H1856&lt;&gt;0),"IVA solo en Servicio",IF(AND(C1856="Servicio",F1856=""),"Falta servicio","OK")))))))))</f>
        <v/>
      </c>
    </row>
    <row r="1857" spans="1:12" ht="22" customHeight="1">
      <c r="A1857" s="3"/>
      <c r="B1857" s="7"/>
      <c r="C1857" s="3"/>
      <c r="D1857" s="3"/>
      <c r="E1857" s="3"/>
      <c r="F1857" s="3"/>
      <c r="G1857" s="4"/>
      <c r="H1857" s="4"/>
      <c r="I1857" s="3"/>
      <c r="J1857" s="3"/>
      <c r="K1857" s="8" t="str">
        <f t="shared" si="28"/>
        <v/>
      </c>
      <c r="L1857" s="1" t="str">
        <f>IF(COUNTA(A1857:J1857)=0,"",IF(OR(AND(C1857&lt;&gt;"Servicio",C1857&lt;&gt;"Cobro",C1857&lt;&gt;"Anticipo",C1857&lt;&gt;"Aplicación anticipo",C1857&lt;&gt;"Retención ISR",C1857&lt;&gt;"Retención IVA"),AND(C1857="Servicio",F1857&lt;&gt;"TMS",F1857&lt;&gt;"Valoración",F1857&lt;&gt;"EEG",F1857&lt;&gt;"Neurofeedback",F1857&lt;&gt;"Fotobiomodulación",F1857&lt;&gt;"Psicoterapia",F1857&lt;&gt;"Otros")),"Tipo o categoría inválido",IF(COUNTA(A1857:J1857)=0,"",IF(OR(A1857="",B1857="",C1857="",G1857=""),"Faltan datos",IF(COUNTIF($A$7:$A$2006,A1857)&gt;1,"ID duplicado",IF(OR(B1857&lt;DATE(Configuración!$C$5,1,1),B1857&gt;=DATE(Configuración!$C$5+1,1,1)),"Fecha fuera del año",IF(OR(G1857&lt;0,H1857&lt;0),"Revisar signo",IF(AND(C1857&lt;&gt;"Servicio",H1857&lt;&gt;0),"IVA solo en Servicio",IF(AND(C1857="Servicio",F1857=""),"Falta servicio","OK")))))))))</f>
        <v/>
      </c>
    </row>
    <row r="1858" spans="1:12" ht="22" customHeight="1">
      <c r="A1858" s="3"/>
      <c r="B1858" s="7"/>
      <c r="C1858" s="3"/>
      <c r="D1858" s="3"/>
      <c r="E1858" s="3"/>
      <c r="F1858" s="3"/>
      <c r="G1858" s="4"/>
      <c r="H1858" s="4"/>
      <c r="I1858" s="3"/>
      <c r="J1858" s="3"/>
      <c r="K1858" s="8" t="str">
        <f t="shared" si="28"/>
        <v/>
      </c>
      <c r="L1858" s="1" t="str">
        <f>IF(COUNTA(A1858:J1858)=0,"",IF(OR(AND(C1858&lt;&gt;"Servicio",C1858&lt;&gt;"Cobro",C1858&lt;&gt;"Anticipo",C1858&lt;&gt;"Aplicación anticipo",C1858&lt;&gt;"Retención ISR",C1858&lt;&gt;"Retención IVA"),AND(C1858="Servicio",F1858&lt;&gt;"TMS",F1858&lt;&gt;"Valoración",F1858&lt;&gt;"EEG",F1858&lt;&gt;"Neurofeedback",F1858&lt;&gt;"Fotobiomodulación",F1858&lt;&gt;"Psicoterapia",F1858&lt;&gt;"Otros")),"Tipo o categoría inválido",IF(COUNTA(A1858:J1858)=0,"",IF(OR(A1858="",B1858="",C1858="",G1858=""),"Faltan datos",IF(COUNTIF($A$7:$A$2006,A1858)&gt;1,"ID duplicado",IF(OR(B1858&lt;DATE(Configuración!$C$5,1,1),B1858&gt;=DATE(Configuración!$C$5+1,1,1)),"Fecha fuera del año",IF(OR(G1858&lt;0,H1858&lt;0),"Revisar signo",IF(AND(C1858&lt;&gt;"Servicio",H1858&lt;&gt;0),"IVA solo en Servicio",IF(AND(C1858="Servicio",F1858=""),"Falta servicio","OK")))))))))</f>
        <v/>
      </c>
    </row>
    <row r="1859" spans="1:12" ht="22" customHeight="1">
      <c r="A1859" s="3"/>
      <c r="B1859" s="7"/>
      <c r="C1859" s="3"/>
      <c r="D1859" s="3"/>
      <c r="E1859" s="3"/>
      <c r="F1859" s="3"/>
      <c r="G1859" s="4"/>
      <c r="H1859" s="4"/>
      <c r="I1859" s="3"/>
      <c r="J1859" s="3"/>
      <c r="K1859" s="8" t="str">
        <f t="shared" si="28"/>
        <v/>
      </c>
      <c r="L1859" s="1" t="str">
        <f>IF(COUNTA(A1859:J1859)=0,"",IF(OR(AND(C1859&lt;&gt;"Servicio",C1859&lt;&gt;"Cobro",C1859&lt;&gt;"Anticipo",C1859&lt;&gt;"Aplicación anticipo",C1859&lt;&gt;"Retención ISR",C1859&lt;&gt;"Retención IVA"),AND(C1859="Servicio",F1859&lt;&gt;"TMS",F1859&lt;&gt;"Valoración",F1859&lt;&gt;"EEG",F1859&lt;&gt;"Neurofeedback",F1859&lt;&gt;"Fotobiomodulación",F1859&lt;&gt;"Psicoterapia",F1859&lt;&gt;"Otros")),"Tipo o categoría inválido",IF(COUNTA(A1859:J1859)=0,"",IF(OR(A1859="",B1859="",C1859="",G1859=""),"Faltan datos",IF(COUNTIF($A$7:$A$2006,A1859)&gt;1,"ID duplicado",IF(OR(B1859&lt;DATE(Configuración!$C$5,1,1),B1859&gt;=DATE(Configuración!$C$5+1,1,1)),"Fecha fuera del año",IF(OR(G1859&lt;0,H1859&lt;0),"Revisar signo",IF(AND(C1859&lt;&gt;"Servicio",H1859&lt;&gt;0),"IVA solo en Servicio",IF(AND(C1859="Servicio",F1859=""),"Falta servicio","OK")))))))))</f>
        <v/>
      </c>
    </row>
    <row r="1860" spans="1:12" ht="22" customHeight="1">
      <c r="A1860" s="3"/>
      <c r="B1860" s="7"/>
      <c r="C1860" s="3"/>
      <c r="D1860" s="3"/>
      <c r="E1860" s="3"/>
      <c r="F1860" s="3"/>
      <c r="G1860" s="4"/>
      <c r="H1860" s="4"/>
      <c r="I1860" s="3"/>
      <c r="J1860" s="3"/>
      <c r="K1860" s="8" t="str">
        <f t="shared" si="28"/>
        <v/>
      </c>
      <c r="L1860" s="1" t="str">
        <f>IF(COUNTA(A1860:J1860)=0,"",IF(OR(AND(C1860&lt;&gt;"Servicio",C1860&lt;&gt;"Cobro",C1860&lt;&gt;"Anticipo",C1860&lt;&gt;"Aplicación anticipo",C1860&lt;&gt;"Retención ISR",C1860&lt;&gt;"Retención IVA"),AND(C1860="Servicio",F1860&lt;&gt;"TMS",F1860&lt;&gt;"Valoración",F1860&lt;&gt;"EEG",F1860&lt;&gt;"Neurofeedback",F1860&lt;&gt;"Fotobiomodulación",F1860&lt;&gt;"Psicoterapia",F1860&lt;&gt;"Otros")),"Tipo o categoría inválido",IF(COUNTA(A1860:J1860)=0,"",IF(OR(A1860="",B1860="",C1860="",G1860=""),"Faltan datos",IF(COUNTIF($A$7:$A$2006,A1860)&gt;1,"ID duplicado",IF(OR(B1860&lt;DATE(Configuración!$C$5,1,1),B1860&gt;=DATE(Configuración!$C$5+1,1,1)),"Fecha fuera del año",IF(OR(G1860&lt;0,H1860&lt;0),"Revisar signo",IF(AND(C1860&lt;&gt;"Servicio",H1860&lt;&gt;0),"IVA solo en Servicio",IF(AND(C1860="Servicio",F1860=""),"Falta servicio","OK")))))))))</f>
        <v/>
      </c>
    </row>
    <row r="1861" spans="1:12" ht="22" customHeight="1">
      <c r="A1861" s="3"/>
      <c r="B1861" s="7"/>
      <c r="C1861" s="3"/>
      <c r="D1861" s="3"/>
      <c r="E1861" s="3"/>
      <c r="F1861" s="3"/>
      <c r="G1861" s="4"/>
      <c r="H1861" s="4"/>
      <c r="I1861" s="3"/>
      <c r="J1861" s="3"/>
      <c r="K1861" s="8" t="str">
        <f t="shared" si="28"/>
        <v/>
      </c>
      <c r="L1861" s="1" t="str">
        <f>IF(COUNTA(A1861:J1861)=0,"",IF(OR(AND(C1861&lt;&gt;"Servicio",C1861&lt;&gt;"Cobro",C1861&lt;&gt;"Anticipo",C1861&lt;&gt;"Aplicación anticipo",C1861&lt;&gt;"Retención ISR",C1861&lt;&gt;"Retención IVA"),AND(C1861="Servicio",F1861&lt;&gt;"TMS",F1861&lt;&gt;"Valoración",F1861&lt;&gt;"EEG",F1861&lt;&gt;"Neurofeedback",F1861&lt;&gt;"Fotobiomodulación",F1861&lt;&gt;"Psicoterapia",F1861&lt;&gt;"Otros")),"Tipo o categoría inválido",IF(COUNTA(A1861:J1861)=0,"",IF(OR(A1861="",B1861="",C1861="",G1861=""),"Faltan datos",IF(COUNTIF($A$7:$A$2006,A1861)&gt;1,"ID duplicado",IF(OR(B1861&lt;DATE(Configuración!$C$5,1,1),B1861&gt;=DATE(Configuración!$C$5+1,1,1)),"Fecha fuera del año",IF(OR(G1861&lt;0,H1861&lt;0),"Revisar signo",IF(AND(C1861&lt;&gt;"Servicio",H1861&lt;&gt;0),"IVA solo en Servicio",IF(AND(C1861="Servicio",F1861=""),"Falta servicio","OK")))))))))</f>
        <v/>
      </c>
    </row>
    <row r="1862" spans="1:12" ht="22" customHeight="1">
      <c r="A1862" s="3"/>
      <c r="B1862" s="7"/>
      <c r="C1862" s="3"/>
      <c r="D1862" s="3"/>
      <c r="E1862" s="3"/>
      <c r="F1862" s="3"/>
      <c r="G1862" s="4"/>
      <c r="H1862" s="4"/>
      <c r="I1862" s="3"/>
      <c r="J1862" s="3"/>
      <c r="K1862" s="8" t="str">
        <f t="shared" si="28"/>
        <v/>
      </c>
      <c r="L1862" s="1" t="str">
        <f>IF(COUNTA(A1862:J1862)=0,"",IF(OR(AND(C1862&lt;&gt;"Servicio",C1862&lt;&gt;"Cobro",C1862&lt;&gt;"Anticipo",C1862&lt;&gt;"Aplicación anticipo",C1862&lt;&gt;"Retención ISR",C1862&lt;&gt;"Retención IVA"),AND(C1862="Servicio",F1862&lt;&gt;"TMS",F1862&lt;&gt;"Valoración",F1862&lt;&gt;"EEG",F1862&lt;&gt;"Neurofeedback",F1862&lt;&gt;"Fotobiomodulación",F1862&lt;&gt;"Psicoterapia",F1862&lt;&gt;"Otros")),"Tipo o categoría inválido",IF(COUNTA(A1862:J1862)=0,"",IF(OR(A1862="",B1862="",C1862="",G1862=""),"Faltan datos",IF(COUNTIF($A$7:$A$2006,A1862)&gt;1,"ID duplicado",IF(OR(B1862&lt;DATE(Configuración!$C$5,1,1),B1862&gt;=DATE(Configuración!$C$5+1,1,1)),"Fecha fuera del año",IF(OR(G1862&lt;0,H1862&lt;0),"Revisar signo",IF(AND(C1862&lt;&gt;"Servicio",H1862&lt;&gt;0),"IVA solo en Servicio",IF(AND(C1862="Servicio",F1862=""),"Falta servicio","OK")))))))))</f>
        <v/>
      </c>
    </row>
    <row r="1863" spans="1:12" ht="22" customHeight="1">
      <c r="A1863" s="3"/>
      <c r="B1863" s="7"/>
      <c r="C1863" s="3"/>
      <c r="D1863" s="3"/>
      <c r="E1863" s="3"/>
      <c r="F1863" s="3"/>
      <c r="G1863" s="4"/>
      <c r="H1863" s="4"/>
      <c r="I1863" s="3"/>
      <c r="J1863" s="3"/>
      <c r="K1863" s="8" t="str">
        <f t="shared" ref="K1863:K1926" si="29">IF(A1863="","",G1863+H1863)</f>
        <v/>
      </c>
      <c r="L1863" s="1" t="str">
        <f>IF(COUNTA(A1863:J1863)=0,"",IF(OR(AND(C1863&lt;&gt;"Servicio",C1863&lt;&gt;"Cobro",C1863&lt;&gt;"Anticipo",C1863&lt;&gt;"Aplicación anticipo",C1863&lt;&gt;"Retención ISR",C1863&lt;&gt;"Retención IVA"),AND(C1863="Servicio",F1863&lt;&gt;"TMS",F1863&lt;&gt;"Valoración",F1863&lt;&gt;"EEG",F1863&lt;&gt;"Neurofeedback",F1863&lt;&gt;"Fotobiomodulación",F1863&lt;&gt;"Psicoterapia",F1863&lt;&gt;"Otros")),"Tipo o categoría inválido",IF(COUNTA(A1863:J1863)=0,"",IF(OR(A1863="",B1863="",C1863="",G1863=""),"Faltan datos",IF(COUNTIF($A$7:$A$2006,A1863)&gt;1,"ID duplicado",IF(OR(B1863&lt;DATE(Configuración!$C$5,1,1),B1863&gt;=DATE(Configuración!$C$5+1,1,1)),"Fecha fuera del año",IF(OR(G1863&lt;0,H1863&lt;0),"Revisar signo",IF(AND(C1863&lt;&gt;"Servicio",H1863&lt;&gt;0),"IVA solo en Servicio",IF(AND(C1863="Servicio",F1863=""),"Falta servicio","OK")))))))))</f>
        <v/>
      </c>
    </row>
    <row r="1864" spans="1:12" ht="22" customHeight="1">
      <c r="A1864" s="3"/>
      <c r="B1864" s="7"/>
      <c r="C1864" s="3"/>
      <c r="D1864" s="3"/>
      <c r="E1864" s="3"/>
      <c r="F1864" s="3"/>
      <c r="G1864" s="4"/>
      <c r="H1864" s="4"/>
      <c r="I1864" s="3"/>
      <c r="J1864" s="3"/>
      <c r="K1864" s="8" t="str">
        <f t="shared" si="29"/>
        <v/>
      </c>
      <c r="L1864" s="1" t="str">
        <f>IF(COUNTA(A1864:J1864)=0,"",IF(OR(AND(C1864&lt;&gt;"Servicio",C1864&lt;&gt;"Cobro",C1864&lt;&gt;"Anticipo",C1864&lt;&gt;"Aplicación anticipo",C1864&lt;&gt;"Retención ISR",C1864&lt;&gt;"Retención IVA"),AND(C1864="Servicio",F1864&lt;&gt;"TMS",F1864&lt;&gt;"Valoración",F1864&lt;&gt;"EEG",F1864&lt;&gt;"Neurofeedback",F1864&lt;&gt;"Fotobiomodulación",F1864&lt;&gt;"Psicoterapia",F1864&lt;&gt;"Otros")),"Tipo o categoría inválido",IF(COUNTA(A1864:J1864)=0,"",IF(OR(A1864="",B1864="",C1864="",G1864=""),"Faltan datos",IF(COUNTIF($A$7:$A$2006,A1864)&gt;1,"ID duplicado",IF(OR(B1864&lt;DATE(Configuración!$C$5,1,1),B1864&gt;=DATE(Configuración!$C$5+1,1,1)),"Fecha fuera del año",IF(OR(G1864&lt;0,H1864&lt;0),"Revisar signo",IF(AND(C1864&lt;&gt;"Servicio",H1864&lt;&gt;0),"IVA solo en Servicio",IF(AND(C1864="Servicio",F1864=""),"Falta servicio","OK")))))))))</f>
        <v/>
      </c>
    </row>
    <row r="1865" spans="1:12" ht="22" customHeight="1">
      <c r="A1865" s="3"/>
      <c r="B1865" s="7"/>
      <c r="C1865" s="3"/>
      <c r="D1865" s="3"/>
      <c r="E1865" s="3"/>
      <c r="F1865" s="3"/>
      <c r="G1865" s="4"/>
      <c r="H1865" s="4"/>
      <c r="I1865" s="3"/>
      <c r="J1865" s="3"/>
      <c r="K1865" s="8" t="str">
        <f t="shared" si="29"/>
        <v/>
      </c>
      <c r="L1865" s="1" t="str">
        <f>IF(COUNTA(A1865:J1865)=0,"",IF(OR(AND(C1865&lt;&gt;"Servicio",C1865&lt;&gt;"Cobro",C1865&lt;&gt;"Anticipo",C1865&lt;&gt;"Aplicación anticipo",C1865&lt;&gt;"Retención ISR",C1865&lt;&gt;"Retención IVA"),AND(C1865="Servicio",F1865&lt;&gt;"TMS",F1865&lt;&gt;"Valoración",F1865&lt;&gt;"EEG",F1865&lt;&gt;"Neurofeedback",F1865&lt;&gt;"Fotobiomodulación",F1865&lt;&gt;"Psicoterapia",F1865&lt;&gt;"Otros")),"Tipo o categoría inválido",IF(COUNTA(A1865:J1865)=0,"",IF(OR(A1865="",B1865="",C1865="",G1865=""),"Faltan datos",IF(COUNTIF($A$7:$A$2006,A1865)&gt;1,"ID duplicado",IF(OR(B1865&lt;DATE(Configuración!$C$5,1,1),B1865&gt;=DATE(Configuración!$C$5+1,1,1)),"Fecha fuera del año",IF(OR(G1865&lt;0,H1865&lt;0),"Revisar signo",IF(AND(C1865&lt;&gt;"Servicio",H1865&lt;&gt;0),"IVA solo en Servicio",IF(AND(C1865="Servicio",F1865=""),"Falta servicio","OK")))))))))</f>
        <v/>
      </c>
    </row>
    <row r="1866" spans="1:12" ht="22" customHeight="1">
      <c r="A1866" s="3"/>
      <c r="B1866" s="7"/>
      <c r="C1866" s="3"/>
      <c r="D1866" s="3"/>
      <c r="E1866" s="3"/>
      <c r="F1866" s="3"/>
      <c r="G1866" s="4"/>
      <c r="H1866" s="4"/>
      <c r="I1866" s="3"/>
      <c r="J1866" s="3"/>
      <c r="K1866" s="8" t="str">
        <f t="shared" si="29"/>
        <v/>
      </c>
      <c r="L1866" s="1" t="str">
        <f>IF(COUNTA(A1866:J1866)=0,"",IF(OR(AND(C1866&lt;&gt;"Servicio",C1866&lt;&gt;"Cobro",C1866&lt;&gt;"Anticipo",C1866&lt;&gt;"Aplicación anticipo",C1866&lt;&gt;"Retención ISR",C1866&lt;&gt;"Retención IVA"),AND(C1866="Servicio",F1866&lt;&gt;"TMS",F1866&lt;&gt;"Valoración",F1866&lt;&gt;"EEG",F1866&lt;&gt;"Neurofeedback",F1866&lt;&gt;"Fotobiomodulación",F1866&lt;&gt;"Psicoterapia",F1866&lt;&gt;"Otros")),"Tipo o categoría inválido",IF(COUNTA(A1866:J1866)=0,"",IF(OR(A1866="",B1866="",C1866="",G1866=""),"Faltan datos",IF(COUNTIF($A$7:$A$2006,A1866)&gt;1,"ID duplicado",IF(OR(B1866&lt;DATE(Configuración!$C$5,1,1),B1866&gt;=DATE(Configuración!$C$5+1,1,1)),"Fecha fuera del año",IF(OR(G1866&lt;0,H1866&lt;0),"Revisar signo",IF(AND(C1866&lt;&gt;"Servicio",H1866&lt;&gt;0),"IVA solo en Servicio",IF(AND(C1866="Servicio",F1866=""),"Falta servicio","OK")))))))))</f>
        <v/>
      </c>
    </row>
    <row r="1867" spans="1:12" ht="22" customHeight="1">
      <c r="A1867" s="3"/>
      <c r="B1867" s="7"/>
      <c r="C1867" s="3"/>
      <c r="D1867" s="3"/>
      <c r="E1867" s="3"/>
      <c r="F1867" s="3"/>
      <c r="G1867" s="4"/>
      <c r="H1867" s="4"/>
      <c r="I1867" s="3"/>
      <c r="J1867" s="3"/>
      <c r="K1867" s="8" t="str">
        <f t="shared" si="29"/>
        <v/>
      </c>
      <c r="L1867" s="1" t="str">
        <f>IF(COUNTA(A1867:J1867)=0,"",IF(OR(AND(C1867&lt;&gt;"Servicio",C1867&lt;&gt;"Cobro",C1867&lt;&gt;"Anticipo",C1867&lt;&gt;"Aplicación anticipo",C1867&lt;&gt;"Retención ISR",C1867&lt;&gt;"Retención IVA"),AND(C1867="Servicio",F1867&lt;&gt;"TMS",F1867&lt;&gt;"Valoración",F1867&lt;&gt;"EEG",F1867&lt;&gt;"Neurofeedback",F1867&lt;&gt;"Fotobiomodulación",F1867&lt;&gt;"Psicoterapia",F1867&lt;&gt;"Otros")),"Tipo o categoría inválido",IF(COUNTA(A1867:J1867)=0,"",IF(OR(A1867="",B1867="",C1867="",G1867=""),"Faltan datos",IF(COUNTIF($A$7:$A$2006,A1867)&gt;1,"ID duplicado",IF(OR(B1867&lt;DATE(Configuración!$C$5,1,1),B1867&gt;=DATE(Configuración!$C$5+1,1,1)),"Fecha fuera del año",IF(OR(G1867&lt;0,H1867&lt;0),"Revisar signo",IF(AND(C1867&lt;&gt;"Servicio",H1867&lt;&gt;0),"IVA solo en Servicio",IF(AND(C1867="Servicio",F1867=""),"Falta servicio","OK")))))))))</f>
        <v/>
      </c>
    </row>
    <row r="1868" spans="1:12" ht="22" customHeight="1">
      <c r="A1868" s="3"/>
      <c r="B1868" s="7"/>
      <c r="C1868" s="3"/>
      <c r="D1868" s="3"/>
      <c r="E1868" s="3"/>
      <c r="F1868" s="3"/>
      <c r="G1868" s="4"/>
      <c r="H1868" s="4"/>
      <c r="I1868" s="3"/>
      <c r="J1868" s="3"/>
      <c r="K1868" s="8" t="str">
        <f t="shared" si="29"/>
        <v/>
      </c>
      <c r="L1868" s="1" t="str">
        <f>IF(COUNTA(A1868:J1868)=0,"",IF(OR(AND(C1868&lt;&gt;"Servicio",C1868&lt;&gt;"Cobro",C1868&lt;&gt;"Anticipo",C1868&lt;&gt;"Aplicación anticipo",C1868&lt;&gt;"Retención ISR",C1868&lt;&gt;"Retención IVA"),AND(C1868="Servicio",F1868&lt;&gt;"TMS",F1868&lt;&gt;"Valoración",F1868&lt;&gt;"EEG",F1868&lt;&gt;"Neurofeedback",F1868&lt;&gt;"Fotobiomodulación",F1868&lt;&gt;"Psicoterapia",F1868&lt;&gt;"Otros")),"Tipo o categoría inválido",IF(COUNTA(A1868:J1868)=0,"",IF(OR(A1868="",B1868="",C1868="",G1868=""),"Faltan datos",IF(COUNTIF($A$7:$A$2006,A1868)&gt;1,"ID duplicado",IF(OR(B1868&lt;DATE(Configuración!$C$5,1,1),B1868&gt;=DATE(Configuración!$C$5+1,1,1)),"Fecha fuera del año",IF(OR(G1868&lt;0,H1868&lt;0),"Revisar signo",IF(AND(C1868&lt;&gt;"Servicio",H1868&lt;&gt;0),"IVA solo en Servicio",IF(AND(C1868="Servicio",F1868=""),"Falta servicio","OK")))))))))</f>
        <v/>
      </c>
    </row>
    <row r="1869" spans="1:12" ht="22" customHeight="1">
      <c r="A1869" s="3"/>
      <c r="B1869" s="7"/>
      <c r="C1869" s="3"/>
      <c r="D1869" s="3"/>
      <c r="E1869" s="3"/>
      <c r="F1869" s="3"/>
      <c r="G1869" s="4"/>
      <c r="H1869" s="4"/>
      <c r="I1869" s="3"/>
      <c r="J1869" s="3"/>
      <c r="K1869" s="8" t="str">
        <f t="shared" si="29"/>
        <v/>
      </c>
      <c r="L1869" s="1" t="str">
        <f>IF(COUNTA(A1869:J1869)=0,"",IF(OR(AND(C1869&lt;&gt;"Servicio",C1869&lt;&gt;"Cobro",C1869&lt;&gt;"Anticipo",C1869&lt;&gt;"Aplicación anticipo",C1869&lt;&gt;"Retención ISR",C1869&lt;&gt;"Retención IVA"),AND(C1869="Servicio",F1869&lt;&gt;"TMS",F1869&lt;&gt;"Valoración",F1869&lt;&gt;"EEG",F1869&lt;&gt;"Neurofeedback",F1869&lt;&gt;"Fotobiomodulación",F1869&lt;&gt;"Psicoterapia",F1869&lt;&gt;"Otros")),"Tipo o categoría inválido",IF(COUNTA(A1869:J1869)=0,"",IF(OR(A1869="",B1869="",C1869="",G1869=""),"Faltan datos",IF(COUNTIF($A$7:$A$2006,A1869)&gt;1,"ID duplicado",IF(OR(B1869&lt;DATE(Configuración!$C$5,1,1),B1869&gt;=DATE(Configuración!$C$5+1,1,1)),"Fecha fuera del año",IF(OR(G1869&lt;0,H1869&lt;0),"Revisar signo",IF(AND(C1869&lt;&gt;"Servicio",H1869&lt;&gt;0),"IVA solo en Servicio",IF(AND(C1869="Servicio",F1869=""),"Falta servicio","OK")))))))))</f>
        <v/>
      </c>
    </row>
    <row r="1870" spans="1:12" ht="22" customHeight="1">
      <c r="A1870" s="3"/>
      <c r="B1870" s="7"/>
      <c r="C1870" s="3"/>
      <c r="D1870" s="3"/>
      <c r="E1870" s="3"/>
      <c r="F1870" s="3"/>
      <c r="G1870" s="4"/>
      <c r="H1870" s="4"/>
      <c r="I1870" s="3"/>
      <c r="J1870" s="3"/>
      <c r="K1870" s="8" t="str">
        <f t="shared" si="29"/>
        <v/>
      </c>
      <c r="L1870" s="1" t="str">
        <f>IF(COUNTA(A1870:J1870)=0,"",IF(OR(AND(C1870&lt;&gt;"Servicio",C1870&lt;&gt;"Cobro",C1870&lt;&gt;"Anticipo",C1870&lt;&gt;"Aplicación anticipo",C1870&lt;&gt;"Retención ISR",C1870&lt;&gt;"Retención IVA"),AND(C1870="Servicio",F1870&lt;&gt;"TMS",F1870&lt;&gt;"Valoración",F1870&lt;&gt;"EEG",F1870&lt;&gt;"Neurofeedback",F1870&lt;&gt;"Fotobiomodulación",F1870&lt;&gt;"Psicoterapia",F1870&lt;&gt;"Otros")),"Tipo o categoría inválido",IF(COUNTA(A1870:J1870)=0,"",IF(OR(A1870="",B1870="",C1870="",G1870=""),"Faltan datos",IF(COUNTIF($A$7:$A$2006,A1870)&gt;1,"ID duplicado",IF(OR(B1870&lt;DATE(Configuración!$C$5,1,1),B1870&gt;=DATE(Configuración!$C$5+1,1,1)),"Fecha fuera del año",IF(OR(G1870&lt;0,H1870&lt;0),"Revisar signo",IF(AND(C1870&lt;&gt;"Servicio",H1870&lt;&gt;0),"IVA solo en Servicio",IF(AND(C1870="Servicio",F1870=""),"Falta servicio","OK")))))))))</f>
        <v/>
      </c>
    </row>
    <row r="1871" spans="1:12" ht="22" customHeight="1">
      <c r="A1871" s="3"/>
      <c r="B1871" s="7"/>
      <c r="C1871" s="3"/>
      <c r="D1871" s="3"/>
      <c r="E1871" s="3"/>
      <c r="F1871" s="3"/>
      <c r="G1871" s="4"/>
      <c r="H1871" s="4"/>
      <c r="I1871" s="3"/>
      <c r="J1871" s="3"/>
      <c r="K1871" s="8" t="str">
        <f t="shared" si="29"/>
        <v/>
      </c>
      <c r="L1871" s="1" t="str">
        <f>IF(COUNTA(A1871:J1871)=0,"",IF(OR(AND(C1871&lt;&gt;"Servicio",C1871&lt;&gt;"Cobro",C1871&lt;&gt;"Anticipo",C1871&lt;&gt;"Aplicación anticipo",C1871&lt;&gt;"Retención ISR",C1871&lt;&gt;"Retención IVA"),AND(C1871="Servicio",F1871&lt;&gt;"TMS",F1871&lt;&gt;"Valoración",F1871&lt;&gt;"EEG",F1871&lt;&gt;"Neurofeedback",F1871&lt;&gt;"Fotobiomodulación",F1871&lt;&gt;"Psicoterapia",F1871&lt;&gt;"Otros")),"Tipo o categoría inválido",IF(COUNTA(A1871:J1871)=0,"",IF(OR(A1871="",B1871="",C1871="",G1871=""),"Faltan datos",IF(COUNTIF($A$7:$A$2006,A1871)&gt;1,"ID duplicado",IF(OR(B1871&lt;DATE(Configuración!$C$5,1,1),B1871&gt;=DATE(Configuración!$C$5+1,1,1)),"Fecha fuera del año",IF(OR(G1871&lt;0,H1871&lt;0),"Revisar signo",IF(AND(C1871&lt;&gt;"Servicio",H1871&lt;&gt;0),"IVA solo en Servicio",IF(AND(C1871="Servicio",F1871=""),"Falta servicio","OK")))))))))</f>
        <v/>
      </c>
    </row>
    <row r="1872" spans="1:12" ht="22" customHeight="1">
      <c r="A1872" s="3"/>
      <c r="B1872" s="7"/>
      <c r="C1872" s="3"/>
      <c r="D1872" s="3"/>
      <c r="E1872" s="3"/>
      <c r="F1872" s="3"/>
      <c r="G1872" s="4"/>
      <c r="H1872" s="4"/>
      <c r="I1872" s="3"/>
      <c r="J1872" s="3"/>
      <c r="K1872" s="8" t="str">
        <f t="shared" si="29"/>
        <v/>
      </c>
      <c r="L1872" s="1" t="str">
        <f>IF(COUNTA(A1872:J1872)=0,"",IF(OR(AND(C1872&lt;&gt;"Servicio",C1872&lt;&gt;"Cobro",C1872&lt;&gt;"Anticipo",C1872&lt;&gt;"Aplicación anticipo",C1872&lt;&gt;"Retención ISR",C1872&lt;&gt;"Retención IVA"),AND(C1872="Servicio",F1872&lt;&gt;"TMS",F1872&lt;&gt;"Valoración",F1872&lt;&gt;"EEG",F1872&lt;&gt;"Neurofeedback",F1872&lt;&gt;"Fotobiomodulación",F1872&lt;&gt;"Psicoterapia",F1872&lt;&gt;"Otros")),"Tipo o categoría inválido",IF(COUNTA(A1872:J1872)=0,"",IF(OR(A1872="",B1872="",C1872="",G1872=""),"Faltan datos",IF(COUNTIF($A$7:$A$2006,A1872)&gt;1,"ID duplicado",IF(OR(B1872&lt;DATE(Configuración!$C$5,1,1),B1872&gt;=DATE(Configuración!$C$5+1,1,1)),"Fecha fuera del año",IF(OR(G1872&lt;0,H1872&lt;0),"Revisar signo",IF(AND(C1872&lt;&gt;"Servicio",H1872&lt;&gt;0),"IVA solo en Servicio",IF(AND(C1872="Servicio",F1872=""),"Falta servicio","OK")))))))))</f>
        <v/>
      </c>
    </row>
    <row r="1873" spans="1:12" ht="22" customHeight="1">
      <c r="A1873" s="3"/>
      <c r="B1873" s="7"/>
      <c r="C1873" s="3"/>
      <c r="D1873" s="3"/>
      <c r="E1873" s="3"/>
      <c r="F1873" s="3"/>
      <c r="G1873" s="4"/>
      <c r="H1873" s="4"/>
      <c r="I1873" s="3"/>
      <c r="J1873" s="3"/>
      <c r="K1873" s="8" t="str">
        <f t="shared" si="29"/>
        <v/>
      </c>
      <c r="L1873" s="1" t="str">
        <f>IF(COUNTA(A1873:J1873)=0,"",IF(OR(AND(C1873&lt;&gt;"Servicio",C1873&lt;&gt;"Cobro",C1873&lt;&gt;"Anticipo",C1873&lt;&gt;"Aplicación anticipo",C1873&lt;&gt;"Retención ISR",C1873&lt;&gt;"Retención IVA"),AND(C1873="Servicio",F1873&lt;&gt;"TMS",F1873&lt;&gt;"Valoración",F1873&lt;&gt;"EEG",F1873&lt;&gt;"Neurofeedback",F1873&lt;&gt;"Fotobiomodulación",F1873&lt;&gt;"Psicoterapia",F1873&lt;&gt;"Otros")),"Tipo o categoría inválido",IF(COUNTA(A1873:J1873)=0,"",IF(OR(A1873="",B1873="",C1873="",G1873=""),"Faltan datos",IF(COUNTIF($A$7:$A$2006,A1873)&gt;1,"ID duplicado",IF(OR(B1873&lt;DATE(Configuración!$C$5,1,1),B1873&gt;=DATE(Configuración!$C$5+1,1,1)),"Fecha fuera del año",IF(OR(G1873&lt;0,H1873&lt;0),"Revisar signo",IF(AND(C1873&lt;&gt;"Servicio",H1873&lt;&gt;0),"IVA solo en Servicio",IF(AND(C1873="Servicio",F1873=""),"Falta servicio","OK")))))))))</f>
        <v/>
      </c>
    </row>
    <row r="1874" spans="1:12" ht="22" customHeight="1">
      <c r="A1874" s="3"/>
      <c r="B1874" s="7"/>
      <c r="C1874" s="3"/>
      <c r="D1874" s="3"/>
      <c r="E1874" s="3"/>
      <c r="F1874" s="3"/>
      <c r="G1874" s="4"/>
      <c r="H1874" s="4"/>
      <c r="I1874" s="3"/>
      <c r="J1874" s="3"/>
      <c r="K1874" s="8" t="str">
        <f t="shared" si="29"/>
        <v/>
      </c>
      <c r="L1874" s="1" t="str">
        <f>IF(COUNTA(A1874:J1874)=0,"",IF(OR(AND(C1874&lt;&gt;"Servicio",C1874&lt;&gt;"Cobro",C1874&lt;&gt;"Anticipo",C1874&lt;&gt;"Aplicación anticipo",C1874&lt;&gt;"Retención ISR",C1874&lt;&gt;"Retención IVA"),AND(C1874="Servicio",F1874&lt;&gt;"TMS",F1874&lt;&gt;"Valoración",F1874&lt;&gt;"EEG",F1874&lt;&gt;"Neurofeedback",F1874&lt;&gt;"Fotobiomodulación",F1874&lt;&gt;"Psicoterapia",F1874&lt;&gt;"Otros")),"Tipo o categoría inválido",IF(COUNTA(A1874:J1874)=0,"",IF(OR(A1874="",B1874="",C1874="",G1874=""),"Faltan datos",IF(COUNTIF($A$7:$A$2006,A1874)&gt;1,"ID duplicado",IF(OR(B1874&lt;DATE(Configuración!$C$5,1,1),B1874&gt;=DATE(Configuración!$C$5+1,1,1)),"Fecha fuera del año",IF(OR(G1874&lt;0,H1874&lt;0),"Revisar signo",IF(AND(C1874&lt;&gt;"Servicio",H1874&lt;&gt;0),"IVA solo en Servicio",IF(AND(C1874="Servicio",F1874=""),"Falta servicio","OK")))))))))</f>
        <v/>
      </c>
    </row>
    <row r="1875" spans="1:12" ht="22" customHeight="1">
      <c r="A1875" s="3"/>
      <c r="B1875" s="7"/>
      <c r="C1875" s="3"/>
      <c r="D1875" s="3"/>
      <c r="E1875" s="3"/>
      <c r="F1875" s="3"/>
      <c r="G1875" s="4"/>
      <c r="H1875" s="4"/>
      <c r="I1875" s="3"/>
      <c r="J1875" s="3"/>
      <c r="K1875" s="8" t="str">
        <f t="shared" si="29"/>
        <v/>
      </c>
      <c r="L1875" s="1" t="str">
        <f>IF(COUNTA(A1875:J1875)=0,"",IF(OR(AND(C1875&lt;&gt;"Servicio",C1875&lt;&gt;"Cobro",C1875&lt;&gt;"Anticipo",C1875&lt;&gt;"Aplicación anticipo",C1875&lt;&gt;"Retención ISR",C1875&lt;&gt;"Retención IVA"),AND(C1875="Servicio",F1875&lt;&gt;"TMS",F1875&lt;&gt;"Valoración",F1875&lt;&gt;"EEG",F1875&lt;&gt;"Neurofeedback",F1875&lt;&gt;"Fotobiomodulación",F1875&lt;&gt;"Psicoterapia",F1875&lt;&gt;"Otros")),"Tipo o categoría inválido",IF(COUNTA(A1875:J1875)=0,"",IF(OR(A1875="",B1875="",C1875="",G1875=""),"Faltan datos",IF(COUNTIF($A$7:$A$2006,A1875)&gt;1,"ID duplicado",IF(OR(B1875&lt;DATE(Configuración!$C$5,1,1),B1875&gt;=DATE(Configuración!$C$5+1,1,1)),"Fecha fuera del año",IF(OR(G1875&lt;0,H1875&lt;0),"Revisar signo",IF(AND(C1875&lt;&gt;"Servicio",H1875&lt;&gt;0),"IVA solo en Servicio",IF(AND(C1875="Servicio",F1875=""),"Falta servicio","OK")))))))))</f>
        <v/>
      </c>
    </row>
    <row r="1876" spans="1:12" ht="22" customHeight="1">
      <c r="A1876" s="3"/>
      <c r="B1876" s="7"/>
      <c r="C1876" s="3"/>
      <c r="D1876" s="3"/>
      <c r="E1876" s="3"/>
      <c r="F1876" s="3"/>
      <c r="G1876" s="4"/>
      <c r="H1876" s="4"/>
      <c r="I1876" s="3"/>
      <c r="J1876" s="3"/>
      <c r="K1876" s="8" t="str">
        <f t="shared" si="29"/>
        <v/>
      </c>
      <c r="L1876" s="1" t="str">
        <f>IF(COUNTA(A1876:J1876)=0,"",IF(OR(AND(C1876&lt;&gt;"Servicio",C1876&lt;&gt;"Cobro",C1876&lt;&gt;"Anticipo",C1876&lt;&gt;"Aplicación anticipo",C1876&lt;&gt;"Retención ISR",C1876&lt;&gt;"Retención IVA"),AND(C1876="Servicio",F1876&lt;&gt;"TMS",F1876&lt;&gt;"Valoración",F1876&lt;&gt;"EEG",F1876&lt;&gt;"Neurofeedback",F1876&lt;&gt;"Fotobiomodulación",F1876&lt;&gt;"Psicoterapia",F1876&lt;&gt;"Otros")),"Tipo o categoría inválido",IF(COUNTA(A1876:J1876)=0,"",IF(OR(A1876="",B1876="",C1876="",G1876=""),"Faltan datos",IF(COUNTIF($A$7:$A$2006,A1876)&gt;1,"ID duplicado",IF(OR(B1876&lt;DATE(Configuración!$C$5,1,1),B1876&gt;=DATE(Configuración!$C$5+1,1,1)),"Fecha fuera del año",IF(OR(G1876&lt;0,H1876&lt;0),"Revisar signo",IF(AND(C1876&lt;&gt;"Servicio",H1876&lt;&gt;0),"IVA solo en Servicio",IF(AND(C1876="Servicio",F1876=""),"Falta servicio","OK")))))))))</f>
        <v/>
      </c>
    </row>
    <row r="1877" spans="1:12" ht="22" customHeight="1">
      <c r="A1877" s="3"/>
      <c r="B1877" s="7"/>
      <c r="C1877" s="3"/>
      <c r="D1877" s="3"/>
      <c r="E1877" s="3"/>
      <c r="F1877" s="3"/>
      <c r="G1877" s="4"/>
      <c r="H1877" s="4"/>
      <c r="I1877" s="3"/>
      <c r="J1877" s="3"/>
      <c r="K1877" s="8" t="str">
        <f t="shared" si="29"/>
        <v/>
      </c>
      <c r="L1877" s="1" t="str">
        <f>IF(COUNTA(A1877:J1877)=0,"",IF(OR(AND(C1877&lt;&gt;"Servicio",C1877&lt;&gt;"Cobro",C1877&lt;&gt;"Anticipo",C1877&lt;&gt;"Aplicación anticipo",C1877&lt;&gt;"Retención ISR",C1877&lt;&gt;"Retención IVA"),AND(C1877="Servicio",F1877&lt;&gt;"TMS",F1877&lt;&gt;"Valoración",F1877&lt;&gt;"EEG",F1877&lt;&gt;"Neurofeedback",F1877&lt;&gt;"Fotobiomodulación",F1877&lt;&gt;"Psicoterapia",F1877&lt;&gt;"Otros")),"Tipo o categoría inválido",IF(COUNTA(A1877:J1877)=0,"",IF(OR(A1877="",B1877="",C1877="",G1877=""),"Faltan datos",IF(COUNTIF($A$7:$A$2006,A1877)&gt;1,"ID duplicado",IF(OR(B1877&lt;DATE(Configuración!$C$5,1,1),B1877&gt;=DATE(Configuración!$C$5+1,1,1)),"Fecha fuera del año",IF(OR(G1877&lt;0,H1877&lt;0),"Revisar signo",IF(AND(C1877&lt;&gt;"Servicio",H1877&lt;&gt;0),"IVA solo en Servicio",IF(AND(C1877="Servicio",F1877=""),"Falta servicio","OK")))))))))</f>
        <v/>
      </c>
    </row>
    <row r="1878" spans="1:12" ht="22" customHeight="1">
      <c r="A1878" s="3"/>
      <c r="B1878" s="7"/>
      <c r="C1878" s="3"/>
      <c r="D1878" s="3"/>
      <c r="E1878" s="3"/>
      <c r="F1878" s="3"/>
      <c r="G1878" s="4"/>
      <c r="H1878" s="4"/>
      <c r="I1878" s="3"/>
      <c r="J1878" s="3"/>
      <c r="K1878" s="8" t="str">
        <f t="shared" si="29"/>
        <v/>
      </c>
      <c r="L1878" s="1" t="str">
        <f>IF(COUNTA(A1878:J1878)=0,"",IF(OR(AND(C1878&lt;&gt;"Servicio",C1878&lt;&gt;"Cobro",C1878&lt;&gt;"Anticipo",C1878&lt;&gt;"Aplicación anticipo",C1878&lt;&gt;"Retención ISR",C1878&lt;&gt;"Retención IVA"),AND(C1878="Servicio",F1878&lt;&gt;"TMS",F1878&lt;&gt;"Valoración",F1878&lt;&gt;"EEG",F1878&lt;&gt;"Neurofeedback",F1878&lt;&gt;"Fotobiomodulación",F1878&lt;&gt;"Psicoterapia",F1878&lt;&gt;"Otros")),"Tipo o categoría inválido",IF(COUNTA(A1878:J1878)=0,"",IF(OR(A1878="",B1878="",C1878="",G1878=""),"Faltan datos",IF(COUNTIF($A$7:$A$2006,A1878)&gt;1,"ID duplicado",IF(OR(B1878&lt;DATE(Configuración!$C$5,1,1),B1878&gt;=DATE(Configuración!$C$5+1,1,1)),"Fecha fuera del año",IF(OR(G1878&lt;0,H1878&lt;0),"Revisar signo",IF(AND(C1878&lt;&gt;"Servicio",H1878&lt;&gt;0),"IVA solo en Servicio",IF(AND(C1878="Servicio",F1878=""),"Falta servicio","OK")))))))))</f>
        <v/>
      </c>
    </row>
    <row r="1879" spans="1:12" ht="22" customHeight="1">
      <c r="A1879" s="3"/>
      <c r="B1879" s="7"/>
      <c r="C1879" s="3"/>
      <c r="D1879" s="3"/>
      <c r="E1879" s="3"/>
      <c r="F1879" s="3"/>
      <c r="G1879" s="4"/>
      <c r="H1879" s="4"/>
      <c r="I1879" s="3"/>
      <c r="J1879" s="3"/>
      <c r="K1879" s="8" t="str">
        <f t="shared" si="29"/>
        <v/>
      </c>
      <c r="L1879" s="1" t="str">
        <f>IF(COUNTA(A1879:J1879)=0,"",IF(OR(AND(C1879&lt;&gt;"Servicio",C1879&lt;&gt;"Cobro",C1879&lt;&gt;"Anticipo",C1879&lt;&gt;"Aplicación anticipo",C1879&lt;&gt;"Retención ISR",C1879&lt;&gt;"Retención IVA"),AND(C1879="Servicio",F1879&lt;&gt;"TMS",F1879&lt;&gt;"Valoración",F1879&lt;&gt;"EEG",F1879&lt;&gt;"Neurofeedback",F1879&lt;&gt;"Fotobiomodulación",F1879&lt;&gt;"Psicoterapia",F1879&lt;&gt;"Otros")),"Tipo o categoría inválido",IF(COUNTA(A1879:J1879)=0,"",IF(OR(A1879="",B1879="",C1879="",G1879=""),"Faltan datos",IF(COUNTIF($A$7:$A$2006,A1879)&gt;1,"ID duplicado",IF(OR(B1879&lt;DATE(Configuración!$C$5,1,1),B1879&gt;=DATE(Configuración!$C$5+1,1,1)),"Fecha fuera del año",IF(OR(G1879&lt;0,H1879&lt;0),"Revisar signo",IF(AND(C1879&lt;&gt;"Servicio",H1879&lt;&gt;0),"IVA solo en Servicio",IF(AND(C1879="Servicio",F1879=""),"Falta servicio","OK")))))))))</f>
        <v/>
      </c>
    </row>
    <row r="1880" spans="1:12" ht="22" customHeight="1">
      <c r="A1880" s="3"/>
      <c r="B1880" s="7"/>
      <c r="C1880" s="3"/>
      <c r="D1880" s="3"/>
      <c r="E1880" s="3"/>
      <c r="F1880" s="3"/>
      <c r="G1880" s="4"/>
      <c r="H1880" s="4"/>
      <c r="I1880" s="3"/>
      <c r="J1880" s="3"/>
      <c r="K1880" s="8" t="str">
        <f t="shared" si="29"/>
        <v/>
      </c>
      <c r="L1880" s="1" t="str">
        <f>IF(COUNTA(A1880:J1880)=0,"",IF(OR(AND(C1880&lt;&gt;"Servicio",C1880&lt;&gt;"Cobro",C1880&lt;&gt;"Anticipo",C1880&lt;&gt;"Aplicación anticipo",C1880&lt;&gt;"Retención ISR",C1880&lt;&gt;"Retención IVA"),AND(C1880="Servicio",F1880&lt;&gt;"TMS",F1880&lt;&gt;"Valoración",F1880&lt;&gt;"EEG",F1880&lt;&gt;"Neurofeedback",F1880&lt;&gt;"Fotobiomodulación",F1880&lt;&gt;"Psicoterapia",F1880&lt;&gt;"Otros")),"Tipo o categoría inválido",IF(COUNTA(A1880:J1880)=0,"",IF(OR(A1880="",B1880="",C1880="",G1880=""),"Faltan datos",IF(COUNTIF($A$7:$A$2006,A1880)&gt;1,"ID duplicado",IF(OR(B1880&lt;DATE(Configuración!$C$5,1,1),B1880&gt;=DATE(Configuración!$C$5+1,1,1)),"Fecha fuera del año",IF(OR(G1880&lt;0,H1880&lt;0),"Revisar signo",IF(AND(C1880&lt;&gt;"Servicio",H1880&lt;&gt;0),"IVA solo en Servicio",IF(AND(C1880="Servicio",F1880=""),"Falta servicio","OK")))))))))</f>
        <v/>
      </c>
    </row>
    <row r="1881" spans="1:12" ht="22" customHeight="1">
      <c r="A1881" s="3"/>
      <c r="B1881" s="7"/>
      <c r="C1881" s="3"/>
      <c r="D1881" s="3"/>
      <c r="E1881" s="3"/>
      <c r="F1881" s="3"/>
      <c r="G1881" s="4"/>
      <c r="H1881" s="4"/>
      <c r="I1881" s="3"/>
      <c r="J1881" s="3"/>
      <c r="K1881" s="8" t="str">
        <f t="shared" si="29"/>
        <v/>
      </c>
      <c r="L1881" s="1" t="str">
        <f>IF(COUNTA(A1881:J1881)=0,"",IF(OR(AND(C1881&lt;&gt;"Servicio",C1881&lt;&gt;"Cobro",C1881&lt;&gt;"Anticipo",C1881&lt;&gt;"Aplicación anticipo",C1881&lt;&gt;"Retención ISR",C1881&lt;&gt;"Retención IVA"),AND(C1881="Servicio",F1881&lt;&gt;"TMS",F1881&lt;&gt;"Valoración",F1881&lt;&gt;"EEG",F1881&lt;&gt;"Neurofeedback",F1881&lt;&gt;"Fotobiomodulación",F1881&lt;&gt;"Psicoterapia",F1881&lt;&gt;"Otros")),"Tipo o categoría inválido",IF(COUNTA(A1881:J1881)=0,"",IF(OR(A1881="",B1881="",C1881="",G1881=""),"Faltan datos",IF(COUNTIF($A$7:$A$2006,A1881)&gt;1,"ID duplicado",IF(OR(B1881&lt;DATE(Configuración!$C$5,1,1),B1881&gt;=DATE(Configuración!$C$5+1,1,1)),"Fecha fuera del año",IF(OR(G1881&lt;0,H1881&lt;0),"Revisar signo",IF(AND(C1881&lt;&gt;"Servicio",H1881&lt;&gt;0),"IVA solo en Servicio",IF(AND(C1881="Servicio",F1881=""),"Falta servicio","OK")))))))))</f>
        <v/>
      </c>
    </row>
    <row r="1882" spans="1:12" ht="22" customHeight="1">
      <c r="A1882" s="3"/>
      <c r="B1882" s="7"/>
      <c r="C1882" s="3"/>
      <c r="D1882" s="3"/>
      <c r="E1882" s="3"/>
      <c r="F1882" s="3"/>
      <c r="G1882" s="4"/>
      <c r="H1882" s="4"/>
      <c r="I1882" s="3"/>
      <c r="J1882" s="3"/>
      <c r="K1882" s="8" t="str">
        <f t="shared" si="29"/>
        <v/>
      </c>
      <c r="L1882" s="1" t="str">
        <f>IF(COUNTA(A1882:J1882)=0,"",IF(OR(AND(C1882&lt;&gt;"Servicio",C1882&lt;&gt;"Cobro",C1882&lt;&gt;"Anticipo",C1882&lt;&gt;"Aplicación anticipo",C1882&lt;&gt;"Retención ISR",C1882&lt;&gt;"Retención IVA"),AND(C1882="Servicio",F1882&lt;&gt;"TMS",F1882&lt;&gt;"Valoración",F1882&lt;&gt;"EEG",F1882&lt;&gt;"Neurofeedback",F1882&lt;&gt;"Fotobiomodulación",F1882&lt;&gt;"Psicoterapia",F1882&lt;&gt;"Otros")),"Tipo o categoría inválido",IF(COUNTA(A1882:J1882)=0,"",IF(OR(A1882="",B1882="",C1882="",G1882=""),"Faltan datos",IF(COUNTIF($A$7:$A$2006,A1882)&gt;1,"ID duplicado",IF(OR(B1882&lt;DATE(Configuración!$C$5,1,1),B1882&gt;=DATE(Configuración!$C$5+1,1,1)),"Fecha fuera del año",IF(OR(G1882&lt;0,H1882&lt;0),"Revisar signo",IF(AND(C1882&lt;&gt;"Servicio",H1882&lt;&gt;0),"IVA solo en Servicio",IF(AND(C1882="Servicio",F1882=""),"Falta servicio","OK")))))))))</f>
        <v/>
      </c>
    </row>
    <row r="1883" spans="1:12" ht="22" customHeight="1">
      <c r="A1883" s="3"/>
      <c r="B1883" s="7"/>
      <c r="C1883" s="3"/>
      <c r="D1883" s="3"/>
      <c r="E1883" s="3"/>
      <c r="F1883" s="3"/>
      <c r="G1883" s="4"/>
      <c r="H1883" s="4"/>
      <c r="I1883" s="3"/>
      <c r="J1883" s="3"/>
      <c r="K1883" s="8" t="str">
        <f t="shared" si="29"/>
        <v/>
      </c>
      <c r="L1883" s="1" t="str">
        <f>IF(COUNTA(A1883:J1883)=0,"",IF(OR(AND(C1883&lt;&gt;"Servicio",C1883&lt;&gt;"Cobro",C1883&lt;&gt;"Anticipo",C1883&lt;&gt;"Aplicación anticipo",C1883&lt;&gt;"Retención ISR",C1883&lt;&gt;"Retención IVA"),AND(C1883="Servicio",F1883&lt;&gt;"TMS",F1883&lt;&gt;"Valoración",F1883&lt;&gt;"EEG",F1883&lt;&gt;"Neurofeedback",F1883&lt;&gt;"Fotobiomodulación",F1883&lt;&gt;"Psicoterapia",F1883&lt;&gt;"Otros")),"Tipo o categoría inválido",IF(COUNTA(A1883:J1883)=0,"",IF(OR(A1883="",B1883="",C1883="",G1883=""),"Faltan datos",IF(COUNTIF($A$7:$A$2006,A1883)&gt;1,"ID duplicado",IF(OR(B1883&lt;DATE(Configuración!$C$5,1,1),B1883&gt;=DATE(Configuración!$C$5+1,1,1)),"Fecha fuera del año",IF(OR(G1883&lt;0,H1883&lt;0),"Revisar signo",IF(AND(C1883&lt;&gt;"Servicio",H1883&lt;&gt;0),"IVA solo en Servicio",IF(AND(C1883="Servicio",F1883=""),"Falta servicio","OK")))))))))</f>
        <v/>
      </c>
    </row>
    <row r="1884" spans="1:12" ht="22" customHeight="1">
      <c r="A1884" s="3"/>
      <c r="B1884" s="7"/>
      <c r="C1884" s="3"/>
      <c r="D1884" s="3"/>
      <c r="E1884" s="3"/>
      <c r="F1884" s="3"/>
      <c r="G1884" s="4"/>
      <c r="H1884" s="4"/>
      <c r="I1884" s="3"/>
      <c r="J1884" s="3"/>
      <c r="K1884" s="8" t="str">
        <f t="shared" si="29"/>
        <v/>
      </c>
      <c r="L1884" s="1" t="str">
        <f>IF(COUNTA(A1884:J1884)=0,"",IF(OR(AND(C1884&lt;&gt;"Servicio",C1884&lt;&gt;"Cobro",C1884&lt;&gt;"Anticipo",C1884&lt;&gt;"Aplicación anticipo",C1884&lt;&gt;"Retención ISR",C1884&lt;&gt;"Retención IVA"),AND(C1884="Servicio",F1884&lt;&gt;"TMS",F1884&lt;&gt;"Valoración",F1884&lt;&gt;"EEG",F1884&lt;&gt;"Neurofeedback",F1884&lt;&gt;"Fotobiomodulación",F1884&lt;&gt;"Psicoterapia",F1884&lt;&gt;"Otros")),"Tipo o categoría inválido",IF(COUNTA(A1884:J1884)=0,"",IF(OR(A1884="",B1884="",C1884="",G1884=""),"Faltan datos",IF(COUNTIF($A$7:$A$2006,A1884)&gt;1,"ID duplicado",IF(OR(B1884&lt;DATE(Configuración!$C$5,1,1),B1884&gt;=DATE(Configuración!$C$5+1,1,1)),"Fecha fuera del año",IF(OR(G1884&lt;0,H1884&lt;0),"Revisar signo",IF(AND(C1884&lt;&gt;"Servicio",H1884&lt;&gt;0),"IVA solo en Servicio",IF(AND(C1884="Servicio",F1884=""),"Falta servicio","OK")))))))))</f>
        <v/>
      </c>
    </row>
    <row r="1885" spans="1:12" ht="22" customHeight="1">
      <c r="A1885" s="3"/>
      <c r="B1885" s="7"/>
      <c r="C1885" s="3"/>
      <c r="D1885" s="3"/>
      <c r="E1885" s="3"/>
      <c r="F1885" s="3"/>
      <c r="G1885" s="4"/>
      <c r="H1885" s="4"/>
      <c r="I1885" s="3"/>
      <c r="J1885" s="3"/>
      <c r="K1885" s="8" t="str">
        <f t="shared" si="29"/>
        <v/>
      </c>
      <c r="L1885" s="1" t="str">
        <f>IF(COUNTA(A1885:J1885)=0,"",IF(OR(AND(C1885&lt;&gt;"Servicio",C1885&lt;&gt;"Cobro",C1885&lt;&gt;"Anticipo",C1885&lt;&gt;"Aplicación anticipo",C1885&lt;&gt;"Retención ISR",C1885&lt;&gt;"Retención IVA"),AND(C1885="Servicio",F1885&lt;&gt;"TMS",F1885&lt;&gt;"Valoración",F1885&lt;&gt;"EEG",F1885&lt;&gt;"Neurofeedback",F1885&lt;&gt;"Fotobiomodulación",F1885&lt;&gt;"Psicoterapia",F1885&lt;&gt;"Otros")),"Tipo o categoría inválido",IF(COUNTA(A1885:J1885)=0,"",IF(OR(A1885="",B1885="",C1885="",G1885=""),"Faltan datos",IF(COUNTIF($A$7:$A$2006,A1885)&gt;1,"ID duplicado",IF(OR(B1885&lt;DATE(Configuración!$C$5,1,1),B1885&gt;=DATE(Configuración!$C$5+1,1,1)),"Fecha fuera del año",IF(OR(G1885&lt;0,H1885&lt;0),"Revisar signo",IF(AND(C1885&lt;&gt;"Servicio",H1885&lt;&gt;0),"IVA solo en Servicio",IF(AND(C1885="Servicio",F1885=""),"Falta servicio","OK")))))))))</f>
        <v/>
      </c>
    </row>
    <row r="1886" spans="1:12" ht="22" customHeight="1">
      <c r="A1886" s="3"/>
      <c r="B1886" s="7"/>
      <c r="C1886" s="3"/>
      <c r="D1886" s="3"/>
      <c r="E1886" s="3"/>
      <c r="F1886" s="3"/>
      <c r="G1886" s="4"/>
      <c r="H1886" s="4"/>
      <c r="I1886" s="3"/>
      <c r="J1886" s="3"/>
      <c r="K1886" s="8" t="str">
        <f t="shared" si="29"/>
        <v/>
      </c>
      <c r="L1886" s="1" t="str">
        <f>IF(COUNTA(A1886:J1886)=0,"",IF(OR(AND(C1886&lt;&gt;"Servicio",C1886&lt;&gt;"Cobro",C1886&lt;&gt;"Anticipo",C1886&lt;&gt;"Aplicación anticipo",C1886&lt;&gt;"Retención ISR",C1886&lt;&gt;"Retención IVA"),AND(C1886="Servicio",F1886&lt;&gt;"TMS",F1886&lt;&gt;"Valoración",F1886&lt;&gt;"EEG",F1886&lt;&gt;"Neurofeedback",F1886&lt;&gt;"Fotobiomodulación",F1886&lt;&gt;"Psicoterapia",F1886&lt;&gt;"Otros")),"Tipo o categoría inválido",IF(COUNTA(A1886:J1886)=0,"",IF(OR(A1886="",B1886="",C1886="",G1886=""),"Faltan datos",IF(COUNTIF($A$7:$A$2006,A1886)&gt;1,"ID duplicado",IF(OR(B1886&lt;DATE(Configuración!$C$5,1,1),B1886&gt;=DATE(Configuración!$C$5+1,1,1)),"Fecha fuera del año",IF(OR(G1886&lt;0,H1886&lt;0),"Revisar signo",IF(AND(C1886&lt;&gt;"Servicio",H1886&lt;&gt;0),"IVA solo en Servicio",IF(AND(C1886="Servicio",F1886=""),"Falta servicio","OK")))))))))</f>
        <v/>
      </c>
    </row>
    <row r="1887" spans="1:12" ht="22" customHeight="1">
      <c r="A1887" s="3"/>
      <c r="B1887" s="7"/>
      <c r="C1887" s="3"/>
      <c r="D1887" s="3"/>
      <c r="E1887" s="3"/>
      <c r="F1887" s="3"/>
      <c r="G1887" s="4"/>
      <c r="H1887" s="4"/>
      <c r="I1887" s="3"/>
      <c r="J1887" s="3"/>
      <c r="K1887" s="8" t="str">
        <f t="shared" si="29"/>
        <v/>
      </c>
      <c r="L1887" s="1" t="str">
        <f>IF(COUNTA(A1887:J1887)=0,"",IF(OR(AND(C1887&lt;&gt;"Servicio",C1887&lt;&gt;"Cobro",C1887&lt;&gt;"Anticipo",C1887&lt;&gt;"Aplicación anticipo",C1887&lt;&gt;"Retención ISR",C1887&lt;&gt;"Retención IVA"),AND(C1887="Servicio",F1887&lt;&gt;"TMS",F1887&lt;&gt;"Valoración",F1887&lt;&gt;"EEG",F1887&lt;&gt;"Neurofeedback",F1887&lt;&gt;"Fotobiomodulación",F1887&lt;&gt;"Psicoterapia",F1887&lt;&gt;"Otros")),"Tipo o categoría inválido",IF(COUNTA(A1887:J1887)=0,"",IF(OR(A1887="",B1887="",C1887="",G1887=""),"Faltan datos",IF(COUNTIF($A$7:$A$2006,A1887)&gt;1,"ID duplicado",IF(OR(B1887&lt;DATE(Configuración!$C$5,1,1),B1887&gt;=DATE(Configuración!$C$5+1,1,1)),"Fecha fuera del año",IF(OR(G1887&lt;0,H1887&lt;0),"Revisar signo",IF(AND(C1887&lt;&gt;"Servicio",H1887&lt;&gt;0),"IVA solo en Servicio",IF(AND(C1887="Servicio",F1887=""),"Falta servicio","OK")))))))))</f>
        <v/>
      </c>
    </row>
    <row r="1888" spans="1:12" ht="22" customHeight="1">
      <c r="A1888" s="3"/>
      <c r="B1888" s="7"/>
      <c r="C1888" s="3"/>
      <c r="D1888" s="3"/>
      <c r="E1888" s="3"/>
      <c r="F1888" s="3"/>
      <c r="G1888" s="4"/>
      <c r="H1888" s="4"/>
      <c r="I1888" s="3"/>
      <c r="J1888" s="3"/>
      <c r="K1888" s="8" t="str">
        <f t="shared" si="29"/>
        <v/>
      </c>
      <c r="L1888" s="1" t="str">
        <f>IF(COUNTA(A1888:J1888)=0,"",IF(OR(AND(C1888&lt;&gt;"Servicio",C1888&lt;&gt;"Cobro",C1888&lt;&gt;"Anticipo",C1888&lt;&gt;"Aplicación anticipo",C1888&lt;&gt;"Retención ISR",C1888&lt;&gt;"Retención IVA"),AND(C1888="Servicio",F1888&lt;&gt;"TMS",F1888&lt;&gt;"Valoración",F1888&lt;&gt;"EEG",F1888&lt;&gt;"Neurofeedback",F1888&lt;&gt;"Fotobiomodulación",F1888&lt;&gt;"Psicoterapia",F1888&lt;&gt;"Otros")),"Tipo o categoría inválido",IF(COUNTA(A1888:J1888)=0,"",IF(OR(A1888="",B1888="",C1888="",G1888=""),"Faltan datos",IF(COUNTIF($A$7:$A$2006,A1888)&gt;1,"ID duplicado",IF(OR(B1888&lt;DATE(Configuración!$C$5,1,1),B1888&gt;=DATE(Configuración!$C$5+1,1,1)),"Fecha fuera del año",IF(OR(G1888&lt;0,H1888&lt;0),"Revisar signo",IF(AND(C1888&lt;&gt;"Servicio",H1888&lt;&gt;0),"IVA solo en Servicio",IF(AND(C1888="Servicio",F1888=""),"Falta servicio","OK")))))))))</f>
        <v/>
      </c>
    </row>
    <row r="1889" spans="1:12" ht="22" customHeight="1">
      <c r="A1889" s="3"/>
      <c r="B1889" s="7"/>
      <c r="C1889" s="3"/>
      <c r="D1889" s="3"/>
      <c r="E1889" s="3"/>
      <c r="F1889" s="3"/>
      <c r="G1889" s="4"/>
      <c r="H1889" s="4"/>
      <c r="I1889" s="3"/>
      <c r="J1889" s="3"/>
      <c r="K1889" s="8" t="str">
        <f t="shared" si="29"/>
        <v/>
      </c>
      <c r="L1889" s="1" t="str">
        <f>IF(COUNTA(A1889:J1889)=0,"",IF(OR(AND(C1889&lt;&gt;"Servicio",C1889&lt;&gt;"Cobro",C1889&lt;&gt;"Anticipo",C1889&lt;&gt;"Aplicación anticipo",C1889&lt;&gt;"Retención ISR",C1889&lt;&gt;"Retención IVA"),AND(C1889="Servicio",F1889&lt;&gt;"TMS",F1889&lt;&gt;"Valoración",F1889&lt;&gt;"EEG",F1889&lt;&gt;"Neurofeedback",F1889&lt;&gt;"Fotobiomodulación",F1889&lt;&gt;"Psicoterapia",F1889&lt;&gt;"Otros")),"Tipo o categoría inválido",IF(COUNTA(A1889:J1889)=0,"",IF(OR(A1889="",B1889="",C1889="",G1889=""),"Faltan datos",IF(COUNTIF($A$7:$A$2006,A1889)&gt;1,"ID duplicado",IF(OR(B1889&lt;DATE(Configuración!$C$5,1,1),B1889&gt;=DATE(Configuración!$C$5+1,1,1)),"Fecha fuera del año",IF(OR(G1889&lt;0,H1889&lt;0),"Revisar signo",IF(AND(C1889&lt;&gt;"Servicio",H1889&lt;&gt;0),"IVA solo en Servicio",IF(AND(C1889="Servicio",F1889=""),"Falta servicio","OK")))))))))</f>
        <v/>
      </c>
    </row>
    <row r="1890" spans="1:12" ht="22" customHeight="1">
      <c r="A1890" s="3"/>
      <c r="B1890" s="7"/>
      <c r="C1890" s="3"/>
      <c r="D1890" s="3"/>
      <c r="E1890" s="3"/>
      <c r="F1890" s="3"/>
      <c r="G1890" s="4"/>
      <c r="H1890" s="4"/>
      <c r="I1890" s="3"/>
      <c r="J1890" s="3"/>
      <c r="K1890" s="8" t="str">
        <f t="shared" si="29"/>
        <v/>
      </c>
      <c r="L1890" s="1" t="str">
        <f>IF(COUNTA(A1890:J1890)=0,"",IF(OR(AND(C1890&lt;&gt;"Servicio",C1890&lt;&gt;"Cobro",C1890&lt;&gt;"Anticipo",C1890&lt;&gt;"Aplicación anticipo",C1890&lt;&gt;"Retención ISR",C1890&lt;&gt;"Retención IVA"),AND(C1890="Servicio",F1890&lt;&gt;"TMS",F1890&lt;&gt;"Valoración",F1890&lt;&gt;"EEG",F1890&lt;&gt;"Neurofeedback",F1890&lt;&gt;"Fotobiomodulación",F1890&lt;&gt;"Psicoterapia",F1890&lt;&gt;"Otros")),"Tipo o categoría inválido",IF(COUNTA(A1890:J1890)=0,"",IF(OR(A1890="",B1890="",C1890="",G1890=""),"Faltan datos",IF(COUNTIF($A$7:$A$2006,A1890)&gt;1,"ID duplicado",IF(OR(B1890&lt;DATE(Configuración!$C$5,1,1),B1890&gt;=DATE(Configuración!$C$5+1,1,1)),"Fecha fuera del año",IF(OR(G1890&lt;0,H1890&lt;0),"Revisar signo",IF(AND(C1890&lt;&gt;"Servicio",H1890&lt;&gt;0),"IVA solo en Servicio",IF(AND(C1890="Servicio",F1890=""),"Falta servicio","OK")))))))))</f>
        <v/>
      </c>
    </row>
    <row r="1891" spans="1:12" ht="22" customHeight="1">
      <c r="A1891" s="3"/>
      <c r="B1891" s="7"/>
      <c r="C1891" s="3"/>
      <c r="D1891" s="3"/>
      <c r="E1891" s="3"/>
      <c r="F1891" s="3"/>
      <c r="G1891" s="4"/>
      <c r="H1891" s="4"/>
      <c r="I1891" s="3"/>
      <c r="J1891" s="3"/>
      <c r="K1891" s="8" t="str">
        <f t="shared" si="29"/>
        <v/>
      </c>
      <c r="L1891" s="1" t="str">
        <f>IF(COUNTA(A1891:J1891)=0,"",IF(OR(AND(C1891&lt;&gt;"Servicio",C1891&lt;&gt;"Cobro",C1891&lt;&gt;"Anticipo",C1891&lt;&gt;"Aplicación anticipo",C1891&lt;&gt;"Retención ISR",C1891&lt;&gt;"Retención IVA"),AND(C1891="Servicio",F1891&lt;&gt;"TMS",F1891&lt;&gt;"Valoración",F1891&lt;&gt;"EEG",F1891&lt;&gt;"Neurofeedback",F1891&lt;&gt;"Fotobiomodulación",F1891&lt;&gt;"Psicoterapia",F1891&lt;&gt;"Otros")),"Tipo o categoría inválido",IF(COUNTA(A1891:J1891)=0,"",IF(OR(A1891="",B1891="",C1891="",G1891=""),"Faltan datos",IF(COUNTIF($A$7:$A$2006,A1891)&gt;1,"ID duplicado",IF(OR(B1891&lt;DATE(Configuración!$C$5,1,1),B1891&gt;=DATE(Configuración!$C$5+1,1,1)),"Fecha fuera del año",IF(OR(G1891&lt;0,H1891&lt;0),"Revisar signo",IF(AND(C1891&lt;&gt;"Servicio",H1891&lt;&gt;0),"IVA solo en Servicio",IF(AND(C1891="Servicio",F1891=""),"Falta servicio","OK")))))))))</f>
        <v/>
      </c>
    </row>
    <row r="1892" spans="1:12" ht="22" customHeight="1">
      <c r="A1892" s="3"/>
      <c r="B1892" s="7"/>
      <c r="C1892" s="3"/>
      <c r="D1892" s="3"/>
      <c r="E1892" s="3"/>
      <c r="F1892" s="3"/>
      <c r="G1892" s="4"/>
      <c r="H1892" s="4"/>
      <c r="I1892" s="3"/>
      <c r="J1892" s="3"/>
      <c r="K1892" s="8" t="str">
        <f t="shared" si="29"/>
        <v/>
      </c>
      <c r="L1892" s="1" t="str">
        <f>IF(COUNTA(A1892:J1892)=0,"",IF(OR(AND(C1892&lt;&gt;"Servicio",C1892&lt;&gt;"Cobro",C1892&lt;&gt;"Anticipo",C1892&lt;&gt;"Aplicación anticipo",C1892&lt;&gt;"Retención ISR",C1892&lt;&gt;"Retención IVA"),AND(C1892="Servicio",F1892&lt;&gt;"TMS",F1892&lt;&gt;"Valoración",F1892&lt;&gt;"EEG",F1892&lt;&gt;"Neurofeedback",F1892&lt;&gt;"Fotobiomodulación",F1892&lt;&gt;"Psicoterapia",F1892&lt;&gt;"Otros")),"Tipo o categoría inválido",IF(COUNTA(A1892:J1892)=0,"",IF(OR(A1892="",B1892="",C1892="",G1892=""),"Faltan datos",IF(COUNTIF($A$7:$A$2006,A1892)&gt;1,"ID duplicado",IF(OR(B1892&lt;DATE(Configuración!$C$5,1,1),B1892&gt;=DATE(Configuración!$C$5+1,1,1)),"Fecha fuera del año",IF(OR(G1892&lt;0,H1892&lt;0),"Revisar signo",IF(AND(C1892&lt;&gt;"Servicio",H1892&lt;&gt;0),"IVA solo en Servicio",IF(AND(C1892="Servicio",F1892=""),"Falta servicio","OK")))))))))</f>
        <v/>
      </c>
    </row>
    <row r="1893" spans="1:12" ht="22" customHeight="1">
      <c r="A1893" s="3"/>
      <c r="B1893" s="7"/>
      <c r="C1893" s="3"/>
      <c r="D1893" s="3"/>
      <c r="E1893" s="3"/>
      <c r="F1893" s="3"/>
      <c r="G1893" s="4"/>
      <c r="H1893" s="4"/>
      <c r="I1893" s="3"/>
      <c r="J1893" s="3"/>
      <c r="K1893" s="8" t="str">
        <f t="shared" si="29"/>
        <v/>
      </c>
      <c r="L1893" s="1" t="str">
        <f>IF(COUNTA(A1893:J1893)=0,"",IF(OR(AND(C1893&lt;&gt;"Servicio",C1893&lt;&gt;"Cobro",C1893&lt;&gt;"Anticipo",C1893&lt;&gt;"Aplicación anticipo",C1893&lt;&gt;"Retención ISR",C1893&lt;&gt;"Retención IVA"),AND(C1893="Servicio",F1893&lt;&gt;"TMS",F1893&lt;&gt;"Valoración",F1893&lt;&gt;"EEG",F1893&lt;&gt;"Neurofeedback",F1893&lt;&gt;"Fotobiomodulación",F1893&lt;&gt;"Psicoterapia",F1893&lt;&gt;"Otros")),"Tipo o categoría inválido",IF(COUNTA(A1893:J1893)=0,"",IF(OR(A1893="",B1893="",C1893="",G1893=""),"Faltan datos",IF(COUNTIF($A$7:$A$2006,A1893)&gt;1,"ID duplicado",IF(OR(B1893&lt;DATE(Configuración!$C$5,1,1),B1893&gt;=DATE(Configuración!$C$5+1,1,1)),"Fecha fuera del año",IF(OR(G1893&lt;0,H1893&lt;0),"Revisar signo",IF(AND(C1893&lt;&gt;"Servicio",H1893&lt;&gt;0),"IVA solo en Servicio",IF(AND(C1893="Servicio",F1893=""),"Falta servicio","OK")))))))))</f>
        <v/>
      </c>
    </row>
    <row r="1894" spans="1:12" ht="22" customHeight="1">
      <c r="A1894" s="3"/>
      <c r="B1894" s="7"/>
      <c r="C1894" s="3"/>
      <c r="D1894" s="3"/>
      <c r="E1894" s="3"/>
      <c r="F1894" s="3"/>
      <c r="G1894" s="4"/>
      <c r="H1894" s="4"/>
      <c r="I1894" s="3"/>
      <c r="J1894" s="3"/>
      <c r="K1894" s="8" t="str">
        <f t="shared" si="29"/>
        <v/>
      </c>
      <c r="L1894" s="1" t="str">
        <f>IF(COUNTA(A1894:J1894)=0,"",IF(OR(AND(C1894&lt;&gt;"Servicio",C1894&lt;&gt;"Cobro",C1894&lt;&gt;"Anticipo",C1894&lt;&gt;"Aplicación anticipo",C1894&lt;&gt;"Retención ISR",C1894&lt;&gt;"Retención IVA"),AND(C1894="Servicio",F1894&lt;&gt;"TMS",F1894&lt;&gt;"Valoración",F1894&lt;&gt;"EEG",F1894&lt;&gt;"Neurofeedback",F1894&lt;&gt;"Fotobiomodulación",F1894&lt;&gt;"Psicoterapia",F1894&lt;&gt;"Otros")),"Tipo o categoría inválido",IF(COUNTA(A1894:J1894)=0,"",IF(OR(A1894="",B1894="",C1894="",G1894=""),"Faltan datos",IF(COUNTIF($A$7:$A$2006,A1894)&gt;1,"ID duplicado",IF(OR(B1894&lt;DATE(Configuración!$C$5,1,1),B1894&gt;=DATE(Configuración!$C$5+1,1,1)),"Fecha fuera del año",IF(OR(G1894&lt;0,H1894&lt;0),"Revisar signo",IF(AND(C1894&lt;&gt;"Servicio",H1894&lt;&gt;0),"IVA solo en Servicio",IF(AND(C1894="Servicio",F1894=""),"Falta servicio","OK")))))))))</f>
        <v/>
      </c>
    </row>
    <row r="1895" spans="1:12" ht="22" customHeight="1">
      <c r="A1895" s="3"/>
      <c r="B1895" s="7"/>
      <c r="C1895" s="3"/>
      <c r="D1895" s="3"/>
      <c r="E1895" s="3"/>
      <c r="F1895" s="3"/>
      <c r="G1895" s="4"/>
      <c r="H1895" s="4"/>
      <c r="I1895" s="3"/>
      <c r="J1895" s="3"/>
      <c r="K1895" s="8" t="str">
        <f t="shared" si="29"/>
        <v/>
      </c>
      <c r="L1895" s="1" t="str">
        <f>IF(COUNTA(A1895:J1895)=0,"",IF(OR(AND(C1895&lt;&gt;"Servicio",C1895&lt;&gt;"Cobro",C1895&lt;&gt;"Anticipo",C1895&lt;&gt;"Aplicación anticipo",C1895&lt;&gt;"Retención ISR",C1895&lt;&gt;"Retención IVA"),AND(C1895="Servicio",F1895&lt;&gt;"TMS",F1895&lt;&gt;"Valoración",F1895&lt;&gt;"EEG",F1895&lt;&gt;"Neurofeedback",F1895&lt;&gt;"Fotobiomodulación",F1895&lt;&gt;"Psicoterapia",F1895&lt;&gt;"Otros")),"Tipo o categoría inválido",IF(COUNTA(A1895:J1895)=0,"",IF(OR(A1895="",B1895="",C1895="",G1895=""),"Faltan datos",IF(COUNTIF($A$7:$A$2006,A1895)&gt;1,"ID duplicado",IF(OR(B1895&lt;DATE(Configuración!$C$5,1,1),B1895&gt;=DATE(Configuración!$C$5+1,1,1)),"Fecha fuera del año",IF(OR(G1895&lt;0,H1895&lt;0),"Revisar signo",IF(AND(C1895&lt;&gt;"Servicio",H1895&lt;&gt;0),"IVA solo en Servicio",IF(AND(C1895="Servicio",F1895=""),"Falta servicio","OK")))))))))</f>
        <v/>
      </c>
    </row>
    <row r="1896" spans="1:12" ht="22" customHeight="1">
      <c r="A1896" s="3"/>
      <c r="B1896" s="7"/>
      <c r="C1896" s="3"/>
      <c r="D1896" s="3"/>
      <c r="E1896" s="3"/>
      <c r="F1896" s="3"/>
      <c r="G1896" s="4"/>
      <c r="H1896" s="4"/>
      <c r="I1896" s="3"/>
      <c r="J1896" s="3"/>
      <c r="K1896" s="8" t="str">
        <f t="shared" si="29"/>
        <v/>
      </c>
      <c r="L1896" s="1" t="str">
        <f>IF(COUNTA(A1896:J1896)=0,"",IF(OR(AND(C1896&lt;&gt;"Servicio",C1896&lt;&gt;"Cobro",C1896&lt;&gt;"Anticipo",C1896&lt;&gt;"Aplicación anticipo",C1896&lt;&gt;"Retención ISR",C1896&lt;&gt;"Retención IVA"),AND(C1896="Servicio",F1896&lt;&gt;"TMS",F1896&lt;&gt;"Valoración",F1896&lt;&gt;"EEG",F1896&lt;&gt;"Neurofeedback",F1896&lt;&gt;"Fotobiomodulación",F1896&lt;&gt;"Psicoterapia",F1896&lt;&gt;"Otros")),"Tipo o categoría inválido",IF(COUNTA(A1896:J1896)=0,"",IF(OR(A1896="",B1896="",C1896="",G1896=""),"Faltan datos",IF(COUNTIF($A$7:$A$2006,A1896)&gt;1,"ID duplicado",IF(OR(B1896&lt;DATE(Configuración!$C$5,1,1),B1896&gt;=DATE(Configuración!$C$5+1,1,1)),"Fecha fuera del año",IF(OR(G1896&lt;0,H1896&lt;0),"Revisar signo",IF(AND(C1896&lt;&gt;"Servicio",H1896&lt;&gt;0),"IVA solo en Servicio",IF(AND(C1896="Servicio",F1896=""),"Falta servicio","OK")))))))))</f>
        <v/>
      </c>
    </row>
    <row r="1897" spans="1:12" ht="22" customHeight="1">
      <c r="A1897" s="3"/>
      <c r="B1897" s="7"/>
      <c r="C1897" s="3"/>
      <c r="D1897" s="3"/>
      <c r="E1897" s="3"/>
      <c r="F1897" s="3"/>
      <c r="G1897" s="4"/>
      <c r="H1897" s="4"/>
      <c r="I1897" s="3"/>
      <c r="J1897" s="3"/>
      <c r="K1897" s="8" t="str">
        <f t="shared" si="29"/>
        <v/>
      </c>
      <c r="L1897" s="1" t="str">
        <f>IF(COUNTA(A1897:J1897)=0,"",IF(OR(AND(C1897&lt;&gt;"Servicio",C1897&lt;&gt;"Cobro",C1897&lt;&gt;"Anticipo",C1897&lt;&gt;"Aplicación anticipo",C1897&lt;&gt;"Retención ISR",C1897&lt;&gt;"Retención IVA"),AND(C1897="Servicio",F1897&lt;&gt;"TMS",F1897&lt;&gt;"Valoración",F1897&lt;&gt;"EEG",F1897&lt;&gt;"Neurofeedback",F1897&lt;&gt;"Fotobiomodulación",F1897&lt;&gt;"Psicoterapia",F1897&lt;&gt;"Otros")),"Tipo o categoría inválido",IF(COUNTA(A1897:J1897)=0,"",IF(OR(A1897="",B1897="",C1897="",G1897=""),"Faltan datos",IF(COUNTIF($A$7:$A$2006,A1897)&gt;1,"ID duplicado",IF(OR(B1897&lt;DATE(Configuración!$C$5,1,1),B1897&gt;=DATE(Configuración!$C$5+1,1,1)),"Fecha fuera del año",IF(OR(G1897&lt;0,H1897&lt;0),"Revisar signo",IF(AND(C1897&lt;&gt;"Servicio",H1897&lt;&gt;0),"IVA solo en Servicio",IF(AND(C1897="Servicio",F1897=""),"Falta servicio","OK")))))))))</f>
        <v/>
      </c>
    </row>
    <row r="1898" spans="1:12" ht="22" customHeight="1">
      <c r="A1898" s="3"/>
      <c r="B1898" s="7"/>
      <c r="C1898" s="3"/>
      <c r="D1898" s="3"/>
      <c r="E1898" s="3"/>
      <c r="F1898" s="3"/>
      <c r="G1898" s="4"/>
      <c r="H1898" s="4"/>
      <c r="I1898" s="3"/>
      <c r="J1898" s="3"/>
      <c r="K1898" s="8" t="str">
        <f t="shared" si="29"/>
        <v/>
      </c>
      <c r="L1898" s="1" t="str">
        <f>IF(COUNTA(A1898:J1898)=0,"",IF(OR(AND(C1898&lt;&gt;"Servicio",C1898&lt;&gt;"Cobro",C1898&lt;&gt;"Anticipo",C1898&lt;&gt;"Aplicación anticipo",C1898&lt;&gt;"Retención ISR",C1898&lt;&gt;"Retención IVA"),AND(C1898="Servicio",F1898&lt;&gt;"TMS",F1898&lt;&gt;"Valoración",F1898&lt;&gt;"EEG",F1898&lt;&gt;"Neurofeedback",F1898&lt;&gt;"Fotobiomodulación",F1898&lt;&gt;"Psicoterapia",F1898&lt;&gt;"Otros")),"Tipo o categoría inválido",IF(COUNTA(A1898:J1898)=0,"",IF(OR(A1898="",B1898="",C1898="",G1898=""),"Faltan datos",IF(COUNTIF($A$7:$A$2006,A1898)&gt;1,"ID duplicado",IF(OR(B1898&lt;DATE(Configuración!$C$5,1,1),B1898&gt;=DATE(Configuración!$C$5+1,1,1)),"Fecha fuera del año",IF(OR(G1898&lt;0,H1898&lt;0),"Revisar signo",IF(AND(C1898&lt;&gt;"Servicio",H1898&lt;&gt;0),"IVA solo en Servicio",IF(AND(C1898="Servicio",F1898=""),"Falta servicio","OK")))))))))</f>
        <v/>
      </c>
    </row>
    <row r="1899" spans="1:12" ht="22" customHeight="1">
      <c r="A1899" s="3"/>
      <c r="B1899" s="7"/>
      <c r="C1899" s="3"/>
      <c r="D1899" s="3"/>
      <c r="E1899" s="3"/>
      <c r="F1899" s="3"/>
      <c r="G1899" s="4"/>
      <c r="H1899" s="4"/>
      <c r="I1899" s="3"/>
      <c r="J1899" s="3"/>
      <c r="K1899" s="8" t="str">
        <f t="shared" si="29"/>
        <v/>
      </c>
      <c r="L1899" s="1" t="str">
        <f>IF(COUNTA(A1899:J1899)=0,"",IF(OR(AND(C1899&lt;&gt;"Servicio",C1899&lt;&gt;"Cobro",C1899&lt;&gt;"Anticipo",C1899&lt;&gt;"Aplicación anticipo",C1899&lt;&gt;"Retención ISR",C1899&lt;&gt;"Retención IVA"),AND(C1899="Servicio",F1899&lt;&gt;"TMS",F1899&lt;&gt;"Valoración",F1899&lt;&gt;"EEG",F1899&lt;&gt;"Neurofeedback",F1899&lt;&gt;"Fotobiomodulación",F1899&lt;&gt;"Psicoterapia",F1899&lt;&gt;"Otros")),"Tipo o categoría inválido",IF(COUNTA(A1899:J1899)=0,"",IF(OR(A1899="",B1899="",C1899="",G1899=""),"Faltan datos",IF(COUNTIF($A$7:$A$2006,A1899)&gt;1,"ID duplicado",IF(OR(B1899&lt;DATE(Configuración!$C$5,1,1),B1899&gt;=DATE(Configuración!$C$5+1,1,1)),"Fecha fuera del año",IF(OR(G1899&lt;0,H1899&lt;0),"Revisar signo",IF(AND(C1899&lt;&gt;"Servicio",H1899&lt;&gt;0),"IVA solo en Servicio",IF(AND(C1899="Servicio",F1899=""),"Falta servicio","OK")))))))))</f>
        <v/>
      </c>
    </row>
    <row r="1900" spans="1:12" ht="22" customHeight="1">
      <c r="A1900" s="3"/>
      <c r="B1900" s="7"/>
      <c r="C1900" s="3"/>
      <c r="D1900" s="3"/>
      <c r="E1900" s="3"/>
      <c r="F1900" s="3"/>
      <c r="G1900" s="4"/>
      <c r="H1900" s="4"/>
      <c r="I1900" s="3"/>
      <c r="J1900" s="3"/>
      <c r="K1900" s="8" t="str">
        <f t="shared" si="29"/>
        <v/>
      </c>
      <c r="L1900" s="1" t="str">
        <f>IF(COUNTA(A1900:J1900)=0,"",IF(OR(AND(C1900&lt;&gt;"Servicio",C1900&lt;&gt;"Cobro",C1900&lt;&gt;"Anticipo",C1900&lt;&gt;"Aplicación anticipo",C1900&lt;&gt;"Retención ISR",C1900&lt;&gt;"Retención IVA"),AND(C1900="Servicio",F1900&lt;&gt;"TMS",F1900&lt;&gt;"Valoración",F1900&lt;&gt;"EEG",F1900&lt;&gt;"Neurofeedback",F1900&lt;&gt;"Fotobiomodulación",F1900&lt;&gt;"Psicoterapia",F1900&lt;&gt;"Otros")),"Tipo o categoría inválido",IF(COUNTA(A1900:J1900)=0,"",IF(OR(A1900="",B1900="",C1900="",G1900=""),"Faltan datos",IF(COUNTIF($A$7:$A$2006,A1900)&gt;1,"ID duplicado",IF(OR(B1900&lt;DATE(Configuración!$C$5,1,1),B1900&gt;=DATE(Configuración!$C$5+1,1,1)),"Fecha fuera del año",IF(OR(G1900&lt;0,H1900&lt;0),"Revisar signo",IF(AND(C1900&lt;&gt;"Servicio",H1900&lt;&gt;0),"IVA solo en Servicio",IF(AND(C1900="Servicio",F1900=""),"Falta servicio","OK")))))))))</f>
        <v/>
      </c>
    </row>
    <row r="1901" spans="1:12" ht="22" customHeight="1">
      <c r="A1901" s="3"/>
      <c r="B1901" s="7"/>
      <c r="C1901" s="3"/>
      <c r="D1901" s="3"/>
      <c r="E1901" s="3"/>
      <c r="F1901" s="3"/>
      <c r="G1901" s="4"/>
      <c r="H1901" s="4"/>
      <c r="I1901" s="3"/>
      <c r="J1901" s="3"/>
      <c r="K1901" s="8" t="str">
        <f t="shared" si="29"/>
        <v/>
      </c>
      <c r="L1901" s="1" t="str">
        <f>IF(COUNTA(A1901:J1901)=0,"",IF(OR(AND(C1901&lt;&gt;"Servicio",C1901&lt;&gt;"Cobro",C1901&lt;&gt;"Anticipo",C1901&lt;&gt;"Aplicación anticipo",C1901&lt;&gt;"Retención ISR",C1901&lt;&gt;"Retención IVA"),AND(C1901="Servicio",F1901&lt;&gt;"TMS",F1901&lt;&gt;"Valoración",F1901&lt;&gt;"EEG",F1901&lt;&gt;"Neurofeedback",F1901&lt;&gt;"Fotobiomodulación",F1901&lt;&gt;"Psicoterapia",F1901&lt;&gt;"Otros")),"Tipo o categoría inválido",IF(COUNTA(A1901:J1901)=0,"",IF(OR(A1901="",B1901="",C1901="",G1901=""),"Faltan datos",IF(COUNTIF($A$7:$A$2006,A1901)&gt;1,"ID duplicado",IF(OR(B1901&lt;DATE(Configuración!$C$5,1,1),B1901&gt;=DATE(Configuración!$C$5+1,1,1)),"Fecha fuera del año",IF(OR(G1901&lt;0,H1901&lt;0),"Revisar signo",IF(AND(C1901&lt;&gt;"Servicio",H1901&lt;&gt;0),"IVA solo en Servicio",IF(AND(C1901="Servicio",F1901=""),"Falta servicio","OK")))))))))</f>
        <v/>
      </c>
    </row>
    <row r="1902" spans="1:12" ht="22" customHeight="1">
      <c r="A1902" s="3"/>
      <c r="B1902" s="7"/>
      <c r="C1902" s="3"/>
      <c r="D1902" s="3"/>
      <c r="E1902" s="3"/>
      <c r="F1902" s="3"/>
      <c r="G1902" s="4"/>
      <c r="H1902" s="4"/>
      <c r="I1902" s="3"/>
      <c r="J1902" s="3"/>
      <c r="K1902" s="8" t="str">
        <f t="shared" si="29"/>
        <v/>
      </c>
      <c r="L1902" s="1" t="str">
        <f>IF(COUNTA(A1902:J1902)=0,"",IF(OR(AND(C1902&lt;&gt;"Servicio",C1902&lt;&gt;"Cobro",C1902&lt;&gt;"Anticipo",C1902&lt;&gt;"Aplicación anticipo",C1902&lt;&gt;"Retención ISR",C1902&lt;&gt;"Retención IVA"),AND(C1902="Servicio",F1902&lt;&gt;"TMS",F1902&lt;&gt;"Valoración",F1902&lt;&gt;"EEG",F1902&lt;&gt;"Neurofeedback",F1902&lt;&gt;"Fotobiomodulación",F1902&lt;&gt;"Psicoterapia",F1902&lt;&gt;"Otros")),"Tipo o categoría inválido",IF(COUNTA(A1902:J1902)=0,"",IF(OR(A1902="",B1902="",C1902="",G1902=""),"Faltan datos",IF(COUNTIF($A$7:$A$2006,A1902)&gt;1,"ID duplicado",IF(OR(B1902&lt;DATE(Configuración!$C$5,1,1),B1902&gt;=DATE(Configuración!$C$5+1,1,1)),"Fecha fuera del año",IF(OR(G1902&lt;0,H1902&lt;0),"Revisar signo",IF(AND(C1902&lt;&gt;"Servicio",H1902&lt;&gt;0),"IVA solo en Servicio",IF(AND(C1902="Servicio",F1902=""),"Falta servicio","OK")))))))))</f>
        <v/>
      </c>
    </row>
    <row r="1903" spans="1:12" ht="22" customHeight="1">
      <c r="A1903" s="3"/>
      <c r="B1903" s="7"/>
      <c r="C1903" s="3"/>
      <c r="D1903" s="3"/>
      <c r="E1903" s="3"/>
      <c r="F1903" s="3"/>
      <c r="G1903" s="4"/>
      <c r="H1903" s="4"/>
      <c r="I1903" s="3"/>
      <c r="J1903" s="3"/>
      <c r="K1903" s="8" t="str">
        <f t="shared" si="29"/>
        <v/>
      </c>
      <c r="L1903" s="1" t="str">
        <f>IF(COUNTA(A1903:J1903)=0,"",IF(OR(AND(C1903&lt;&gt;"Servicio",C1903&lt;&gt;"Cobro",C1903&lt;&gt;"Anticipo",C1903&lt;&gt;"Aplicación anticipo",C1903&lt;&gt;"Retención ISR",C1903&lt;&gt;"Retención IVA"),AND(C1903="Servicio",F1903&lt;&gt;"TMS",F1903&lt;&gt;"Valoración",F1903&lt;&gt;"EEG",F1903&lt;&gt;"Neurofeedback",F1903&lt;&gt;"Fotobiomodulación",F1903&lt;&gt;"Psicoterapia",F1903&lt;&gt;"Otros")),"Tipo o categoría inválido",IF(COUNTA(A1903:J1903)=0,"",IF(OR(A1903="",B1903="",C1903="",G1903=""),"Faltan datos",IF(COUNTIF($A$7:$A$2006,A1903)&gt;1,"ID duplicado",IF(OR(B1903&lt;DATE(Configuración!$C$5,1,1),B1903&gt;=DATE(Configuración!$C$5+1,1,1)),"Fecha fuera del año",IF(OR(G1903&lt;0,H1903&lt;0),"Revisar signo",IF(AND(C1903&lt;&gt;"Servicio",H1903&lt;&gt;0),"IVA solo en Servicio",IF(AND(C1903="Servicio",F1903=""),"Falta servicio","OK")))))))))</f>
        <v/>
      </c>
    </row>
    <row r="1904" spans="1:12" ht="22" customHeight="1">
      <c r="A1904" s="3"/>
      <c r="B1904" s="7"/>
      <c r="C1904" s="3"/>
      <c r="D1904" s="3"/>
      <c r="E1904" s="3"/>
      <c r="F1904" s="3"/>
      <c r="G1904" s="4"/>
      <c r="H1904" s="4"/>
      <c r="I1904" s="3"/>
      <c r="J1904" s="3"/>
      <c r="K1904" s="8" t="str">
        <f t="shared" si="29"/>
        <v/>
      </c>
      <c r="L1904" s="1" t="str">
        <f>IF(COUNTA(A1904:J1904)=0,"",IF(OR(AND(C1904&lt;&gt;"Servicio",C1904&lt;&gt;"Cobro",C1904&lt;&gt;"Anticipo",C1904&lt;&gt;"Aplicación anticipo",C1904&lt;&gt;"Retención ISR",C1904&lt;&gt;"Retención IVA"),AND(C1904="Servicio",F1904&lt;&gt;"TMS",F1904&lt;&gt;"Valoración",F1904&lt;&gt;"EEG",F1904&lt;&gt;"Neurofeedback",F1904&lt;&gt;"Fotobiomodulación",F1904&lt;&gt;"Psicoterapia",F1904&lt;&gt;"Otros")),"Tipo o categoría inválido",IF(COUNTA(A1904:J1904)=0,"",IF(OR(A1904="",B1904="",C1904="",G1904=""),"Faltan datos",IF(COUNTIF($A$7:$A$2006,A1904)&gt;1,"ID duplicado",IF(OR(B1904&lt;DATE(Configuración!$C$5,1,1),B1904&gt;=DATE(Configuración!$C$5+1,1,1)),"Fecha fuera del año",IF(OR(G1904&lt;0,H1904&lt;0),"Revisar signo",IF(AND(C1904&lt;&gt;"Servicio",H1904&lt;&gt;0),"IVA solo en Servicio",IF(AND(C1904="Servicio",F1904=""),"Falta servicio","OK")))))))))</f>
        <v/>
      </c>
    </row>
    <row r="1905" spans="1:12" ht="22" customHeight="1">
      <c r="A1905" s="3"/>
      <c r="B1905" s="7"/>
      <c r="C1905" s="3"/>
      <c r="D1905" s="3"/>
      <c r="E1905" s="3"/>
      <c r="F1905" s="3"/>
      <c r="G1905" s="4"/>
      <c r="H1905" s="4"/>
      <c r="I1905" s="3"/>
      <c r="J1905" s="3"/>
      <c r="K1905" s="8" t="str">
        <f t="shared" si="29"/>
        <v/>
      </c>
      <c r="L1905" s="1" t="str">
        <f>IF(COUNTA(A1905:J1905)=0,"",IF(OR(AND(C1905&lt;&gt;"Servicio",C1905&lt;&gt;"Cobro",C1905&lt;&gt;"Anticipo",C1905&lt;&gt;"Aplicación anticipo",C1905&lt;&gt;"Retención ISR",C1905&lt;&gt;"Retención IVA"),AND(C1905="Servicio",F1905&lt;&gt;"TMS",F1905&lt;&gt;"Valoración",F1905&lt;&gt;"EEG",F1905&lt;&gt;"Neurofeedback",F1905&lt;&gt;"Fotobiomodulación",F1905&lt;&gt;"Psicoterapia",F1905&lt;&gt;"Otros")),"Tipo o categoría inválido",IF(COUNTA(A1905:J1905)=0,"",IF(OR(A1905="",B1905="",C1905="",G1905=""),"Faltan datos",IF(COUNTIF($A$7:$A$2006,A1905)&gt;1,"ID duplicado",IF(OR(B1905&lt;DATE(Configuración!$C$5,1,1),B1905&gt;=DATE(Configuración!$C$5+1,1,1)),"Fecha fuera del año",IF(OR(G1905&lt;0,H1905&lt;0),"Revisar signo",IF(AND(C1905&lt;&gt;"Servicio",H1905&lt;&gt;0),"IVA solo en Servicio",IF(AND(C1905="Servicio",F1905=""),"Falta servicio","OK")))))))))</f>
        <v/>
      </c>
    </row>
    <row r="1906" spans="1:12" ht="22" customHeight="1">
      <c r="A1906" s="3"/>
      <c r="B1906" s="7"/>
      <c r="C1906" s="3"/>
      <c r="D1906" s="3"/>
      <c r="E1906" s="3"/>
      <c r="F1906" s="3"/>
      <c r="G1906" s="4"/>
      <c r="H1906" s="4"/>
      <c r="I1906" s="3"/>
      <c r="J1906" s="3"/>
      <c r="K1906" s="8" t="str">
        <f t="shared" si="29"/>
        <v/>
      </c>
      <c r="L1906" s="1" t="str">
        <f>IF(COUNTA(A1906:J1906)=0,"",IF(OR(AND(C1906&lt;&gt;"Servicio",C1906&lt;&gt;"Cobro",C1906&lt;&gt;"Anticipo",C1906&lt;&gt;"Aplicación anticipo",C1906&lt;&gt;"Retención ISR",C1906&lt;&gt;"Retención IVA"),AND(C1906="Servicio",F1906&lt;&gt;"TMS",F1906&lt;&gt;"Valoración",F1906&lt;&gt;"EEG",F1906&lt;&gt;"Neurofeedback",F1906&lt;&gt;"Fotobiomodulación",F1906&lt;&gt;"Psicoterapia",F1906&lt;&gt;"Otros")),"Tipo o categoría inválido",IF(COUNTA(A1906:J1906)=0,"",IF(OR(A1906="",B1906="",C1906="",G1906=""),"Faltan datos",IF(COUNTIF($A$7:$A$2006,A1906)&gt;1,"ID duplicado",IF(OR(B1906&lt;DATE(Configuración!$C$5,1,1),B1906&gt;=DATE(Configuración!$C$5+1,1,1)),"Fecha fuera del año",IF(OR(G1906&lt;0,H1906&lt;0),"Revisar signo",IF(AND(C1906&lt;&gt;"Servicio",H1906&lt;&gt;0),"IVA solo en Servicio",IF(AND(C1906="Servicio",F1906=""),"Falta servicio","OK")))))))))</f>
        <v/>
      </c>
    </row>
    <row r="1907" spans="1:12" ht="22" customHeight="1">
      <c r="A1907" s="3"/>
      <c r="B1907" s="7"/>
      <c r="C1907" s="3"/>
      <c r="D1907" s="3"/>
      <c r="E1907" s="3"/>
      <c r="F1907" s="3"/>
      <c r="G1907" s="4"/>
      <c r="H1907" s="4"/>
      <c r="I1907" s="3"/>
      <c r="J1907" s="3"/>
      <c r="K1907" s="8" t="str">
        <f t="shared" si="29"/>
        <v/>
      </c>
      <c r="L1907" s="1" t="str">
        <f>IF(COUNTA(A1907:J1907)=0,"",IF(OR(AND(C1907&lt;&gt;"Servicio",C1907&lt;&gt;"Cobro",C1907&lt;&gt;"Anticipo",C1907&lt;&gt;"Aplicación anticipo",C1907&lt;&gt;"Retención ISR",C1907&lt;&gt;"Retención IVA"),AND(C1907="Servicio",F1907&lt;&gt;"TMS",F1907&lt;&gt;"Valoración",F1907&lt;&gt;"EEG",F1907&lt;&gt;"Neurofeedback",F1907&lt;&gt;"Fotobiomodulación",F1907&lt;&gt;"Psicoterapia",F1907&lt;&gt;"Otros")),"Tipo o categoría inválido",IF(COUNTA(A1907:J1907)=0,"",IF(OR(A1907="",B1907="",C1907="",G1907=""),"Faltan datos",IF(COUNTIF($A$7:$A$2006,A1907)&gt;1,"ID duplicado",IF(OR(B1907&lt;DATE(Configuración!$C$5,1,1),B1907&gt;=DATE(Configuración!$C$5+1,1,1)),"Fecha fuera del año",IF(OR(G1907&lt;0,H1907&lt;0),"Revisar signo",IF(AND(C1907&lt;&gt;"Servicio",H1907&lt;&gt;0),"IVA solo en Servicio",IF(AND(C1907="Servicio",F1907=""),"Falta servicio","OK")))))))))</f>
        <v/>
      </c>
    </row>
    <row r="1908" spans="1:12" ht="22" customHeight="1">
      <c r="A1908" s="3"/>
      <c r="B1908" s="7"/>
      <c r="C1908" s="3"/>
      <c r="D1908" s="3"/>
      <c r="E1908" s="3"/>
      <c r="F1908" s="3"/>
      <c r="G1908" s="4"/>
      <c r="H1908" s="4"/>
      <c r="I1908" s="3"/>
      <c r="J1908" s="3"/>
      <c r="K1908" s="8" t="str">
        <f t="shared" si="29"/>
        <v/>
      </c>
      <c r="L1908" s="1" t="str">
        <f>IF(COUNTA(A1908:J1908)=0,"",IF(OR(AND(C1908&lt;&gt;"Servicio",C1908&lt;&gt;"Cobro",C1908&lt;&gt;"Anticipo",C1908&lt;&gt;"Aplicación anticipo",C1908&lt;&gt;"Retención ISR",C1908&lt;&gt;"Retención IVA"),AND(C1908="Servicio",F1908&lt;&gt;"TMS",F1908&lt;&gt;"Valoración",F1908&lt;&gt;"EEG",F1908&lt;&gt;"Neurofeedback",F1908&lt;&gt;"Fotobiomodulación",F1908&lt;&gt;"Psicoterapia",F1908&lt;&gt;"Otros")),"Tipo o categoría inválido",IF(COUNTA(A1908:J1908)=0,"",IF(OR(A1908="",B1908="",C1908="",G1908=""),"Faltan datos",IF(COUNTIF($A$7:$A$2006,A1908)&gt;1,"ID duplicado",IF(OR(B1908&lt;DATE(Configuración!$C$5,1,1),B1908&gt;=DATE(Configuración!$C$5+1,1,1)),"Fecha fuera del año",IF(OR(G1908&lt;0,H1908&lt;0),"Revisar signo",IF(AND(C1908&lt;&gt;"Servicio",H1908&lt;&gt;0),"IVA solo en Servicio",IF(AND(C1908="Servicio",F1908=""),"Falta servicio","OK")))))))))</f>
        <v/>
      </c>
    </row>
    <row r="1909" spans="1:12" ht="22" customHeight="1">
      <c r="A1909" s="3"/>
      <c r="B1909" s="7"/>
      <c r="C1909" s="3"/>
      <c r="D1909" s="3"/>
      <c r="E1909" s="3"/>
      <c r="F1909" s="3"/>
      <c r="G1909" s="4"/>
      <c r="H1909" s="4"/>
      <c r="I1909" s="3"/>
      <c r="J1909" s="3"/>
      <c r="K1909" s="8" t="str">
        <f t="shared" si="29"/>
        <v/>
      </c>
      <c r="L1909" s="1" t="str">
        <f>IF(COUNTA(A1909:J1909)=0,"",IF(OR(AND(C1909&lt;&gt;"Servicio",C1909&lt;&gt;"Cobro",C1909&lt;&gt;"Anticipo",C1909&lt;&gt;"Aplicación anticipo",C1909&lt;&gt;"Retención ISR",C1909&lt;&gt;"Retención IVA"),AND(C1909="Servicio",F1909&lt;&gt;"TMS",F1909&lt;&gt;"Valoración",F1909&lt;&gt;"EEG",F1909&lt;&gt;"Neurofeedback",F1909&lt;&gt;"Fotobiomodulación",F1909&lt;&gt;"Psicoterapia",F1909&lt;&gt;"Otros")),"Tipo o categoría inválido",IF(COUNTA(A1909:J1909)=0,"",IF(OR(A1909="",B1909="",C1909="",G1909=""),"Faltan datos",IF(COUNTIF($A$7:$A$2006,A1909)&gt;1,"ID duplicado",IF(OR(B1909&lt;DATE(Configuración!$C$5,1,1),B1909&gt;=DATE(Configuración!$C$5+1,1,1)),"Fecha fuera del año",IF(OR(G1909&lt;0,H1909&lt;0),"Revisar signo",IF(AND(C1909&lt;&gt;"Servicio",H1909&lt;&gt;0),"IVA solo en Servicio",IF(AND(C1909="Servicio",F1909=""),"Falta servicio","OK")))))))))</f>
        <v/>
      </c>
    </row>
    <row r="1910" spans="1:12" ht="22" customHeight="1">
      <c r="A1910" s="3"/>
      <c r="B1910" s="7"/>
      <c r="C1910" s="3"/>
      <c r="D1910" s="3"/>
      <c r="E1910" s="3"/>
      <c r="F1910" s="3"/>
      <c r="G1910" s="4"/>
      <c r="H1910" s="4"/>
      <c r="I1910" s="3"/>
      <c r="J1910" s="3"/>
      <c r="K1910" s="8" t="str">
        <f t="shared" si="29"/>
        <v/>
      </c>
      <c r="L1910" s="1" t="str">
        <f>IF(COUNTA(A1910:J1910)=0,"",IF(OR(AND(C1910&lt;&gt;"Servicio",C1910&lt;&gt;"Cobro",C1910&lt;&gt;"Anticipo",C1910&lt;&gt;"Aplicación anticipo",C1910&lt;&gt;"Retención ISR",C1910&lt;&gt;"Retención IVA"),AND(C1910="Servicio",F1910&lt;&gt;"TMS",F1910&lt;&gt;"Valoración",F1910&lt;&gt;"EEG",F1910&lt;&gt;"Neurofeedback",F1910&lt;&gt;"Fotobiomodulación",F1910&lt;&gt;"Psicoterapia",F1910&lt;&gt;"Otros")),"Tipo o categoría inválido",IF(COUNTA(A1910:J1910)=0,"",IF(OR(A1910="",B1910="",C1910="",G1910=""),"Faltan datos",IF(COUNTIF($A$7:$A$2006,A1910)&gt;1,"ID duplicado",IF(OR(B1910&lt;DATE(Configuración!$C$5,1,1),B1910&gt;=DATE(Configuración!$C$5+1,1,1)),"Fecha fuera del año",IF(OR(G1910&lt;0,H1910&lt;0),"Revisar signo",IF(AND(C1910&lt;&gt;"Servicio",H1910&lt;&gt;0),"IVA solo en Servicio",IF(AND(C1910="Servicio",F1910=""),"Falta servicio","OK")))))))))</f>
        <v/>
      </c>
    </row>
    <row r="1911" spans="1:12" ht="22" customHeight="1">
      <c r="A1911" s="3"/>
      <c r="B1911" s="7"/>
      <c r="C1911" s="3"/>
      <c r="D1911" s="3"/>
      <c r="E1911" s="3"/>
      <c r="F1911" s="3"/>
      <c r="G1911" s="4"/>
      <c r="H1911" s="4"/>
      <c r="I1911" s="3"/>
      <c r="J1911" s="3"/>
      <c r="K1911" s="8" t="str">
        <f t="shared" si="29"/>
        <v/>
      </c>
      <c r="L1911" s="1" t="str">
        <f>IF(COUNTA(A1911:J1911)=0,"",IF(OR(AND(C1911&lt;&gt;"Servicio",C1911&lt;&gt;"Cobro",C1911&lt;&gt;"Anticipo",C1911&lt;&gt;"Aplicación anticipo",C1911&lt;&gt;"Retención ISR",C1911&lt;&gt;"Retención IVA"),AND(C1911="Servicio",F1911&lt;&gt;"TMS",F1911&lt;&gt;"Valoración",F1911&lt;&gt;"EEG",F1911&lt;&gt;"Neurofeedback",F1911&lt;&gt;"Fotobiomodulación",F1911&lt;&gt;"Psicoterapia",F1911&lt;&gt;"Otros")),"Tipo o categoría inválido",IF(COUNTA(A1911:J1911)=0,"",IF(OR(A1911="",B1911="",C1911="",G1911=""),"Faltan datos",IF(COUNTIF($A$7:$A$2006,A1911)&gt;1,"ID duplicado",IF(OR(B1911&lt;DATE(Configuración!$C$5,1,1),B1911&gt;=DATE(Configuración!$C$5+1,1,1)),"Fecha fuera del año",IF(OR(G1911&lt;0,H1911&lt;0),"Revisar signo",IF(AND(C1911&lt;&gt;"Servicio",H1911&lt;&gt;0),"IVA solo en Servicio",IF(AND(C1911="Servicio",F1911=""),"Falta servicio","OK")))))))))</f>
        <v/>
      </c>
    </row>
    <row r="1912" spans="1:12" ht="22" customHeight="1">
      <c r="A1912" s="3"/>
      <c r="B1912" s="7"/>
      <c r="C1912" s="3"/>
      <c r="D1912" s="3"/>
      <c r="E1912" s="3"/>
      <c r="F1912" s="3"/>
      <c r="G1912" s="4"/>
      <c r="H1912" s="4"/>
      <c r="I1912" s="3"/>
      <c r="J1912" s="3"/>
      <c r="K1912" s="8" t="str">
        <f t="shared" si="29"/>
        <v/>
      </c>
      <c r="L1912" s="1" t="str">
        <f>IF(COUNTA(A1912:J1912)=0,"",IF(OR(AND(C1912&lt;&gt;"Servicio",C1912&lt;&gt;"Cobro",C1912&lt;&gt;"Anticipo",C1912&lt;&gt;"Aplicación anticipo",C1912&lt;&gt;"Retención ISR",C1912&lt;&gt;"Retención IVA"),AND(C1912="Servicio",F1912&lt;&gt;"TMS",F1912&lt;&gt;"Valoración",F1912&lt;&gt;"EEG",F1912&lt;&gt;"Neurofeedback",F1912&lt;&gt;"Fotobiomodulación",F1912&lt;&gt;"Psicoterapia",F1912&lt;&gt;"Otros")),"Tipo o categoría inválido",IF(COUNTA(A1912:J1912)=0,"",IF(OR(A1912="",B1912="",C1912="",G1912=""),"Faltan datos",IF(COUNTIF($A$7:$A$2006,A1912)&gt;1,"ID duplicado",IF(OR(B1912&lt;DATE(Configuración!$C$5,1,1),B1912&gt;=DATE(Configuración!$C$5+1,1,1)),"Fecha fuera del año",IF(OR(G1912&lt;0,H1912&lt;0),"Revisar signo",IF(AND(C1912&lt;&gt;"Servicio",H1912&lt;&gt;0),"IVA solo en Servicio",IF(AND(C1912="Servicio",F1912=""),"Falta servicio","OK")))))))))</f>
        <v/>
      </c>
    </row>
    <row r="1913" spans="1:12" ht="22" customHeight="1">
      <c r="A1913" s="3"/>
      <c r="B1913" s="7"/>
      <c r="C1913" s="3"/>
      <c r="D1913" s="3"/>
      <c r="E1913" s="3"/>
      <c r="F1913" s="3"/>
      <c r="G1913" s="4"/>
      <c r="H1913" s="4"/>
      <c r="I1913" s="3"/>
      <c r="J1913" s="3"/>
      <c r="K1913" s="8" t="str">
        <f t="shared" si="29"/>
        <v/>
      </c>
      <c r="L1913" s="1" t="str">
        <f>IF(COUNTA(A1913:J1913)=0,"",IF(OR(AND(C1913&lt;&gt;"Servicio",C1913&lt;&gt;"Cobro",C1913&lt;&gt;"Anticipo",C1913&lt;&gt;"Aplicación anticipo",C1913&lt;&gt;"Retención ISR",C1913&lt;&gt;"Retención IVA"),AND(C1913="Servicio",F1913&lt;&gt;"TMS",F1913&lt;&gt;"Valoración",F1913&lt;&gt;"EEG",F1913&lt;&gt;"Neurofeedback",F1913&lt;&gt;"Fotobiomodulación",F1913&lt;&gt;"Psicoterapia",F1913&lt;&gt;"Otros")),"Tipo o categoría inválido",IF(COUNTA(A1913:J1913)=0,"",IF(OR(A1913="",B1913="",C1913="",G1913=""),"Faltan datos",IF(COUNTIF($A$7:$A$2006,A1913)&gt;1,"ID duplicado",IF(OR(B1913&lt;DATE(Configuración!$C$5,1,1),B1913&gt;=DATE(Configuración!$C$5+1,1,1)),"Fecha fuera del año",IF(OR(G1913&lt;0,H1913&lt;0),"Revisar signo",IF(AND(C1913&lt;&gt;"Servicio",H1913&lt;&gt;0),"IVA solo en Servicio",IF(AND(C1913="Servicio",F1913=""),"Falta servicio","OK")))))))))</f>
        <v/>
      </c>
    </row>
    <row r="1914" spans="1:12" ht="22" customHeight="1">
      <c r="A1914" s="3"/>
      <c r="B1914" s="7"/>
      <c r="C1914" s="3"/>
      <c r="D1914" s="3"/>
      <c r="E1914" s="3"/>
      <c r="F1914" s="3"/>
      <c r="G1914" s="4"/>
      <c r="H1914" s="4"/>
      <c r="I1914" s="3"/>
      <c r="J1914" s="3"/>
      <c r="K1914" s="8" t="str">
        <f t="shared" si="29"/>
        <v/>
      </c>
      <c r="L1914" s="1" t="str">
        <f>IF(COUNTA(A1914:J1914)=0,"",IF(OR(AND(C1914&lt;&gt;"Servicio",C1914&lt;&gt;"Cobro",C1914&lt;&gt;"Anticipo",C1914&lt;&gt;"Aplicación anticipo",C1914&lt;&gt;"Retención ISR",C1914&lt;&gt;"Retención IVA"),AND(C1914="Servicio",F1914&lt;&gt;"TMS",F1914&lt;&gt;"Valoración",F1914&lt;&gt;"EEG",F1914&lt;&gt;"Neurofeedback",F1914&lt;&gt;"Fotobiomodulación",F1914&lt;&gt;"Psicoterapia",F1914&lt;&gt;"Otros")),"Tipo o categoría inválido",IF(COUNTA(A1914:J1914)=0,"",IF(OR(A1914="",B1914="",C1914="",G1914=""),"Faltan datos",IF(COUNTIF($A$7:$A$2006,A1914)&gt;1,"ID duplicado",IF(OR(B1914&lt;DATE(Configuración!$C$5,1,1),B1914&gt;=DATE(Configuración!$C$5+1,1,1)),"Fecha fuera del año",IF(OR(G1914&lt;0,H1914&lt;0),"Revisar signo",IF(AND(C1914&lt;&gt;"Servicio",H1914&lt;&gt;0),"IVA solo en Servicio",IF(AND(C1914="Servicio",F1914=""),"Falta servicio","OK")))))))))</f>
        <v/>
      </c>
    </row>
    <row r="1915" spans="1:12" ht="22" customHeight="1">
      <c r="A1915" s="3"/>
      <c r="B1915" s="7"/>
      <c r="C1915" s="3"/>
      <c r="D1915" s="3"/>
      <c r="E1915" s="3"/>
      <c r="F1915" s="3"/>
      <c r="G1915" s="4"/>
      <c r="H1915" s="4"/>
      <c r="I1915" s="3"/>
      <c r="J1915" s="3"/>
      <c r="K1915" s="8" t="str">
        <f t="shared" si="29"/>
        <v/>
      </c>
      <c r="L1915" s="1" t="str">
        <f>IF(COUNTA(A1915:J1915)=0,"",IF(OR(AND(C1915&lt;&gt;"Servicio",C1915&lt;&gt;"Cobro",C1915&lt;&gt;"Anticipo",C1915&lt;&gt;"Aplicación anticipo",C1915&lt;&gt;"Retención ISR",C1915&lt;&gt;"Retención IVA"),AND(C1915="Servicio",F1915&lt;&gt;"TMS",F1915&lt;&gt;"Valoración",F1915&lt;&gt;"EEG",F1915&lt;&gt;"Neurofeedback",F1915&lt;&gt;"Fotobiomodulación",F1915&lt;&gt;"Psicoterapia",F1915&lt;&gt;"Otros")),"Tipo o categoría inválido",IF(COUNTA(A1915:J1915)=0,"",IF(OR(A1915="",B1915="",C1915="",G1915=""),"Faltan datos",IF(COUNTIF($A$7:$A$2006,A1915)&gt;1,"ID duplicado",IF(OR(B1915&lt;DATE(Configuración!$C$5,1,1),B1915&gt;=DATE(Configuración!$C$5+1,1,1)),"Fecha fuera del año",IF(OR(G1915&lt;0,H1915&lt;0),"Revisar signo",IF(AND(C1915&lt;&gt;"Servicio",H1915&lt;&gt;0),"IVA solo en Servicio",IF(AND(C1915="Servicio",F1915=""),"Falta servicio","OK")))))))))</f>
        <v/>
      </c>
    </row>
    <row r="1916" spans="1:12" ht="22" customHeight="1">
      <c r="A1916" s="3"/>
      <c r="B1916" s="7"/>
      <c r="C1916" s="3"/>
      <c r="D1916" s="3"/>
      <c r="E1916" s="3"/>
      <c r="F1916" s="3"/>
      <c r="G1916" s="4"/>
      <c r="H1916" s="4"/>
      <c r="I1916" s="3"/>
      <c r="J1916" s="3"/>
      <c r="K1916" s="8" t="str">
        <f t="shared" si="29"/>
        <v/>
      </c>
      <c r="L1916" s="1" t="str">
        <f>IF(COUNTA(A1916:J1916)=0,"",IF(OR(AND(C1916&lt;&gt;"Servicio",C1916&lt;&gt;"Cobro",C1916&lt;&gt;"Anticipo",C1916&lt;&gt;"Aplicación anticipo",C1916&lt;&gt;"Retención ISR",C1916&lt;&gt;"Retención IVA"),AND(C1916="Servicio",F1916&lt;&gt;"TMS",F1916&lt;&gt;"Valoración",F1916&lt;&gt;"EEG",F1916&lt;&gt;"Neurofeedback",F1916&lt;&gt;"Fotobiomodulación",F1916&lt;&gt;"Psicoterapia",F1916&lt;&gt;"Otros")),"Tipo o categoría inválido",IF(COUNTA(A1916:J1916)=0,"",IF(OR(A1916="",B1916="",C1916="",G1916=""),"Faltan datos",IF(COUNTIF($A$7:$A$2006,A1916)&gt;1,"ID duplicado",IF(OR(B1916&lt;DATE(Configuración!$C$5,1,1),B1916&gt;=DATE(Configuración!$C$5+1,1,1)),"Fecha fuera del año",IF(OR(G1916&lt;0,H1916&lt;0),"Revisar signo",IF(AND(C1916&lt;&gt;"Servicio",H1916&lt;&gt;0),"IVA solo en Servicio",IF(AND(C1916="Servicio",F1916=""),"Falta servicio","OK")))))))))</f>
        <v/>
      </c>
    </row>
    <row r="1917" spans="1:12" ht="22" customHeight="1">
      <c r="A1917" s="3"/>
      <c r="B1917" s="7"/>
      <c r="C1917" s="3"/>
      <c r="D1917" s="3"/>
      <c r="E1917" s="3"/>
      <c r="F1917" s="3"/>
      <c r="G1917" s="4"/>
      <c r="H1917" s="4"/>
      <c r="I1917" s="3"/>
      <c r="J1917" s="3"/>
      <c r="K1917" s="8" t="str">
        <f t="shared" si="29"/>
        <v/>
      </c>
      <c r="L1917" s="1" t="str">
        <f>IF(COUNTA(A1917:J1917)=0,"",IF(OR(AND(C1917&lt;&gt;"Servicio",C1917&lt;&gt;"Cobro",C1917&lt;&gt;"Anticipo",C1917&lt;&gt;"Aplicación anticipo",C1917&lt;&gt;"Retención ISR",C1917&lt;&gt;"Retención IVA"),AND(C1917="Servicio",F1917&lt;&gt;"TMS",F1917&lt;&gt;"Valoración",F1917&lt;&gt;"EEG",F1917&lt;&gt;"Neurofeedback",F1917&lt;&gt;"Fotobiomodulación",F1917&lt;&gt;"Psicoterapia",F1917&lt;&gt;"Otros")),"Tipo o categoría inválido",IF(COUNTA(A1917:J1917)=0,"",IF(OR(A1917="",B1917="",C1917="",G1917=""),"Faltan datos",IF(COUNTIF($A$7:$A$2006,A1917)&gt;1,"ID duplicado",IF(OR(B1917&lt;DATE(Configuración!$C$5,1,1),B1917&gt;=DATE(Configuración!$C$5+1,1,1)),"Fecha fuera del año",IF(OR(G1917&lt;0,H1917&lt;0),"Revisar signo",IF(AND(C1917&lt;&gt;"Servicio",H1917&lt;&gt;0),"IVA solo en Servicio",IF(AND(C1917="Servicio",F1917=""),"Falta servicio","OK")))))))))</f>
        <v/>
      </c>
    </row>
    <row r="1918" spans="1:12" ht="22" customHeight="1">
      <c r="A1918" s="3"/>
      <c r="B1918" s="7"/>
      <c r="C1918" s="3"/>
      <c r="D1918" s="3"/>
      <c r="E1918" s="3"/>
      <c r="F1918" s="3"/>
      <c r="G1918" s="4"/>
      <c r="H1918" s="4"/>
      <c r="I1918" s="3"/>
      <c r="J1918" s="3"/>
      <c r="K1918" s="8" t="str">
        <f t="shared" si="29"/>
        <v/>
      </c>
      <c r="L1918" s="1" t="str">
        <f>IF(COUNTA(A1918:J1918)=0,"",IF(OR(AND(C1918&lt;&gt;"Servicio",C1918&lt;&gt;"Cobro",C1918&lt;&gt;"Anticipo",C1918&lt;&gt;"Aplicación anticipo",C1918&lt;&gt;"Retención ISR",C1918&lt;&gt;"Retención IVA"),AND(C1918="Servicio",F1918&lt;&gt;"TMS",F1918&lt;&gt;"Valoración",F1918&lt;&gt;"EEG",F1918&lt;&gt;"Neurofeedback",F1918&lt;&gt;"Fotobiomodulación",F1918&lt;&gt;"Psicoterapia",F1918&lt;&gt;"Otros")),"Tipo o categoría inválido",IF(COUNTA(A1918:J1918)=0,"",IF(OR(A1918="",B1918="",C1918="",G1918=""),"Faltan datos",IF(COUNTIF($A$7:$A$2006,A1918)&gt;1,"ID duplicado",IF(OR(B1918&lt;DATE(Configuración!$C$5,1,1),B1918&gt;=DATE(Configuración!$C$5+1,1,1)),"Fecha fuera del año",IF(OR(G1918&lt;0,H1918&lt;0),"Revisar signo",IF(AND(C1918&lt;&gt;"Servicio",H1918&lt;&gt;0),"IVA solo en Servicio",IF(AND(C1918="Servicio",F1918=""),"Falta servicio","OK")))))))))</f>
        <v/>
      </c>
    </row>
    <row r="1919" spans="1:12" ht="22" customHeight="1">
      <c r="A1919" s="3"/>
      <c r="B1919" s="7"/>
      <c r="C1919" s="3"/>
      <c r="D1919" s="3"/>
      <c r="E1919" s="3"/>
      <c r="F1919" s="3"/>
      <c r="G1919" s="4"/>
      <c r="H1919" s="4"/>
      <c r="I1919" s="3"/>
      <c r="J1919" s="3"/>
      <c r="K1919" s="8" t="str">
        <f t="shared" si="29"/>
        <v/>
      </c>
      <c r="L1919" s="1" t="str">
        <f>IF(COUNTA(A1919:J1919)=0,"",IF(OR(AND(C1919&lt;&gt;"Servicio",C1919&lt;&gt;"Cobro",C1919&lt;&gt;"Anticipo",C1919&lt;&gt;"Aplicación anticipo",C1919&lt;&gt;"Retención ISR",C1919&lt;&gt;"Retención IVA"),AND(C1919="Servicio",F1919&lt;&gt;"TMS",F1919&lt;&gt;"Valoración",F1919&lt;&gt;"EEG",F1919&lt;&gt;"Neurofeedback",F1919&lt;&gt;"Fotobiomodulación",F1919&lt;&gt;"Psicoterapia",F1919&lt;&gt;"Otros")),"Tipo o categoría inválido",IF(COUNTA(A1919:J1919)=0,"",IF(OR(A1919="",B1919="",C1919="",G1919=""),"Faltan datos",IF(COUNTIF($A$7:$A$2006,A1919)&gt;1,"ID duplicado",IF(OR(B1919&lt;DATE(Configuración!$C$5,1,1),B1919&gt;=DATE(Configuración!$C$5+1,1,1)),"Fecha fuera del año",IF(OR(G1919&lt;0,H1919&lt;0),"Revisar signo",IF(AND(C1919&lt;&gt;"Servicio",H1919&lt;&gt;0),"IVA solo en Servicio",IF(AND(C1919="Servicio",F1919=""),"Falta servicio","OK")))))))))</f>
        <v/>
      </c>
    </row>
    <row r="1920" spans="1:12" ht="22" customHeight="1">
      <c r="A1920" s="3"/>
      <c r="B1920" s="7"/>
      <c r="C1920" s="3"/>
      <c r="D1920" s="3"/>
      <c r="E1920" s="3"/>
      <c r="F1920" s="3"/>
      <c r="G1920" s="4"/>
      <c r="H1920" s="4"/>
      <c r="I1920" s="3"/>
      <c r="J1920" s="3"/>
      <c r="K1920" s="8" t="str">
        <f t="shared" si="29"/>
        <v/>
      </c>
      <c r="L1920" s="1" t="str">
        <f>IF(COUNTA(A1920:J1920)=0,"",IF(OR(AND(C1920&lt;&gt;"Servicio",C1920&lt;&gt;"Cobro",C1920&lt;&gt;"Anticipo",C1920&lt;&gt;"Aplicación anticipo",C1920&lt;&gt;"Retención ISR",C1920&lt;&gt;"Retención IVA"),AND(C1920="Servicio",F1920&lt;&gt;"TMS",F1920&lt;&gt;"Valoración",F1920&lt;&gt;"EEG",F1920&lt;&gt;"Neurofeedback",F1920&lt;&gt;"Fotobiomodulación",F1920&lt;&gt;"Psicoterapia",F1920&lt;&gt;"Otros")),"Tipo o categoría inválido",IF(COUNTA(A1920:J1920)=0,"",IF(OR(A1920="",B1920="",C1920="",G1920=""),"Faltan datos",IF(COUNTIF($A$7:$A$2006,A1920)&gt;1,"ID duplicado",IF(OR(B1920&lt;DATE(Configuración!$C$5,1,1),B1920&gt;=DATE(Configuración!$C$5+1,1,1)),"Fecha fuera del año",IF(OR(G1920&lt;0,H1920&lt;0),"Revisar signo",IF(AND(C1920&lt;&gt;"Servicio",H1920&lt;&gt;0),"IVA solo en Servicio",IF(AND(C1920="Servicio",F1920=""),"Falta servicio","OK")))))))))</f>
        <v/>
      </c>
    </row>
    <row r="1921" spans="1:12" ht="22" customHeight="1">
      <c r="A1921" s="3"/>
      <c r="B1921" s="7"/>
      <c r="C1921" s="3"/>
      <c r="D1921" s="3"/>
      <c r="E1921" s="3"/>
      <c r="F1921" s="3"/>
      <c r="G1921" s="4"/>
      <c r="H1921" s="4"/>
      <c r="I1921" s="3"/>
      <c r="J1921" s="3"/>
      <c r="K1921" s="8" t="str">
        <f t="shared" si="29"/>
        <v/>
      </c>
      <c r="L1921" s="1" t="str">
        <f>IF(COUNTA(A1921:J1921)=0,"",IF(OR(AND(C1921&lt;&gt;"Servicio",C1921&lt;&gt;"Cobro",C1921&lt;&gt;"Anticipo",C1921&lt;&gt;"Aplicación anticipo",C1921&lt;&gt;"Retención ISR",C1921&lt;&gt;"Retención IVA"),AND(C1921="Servicio",F1921&lt;&gt;"TMS",F1921&lt;&gt;"Valoración",F1921&lt;&gt;"EEG",F1921&lt;&gt;"Neurofeedback",F1921&lt;&gt;"Fotobiomodulación",F1921&lt;&gt;"Psicoterapia",F1921&lt;&gt;"Otros")),"Tipo o categoría inválido",IF(COUNTA(A1921:J1921)=0,"",IF(OR(A1921="",B1921="",C1921="",G1921=""),"Faltan datos",IF(COUNTIF($A$7:$A$2006,A1921)&gt;1,"ID duplicado",IF(OR(B1921&lt;DATE(Configuración!$C$5,1,1),B1921&gt;=DATE(Configuración!$C$5+1,1,1)),"Fecha fuera del año",IF(OR(G1921&lt;0,H1921&lt;0),"Revisar signo",IF(AND(C1921&lt;&gt;"Servicio",H1921&lt;&gt;0),"IVA solo en Servicio",IF(AND(C1921="Servicio",F1921=""),"Falta servicio","OK")))))))))</f>
        <v/>
      </c>
    </row>
    <row r="1922" spans="1:12" ht="22" customHeight="1">
      <c r="A1922" s="3"/>
      <c r="B1922" s="7"/>
      <c r="C1922" s="3"/>
      <c r="D1922" s="3"/>
      <c r="E1922" s="3"/>
      <c r="F1922" s="3"/>
      <c r="G1922" s="4"/>
      <c r="H1922" s="4"/>
      <c r="I1922" s="3"/>
      <c r="J1922" s="3"/>
      <c r="K1922" s="8" t="str">
        <f t="shared" si="29"/>
        <v/>
      </c>
      <c r="L1922" s="1" t="str">
        <f>IF(COUNTA(A1922:J1922)=0,"",IF(OR(AND(C1922&lt;&gt;"Servicio",C1922&lt;&gt;"Cobro",C1922&lt;&gt;"Anticipo",C1922&lt;&gt;"Aplicación anticipo",C1922&lt;&gt;"Retención ISR",C1922&lt;&gt;"Retención IVA"),AND(C1922="Servicio",F1922&lt;&gt;"TMS",F1922&lt;&gt;"Valoración",F1922&lt;&gt;"EEG",F1922&lt;&gt;"Neurofeedback",F1922&lt;&gt;"Fotobiomodulación",F1922&lt;&gt;"Psicoterapia",F1922&lt;&gt;"Otros")),"Tipo o categoría inválido",IF(COUNTA(A1922:J1922)=0,"",IF(OR(A1922="",B1922="",C1922="",G1922=""),"Faltan datos",IF(COUNTIF($A$7:$A$2006,A1922)&gt;1,"ID duplicado",IF(OR(B1922&lt;DATE(Configuración!$C$5,1,1),B1922&gt;=DATE(Configuración!$C$5+1,1,1)),"Fecha fuera del año",IF(OR(G1922&lt;0,H1922&lt;0),"Revisar signo",IF(AND(C1922&lt;&gt;"Servicio",H1922&lt;&gt;0),"IVA solo en Servicio",IF(AND(C1922="Servicio",F1922=""),"Falta servicio","OK")))))))))</f>
        <v/>
      </c>
    </row>
    <row r="1923" spans="1:12" ht="22" customHeight="1">
      <c r="A1923" s="3"/>
      <c r="B1923" s="7"/>
      <c r="C1923" s="3"/>
      <c r="D1923" s="3"/>
      <c r="E1923" s="3"/>
      <c r="F1923" s="3"/>
      <c r="G1923" s="4"/>
      <c r="H1923" s="4"/>
      <c r="I1923" s="3"/>
      <c r="J1923" s="3"/>
      <c r="K1923" s="8" t="str">
        <f t="shared" si="29"/>
        <v/>
      </c>
      <c r="L1923" s="1" t="str">
        <f>IF(COUNTA(A1923:J1923)=0,"",IF(OR(AND(C1923&lt;&gt;"Servicio",C1923&lt;&gt;"Cobro",C1923&lt;&gt;"Anticipo",C1923&lt;&gt;"Aplicación anticipo",C1923&lt;&gt;"Retención ISR",C1923&lt;&gt;"Retención IVA"),AND(C1923="Servicio",F1923&lt;&gt;"TMS",F1923&lt;&gt;"Valoración",F1923&lt;&gt;"EEG",F1923&lt;&gt;"Neurofeedback",F1923&lt;&gt;"Fotobiomodulación",F1923&lt;&gt;"Psicoterapia",F1923&lt;&gt;"Otros")),"Tipo o categoría inválido",IF(COUNTA(A1923:J1923)=0,"",IF(OR(A1923="",B1923="",C1923="",G1923=""),"Faltan datos",IF(COUNTIF($A$7:$A$2006,A1923)&gt;1,"ID duplicado",IF(OR(B1923&lt;DATE(Configuración!$C$5,1,1),B1923&gt;=DATE(Configuración!$C$5+1,1,1)),"Fecha fuera del año",IF(OR(G1923&lt;0,H1923&lt;0),"Revisar signo",IF(AND(C1923&lt;&gt;"Servicio",H1923&lt;&gt;0),"IVA solo en Servicio",IF(AND(C1923="Servicio",F1923=""),"Falta servicio","OK")))))))))</f>
        <v/>
      </c>
    </row>
    <row r="1924" spans="1:12" ht="22" customHeight="1">
      <c r="A1924" s="3"/>
      <c r="B1924" s="7"/>
      <c r="C1924" s="3"/>
      <c r="D1924" s="3"/>
      <c r="E1924" s="3"/>
      <c r="F1924" s="3"/>
      <c r="G1924" s="4"/>
      <c r="H1924" s="4"/>
      <c r="I1924" s="3"/>
      <c r="J1924" s="3"/>
      <c r="K1924" s="8" t="str">
        <f t="shared" si="29"/>
        <v/>
      </c>
      <c r="L1924" s="1" t="str">
        <f>IF(COUNTA(A1924:J1924)=0,"",IF(OR(AND(C1924&lt;&gt;"Servicio",C1924&lt;&gt;"Cobro",C1924&lt;&gt;"Anticipo",C1924&lt;&gt;"Aplicación anticipo",C1924&lt;&gt;"Retención ISR",C1924&lt;&gt;"Retención IVA"),AND(C1924="Servicio",F1924&lt;&gt;"TMS",F1924&lt;&gt;"Valoración",F1924&lt;&gt;"EEG",F1924&lt;&gt;"Neurofeedback",F1924&lt;&gt;"Fotobiomodulación",F1924&lt;&gt;"Psicoterapia",F1924&lt;&gt;"Otros")),"Tipo o categoría inválido",IF(COUNTA(A1924:J1924)=0,"",IF(OR(A1924="",B1924="",C1924="",G1924=""),"Faltan datos",IF(COUNTIF($A$7:$A$2006,A1924)&gt;1,"ID duplicado",IF(OR(B1924&lt;DATE(Configuración!$C$5,1,1),B1924&gt;=DATE(Configuración!$C$5+1,1,1)),"Fecha fuera del año",IF(OR(G1924&lt;0,H1924&lt;0),"Revisar signo",IF(AND(C1924&lt;&gt;"Servicio",H1924&lt;&gt;0),"IVA solo en Servicio",IF(AND(C1924="Servicio",F1924=""),"Falta servicio","OK")))))))))</f>
        <v/>
      </c>
    </row>
    <row r="1925" spans="1:12" ht="22" customHeight="1">
      <c r="A1925" s="3"/>
      <c r="B1925" s="7"/>
      <c r="C1925" s="3"/>
      <c r="D1925" s="3"/>
      <c r="E1925" s="3"/>
      <c r="F1925" s="3"/>
      <c r="G1925" s="4"/>
      <c r="H1925" s="4"/>
      <c r="I1925" s="3"/>
      <c r="J1925" s="3"/>
      <c r="K1925" s="8" t="str">
        <f t="shared" si="29"/>
        <v/>
      </c>
      <c r="L1925" s="1" t="str">
        <f>IF(COUNTA(A1925:J1925)=0,"",IF(OR(AND(C1925&lt;&gt;"Servicio",C1925&lt;&gt;"Cobro",C1925&lt;&gt;"Anticipo",C1925&lt;&gt;"Aplicación anticipo",C1925&lt;&gt;"Retención ISR",C1925&lt;&gt;"Retención IVA"),AND(C1925="Servicio",F1925&lt;&gt;"TMS",F1925&lt;&gt;"Valoración",F1925&lt;&gt;"EEG",F1925&lt;&gt;"Neurofeedback",F1925&lt;&gt;"Fotobiomodulación",F1925&lt;&gt;"Psicoterapia",F1925&lt;&gt;"Otros")),"Tipo o categoría inválido",IF(COUNTA(A1925:J1925)=0,"",IF(OR(A1925="",B1925="",C1925="",G1925=""),"Faltan datos",IF(COUNTIF($A$7:$A$2006,A1925)&gt;1,"ID duplicado",IF(OR(B1925&lt;DATE(Configuración!$C$5,1,1),B1925&gt;=DATE(Configuración!$C$5+1,1,1)),"Fecha fuera del año",IF(OR(G1925&lt;0,H1925&lt;0),"Revisar signo",IF(AND(C1925&lt;&gt;"Servicio",H1925&lt;&gt;0),"IVA solo en Servicio",IF(AND(C1925="Servicio",F1925=""),"Falta servicio","OK")))))))))</f>
        <v/>
      </c>
    </row>
    <row r="1926" spans="1:12" ht="22" customHeight="1">
      <c r="A1926" s="3"/>
      <c r="B1926" s="7"/>
      <c r="C1926" s="3"/>
      <c r="D1926" s="3"/>
      <c r="E1926" s="3"/>
      <c r="F1926" s="3"/>
      <c r="G1926" s="4"/>
      <c r="H1926" s="4"/>
      <c r="I1926" s="3"/>
      <c r="J1926" s="3"/>
      <c r="K1926" s="8" t="str">
        <f t="shared" si="29"/>
        <v/>
      </c>
      <c r="L1926" s="1" t="str">
        <f>IF(COUNTA(A1926:J1926)=0,"",IF(OR(AND(C1926&lt;&gt;"Servicio",C1926&lt;&gt;"Cobro",C1926&lt;&gt;"Anticipo",C1926&lt;&gt;"Aplicación anticipo",C1926&lt;&gt;"Retención ISR",C1926&lt;&gt;"Retención IVA"),AND(C1926="Servicio",F1926&lt;&gt;"TMS",F1926&lt;&gt;"Valoración",F1926&lt;&gt;"EEG",F1926&lt;&gt;"Neurofeedback",F1926&lt;&gt;"Fotobiomodulación",F1926&lt;&gt;"Psicoterapia",F1926&lt;&gt;"Otros")),"Tipo o categoría inválido",IF(COUNTA(A1926:J1926)=0,"",IF(OR(A1926="",B1926="",C1926="",G1926=""),"Faltan datos",IF(COUNTIF($A$7:$A$2006,A1926)&gt;1,"ID duplicado",IF(OR(B1926&lt;DATE(Configuración!$C$5,1,1),B1926&gt;=DATE(Configuración!$C$5+1,1,1)),"Fecha fuera del año",IF(OR(G1926&lt;0,H1926&lt;0),"Revisar signo",IF(AND(C1926&lt;&gt;"Servicio",H1926&lt;&gt;0),"IVA solo en Servicio",IF(AND(C1926="Servicio",F1926=""),"Falta servicio","OK")))))))))</f>
        <v/>
      </c>
    </row>
    <row r="1927" spans="1:12" ht="22" customHeight="1">
      <c r="A1927" s="3"/>
      <c r="B1927" s="7"/>
      <c r="C1927" s="3"/>
      <c r="D1927" s="3"/>
      <c r="E1927" s="3"/>
      <c r="F1927" s="3"/>
      <c r="G1927" s="4"/>
      <c r="H1927" s="4"/>
      <c r="I1927" s="3"/>
      <c r="J1927" s="3"/>
      <c r="K1927" s="8" t="str">
        <f t="shared" ref="K1927:K1990" si="30">IF(A1927="","",G1927+H1927)</f>
        <v/>
      </c>
      <c r="L1927" s="1" t="str">
        <f>IF(COUNTA(A1927:J1927)=0,"",IF(OR(AND(C1927&lt;&gt;"Servicio",C1927&lt;&gt;"Cobro",C1927&lt;&gt;"Anticipo",C1927&lt;&gt;"Aplicación anticipo",C1927&lt;&gt;"Retención ISR",C1927&lt;&gt;"Retención IVA"),AND(C1927="Servicio",F1927&lt;&gt;"TMS",F1927&lt;&gt;"Valoración",F1927&lt;&gt;"EEG",F1927&lt;&gt;"Neurofeedback",F1927&lt;&gt;"Fotobiomodulación",F1927&lt;&gt;"Psicoterapia",F1927&lt;&gt;"Otros")),"Tipo o categoría inválido",IF(COUNTA(A1927:J1927)=0,"",IF(OR(A1927="",B1927="",C1927="",G1927=""),"Faltan datos",IF(COUNTIF($A$7:$A$2006,A1927)&gt;1,"ID duplicado",IF(OR(B1927&lt;DATE(Configuración!$C$5,1,1),B1927&gt;=DATE(Configuración!$C$5+1,1,1)),"Fecha fuera del año",IF(OR(G1927&lt;0,H1927&lt;0),"Revisar signo",IF(AND(C1927&lt;&gt;"Servicio",H1927&lt;&gt;0),"IVA solo en Servicio",IF(AND(C1927="Servicio",F1927=""),"Falta servicio","OK")))))))))</f>
        <v/>
      </c>
    </row>
    <row r="1928" spans="1:12" ht="22" customHeight="1">
      <c r="A1928" s="3"/>
      <c r="B1928" s="7"/>
      <c r="C1928" s="3"/>
      <c r="D1928" s="3"/>
      <c r="E1928" s="3"/>
      <c r="F1928" s="3"/>
      <c r="G1928" s="4"/>
      <c r="H1928" s="4"/>
      <c r="I1928" s="3"/>
      <c r="J1928" s="3"/>
      <c r="K1928" s="8" t="str">
        <f t="shared" si="30"/>
        <v/>
      </c>
      <c r="L1928" s="1" t="str">
        <f>IF(COUNTA(A1928:J1928)=0,"",IF(OR(AND(C1928&lt;&gt;"Servicio",C1928&lt;&gt;"Cobro",C1928&lt;&gt;"Anticipo",C1928&lt;&gt;"Aplicación anticipo",C1928&lt;&gt;"Retención ISR",C1928&lt;&gt;"Retención IVA"),AND(C1928="Servicio",F1928&lt;&gt;"TMS",F1928&lt;&gt;"Valoración",F1928&lt;&gt;"EEG",F1928&lt;&gt;"Neurofeedback",F1928&lt;&gt;"Fotobiomodulación",F1928&lt;&gt;"Psicoterapia",F1928&lt;&gt;"Otros")),"Tipo o categoría inválido",IF(COUNTA(A1928:J1928)=0,"",IF(OR(A1928="",B1928="",C1928="",G1928=""),"Faltan datos",IF(COUNTIF($A$7:$A$2006,A1928)&gt;1,"ID duplicado",IF(OR(B1928&lt;DATE(Configuración!$C$5,1,1),B1928&gt;=DATE(Configuración!$C$5+1,1,1)),"Fecha fuera del año",IF(OR(G1928&lt;0,H1928&lt;0),"Revisar signo",IF(AND(C1928&lt;&gt;"Servicio",H1928&lt;&gt;0),"IVA solo en Servicio",IF(AND(C1928="Servicio",F1928=""),"Falta servicio","OK")))))))))</f>
        <v/>
      </c>
    </row>
    <row r="1929" spans="1:12" ht="22" customHeight="1">
      <c r="A1929" s="3"/>
      <c r="B1929" s="7"/>
      <c r="C1929" s="3"/>
      <c r="D1929" s="3"/>
      <c r="E1929" s="3"/>
      <c r="F1929" s="3"/>
      <c r="G1929" s="4"/>
      <c r="H1929" s="4"/>
      <c r="I1929" s="3"/>
      <c r="J1929" s="3"/>
      <c r="K1929" s="8" t="str">
        <f t="shared" si="30"/>
        <v/>
      </c>
      <c r="L1929" s="1" t="str">
        <f>IF(COUNTA(A1929:J1929)=0,"",IF(OR(AND(C1929&lt;&gt;"Servicio",C1929&lt;&gt;"Cobro",C1929&lt;&gt;"Anticipo",C1929&lt;&gt;"Aplicación anticipo",C1929&lt;&gt;"Retención ISR",C1929&lt;&gt;"Retención IVA"),AND(C1929="Servicio",F1929&lt;&gt;"TMS",F1929&lt;&gt;"Valoración",F1929&lt;&gt;"EEG",F1929&lt;&gt;"Neurofeedback",F1929&lt;&gt;"Fotobiomodulación",F1929&lt;&gt;"Psicoterapia",F1929&lt;&gt;"Otros")),"Tipo o categoría inválido",IF(COUNTA(A1929:J1929)=0,"",IF(OR(A1929="",B1929="",C1929="",G1929=""),"Faltan datos",IF(COUNTIF($A$7:$A$2006,A1929)&gt;1,"ID duplicado",IF(OR(B1929&lt;DATE(Configuración!$C$5,1,1),B1929&gt;=DATE(Configuración!$C$5+1,1,1)),"Fecha fuera del año",IF(OR(G1929&lt;0,H1929&lt;0),"Revisar signo",IF(AND(C1929&lt;&gt;"Servicio",H1929&lt;&gt;0),"IVA solo en Servicio",IF(AND(C1929="Servicio",F1929=""),"Falta servicio","OK")))))))))</f>
        <v/>
      </c>
    </row>
    <row r="1930" spans="1:12" ht="22" customHeight="1">
      <c r="A1930" s="3"/>
      <c r="B1930" s="7"/>
      <c r="C1930" s="3"/>
      <c r="D1930" s="3"/>
      <c r="E1930" s="3"/>
      <c r="F1930" s="3"/>
      <c r="G1930" s="4"/>
      <c r="H1930" s="4"/>
      <c r="I1930" s="3"/>
      <c r="J1930" s="3"/>
      <c r="K1930" s="8" t="str">
        <f t="shared" si="30"/>
        <v/>
      </c>
      <c r="L1930" s="1" t="str">
        <f>IF(COUNTA(A1930:J1930)=0,"",IF(OR(AND(C1930&lt;&gt;"Servicio",C1930&lt;&gt;"Cobro",C1930&lt;&gt;"Anticipo",C1930&lt;&gt;"Aplicación anticipo",C1930&lt;&gt;"Retención ISR",C1930&lt;&gt;"Retención IVA"),AND(C1930="Servicio",F1930&lt;&gt;"TMS",F1930&lt;&gt;"Valoración",F1930&lt;&gt;"EEG",F1930&lt;&gt;"Neurofeedback",F1930&lt;&gt;"Fotobiomodulación",F1930&lt;&gt;"Psicoterapia",F1930&lt;&gt;"Otros")),"Tipo o categoría inválido",IF(COUNTA(A1930:J1930)=0,"",IF(OR(A1930="",B1930="",C1930="",G1930=""),"Faltan datos",IF(COUNTIF($A$7:$A$2006,A1930)&gt;1,"ID duplicado",IF(OR(B1930&lt;DATE(Configuración!$C$5,1,1),B1930&gt;=DATE(Configuración!$C$5+1,1,1)),"Fecha fuera del año",IF(OR(G1930&lt;0,H1930&lt;0),"Revisar signo",IF(AND(C1930&lt;&gt;"Servicio",H1930&lt;&gt;0),"IVA solo en Servicio",IF(AND(C1930="Servicio",F1930=""),"Falta servicio","OK")))))))))</f>
        <v/>
      </c>
    </row>
    <row r="1931" spans="1:12" ht="22" customHeight="1">
      <c r="A1931" s="3"/>
      <c r="B1931" s="7"/>
      <c r="C1931" s="3"/>
      <c r="D1931" s="3"/>
      <c r="E1931" s="3"/>
      <c r="F1931" s="3"/>
      <c r="G1931" s="4"/>
      <c r="H1931" s="4"/>
      <c r="I1931" s="3"/>
      <c r="J1931" s="3"/>
      <c r="K1931" s="8" t="str">
        <f t="shared" si="30"/>
        <v/>
      </c>
      <c r="L1931" s="1" t="str">
        <f>IF(COUNTA(A1931:J1931)=0,"",IF(OR(AND(C1931&lt;&gt;"Servicio",C1931&lt;&gt;"Cobro",C1931&lt;&gt;"Anticipo",C1931&lt;&gt;"Aplicación anticipo",C1931&lt;&gt;"Retención ISR",C1931&lt;&gt;"Retención IVA"),AND(C1931="Servicio",F1931&lt;&gt;"TMS",F1931&lt;&gt;"Valoración",F1931&lt;&gt;"EEG",F1931&lt;&gt;"Neurofeedback",F1931&lt;&gt;"Fotobiomodulación",F1931&lt;&gt;"Psicoterapia",F1931&lt;&gt;"Otros")),"Tipo o categoría inválido",IF(COUNTA(A1931:J1931)=0,"",IF(OR(A1931="",B1931="",C1931="",G1931=""),"Faltan datos",IF(COUNTIF($A$7:$A$2006,A1931)&gt;1,"ID duplicado",IF(OR(B1931&lt;DATE(Configuración!$C$5,1,1),B1931&gt;=DATE(Configuración!$C$5+1,1,1)),"Fecha fuera del año",IF(OR(G1931&lt;0,H1931&lt;0),"Revisar signo",IF(AND(C1931&lt;&gt;"Servicio",H1931&lt;&gt;0),"IVA solo en Servicio",IF(AND(C1931="Servicio",F1931=""),"Falta servicio","OK")))))))))</f>
        <v/>
      </c>
    </row>
    <row r="1932" spans="1:12" ht="22" customHeight="1">
      <c r="A1932" s="3"/>
      <c r="B1932" s="7"/>
      <c r="C1932" s="3"/>
      <c r="D1932" s="3"/>
      <c r="E1932" s="3"/>
      <c r="F1932" s="3"/>
      <c r="G1932" s="4"/>
      <c r="H1932" s="4"/>
      <c r="I1932" s="3"/>
      <c r="J1932" s="3"/>
      <c r="K1932" s="8" t="str">
        <f t="shared" si="30"/>
        <v/>
      </c>
      <c r="L1932" s="1" t="str">
        <f>IF(COUNTA(A1932:J1932)=0,"",IF(OR(AND(C1932&lt;&gt;"Servicio",C1932&lt;&gt;"Cobro",C1932&lt;&gt;"Anticipo",C1932&lt;&gt;"Aplicación anticipo",C1932&lt;&gt;"Retención ISR",C1932&lt;&gt;"Retención IVA"),AND(C1932="Servicio",F1932&lt;&gt;"TMS",F1932&lt;&gt;"Valoración",F1932&lt;&gt;"EEG",F1932&lt;&gt;"Neurofeedback",F1932&lt;&gt;"Fotobiomodulación",F1932&lt;&gt;"Psicoterapia",F1932&lt;&gt;"Otros")),"Tipo o categoría inválido",IF(COUNTA(A1932:J1932)=0,"",IF(OR(A1932="",B1932="",C1932="",G1932=""),"Faltan datos",IF(COUNTIF($A$7:$A$2006,A1932)&gt;1,"ID duplicado",IF(OR(B1932&lt;DATE(Configuración!$C$5,1,1),B1932&gt;=DATE(Configuración!$C$5+1,1,1)),"Fecha fuera del año",IF(OR(G1932&lt;0,H1932&lt;0),"Revisar signo",IF(AND(C1932&lt;&gt;"Servicio",H1932&lt;&gt;0),"IVA solo en Servicio",IF(AND(C1932="Servicio",F1932=""),"Falta servicio","OK")))))))))</f>
        <v/>
      </c>
    </row>
    <row r="1933" spans="1:12" ht="22" customHeight="1">
      <c r="A1933" s="3"/>
      <c r="B1933" s="7"/>
      <c r="C1933" s="3"/>
      <c r="D1933" s="3"/>
      <c r="E1933" s="3"/>
      <c r="F1933" s="3"/>
      <c r="G1933" s="4"/>
      <c r="H1933" s="4"/>
      <c r="I1933" s="3"/>
      <c r="J1933" s="3"/>
      <c r="K1933" s="8" t="str">
        <f t="shared" si="30"/>
        <v/>
      </c>
      <c r="L1933" s="1" t="str">
        <f>IF(COUNTA(A1933:J1933)=0,"",IF(OR(AND(C1933&lt;&gt;"Servicio",C1933&lt;&gt;"Cobro",C1933&lt;&gt;"Anticipo",C1933&lt;&gt;"Aplicación anticipo",C1933&lt;&gt;"Retención ISR",C1933&lt;&gt;"Retención IVA"),AND(C1933="Servicio",F1933&lt;&gt;"TMS",F1933&lt;&gt;"Valoración",F1933&lt;&gt;"EEG",F1933&lt;&gt;"Neurofeedback",F1933&lt;&gt;"Fotobiomodulación",F1933&lt;&gt;"Psicoterapia",F1933&lt;&gt;"Otros")),"Tipo o categoría inválido",IF(COUNTA(A1933:J1933)=0,"",IF(OR(A1933="",B1933="",C1933="",G1933=""),"Faltan datos",IF(COUNTIF($A$7:$A$2006,A1933)&gt;1,"ID duplicado",IF(OR(B1933&lt;DATE(Configuración!$C$5,1,1),B1933&gt;=DATE(Configuración!$C$5+1,1,1)),"Fecha fuera del año",IF(OR(G1933&lt;0,H1933&lt;0),"Revisar signo",IF(AND(C1933&lt;&gt;"Servicio",H1933&lt;&gt;0),"IVA solo en Servicio",IF(AND(C1933="Servicio",F1933=""),"Falta servicio","OK")))))))))</f>
        <v/>
      </c>
    </row>
    <row r="1934" spans="1:12" ht="22" customHeight="1">
      <c r="A1934" s="3"/>
      <c r="B1934" s="7"/>
      <c r="C1934" s="3"/>
      <c r="D1934" s="3"/>
      <c r="E1934" s="3"/>
      <c r="F1934" s="3"/>
      <c r="G1934" s="4"/>
      <c r="H1934" s="4"/>
      <c r="I1934" s="3"/>
      <c r="J1934" s="3"/>
      <c r="K1934" s="8" t="str">
        <f t="shared" si="30"/>
        <v/>
      </c>
      <c r="L1934" s="1" t="str">
        <f>IF(COUNTA(A1934:J1934)=0,"",IF(OR(AND(C1934&lt;&gt;"Servicio",C1934&lt;&gt;"Cobro",C1934&lt;&gt;"Anticipo",C1934&lt;&gt;"Aplicación anticipo",C1934&lt;&gt;"Retención ISR",C1934&lt;&gt;"Retención IVA"),AND(C1934="Servicio",F1934&lt;&gt;"TMS",F1934&lt;&gt;"Valoración",F1934&lt;&gt;"EEG",F1934&lt;&gt;"Neurofeedback",F1934&lt;&gt;"Fotobiomodulación",F1934&lt;&gt;"Psicoterapia",F1934&lt;&gt;"Otros")),"Tipo o categoría inválido",IF(COUNTA(A1934:J1934)=0,"",IF(OR(A1934="",B1934="",C1934="",G1934=""),"Faltan datos",IF(COUNTIF($A$7:$A$2006,A1934)&gt;1,"ID duplicado",IF(OR(B1934&lt;DATE(Configuración!$C$5,1,1),B1934&gt;=DATE(Configuración!$C$5+1,1,1)),"Fecha fuera del año",IF(OR(G1934&lt;0,H1934&lt;0),"Revisar signo",IF(AND(C1934&lt;&gt;"Servicio",H1934&lt;&gt;0),"IVA solo en Servicio",IF(AND(C1934="Servicio",F1934=""),"Falta servicio","OK")))))))))</f>
        <v/>
      </c>
    </row>
    <row r="1935" spans="1:12" ht="22" customHeight="1">
      <c r="A1935" s="3"/>
      <c r="B1935" s="7"/>
      <c r="C1935" s="3"/>
      <c r="D1935" s="3"/>
      <c r="E1935" s="3"/>
      <c r="F1935" s="3"/>
      <c r="G1935" s="4"/>
      <c r="H1935" s="4"/>
      <c r="I1935" s="3"/>
      <c r="J1935" s="3"/>
      <c r="K1935" s="8" t="str">
        <f t="shared" si="30"/>
        <v/>
      </c>
      <c r="L1935" s="1" t="str">
        <f>IF(COUNTA(A1935:J1935)=0,"",IF(OR(AND(C1935&lt;&gt;"Servicio",C1935&lt;&gt;"Cobro",C1935&lt;&gt;"Anticipo",C1935&lt;&gt;"Aplicación anticipo",C1935&lt;&gt;"Retención ISR",C1935&lt;&gt;"Retención IVA"),AND(C1935="Servicio",F1935&lt;&gt;"TMS",F1935&lt;&gt;"Valoración",F1935&lt;&gt;"EEG",F1935&lt;&gt;"Neurofeedback",F1935&lt;&gt;"Fotobiomodulación",F1935&lt;&gt;"Psicoterapia",F1935&lt;&gt;"Otros")),"Tipo o categoría inválido",IF(COUNTA(A1935:J1935)=0,"",IF(OR(A1935="",B1935="",C1935="",G1935=""),"Faltan datos",IF(COUNTIF($A$7:$A$2006,A1935)&gt;1,"ID duplicado",IF(OR(B1935&lt;DATE(Configuración!$C$5,1,1),B1935&gt;=DATE(Configuración!$C$5+1,1,1)),"Fecha fuera del año",IF(OR(G1935&lt;0,H1935&lt;0),"Revisar signo",IF(AND(C1935&lt;&gt;"Servicio",H1935&lt;&gt;0),"IVA solo en Servicio",IF(AND(C1935="Servicio",F1935=""),"Falta servicio","OK")))))))))</f>
        <v/>
      </c>
    </row>
    <row r="1936" spans="1:12" ht="22" customHeight="1">
      <c r="A1936" s="3"/>
      <c r="B1936" s="7"/>
      <c r="C1936" s="3"/>
      <c r="D1936" s="3"/>
      <c r="E1936" s="3"/>
      <c r="F1936" s="3"/>
      <c r="G1936" s="4"/>
      <c r="H1936" s="4"/>
      <c r="I1936" s="3"/>
      <c r="J1936" s="3"/>
      <c r="K1936" s="8" t="str">
        <f t="shared" si="30"/>
        <v/>
      </c>
      <c r="L1936" s="1" t="str">
        <f>IF(COUNTA(A1936:J1936)=0,"",IF(OR(AND(C1936&lt;&gt;"Servicio",C1936&lt;&gt;"Cobro",C1936&lt;&gt;"Anticipo",C1936&lt;&gt;"Aplicación anticipo",C1936&lt;&gt;"Retención ISR",C1936&lt;&gt;"Retención IVA"),AND(C1936="Servicio",F1936&lt;&gt;"TMS",F1936&lt;&gt;"Valoración",F1936&lt;&gt;"EEG",F1936&lt;&gt;"Neurofeedback",F1936&lt;&gt;"Fotobiomodulación",F1936&lt;&gt;"Psicoterapia",F1936&lt;&gt;"Otros")),"Tipo o categoría inválido",IF(COUNTA(A1936:J1936)=0,"",IF(OR(A1936="",B1936="",C1936="",G1936=""),"Faltan datos",IF(COUNTIF($A$7:$A$2006,A1936)&gt;1,"ID duplicado",IF(OR(B1936&lt;DATE(Configuración!$C$5,1,1),B1936&gt;=DATE(Configuración!$C$5+1,1,1)),"Fecha fuera del año",IF(OR(G1936&lt;0,H1936&lt;0),"Revisar signo",IF(AND(C1936&lt;&gt;"Servicio",H1936&lt;&gt;0),"IVA solo en Servicio",IF(AND(C1936="Servicio",F1936=""),"Falta servicio","OK")))))))))</f>
        <v/>
      </c>
    </row>
    <row r="1937" spans="1:12" ht="22" customHeight="1">
      <c r="A1937" s="3"/>
      <c r="B1937" s="7"/>
      <c r="C1937" s="3"/>
      <c r="D1937" s="3"/>
      <c r="E1937" s="3"/>
      <c r="F1937" s="3"/>
      <c r="G1937" s="4"/>
      <c r="H1937" s="4"/>
      <c r="I1937" s="3"/>
      <c r="J1937" s="3"/>
      <c r="K1937" s="8" t="str">
        <f t="shared" si="30"/>
        <v/>
      </c>
      <c r="L1937" s="1" t="str">
        <f>IF(COUNTA(A1937:J1937)=0,"",IF(OR(AND(C1937&lt;&gt;"Servicio",C1937&lt;&gt;"Cobro",C1937&lt;&gt;"Anticipo",C1937&lt;&gt;"Aplicación anticipo",C1937&lt;&gt;"Retención ISR",C1937&lt;&gt;"Retención IVA"),AND(C1937="Servicio",F1937&lt;&gt;"TMS",F1937&lt;&gt;"Valoración",F1937&lt;&gt;"EEG",F1937&lt;&gt;"Neurofeedback",F1937&lt;&gt;"Fotobiomodulación",F1937&lt;&gt;"Psicoterapia",F1937&lt;&gt;"Otros")),"Tipo o categoría inválido",IF(COUNTA(A1937:J1937)=0,"",IF(OR(A1937="",B1937="",C1937="",G1937=""),"Faltan datos",IF(COUNTIF($A$7:$A$2006,A1937)&gt;1,"ID duplicado",IF(OR(B1937&lt;DATE(Configuración!$C$5,1,1),B1937&gt;=DATE(Configuración!$C$5+1,1,1)),"Fecha fuera del año",IF(OR(G1937&lt;0,H1937&lt;0),"Revisar signo",IF(AND(C1937&lt;&gt;"Servicio",H1937&lt;&gt;0),"IVA solo en Servicio",IF(AND(C1937="Servicio",F1937=""),"Falta servicio","OK")))))))))</f>
        <v/>
      </c>
    </row>
    <row r="1938" spans="1:12" ht="22" customHeight="1">
      <c r="A1938" s="3"/>
      <c r="B1938" s="7"/>
      <c r="C1938" s="3"/>
      <c r="D1938" s="3"/>
      <c r="E1938" s="3"/>
      <c r="F1938" s="3"/>
      <c r="G1938" s="4"/>
      <c r="H1938" s="4"/>
      <c r="I1938" s="3"/>
      <c r="J1938" s="3"/>
      <c r="K1938" s="8" t="str">
        <f t="shared" si="30"/>
        <v/>
      </c>
      <c r="L1938" s="1" t="str">
        <f>IF(COUNTA(A1938:J1938)=0,"",IF(OR(AND(C1938&lt;&gt;"Servicio",C1938&lt;&gt;"Cobro",C1938&lt;&gt;"Anticipo",C1938&lt;&gt;"Aplicación anticipo",C1938&lt;&gt;"Retención ISR",C1938&lt;&gt;"Retención IVA"),AND(C1938="Servicio",F1938&lt;&gt;"TMS",F1938&lt;&gt;"Valoración",F1938&lt;&gt;"EEG",F1938&lt;&gt;"Neurofeedback",F1938&lt;&gt;"Fotobiomodulación",F1938&lt;&gt;"Psicoterapia",F1938&lt;&gt;"Otros")),"Tipo o categoría inválido",IF(COUNTA(A1938:J1938)=0,"",IF(OR(A1938="",B1938="",C1938="",G1938=""),"Faltan datos",IF(COUNTIF($A$7:$A$2006,A1938)&gt;1,"ID duplicado",IF(OR(B1938&lt;DATE(Configuración!$C$5,1,1),B1938&gt;=DATE(Configuración!$C$5+1,1,1)),"Fecha fuera del año",IF(OR(G1938&lt;0,H1938&lt;0),"Revisar signo",IF(AND(C1938&lt;&gt;"Servicio",H1938&lt;&gt;0),"IVA solo en Servicio",IF(AND(C1938="Servicio",F1938=""),"Falta servicio","OK")))))))))</f>
        <v/>
      </c>
    </row>
    <row r="1939" spans="1:12" ht="22" customHeight="1">
      <c r="A1939" s="3"/>
      <c r="B1939" s="7"/>
      <c r="C1939" s="3"/>
      <c r="D1939" s="3"/>
      <c r="E1939" s="3"/>
      <c r="F1939" s="3"/>
      <c r="G1939" s="4"/>
      <c r="H1939" s="4"/>
      <c r="I1939" s="3"/>
      <c r="J1939" s="3"/>
      <c r="K1939" s="8" t="str">
        <f t="shared" si="30"/>
        <v/>
      </c>
      <c r="L1939" s="1" t="str">
        <f>IF(COUNTA(A1939:J1939)=0,"",IF(OR(AND(C1939&lt;&gt;"Servicio",C1939&lt;&gt;"Cobro",C1939&lt;&gt;"Anticipo",C1939&lt;&gt;"Aplicación anticipo",C1939&lt;&gt;"Retención ISR",C1939&lt;&gt;"Retención IVA"),AND(C1939="Servicio",F1939&lt;&gt;"TMS",F1939&lt;&gt;"Valoración",F1939&lt;&gt;"EEG",F1939&lt;&gt;"Neurofeedback",F1939&lt;&gt;"Fotobiomodulación",F1939&lt;&gt;"Psicoterapia",F1939&lt;&gt;"Otros")),"Tipo o categoría inválido",IF(COUNTA(A1939:J1939)=0,"",IF(OR(A1939="",B1939="",C1939="",G1939=""),"Faltan datos",IF(COUNTIF($A$7:$A$2006,A1939)&gt;1,"ID duplicado",IF(OR(B1939&lt;DATE(Configuración!$C$5,1,1),B1939&gt;=DATE(Configuración!$C$5+1,1,1)),"Fecha fuera del año",IF(OR(G1939&lt;0,H1939&lt;0),"Revisar signo",IF(AND(C1939&lt;&gt;"Servicio",H1939&lt;&gt;0),"IVA solo en Servicio",IF(AND(C1939="Servicio",F1939=""),"Falta servicio","OK")))))))))</f>
        <v/>
      </c>
    </row>
    <row r="1940" spans="1:12" ht="22" customHeight="1">
      <c r="A1940" s="3"/>
      <c r="B1940" s="7"/>
      <c r="C1940" s="3"/>
      <c r="D1940" s="3"/>
      <c r="E1940" s="3"/>
      <c r="F1940" s="3"/>
      <c r="G1940" s="4"/>
      <c r="H1940" s="4"/>
      <c r="I1940" s="3"/>
      <c r="J1940" s="3"/>
      <c r="K1940" s="8" t="str">
        <f t="shared" si="30"/>
        <v/>
      </c>
      <c r="L1940" s="1" t="str">
        <f>IF(COUNTA(A1940:J1940)=0,"",IF(OR(AND(C1940&lt;&gt;"Servicio",C1940&lt;&gt;"Cobro",C1940&lt;&gt;"Anticipo",C1940&lt;&gt;"Aplicación anticipo",C1940&lt;&gt;"Retención ISR",C1940&lt;&gt;"Retención IVA"),AND(C1940="Servicio",F1940&lt;&gt;"TMS",F1940&lt;&gt;"Valoración",F1940&lt;&gt;"EEG",F1940&lt;&gt;"Neurofeedback",F1940&lt;&gt;"Fotobiomodulación",F1940&lt;&gt;"Psicoterapia",F1940&lt;&gt;"Otros")),"Tipo o categoría inválido",IF(COUNTA(A1940:J1940)=0,"",IF(OR(A1940="",B1940="",C1940="",G1940=""),"Faltan datos",IF(COUNTIF($A$7:$A$2006,A1940)&gt;1,"ID duplicado",IF(OR(B1940&lt;DATE(Configuración!$C$5,1,1),B1940&gt;=DATE(Configuración!$C$5+1,1,1)),"Fecha fuera del año",IF(OR(G1940&lt;0,H1940&lt;0),"Revisar signo",IF(AND(C1940&lt;&gt;"Servicio",H1940&lt;&gt;0),"IVA solo en Servicio",IF(AND(C1940="Servicio",F1940=""),"Falta servicio","OK")))))))))</f>
        <v/>
      </c>
    </row>
    <row r="1941" spans="1:12" ht="22" customHeight="1">
      <c r="A1941" s="3"/>
      <c r="B1941" s="7"/>
      <c r="C1941" s="3"/>
      <c r="D1941" s="3"/>
      <c r="E1941" s="3"/>
      <c r="F1941" s="3"/>
      <c r="G1941" s="4"/>
      <c r="H1941" s="4"/>
      <c r="I1941" s="3"/>
      <c r="J1941" s="3"/>
      <c r="K1941" s="8" t="str">
        <f t="shared" si="30"/>
        <v/>
      </c>
      <c r="L1941" s="1" t="str">
        <f>IF(COUNTA(A1941:J1941)=0,"",IF(OR(AND(C1941&lt;&gt;"Servicio",C1941&lt;&gt;"Cobro",C1941&lt;&gt;"Anticipo",C1941&lt;&gt;"Aplicación anticipo",C1941&lt;&gt;"Retención ISR",C1941&lt;&gt;"Retención IVA"),AND(C1941="Servicio",F1941&lt;&gt;"TMS",F1941&lt;&gt;"Valoración",F1941&lt;&gt;"EEG",F1941&lt;&gt;"Neurofeedback",F1941&lt;&gt;"Fotobiomodulación",F1941&lt;&gt;"Psicoterapia",F1941&lt;&gt;"Otros")),"Tipo o categoría inválido",IF(COUNTA(A1941:J1941)=0,"",IF(OR(A1941="",B1941="",C1941="",G1941=""),"Faltan datos",IF(COUNTIF($A$7:$A$2006,A1941)&gt;1,"ID duplicado",IF(OR(B1941&lt;DATE(Configuración!$C$5,1,1),B1941&gt;=DATE(Configuración!$C$5+1,1,1)),"Fecha fuera del año",IF(OR(G1941&lt;0,H1941&lt;0),"Revisar signo",IF(AND(C1941&lt;&gt;"Servicio",H1941&lt;&gt;0),"IVA solo en Servicio",IF(AND(C1941="Servicio",F1941=""),"Falta servicio","OK")))))))))</f>
        <v/>
      </c>
    </row>
    <row r="1942" spans="1:12" ht="22" customHeight="1">
      <c r="A1942" s="3"/>
      <c r="B1942" s="7"/>
      <c r="C1942" s="3"/>
      <c r="D1942" s="3"/>
      <c r="E1942" s="3"/>
      <c r="F1942" s="3"/>
      <c r="G1942" s="4"/>
      <c r="H1942" s="4"/>
      <c r="I1942" s="3"/>
      <c r="J1942" s="3"/>
      <c r="K1942" s="8" t="str">
        <f t="shared" si="30"/>
        <v/>
      </c>
      <c r="L1942" s="1" t="str">
        <f>IF(COUNTA(A1942:J1942)=0,"",IF(OR(AND(C1942&lt;&gt;"Servicio",C1942&lt;&gt;"Cobro",C1942&lt;&gt;"Anticipo",C1942&lt;&gt;"Aplicación anticipo",C1942&lt;&gt;"Retención ISR",C1942&lt;&gt;"Retención IVA"),AND(C1942="Servicio",F1942&lt;&gt;"TMS",F1942&lt;&gt;"Valoración",F1942&lt;&gt;"EEG",F1942&lt;&gt;"Neurofeedback",F1942&lt;&gt;"Fotobiomodulación",F1942&lt;&gt;"Psicoterapia",F1942&lt;&gt;"Otros")),"Tipo o categoría inválido",IF(COUNTA(A1942:J1942)=0,"",IF(OR(A1942="",B1942="",C1942="",G1942=""),"Faltan datos",IF(COUNTIF($A$7:$A$2006,A1942)&gt;1,"ID duplicado",IF(OR(B1942&lt;DATE(Configuración!$C$5,1,1),B1942&gt;=DATE(Configuración!$C$5+1,1,1)),"Fecha fuera del año",IF(OR(G1942&lt;0,H1942&lt;0),"Revisar signo",IF(AND(C1942&lt;&gt;"Servicio",H1942&lt;&gt;0),"IVA solo en Servicio",IF(AND(C1942="Servicio",F1942=""),"Falta servicio","OK")))))))))</f>
        <v/>
      </c>
    </row>
    <row r="1943" spans="1:12" ht="22" customHeight="1">
      <c r="A1943" s="3"/>
      <c r="B1943" s="7"/>
      <c r="C1943" s="3"/>
      <c r="D1943" s="3"/>
      <c r="E1943" s="3"/>
      <c r="F1943" s="3"/>
      <c r="G1943" s="4"/>
      <c r="H1943" s="4"/>
      <c r="I1943" s="3"/>
      <c r="J1943" s="3"/>
      <c r="K1943" s="8" t="str">
        <f t="shared" si="30"/>
        <v/>
      </c>
      <c r="L1943" s="1" t="str">
        <f>IF(COUNTA(A1943:J1943)=0,"",IF(OR(AND(C1943&lt;&gt;"Servicio",C1943&lt;&gt;"Cobro",C1943&lt;&gt;"Anticipo",C1943&lt;&gt;"Aplicación anticipo",C1943&lt;&gt;"Retención ISR",C1943&lt;&gt;"Retención IVA"),AND(C1943="Servicio",F1943&lt;&gt;"TMS",F1943&lt;&gt;"Valoración",F1943&lt;&gt;"EEG",F1943&lt;&gt;"Neurofeedback",F1943&lt;&gt;"Fotobiomodulación",F1943&lt;&gt;"Psicoterapia",F1943&lt;&gt;"Otros")),"Tipo o categoría inválido",IF(COUNTA(A1943:J1943)=0,"",IF(OR(A1943="",B1943="",C1943="",G1943=""),"Faltan datos",IF(COUNTIF($A$7:$A$2006,A1943)&gt;1,"ID duplicado",IF(OR(B1943&lt;DATE(Configuración!$C$5,1,1),B1943&gt;=DATE(Configuración!$C$5+1,1,1)),"Fecha fuera del año",IF(OR(G1943&lt;0,H1943&lt;0),"Revisar signo",IF(AND(C1943&lt;&gt;"Servicio",H1943&lt;&gt;0),"IVA solo en Servicio",IF(AND(C1943="Servicio",F1943=""),"Falta servicio","OK")))))))))</f>
        <v/>
      </c>
    </row>
    <row r="1944" spans="1:12" ht="22" customHeight="1">
      <c r="A1944" s="3"/>
      <c r="B1944" s="7"/>
      <c r="C1944" s="3"/>
      <c r="D1944" s="3"/>
      <c r="E1944" s="3"/>
      <c r="F1944" s="3"/>
      <c r="G1944" s="4"/>
      <c r="H1944" s="4"/>
      <c r="I1944" s="3"/>
      <c r="J1944" s="3"/>
      <c r="K1944" s="8" t="str">
        <f t="shared" si="30"/>
        <v/>
      </c>
      <c r="L1944" s="1" t="str">
        <f>IF(COUNTA(A1944:J1944)=0,"",IF(OR(AND(C1944&lt;&gt;"Servicio",C1944&lt;&gt;"Cobro",C1944&lt;&gt;"Anticipo",C1944&lt;&gt;"Aplicación anticipo",C1944&lt;&gt;"Retención ISR",C1944&lt;&gt;"Retención IVA"),AND(C1944="Servicio",F1944&lt;&gt;"TMS",F1944&lt;&gt;"Valoración",F1944&lt;&gt;"EEG",F1944&lt;&gt;"Neurofeedback",F1944&lt;&gt;"Fotobiomodulación",F1944&lt;&gt;"Psicoterapia",F1944&lt;&gt;"Otros")),"Tipo o categoría inválido",IF(COUNTA(A1944:J1944)=0,"",IF(OR(A1944="",B1944="",C1944="",G1944=""),"Faltan datos",IF(COUNTIF($A$7:$A$2006,A1944)&gt;1,"ID duplicado",IF(OR(B1944&lt;DATE(Configuración!$C$5,1,1),B1944&gt;=DATE(Configuración!$C$5+1,1,1)),"Fecha fuera del año",IF(OR(G1944&lt;0,H1944&lt;0),"Revisar signo",IF(AND(C1944&lt;&gt;"Servicio",H1944&lt;&gt;0),"IVA solo en Servicio",IF(AND(C1944="Servicio",F1944=""),"Falta servicio","OK")))))))))</f>
        <v/>
      </c>
    </row>
    <row r="1945" spans="1:12" ht="22" customHeight="1">
      <c r="A1945" s="3"/>
      <c r="B1945" s="7"/>
      <c r="C1945" s="3"/>
      <c r="D1945" s="3"/>
      <c r="E1945" s="3"/>
      <c r="F1945" s="3"/>
      <c r="G1945" s="4"/>
      <c r="H1945" s="4"/>
      <c r="I1945" s="3"/>
      <c r="J1945" s="3"/>
      <c r="K1945" s="8" t="str">
        <f t="shared" si="30"/>
        <v/>
      </c>
      <c r="L1945" s="1" t="str">
        <f>IF(COUNTA(A1945:J1945)=0,"",IF(OR(AND(C1945&lt;&gt;"Servicio",C1945&lt;&gt;"Cobro",C1945&lt;&gt;"Anticipo",C1945&lt;&gt;"Aplicación anticipo",C1945&lt;&gt;"Retención ISR",C1945&lt;&gt;"Retención IVA"),AND(C1945="Servicio",F1945&lt;&gt;"TMS",F1945&lt;&gt;"Valoración",F1945&lt;&gt;"EEG",F1945&lt;&gt;"Neurofeedback",F1945&lt;&gt;"Fotobiomodulación",F1945&lt;&gt;"Psicoterapia",F1945&lt;&gt;"Otros")),"Tipo o categoría inválido",IF(COUNTA(A1945:J1945)=0,"",IF(OR(A1945="",B1945="",C1945="",G1945=""),"Faltan datos",IF(COUNTIF($A$7:$A$2006,A1945)&gt;1,"ID duplicado",IF(OR(B1945&lt;DATE(Configuración!$C$5,1,1),B1945&gt;=DATE(Configuración!$C$5+1,1,1)),"Fecha fuera del año",IF(OR(G1945&lt;0,H1945&lt;0),"Revisar signo",IF(AND(C1945&lt;&gt;"Servicio",H1945&lt;&gt;0),"IVA solo en Servicio",IF(AND(C1945="Servicio",F1945=""),"Falta servicio","OK")))))))))</f>
        <v/>
      </c>
    </row>
    <row r="1946" spans="1:12" ht="22" customHeight="1">
      <c r="A1946" s="3"/>
      <c r="B1946" s="7"/>
      <c r="C1946" s="3"/>
      <c r="D1946" s="3"/>
      <c r="E1946" s="3"/>
      <c r="F1946" s="3"/>
      <c r="G1946" s="4"/>
      <c r="H1946" s="4"/>
      <c r="I1946" s="3"/>
      <c r="J1946" s="3"/>
      <c r="K1946" s="8" t="str">
        <f t="shared" si="30"/>
        <v/>
      </c>
      <c r="L1946" s="1" t="str">
        <f>IF(COUNTA(A1946:J1946)=0,"",IF(OR(AND(C1946&lt;&gt;"Servicio",C1946&lt;&gt;"Cobro",C1946&lt;&gt;"Anticipo",C1946&lt;&gt;"Aplicación anticipo",C1946&lt;&gt;"Retención ISR",C1946&lt;&gt;"Retención IVA"),AND(C1946="Servicio",F1946&lt;&gt;"TMS",F1946&lt;&gt;"Valoración",F1946&lt;&gt;"EEG",F1946&lt;&gt;"Neurofeedback",F1946&lt;&gt;"Fotobiomodulación",F1946&lt;&gt;"Psicoterapia",F1946&lt;&gt;"Otros")),"Tipo o categoría inválido",IF(COUNTA(A1946:J1946)=0,"",IF(OR(A1946="",B1946="",C1946="",G1946=""),"Faltan datos",IF(COUNTIF($A$7:$A$2006,A1946)&gt;1,"ID duplicado",IF(OR(B1946&lt;DATE(Configuración!$C$5,1,1),B1946&gt;=DATE(Configuración!$C$5+1,1,1)),"Fecha fuera del año",IF(OR(G1946&lt;0,H1946&lt;0),"Revisar signo",IF(AND(C1946&lt;&gt;"Servicio",H1946&lt;&gt;0),"IVA solo en Servicio",IF(AND(C1946="Servicio",F1946=""),"Falta servicio","OK")))))))))</f>
        <v/>
      </c>
    </row>
    <row r="1947" spans="1:12" ht="22" customHeight="1">
      <c r="A1947" s="3"/>
      <c r="B1947" s="7"/>
      <c r="C1947" s="3"/>
      <c r="D1947" s="3"/>
      <c r="E1947" s="3"/>
      <c r="F1947" s="3"/>
      <c r="G1947" s="4"/>
      <c r="H1947" s="4"/>
      <c r="I1947" s="3"/>
      <c r="J1947" s="3"/>
      <c r="K1947" s="8" t="str">
        <f t="shared" si="30"/>
        <v/>
      </c>
      <c r="L1947" s="1" t="str">
        <f>IF(COUNTA(A1947:J1947)=0,"",IF(OR(AND(C1947&lt;&gt;"Servicio",C1947&lt;&gt;"Cobro",C1947&lt;&gt;"Anticipo",C1947&lt;&gt;"Aplicación anticipo",C1947&lt;&gt;"Retención ISR",C1947&lt;&gt;"Retención IVA"),AND(C1947="Servicio",F1947&lt;&gt;"TMS",F1947&lt;&gt;"Valoración",F1947&lt;&gt;"EEG",F1947&lt;&gt;"Neurofeedback",F1947&lt;&gt;"Fotobiomodulación",F1947&lt;&gt;"Psicoterapia",F1947&lt;&gt;"Otros")),"Tipo o categoría inválido",IF(COUNTA(A1947:J1947)=0,"",IF(OR(A1947="",B1947="",C1947="",G1947=""),"Faltan datos",IF(COUNTIF($A$7:$A$2006,A1947)&gt;1,"ID duplicado",IF(OR(B1947&lt;DATE(Configuración!$C$5,1,1),B1947&gt;=DATE(Configuración!$C$5+1,1,1)),"Fecha fuera del año",IF(OR(G1947&lt;0,H1947&lt;0),"Revisar signo",IF(AND(C1947&lt;&gt;"Servicio",H1947&lt;&gt;0),"IVA solo en Servicio",IF(AND(C1947="Servicio",F1947=""),"Falta servicio","OK")))))))))</f>
        <v/>
      </c>
    </row>
    <row r="1948" spans="1:12" ht="22" customHeight="1">
      <c r="A1948" s="3"/>
      <c r="B1948" s="7"/>
      <c r="C1948" s="3"/>
      <c r="D1948" s="3"/>
      <c r="E1948" s="3"/>
      <c r="F1948" s="3"/>
      <c r="G1948" s="4"/>
      <c r="H1948" s="4"/>
      <c r="I1948" s="3"/>
      <c r="J1948" s="3"/>
      <c r="K1948" s="8" t="str">
        <f t="shared" si="30"/>
        <v/>
      </c>
      <c r="L1948" s="1" t="str">
        <f>IF(COUNTA(A1948:J1948)=0,"",IF(OR(AND(C1948&lt;&gt;"Servicio",C1948&lt;&gt;"Cobro",C1948&lt;&gt;"Anticipo",C1948&lt;&gt;"Aplicación anticipo",C1948&lt;&gt;"Retención ISR",C1948&lt;&gt;"Retención IVA"),AND(C1948="Servicio",F1948&lt;&gt;"TMS",F1948&lt;&gt;"Valoración",F1948&lt;&gt;"EEG",F1948&lt;&gt;"Neurofeedback",F1948&lt;&gt;"Fotobiomodulación",F1948&lt;&gt;"Psicoterapia",F1948&lt;&gt;"Otros")),"Tipo o categoría inválido",IF(COUNTA(A1948:J1948)=0,"",IF(OR(A1948="",B1948="",C1948="",G1948=""),"Faltan datos",IF(COUNTIF($A$7:$A$2006,A1948)&gt;1,"ID duplicado",IF(OR(B1948&lt;DATE(Configuración!$C$5,1,1),B1948&gt;=DATE(Configuración!$C$5+1,1,1)),"Fecha fuera del año",IF(OR(G1948&lt;0,H1948&lt;0),"Revisar signo",IF(AND(C1948&lt;&gt;"Servicio",H1948&lt;&gt;0),"IVA solo en Servicio",IF(AND(C1948="Servicio",F1948=""),"Falta servicio","OK")))))))))</f>
        <v/>
      </c>
    </row>
    <row r="1949" spans="1:12" ht="22" customHeight="1">
      <c r="A1949" s="3"/>
      <c r="B1949" s="7"/>
      <c r="C1949" s="3"/>
      <c r="D1949" s="3"/>
      <c r="E1949" s="3"/>
      <c r="F1949" s="3"/>
      <c r="G1949" s="4"/>
      <c r="H1949" s="4"/>
      <c r="I1949" s="3"/>
      <c r="J1949" s="3"/>
      <c r="K1949" s="8" t="str">
        <f t="shared" si="30"/>
        <v/>
      </c>
      <c r="L1949" s="1" t="str">
        <f>IF(COUNTA(A1949:J1949)=0,"",IF(OR(AND(C1949&lt;&gt;"Servicio",C1949&lt;&gt;"Cobro",C1949&lt;&gt;"Anticipo",C1949&lt;&gt;"Aplicación anticipo",C1949&lt;&gt;"Retención ISR",C1949&lt;&gt;"Retención IVA"),AND(C1949="Servicio",F1949&lt;&gt;"TMS",F1949&lt;&gt;"Valoración",F1949&lt;&gt;"EEG",F1949&lt;&gt;"Neurofeedback",F1949&lt;&gt;"Fotobiomodulación",F1949&lt;&gt;"Psicoterapia",F1949&lt;&gt;"Otros")),"Tipo o categoría inválido",IF(COUNTA(A1949:J1949)=0,"",IF(OR(A1949="",B1949="",C1949="",G1949=""),"Faltan datos",IF(COUNTIF($A$7:$A$2006,A1949)&gt;1,"ID duplicado",IF(OR(B1949&lt;DATE(Configuración!$C$5,1,1),B1949&gt;=DATE(Configuración!$C$5+1,1,1)),"Fecha fuera del año",IF(OR(G1949&lt;0,H1949&lt;0),"Revisar signo",IF(AND(C1949&lt;&gt;"Servicio",H1949&lt;&gt;0),"IVA solo en Servicio",IF(AND(C1949="Servicio",F1949=""),"Falta servicio","OK")))))))))</f>
        <v/>
      </c>
    </row>
    <row r="1950" spans="1:12" ht="22" customHeight="1">
      <c r="A1950" s="3"/>
      <c r="B1950" s="7"/>
      <c r="C1950" s="3"/>
      <c r="D1950" s="3"/>
      <c r="E1950" s="3"/>
      <c r="F1950" s="3"/>
      <c r="G1950" s="4"/>
      <c r="H1950" s="4"/>
      <c r="I1950" s="3"/>
      <c r="J1950" s="3"/>
      <c r="K1950" s="8" t="str">
        <f t="shared" si="30"/>
        <v/>
      </c>
      <c r="L1950" s="1" t="str">
        <f>IF(COUNTA(A1950:J1950)=0,"",IF(OR(AND(C1950&lt;&gt;"Servicio",C1950&lt;&gt;"Cobro",C1950&lt;&gt;"Anticipo",C1950&lt;&gt;"Aplicación anticipo",C1950&lt;&gt;"Retención ISR",C1950&lt;&gt;"Retención IVA"),AND(C1950="Servicio",F1950&lt;&gt;"TMS",F1950&lt;&gt;"Valoración",F1950&lt;&gt;"EEG",F1950&lt;&gt;"Neurofeedback",F1950&lt;&gt;"Fotobiomodulación",F1950&lt;&gt;"Psicoterapia",F1950&lt;&gt;"Otros")),"Tipo o categoría inválido",IF(COUNTA(A1950:J1950)=0,"",IF(OR(A1950="",B1950="",C1950="",G1950=""),"Faltan datos",IF(COUNTIF($A$7:$A$2006,A1950)&gt;1,"ID duplicado",IF(OR(B1950&lt;DATE(Configuración!$C$5,1,1),B1950&gt;=DATE(Configuración!$C$5+1,1,1)),"Fecha fuera del año",IF(OR(G1950&lt;0,H1950&lt;0),"Revisar signo",IF(AND(C1950&lt;&gt;"Servicio",H1950&lt;&gt;0),"IVA solo en Servicio",IF(AND(C1950="Servicio",F1950=""),"Falta servicio","OK")))))))))</f>
        <v/>
      </c>
    </row>
    <row r="1951" spans="1:12" ht="22" customHeight="1">
      <c r="A1951" s="3"/>
      <c r="B1951" s="7"/>
      <c r="C1951" s="3"/>
      <c r="D1951" s="3"/>
      <c r="E1951" s="3"/>
      <c r="F1951" s="3"/>
      <c r="G1951" s="4"/>
      <c r="H1951" s="4"/>
      <c r="I1951" s="3"/>
      <c r="J1951" s="3"/>
      <c r="K1951" s="8" t="str">
        <f t="shared" si="30"/>
        <v/>
      </c>
      <c r="L1951" s="1" t="str">
        <f>IF(COUNTA(A1951:J1951)=0,"",IF(OR(AND(C1951&lt;&gt;"Servicio",C1951&lt;&gt;"Cobro",C1951&lt;&gt;"Anticipo",C1951&lt;&gt;"Aplicación anticipo",C1951&lt;&gt;"Retención ISR",C1951&lt;&gt;"Retención IVA"),AND(C1951="Servicio",F1951&lt;&gt;"TMS",F1951&lt;&gt;"Valoración",F1951&lt;&gt;"EEG",F1951&lt;&gt;"Neurofeedback",F1951&lt;&gt;"Fotobiomodulación",F1951&lt;&gt;"Psicoterapia",F1951&lt;&gt;"Otros")),"Tipo o categoría inválido",IF(COUNTA(A1951:J1951)=0,"",IF(OR(A1951="",B1951="",C1951="",G1951=""),"Faltan datos",IF(COUNTIF($A$7:$A$2006,A1951)&gt;1,"ID duplicado",IF(OR(B1951&lt;DATE(Configuración!$C$5,1,1),B1951&gt;=DATE(Configuración!$C$5+1,1,1)),"Fecha fuera del año",IF(OR(G1951&lt;0,H1951&lt;0),"Revisar signo",IF(AND(C1951&lt;&gt;"Servicio",H1951&lt;&gt;0),"IVA solo en Servicio",IF(AND(C1951="Servicio",F1951=""),"Falta servicio","OK")))))))))</f>
        <v/>
      </c>
    </row>
    <row r="1952" spans="1:12" ht="22" customHeight="1">
      <c r="A1952" s="3"/>
      <c r="B1952" s="7"/>
      <c r="C1952" s="3"/>
      <c r="D1952" s="3"/>
      <c r="E1952" s="3"/>
      <c r="F1952" s="3"/>
      <c r="G1952" s="4"/>
      <c r="H1952" s="4"/>
      <c r="I1952" s="3"/>
      <c r="J1952" s="3"/>
      <c r="K1952" s="8" t="str">
        <f t="shared" si="30"/>
        <v/>
      </c>
      <c r="L1952" s="1" t="str">
        <f>IF(COUNTA(A1952:J1952)=0,"",IF(OR(AND(C1952&lt;&gt;"Servicio",C1952&lt;&gt;"Cobro",C1952&lt;&gt;"Anticipo",C1952&lt;&gt;"Aplicación anticipo",C1952&lt;&gt;"Retención ISR",C1952&lt;&gt;"Retención IVA"),AND(C1952="Servicio",F1952&lt;&gt;"TMS",F1952&lt;&gt;"Valoración",F1952&lt;&gt;"EEG",F1952&lt;&gt;"Neurofeedback",F1952&lt;&gt;"Fotobiomodulación",F1952&lt;&gt;"Psicoterapia",F1952&lt;&gt;"Otros")),"Tipo o categoría inválido",IF(COUNTA(A1952:J1952)=0,"",IF(OR(A1952="",B1952="",C1952="",G1952=""),"Faltan datos",IF(COUNTIF($A$7:$A$2006,A1952)&gt;1,"ID duplicado",IF(OR(B1952&lt;DATE(Configuración!$C$5,1,1),B1952&gt;=DATE(Configuración!$C$5+1,1,1)),"Fecha fuera del año",IF(OR(G1952&lt;0,H1952&lt;0),"Revisar signo",IF(AND(C1952&lt;&gt;"Servicio",H1952&lt;&gt;0),"IVA solo en Servicio",IF(AND(C1952="Servicio",F1952=""),"Falta servicio","OK")))))))))</f>
        <v/>
      </c>
    </row>
    <row r="1953" spans="1:12" ht="22" customHeight="1">
      <c r="A1953" s="3"/>
      <c r="B1953" s="7"/>
      <c r="C1953" s="3"/>
      <c r="D1953" s="3"/>
      <c r="E1953" s="3"/>
      <c r="F1953" s="3"/>
      <c r="G1953" s="4"/>
      <c r="H1953" s="4"/>
      <c r="I1953" s="3"/>
      <c r="J1953" s="3"/>
      <c r="K1953" s="8" t="str">
        <f t="shared" si="30"/>
        <v/>
      </c>
      <c r="L1953" s="1" t="str">
        <f>IF(COUNTA(A1953:J1953)=0,"",IF(OR(AND(C1953&lt;&gt;"Servicio",C1953&lt;&gt;"Cobro",C1953&lt;&gt;"Anticipo",C1953&lt;&gt;"Aplicación anticipo",C1953&lt;&gt;"Retención ISR",C1953&lt;&gt;"Retención IVA"),AND(C1953="Servicio",F1953&lt;&gt;"TMS",F1953&lt;&gt;"Valoración",F1953&lt;&gt;"EEG",F1953&lt;&gt;"Neurofeedback",F1953&lt;&gt;"Fotobiomodulación",F1953&lt;&gt;"Psicoterapia",F1953&lt;&gt;"Otros")),"Tipo o categoría inválido",IF(COUNTA(A1953:J1953)=0,"",IF(OR(A1953="",B1953="",C1953="",G1953=""),"Faltan datos",IF(COUNTIF($A$7:$A$2006,A1953)&gt;1,"ID duplicado",IF(OR(B1953&lt;DATE(Configuración!$C$5,1,1),B1953&gt;=DATE(Configuración!$C$5+1,1,1)),"Fecha fuera del año",IF(OR(G1953&lt;0,H1953&lt;0),"Revisar signo",IF(AND(C1953&lt;&gt;"Servicio",H1953&lt;&gt;0),"IVA solo en Servicio",IF(AND(C1953="Servicio",F1953=""),"Falta servicio","OK")))))))))</f>
        <v/>
      </c>
    </row>
    <row r="1954" spans="1:12" ht="22" customHeight="1">
      <c r="A1954" s="3"/>
      <c r="B1954" s="7"/>
      <c r="C1954" s="3"/>
      <c r="D1954" s="3"/>
      <c r="E1954" s="3"/>
      <c r="F1954" s="3"/>
      <c r="G1954" s="4"/>
      <c r="H1954" s="4"/>
      <c r="I1954" s="3"/>
      <c r="J1954" s="3"/>
      <c r="K1954" s="8" t="str">
        <f t="shared" si="30"/>
        <v/>
      </c>
      <c r="L1954" s="1" t="str">
        <f>IF(COUNTA(A1954:J1954)=0,"",IF(OR(AND(C1954&lt;&gt;"Servicio",C1954&lt;&gt;"Cobro",C1954&lt;&gt;"Anticipo",C1954&lt;&gt;"Aplicación anticipo",C1954&lt;&gt;"Retención ISR",C1954&lt;&gt;"Retención IVA"),AND(C1954="Servicio",F1954&lt;&gt;"TMS",F1954&lt;&gt;"Valoración",F1954&lt;&gt;"EEG",F1954&lt;&gt;"Neurofeedback",F1954&lt;&gt;"Fotobiomodulación",F1954&lt;&gt;"Psicoterapia",F1954&lt;&gt;"Otros")),"Tipo o categoría inválido",IF(COUNTA(A1954:J1954)=0,"",IF(OR(A1954="",B1954="",C1954="",G1954=""),"Faltan datos",IF(COUNTIF($A$7:$A$2006,A1954)&gt;1,"ID duplicado",IF(OR(B1954&lt;DATE(Configuración!$C$5,1,1),B1954&gt;=DATE(Configuración!$C$5+1,1,1)),"Fecha fuera del año",IF(OR(G1954&lt;0,H1954&lt;0),"Revisar signo",IF(AND(C1954&lt;&gt;"Servicio",H1954&lt;&gt;0),"IVA solo en Servicio",IF(AND(C1954="Servicio",F1954=""),"Falta servicio","OK")))))))))</f>
        <v/>
      </c>
    </row>
    <row r="1955" spans="1:12" ht="22" customHeight="1">
      <c r="A1955" s="3"/>
      <c r="B1955" s="7"/>
      <c r="C1955" s="3"/>
      <c r="D1955" s="3"/>
      <c r="E1955" s="3"/>
      <c r="F1955" s="3"/>
      <c r="G1955" s="4"/>
      <c r="H1955" s="4"/>
      <c r="I1955" s="3"/>
      <c r="J1955" s="3"/>
      <c r="K1955" s="8" t="str">
        <f t="shared" si="30"/>
        <v/>
      </c>
      <c r="L1955" s="1" t="str">
        <f>IF(COUNTA(A1955:J1955)=0,"",IF(OR(AND(C1955&lt;&gt;"Servicio",C1955&lt;&gt;"Cobro",C1955&lt;&gt;"Anticipo",C1955&lt;&gt;"Aplicación anticipo",C1955&lt;&gt;"Retención ISR",C1955&lt;&gt;"Retención IVA"),AND(C1955="Servicio",F1955&lt;&gt;"TMS",F1955&lt;&gt;"Valoración",F1955&lt;&gt;"EEG",F1955&lt;&gt;"Neurofeedback",F1955&lt;&gt;"Fotobiomodulación",F1955&lt;&gt;"Psicoterapia",F1955&lt;&gt;"Otros")),"Tipo o categoría inválido",IF(COUNTA(A1955:J1955)=0,"",IF(OR(A1955="",B1955="",C1955="",G1955=""),"Faltan datos",IF(COUNTIF($A$7:$A$2006,A1955)&gt;1,"ID duplicado",IF(OR(B1955&lt;DATE(Configuración!$C$5,1,1),B1955&gt;=DATE(Configuración!$C$5+1,1,1)),"Fecha fuera del año",IF(OR(G1955&lt;0,H1955&lt;0),"Revisar signo",IF(AND(C1955&lt;&gt;"Servicio",H1955&lt;&gt;0),"IVA solo en Servicio",IF(AND(C1955="Servicio",F1955=""),"Falta servicio","OK")))))))))</f>
        <v/>
      </c>
    </row>
    <row r="1956" spans="1:12" ht="22" customHeight="1">
      <c r="A1956" s="3"/>
      <c r="B1956" s="7"/>
      <c r="C1956" s="3"/>
      <c r="D1956" s="3"/>
      <c r="E1956" s="3"/>
      <c r="F1956" s="3"/>
      <c r="G1956" s="4"/>
      <c r="H1956" s="4"/>
      <c r="I1956" s="3"/>
      <c r="J1956" s="3"/>
      <c r="K1956" s="8" t="str">
        <f t="shared" si="30"/>
        <v/>
      </c>
      <c r="L1956" s="1" t="str">
        <f>IF(COUNTA(A1956:J1956)=0,"",IF(OR(AND(C1956&lt;&gt;"Servicio",C1956&lt;&gt;"Cobro",C1956&lt;&gt;"Anticipo",C1956&lt;&gt;"Aplicación anticipo",C1956&lt;&gt;"Retención ISR",C1956&lt;&gt;"Retención IVA"),AND(C1956="Servicio",F1956&lt;&gt;"TMS",F1956&lt;&gt;"Valoración",F1956&lt;&gt;"EEG",F1956&lt;&gt;"Neurofeedback",F1956&lt;&gt;"Fotobiomodulación",F1956&lt;&gt;"Psicoterapia",F1956&lt;&gt;"Otros")),"Tipo o categoría inválido",IF(COUNTA(A1956:J1956)=0,"",IF(OR(A1956="",B1956="",C1956="",G1956=""),"Faltan datos",IF(COUNTIF($A$7:$A$2006,A1956)&gt;1,"ID duplicado",IF(OR(B1956&lt;DATE(Configuración!$C$5,1,1),B1956&gt;=DATE(Configuración!$C$5+1,1,1)),"Fecha fuera del año",IF(OR(G1956&lt;0,H1956&lt;0),"Revisar signo",IF(AND(C1956&lt;&gt;"Servicio",H1956&lt;&gt;0),"IVA solo en Servicio",IF(AND(C1956="Servicio",F1956=""),"Falta servicio","OK")))))))))</f>
        <v/>
      </c>
    </row>
    <row r="1957" spans="1:12" ht="22" customHeight="1">
      <c r="A1957" s="3"/>
      <c r="B1957" s="7"/>
      <c r="C1957" s="3"/>
      <c r="D1957" s="3"/>
      <c r="E1957" s="3"/>
      <c r="F1957" s="3"/>
      <c r="G1957" s="4"/>
      <c r="H1957" s="4"/>
      <c r="I1957" s="3"/>
      <c r="J1957" s="3"/>
      <c r="K1957" s="8" t="str">
        <f t="shared" si="30"/>
        <v/>
      </c>
      <c r="L1957" s="1" t="str">
        <f>IF(COUNTA(A1957:J1957)=0,"",IF(OR(AND(C1957&lt;&gt;"Servicio",C1957&lt;&gt;"Cobro",C1957&lt;&gt;"Anticipo",C1957&lt;&gt;"Aplicación anticipo",C1957&lt;&gt;"Retención ISR",C1957&lt;&gt;"Retención IVA"),AND(C1957="Servicio",F1957&lt;&gt;"TMS",F1957&lt;&gt;"Valoración",F1957&lt;&gt;"EEG",F1957&lt;&gt;"Neurofeedback",F1957&lt;&gt;"Fotobiomodulación",F1957&lt;&gt;"Psicoterapia",F1957&lt;&gt;"Otros")),"Tipo o categoría inválido",IF(COUNTA(A1957:J1957)=0,"",IF(OR(A1957="",B1957="",C1957="",G1957=""),"Faltan datos",IF(COUNTIF($A$7:$A$2006,A1957)&gt;1,"ID duplicado",IF(OR(B1957&lt;DATE(Configuración!$C$5,1,1),B1957&gt;=DATE(Configuración!$C$5+1,1,1)),"Fecha fuera del año",IF(OR(G1957&lt;0,H1957&lt;0),"Revisar signo",IF(AND(C1957&lt;&gt;"Servicio",H1957&lt;&gt;0),"IVA solo en Servicio",IF(AND(C1957="Servicio",F1957=""),"Falta servicio","OK")))))))))</f>
        <v/>
      </c>
    </row>
    <row r="1958" spans="1:12" ht="22" customHeight="1">
      <c r="A1958" s="3"/>
      <c r="B1958" s="7"/>
      <c r="C1958" s="3"/>
      <c r="D1958" s="3"/>
      <c r="E1958" s="3"/>
      <c r="F1958" s="3"/>
      <c r="G1958" s="4"/>
      <c r="H1958" s="4"/>
      <c r="I1958" s="3"/>
      <c r="J1958" s="3"/>
      <c r="K1958" s="8" t="str">
        <f t="shared" si="30"/>
        <v/>
      </c>
      <c r="L1958" s="1" t="str">
        <f>IF(COUNTA(A1958:J1958)=0,"",IF(OR(AND(C1958&lt;&gt;"Servicio",C1958&lt;&gt;"Cobro",C1958&lt;&gt;"Anticipo",C1958&lt;&gt;"Aplicación anticipo",C1958&lt;&gt;"Retención ISR",C1958&lt;&gt;"Retención IVA"),AND(C1958="Servicio",F1958&lt;&gt;"TMS",F1958&lt;&gt;"Valoración",F1958&lt;&gt;"EEG",F1958&lt;&gt;"Neurofeedback",F1958&lt;&gt;"Fotobiomodulación",F1958&lt;&gt;"Psicoterapia",F1958&lt;&gt;"Otros")),"Tipo o categoría inválido",IF(COUNTA(A1958:J1958)=0,"",IF(OR(A1958="",B1958="",C1958="",G1958=""),"Faltan datos",IF(COUNTIF($A$7:$A$2006,A1958)&gt;1,"ID duplicado",IF(OR(B1958&lt;DATE(Configuración!$C$5,1,1),B1958&gt;=DATE(Configuración!$C$5+1,1,1)),"Fecha fuera del año",IF(OR(G1958&lt;0,H1958&lt;0),"Revisar signo",IF(AND(C1958&lt;&gt;"Servicio",H1958&lt;&gt;0),"IVA solo en Servicio",IF(AND(C1958="Servicio",F1958=""),"Falta servicio","OK")))))))))</f>
        <v/>
      </c>
    </row>
    <row r="1959" spans="1:12" ht="22" customHeight="1">
      <c r="A1959" s="3"/>
      <c r="B1959" s="7"/>
      <c r="C1959" s="3"/>
      <c r="D1959" s="3"/>
      <c r="E1959" s="3"/>
      <c r="F1959" s="3"/>
      <c r="G1959" s="4"/>
      <c r="H1959" s="4"/>
      <c r="I1959" s="3"/>
      <c r="J1959" s="3"/>
      <c r="K1959" s="8" t="str">
        <f t="shared" si="30"/>
        <v/>
      </c>
      <c r="L1959" s="1" t="str">
        <f>IF(COUNTA(A1959:J1959)=0,"",IF(OR(AND(C1959&lt;&gt;"Servicio",C1959&lt;&gt;"Cobro",C1959&lt;&gt;"Anticipo",C1959&lt;&gt;"Aplicación anticipo",C1959&lt;&gt;"Retención ISR",C1959&lt;&gt;"Retención IVA"),AND(C1959="Servicio",F1959&lt;&gt;"TMS",F1959&lt;&gt;"Valoración",F1959&lt;&gt;"EEG",F1959&lt;&gt;"Neurofeedback",F1959&lt;&gt;"Fotobiomodulación",F1959&lt;&gt;"Psicoterapia",F1959&lt;&gt;"Otros")),"Tipo o categoría inválido",IF(COUNTA(A1959:J1959)=0,"",IF(OR(A1959="",B1959="",C1959="",G1959=""),"Faltan datos",IF(COUNTIF($A$7:$A$2006,A1959)&gt;1,"ID duplicado",IF(OR(B1959&lt;DATE(Configuración!$C$5,1,1),B1959&gt;=DATE(Configuración!$C$5+1,1,1)),"Fecha fuera del año",IF(OR(G1959&lt;0,H1959&lt;0),"Revisar signo",IF(AND(C1959&lt;&gt;"Servicio",H1959&lt;&gt;0),"IVA solo en Servicio",IF(AND(C1959="Servicio",F1959=""),"Falta servicio","OK")))))))))</f>
        <v/>
      </c>
    </row>
    <row r="1960" spans="1:12" ht="22" customHeight="1">
      <c r="A1960" s="3"/>
      <c r="B1960" s="7"/>
      <c r="C1960" s="3"/>
      <c r="D1960" s="3"/>
      <c r="E1960" s="3"/>
      <c r="F1960" s="3"/>
      <c r="G1960" s="4"/>
      <c r="H1960" s="4"/>
      <c r="I1960" s="3"/>
      <c r="J1960" s="3"/>
      <c r="K1960" s="8" t="str">
        <f t="shared" si="30"/>
        <v/>
      </c>
      <c r="L1960" s="1" t="str">
        <f>IF(COUNTA(A1960:J1960)=0,"",IF(OR(AND(C1960&lt;&gt;"Servicio",C1960&lt;&gt;"Cobro",C1960&lt;&gt;"Anticipo",C1960&lt;&gt;"Aplicación anticipo",C1960&lt;&gt;"Retención ISR",C1960&lt;&gt;"Retención IVA"),AND(C1960="Servicio",F1960&lt;&gt;"TMS",F1960&lt;&gt;"Valoración",F1960&lt;&gt;"EEG",F1960&lt;&gt;"Neurofeedback",F1960&lt;&gt;"Fotobiomodulación",F1960&lt;&gt;"Psicoterapia",F1960&lt;&gt;"Otros")),"Tipo o categoría inválido",IF(COUNTA(A1960:J1960)=0,"",IF(OR(A1960="",B1960="",C1960="",G1960=""),"Faltan datos",IF(COUNTIF($A$7:$A$2006,A1960)&gt;1,"ID duplicado",IF(OR(B1960&lt;DATE(Configuración!$C$5,1,1),B1960&gt;=DATE(Configuración!$C$5+1,1,1)),"Fecha fuera del año",IF(OR(G1960&lt;0,H1960&lt;0),"Revisar signo",IF(AND(C1960&lt;&gt;"Servicio",H1960&lt;&gt;0),"IVA solo en Servicio",IF(AND(C1960="Servicio",F1960=""),"Falta servicio","OK")))))))))</f>
        <v/>
      </c>
    </row>
    <row r="1961" spans="1:12" ht="22" customHeight="1">
      <c r="A1961" s="3"/>
      <c r="B1961" s="7"/>
      <c r="C1961" s="3"/>
      <c r="D1961" s="3"/>
      <c r="E1961" s="3"/>
      <c r="F1961" s="3"/>
      <c r="G1961" s="4"/>
      <c r="H1961" s="4"/>
      <c r="I1961" s="3"/>
      <c r="J1961" s="3"/>
      <c r="K1961" s="8" t="str">
        <f t="shared" si="30"/>
        <v/>
      </c>
      <c r="L1961" s="1" t="str">
        <f>IF(COUNTA(A1961:J1961)=0,"",IF(OR(AND(C1961&lt;&gt;"Servicio",C1961&lt;&gt;"Cobro",C1961&lt;&gt;"Anticipo",C1961&lt;&gt;"Aplicación anticipo",C1961&lt;&gt;"Retención ISR",C1961&lt;&gt;"Retención IVA"),AND(C1961="Servicio",F1961&lt;&gt;"TMS",F1961&lt;&gt;"Valoración",F1961&lt;&gt;"EEG",F1961&lt;&gt;"Neurofeedback",F1961&lt;&gt;"Fotobiomodulación",F1961&lt;&gt;"Psicoterapia",F1961&lt;&gt;"Otros")),"Tipo o categoría inválido",IF(COUNTA(A1961:J1961)=0,"",IF(OR(A1961="",B1961="",C1961="",G1961=""),"Faltan datos",IF(COUNTIF($A$7:$A$2006,A1961)&gt;1,"ID duplicado",IF(OR(B1961&lt;DATE(Configuración!$C$5,1,1),B1961&gt;=DATE(Configuración!$C$5+1,1,1)),"Fecha fuera del año",IF(OR(G1961&lt;0,H1961&lt;0),"Revisar signo",IF(AND(C1961&lt;&gt;"Servicio",H1961&lt;&gt;0),"IVA solo en Servicio",IF(AND(C1961="Servicio",F1961=""),"Falta servicio","OK")))))))))</f>
        <v/>
      </c>
    </row>
    <row r="1962" spans="1:12" ht="22" customHeight="1">
      <c r="A1962" s="3"/>
      <c r="B1962" s="7"/>
      <c r="C1962" s="3"/>
      <c r="D1962" s="3"/>
      <c r="E1962" s="3"/>
      <c r="F1962" s="3"/>
      <c r="G1962" s="4"/>
      <c r="H1962" s="4"/>
      <c r="I1962" s="3"/>
      <c r="J1962" s="3"/>
      <c r="K1962" s="8" t="str">
        <f t="shared" si="30"/>
        <v/>
      </c>
      <c r="L1962" s="1" t="str">
        <f>IF(COUNTA(A1962:J1962)=0,"",IF(OR(AND(C1962&lt;&gt;"Servicio",C1962&lt;&gt;"Cobro",C1962&lt;&gt;"Anticipo",C1962&lt;&gt;"Aplicación anticipo",C1962&lt;&gt;"Retención ISR",C1962&lt;&gt;"Retención IVA"),AND(C1962="Servicio",F1962&lt;&gt;"TMS",F1962&lt;&gt;"Valoración",F1962&lt;&gt;"EEG",F1962&lt;&gt;"Neurofeedback",F1962&lt;&gt;"Fotobiomodulación",F1962&lt;&gt;"Psicoterapia",F1962&lt;&gt;"Otros")),"Tipo o categoría inválido",IF(COUNTA(A1962:J1962)=0,"",IF(OR(A1962="",B1962="",C1962="",G1962=""),"Faltan datos",IF(COUNTIF($A$7:$A$2006,A1962)&gt;1,"ID duplicado",IF(OR(B1962&lt;DATE(Configuración!$C$5,1,1),B1962&gt;=DATE(Configuración!$C$5+1,1,1)),"Fecha fuera del año",IF(OR(G1962&lt;0,H1962&lt;0),"Revisar signo",IF(AND(C1962&lt;&gt;"Servicio",H1962&lt;&gt;0),"IVA solo en Servicio",IF(AND(C1962="Servicio",F1962=""),"Falta servicio","OK")))))))))</f>
        <v/>
      </c>
    </row>
    <row r="1963" spans="1:12" ht="22" customHeight="1">
      <c r="A1963" s="3"/>
      <c r="B1963" s="7"/>
      <c r="C1963" s="3"/>
      <c r="D1963" s="3"/>
      <c r="E1963" s="3"/>
      <c r="F1963" s="3"/>
      <c r="G1963" s="4"/>
      <c r="H1963" s="4"/>
      <c r="I1963" s="3"/>
      <c r="J1963" s="3"/>
      <c r="K1963" s="8" t="str">
        <f t="shared" si="30"/>
        <v/>
      </c>
      <c r="L1963" s="1" t="str">
        <f>IF(COUNTA(A1963:J1963)=0,"",IF(OR(AND(C1963&lt;&gt;"Servicio",C1963&lt;&gt;"Cobro",C1963&lt;&gt;"Anticipo",C1963&lt;&gt;"Aplicación anticipo",C1963&lt;&gt;"Retención ISR",C1963&lt;&gt;"Retención IVA"),AND(C1963="Servicio",F1963&lt;&gt;"TMS",F1963&lt;&gt;"Valoración",F1963&lt;&gt;"EEG",F1963&lt;&gt;"Neurofeedback",F1963&lt;&gt;"Fotobiomodulación",F1963&lt;&gt;"Psicoterapia",F1963&lt;&gt;"Otros")),"Tipo o categoría inválido",IF(COUNTA(A1963:J1963)=0,"",IF(OR(A1963="",B1963="",C1963="",G1963=""),"Faltan datos",IF(COUNTIF($A$7:$A$2006,A1963)&gt;1,"ID duplicado",IF(OR(B1963&lt;DATE(Configuración!$C$5,1,1),B1963&gt;=DATE(Configuración!$C$5+1,1,1)),"Fecha fuera del año",IF(OR(G1963&lt;0,H1963&lt;0),"Revisar signo",IF(AND(C1963&lt;&gt;"Servicio",H1963&lt;&gt;0),"IVA solo en Servicio",IF(AND(C1963="Servicio",F1963=""),"Falta servicio","OK")))))))))</f>
        <v/>
      </c>
    </row>
    <row r="1964" spans="1:12" ht="22" customHeight="1">
      <c r="A1964" s="3"/>
      <c r="B1964" s="7"/>
      <c r="C1964" s="3"/>
      <c r="D1964" s="3"/>
      <c r="E1964" s="3"/>
      <c r="F1964" s="3"/>
      <c r="G1964" s="4"/>
      <c r="H1964" s="4"/>
      <c r="I1964" s="3"/>
      <c r="J1964" s="3"/>
      <c r="K1964" s="8" t="str">
        <f t="shared" si="30"/>
        <v/>
      </c>
      <c r="L1964" s="1" t="str">
        <f>IF(COUNTA(A1964:J1964)=0,"",IF(OR(AND(C1964&lt;&gt;"Servicio",C1964&lt;&gt;"Cobro",C1964&lt;&gt;"Anticipo",C1964&lt;&gt;"Aplicación anticipo",C1964&lt;&gt;"Retención ISR",C1964&lt;&gt;"Retención IVA"),AND(C1964="Servicio",F1964&lt;&gt;"TMS",F1964&lt;&gt;"Valoración",F1964&lt;&gt;"EEG",F1964&lt;&gt;"Neurofeedback",F1964&lt;&gt;"Fotobiomodulación",F1964&lt;&gt;"Psicoterapia",F1964&lt;&gt;"Otros")),"Tipo o categoría inválido",IF(COUNTA(A1964:J1964)=0,"",IF(OR(A1964="",B1964="",C1964="",G1964=""),"Faltan datos",IF(COUNTIF($A$7:$A$2006,A1964)&gt;1,"ID duplicado",IF(OR(B1964&lt;DATE(Configuración!$C$5,1,1),B1964&gt;=DATE(Configuración!$C$5+1,1,1)),"Fecha fuera del año",IF(OR(G1964&lt;0,H1964&lt;0),"Revisar signo",IF(AND(C1964&lt;&gt;"Servicio",H1964&lt;&gt;0),"IVA solo en Servicio",IF(AND(C1964="Servicio",F1964=""),"Falta servicio","OK")))))))))</f>
        <v/>
      </c>
    </row>
    <row r="1965" spans="1:12" ht="22" customHeight="1">
      <c r="A1965" s="3"/>
      <c r="B1965" s="7"/>
      <c r="C1965" s="3"/>
      <c r="D1965" s="3"/>
      <c r="E1965" s="3"/>
      <c r="F1965" s="3"/>
      <c r="G1965" s="4"/>
      <c r="H1965" s="4"/>
      <c r="I1965" s="3"/>
      <c r="J1965" s="3"/>
      <c r="K1965" s="8" t="str">
        <f t="shared" si="30"/>
        <v/>
      </c>
      <c r="L1965" s="1" t="str">
        <f>IF(COUNTA(A1965:J1965)=0,"",IF(OR(AND(C1965&lt;&gt;"Servicio",C1965&lt;&gt;"Cobro",C1965&lt;&gt;"Anticipo",C1965&lt;&gt;"Aplicación anticipo",C1965&lt;&gt;"Retención ISR",C1965&lt;&gt;"Retención IVA"),AND(C1965="Servicio",F1965&lt;&gt;"TMS",F1965&lt;&gt;"Valoración",F1965&lt;&gt;"EEG",F1965&lt;&gt;"Neurofeedback",F1965&lt;&gt;"Fotobiomodulación",F1965&lt;&gt;"Psicoterapia",F1965&lt;&gt;"Otros")),"Tipo o categoría inválido",IF(COUNTA(A1965:J1965)=0,"",IF(OR(A1965="",B1965="",C1965="",G1965=""),"Faltan datos",IF(COUNTIF($A$7:$A$2006,A1965)&gt;1,"ID duplicado",IF(OR(B1965&lt;DATE(Configuración!$C$5,1,1),B1965&gt;=DATE(Configuración!$C$5+1,1,1)),"Fecha fuera del año",IF(OR(G1965&lt;0,H1965&lt;0),"Revisar signo",IF(AND(C1965&lt;&gt;"Servicio",H1965&lt;&gt;0),"IVA solo en Servicio",IF(AND(C1965="Servicio",F1965=""),"Falta servicio","OK")))))))))</f>
        <v/>
      </c>
    </row>
    <row r="1966" spans="1:12" ht="22" customHeight="1">
      <c r="A1966" s="3"/>
      <c r="B1966" s="7"/>
      <c r="C1966" s="3"/>
      <c r="D1966" s="3"/>
      <c r="E1966" s="3"/>
      <c r="F1966" s="3"/>
      <c r="G1966" s="4"/>
      <c r="H1966" s="4"/>
      <c r="I1966" s="3"/>
      <c r="J1966" s="3"/>
      <c r="K1966" s="8" t="str">
        <f t="shared" si="30"/>
        <v/>
      </c>
      <c r="L1966" s="1" t="str">
        <f>IF(COUNTA(A1966:J1966)=0,"",IF(OR(AND(C1966&lt;&gt;"Servicio",C1966&lt;&gt;"Cobro",C1966&lt;&gt;"Anticipo",C1966&lt;&gt;"Aplicación anticipo",C1966&lt;&gt;"Retención ISR",C1966&lt;&gt;"Retención IVA"),AND(C1966="Servicio",F1966&lt;&gt;"TMS",F1966&lt;&gt;"Valoración",F1966&lt;&gt;"EEG",F1966&lt;&gt;"Neurofeedback",F1966&lt;&gt;"Fotobiomodulación",F1966&lt;&gt;"Psicoterapia",F1966&lt;&gt;"Otros")),"Tipo o categoría inválido",IF(COUNTA(A1966:J1966)=0,"",IF(OR(A1966="",B1966="",C1966="",G1966=""),"Faltan datos",IF(COUNTIF($A$7:$A$2006,A1966)&gt;1,"ID duplicado",IF(OR(B1966&lt;DATE(Configuración!$C$5,1,1),B1966&gt;=DATE(Configuración!$C$5+1,1,1)),"Fecha fuera del año",IF(OR(G1966&lt;0,H1966&lt;0),"Revisar signo",IF(AND(C1966&lt;&gt;"Servicio",H1966&lt;&gt;0),"IVA solo en Servicio",IF(AND(C1966="Servicio",F1966=""),"Falta servicio","OK")))))))))</f>
        <v/>
      </c>
    </row>
    <row r="1967" spans="1:12" ht="22" customHeight="1">
      <c r="A1967" s="3"/>
      <c r="B1967" s="7"/>
      <c r="C1967" s="3"/>
      <c r="D1967" s="3"/>
      <c r="E1967" s="3"/>
      <c r="F1967" s="3"/>
      <c r="G1967" s="4"/>
      <c r="H1967" s="4"/>
      <c r="I1967" s="3"/>
      <c r="J1967" s="3"/>
      <c r="K1967" s="8" t="str">
        <f t="shared" si="30"/>
        <v/>
      </c>
      <c r="L1967" s="1" t="str">
        <f>IF(COUNTA(A1967:J1967)=0,"",IF(OR(AND(C1967&lt;&gt;"Servicio",C1967&lt;&gt;"Cobro",C1967&lt;&gt;"Anticipo",C1967&lt;&gt;"Aplicación anticipo",C1967&lt;&gt;"Retención ISR",C1967&lt;&gt;"Retención IVA"),AND(C1967="Servicio",F1967&lt;&gt;"TMS",F1967&lt;&gt;"Valoración",F1967&lt;&gt;"EEG",F1967&lt;&gt;"Neurofeedback",F1967&lt;&gt;"Fotobiomodulación",F1967&lt;&gt;"Psicoterapia",F1967&lt;&gt;"Otros")),"Tipo o categoría inválido",IF(COUNTA(A1967:J1967)=0,"",IF(OR(A1967="",B1967="",C1967="",G1967=""),"Faltan datos",IF(COUNTIF($A$7:$A$2006,A1967)&gt;1,"ID duplicado",IF(OR(B1967&lt;DATE(Configuración!$C$5,1,1),B1967&gt;=DATE(Configuración!$C$5+1,1,1)),"Fecha fuera del año",IF(OR(G1967&lt;0,H1967&lt;0),"Revisar signo",IF(AND(C1967&lt;&gt;"Servicio",H1967&lt;&gt;0),"IVA solo en Servicio",IF(AND(C1967="Servicio",F1967=""),"Falta servicio","OK")))))))))</f>
        <v/>
      </c>
    </row>
    <row r="1968" spans="1:12" ht="22" customHeight="1">
      <c r="A1968" s="3"/>
      <c r="B1968" s="7"/>
      <c r="C1968" s="3"/>
      <c r="D1968" s="3"/>
      <c r="E1968" s="3"/>
      <c r="F1968" s="3"/>
      <c r="G1968" s="4"/>
      <c r="H1968" s="4"/>
      <c r="I1968" s="3"/>
      <c r="J1968" s="3"/>
      <c r="K1968" s="8" t="str">
        <f t="shared" si="30"/>
        <v/>
      </c>
      <c r="L1968" s="1" t="str">
        <f>IF(COUNTA(A1968:J1968)=0,"",IF(OR(AND(C1968&lt;&gt;"Servicio",C1968&lt;&gt;"Cobro",C1968&lt;&gt;"Anticipo",C1968&lt;&gt;"Aplicación anticipo",C1968&lt;&gt;"Retención ISR",C1968&lt;&gt;"Retención IVA"),AND(C1968="Servicio",F1968&lt;&gt;"TMS",F1968&lt;&gt;"Valoración",F1968&lt;&gt;"EEG",F1968&lt;&gt;"Neurofeedback",F1968&lt;&gt;"Fotobiomodulación",F1968&lt;&gt;"Psicoterapia",F1968&lt;&gt;"Otros")),"Tipo o categoría inválido",IF(COUNTA(A1968:J1968)=0,"",IF(OR(A1968="",B1968="",C1968="",G1968=""),"Faltan datos",IF(COUNTIF($A$7:$A$2006,A1968)&gt;1,"ID duplicado",IF(OR(B1968&lt;DATE(Configuración!$C$5,1,1),B1968&gt;=DATE(Configuración!$C$5+1,1,1)),"Fecha fuera del año",IF(OR(G1968&lt;0,H1968&lt;0),"Revisar signo",IF(AND(C1968&lt;&gt;"Servicio",H1968&lt;&gt;0),"IVA solo en Servicio",IF(AND(C1968="Servicio",F1968=""),"Falta servicio","OK")))))))))</f>
        <v/>
      </c>
    </row>
    <row r="1969" spans="1:12" ht="22" customHeight="1">
      <c r="A1969" s="3"/>
      <c r="B1969" s="7"/>
      <c r="C1969" s="3"/>
      <c r="D1969" s="3"/>
      <c r="E1969" s="3"/>
      <c r="F1969" s="3"/>
      <c r="G1969" s="4"/>
      <c r="H1969" s="4"/>
      <c r="I1969" s="3"/>
      <c r="J1969" s="3"/>
      <c r="K1969" s="8" t="str">
        <f t="shared" si="30"/>
        <v/>
      </c>
      <c r="L1969" s="1" t="str">
        <f>IF(COUNTA(A1969:J1969)=0,"",IF(OR(AND(C1969&lt;&gt;"Servicio",C1969&lt;&gt;"Cobro",C1969&lt;&gt;"Anticipo",C1969&lt;&gt;"Aplicación anticipo",C1969&lt;&gt;"Retención ISR",C1969&lt;&gt;"Retención IVA"),AND(C1969="Servicio",F1969&lt;&gt;"TMS",F1969&lt;&gt;"Valoración",F1969&lt;&gt;"EEG",F1969&lt;&gt;"Neurofeedback",F1969&lt;&gt;"Fotobiomodulación",F1969&lt;&gt;"Psicoterapia",F1969&lt;&gt;"Otros")),"Tipo o categoría inválido",IF(COUNTA(A1969:J1969)=0,"",IF(OR(A1969="",B1969="",C1969="",G1969=""),"Faltan datos",IF(COUNTIF($A$7:$A$2006,A1969)&gt;1,"ID duplicado",IF(OR(B1969&lt;DATE(Configuración!$C$5,1,1),B1969&gt;=DATE(Configuración!$C$5+1,1,1)),"Fecha fuera del año",IF(OR(G1969&lt;0,H1969&lt;0),"Revisar signo",IF(AND(C1969&lt;&gt;"Servicio",H1969&lt;&gt;0),"IVA solo en Servicio",IF(AND(C1969="Servicio",F1969=""),"Falta servicio","OK")))))))))</f>
        <v/>
      </c>
    </row>
    <row r="1970" spans="1:12" ht="22" customHeight="1">
      <c r="A1970" s="3"/>
      <c r="B1970" s="7"/>
      <c r="C1970" s="3"/>
      <c r="D1970" s="3"/>
      <c r="E1970" s="3"/>
      <c r="F1970" s="3"/>
      <c r="G1970" s="4"/>
      <c r="H1970" s="4"/>
      <c r="I1970" s="3"/>
      <c r="J1970" s="3"/>
      <c r="K1970" s="8" t="str">
        <f t="shared" si="30"/>
        <v/>
      </c>
      <c r="L1970" s="1" t="str">
        <f>IF(COUNTA(A1970:J1970)=0,"",IF(OR(AND(C1970&lt;&gt;"Servicio",C1970&lt;&gt;"Cobro",C1970&lt;&gt;"Anticipo",C1970&lt;&gt;"Aplicación anticipo",C1970&lt;&gt;"Retención ISR",C1970&lt;&gt;"Retención IVA"),AND(C1970="Servicio",F1970&lt;&gt;"TMS",F1970&lt;&gt;"Valoración",F1970&lt;&gt;"EEG",F1970&lt;&gt;"Neurofeedback",F1970&lt;&gt;"Fotobiomodulación",F1970&lt;&gt;"Psicoterapia",F1970&lt;&gt;"Otros")),"Tipo o categoría inválido",IF(COUNTA(A1970:J1970)=0,"",IF(OR(A1970="",B1970="",C1970="",G1970=""),"Faltan datos",IF(COUNTIF($A$7:$A$2006,A1970)&gt;1,"ID duplicado",IF(OR(B1970&lt;DATE(Configuración!$C$5,1,1),B1970&gt;=DATE(Configuración!$C$5+1,1,1)),"Fecha fuera del año",IF(OR(G1970&lt;0,H1970&lt;0),"Revisar signo",IF(AND(C1970&lt;&gt;"Servicio",H1970&lt;&gt;0),"IVA solo en Servicio",IF(AND(C1970="Servicio",F1970=""),"Falta servicio","OK")))))))))</f>
        <v/>
      </c>
    </row>
    <row r="1971" spans="1:12" ht="22" customHeight="1">
      <c r="A1971" s="3"/>
      <c r="B1971" s="7"/>
      <c r="C1971" s="3"/>
      <c r="D1971" s="3"/>
      <c r="E1971" s="3"/>
      <c r="F1971" s="3"/>
      <c r="G1971" s="4"/>
      <c r="H1971" s="4"/>
      <c r="I1971" s="3"/>
      <c r="J1971" s="3"/>
      <c r="K1971" s="8" t="str">
        <f t="shared" si="30"/>
        <v/>
      </c>
      <c r="L1971" s="1" t="str">
        <f>IF(COUNTA(A1971:J1971)=0,"",IF(OR(AND(C1971&lt;&gt;"Servicio",C1971&lt;&gt;"Cobro",C1971&lt;&gt;"Anticipo",C1971&lt;&gt;"Aplicación anticipo",C1971&lt;&gt;"Retención ISR",C1971&lt;&gt;"Retención IVA"),AND(C1971="Servicio",F1971&lt;&gt;"TMS",F1971&lt;&gt;"Valoración",F1971&lt;&gt;"EEG",F1971&lt;&gt;"Neurofeedback",F1971&lt;&gt;"Fotobiomodulación",F1971&lt;&gt;"Psicoterapia",F1971&lt;&gt;"Otros")),"Tipo o categoría inválido",IF(COUNTA(A1971:J1971)=0,"",IF(OR(A1971="",B1971="",C1971="",G1971=""),"Faltan datos",IF(COUNTIF($A$7:$A$2006,A1971)&gt;1,"ID duplicado",IF(OR(B1971&lt;DATE(Configuración!$C$5,1,1),B1971&gt;=DATE(Configuración!$C$5+1,1,1)),"Fecha fuera del año",IF(OR(G1971&lt;0,H1971&lt;0),"Revisar signo",IF(AND(C1971&lt;&gt;"Servicio",H1971&lt;&gt;0),"IVA solo en Servicio",IF(AND(C1971="Servicio",F1971=""),"Falta servicio","OK")))))))))</f>
        <v/>
      </c>
    </row>
    <row r="1972" spans="1:12" ht="22" customHeight="1">
      <c r="A1972" s="3"/>
      <c r="B1972" s="7"/>
      <c r="C1972" s="3"/>
      <c r="D1972" s="3"/>
      <c r="E1972" s="3"/>
      <c r="F1972" s="3"/>
      <c r="G1972" s="4"/>
      <c r="H1972" s="4"/>
      <c r="I1972" s="3"/>
      <c r="J1972" s="3"/>
      <c r="K1972" s="8" t="str">
        <f t="shared" si="30"/>
        <v/>
      </c>
      <c r="L1972" s="1" t="str">
        <f>IF(COUNTA(A1972:J1972)=0,"",IF(OR(AND(C1972&lt;&gt;"Servicio",C1972&lt;&gt;"Cobro",C1972&lt;&gt;"Anticipo",C1972&lt;&gt;"Aplicación anticipo",C1972&lt;&gt;"Retención ISR",C1972&lt;&gt;"Retención IVA"),AND(C1972="Servicio",F1972&lt;&gt;"TMS",F1972&lt;&gt;"Valoración",F1972&lt;&gt;"EEG",F1972&lt;&gt;"Neurofeedback",F1972&lt;&gt;"Fotobiomodulación",F1972&lt;&gt;"Psicoterapia",F1972&lt;&gt;"Otros")),"Tipo o categoría inválido",IF(COUNTA(A1972:J1972)=0,"",IF(OR(A1972="",B1972="",C1972="",G1972=""),"Faltan datos",IF(COUNTIF($A$7:$A$2006,A1972)&gt;1,"ID duplicado",IF(OR(B1972&lt;DATE(Configuración!$C$5,1,1),B1972&gt;=DATE(Configuración!$C$5+1,1,1)),"Fecha fuera del año",IF(OR(G1972&lt;0,H1972&lt;0),"Revisar signo",IF(AND(C1972&lt;&gt;"Servicio",H1972&lt;&gt;0),"IVA solo en Servicio",IF(AND(C1972="Servicio",F1972=""),"Falta servicio","OK")))))))))</f>
        <v/>
      </c>
    </row>
    <row r="1973" spans="1:12" ht="22" customHeight="1">
      <c r="A1973" s="3"/>
      <c r="B1973" s="7"/>
      <c r="C1973" s="3"/>
      <c r="D1973" s="3"/>
      <c r="E1973" s="3"/>
      <c r="F1973" s="3"/>
      <c r="G1973" s="4"/>
      <c r="H1973" s="4"/>
      <c r="I1973" s="3"/>
      <c r="J1973" s="3"/>
      <c r="K1973" s="8" t="str">
        <f t="shared" si="30"/>
        <v/>
      </c>
      <c r="L1973" s="1" t="str">
        <f>IF(COUNTA(A1973:J1973)=0,"",IF(OR(AND(C1973&lt;&gt;"Servicio",C1973&lt;&gt;"Cobro",C1973&lt;&gt;"Anticipo",C1973&lt;&gt;"Aplicación anticipo",C1973&lt;&gt;"Retención ISR",C1973&lt;&gt;"Retención IVA"),AND(C1973="Servicio",F1973&lt;&gt;"TMS",F1973&lt;&gt;"Valoración",F1973&lt;&gt;"EEG",F1973&lt;&gt;"Neurofeedback",F1973&lt;&gt;"Fotobiomodulación",F1973&lt;&gt;"Psicoterapia",F1973&lt;&gt;"Otros")),"Tipo o categoría inválido",IF(COUNTA(A1973:J1973)=0,"",IF(OR(A1973="",B1973="",C1973="",G1973=""),"Faltan datos",IF(COUNTIF($A$7:$A$2006,A1973)&gt;1,"ID duplicado",IF(OR(B1973&lt;DATE(Configuración!$C$5,1,1),B1973&gt;=DATE(Configuración!$C$5+1,1,1)),"Fecha fuera del año",IF(OR(G1973&lt;0,H1973&lt;0),"Revisar signo",IF(AND(C1973&lt;&gt;"Servicio",H1973&lt;&gt;0),"IVA solo en Servicio",IF(AND(C1973="Servicio",F1973=""),"Falta servicio","OK")))))))))</f>
        <v/>
      </c>
    </row>
    <row r="1974" spans="1:12" ht="22" customHeight="1">
      <c r="A1974" s="3"/>
      <c r="B1974" s="7"/>
      <c r="C1974" s="3"/>
      <c r="D1974" s="3"/>
      <c r="E1974" s="3"/>
      <c r="F1974" s="3"/>
      <c r="G1974" s="4"/>
      <c r="H1974" s="4"/>
      <c r="I1974" s="3"/>
      <c r="J1974" s="3"/>
      <c r="K1974" s="8" t="str">
        <f t="shared" si="30"/>
        <v/>
      </c>
      <c r="L1974" s="1" t="str">
        <f>IF(COUNTA(A1974:J1974)=0,"",IF(OR(AND(C1974&lt;&gt;"Servicio",C1974&lt;&gt;"Cobro",C1974&lt;&gt;"Anticipo",C1974&lt;&gt;"Aplicación anticipo",C1974&lt;&gt;"Retención ISR",C1974&lt;&gt;"Retención IVA"),AND(C1974="Servicio",F1974&lt;&gt;"TMS",F1974&lt;&gt;"Valoración",F1974&lt;&gt;"EEG",F1974&lt;&gt;"Neurofeedback",F1974&lt;&gt;"Fotobiomodulación",F1974&lt;&gt;"Psicoterapia",F1974&lt;&gt;"Otros")),"Tipo o categoría inválido",IF(COUNTA(A1974:J1974)=0,"",IF(OR(A1974="",B1974="",C1974="",G1974=""),"Faltan datos",IF(COUNTIF($A$7:$A$2006,A1974)&gt;1,"ID duplicado",IF(OR(B1974&lt;DATE(Configuración!$C$5,1,1),B1974&gt;=DATE(Configuración!$C$5+1,1,1)),"Fecha fuera del año",IF(OR(G1974&lt;0,H1974&lt;0),"Revisar signo",IF(AND(C1974&lt;&gt;"Servicio",H1974&lt;&gt;0),"IVA solo en Servicio",IF(AND(C1974="Servicio",F1974=""),"Falta servicio","OK")))))))))</f>
        <v/>
      </c>
    </row>
    <row r="1975" spans="1:12" ht="22" customHeight="1">
      <c r="A1975" s="3"/>
      <c r="B1975" s="7"/>
      <c r="C1975" s="3"/>
      <c r="D1975" s="3"/>
      <c r="E1975" s="3"/>
      <c r="F1975" s="3"/>
      <c r="G1975" s="4"/>
      <c r="H1975" s="4"/>
      <c r="I1975" s="3"/>
      <c r="J1975" s="3"/>
      <c r="K1975" s="8" t="str">
        <f t="shared" si="30"/>
        <v/>
      </c>
      <c r="L1975" s="1" t="str">
        <f>IF(COUNTA(A1975:J1975)=0,"",IF(OR(AND(C1975&lt;&gt;"Servicio",C1975&lt;&gt;"Cobro",C1975&lt;&gt;"Anticipo",C1975&lt;&gt;"Aplicación anticipo",C1975&lt;&gt;"Retención ISR",C1975&lt;&gt;"Retención IVA"),AND(C1975="Servicio",F1975&lt;&gt;"TMS",F1975&lt;&gt;"Valoración",F1975&lt;&gt;"EEG",F1975&lt;&gt;"Neurofeedback",F1975&lt;&gt;"Fotobiomodulación",F1975&lt;&gt;"Psicoterapia",F1975&lt;&gt;"Otros")),"Tipo o categoría inválido",IF(COUNTA(A1975:J1975)=0,"",IF(OR(A1975="",B1975="",C1975="",G1975=""),"Faltan datos",IF(COUNTIF($A$7:$A$2006,A1975)&gt;1,"ID duplicado",IF(OR(B1975&lt;DATE(Configuración!$C$5,1,1),B1975&gt;=DATE(Configuración!$C$5+1,1,1)),"Fecha fuera del año",IF(OR(G1975&lt;0,H1975&lt;0),"Revisar signo",IF(AND(C1975&lt;&gt;"Servicio",H1975&lt;&gt;0),"IVA solo en Servicio",IF(AND(C1975="Servicio",F1975=""),"Falta servicio","OK")))))))))</f>
        <v/>
      </c>
    </row>
    <row r="1976" spans="1:12" ht="22" customHeight="1">
      <c r="A1976" s="3"/>
      <c r="B1976" s="7"/>
      <c r="C1976" s="3"/>
      <c r="D1976" s="3"/>
      <c r="E1976" s="3"/>
      <c r="F1976" s="3"/>
      <c r="G1976" s="4"/>
      <c r="H1976" s="4"/>
      <c r="I1976" s="3"/>
      <c r="J1976" s="3"/>
      <c r="K1976" s="8" t="str">
        <f t="shared" si="30"/>
        <v/>
      </c>
      <c r="L1976" s="1" t="str">
        <f>IF(COUNTA(A1976:J1976)=0,"",IF(OR(AND(C1976&lt;&gt;"Servicio",C1976&lt;&gt;"Cobro",C1976&lt;&gt;"Anticipo",C1976&lt;&gt;"Aplicación anticipo",C1976&lt;&gt;"Retención ISR",C1976&lt;&gt;"Retención IVA"),AND(C1976="Servicio",F1976&lt;&gt;"TMS",F1976&lt;&gt;"Valoración",F1976&lt;&gt;"EEG",F1976&lt;&gt;"Neurofeedback",F1976&lt;&gt;"Fotobiomodulación",F1976&lt;&gt;"Psicoterapia",F1976&lt;&gt;"Otros")),"Tipo o categoría inválido",IF(COUNTA(A1976:J1976)=0,"",IF(OR(A1976="",B1976="",C1976="",G1976=""),"Faltan datos",IF(COUNTIF($A$7:$A$2006,A1976)&gt;1,"ID duplicado",IF(OR(B1976&lt;DATE(Configuración!$C$5,1,1),B1976&gt;=DATE(Configuración!$C$5+1,1,1)),"Fecha fuera del año",IF(OR(G1976&lt;0,H1976&lt;0),"Revisar signo",IF(AND(C1976&lt;&gt;"Servicio",H1976&lt;&gt;0),"IVA solo en Servicio",IF(AND(C1976="Servicio",F1976=""),"Falta servicio","OK")))))))))</f>
        <v/>
      </c>
    </row>
    <row r="1977" spans="1:12" ht="22" customHeight="1">
      <c r="A1977" s="3"/>
      <c r="B1977" s="7"/>
      <c r="C1977" s="3"/>
      <c r="D1977" s="3"/>
      <c r="E1977" s="3"/>
      <c r="F1977" s="3"/>
      <c r="G1977" s="4"/>
      <c r="H1977" s="4"/>
      <c r="I1977" s="3"/>
      <c r="J1977" s="3"/>
      <c r="K1977" s="8" t="str">
        <f t="shared" si="30"/>
        <v/>
      </c>
      <c r="L1977" s="1" t="str">
        <f>IF(COUNTA(A1977:J1977)=0,"",IF(OR(AND(C1977&lt;&gt;"Servicio",C1977&lt;&gt;"Cobro",C1977&lt;&gt;"Anticipo",C1977&lt;&gt;"Aplicación anticipo",C1977&lt;&gt;"Retención ISR",C1977&lt;&gt;"Retención IVA"),AND(C1977="Servicio",F1977&lt;&gt;"TMS",F1977&lt;&gt;"Valoración",F1977&lt;&gt;"EEG",F1977&lt;&gt;"Neurofeedback",F1977&lt;&gt;"Fotobiomodulación",F1977&lt;&gt;"Psicoterapia",F1977&lt;&gt;"Otros")),"Tipo o categoría inválido",IF(COUNTA(A1977:J1977)=0,"",IF(OR(A1977="",B1977="",C1977="",G1977=""),"Faltan datos",IF(COUNTIF($A$7:$A$2006,A1977)&gt;1,"ID duplicado",IF(OR(B1977&lt;DATE(Configuración!$C$5,1,1),B1977&gt;=DATE(Configuración!$C$5+1,1,1)),"Fecha fuera del año",IF(OR(G1977&lt;0,H1977&lt;0),"Revisar signo",IF(AND(C1977&lt;&gt;"Servicio",H1977&lt;&gt;0),"IVA solo en Servicio",IF(AND(C1977="Servicio",F1977=""),"Falta servicio","OK")))))))))</f>
        <v/>
      </c>
    </row>
    <row r="1978" spans="1:12" ht="22" customHeight="1">
      <c r="A1978" s="3"/>
      <c r="B1978" s="7"/>
      <c r="C1978" s="3"/>
      <c r="D1978" s="3"/>
      <c r="E1978" s="3"/>
      <c r="F1978" s="3"/>
      <c r="G1978" s="4"/>
      <c r="H1978" s="4"/>
      <c r="I1978" s="3"/>
      <c r="J1978" s="3"/>
      <c r="K1978" s="8" t="str">
        <f t="shared" si="30"/>
        <v/>
      </c>
      <c r="L1978" s="1" t="str">
        <f>IF(COUNTA(A1978:J1978)=0,"",IF(OR(AND(C1978&lt;&gt;"Servicio",C1978&lt;&gt;"Cobro",C1978&lt;&gt;"Anticipo",C1978&lt;&gt;"Aplicación anticipo",C1978&lt;&gt;"Retención ISR",C1978&lt;&gt;"Retención IVA"),AND(C1978="Servicio",F1978&lt;&gt;"TMS",F1978&lt;&gt;"Valoración",F1978&lt;&gt;"EEG",F1978&lt;&gt;"Neurofeedback",F1978&lt;&gt;"Fotobiomodulación",F1978&lt;&gt;"Psicoterapia",F1978&lt;&gt;"Otros")),"Tipo o categoría inválido",IF(COUNTA(A1978:J1978)=0,"",IF(OR(A1978="",B1978="",C1978="",G1978=""),"Faltan datos",IF(COUNTIF($A$7:$A$2006,A1978)&gt;1,"ID duplicado",IF(OR(B1978&lt;DATE(Configuración!$C$5,1,1),B1978&gt;=DATE(Configuración!$C$5+1,1,1)),"Fecha fuera del año",IF(OR(G1978&lt;0,H1978&lt;0),"Revisar signo",IF(AND(C1978&lt;&gt;"Servicio",H1978&lt;&gt;0),"IVA solo en Servicio",IF(AND(C1978="Servicio",F1978=""),"Falta servicio","OK")))))))))</f>
        <v/>
      </c>
    </row>
    <row r="1979" spans="1:12" ht="22" customHeight="1">
      <c r="A1979" s="3"/>
      <c r="B1979" s="7"/>
      <c r="C1979" s="3"/>
      <c r="D1979" s="3"/>
      <c r="E1979" s="3"/>
      <c r="F1979" s="3"/>
      <c r="G1979" s="4"/>
      <c r="H1979" s="4"/>
      <c r="I1979" s="3"/>
      <c r="J1979" s="3"/>
      <c r="K1979" s="8" t="str">
        <f t="shared" si="30"/>
        <v/>
      </c>
      <c r="L1979" s="1" t="str">
        <f>IF(COUNTA(A1979:J1979)=0,"",IF(OR(AND(C1979&lt;&gt;"Servicio",C1979&lt;&gt;"Cobro",C1979&lt;&gt;"Anticipo",C1979&lt;&gt;"Aplicación anticipo",C1979&lt;&gt;"Retención ISR",C1979&lt;&gt;"Retención IVA"),AND(C1979="Servicio",F1979&lt;&gt;"TMS",F1979&lt;&gt;"Valoración",F1979&lt;&gt;"EEG",F1979&lt;&gt;"Neurofeedback",F1979&lt;&gt;"Fotobiomodulación",F1979&lt;&gt;"Psicoterapia",F1979&lt;&gt;"Otros")),"Tipo o categoría inválido",IF(COUNTA(A1979:J1979)=0,"",IF(OR(A1979="",B1979="",C1979="",G1979=""),"Faltan datos",IF(COUNTIF($A$7:$A$2006,A1979)&gt;1,"ID duplicado",IF(OR(B1979&lt;DATE(Configuración!$C$5,1,1),B1979&gt;=DATE(Configuración!$C$5+1,1,1)),"Fecha fuera del año",IF(OR(G1979&lt;0,H1979&lt;0),"Revisar signo",IF(AND(C1979&lt;&gt;"Servicio",H1979&lt;&gt;0),"IVA solo en Servicio",IF(AND(C1979="Servicio",F1979=""),"Falta servicio","OK")))))))))</f>
        <v/>
      </c>
    </row>
    <row r="1980" spans="1:12" ht="22" customHeight="1">
      <c r="A1980" s="3"/>
      <c r="B1980" s="7"/>
      <c r="C1980" s="3"/>
      <c r="D1980" s="3"/>
      <c r="E1980" s="3"/>
      <c r="F1980" s="3"/>
      <c r="G1980" s="4"/>
      <c r="H1980" s="4"/>
      <c r="I1980" s="3"/>
      <c r="J1980" s="3"/>
      <c r="K1980" s="8" t="str">
        <f t="shared" si="30"/>
        <v/>
      </c>
      <c r="L1980" s="1" t="str">
        <f>IF(COUNTA(A1980:J1980)=0,"",IF(OR(AND(C1980&lt;&gt;"Servicio",C1980&lt;&gt;"Cobro",C1980&lt;&gt;"Anticipo",C1980&lt;&gt;"Aplicación anticipo",C1980&lt;&gt;"Retención ISR",C1980&lt;&gt;"Retención IVA"),AND(C1980="Servicio",F1980&lt;&gt;"TMS",F1980&lt;&gt;"Valoración",F1980&lt;&gt;"EEG",F1980&lt;&gt;"Neurofeedback",F1980&lt;&gt;"Fotobiomodulación",F1980&lt;&gt;"Psicoterapia",F1980&lt;&gt;"Otros")),"Tipo o categoría inválido",IF(COUNTA(A1980:J1980)=0,"",IF(OR(A1980="",B1980="",C1980="",G1980=""),"Faltan datos",IF(COUNTIF($A$7:$A$2006,A1980)&gt;1,"ID duplicado",IF(OR(B1980&lt;DATE(Configuración!$C$5,1,1),B1980&gt;=DATE(Configuración!$C$5+1,1,1)),"Fecha fuera del año",IF(OR(G1980&lt;0,H1980&lt;0),"Revisar signo",IF(AND(C1980&lt;&gt;"Servicio",H1980&lt;&gt;0),"IVA solo en Servicio",IF(AND(C1980="Servicio",F1980=""),"Falta servicio","OK")))))))))</f>
        <v/>
      </c>
    </row>
    <row r="1981" spans="1:12" ht="22" customHeight="1">
      <c r="A1981" s="3"/>
      <c r="B1981" s="7"/>
      <c r="C1981" s="3"/>
      <c r="D1981" s="3"/>
      <c r="E1981" s="3"/>
      <c r="F1981" s="3"/>
      <c r="G1981" s="4"/>
      <c r="H1981" s="4"/>
      <c r="I1981" s="3"/>
      <c r="J1981" s="3"/>
      <c r="K1981" s="8" t="str">
        <f t="shared" si="30"/>
        <v/>
      </c>
      <c r="L1981" s="1" t="str">
        <f>IF(COUNTA(A1981:J1981)=0,"",IF(OR(AND(C1981&lt;&gt;"Servicio",C1981&lt;&gt;"Cobro",C1981&lt;&gt;"Anticipo",C1981&lt;&gt;"Aplicación anticipo",C1981&lt;&gt;"Retención ISR",C1981&lt;&gt;"Retención IVA"),AND(C1981="Servicio",F1981&lt;&gt;"TMS",F1981&lt;&gt;"Valoración",F1981&lt;&gt;"EEG",F1981&lt;&gt;"Neurofeedback",F1981&lt;&gt;"Fotobiomodulación",F1981&lt;&gt;"Psicoterapia",F1981&lt;&gt;"Otros")),"Tipo o categoría inválido",IF(COUNTA(A1981:J1981)=0,"",IF(OR(A1981="",B1981="",C1981="",G1981=""),"Faltan datos",IF(COUNTIF($A$7:$A$2006,A1981)&gt;1,"ID duplicado",IF(OR(B1981&lt;DATE(Configuración!$C$5,1,1),B1981&gt;=DATE(Configuración!$C$5+1,1,1)),"Fecha fuera del año",IF(OR(G1981&lt;0,H1981&lt;0),"Revisar signo",IF(AND(C1981&lt;&gt;"Servicio",H1981&lt;&gt;0),"IVA solo en Servicio",IF(AND(C1981="Servicio",F1981=""),"Falta servicio","OK")))))))))</f>
        <v/>
      </c>
    </row>
    <row r="1982" spans="1:12" ht="22" customHeight="1">
      <c r="A1982" s="3"/>
      <c r="B1982" s="7"/>
      <c r="C1982" s="3"/>
      <c r="D1982" s="3"/>
      <c r="E1982" s="3"/>
      <c r="F1982" s="3"/>
      <c r="G1982" s="4"/>
      <c r="H1982" s="4"/>
      <c r="I1982" s="3"/>
      <c r="J1982" s="3"/>
      <c r="K1982" s="8" t="str">
        <f t="shared" si="30"/>
        <v/>
      </c>
      <c r="L1982" s="1" t="str">
        <f>IF(COUNTA(A1982:J1982)=0,"",IF(OR(AND(C1982&lt;&gt;"Servicio",C1982&lt;&gt;"Cobro",C1982&lt;&gt;"Anticipo",C1982&lt;&gt;"Aplicación anticipo",C1982&lt;&gt;"Retención ISR",C1982&lt;&gt;"Retención IVA"),AND(C1982="Servicio",F1982&lt;&gt;"TMS",F1982&lt;&gt;"Valoración",F1982&lt;&gt;"EEG",F1982&lt;&gt;"Neurofeedback",F1982&lt;&gt;"Fotobiomodulación",F1982&lt;&gt;"Psicoterapia",F1982&lt;&gt;"Otros")),"Tipo o categoría inválido",IF(COUNTA(A1982:J1982)=0,"",IF(OR(A1982="",B1982="",C1982="",G1982=""),"Faltan datos",IF(COUNTIF($A$7:$A$2006,A1982)&gt;1,"ID duplicado",IF(OR(B1982&lt;DATE(Configuración!$C$5,1,1),B1982&gt;=DATE(Configuración!$C$5+1,1,1)),"Fecha fuera del año",IF(OR(G1982&lt;0,H1982&lt;0),"Revisar signo",IF(AND(C1982&lt;&gt;"Servicio",H1982&lt;&gt;0),"IVA solo en Servicio",IF(AND(C1982="Servicio",F1982=""),"Falta servicio","OK")))))))))</f>
        <v/>
      </c>
    </row>
    <row r="1983" spans="1:12" ht="22" customHeight="1">
      <c r="A1983" s="3"/>
      <c r="B1983" s="7"/>
      <c r="C1983" s="3"/>
      <c r="D1983" s="3"/>
      <c r="E1983" s="3"/>
      <c r="F1983" s="3"/>
      <c r="G1983" s="4"/>
      <c r="H1983" s="4"/>
      <c r="I1983" s="3"/>
      <c r="J1983" s="3"/>
      <c r="K1983" s="8" t="str">
        <f t="shared" si="30"/>
        <v/>
      </c>
      <c r="L1983" s="1" t="str">
        <f>IF(COUNTA(A1983:J1983)=0,"",IF(OR(AND(C1983&lt;&gt;"Servicio",C1983&lt;&gt;"Cobro",C1983&lt;&gt;"Anticipo",C1983&lt;&gt;"Aplicación anticipo",C1983&lt;&gt;"Retención ISR",C1983&lt;&gt;"Retención IVA"),AND(C1983="Servicio",F1983&lt;&gt;"TMS",F1983&lt;&gt;"Valoración",F1983&lt;&gt;"EEG",F1983&lt;&gt;"Neurofeedback",F1983&lt;&gt;"Fotobiomodulación",F1983&lt;&gt;"Psicoterapia",F1983&lt;&gt;"Otros")),"Tipo o categoría inválido",IF(COUNTA(A1983:J1983)=0,"",IF(OR(A1983="",B1983="",C1983="",G1983=""),"Faltan datos",IF(COUNTIF($A$7:$A$2006,A1983)&gt;1,"ID duplicado",IF(OR(B1983&lt;DATE(Configuración!$C$5,1,1),B1983&gt;=DATE(Configuración!$C$5+1,1,1)),"Fecha fuera del año",IF(OR(G1983&lt;0,H1983&lt;0),"Revisar signo",IF(AND(C1983&lt;&gt;"Servicio",H1983&lt;&gt;0),"IVA solo en Servicio",IF(AND(C1983="Servicio",F1983=""),"Falta servicio","OK")))))))))</f>
        <v/>
      </c>
    </row>
    <row r="1984" spans="1:12" ht="22" customHeight="1">
      <c r="A1984" s="3"/>
      <c r="B1984" s="7"/>
      <c r="C1984" s="3"/>
      <c r="D1984" s="3"/>
      <c r="E1984" s="3"/>
      <c r="F1984" s="3"/>
      <c r="G1984" s="4"/>
      <c r="H1984" s="4"/>
      <c r="I1984" s="3"/>
      <c r="J1984" s="3"/>
      <c r="K1984" s="8" t="str">
        <f t="shared" si="30"/>
        <v/>
      </c>
      <c r="L1984" s="1" t="str">
        <f>IF(COUNTA(A1984:J1984)=0,"",IF(OR(AND(C1984&lt;&gt;"Servicio",C1984&lt;&gt;"Cobro",C1984&lt;&gt;"Anticipo",C1984&lt;&gt;"Aplicación anticipo",C1984&lt;&gt;"Retención ISR",C1984&lt;&gt;"Retención IVA"),AND(C1984="Servicio",F1984&lt;&gt;"TMS",F1984&lt;&gt;"Valoración",F1984&lt;&gt;"EEG",F1984&lt;&gt;"Neurofeedback",F1984&lt;&gt;"Fotobiomodulación",F1984&lt;&gt;"Psicoterapia",F1984&lt;&gt;"Otros")),"Tipo o categoría inválido",IF(COUNTA(A1984:J1984)=0,"",IF(OR(A1984="",B1984="",C1984="",G1984=""),"Faltan datos",IF(COUNTIF($A$7:$A$2006,A1984)&gt;1,"ID duplicado",IF(OR(B1984&lt;DATE(Configuración!$C$5,1,1),B1984&gt;=DATE(Configuración!$C$5+1,1,1)),"Fecha fuera del año",IF(OR(G1984&lt;0,H1984&lt;0),"Revisar signo",IF(AND(C1984&lt;&gt;"Servicio",H1984&lt;&gt;0),"IVA solo en Servicio",IF(AND(C1984="Servicio",F1984=""),"Falta servicio","OK")))))))))</f>
        <v/>
      </c>
    </row>
    <row r="1985" spans="1:12" ht="22" customHeight="1">
      <c r="A1985" s="3"/>
      <c r="B1985" s="7"/>
      <c r="C1985" s="3"/>
      <c r="D1985" s="3"/>
      <c r="E1985" s="3"/>
      <c r="F1985" s="3"/>
      <c r="G1985" s="4"/>
      <c r="H1985" s="4"/>
      <c r="I1985" s="3"/>
      <c r="J1985" s="3"/>
      <c r="K1985" s="8" t="str">
        <f t="shared" si="30"/>
        <v/>
      </c>
      <c r="L1985" s="1" t="str">
        <f>IF(COUNTA(A1985:J1985)=0,"",IF(OR(AND(C1985&lt;&gt;"Servicio",C1985&lt;&gt;"Cobro",C1985&lt;&gt;"Anticipo",C1985&lt;&gt;"Aplicación anticipo",C1985&lt;&gt;"Retención ISR",C1985&lt;&gt;"Retención IVA"),AND(C1985="Servicio",F1985&lt;&gt;"TMS",F1985&lt;&gt;"Valoración",F1985&lt;&gt;"EEG",F1985&lt;&gt;"Neurofeedback",F1985&lt;&gt;"Fotobiomodulación",F1985&lt;&gt;"Psicoterapia",F1985&lt;&gt;"Otros")),"Tipo o categoría inválido",IF(COUNTA(A1985:J1985)=0,"",IF(OR(A1985="",B1985="",C1985="",G1985=""),"Faltan datos",IF(COUNTIF($A$7:$A$2006,A1985)&gt;1,"ID duplicado",IF(OR(B1985&lt;DATE(Configuración!$C$5,1,1),B1985&gt;=DATE(Configuración!$C$5+1,1,1)),"Fecha fuera del año",IF(OR(G1985&lt;0,H1985&lt;0),"Revisar signo",IF(AND(C1985&lt;&gt;"Servicio",H1985&lt;&gt;0),"IVA solo en Servicio",IF(AND(C1985="Servicio",F1985=""),"Falta servicio","OK")))))))))</f>
        <v/>
      </c>
    </row>
    <row r="1986" spans="1:12" ht="22" customHeight="1">
      <c r="A1986" s="3"/>
      <c r="B1986" s="7"/>
      <c r="C1986" s="3"/>
      <c r="D1986" s="3"/>
      <c r="E1986" s="3"/>
      <c r="F1986" s="3"/>
      <c r="G1986" s="4"/>
      <c r="H1986" s="4"/>
      <c r="I1986" s="3"/>
      <c r="J1986" s="3"/>
      <c r="K1986" s="8" t="str">
        <f t="shared" si="30"/>
        <v/>
      </c>
      <c r="L1986" s="1" t="str">
        <f>IF(COUNTA(A1986:J1986)=0,"",IF(OR(AND(C1986&lt;&gt;"Servicio",C1986&lt;&gt;"Cobro",C1986&lt;&gt;"Anticipo",C1986&lt;&gt;"Aplicación anticipo",C1986&lt;&gt;"Retención ISR",C1986&lt;&gt;"Retención IVA"),AND(C1986="Servicio",F1986&lt;&gt;"TMS",F1986&lt;&gt;"Valoración",F1986&lt;&gt;"EEG",F1986&lt;&gt;"Neurofeedback",F1986&lt;&gt;"Fotobiomodulación",F1986&lt;&gt;"Psicoterapia",F1986&lt;&gt;"Otros")),"Tipo o categoría inválido",IF(COUNTA(A1986:J1986)=0,"",IF(OR(A1986="",B1986="",C1986="",G1986=""),"Faltan datos",IF(COUNTIF($A$7:$A$2006,A1986)&gt;1,"ID duplicado",IF(OR(B1986&lt;DATE(Configuración!$C$5,1,1),B1986&gt;=DATE(Configuración!$C$5+1,1,1)),"Fecha fuera del año",IF(OR(G1986&lt;0,H1986&lt;0),"Revisar signo",IF(AND(C1986&lt;&gt;"Servicio",H1986&lt;&gt;0),"IVA solo en Servicio",IF(AND(C1986="Servicio",F1986=""),"Falta servicio","OK")))))))))</f>
        <v/>
      </c>
    </row>
    <row r="1987" spans="1:12" ht="22" customHeight="1">
      <c r="A1987" s="3"/>
      <c r="B1987" s="7"/>
      <c r="C1987" s="3"/>
      <c r="D1987" s="3"/>
      <c r="E1987" s="3"/>
      <c r="F1987" s="3"/>
      <c r="G1987" s="4"/>
      <c r="H1987" s="4"/>
      <c r="I1987" s="3"/>
      <c r="J1987" s="3"/>
      <c r="K1987" s="8" t="str">
        <f t="shared" si="30"/>
        <v/>
      </c>
      <c r="L1987" s="1" t="str">
        <f>IF(COUNTA(A1987:J1987)=0,"",IF(OR(AND(C1987&lt;&gt;"Servicio",C1987&lt;&gt;"Cobro",C1987&lt;&gt;"Anticipo",C1987&lt;&gt;"Aplicación anticipo",C1987&lt;&gt;"Retención ISR",C1987&lt;&gt;"Retención IVA"),AND(C1987="Servicio",F1987&lt;&gt;"TMS",F1987&lt;&gt;"Valoración",F1987&lt;&gt;"EEG",F1987&lt;&gt;"Neurofeedback",F1987&lt;&gt;"Fotobiomodulación",F1987&lt;&gt;"Psicoterapia",F1987&lt;&gt;"Otros")),"Tipo o categoría inválido",IF(COUNTA(A1987:J1987)=0,"",IF(OR(A1987="",B1987="",C1987="",G1987=""),"Faltan datos",IF(COUNTIF($A$7:$A$2006,A1987)&gt;1,"ID duplicado",IF(OR(B1987&lt;DATE(Configuración!$C$5,1,1),B1987&gt;=DATE(Configuración!$C$5+1,1,1)),"Fecha fuera del año",IF(OR(G1987&lt;0,H1987&lt;0),"Revisar signo",IF(AND(C1987&lt;&gt;"Servicio",H1987&lt;&gt;0),"IVA solo en Servicio",IF(AND(C1987="Servicio",F1987=""),"Falta servicio","OK")))))))))</f>
        <v/>
      </c>
    </row>
    <row r="1988" spans="1:12" ht="22" customHeight="1">
      <c r="A1988" s="3"/>
      <c r="B1988" s="7"/>
      <c r="C1988" s="3"/>
      <c r="D1988" s="3"/>
      <c r="E1988" s="3"/>
      <c r="F1988" s="3"/>
      <c r="G1988" s="4"/>
      <c r="H1988" s="4"/>
      <c r="I1988" s="3"/>
      <c r="J1988" s="3"/>
      <c r="K1988" s="8" t="str">
        <f t="shared" si="30"/>
        <v/>
      </c>
      <c r="L1988" s="1" t="str">
        <f>IF(COUNTA(A1988:J1988)=0,"",IF(OR(AND(C1988&lt;&gt;"Servicio",C1988&lt;&gt;"Cobro",C1988&lt;&gt;"Anticipo",C1988&lt;&gt;"Aplicación anticipo",C1988&lt;&gt;"Retención ISR",C1988&lt;&gt;"Retención IVA"),AND(C1988="Servicio",F1988&lt;&gt;"TMS",F1988&lt;&gt;"Valoración",F1988&lt;&gt;"EEG",F1988&lt;&gt;"Neurofeedback",F1988&lt;&gt;"Fotobiomodulación",F1988&lt;&gt;"Psicoterapia",F1988&lt;&gt;"Otros")),"Tipo o categoría inválido",IF(COUNTA(A1988:J1988)=0,"",IF(OR(A1988="",B1988="",C1988="",G1988=""),"Faltan datos",IF(COUNTIF($A$7:$A$2006,A1988)&gt;1,"ID duplicado",IF(OR(B1988&lt;DATE(Configuración!$C$5,1,1),B1988&gt;=DATE(Configuración!$C$5+1,1,1)),"Fecha fuera del año",IF(OR(G1988&lt;0,H1988&lt;0),"Revisar signo",IF(AND(C1988&lt;&gt;"Servicio",H1988&lt;&gt;0),"IVA solo en Servicio",IF(AND(C1988="Servicio",F1988=""),"Falta servicio","OK")))))))))</f>
        <v/>
      </c>
    </row>
    <row r="1989" spans="1:12" ht="22" customHeight="1">
      <c r="A1989" s="3"/>
      <c r="B1989" s="7"/>
      <c r="C1989" s="3"/>
      <c r="D1989" s="3"/>
      <c r="E1989" s="3"/>
      <c r="F1989" s="3"/>
      <c r="G1989" s="4"/>
      <c r="H1989" s="4"/>
      <c r="I1989" s="3"/>
      <c r="J1989" s="3"/>
      <c r="K1989" s="8" t="str">
        <f t="shared" si="30"/>
        <v/>
      </c>
      <c r="L1989" s="1" t="str">
        <f>IF(COUNTA(A1989:J1989)=0,"",IF(OR(AND(C1989&lt;&gt;"Servicio",C1989&lt;&gt;"Cobro",C1989&lt;&gt;"Anticipo",C1989&lt;&gt;"Aplicación anticipo",C1989&lt;&gt;"Retención ISR",C1989&lt;&gt;"Retención IVA"),AND(C1989="Servicio",F1989&lt;&gt;"TMS",F1989&lt;&gt;"Valoración",F1989&lt;&gt;"EEG",F1989&lt;&gt;"Neurofeedback",F1989&lt;&gt;"Fotobiomodulación",F1989&lt;&gt;"Psicoterapia",F1989&lt;&gt;"Otros")),"Tipo o categoría inválido",IF(COUNTA(A1989:J1989)=0,"",IF(OR(A1989="",B1989="",C1989="",G1989=""),"Faltan datos",IF(COUNTIF($A$7:$A$2006,A1989)&gt;1,"ID duplicado",IF(OR(B1989&lt;DATE(Configuración!$C$5,1,1),B1989&gt;=DATE(Configuración!$C$5+1,1,1)),"Fecha fuera del año",IF(OR(G1989&lt;0,H1989&lt;0),"Revisar signo",IF(AND(C1989&lt;&gt;"Servicio",H1989&lt;&gt;0),"IVA solo en Servicio",IF(AND(C1989="Servicio",F1989=""),"Falta servicio","OK")))))))))</f>
        <v/>
      </c>
    </row>
    <row r="1990" spans="1:12" ht="22" customHeight="1">
      <c r="A1990" s="3"/>
      <c r="B1990" s="7"/>
      <c r="C1990" s="3"/>
      <c r="D1990" s="3"/>
      <c r="E1990" s="3"/>
      <c r="F1990" s="3"/>
      <c r="G1990" s="4"/>
      <c r="H1990" s="4"/>
      <c r="I1990" s="3"/>
      <c r="J1990" s="3"/>
      <c r="K1990" s="8" t="str">
        <f t="shared" si="30"/>
        <v/>
      </c>
      <c r="L1990" s="1" t="str">
        <f>IF(COUNTA(A1990:J1990)=0,"",IF(OR(AND(C1990&lt;&gt;"Servicio",C1990&lt;&gt;"Cobro",C1990&lt;&gt;"Anticipo",C1990&lt;&gt;"Aplicación anticipo",C1990&lt;&gt;"Retención ISR",C1990&lt;&gt;"Retención IVA"),AND(C1990="Servicio",F1990&lt;&gt;"TMS",F1990&lt;&gt;"Valoración",F1990&lt;&gt;"EEG",F1990&lt;&gt;"Neurofeedback",F1990&lt;&gt;"Fotobiomodulación",F1990&lt;&gt;"Psicoterapia",F1990&lt;&gt;"Otros")),"Tipo o categoría inválido",IF(COUNTA(A1990:J1990)=0,"",IF(OR(A1990="",B1990="",C1990="",G1990=""),"Faltan datos",IF(COUNTIF($A$7:$A$2006,A1990)&gt;1,"ID duplicado",IF(OR(B1990&lt;DATE(Configuración!$C$5,1,1),B1990&gt;=DATE(Configuración!$C$5+1,1,1)),"Fecha fuera del año",IF(OR(G1990&lt;0,H1990&lt;0),"Revisar signo",IF(AND(C1990&lt;&gt;"Servicio",H1990&lt;&gt;0),"IVA solo en Servicio",IF(AND(C1990="Servicio",F1990=""),"Falta servicio","OK")))))))))</f>
        <v/>
      </c>
    </row>
    <row r="1991" spans="1:12" ht="22" customHeight="1">
      <c r="A1991" s="3"/>
      <c r="B1991" s="7"/>
      <c r="C1991" s="3"/>
      <c r="D1991" s="3"/>
      <c r="E1991" s="3"/>
      <c r="F1991" s="3"/>
      <c r="G1991" s="4"/>
      <c r="H1991" s="4"/>
      <c r="I1991" s="3"/>
      <c r="J1991" s="3"/>
      <c r="K1991" s="8" t="str">
        <f t="shared" ref="K1991:K2006" si="31">IF(A1991="","",G1991+H1991)</f>
        <v/>
      </c>
      <c r="L1991" s="1" t="str">
        <f>IF(COUNTA(A1991:J1991)=0,"",IF(OR(AND(C1991&lt;&gt;"Servicio",C1991&lt;&gt;"Cobro",C1991&lt;&gt;"Anticipo",C1991&lt;&gt;"Aplicación anticipo",C1991&lt;&gt;"Retención ISR",C1991&lt;&gt;"Retención IVA"),AND(C1991="Servicio",F1991&lt;&gt;"TMS",F1991&lt;&gt;"Valoración",F1991&lt;&gt;"EEG",F1991&lt;&gt;"Neurofeedback",F1991&lt;&gt;"Fotobiomodulación",F1991&lt;&gt;"Psicoterapia",F1991&lt;&gt;"Otros")),"Tipo o categoría inválido",IF(COUNTA(A1991:J1991)=0,"",IF(OR(A1991="",B1991="",C1991="",G1991=""),"Faltan datos",IF(COUNTIF($A$7:$A$2006,A1991)&gt;1,"ID duplicado",IF(OR(B1991&lt;DATE(Configuración!$C$5,1,1),B1991&gt;=DATE(Configuración!$C$5+1,1,1)),"Fecha fuera del año",IF(OR(G1991&lt;0,H1991&lt;0),"Revisar signo",IF(AND(C1991&lt;&gt;"Servicio",H1991&lt;&gt;0),"IVA solo en Servicio",IF(AND(C1991="Servicio",F1991=""),"Falta servicio","OK")))))))))</f>
        <v/>
      </c>
    </row>
    <row r="1992" spans="1:12" ht="22" customHeight="1">
      <c r="A1992" s="3"/>
      <c r="B1992" s="7"/>
      <c r="C1992" s="3"/>
      <c r="D1992" s="3"/>
      <c r="E1992" s="3"/>
      <c r="F1992" s="3"/>
      <c r="G1992" s="4"/>
      <c r="H1992" s="4"/>
      <c r="I1992" s="3"/>
      <c r="J1992" s="3"/>
      <c r="K1992" s="8" t="str">
        <f t="shared" si="31"/>
        <v/>
      </c>
      <c r="L1992" s="1" t="str">
        <f>IF(COUNTA(A1992:J1992)=0,"",IF(OR(AND(C1992&lt;&gt;"Servicio",C1992&lt;&gt;"Cobro",C1992&lt;&gt;"Anticipo",C1992&lt;&gt;"Aplicación anticipo",C1992&lt;&gt;"Retención ISR",C1992&lt;&gt;"Retención IVA"),AND(C1992="Servicio",F1992&lt;&gt;"TMS",F1992&lt;&gt;"Valoración",F1992&lt;&gt;"EEG",F1992&lt;&gt;"Neurofeedback",F1992&lt;&gt;"Fotobiomodulación",F1992&lt;&gt;"Psicoterapia",F1992&lt;&gt;"Otros")),"Tipo o categoría inválido",IF(COUNTA(A1992:J1992)=0,"",IF(OR(A1992="",B1992="",C1992="",G1992=""),"Faltan datos",IF(COUNTIF($A$7:$A$2006,A1992)&gt;1,"ID duplicado",IF(OR(B1992&lt;DATE(Configuración!$C$5,1,1),B1992&gt;=DATE(Configuración!$C$5+1,1,1)),"Fecha fuera del año",IF(OR(G1992&lt;0,H1992&lt;0),"Revisar signo",IF(AND(C1992&lt;&gt;"Servicio",H1992&lt;&gt;0),"IVA solo en Servicio",IF(AND(C1992="Servicio",F1992=""),"Falta servicio","OK")))))))))</f>
        <v/>
      </c>
    </row>
    <row r="1993" spans="1:12" ht="22" customHeight="1">
      <c r="A1993" s="3"/>
      <c r="B1993" s="7"/>
      <c r="C1993" s="3"/>
      <c r="D1993" s="3"/>
      <c r="E1993" s="3"/>
      <c r="F1993" s="3"/>
      <c r="G1993" s="4"/>
      <c r="H1993" s="4"/>
      <c r="I1993" s="3"/>
      <c r="J1993" s="3"/>
      <c r="K1993" s="8" t="str">
        <f t="shared" si="31"/>
        <v/>
      </c>
      <c r="L1993" s="1" t="str">
        <f>IF(COUNTA(A1993:J1993)=0,"",IF(OR(AND(C1993&lt;&gt;"Servicio",C1993&lt;&gt;"Cobro",C1993&lt;&gt;"Anticipo",C1993&lt;&gt;"Aplicación anticipo",C1993&lt;&gt;"Retención ISR",C1993&lt;&gt;"Retención IVA"),AND(C1993="Servicio",F1993&lt;&gt;"TMS",F1993&lt;&gt;"Valoración",F1993&lt;&gt;"EEG",F1993&lt;&gt;"Neurofeedback",F1993&lt;&gt;"Fotobiomodulación",F1993&lt;&gt;"Psicoterapia",F1993&lt;&gt;"Otros")),"Tipo o categoría inválido",IF(COUNTA(A1993:J1993)=0,"",IF(OR(A1993="",B1993="",C1993="",G1993=""),"Faltan datos",IF(COUNTIF($A$7:$A$2006,A1993)&gt;1,"ID duplicado",IF(OR(B1993&lt;DATE(Configuración!$C$5,1,1),B1993&gt;=DATE(Configuración!$C$5+1,1,1)),"Fecha fuera del año",IF(OR(G1993&lt;0,H1993&lt;0),"Revisar signo",IF(AND(C1993&lt;&gt;"Servicio",H1993&lt;&gt;0),"IVA solo en Servicio",IF(AND(C1993="Servicio",F1993=""),"Falta servicio","OK")))))))))</f>
        <v/>
      </c>
    </row>
    <row r="1994" spans="1:12" ht="22" customHeight="1">
      <c r="A1994" s="3"/>
      <c r="B1994" s="7"/>
      <c r="C1994" s="3"/>
      <c r="D1994" s="3"/>
      <c r="E1994" s="3"/>
      <c r="F1994" s="3"/>
      <c r="G1994" s="4"/>
      <c r="H1994" s="4"/>
      <c r="I1994" s="3"/>
      <c r="J1994" s="3"/>
      <c r="K1994" s="8" t="str">
        <f t="shared" si="31"/>
        <v/>
      </c>
      <c r="L1994" s="1" t="str">
        <f>IF(COUNTA(A1994:J1994)=0,"",IF(OR(AND(C1994&lt;&gt;"Servicio",C1994&lt;&gt;"Cobro",C1994&lt;&gt;"Anticipo",C1994&lt;&gt;"Aplicación anticipo",C1994&lt;&gt;"Retención ISR",C1994&lt;&gt;"Retención IVA"),AND(C1994="Servicio",F1994&lt;&gt;"TMS",F1994&lt;&gt;"Valoración",F1994&lt;&gt;"EEG",F1994&lt;&gt;"Neurofeedback",F1994&lt;&gt;"Fotobiomodulación",F1994&lt;&gt;"Psicoterapia",F1994&lt;&gt;"Otros")),"Tipo o categoría inválido",IF(COUNTA(A1994:J1994)=0,"",IF(OR(A1994="",B1994="",C1994="",G1994=""),"Faltan datos",IF(COUNTIF($A$7:$A$2006,A1994)&gt;1,"ID duplicado",IF(OR(B1994&lt;DATE(Configuración!$C$5,1,1),B1994&gt;=DATE(Configuración!$C$5+1,1,1)),"Fecha fuera del año",IF(OR(G1994&lt;0,H1994&lt;0),"Revisar signo",IF(AND(C1994&lt;&gt;"Servicio",H1994&lt;&gt;0),"IVA solo en Servicio",IF(AND(C1994="Servicio",F1994=""),"Falta servicio","OK")))))))))</f>
        <v/>
      </c>
    </row>
    <row r="1995" spans="1:12" ht="22" customHeight="1">
      <c r="A1995" s="3"/>
      <c r="B1995" s="7"/>
      <c r="C1995" s="3"/>
      <c r="D1995" s="3"/>
      <c r="E1995" s="3"/>
      <c r="F1995" s="3"/>
      <c r="G1995" s="4"/>
      <c r="H1995" s="4"/>
      <c r="I1995" s="3"/>
      <c r="J1995" s="3"/>
      <c r="K1995" s="8" t="str">
        <f t="shared" si="31"/>
        <v/>
      </c>
      <c r="L1995" s="1" t="str">
        <f>IF(COUNTA(A1995:J1995)=0,"",IF(OR(AND(C1995&lt;&gt;"Servicio",C1995&lt;&gt;"Cobro",C1995&lt;&gt;"Anticipo",C1995&lt;&gt;"Aplicación anticipo",C1995&lt;&gt;"Retención ISR",C1995&lt;&gt;"Retención IVA"),AND(C1995="Servicio",F1995&lt;&gt;"TMS",F1995&lt;&gt;"Valoración",F1995&lt;&gt;"EEG",F1995&lt;&gt;"Neurofeedback",F1995&lt;&gt;"Fotobiomodulación",F1995&lt;&gt;"Psicoterapia",F1995&lt;&gt;"Otros")),"Tipo o categoría inválido",IF(COUNTA(A1995:J1995)=0,"",IF(OR(A1995="",B1995="",C1995="",G1995=""),"Faltan datos",IF(COUNTIF($A$7:$A$2006,A1995)&gt;1,"ID duplicado",IF(OR(B1995&lt;DATE(Configuración!$C$5,1,1),B1995&gt;=DATE(Configuración!$C$5+1,1,1)),"Fecha fuera del año",IF(OR(G1995&lt;0,H1995&lt;0),"Revisar signo",IF(AND(C1995&lt;&gt;"Servicio",H1995&lt;&gt;0),"IVA solo en Servicio",IF(AND(C1995="Servicio",F1995=""),"Falta servicio","OK")))))))))</f>
        <v/>
      </c>
    </row>
    <row r="1996" spans="1:12" ht="22" customHeight="1">
      <c r="A1996" s="3"/>
      <c r="B1996" s="7"/>
      <c r="C1996" s="3"/>
      <c r="D1996" s="3"/>
      <c r="E1996" s="3"/>
      <c r="F1996" s="3"/>
      <c r="G1996" s="4"/>
      <c r="H1996" s="4"/>
      <c r="I1996" s="3"/>
      <c r="J1996" s="3"/>
      <c r="K1996" s="8" t="str">
        <f t="shared" si="31"/>
        <v/>
      </c>
      <c r="L1996" s="1" t="str">
        <f>IF(COUNTA(A1996:J1996)=0,"",IF(OR(AND(C1996&lt;&gt;"Servicio",C1996&lt;&gt;"Cobro",C1996&lt;&gt;"Anticipo",C1996&lt;&gt;"Aplicación anticipo",C1996&lt;&gt;"Retención ISR",C1996&lt;&gt;"Retención IVA"),AND(C1996="Servicio",F1996&lt;&gt;"TMS",F1996&lt;&gt;"Valoración",F1996&lt;&gt;"EEG",F1996&lt;&gt;"Neurofeedback",F1996&lt;&gt;"Fotobiomodulación",F1996&lt;&gt;"Psicoterapia",F1996&lt;&gt;"Otros")),"Tipo o categoría inválido",IF(COUNTA(A1996:J1996)=0,"",IF(OR(A1996="",B1996="",C1996="",G1996=""),"Faltan datos",IF(COUNTIF($A$7:$A$2006,A1996)&gt;1,"ID duplicado",IF(OR(B1996&lt;DATE(Configuración!$C$5,1,1),B1996&gt;=DATE(Configuración!$C$5+1,1,1)),"Fecha fuera del año",IF(OR(G1996&lt;0,H1996&lt;0),"Revisar signo",IF(AND(C1996&lt;&gt;"Servicio",H1996&lt;&gt;0),"IVA solo en Servicio",IF(AND(C1996="Servicio",F1996=""),"Falta servicio","OK")))))))))</f>
        <v/>
      </c>
    </row>
    <row r="1997" spans="1:12" ht="22" customHeight="1">
      <c r="A1997" s="3"/>
      <c r="B1997" s="7"/>
      <c r="C1997" s="3"/>
      <c r="D1997" s="3"/>
      <c r="E1997" s="3"/>
      <c r="F1997" s="3"/>
      <c r="G1997" s="4"/>
      <c r="H1997" s="4"/>
      <c r="I1997" s="3"/>
      <c r="J1997" s="3"/>
      <c r="K1997" s="8" t="str">
        <f t="shared" si="31"/>
        <v/>
      </c>
      <c r="L1997" s="1" t="str">
        <f>IF(COUNTA(A1997:J1997)=0,"",IF(OR(AND(C1997&lt;&gt;"Servicio",C1997&lt;&gt;"Cobro",C1997&lt;&gt;"Anticipo",C1997&lt;&gt;"Aplicación anticipo",C1997&lt;&gt;"Retención ISR",C1997&lt;&gt;"Retención IVA"),AND(C1997="Servicio",F1997&lt;&gt;"TMS",F1997&lt;&gt;"Valoración",F1997&lt;&gt;"EEG",F1997&lt;&gt;"Neurofeedback",F1997&lt;&gt;"Fotobiomodulación",F1997&lt;&gt;"Psicoterapia",F1997&lt;&gt;"Otros")),"Tipo o categoría inválido",IF(COUNTA(A1997:J1997)=0,"",IF(OR(A1997="",B1997="",C1997="",G1997=""),"Faltan datos",IF(COUNTIF($A$7:$A$2006,A1997)&gt;1,"ID duplicado",IF(OR(B1997&lt;DATE(Configuración!$C$5,1,1),B1997&gt;=DATE(Configuración!$C$5+1,1,1)),"Fecha fuera del año",IF(OR(G1997&lt;0,H1997&lt;0),"Revisar signo",IF(AND(C1997&lt;&gt;"Servicio",H1997&lt;&gt;0),"IVA solo en Servicio",IF(AND(C1997="Servicio",F1997=""),"Falta servicio","OK")))))))))</f>
        <v/>
      </c>
    </row>
    <row r="1998" spans="1:12" ht="22" customHeight="1">
      <c r="A1998" s="3"/>
      <c r="B1998" s="7"/>
      <c r="C1998" s="3"/>
      <c r="D1998" s="3"/>
      <c r="E1998" s="3"/>
      <c r="F1998" s="3"/>
      <c r="G1998" s="4"/>
      <c r="H1998" s="4"/>
      <c r="I1998" s="3"/>
      <c r="J1998" s="3"/>
      <c r="K1998" s="8" t="str">
        <f t="shared" si="31"/>
        <v/>
      </c>
      <c r="L1998" s="1" t="str">
        <f>IF(COUNTA(A1998:J1998)=0,"",IF(OR(AND(C1998&lt;&gt;"Servicio",C1998&lt;&gt;"Cobro",C1998&lt;&gt;"Anticipo",C1998&lt;&gt;"Aplicación anticipo",C1998&lt;&gt;"Retención ISR",C1998&lt;&gt;"Retención IVA"),AND(C1998="Servicio",F1998&lt;&gt;"TMS",F1998&lt;&gt;"Valoración",F1998&lt;&gt;"EEG",F1998&lt;&gt;"Neurofeedback",F1998&lt;&gt;"Fotobiomodulación",F1998&lt;&gt;"Psicoterapia",F1998&lt;&gt;"Otros")),"Tipo o categoría inválido",IF(COUNTA(A1998:J1998)=0,"",IF(OR(A1998="",B1998="",C1998="",G1998=""),"Faltan datos",IF(COUNTIF($A$7:$A$2006,A1998)&gt;1,"ID duplicado",IF(OR(B1998&lt;DATE(Configuración!$C$5,1,1),B1998&gt;=DATE(Configuración!$C$5+1,1,1)),"Fecha fuera del año",IF(OR(G1998&lt;0,H1998&lt;0),"Revisar signo",IF(AND(C1998&lt;&gt;"Servicio",H1998&lt;&gt;0),"IVA solo en Servicio",IF(AND(C1998="Servicio",F1998=""),"Falta servicio","OK")))))))))</f>
        <v/>
      </c>
    </row>
    <row r="1999" spans="1:12" ht="22" customHeight="1">
      <c r="A1999" s="3"/>
      <c r="B1999" s="7"/>
      <c r="C1999" s="3"/>
      <c r="D1999" s="3"/>
      <c r="E1999" s="3"/>
      <c r="F1999" s="3"/>
      <c r="G1999" s="4"/>
      <c r="H1999" s="4"/>
      <c r="I1999" s="3"/>
      <c r="J1999" s="3"/>
      <c r="K1999" s="8" t="str">
        <f t="shared" si="31"/>
        <v/>
      </c>
      <c r="L1999" s="1" t="str">
        <f>IF(COUNTA(A1999:J1999)=0,"",IF(OR(AND(C1999&lt;&gt;"Servicio",C1999&lt;&gt;"Cobro",C1999&lt;&gt;"Anticipo",C1999&lt;&gt;"Aplicación anticipo",C1999&lt;&gt;"Retención ISR",C1999&lt;&gt;"Retención IVA"),AND(C1999="Servicio",F1999&lt;&gt;"TMS",F1999&lt;&gt;"Valoración",F1999&lt;&gt;"EEG",F1999&lt;&gt;"Neurofeedback",F1999&lt;&gt;"Fotobiomodulación",F1999&lt;&gt;"Psicoterapia",F1999&lt;&gt;"Otros")),"Tipo o categoría inválido",IF(COUNTA(A1999:J1999)=0,"",IF(OR(A1999="",B1999="",C1999="",G1999=""),"Faltan datos",IF(COUNTIF($A$7:$A$2006,A1999)&gt;1,"ID duplicado",IF(OR(B1999&lt;DATE(Configuración!$C$5,1,1),B1999&gt;=DATE(Configuración!$C$5+1,1,1)),"Fecha fuera del año",IF(OR(G1999&lt;0,H1999&lt;0),"Revisar signo",IF(AND(C1999&lt;&gt;"Servicio",H1999&lt;&gt;0),"IVA solo en Servicio",IF(AND(C1999="Servicio",F1999=""),"Falta servicio","OK")))))))))</f>
        <v/>
      </c>
    </row>
    <row r="2000" spans="1:12" ht="22" customHeight="1">
      <c r="A2000" s="3"/>
      <c r="B2000" s="7"/>
      <c r="C2000" s="3"/>
      <c r="D2000" s="3"/>
      <c r="E2000" s="3"/>
      <c r="F2000" s="3"/>
      <c r="G2000" s="4"/>
      <c r="H2000" s="4"/>
      <c r="I2000" s="3"/>
      <c r="J2000" s="3"/>
      <c r="K2000" s="8" t="str">
        <f t="shared" si="31"/>
        <v/>
      </c>
      <c r="L2000" s="1" t="str">
        <f>IF(COUNTA(A2000:J2000)=0,"",IF(OR(AND(C2000&lt;&gt;"Servicio",C2000&lt;&gt;"Cobro",C2000&lt;&gt;"Anticipo",C2000&lt;&gt;"Aplicación anticipo",C2000&lt;&gt;"Retención ISR",C2000&lt;&gt;"Retención IVA"),AND(C2000="Servicio",F2000&lt;&gt;"TMS",F2000&lt;&gt;"Valoración",F2000&lt;&gt;"EEG",F2000&lt;&gt;"Neurofeedback",F2000&lt;&gt;"Fotobiomodulación",F2000&lt;&gt;"Psicoterapia",F2000&lt;&gt;"Otros")),"Tipo o categoría inválido",IF(COUNTA(A2000:J2000)=0,"",IF(OR(A2000="",B2000="",C2000="",G2000=""),"Faltan datos",IF(COUNTIF($A$7:$A$2006,A2000)&gt;1,"ID duplicado",IF(OR(B2000&lt;DATE(Configuración!$C$5,1,1),B2000&gt;=DATE(Configuración!$C$5+1,1,1)),"Fecha fuera del año",IF(OR(G2000&lt;0,H2000&lt;0),"Revisar signo",IF(AND(C2000&lt;&gt;"Servicio",H2000&lt;&gt;0),"IVA solo en Servicio",IF(AND(C2000="Servicio",F2000=""),"Falta servicio","OK")))))))))</f>
        <v/>
      </c>
    </row>
    <row r="2001" spans="1:12" ht="22" customHeight="1">
      <c r="A2001" s="3"/>
      <c r="B2001" s="7"/>
      <c r="C2001" s="3"/>
      <c r="D2001" s="3"/>
      <c r="E2001" s="3"/>
      <c r="F2001" s="3"/>
      <c r="G2001" s="4"/>
      <c r="H2001" s="4"/>
      <c r="I2001" s="3"/>
      <c r="J2001" s="3"/>
      <c r="K2001" s="8" t="str">
        <f t="shared" si="31"/>
        <v/>
      </c>
      <c r="L2001" s="1" t="str">
        <f>IF(COUNTA(A2001:J2001)=0,"",IF(OR(AND(C2001&lt;&gt;"Servicio",C2001&lt;&gt;"Cobro",C2001&lt;&gt;"Anticipo",C2001&lt;&gt;"Aplicación anticipo",C2001&lt;&gt;"Retención ISR",C2001&lt;&gt;"Retención IVA"),AND(C2001="Servicio",F2001&lt;&gt;"TMS",F2001&lt;&gt;"Valoración",F2001&lt;&gt;"EEG",F2001&lt;&gt;"Neurofeedback",F2001&lt;&gt;"Fotobiomodulación",F2001&lt;&gt;"Psicoterapia",F2001&lt;&gt;"Otros")),"Tipo o categoría inválido",IF(COUNTA(A2001:J2001)=0,"",IF(OR(A2001="",B2001="",C2001="",G2001=""),"Faltan datos",IF(COUNTIF($A$7:$A$2006,A2001)&gt;1,"ID duplicado",IF(OR(B2001&lt;DATE(Configuración!$C$5,1,1),B2001&gt;=DATE(Configuración!$C$5+1,1,1)),"Fecha fuera del año",IF(OR(G2001&lt;0,H2001&lt;0),"Revisar signo",IF(AND(C2001&lt;&gt;"Servicio",H2001&lt;&gt;0),"IVA solo en Servicio",IF(AND(C2001="Servicio",F2001=""),"Falta servicio","OK")))))))))</f>
        <v/>
      </c>
    </row>
    <row r="2002" spans="1:12" ht="22" customHeight="1">
      <c r="A2002" s="3"/>
      <c r="B2002" s="7"/>
      <c r="C2002" s="3"/>
      <c r="D2002" s="3"/>
      <c r="E2002" s="3"/>
      <c r="F2002" s="3"/>
      <c r="G2002" s="4"/>
      <c r="H2002" s="4"/>
      <c r="I2002" s="3"/>
      <c r="J2002" s="3"/>
      <c r="K2002" s="8" t="str">
        <f t="shared" si="31"/>
        <v/>
      </c>
      <c r="L2002" s="1" t="str">
        <f>IF(COUNTA(A2002:J2002)=0,"",IF(OR(AND(C2002&lt;&gt;"Servicio",C2002&lt;&gt;"Cobro",C2002&lt;&gt;"Anticipo",C2002&lt;&gt;"Aplicación anticipo",C2002&lt;&gt;"Retención ISR",C2002&lt;&gt;"Retención IVA"),AND(C2002="Servicio",F2002&lt;&gt;"TMS",F2002&lt;&gt;"Valoración",F2002&lt;&gt;"EEG",F2002&lt;&gt;"Neurofeedback",F2002&lt;&gt;"Fotobiomodulación",F2002&lt;&gt;"Psicoterapia",F2002&lt;&gt;"Otros")),"Tipo o categoría inválido",IF(COUNTA(A2002:J2002)=0,"",IF(OR(A2002="",B2002="",C2002="",G2002=""),"Faltan datos",IF(COUNTIF($A$7:$A$2006,A2002)&gt;1,"ID duplicado",IF(OR(B2002&lt;DATE(Configuración!$C$5,1,1),B2002&gt;=DATE(Configuración!$C$5+1,1,1)),"Fecha fuera del año",IF(OR(G2002&lt;0,H2002&lt;0),"Revisar signo",IF(AND(C2002&lt;&gt;"Servicio",H2002&lt;&gt;0),"IVA solo en Servicio",IF(AND(C2002="Servicio",F2002=""),"Falta servicio","OK")))))))))</f>
        <v/>
      </c>
    </row>
    <row r="2003" spans="1:12" ht="22" customHeight="1">
      <c r="A2003" s="3"/>
      <c r="B2003" s="7"/>
      <c r="C2003" s="3"/>
      <c r="D2003" s="3"/>
      <c r="E2003" s="3"/>
      <c r="F2003" s="3"/>
      <c r="G2003" s="4"/>
      <c r="H2003" s="4"/>
      <c r="I2003" s="3"/>
      <c r="J2003" s="3"/>
      <c r="K2003" s="8" t="str">
        <f t="shared" si="31"/>
        <v/>
      </c>
      <c r="L2003" s="1" t="str">
        <f>IF(COUNTA(A2003:J2003)=0,"",IF(OR(AND(C2003&lt;&gt;"Servicio",C2003&lt;&gt;"Cobro",C2003&lt;&gt;"Anticipo",C2003&lt;&gt;"Aplicación anticipo",C2003&lt;&gt;"Retención ISR",C2003&lt;&gt;"Retención IVA"),AND(C2003="Servicio",F2003&lt;&gt;"TMS",F2003&lt;&gt;"Valoración",F2003&lt;&gt;"EEG",F2003&lt;&gt;"Neurofeedback",F2003&lt;&gt;"Fotobiomodulación",F2003&lt;&gt;"Psicoterapia",F2003&lt;&gt;"Otros")),"Tipo o categoría inválido",IF(COUNTA(A2003:J2003)=0,"",IF(OR(A2003="",B2003="",C2003="",G2003=""),"Faltan datos",IF(COUNTIF($A$7:$A$2006,A2003)&gt;1,"ID duplicado",IF(OR(B2003&lt;DATE(Configuración!$C$5,1,1),B2003&gt;=DATE(Configuración!$C$5+1,1,1)),"Fecha fuera del año",IF(OR(G2003&lt;0,H2003&lt;0),"Revisar signo",IF(AND(C2003&lt;&gt;"Servicio",H2003&lt;&gt;0),"IVA solo en Servicio",IF(AND(C2003="Servicio",F2003=""),"Falta servicio","OK")))))))))</f>
        <v/>
      </c>
    </row>
    <row r="2004" spans="1:12" ht="22" customHeight="1">
      <c r="A2004" s="3"/>
      <c r="B2004" s="7"/>
      <c r="C2004" s="3"/>
      <c r="D2004" s="3"/>
      <c r="E2004" s="3"/>
      <c r="F2004" s="3"/>
      <c r="G2004" s="4"/>
      <c r="H2004" s="4"/>
      <c r="I2004" s="3"/>
      <c r="J2004" s="3"/>
      <c r="K2004" s="8" t="str">
        <f t="shared" si="31"/>
        <v/>
      </c>
      <c r="L2004" s="1" t="str">
        <f>IF(COUNTA(A2004:J2004)=0,"",IF(OR(AND(C2004&lt;&gt;"Servicio",C2004&lt;&gt;"Cobro",C2004&lt;&gt;"Anticipo",C2004&lt;&gt;"Aplicación anticipo",C2004&lt;&gt;"Retención ISR",C2004&lt;&gt;"Retención IVA"),AND(C2004="Servicio",F2004&lt;&gt;"TMS",F2004&lt;&gt;"Valoración",F2004&lt;&gt;"EEG",F2004&lt;&gt;"Neurofeedback",F2004&lt;&gt;"Fotobiomodulación",F2004&lt;&gt;"Psicoterapia",F2004&lt;&gt;"Otros")),"Tipo o categoría inválido",IF(COUNTA(A2004:J2004)=0,"",IF(OR(A2004="",B2004="",C2004="",G2004=""),"Faltan datos",IF(COUNTIF($A$7:$A$2006,A2004)&gt;1,"ID duplicado",IF(OR(B2004&lt;DATE(Configuración!$C$5,1,1),B2004&gt;=DATE(Configuración!$C$5+1,1,1)),"Fecha fuera del año",IF(OR(G2004&lt;0,H2004&lt;0),"Revisar signo",IF(AND(C2004&lt;&gt;"Servicio",H2004&lt;&gt;0),"IVA solo en Servicio",IF(AND(C2004="Servicio",F2004=""),"Falta servicio","OK")))))))))</f>
        <v/>
      </c>
    </row>
    <row r="2005" spans="1:12" ht="22" customHeight="1">
      <c r="A2005" s="3"/>
      <c r="B2005" s="7"/>
      <c r="C2005" s="3"/>
      <c r="D2005" s="3"/>
      <c r="E2005" s="3"/>
      <c r="F2005" s="3"/>
      <c r="G2005" s="4"/>
      <c r="H2005" s="4"/>
      <c r="I2005" s="3"/>
      <c r="J2005" s="3"/>
      <c r="K2005" s="8" t="str">
        <f t="shared" si="31"/>
        <v/>
      </c>
      <c r="L2005" s="1" t="str">
        <f>IF(COUNTA(A2005:J2005)=0,"",IF(OR(AND(C2005&lt;&gt;"Servicio",C2005&lt;&gt;"Cobro",C2005&lt;&gt;"Anticipo",C2005&lt;&gt;"Aplicación anticipo",C2005&lt;&gt;"Retención ISR",C2005&lt;&gt;"Retención IVA"),AND(C2005="Servicio",F2005&lt;&gt;"TMS",F2005&lt;&gt;"Valoración",F2005&lt;&gt;"EEG",F2005&lt;&gt;"Neurofeedback",F2005&lt;&gt;"Fotobiomodulación",F2005&lt;&gt;"Psicoterapia",F2005&lt;&gt;"Otros")),"Tipo o categoría inválido",IF(COUNTA(A2005:J2005)=0,"",IF(OR(A2005="",B2005="",C2005="",G2005=""),"Faltan datos",IF(COUNTIF($A$7:$A$2006,A2005)&gt;1,"ID duplicado",IF(OR(B2005&lt;DATE(Configuración!$C$5,1,1),B2005&gt;=DATE(Configuración!$C$5+1,1,1)),"Fecha fuera del año",IF(OR(G2005&lt;0,H2005&lt;0),"Revisar signo",IF(AND(C2005&lt;&gt;"Servicio",H2005&lt;&gt;0),"IVA solo en Servicio",IF(AND(C2005="Servicio",F2005=""),"Falta servicio","OK")))))))))</f>
        <v/>
      </c>
    </row>
    <row r="2006" spans="1:12" ht="22" customHeight="1">
      <c r="A2006" s="3"/>
      <c r="B2006" s="7"/>
      <c r="C2006" s="3"/>
      <c r="D2006" s="3"/>
      <c r="E2006" s="3"/>
      <c r="F2006" s="3"/>
      <c r="G2006" s="4"/>
      <c r="H2006" s="4"/>
      <c r="I2006" s="3"/>
      <c r="J2006" s="3"/>
      <c r="K2006" s="8" t="str">
        <f t="shared" si="31"/>
        <v/>
      </c>
      <c r="L2006" s="1" t="str">
        <f>IF(COUNTA(A2006:J2006)=0,"",IF(OR(AND(C2006&lt;&gt;"Servicio",C2006&lt;&gt;"Cobro",C2006&lt;&gt;"Anticipo",C2006&lt;&gt;"Aplicación anticipo",C2006&lt;&gt;"Retención ISR",C2006&lt;&gt;"Retención IVA"),AND(C2006="Servicio",F2006&lt;&gt;"TMS",F2006&lt;&gt;"Valoración",F2006&lt;&gt;"EEG",F2006&lt;&gt;"Neurofeedback",F2006&lt;&gt;"Fotobiomodulación",F2006&lt;&gt;"Psicoterapia",F2006&lt;&gt;"Otros")),"Tipo o categoría inválido",IF(COUNTA(A2006:J2006)=0,"",IF(OR(A2006="",B2006="",C2006="",G2006=""),"Faltan datos",IF(COUNTIF($A$7:$A$2006,A2006)&gt;1,"ID duplicado",IF(OR(B2006&lt;DATE(Configuración!$C$5,1,1),B2006&gt;=DATE(Configuración!$C$5+1,1,1)),"Fecha fuera del año",IF(OR(G2006&lt;0,H2006&lt;0),"Revisar signo",IF(AND(C2006&lt;&gt;"Servicio",H2006&lt;&gt;0),"IVA solo en Servicio",IF(AND(C2006="Servicio",F2006=""),"Falta servicio","OK")))))))))</f>
        <v/>
      </c>
    </row>
  </sheetData>
  <conditionalFormatting sqref="L7:L2006">
    <cfRule type="expression" dxfId="4" priority="1">
      <formula>AND($L7&lt;&gt;"",$L7&lt;&gt;"OK")</formula>
    </cfRule>
  </conditionalFormatting>
  <dataValidations count="2">
    <dataValidation type="list" sqref="C7:C2006" xr:uid="{00000000-0002-0000-0600-000000000000}">
      <formula1>"Servicio,Cobro,Anticipo,Aplicación anticipo,Retención ISR,Retención IVA"</formula1>
    </dataValidation>
    <dataValidation type="list" sqref="F7:F2006" xr:uid="{00000000-0002-0000-0600-000001000000}">
      <formula1>"TMS,Valoración,EEG,Neurofeedback,Fotobiomodulación,Psicoterapia,Otros"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C7B78F"/>
  </sheetPr>
  <dimension ref="A1:L2006"/>
  <sheetViews>
    <sheetView showGridLines="0" workbookViewId="0">
      <pane ySplit="6" topLeftCell="A7" activePane="bottomLeft" state="frozen"/>
      <selection pane="bottomLeft" activeCell="C7" sqref="C7"/>
    </sheetView>
  </sheetViews>
  <sheetFormatPr baseColWidth="10" defaultColWidth="8.83203125" defaultRowHeight="15"/>
  <cols>
    <col min="1" max="1" width="19" customWidth="1"/>
    <col min="2" max="2" width="14" customWidth="1"/>
    <col min="3" max="4" width="25" customWidth="1"/>
    <col min="5" max="5" width="24" customWidth="1"/>
    <col min="6" max="6" width="16" customWidth="1"/>
    <col min="7" max="7" width="23" customWidth="1"/>
    <col min="8" max="9" width="19" customWidth="1"/>
    <col min="10" max="10" width="30" customWidth="1"/>
    <col min="11" max="11" width="19" customWidth="1"/>
    <col min="12" max="12" width="30" customWidth="1"/>
    <col min="13" max="14" width="16" customWidth="1"/>
  </cols>
  <sheetData>
    <row r="1" spans="1:12" ht="22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22" customHeight="1">
      <c r="A2" s="2" t="s">
        <v>156</v>
      </c>
      <c r="B2" s="2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22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22" customHeight="1">
      <c r="A4" s="1" t="s">
        <v>157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22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ht="40" customHeight="1">
      <c r="A6" s="6" t="s">
        <v>145</v>
      </c>
      <c r="B6" s="6" t="s">
        <v>146</v>
      </c>
      <c r="C6" s="6" t="s">
        <v>147</v>
      </c>
      <c r="D6" s="6" t="s">
        <v>158</v>
      </c>
      <c r="E6" s="6" t="s">
        <v>159</v>
      </c>
      <c r="F6" s="6" t="s">
        <v>160</v>
      </c>
      <c r="G6" s="6" t="s">
        <v>148</v>
      </c>
      <c r="H6" s="6" t="s">
        <v>151</v>
      </c>
      <c r="I6" s="6" t="s">
        <v>161</v>
      </c>
      <c r="J6" s="6" t="s">
        <v>153</v>
      </c>
      <c r="K6" s="6" t="s">
        <v>154</v>
      </c>
      <c r="L6" s="6" t="s">
        <v>155</v>
      </c>
    </row>
    <row r="7" spans="1:12" ht="22" customHeight="1">
      <c r="A7" s="3"/>
      <c r="B7" s="7"/>
      <c r="C7" s="3"/>
      <c r="D7" s="3"/>
      <c r="E7" s="3"/>
      <c r="F7" s="3"/>
      <c r="G7" s="3"/>
      <c r="H7" s="4"/>
      <c r="I7" s="4"/>
      <c r="J7" s="3"/>
      <c r="K7" s="8" t="str">
        <f t="shared" ref="K7:K70" si="0">IF(A7="","",H7+I7)</f>
        <v/>
      </c>
      <c r="L7" s="1" t="str">
        <f>IF(COUNTA(A7:J7)=0,"",IF(OR(AND(C7&lt;&gt;"Gasto",C7&lt;&gt;"Pago proveedor",C7&lt;&gt;"Retiro familiar",C7&lt;&gt;"Aportación",C7&lt;&gt;"Pago activo",C7&lt;&gt;"ISR devengado",C7&lt;&gt;"Pago ISR",C7&lt;&gt;"Pago IVA",C7&lt;&gt;"Compensación ISR",C7&lt;&gt;"Compensación IVA"),AND(C7="Gasto",D7&lt;&gt;"Costos clínicos",D7&lt;&gt;"Remuneración familiar",D7&lt;&gt;"Nómina y honorarios",D7&lt;&gt;"Renta",D7&lt;&gt;"Marketing",D7&lt;&gt;"Servicios y software",D7&lt;&gt;"Mantenimiento",D7&lt;&gt;"Otros",D7&lt;&gt;"Intereses")),"Tipo o categoría inválido",IF(COUNTA(A7:J7)=0,"",IF(OR(A7="",B7="",C7="",H7=""),"Faltan datos",IF(COUNTIF($A$7:$A$2006,A7)&gt;1,"ID duplicado",IF(OR(B7&lt;DATE(Configuración!$C$5,1,1),B7&gt;=DATE(Configuración!$C$5+1,1,1)),"Fecha fuera del año",IF(OR(H7&lt;0,I7&lt;0),"Revisar signo",IF(AND(C7&lt;&gt;"Gasto",I7&lt;&gt;0),"IVA solo en Gasto",IF(AND(C7="Gasto",D7=""),"Falta categoría","OK")))))))))</f>
        <v/>
      </c>
    </row>
    <row r="8" spans="1:12" ht="22" customHeight="1">
      <c r="A8" s="3"/>
      <c r="B8" s="7"/>
      <c r="C8" s="3"/>
      <c r="D8" s="3"/>
      <c r="E8" s="3"/>
      <c r="F8" s="3"/>
      <c r="G8" s="3"/>
      <c r="H8" s="4"/>
      <c r="I8" s="4"/>
      <c r="J8" s="3"/>
      <c r="K8" s="8" t="str">
        <f t="shared" si="0"/>
        <v/>
      </c>
      <c r="L8" s="1" t="str">
        <f>IF(COUNTA(A8:J8)=0,"",IF(OR(AND(C8&lt;&gt;"Gasto",C8&lt;&gt;"Pago proveedor",C8&lt;&gt;"Retiro familiar",C8&lt;&gt;"Aportación",C8&lt;&gt;"Pago activo",C8&lt;&gt;"ISR devengado",C8&lt;&gt;"Pago ISR",C8&lt;&gt;"Pago IVA",C8&lt;&gt;"Compensación ISR",C8&lt;&gt;"Compensación IVA"),AND(C8="Gasto",D8&lt;&gt;"Costos clínicos",D8&lt;&gt;"Remuneración familiar",D8&lt;&gt;"Nómina y honorarios",D8&lt;&gt;"Renta",D8&lt;&gt;"Marketing",D8&lt;&gt;"Servicios y software",D8&lt;&gt;"Mantenimiento",D8&lt;&gt;"Otros",D8&lt;&gt;"Intereses")),"Tipo o categoría inválido",IF(COUNTA(A8:J8)=0,"",IF(OR(A8="",B8="",C8="",H8=""),"Faltan datos",IF(COUNTIF($A$7:$A$2006,A8)&gt;1,"ID duplicado",IF(OR(B8&lt;DATE(Configuración!$C$5,1,1),B8&gt;=DATE(Configuración!$C$5+1,1,1)),"Fecha fuera del año",IF(OR(H8&lt;0,I8&lt;0),"Revisar signo",IF(AND(C8&lt;&gt;"Gasto",I8&lt;&gt;0),"IVA solo en Gasto",IF(AND(C8="Gasto",D8=""),"Falta categoría","OK")))))))))</f>
        <v/>
      </c>
    </row>
    <row r="9" spans="1:12" ht="22" customHeight="1">
      <c r="A9" s="3"/>
      <c r="B9" s="7"/>
      <c r="C9" s="3"/>
      <c r="D9" s="3"/>
      <c r="E9" s="3"/>
      <c r="F9" s="3"/>
      <c r="G9" s="3"/>
      <c r="H9" s="4"/>
      <c r="I9" s="4"/>
      <c r="J9" s="3"/>
      <c r="K9" s="8" t="str">
        <f t="shared" si="0"/>
        <v/>
      </c>
      <c r="L9" s="1" t="str">
        <f>IF(COUNTA(A9:J9)=0,"",IF(OR(AND(C9&lt;&gt;"Gasto",C9&lt;&gt;"Pago proveedor",C9&lt;&gt;"Retiro familiar",C9&lt;&gt;"Aportación",C9&lt;&gt;"Pago activo",C9&lt;&gt;"ISR devengado",C9&lt;&gt;"Pago ISR",C9&lt;&gt;"Pago IVA",C9&lt;&gt;"Compensación ISR",C9&lt;&gt;"Compensación IVA"),AND(C9="Gasto",D9&lt;&gt;"Costos clínicos",D9&lt;&gt;"Remuneración familiar",D9&lt;&gt;"Nómina y honorarios",D9&lt;&gt;"Renta",D9&lt;&gt;"Marketing",D9&lt;&gt;"Servicios y software",D9&lt;&gt;"Mantenimiento",D9&lt;&gt;"Otros",D9&lt;&gt;"Intereses")),"Tipo o categoría inválido",IF(COUNTA(A9:J9)=0,"",IF(OR(A9="",B9="",C9="",H9=""),"Faltan datos",IF(COUNTIF($A$7:$A$2006,A9)&gt;1,"ID duplicado",IF(OR(B9&lt;DATE(Configuración!$C$5,1,1),B9&gt;=DATE(Configuración!$C$5+1,1,1)),"Fecha fuera del año",IF(OR(H9&lt;0,I9&lt;0),"Revisar signo",IF(AND(C9&lt;&gt;"Gasto",I9&lt;&gt;0),"IVA solo en Gasto",IF(AND(C9="Gasto",D9=""),"Falta categoría","OK")))))))))</f>
        <v/>
      </c>
    </row>
    <row r="10" spans="1:12" ht="22" customHeight="1">
      <c r="A10" s="3"/>
      <c r="B10" s="7"/>
      <c r="C10" s="3"/>
      <c r="D10" s="3"/>
      <c r="E10" s="3"/>
      <c r="F10" s="3"/>
      <c r="G10" s="3"/>
      <c r="H10" s="4"/>
      <c r="I10" s="4"/>
      <c r="J10" s="3"/>
      <c r="K10" s="8" t="str">
        <f t="shared" si="0"/>
        <v/>
      </c>
      <c r="L10" s="1" t="str">
        <f>IF(COUNTA(A10:J10)=0,"",IF(OR(AND(C10&lt;&gt;"Gasto",C10&lt;&gt;"Pago proveedor",C10&lt;&gt;"Retiro familiar",C10&lt;&gt;"Aportación",C10&lt;&gt;"Pago activo",C10&lt;&gt;"ISR devengado",C10&lt;&gt;"Pago ISR",C10&lt;&gt;"Pago IVA",C10&lt;&gt;"Compensación ISR",C10&lt;&gt;"Compensación IVA"),AND(C10="Gasto",D10&lt;&gt;"Costos clínicos",D10&lt;&gt;"Remuneración familiar",D10&lt;&gt;"Nómina y honorarios",D10&lt;&gt;"Renta",D10&lt;&gt;"Marketing",D10&lt;&gt;"Servicios y software",D10&lt;&gt;"Mantenimiento",D10&lt;&gt;"Otros",D10&lt;&gt;"Intereses")),"Tipo o categoría inválido",IF(COUNTA(A10:J10)=0,"",IF(OR(A10="",B10="",C10="",H10=""),"Faltan datos",IF(COUNTIF($A$7:$A$2006,A10)&gt;1,"ID duplicado",IF(OR(B10&lt;DATE(Configuración!$C$5,1,1),B10&gt;=DATE(Configuración!$C$5+1,1,1)),"Fecha fuera del año",IF(OR(H10&lt;0,I10&lt;0),"Revisar signo",IF(AND(C10&lt;&gt;"Gasto",I10&lt;&gt;0),"IVA solo en Gasto",IF(AND(C10="Gasto",D10=""),"Falta categoría","OK")))))))))</f>
        <v/>
      </c>
    </row>
    <row r="11" spans="1:12" ht="22" customHeight="1">
      <c r="A11" s="3"/>
      <c r="B11" s="7"/>
      <c r="C11" s="3"/>
      <c r="D11" s="3"/>
      <c r="E11" s="3"/>
      <c r="F11" s="3"/>
      <c r="G11" s="3"/>
      <c r="H11" s="4"/>
      <c r="I11" s="4"/>
      <c r="J11" s="3"/>
      <c r="K11" s="8" t="str">
        <f t="shared" si="0"/>
        <v/>
      </c>
      <c r="L11" s="1" t="str">
        <f>IF(COUNTA(A11:J11)=0,"",IF(OR(AND(C11&lt;&gt;"Gasto",C11&lt;&gt;"Pago proveedor",C11&lt;&gt;"Retiro familiar",C11&lt;&gt;"Aportación",C11&lt;&gt;"Pago activo",C11&lt;&gt;"ISR devengado",C11&lt;&gt;"Pago ISR",C11&lt;&gt;"Pago IVA",C11&lt;&gt;"Compensación ISR",C11&lt;&gt;"Compensación IVA"),AND(C11="Gasto",D11&lt;&gt;"Costos clínicos",D11&lt;&gt;"Remuneración familiar",D11&lt;&gt;"Nómina y honorarios",D11&lt;&gt;"Renta",D11&lt;&gt;"Marketing",D11&lt;&gt;"Servicios y software",D11&lt;&gt;"Mantenimiento",D11&lt;&gt;"Otros",D11&lt;&gt;"Intereses")),"Tipo o categoría inválido",IF(COUNTA(A11:J11)=0,"",IF(OR(A11="",B11="",C11="",H11=""),"Faltan datos",IF(COUNTIF($A$7:$A$2006,A11)&gt;1,"ID duplicado",IF(OR(B11&lt;DATE(Configuración!$C$5,1,1),B11&gt;=DATE(Configuración!$C$5+1,1,1)),"Fecha fuera del año",IF(OR(H11&lt;0,I11&lt;0),"Revisar signo",IF(AND(C11&lt;&gt;"Gasto",I11&lt;&gt;0),"IVA solo en Gasto",IF(AND(C11="Gasto",D11=""),"Falta categoría","OK")))))))))</f>
        <v/>
      </c>
    </row>
    <row r="12" spans="1:12" ht="22" customHeight="1">
      <c r="A12" s="3"/>
      <c r="B12" s="7"/>
      <c r="C12" s="3"/>
      <c r="D12" s="3"/>
      <c r="E12" s="3"/>
      <c r="F12" s="3"/>
      <c r="G12" s="3"/>
      <c r="H12" s="4"/>
      <c r="I12" s="4"/>
      <c r="J12" s="3"/>
      <c r="K12" s="8" t="str">
        <f t="shared" si="0"/>
        <v/>
      </c>
      <c r="L12" s="1" t="str">
        <f>IF(COUNTA(A12:J12)=0,"",IF(OR(AND(C12&lt;&gt;"Gasto",C12&lt;&gt;"Pago proveedor",C12&lt;&gt;"Retiro familiar",C12&lt;&gt;"Aportación",C12&lt;&gt;"Pago activo",C12&lt;&gt;"ISR devengado",C12&lt;&gt;"Pago ISR",C12&lt;&gt;"Pago IVA",C12&lt;&gt;"Compensación ISR",C12&lt;&gt;"Compensación IVA"),AND(C12="Gasto",D12&lt;&gt;"Costos clínicos",D12&lt;&gt;"Remuneración familiar",D12&lt;&gt;"Nómina y honorarios",D12&lt;&gt;"Renta",D12&lt;&gt;"Marketing",D12&lt;&gt;"Servicios y software",D12&lt;&gt;"Mantenimiento",D12&lt;&gt;"Otros",D12&lt;&gt;"Intereses")),"Tipo o categoría inválido",IF(COUNTA(A12:J12)=0,"",IF(OR(A12="",B12="",C12="",H12=""),"Faltan datos",IF(COUNTIF($A$7:$A$2006,A12)&gt;1,"ID duplicado",IF(OR(B12&lt;DATE(Configuración!$C$5,1,1),B12&gt;=DATE(Configuración!$C$5+1,1,1)),"Fecha fuera del año",IF(OR(H12&lt;0,I12&lt;0),"Revisar signo",IF(AND(C12&lt;&gt;"Gasto",I12&lt;&gt;0),"IVA solo en Gasto",IF(AND(C12="Gasto",D12=""),"Falta categoría","OK")))))))))</f>
        <v/>
      </c>
    </row>
    <row r="13" spans="1:12" ht="22" customHeight="1">
      <c r="A13" s="3"/>
      <c r="B13" s="7"/>
      <c r="C13" s="3"/>
      <c r="D13" s="3"/>
      <c r="E13" s="3"/>
      <c r="F13" s="3"/>
      <c r="G13" s="3"/>
      <c r="H13" s="4"/>
      <c r="I13" s="4"/>
      <c r="J13" s="3"/>
      <c r="K13" s="8" t="str">
        <f t="shared" si="0"/>
        <v/>
      </c>
      <c r="L13" s="1" t="str">
        <f>IF(COUNTA(A13:J13)=0,"",IF(OR(AND(C13&lt;&gt;"Gasto",C13&lt;&gt;"Pago proveedor",C13&lt;&gt;"Retiro familiar",C13&lt;&gt;"Aportación",C13&lt;&gt;"Pago activo",C13&lt;&gt;"ISR devengado",C13&lt;&gt;"Pago ISR",C13&lt;&gt;"Pago IVA",C13&lt;&gt;"Compensación ISR",C13&lt;&gt;"Compensación IVA"),AND(C13="Gasto",D13&lt;&gt;"Costos clínicos",D13&lt;&gt;"Remuneración familiar",D13&lt;&gt;"Nómina y honorarios",D13&lt;&gt;"Renta",D13&lt;&gt;"Marketing",D13&lt;&gt;"Servicios y software",D13&lt;&gt;"Mantenimiento",D13&lt;&gt;"Otros",D13&lt;&gt;"Intereses")),"Tipo o categoría inválido",IF(COUNTA(A13:J13)=0,"",IF(OR(A13="",B13="",C13="",H13=""),"Faltan datos",IF(COUNTIF($A$7:$A$2006,A13)&gt;1,"ID duplicado",IF(OR(B13&lt;DATE(Configuración!$C$5,1,1),B13&gt;=DATE(Configuración!$C$5+1,1,1)),"Fecha fuera del año",IF(OR(H13&lt;0,I13&lt;0),"Revisar signo",IF(AND(C13&lt;&gt;"Gasto",I13&lt;&gt;0),"IVA solo en Gasto",IF(AND(C13="Gasto",D13=""),"Falta categoría","OK")))))))))</f>
        <v/>
      </c>
    </row>
    <row r="14" spans="1:12" ht="22" customHeight="1">
      <c r="A14" s="3"/>
      <c r="B14" s="7"/>
      <c r="C14" s="3"/>
      <c r="D14" s="3"/>
      <c r="E14" s="3"/>
      <c r="F14" s="3"/>
      <c r="G14" s="3"/>
      <c r="H14" s="4"/>
      <c r="I14" s="4"/>
      <c r="J14" s="3"/>
      <c r="K14" s="8" t="str">
        <f t="shared" si="0"/>
        <v/>
      </c>
      <c r="L14" s="1" t="str">
        <f>IF(COUNTA(A14:J14)=0,"",IF(OR(AND(C14&lt;&gt;"Gasto",C14&lt;&gt;"Pago proveedor",C14&lt;&gt;"Retiro familiar",C14&lt;&gt;"Aportación",C14&lt;&gt;"Pago activo",C14&lt;&gt;"ISR devengado",C14&lt;&gt;"Pago ISR",C14&lt;&gt;"Pago IVA",C14&lt;&gt;"Compensación ISR",C14&lt;&gt;"Compensación IVA"),AND(C14="Gasto",D14&lt;&gt;"Costos clínicos",D14&lt;&gt;"Remuneración familiar",D14&lt;&gt;"Nómina y honorarios",D14&lt;&gt;"Renta",D14&lt;&gt;"Marketing",D14&lt;&gt;"Servicios y software",D14&lt;&gt;"Mantenimiento",D14&lt;&gt;"Otros",D14&lt;&gt;"Intereses")),"Tipo o categoría inválido",IF(COUNTA(A14:J14)=0,"",IF(OR(A14="",B14="",C14="",H14=""),"Faltan datos",IF(COUNTIF($A$7:$A$2006,A14)&gt;1,"ID duplicado",IF(OR(B14&lt;DATE(Configuración!$C$5,1,1),B14&gt;=DATE(Configuración!$C$5+1,1,1)),"Fecha fuera del año",IF(OR(H14&lt;0,I14&lt;0),"Revisar signo",IF(AND(C14&lt;&gt;"Gasto",I14&lt;&gt;0),"IVA solo en Gasto",IF(AND(C14="Gasto",D14=""),"Falta categoría","OK")))))))))</f>
        <v/>
      </c>
    </row>
    <row r="15" spans="1:12" ht="22" customHeight="1">
      <c r="A15" s="3"/>
      <c r="B15" s="7"/>
      <c r="C15" s="3"/>
      <c r="D15" s="3"/>
      <c r="E15" s="3"/>
      <c r="F15" s="3"/>
      <c r="G15" s="3"/>
      <c r="H15" s="4"/>
      <c r="I15" s="4"/>
      <c r="J15" s="3"/>
      <c r="K15" s="8" t="str">
        <f t="shared" si="0"/>
        <v/>
      </c>
      <c r="L15" s="1" t="str">
        <f>IF(COUNTA(A15:J15)=0,"",IF(OR(AND(C15&lt;&gt;"Gasto",C15&lt;&gt;"Pago proveedor",C15&lt;&gt;"Retiro familiar",C15&lt;&gt;"Aportación",C15&lt;&gt;"Pago activo",C15&lt;&gt;"ISR devengado",C15&lt;&gt;"Pago ISR",C15&lt;&gt;"Pago IVA",C15&lt;&gt;"Compensación ISR",C15&lt;&gt;"Compensación IVA"),AND(C15="Gasto",D15&lt;&gt;"Costos clínicos",D15&lt;&gt;"Remuneración familiar",D15&lt;&gt;"Nómina y honorarios",D15&lt;&gt;"Renta",D15&lt;&gt;"Marketing",D15&lt;&gt;"Servicios y software",D15&lt;&gt;"Mantenimiento",D15&lt;&gt;"Otros",D15&lt;&gt;"Intereses")),"Tipo o categoría inválido",IF(COUNTA(A15:J15)=0,"",IF(OR(A15="",B15="",C15="",H15=""),"Faltan datos",IF(COUNTIF($A$7:$A$2006,A15)&gt;1,"ID duplicado",IF(OR(B15&lt;DATE(Configuración!$C$5,1,1),B15&gt;=DATE(Configuración!$C$5+1,1,1)),"Fecha fuera del año",IF(OR(H15&lt;0,I15&lt;0),"Revisar signo",IF(AND(C15&lt;&gt;"Gasto",I15&lt;&gt;0),"IVA solo en Gasto",IF(AND(C15="Gasto",D15=""),"Falta categoría","OK")))))))))</f>
        <v/>
      </c>
    </row>
    <row r="16" spans="1:12" ht="22" customHeight="1">
      <c r="A16" s="3"/>
      <c r="B16" s="7"/>
      <c r="C16" s="3"/>
      <c r="D16" s="3"/>
      <c r="E16" s="3"/>
      <c r="F16" s="3"/>
      <c r="G16" s="3"/>
      <c r="H16" s="4"/>
      <c r="I16" s="4"/>
      <c r="J16" s="3"/>
      <c r="K16" s="8" t="str">
        <f t="shared" si="0"/>
        <v/>
      </c>
      <c r="L16" s="1" t="str">
        <f>IF(COUNTA(A16:J16)=0,"",IF(OR(AND(C16&lt;&gt;"Gasto",C16&lt;&gt;"Pago proveedor",C16&lt;&gt;"Retiro familiar",C16&lt;&gt;"Aportación",C16&lt;&gt;"Pago activo",C16&lt;&gt;"ISR devengado",C16&lt;&gt;"Pago ISR",C16&lt;&gt;"Pago IVA",C16&lt;&gt;"Compensación ISR",C16&lt;&gt;"Compensación IVA"),AND(C16="Gasto",D16&lt;&gt;"Costos clínicos",D16&lt;&gt;"Remuneración familiar",D16&lt;&gt;"Nómina y honorarios",D16&lt;&gt;"Renta",D16&lt;&gt;"Marketing",D16&lt;&gt;"Servicios y software",D16&lt;&gt;"Mantenimiento",D16&lt;&gt;"Otros",D16&lt;&gt;"Intereses")),"Tipo o categoría inválido",IF(COUNTA(A16:J16)=0,"",IF(OR(A16="",B16="",C16="",H16=""),"Faltan datos",IF(COUNTIF($A$7:$A$2006,A16)&gt;1,"ID duplicado",IF(OR(B16&lt;DATE(Configuración!$C$5,1,1),B16&gt;=DATE(Configuración!$C$5+1,1,1)),"Fecha fuera del año",IF(OR(H16&lt;0,I16&lt;0),"Revisar signo",IF(AND(C16&lt;&gt;"Gasto",I16&lt;&gt;0),"IVA solo en Gasto",IF(AND(C16="Gasto",D16=""),"Falta categoría","OK")))))))))</f>
        <v/>
      </c>
    </row>
    <row r="17" spans="1:12" ht="22" customHeight="1">
      <c r="A17" s="3"/>
      <c r="B17" s="7"/>
      <c r="C17" s="3"/>
      <c r="D17" s="3"/>
      <c r="E17" s="3"/>
      <c r="F17" s="3"/>
      <c r="G17" s="3"/>
      <c r="H17" s="4"/>
      <c r="I17" s="4"/>
      <c r="J17" s="3"/>
      <c r="K17" s="8" t="str">
        <f t="shared" si="0"/>
        <v/>
      </c>
      <c r="L17" s="1" t="str">
        <f>IF(COUNTA(A17:J17)=0,"",IF(OR(AND(C17&lt;&gt;"Gasto",C17&lt;&gt;"Pago proveedor",C17&lt;&gt;"Retiro familiar",C17&lt;&gt;"Aportación",C17&lt;&gt;"Pago activo",C17&lt;&gt;"ISR devengado",C17&lt;&gt;"Pago ISR",C17&lt;&gt;"Pago IVA",C17&lt;&gt;"Compensación ISR",C17&lt;&gt;"Compensación IVA"),AND(C17="Gasto",D17&lt;&gt;"Costos clínicos",D17&lt;&gt;"Remuneración familiar",D17&lt;&gt;"Nómina y honorarios",D17&lt;&gt;"Renta",D17&lt;&gt;"Marketing",D17&lt;&gt;"Servicios y software",D17&lt;&gt;"Mantenimiento",D17&lt;&gt;"Otros",D17&lt;&gt;"Intereses")),"Tipo o categoría inválido",IF(COUNTA(A17:J17)=0,"",IF(OR(A17="",B17="",C17="",H17=""),"Faltan datos",IF(COUNTIF($A$7:$A$2006,A17)&gt;1,"ID duplicado",IF(OR(B17&lt;DATE(Configuración!$C$5,1,1),B17&gt;=DATE(Configuración!$C$5+1,1,1)),"Fecha fuera del año",IF(OR(H17&lt;0,I17&lt;0),"Revisar signo",IF(AND(C17&lt;&gt;"Gasto",I17&lt;&gt;0),"IVA solo en Gasto",IF(AND(C17="Gasto",D17=""),"Falta categoría","OK")))))))))</f>
        <v/>
      </c>
    </row>
    <row r="18" spans="1:12" ht="22" customHeight="1">
      <c r="A18" s="3"/>
      <c r="B18" s="7"/>
      <c r="C18" s="3"/>
      <c r="D18" s="3"/>
      <c r="E18" s="3"/>
      <c r="F18" s="3"/>
      <c r="G18" s="3"/>
      <c r="H18" s="4"/>
      <c r="I18" s="4"/>
      <c r="J18" s="3"/>
      <c r="K18" s="8" t="str">
        <f t="shared" si="0"/>
        <v/>
      </c>
      <c r="L18" s="1" t="str">
        <f>IF(COUNTA(A18:J18)=0,"",IF(OR(AND(C18&lt;&gt;"Gasto",C18&lt;&gt;"Pago proveedor",C18&lt;&gt;"Retiro familiar",C18&lt;&gt;"Aportación",C18&lt;&gt;"Pago activo",C18&lt;&gt;"ISR devengado",C18&lt;&gt;"Pago ISR",C18&lt;&gt;"Pago IVA",C18&lt;&gt;"Compensación ISR",C18&lt;&gt;"Compensación IVA"),AND(C18="Gasto",D18&lt;&gt;"Costos clínicos",D18&lt;&gt;"Remuneración familiar",D18&lt;&gt;"Nómina y honorarios",D18&lt;&gt;"Renta",D18&lt;&gt;"Marketing",D18&lt;&gt;"Servicios y software",D18&lt;&gt;"Mantenimiento",D18&lt;&gt;"Otros",D18&lt;&gt;"Intereses")),"Tipo o categoría inválido",IF(COUNTA(A18:J18)=0,"",IF(OR(A18="",B18="",C18="",H18=""),"Faltan datos",IF(COUNTIF($A$7:$A$2006,A18)&gt;1,"ID duplicado",IF(OR(B18&lt;DATE(Configuración!$C$5,1,1),B18&gt;=DATE(Configuración!$C$5+1,1,1)),"Fecha fuera del año",IF(OR(H18&lt;0,I18&lt;0),"Revisar signo",IF(AND(C18&lt;&gt;"Gasto",I18&lt;&gt;0),"IVA solo en Gasto",IF(AND(C18="Gasto",D18=""),"Falta categoría","OK")))))))))</f>
        <v/>
      </c>
    </row>
    <row r="19" spans="1:12" ht="22" customHeight="1">
      <c r="A19" s="3"/>
      <c r="B19" s="7"/>
      <c r="C19" s="3"/>
      <c r="D19" s="3"/>
      <c r="E19" s="3"/>
      <c r="F19" s="3"/>
      <c r="G19" s="3"/>
      <c r="H19" s="4"/>
      <c r="I19" s="4"/>
      <c r="J19" s="3"/>
      <c r="K19" s="8" t="str">
        <f t="shared" si="0"/>
        <v/>
      </c>
      <c r="L19" s="1" t="str">
        <f>IF(COUNTA(A19:J19)=0,"",IF(OR(AND(C19&lt;&gt;"Gasto",C19&lt;&gt;"Pago proveedor",C19&lt;&gt;"Retiro familiar",C19&lt;&gt;"Aportación",C19&lt;&gt;"Pago activo",C19&lt;&gt;"ISR devengado",C19&lt;&gt;"Pago ISR",C19&lt;&gt;"Pago IVA",C19&lt;&gt;"Compensación ISR",C19&lt;&gt;"Compensación IVA"),AND(C19="Gasto",D19&lt;&gt;"Costos clínicos",D19&lt;&gt;"Remuneración familiar",D19&lt;&gt;"Nómina y honorarios",D19&lt;&gt;"Renta",D19&lt;&gt;"Marketing",D19&lt;&gt;"Servicios y software",D19&lt;&gt;"Mantenimiento",D19&lt;&gt;"Otros",D19&lt;&gt;"Intereses")),"Tipo o categoría inválido",IF(COUNTA(A19:J19)=0,"",IF(OR(A19="",B19="",C19="",H19=""),"Faltan datos",IF(COUNTIF($A$7:$A$2006,A19)&gt;1,"ID duplicado",IF(OR(B19&lt;DATE(Configuración!$C$5,1,1),B19&gt;=DATE(Configuración!$C$5+1,1,1)),"Fecha fuera del año",IF(OR(H19&lt;0,I19&lt;0),"Revisar signo",IF(AND(C19&lt;&gt;"Gasto",I19&lt;&gt;0),"IVA solo en Gasto",IF(AND(C19="Gasto",D19=""),"Falta categoría","OK")))))))))</f>
        <v/>
      </c>
    </row>
    <row r="20" spans="1:12" ht="22" customHeight="1">
      <c r="A20" s="3"/>
      <c r="B20" s="7"/>
      <c r="C20" s="3"/>
      <c r="D20" s="3"/>
      <c r="E20" s="3"/>
      <c r="F20" s="3"/>
      <c r="G20" s="3"/>
      <c r="H20" s="4"/>
      <c r="I20" s="4"/>
      <c r="J20" s="3"/>
      <c r="K20" s="8" t="str">
        <f t="shared" si="0"/>
        <v/>
      </c>
      <c r="L20" s="1" t="str">
        <f>IF(COUNTA(A20:J20)=0,"",IF(OR(AND(C20&lt;&gt;"Gasto",C20&lt;&gt;"Pago proveedor",C20&lt;&gt;"Retiro familiar",C20&lt;&gt;"Aportación",C20&lt;&gt;"Pago activo",C20&lt;&gt;"ISR devengado",C20&lt;&gt;"Pago ISR",C20&lt;&gt;"Pago IVA",C20&lt;&gt;"Compensación ISR",C20&lt;&gt;"Compensación IVA"),AND(C20="Gasto",D20&lt;&gt;"Costos clínicos",D20&lt;&gt;"Remuneración familiar",D20&lt;&gt;"Nómina y honorarios",D20&lt;&gt;"Renta",D20&lt;&gt;"Marketing",D20&lt;&gt;"Servicios y software",D20&lt;&gt;"Mantenimiento",D20&lt;&gt;"Otros",D20&lt;&gt;"Intereses")),"Tipo o categoría inválido",IF(COUNTA(A20:J20)=0,"",IF(OR(A20="",B20="",C20="",H20=""),"Faltan datos",IF(COUNTIF($A$7:$A$2006,A20)&gt;1,"ID duplicado",IF(OR(B20&lt;DATE(Configuración!$C$5,1,1),B20&gt;=DATE(Configuración!$C$5+1,1,1)),"Fecha fuera del año",IF(OR(H20&lt;0,I20&lt;0),"Revisar signo",IF(AND(C20&lt;&gt;"Gasto",I20&lt;&gt;0),"IVA solo en Gasto",IF(AND(C20="Gasto",D20=""),"Falta categoría","OK")))))))))</f>
        <v/>
      </c>
    </row>
    <row r="21" spans="1:12" ht="22" customHeight="1">
      <c r="A21" s="3"/>
      <c r="B21" s="7"/>
      <c r="C21" s="3"/>
      <c r="D21" s="3"/>
      <c r="E21" s="3"/>
      <c r="F21" s="3"/>
      <c r="G21" s="3"/>
      <c r="H21" s="4"/>
      <c r="I21" s="4"/>
      <c r="J21" s="3"/>
      <c r="K21" s="8" t="str">
        <f t="shared" si="0"/>
        <v/>
      </c>
      <c r="L21" s="1" t="str">
        <f>IF(COUNTA(A21:J21)=0,"",IF(OR(AND(C21&lt;&gt;"Gasto",C21&lt;&gt;"Pago proveedor",C21&lt;&gt;"Retiro familiar",C21&lt;&gt;"Aportación",C21&lt;&gt;"Pago activo",C21&lt;&gt;"ISR devengado",C21&lt;&gt;"Pago ISR",C21&lt;&gt;"Pago IVA",C21&lt;&gt;"Compensación ISR",C21&lt;&gt;"Compensación IVA"),AND(C21="Gasto",D21&lt;&gt;"Costos clínicos",D21&lt;&gt;"Remuneración familiar",D21&lt;&gt;"Nómina y honorarios",D21&lt;&gt;"Renta",D21&lt;&gt;"Marketing",D21&lt;&gt;"Servicios y software",D21&lt;&gt;"Mantenimiento",D21&lt;&gt;"Otros",D21&lt;&gt;"Intereses")),"Tipo o categoría inválido",IF(COUNTA(A21:J21)=0,"",IF(OR(A21="",B21="",C21="",H21=""),"Faltan datos",IF(COUNTIF($A$7:$A$2006,A21)&gt;1,"ID duplicado",IF(OR(B21&lt;DATE(Configuración!$C$5,1,1),B21&gt;=DATE(Configuración!$C$5+1,1,1)),"Fecha fuera del año",IF(OR(H21&lt;0,I21&lt;0),"Revisar signo",IF(AND(C21&lt;&gt;"Gasto",I21&lt;&gt;0),"IVA solo en Gasto",IF(AND(C21="Gasto",D21=""),"Falta categoría","OK")))))))))</f>
        <v/>
      </c>
    </row>
    <row r="22" spans="1:12" ht="22" customHeight="1">
      <c r="A22" s="3"/>
      <c r="B22" s="7"/>
      <c r="C22" s="3"/>
      <c r="D22" s="3"/>
      <c r="E22" s="3"/>
      <c r="F22" s="3"/>
      <c r="G22" s="3"/>
      <c r="H22" s="4"/>
      <c r="I22" s="4"/>
      <c r="J22" s="3"/>
      <c r="K22" s="8" t="str">
        <f t="shared" si="0"/>
        <v/>
      </c>
      <c r="L22" s="1" t="str">
        <f>IF(COUNTA(A22:J22)=0,"",IF(OR(AND(C22&lt;&gt;"Gasto",C22&lt;&gt;"Pago proveedor",C22&lt;&gt;"Retiro familiar",C22&lt;&gt;"Aportación",C22&lt;&gt;"Pago activo",C22&lt;&gt;"ISR devengado",C22&lt;&gt;"Pago ISR",C22&lt;&gt;"Pago IVA",C22&lt;&gt;"Compensación ISR",C22&lt;&gt;"Compensación IVA"),AND(C22="Gasto",D22&lt;&gt;"Costos clínicos",D22&lt;&gt;"Remuneración familiar",D22&lt;&gt;"Nómina y honorarios",D22&lt;&gt;"Renta",D22&lt;&gt;"Marketing",D22&lt;&gt;"Servicios y software",D22&lt;&gt;"Mantenimiento",D22&lt;&gt;"Otros",D22&lt;&gt;"Intereses")),"Tipo o categoría inválido",IF(COUNTA(A22:J22)=0,"",IF(OR(A22="",B22="",C22="",H22=""),"Faltan datos",IF(COUNTIF($A$7:$A$2006,A22)&gt;1,"ID duplicado",IF(OR(B22&lt;DATE(Configuración!$C$5,1,1),B22&gt;=DATE(Configuración!$C$5+1,1,1)),"Fecha fuera del año",IF(OR(H22&lt;0,I22&lt;0),"Revisar signo",IF(AND(C22&lt;&gt;"Gasto",I22&lt;&gt;0),"IVA solo en Gasto",IF(AND(C22="Gasto",D22=""),"Falta categoría","OK")))))))))</f>
        <v/>
      </c>
    </row>
    <row r="23" spans="1:12" ht="22" customHeight="1">
      <c r="A23" s="3"/>
      <c r="B23" s="7"/>
      <c r="C23" s="3"/>
      <c r="D23" s="3"/>
      <c r="E23" s="3"/>
      <c r="F23" s="3"/>
      <c r="G23" s="3"/>
      <c r="H23" s="4"/>
      <c r="I23" s="4"/>
      <c r="J23" s="3"/>
      <c r="K23" s="8" t="str">
        <f t="shared" si="0"/>
        <v/>
      </c>
      <c r="L23" s="1" t="str">
        <f>IF(COUNTA(A23:J23)=0,"",IF(OR(AND(C23&lt;&gt;"Gasto",C23&lt;&gt;"Pago proveedor",C23&lt;&gt;"Retiro familiar",C23&lt;&gt;"Aportación",C23&lt;&gt;"Pago activo",C23&lt;&gt;"ISR devengado",C23&lt;&gt;"Pago ISR",C23&lt;&gt;"Pago IVA",C23&lt;&gt;"Compensación ISR",C23&lt;&gt;"Compensación IVA"),AND(C23="Gasto",D23&lt;&gt;"Costos clínicos",D23&lt;&gt;"Remuneración familiar",D23&lt;&gt;"Nómina y honorarios",D23&lt;&gt;"Renta",D23&lt;&gt;"Marketing",D23&lt;&gt;"Servicios y software",D23&lt;&gt;"Mantenimiento",D23&lt;&gt;"Otros",D23&lt;&gt;"Intereses")),"Tipo o categoría inválido",IF(COUNTA(A23:J23)=0,"",IF(OR(A23="",B23="",C23="",H23=""),"Faltan datos",IF(COUNTIF($A$7:$A$2006,A23)&gt;1,"ID duplicado",IF(OR(B23&lt;DATE(Configuración!$C$5,1,1),B23&gt;=DATE(Configuración!$C$5+1,1,1)),"Fecha fuera del año",IF(OR(H23&lt;0,I23&lt;0),"Revisar signo",IF(AND(C23&lt;&gt;"Gasto",I23&lt;&gt;0),"IVA solo en Gasto",IF(AND(C23="Gasto",D23=""),"Falta categoría","OK")))))))))</f>
        <v/>
      </c>
    </row>
    <row r="24" spans="1:12" ht="22" customHeight="1">
      <c r="A24" s="3"/>
      <c r="B24" s="7"/>
      <c r="C24" s="3"/>
      <c r="D24" s="3"/>
      <c r="E24" s="3"/>
      <c r="F24" s="3"/>
      <c r="G24" s="3"/>
      <c r="H24" s="4"/>
      <c r="I24" s="4"/>
      <c r="J24" s="3"/>
      <c r="K24" s="8" t="str">
        <f t="shared" si="0"/>
        <v/>
      </c>
      <c r="L24" s="1" t="str">
        <f>IF(COUNTA(A24:J24)=0,"",IF(OR(AND(C24&lt;&gt;"Gasto",C24&lt;&gt;"Pago proveedor",C24&lt;&gt;"Retiro familiar",C24&lt;&gt;"Aportación",C24&lt;&gt;"Pago activo",C24&lt;&gt;"ISR devengado",C24&lt;&gt;"Pago ISR",C24&lt;&gt;"Pago IVA",C24&lt;&gt;"Compensación ISR",C24&lt;&gt;"Compensación IVA"),AND(C24="Gasto",D24&lt;&gt;"Costos clínicos",D24&lt;&gt;"Remuneración familiar",D24&lt;&gt;"Nómina y honorarios",D24&lt;&gt;"Renta",D24&lt;&gt;"Marketing",D24&lt;&gt;"Servicios y software",D24&lt;&gt;"Mantenimiento",D24&lt;&gt;"Otros",D24&lt;&gt;"Intereses")),"Tipo o categoría inválido",IF(COUNTA(A24:J24)=0,"",IF(OR(A24="",B24="",C24="",H24=""),"Faltan datos",IF(COUNTIF($A$7:$A$2006,A24)&gt;1,"ID duplicado",IF(OR(B24&lt;DATE(Configuración!$C$5,1,1),B24&gt;=DATE(Configuración!$C$5+1,1,1)),"Fecha fuera del año",IF(OR(H24&lt;0,I24&lt;0),"Revisar signo",IF(AND(C24&lt;&gt;"Gasto",I24&lt;&gt;0),"IVA solo en Gasto",IF(AND(C24="Gasto",D24=""),"Falta categoría","OK")))))))))</f>
        <v/>
      </c>
    </row>
    <row r="25" spans="1:12" ht="22" customHeight="1">
      <c r="A25" s="3"/>
      <c r="B25" s="7"/>
      <c r="C25" s="3"/>
      <c r="D25" s="3"/>
      <c r="E25" s="3"/>
      <c r="F25" s="3"/>
      <c r="G25" s="3"/>
      <c r="H25" s="4"/>
      <c r="I25" s="4"/>
      <c r="J25" s="3"/>
      <c r="K25" s="8" t="str">
        <f t="shared" si="0"/>
        <v/>
      </c>
      <c r="L25" s="1" t="str">
        <f>IF(COUNTA(A25:J25)=0,"",IF(OR(AND(C25&lt;&gt;"Gasto",C25&lt;&gt;"Pago proveedor",C25&lt;&gt;"Retiro familiar",C25&lt;&gt;"Aportación",C25&lt;&gt;"Pago activo",C25&lt;&gt;"ISR devengado",C25&lt;&gt;"Pago ISR",C25&lt;&gt;"Pago IVA",C25&lt;&gt;"Compensación ISR",C25&lt;&gt;"Compensación IVA"),AND(C25="Gasto",D25&lt;&gt;"Costos clínicos",D25&lt;&gt;"Remuneración familiar",D25&lt;&gt;"Nómina y honorarios",D25&lt;&gt;"Renta",D25&lt;&gt;"Marketing",D25&lt;&gt;"Servicios y software",D25&lt;&gt;"Mantenimiento",D25&lt;&gt;"Otros",D25&lt;&gt;"Intereses")),"Tipo o categoría inválido",IF(COUNTA(A25:J25)=0,"",IF(OR(A25="",B25="",C25="",H25=""),"Faltan datos",IF(COUNTIF($A$7:$A$2006,A25)&gt;1,"ID duplicado",IF(OR(B25&lt;DATE(Configuración!$C$5,1,1),B25&gt;=DATE(Configuración!$C$5+1,1,1)),"Fecha fuera del año",IF(OR(H25&lt;0,I25&lt;0),"Revisar signo",IF(AND(C25&lt;&gt;"Gasto",I25&lt;&gt;0),"IVA solo en Gasto",IF(AND(C25="Gasto",D25=""),"Falta categoría","OK")))))))))</f>
        <v/>
      </c>
    </row>
    <row r="26" spans="1:12" ht="22" customHeight="1">
      <c r="A26" s="3"/>
      <c r="B26" s="7"/>
      <c r="C26" s="3"/>
      <c r="D26" s="3"/>
      <c r="E26" s="3"/>
      <c r="F26" s="3"/>
      <c r="G26" s="3"/>
      <c r="H26" s="4"/>
      <c r="I26" s="4"/>
      <c r="J26" s="3"/>
      <c r="K26" s="8" t="str">
        <f t="shared" si="0"/>
        <v/>
      </c>
      <c r="L26" s="1" t="str">
        <f>IF(COUNTA(A26:J26)=0,"",IF(OR(AND(C26&lt;&gt;"Gasto",C26&lt;&gt;"Pago proveedor",C26&lt;&gt;"Retiro familiar",C26&lt;&gt;"Aportación",C26&lt;&gt;"Pago activo",C26&lt;&gt;"ISR devengado",C26&lt;&gt;"Pago ISR",C26&lt;&gt;"Pago IVA",C26&lt;&gt;"Compensación ISR",C26&lt;&gt;"Compensación IVA"),AND(C26="Gasto",D26&lt;&gt;"Costos clínicos",D26&lt;&gt;"Remuneración familiar",D26&lt;&gt;"Nómina y honorarios",D26&lt;&gt;"Renta",D26&lt;&gt;"Marketing",D26&lt;&gt;"Servicios y software",D26&lt;&gt;"Mantenimiento",D26&lt;&gt;"Otros",D26&lt;&gt;"Intereses")),"Tipo o categoría inválido",IF(COUNTA(A26:J26)=0,"",IF(OR(A26="",B26="",C26="",H26=""),"Faltan datos",IF(COUNTIF($A$7:$A$2006,A26)&gt;1,"ID duplicado",IF(OR(B26&lt;DATE(Configuración!$C$5,1,1),B26&gt;=DATE(Configuración!$C$5+1,1,1)),"Fecha fuera del año",IF(OR(H26&lt;0,I26&lt;0),"Revisar signo",IF(AND(C26&lt;&gt;"Gasto",I26&lt;&gt;0),"IVA solo en Gasto",IF(AND(C26="Gasto",D26=""),"Falta categoría","OK")))))))))</f>
        <v/>
      </c>
    </row>
    <row r="27" spans="1:12" ht="22" customHeight="1">
      <c r="A27" s="3"/>
      <c r="B27" s="7"/>
      <c r="C27" s="3"/>
      <c r="D27" s="3"/>
      <c r="E27" s="3"/>
      <c r="F27" s="3"/>
      <c r="G27" s="3"/>
      <c r="H27" s="4"/>
      <c r="I27" s="4"/>
      <c r="J27" s="3"/>
      <c r="K27" s="8" t="str">
        <f t="shared" si="0"/>
        <v/>
      </c>
      <c r="L27" s="1" t="str">
        <f>IF(COUNTA(A27:J27)=0,"",IF(OR(AND(C27&lt;&gt;"Gasto",C27&lt;&gt;"Pago proveedor",C27&lt;&gt;"Retiro familiar",C27&lt;&gt;"Aportación",C27&lt;&gt;"Pago activo",C27&lt;&gt;"ISR devengado",C27&lt;&gt;"Pago ISR",C27&lt;&gt;"Pago IVA",C27&lt;&gt;"Compensación ISR",C27&lt;&gt;"Compensación IVA"),AND(C27="Gasto",D27&lt;&gt;"Costos clínicos",D27&lt;&gt;"Remuneración familiar",D27&lt;&gt;"Nómina y honorarios",D27&lt;&gt;"Renta",D27&lt;&gt;"Marketing",D27&lt;&gt;"Servicios y software",D27&lt;&gt;"Mantenimiento",D27&lt;&gt;"Otros",D27&lt;&gt;"Intereses")),"Tipo o categoría inválido",IF(COUNTA(A27:J27)=0,"",IF(OR(A27="",B27="",C27="",H27=""),"Faltan datos",IF(COUNTIF($A$7:$A$2006,A27)&gt;1,"ID duplicado",IF(OR(B27&lt;DATE(Configuración!$C$5,1,1),B27&gt;=DATE(Configuración!$C$5+1,1,1)),"Fecha fuera del año",IF(OR(H27&lt;0,I27&lt;0),"Revisar signo",IF(AND(C27&lt;&gt;"Gasto",I27&lt;&gt;0),"IVA solo en Gasto",IF(AND(C27="Gasto",D27=""),"Falta categoría","OK")))))))))</f>
        <v/>
      </c>
    </row>
    <row r="28" spans="1:12" ht="22" customHeight="1">
      <c r="A28" s="3"/>
      <c r="B28" s="7"/>
      <c r="C28" s="3"/>
      <c r="D28" s="3"/>
      <c r="E28" s="3"/>
      <c r="F28" s="3"/>
      <c r="G28" s="3"/>
      <c r="H28" s="4"/>
      <c r="I28" s="4"/>
      <c r="J28" s="3"/>
      <c r="K28" s="8" t="str">
        <f t="shared" si="0"/>
        <v/>
      </c>
      <c r="L28" s="1" t="str">
        <f>IF(COUNTA(A28:J28)=0,"",IF(OR(AND(C28&lt;&gt;"Gasto",C28&lt;&gt;"Pago proveedor",C28&lt;&gt;"Retiro familiar",C28&lt;&gt;"Aportación",C28&lt;&gt;"Pago activo",C28&lt;&gt;"ISR devengado",C28&lt;&gt;"Pago ISR",C28&lt;&gt;"Pago IVA",C28&lt;&gt;"Compensación ISR",C28&lt;&gt;"Compensación IVA"),AND(C28="Gasto",D28&lt;&gt;"Costos clínicos",D28&lt;&gt;"Remuneración familiar",D28&lt;&gt;"Nómina y honorarios",D28&lt;&gt;"Renta",D28&lt;&gt;"Marketing",D28&lt;&gt;"Servicios y software",D28&lt;&gt;"Mantenimiento",D28&lt;&gt;"Otros",D28&lt;&gt;"Intereses")),"Tipo o categoría inválido",IF(COUNTA(A28:J28)=0,"",IF(OR(A28="",B28="",C28="",H28=""),"Faltan datos",IF(COUNTIF($A$7:$A$2006,A28)&gt;1,"ID duplicado",IF(OR(B28&lt;DATE(Configuración!$C$5,1,1),B28&gt;=DATE(Configuración!$C$5+1,1,1)),"Fecha fuera del año",IF(OR(H28&lt;0,I28&lt;0),"Revisar signo",IF(AND(C28&lt;&gt;"Gasto",I28&lt;&gt;0),"IVA solo en Gasto",IF(AND(C28="Gasto",D28=""),"Falta categoría","OK")))))))))</f>
        <v/>
      </c>
    </row>
    <row r="29" spans="1:12" ht="22" customHeight="1">
      <c r="A29" s="3"/>
      <c r="B29" s="7"/>
      <c r="C29" s="3"/>
      <c r="D29" s="3"/>
      <c r="E29" s="3"/>
      <c r="F29" s="3"/>
      <c r="G29" s="3"/>
      <c r="H29" s="4"/>
      <c r="I29" s="4"/>
      <c r="J29" s="3"/>
      <c r="K29" s="8" t="str">
        <f t="shared" si="0"/>
        <v/>
      </c>
      <c r="L29" s="1" t="str">
        <f>IF(COUNTA(A29:J29)=0,"",IF(OR(AND(C29&lt;&gt;"Gasto",C29&lt;&gt;"Pago proveedor",C29&lt;&gt;"Retiro familiar",C29&lt;&gt;"Aportación",C29&lt;&gt;"Pago activo",C29&lt;&gt;"ISR devengado",C29&lt;&gt;"Pago ISR",C29&lt;&gt;"Pago IVA",C29&lt;&gt;"Compensación ISR",C29&lt;&gt;"Compensación IVA"),AND(C29="Gasto",D29&lt;&gt;"Costos clínicos",D29&lt;&gt;"Remuneración familiar",D29&lt;&gt;"Nómina y honorarios",D29&lt;&gt;"Renta",D29&lt;&gt;"Marketing",D29&lt;&gt;"Servicios y software",D29&lt;&gt;"Mantenimiento",D29&lt;&gt;"Otros",D29&lt;&gt;"Intereses")),"Tipo o categoría inválido",IF(COUNTA(A29:J29)=0,"",IF(OR(A29="",B29="",C29="",H29=""),"Faltan datos",IF(COUNTIF($A$7:$A$2006,A29)&gt;1,"ID duplicado",IF(OR(B29&lt;DATE(Configuración!$C$5,1,1),B29&gt;=DATE(Configuración!$C$5+1,1,1)),"Fecha fuera del año",IF(OR(H29&lt;0,I29&lt;0),"Revisar signo",IF(AND(C29&lt;&gt;"Gasto",I29&lt;&gt;0),"IVA solo en Gasto",IF(AND(C29="Gasto",D29=""),"Falta categoría","OK")))))))))</f>
        <v/>
      </c>
    </row>
    <row r="30" spans="1:12" ht="22" customHeight="1">
      <c r="A30" s="3"/>
      <c r="B30" s="7"/>
      <c r="C30" s="3"/>
      <c r="D30" s="3"/>
      <c r="E30" s="3"/>
      <c r="F30" s="3"/>
      <c r="G30" s="3"/>
      <c r="H30" s="4"/>
      <c r="I30" s="4"/>
      <c r="J30" s="3"/>
      <c r="K30" s="8" t="str">
        <f t="shared" si="0"/>
        <v/>
      </c>
      <c r="L30" s="1" t="str">
        <f>IF(COUNTA(A30:J30)=0,"",IF(OR(AND(C30&lt;&gt;"Gasto",C30&lt;&gt;"Pago proveedor",C30&lt;&gt;"Retiro familiar",C30&lt;&gt;"Aportación",C30&lt;&gt;"Pago activo",C30&lt;&gt;"ISR devengado",C30&lt;&gt;"Pago ISR",C30&lt;&gt;"Pago IVA",C30&lt;&gt;"Compensación ISR",C30&lt;&gt;"Compensación IVA"),AND(C30="Gasto",D30&lt;&gt;"Costos clínicos",D30&lt;&gt;"Remuneración familiar",D30&lt;&gt;"Nómina y honorarios",D30&lt;&gt;"Renta",D30&lt;&gt;"Marketing",D30&lt;&gt;"Servicios y software",D30&lt;&gt;"Mantenimiento",D30&lt;&gt;"Otros",D30&lt;&gt;"Intereses")),"Tipo o categoría inválido",IF(COUNTA(A30:J30)=0,"",IF(OR(A30="",B30="",C30="",H30=""),"Faltan datos",IF(COUNTIF($A$7:$A$2006,A30)&gt;1,"ID duplicado",IF(OR(B30&lt;DATE(Configuración!$C$5,1,1),B30&gt;=DATE(Configuración!$C$5+1,1,1)),"Fecha fuera del año",IF(OR(H30&lt;0,I30&lt;0),"Revisar signo",IF(AND(C30&lt;&gt;"Gasto",I30&lt;&gt;0),"IVA solo en Gasto",IF(AND(C30="Gasto",D30=""),"Falta categoría","OK")))))))))</f>
        <v/>
      </c>
    </row>
    <row r="31" spans="1:12" ht="22" customHeight="1">
      <c r="A31" s="3"/>
      <c r="B31" s="7"/>
      <c r="C31" s="3"/>
      <c r="D31" s="3"/>
      <c r="E31" s="3"/>
      <c r="F31" s="3"/>
      <c r="G31" s="3"/>
      <c r="H31" s="4"/>
      <c r="I31" s="4"/>
      <c r="J31" s="3"/>
      <c r="K31" s="8" t="str">
        <f t="shared" si="0"/>
        <v/>
      </c>
      <c r="L31" s="1" t="str">
        <f>IF(COUNTA(A31:J31)=0,"",IF(OR(AND(C31&lt;&gt;"Gasto",C31&lt;&gt;"Pago proveedor",C31&lt;&gt;"Retiro familiar",C31&lt;&gt;"Aportación",C31&lt;&gt;"Pago activo",C31&lt;&gt;"ISR devengado",C31&lt;&gt;"Pago ISR",C31&lt;&gt;"Pago IVA",C31&lt;&gt;"Compensación ISR",C31&lt;&gt;"Compensación IVA"),AND(C31="Gasto",D31&lt;&gt;"Costos clínicos",D31&lt;&gt;"Remuneración familiar",D31&lt;&gt;"Nómina y honorarios",D31&lt;&gt;"Renta",D31&lt;&gt;"Marketing",D31&lt;&gt;"Servicios y software",D31&lt;&gt;"Mantenimiento",D31&lt;&gt;"Otros",D31&lt;&gt;"Intereses")),"Tipo o categoría inválido",IF(COUNTA(A31:J31)=0,"",IF(OR(A31="",B31="",C31="",H31=""),"Faltan datos",IF(COUNTIF($A$7:$A$2006,A31)&gt;1,"ID duplicado",IF(OR(B31&lt;DATE(Configuración!$C$5,1,1),B31&gt;=DATE(Configuración!$C$5+1,1,1)),"Fecha fuera del año",IF(OR(H31&lt;0,I31&lt;0),"Revisar signo",IF(AND(C31&lt;&gt;"Gasto",I31&lt;&gt;0),"IVA solo en Gasto",IF(AND(C31="Gasto",D31=""),"Falta categoría","OK")))))))))</f>
        <v/>
      </c>
    </row>
    <row r="32" spans="1:12" ht="22" customHeight="1">
      <c r="A32" s="3"/>
      <c r="B32" s="7"/>
      <c r="C32" s="3"/>
      <c r="D32" s="3"/>
      <c r="E32" s="3"/>
      <c r="F32" s="3"/>
      <c r="G32" s="3"/>
      <c r="H32" s="4"/>
      <c r="I32" s="4"/>
      <c r="J32" s="3"/>
      <c r="K32" s="8" t="str">
        <f t="shared" si="0"/>
        <v/>
      </c>
      <c r="L32" s="1" t="str">
        <f>IF(COUNTA(A32:J32)=0,"",IF(OR(AND(C32&lt;&gt;"Gasto",C32&lt;&gt;"Pago proveedor",C32&lt;&gt;"Retiro familiar",C32&lt;&gt;"Aportación",C32&lt;&gt;"Pago activo",C32&lt;&gt;"ISR devengado",C32&lt;&gt;"Pago ISR",C32&lt;&gt;"Pago IVA",C32&lt;&gt;"Compensación ISR",C32&lt;&gt;"Compensación IVA"),AND(C32="Gasto",D32&lt;&gt;"Costos clínicos",D32&lt;&gt;"Remuneración familiar",D32&lt;&gt;"Nómina y honorarios",D32&lt;&gt;"Renta",D32&lt;&gt;"Marketing",D32&lt;&gt;"Servicios y software",D32&lt;&gt;"Mantenimiento",D32&lt;&gt;"Otros",D32&lt;&gt;"Intereses")),"Tipo o categoría inválido",IF(COUNTA(A32:J32)=0,"",IF(OR(A32="",B32="",C32="",H32=""),"Faltan datos",IF(COUNTIF($A$7:$A$2006,A32)&gt;1,"ID duplicado",IF(OR(B32&lt;DATE(Configuración!$C$5,1,1),B32&gt;=DATE(Configuración!$C$5+1,1,1)),"Fecha fuera del año",IF(OR(H32&lt;0,I32&lt;0),"Revisar signo",IF(AND(C32&lt;&gt;"Gasto",I32&lt;&gt;0),"IVA solo en Gasto",IF(AND(C32="Gasto",D32=""),"Falta categoría","OK")))))))))</f>
        <v/>
      </c>
    </row>
    <row r="33" spans="1:12" ht="22" customHeight="1">
      <c r="A33" s="3"/>
      <c r="B33" s="7"/>
      <c r="C33" s="3"/>
      <c r="D33" s="3"/>
      <c r="E33" s="3"/>
      <c r="F33" s="3"/>
      <c r="G33" s="3"/>
      <c r="H33" s="4"/>
      <c r="I33" s="4"/>
      <c r="J33" s="3"/>
      <c r="K33" s="8" t="str">
        <f t="shared" si="0"/>
        <v/>
      </c>
      <c r="L33" s="1" t="str">
        <f>IF(COUNTA(A33:J33)=0,"",IF(OR(AND(C33&lt;&gt;"Gasto",C33&lt;&gt;"Pago proveedor",C33&lt;&gt;"Retiro familiar",C33&lt;&gt;"Aportación",C33&lt;&gt;"Pago activo",C33&lt;&gt;"ISR devengado",C33&lt;&gt;"Pago ISR",C33&lt;&gt;"Pago IVA",C33&lt;&gt;"Compensación ISR",C33&lt;&gt;"Compensación IVA"),AND(C33="Gasto",D33&lt;&gt;"Costos clínicos",D33&lt;&gt;"Remuneración familiar",D33&lt;&gt;"Nómina y honorarios",D33&lt;&gt;"Renta",D33&lt;&gt;"Marketing",D33&lt;&gt;"Servicios y software",D33&lt;&gt;"Mantenimiento",D33&lt;&gt;"Otros",D33&lt;&gt;"Intereses")),"Tipo o categoría inválido",IF(COUNTA(A33:J33)=0,"",IF(OR(A33="",B33="",C33="",H33=""),"Faltan datos",IF(COUNTIF($A$7:$A$2006,A33)&gt;1,"ID duplicado",IF(OR(B33&lt;DATE(Configuración!$C$5,1,1),B33&gt;=DATE(Configuración!$C$5+1,1,1)),"Fecha fuera del año",IF(OR(H33&lt;0,I33&lt;0),"Revisar signo",IF(AND(C33&lt;&gt;"Gasto",I33&lt;&gt;0),"IVA solo en Gasto",IF(AND(C33="Gasto",D33=""),"Falta categoría","OK")))))))))</f>
        <v/>
      </c>
    </row>
    <row r="34" spans="1:12" ht="22" customHeight="1">
      <c r="A34" s="3"/>
      <c r="B34" s="7"/>
      <c r="C34" s="3"/>
      <c r="D34" s="3"/>
      <c r="E34" s="3"/>
      <c r="F34" s="3"/>
      <c r="G34" s="3"/>
      <c r="H34" s="4"/>
      <c r="I34" s="4"/>
      <c r="J34" s="3"/>
      <c r="K34" s="8" t="str">
        <f t="shared" si="0"/>
        <v/>
      </c>
      <c r="L34" s="1" t="str">
        <f>IF(COUNTA(A34:J34)=0,"",IF(OR(AND(C34&lt;&gt;"Gasto",C34&lt;&gt;"Pago proveedor",C34&lt;&gt;"Retiro familiar",C34&lt;&gt;"Aportación",C34&lt;&gt;"Pago activo",C34&lt;&gt;"ISR devengado",C34&lt;&gt;"Pago ISR",C34&lt;&gt;"Pago IVA",C34&lt;&gt;"Compensación ISR",C34&lt;&gt;"Compensación IVA"),AND(C34="Gasto",D34&lt;&gt;"Costos clínicos",D34&lt;&gt;"Remuneración familiar",D34&lt;&gt;"Nómina y honorarios",D34&lt;&gt;"Renta",D34&lt;&gt;"Marketing",D34&lt;&gt;"Servicios y software",D34&lt;&gt;"Mantenimiento",D34&lt;&gt;"Otros",D34&lt;&gt;"Intereses")),"Tipo o categoría inválido",IF(COUNTA(A34:J34)=0,"",IF(OR(A34="",B34="",C34="",H34=""),"Faltan datos",IF(COUNTIF($A$7:$A$2006,A34)&gt;1,"ID duplicado",IF(OR(B34&lt;DATE(Configuración!$C$5,1,1),B34&gt;=DATE(Configuración!$C$5+1,1,1)),"Fecha fuera del año",IF(OR(H34&lt;0,I34&lt;0),"Revisar signo",IF(AND(C34&lt;&gt;"Gasto",I34&lt;&gt;0),"IVA solo en Gasto",IF(AND(C34="Gasto",D34=""),"Falta categoría","OK")))))))))</f>
        <v/>
      </c>
    </row>
    <row r="35" spans="1:12" ht="22" customHeight="1">
      <c r="A35" s="3"/>
      <c r="B35" s="7"/>
      <c r="C35" s="3"/>
      <c r="D35" s="3"/>
      <c r="E35" s="3"/>
      <c r="F35" s="3"/>
      <c r="G35" s="3"/>
      <c r="H35" s="4"/>
      <c r="I35" s="4"/>
      <c r="J35" s="3"/>
      <c r="K35" s="8" t="str">
        <f t="shared" si="0"/>
        <v/>
      </c>
      <c r="L35" s="1" t="str">
        <f>IF(COUNTA(A35:J35)=0,"",IF(OR(AND(C35&lt;&gt;"Gasto",C35&lt;&gt;"Pago proveedor",C35&lt;&gt;"Retiro familiar",C35&lt;&gt;"Aportación",C35&lt;&gt;"Pago activo",C35&lt;&gt;"ISR devengado",C35&lt;&gt;"Pago ISR",C35&lt;&gt;"Pago IVA",C35&lt;&gt;"Compensación ISR",C35&lt;&gt;"Compensación IVA"),AND(C35="Gasto",D35&lt;&gt;"Costos clínicos",D35&lt;&gt;"Remuneración familiar",D35&lt;&gt;"Nómina y honorarios",D35&lt;&gt;"Renta",D35&lt;&gt;"Marketing",D35&lt;&gt;"Servicios y software",D35&lt;&gt;"Mantenimiento",D35&lt;&gt;"Otros",D35&lt;&gt;"Intereses")),"Tipo o categoría inválido",IF(COUNTA(A35:J35)=0,"",IF(OR(A35="",B35="",C35="",H35=""),"Faltan datos",IF(COUNTIF($A$7:$A$2006,A35)&gt;1,"ID duplicado",IF(OR(B35&lt;DATE(Configuración!$C$5,1,1),B35&gt;=DATE(Configuración!$C$5+1,1,1)),"Fecha fuera del año",IF(OR(H35&lt;0,I35&lt;0),"Revisar signo",IF(AND(C35&lt;&gt;"Gasto",I35&lt;&gt;0),"IVA solo en Gasto",IF(AND(C35="Gasto",D35=""),"Falta categoría","OK")))))))))</f>
        <v/>
      </c>
    </row>
    <row r="36" spans="1:12" ht="22" customHeight="1">
      <c r="A36" s="3"/>
      <c r="B36" s="7"/>
      <c r="C36" s="3"/>
      <c r="D36" s="3"/>
      <c r="E36" s="3"/>
      <c r="F36" s="3"/>
      <c r="G36" s="3"/>
      <c r="H36" s="4"/>
      <c r="I36" s="4"/>
      <c r="J36" s="3"/>
      <c r="K36" s="8" t="str">
        <f t="shared" si="0"/>
        <v/>
      </c>
      <c r="L36" s="1" t="str">
        <f>IF(COUNTA(A36:J36)=0,"",IF(OR(AND(C36&lt;&gt;"Gasto",C36&lt;&gt;"Pago proveedor",C36&lt;&gt;"Retiro familiar",C36&lt;&gt;"Aportación",C36&lt;&gt;"Pago activo",C36&lt;&gt;"ISR devengado",C36&lt;&gt;"Pago ISR",C36&lt;&gt;"Pago IVA",C36&lt;&gt;"Compensación ISR",C36&lt;&gt;"Compensación IVA"),AND(C36="Gasto",D36&lt;&gt;"Costos clínicos",D36&lt;&gt;"Remuneración familiar",D36&lt;&gt;"Nómina y honorarios",D36&lt;&gt;"Renta",D36&lt;&gt;"Marketing",D36&lt;&gt;"Servicios y software",D36&lt;&gt;"Mantenimiento",D36&lt;&gt;"Otros",D36&lt;&gt;"Intereses")),"Tipo o categoría inválido",IF(COUNTA(A36:J36)=0,"",IF(OR(A36="",B36="",C36="",H36=""),"Faltan datos",IF(COUNTIF($A$7:$A$2006,A36)&gt;1,"ID duplicado",IF(OR(B36&lt;DATE(Configuración!$C$5,1,1),B36&gt;=DATE(Configuración!$C$5+1,1,1)),"Fecha fuera del año",IF(OR(H36&lt;0,I36&lt;0),"Revisar signo",IF(AND(C36&lt;&gt;"Gasto",I36&lt;&gt;0),"IVA solo en Gasto",IF(AND(C36="Gasto",D36=""),"Falta categoría","OK")))))))))</f>
        <v/>
      </c>
    </row>
    <row r="37" spans="1:12" ht="22" customHeight="1">
      <c r="A37" s="3"/>
      <c r="B37" s="7"/>
      <c r="C37" s="3"/>
      <c r="D37" s="3"/>
      <c r="E37" s="3"/>
      <c r="F37" s="3"/>
      <c r="G37" s="3"/>
      <c r="H37" s="4"/>
      <c r="I37" s="4"/>
      <c r="J37" s="3"/>
      <c r="K37" s="8" t="str">
        <f t="shared" si="0"/>
        <v/>
      </c>
      <c r="L37" s="1" t="str">
        <f>IF(COUNTA(A37:J37)=0,"",IF(OR(AND(C37&lt;&gt;"Gasto",C37&lt;&gt;"Pago proveedor",C37&lt;&gt;"Retiro familiar",C37&lt;&gt;"Aportación",C37&lt;&gt;"Pago activo",C37&lt;&gt;"ISR devengado",C37&lt;&gt;"Pago ISR",C37&lt;&gt;"Pago IVA",C37&lt;&gt;"Compensación ISR",C37&lt;&gt;"Compensación IVA"),AND(C37="Gasto",D37&lt;&gt;"Costos clínicos",D37&lt;&gt;"Remuneración familiar",D37&lt;&gt;"Nómina y honorarios",D37&lt;&gt;"Renta",D37&lt;&gt;"Marketing",D37&lt;&gt;"Servicios y software",D37&lt;&gt;"Mantenimiento",D37&lt;&gt;"Otros",D37&lt;&gt;"Intereses")),"Tipo o categoría inválido",IF(COUNTA(A37:J37)=0,"",IF(OR(A37="",B37="",C37="",H37=""),"Faltan datos",IF(COUNTIF($A$7:$A$2006,A37)&gt;1,"ID duplicado",IF(OR(B37&lt;DATE(Configuración!$C$5,1,1),B37&gt;=DATE(Configuración!$C$5+1,1,1)),"Fecha fuera del año",IF(OR(H37&lt;0,I37&lt;0),"Revisar signo",IF(AND(C37&lt;&gt;"Gasto",I37&lt;&gt;0),"IVA solo en Gasto",IF(AND(C37="Gasto",D37=""),"Falta categoría","OK")))))))))</f>
        <v/>
      </c>
    </row>
    <row r="38" spans="1:12" ht="22" customHeight="1">
      <c r="A38" s="3"/>
      <c r="B38" s="7"/>
      <c r="C38" s="3"/>
      <c r="D38" s="3"/>
      <c r="E38" s="3"/>
      <c r="F38" s="3"/>
      <c r="G38" s="3"/>
      <c r="H38" s="4"/>
      <c r="I38" s="4"/>
      <c r="J38" s="3"/>
      <c r="K38" s="8" t="str">
        <f t="shared" si="0"/>
        <v/>
      </c>
      <c r="L38" s="1" t="str">
        <f>IF(COUNTA(A38:J38)=0,"",IF(OR(AND(C38&lt;&gt;"Gasto",C38&lt;&gt;"Pago proveedor",C38&lt;&gt;"Retiro familiar",C38&lt;&gt;"Aportación",C38&lt;&gt;"Pago activo",C38&lt;&gt;"ISR devengado",C38&lt;&gt;"Pago ISR",C38&lt;&gt;"Pago IVA",C38&lt;&gt;"Compensación ISR",C38&lt;&gt;"Compensación IVA"),AND(C38="Gasto",D38&lt;&gt;"Costos clínicos",D38&lt;&gt;"Remuneración familiar",D38&lt;&gt;"Nómina y honorarios",D38&lt;&gt;"Renta",D38&lt;&gt;"Marketing",D38&lt;&gt;"Servicios y software",D38&lt;&gt;"Mantenimiento",D38&lt;&gt;"Otros",D38&lt;&gt;"Intereses")),"Tipo o categoría inválido",IF(COUNTA(A38:J38)=0,"",IF(OR(A38="",B38="",C38="",H38=""),"Faltan datos",IF(COUNTIF($A$7:$A$2006,A38)&gt;1,"ID duplicado",IF(OR(B38&lt;DATE(Configuración!$C$5,1,1),B38&gt;=DATE(Configuración!$C$5+1,1,1)),"Fecha fuera del año",IF(OR(H38&lt;0,I38&lt;0),"Revisar signo",IF(AND(C38&lt;&gt;"Gasto",I38&lt;&gt;0),"IVA solo en Gasto",IF(AND(C38="Gasto",D38=""),"Falta categoría","OK")))))))))</f>
        <v/>
      </c>
    </row>
    <row r="39" spans="1:12" ht="22" customHeight="1">
      <c r="A39" s="3"/>
      <c r="B39" s="7"/>
      <c r="C39" s="3"/>
      <c r="D39" s="3"/>
      <c r="E39" s="3"/>
      <c r="F39" s="3"/>
      <c r="G39" s="3"/>
      <c r="H39" s="4"/>
      <c r="I39" s="4"/>
      <c r="J39" s="3"/>
      <c r="K39" s="8" t="str">
        <f t="shared" si="0"/>
        <v/>
      </c>
      <c r="L39" s="1" t="str">
        <f>IF(COUNTA(A39:J39)=0,"",IF(OR(AND(C39&lt;&gt;"Gasto",C39&lt;&gt;"Pago proveedor",C39&lt;&gt;"Retiro familiar",C39&lt;&gt;"Aportación",C39&lt;&gt;"Pago activo",C39&lt;&gt;"ISR devengado",C39&lt;&gt;"Pago ISR",C39&lt;&gt;"Pago IVA",C39&lt;&gt;"Compensación ISR",C39&lt;&gt;"Compensación IVA"),AND(C39="Gasto",D39&lt;&gt;"Costos clínicos",D39&lt;&gt;"Remuneración familiar",D39&lt;&gt;"Nómina y honorarios",D39&lt;&gt;"Renta",D39&lt;&gt;"Marketing",D39&lt;&gt;"Servicios y software",D39&lt;&gt;"Mantenimiento",D39&lt;&gt;"Otros",D39&lt;&gt;"Intereses")),"Tipo o categoría inválido",IF(COUNTA(A39:J39)=0,"",IF(OR(A39="",B39="",C39="",H39=""),"Faltan datos",IF(COUNTIF($A$7:$A$2006,A39)&gt;1,"ID duplicado",IF(OR(B39&lt;DATE(Configuración!$C$5,1,1),B39&gt;=DATE(Configuración!$C$5+1,1,1)),"Fecha fuera del año",IF(OR(H39&lt;0,I39&lt;0),"Revisar signo",IF(AND(C39&lt;&gt;"Gasto",I39&lt;&gt;0),"IVA solo en Gasto",IF(AND(C39="Gasto",D39=""),"Falta categoría","OK")))))))))</f>
        <v/>
      </c>
    </row>
    <row r="40" spans="1:12" ht="22" customHeight="1">
      <c r="A40" s="3"/>
      <c r="B40" s="7"/>
      <c r="C40" s="3"/>
      <c r="D40" s="3"/>
      <c r="E40" s="3"/>
      <c r="F40" s="3"/>
      <c r="G40" s="3"/>
      <c r="H40" s="4"/>
      <c r="I40" s="4"/>
      <c r="J40" s="3"/>
      <c r="K40" s="8" t="str">
        <f t="shared" si="0"/>
        <v/>
      </c>
      <c r="L40" s="1" t="str">
        <f>IF(COUNTA(A40:J40)=0,"",IF(OR(AND(C40&lt;&gt;"Gasto",C40&lt;&gt;"Pago proveedor",C40&lt;&gt;"Retiro familiar",C40&lt;&gt;"Aportación",C40&lt;&gt;"Pago activo",C40&lt;&gt;"ISR devengado",C40&lt;&gt;"Pago ISR",C40&lt;&gt;"Pago IVA",C40&lt;&gt;"Compensación ISR",C40&lt;&gt;"Compensación IVA"),AND(C40="Gasto",D40&lt;&gt;"Costos clínicos",D40&lt;&gt;"Remuneración familiar",D40&lt;&gt;"Nómina y honorarios",D40&lt;&gt;"Renta",D40&lt;&gt;"Marketing",D40&lt;&gt;"Servicios y software",D40&lt;&gt;"Mantenimiento",D40&lt;&gt;"Otros",D40&lt;&gt;"Intereses")),"Tipo o categoría inválido",IF(COUNTA(A40:J40)=0,"",IF(OR(A40="",B40="",C40="",H40=""),"Faltan datos",IF(COUNTIF($A$7:$A$2006,A40)&gt;1,"ID duplicado",IF(OR(B40&lt;DATE(Configuración!$C$5,1,1),B40&gt;=DATE(Configuración!$C$5+1,1,1)),"Fecha fuera del año",IF(OR(H40&lt;0,I40&lt;0),"Revisar signo",IF(AND(C40&lt;&gt;"Gasto",I40&lt;&gt;0),"IVA solo en Gasto",IF(AND(C40="Gasto",D40=""),"Falta categoría","OK")))))))))</f>
        <v/>
      </c>
    </row>
    <row r="41" spans="1:12" ht="22" customHeight="1">
      <c r="A41" s="3"/>
      <c r="B41" s="7"/>
      <c r="C41" s="3"/>
      <c r="D41" s="3"/>
      <c r="E41" s="3"/>
      <c r="F41" s="3"/>
      <c r="G41" s="3"/>
      <c r="H41" s="4"/>
      <c r="I41" s="4"/>
      <c r="J41" s="3"/>
      <c r="K41" s="8" t="str">
        <f t="shared" si="0"/>
        <v/>
      </c>
      <c r="L41" s="1" t="str">
        <f>IF(COUNTA(A41:J41)=0,"",IF(OR(AND(C41&lt;&gt;"Gasto",C41&lt;&gt;"Pago proveedor",C41&lt;&gt;"Retiro familiar",C41&lt;&gt;"Aportación",C41&lt;&gt;"Pago activo",C41&lt;&gt;"ISR devengado",C41&lt;&gt;"Pago ISR",C41&lt;&gt;"Pago IVA",C41&lt;&gt;"Compensación ISR",C41&lt;&gt;"Compensación IVA"),AND(C41="Gasto",D41&lt;&gt;"Costos clínicos",D41&lt;&gt;"Remuneración familiar",D41&lt;&gt;"Nómina y honorarios",D41&lt;&gt;"Renta",D41&lt;&gt;"Marketing",D41&lt;&gt;"Servicios y software",D41&lt;&gt;"Mantenimiento",D41&lt;&gt;"Otros",D41&lt;&gt;"Intereses")),"Tipo o categoría inválido",IF(COUNTA(A41:J41)=0,"",IF(OR(A41="",B41="",C41="",H41=""),"Faltan datos",IF(COUNTIF($A$7:$A$2006,A41)&gt;1,"ID duplicado",IF(OR(B41&lt;DATE(Configuración!$C$5,1,1),B41&gt;=DATE(Configuración!$C$5+1,1,1)),"Fecha fuera del año",IF(OR(H41&lt;0,I41&lt;0),"Revisar signo",IF(AND(C41&lt;&gt;"Gasto",I41&lt;&gt;0),"IVA solo en Gasto",IF(AND(C41="Gasto",D41=""),"Falta categoría","OK")))))))))</f>
        <v/>
      </c>
    </row>
    <row r="42" spans="1:12" ht="22" customHeight="1">
      <c r="A42" s="3"/>
      <c r="B42" s="7"/>
      <c r="C42" s="3"/>
      <c r="D42" s="3"/>
      <c r="E42" s="3"/>
      <c r="F42" s="3"/>
      <c r="G42" s="3"/>
      <c r="H42" s="4"/>
      <c r="I42" s="4"/>
      <c r="J42" s="3"/>
      <c r="K42" s="8" t="str">
        <f t="shared" si="0"/>
        <v/>
      </c>
      <c r="L42" s="1" t="str">
        <f>IF(COUNTA(A42:J42)=0,"",IF(OR(AND(C42&lt;&gt;"Gasto",C42&lt;&gt;"Pago proveedor",C42&lt;&gt;"Retiro familiar",C42&lt;&gt;"Aportación",C42&lt;&gt;"Pago activo",C42&lt;&gt;"ISR devengado",C42&lt;&gt;"Pago ISR",C42&lt;&gt;"Pago IVA",C42&lt;&gt;"Compensación ISR",C42&lt;&gt;"Compensación IVA"),AND(C42="Gasto",D42&lt;&gt;"Costos clínicos",D42&lt;&gt;"Remuneración familiar",D42&lt;&gt;"Nómina y honorarios",D42&lt;&gt;"Renta",D42&lt;&gt;"Marketing",D42&lt;&gt;"Servicios y software",D42&lt;&gt;"Mantenimiento",D42&lt;&gt;"Otros",D42&lt;&gt;"Intereses")),"Tipo o categoría inválido",IF(COUNTA(A42:J42)=0,"",IF(OR(A42="",B42="",C42="",H42=""),"Faltan datos",IF(COUNTIF($A$7:$A$2006,A42)&gt;1,"ID duplicado",IF(OR(B42&lt;DATE(Configuración!$C$5,1,1),B42&gt;=DATE(Configuración!$C$5+1,1,1)),"Fecha fuera del año",IF(OR(H42&lt;0,I42&lt;0),"Revisar signo",IF(AND(C42&lt;&gt;"Gasto",I42&lt;&gt;0),"IVA solo en Gasto",IF(AND(C42="Gasto",D42=""),"Falta categoría","OK")))))))))</f>
        <v/>
      </c>
    </row>
    <row r="43" spans="1:12" ht="22" customHeight="1">
      <c r="A43" s="3"/>
      <c r="B43" s="7"/>
      <c r="C43" s="3"/>
      <c r="D43" s="3"/>
      <c r="E43" s="3"/>
      <c r="F43" s="3"/>
      <c r="G43" s="3"/>
      <c r="H43" s="4"/>
      <c r="I43" s="4"/>
      <c r="J43" s="3"/>
      <c r="K43" s="8" t="str">
        <f t="shared" si="0"/>
        <v/>
      </c>
      <c r="L43" s="1" t="str">
        <f>IF(COUNTA(A43:J43)=0,"",IF(OR(AND(C43&lt;&gt;"Gasto",C43&lt;&gt;"Pago proveedor",C43&lt;&gt;"Retiro familiar",C43&lt;&gt;"Aportación",C43&lt;&gt;"Pago activo",C43&lt;&gt;"ISR devengado",C43&lt;&gt;"Pago ISR",C43&lt;&gt;"Pago IVA",C43&lt;&gt;"Compensación ISR",C43&lt;&gt;"Compensación IVA"),AND(C43="Gasto",D43&lt;&gt;"Costos clínicos",D43&lt;&gt;"Remuneración familiar",D43&lt;&gt;"Nómina y honorarios",D43&lt;&gt;"Renta",D43&lt;&gt;"Marketing",D43&lt;&gt;"Servicios y software",D43&lt;&gt;"Mantenimiento",D43&lt;&gt;"Otros",D43&lt;&gt;"Intereses")),"Tipo o categoría inválido",IF(COUNTA(A43:J43)=0,"",IF(OR(A43="",B43="",C43="",H43=""),"Faltan datos",IF(COUNTIF($A$7:$A$2006,A43)&gt;1,"ID duplicado",IF(OR(B43&lt;DATE(Configuración!$C$5,1,1),B43&gt;=DATE(Configuración!$C$5+1,1,1)),"Fecha fuera del año",IF(OR(H43&lt;0,I43&lt;0),"Revisar signo",IF(AND(C43&lt;&gt;"Gasto",I43&lt;&gt;0),"IVA solo en Gasto",IF(AND(C43="Gasto",D43=""),"Falta categoría","OK")))))))))</f>
        <v/>
      </c>
    </row>
    <row r="44" spans="1:12" ht="22" customHeight="1">
      <c r="A44" s="3"/>
      <c r="B44" s="7"/>
      <c r="C44" s="3"/>
      <c r="D44" s="3"/>
      <c r="E44" s="3"/>
      <c r="F44" s="3"/>
      <c r="G44" s="3"/>
      <c r="H44" s="4"/>
      <c r="I44" s="4"/>
      <c r="J44" s="3"/>
      <c r="K44" s="8" t="str">
        <f t="shared" si="0"/>
        <v/>
      </c>
      <c r="L44" s="1" t="str">
        <f>IF(COUNTA(A44:J44)=0,"",IF(OR(AND(C44&lt;&gt;"Gasto",C44&lt;&gt;"Pago proveedor",C44&lt;&gt;"Retiro familiar",C44&lt;&gt;"Aportación",C44&lt;&gt;"Pago activo",C44&lt;&gt;"ISR devengado",C44&lt;&gt;"Pago ISR",C44&lt;&gt;"Pago IVA",C44&lt;&gt;"Compensación ISR",C44&lt;&gt;"Compensación IVA"),AND(C44="Gasto",D44&lt;&gt;"Costos clínicos",D44&lt;&gt;"Remuneración familiar",D44&lt;&gt;"Nómina y honorarios",D44&lt;&gt;"Renta",D44&lt;&gt;"Marketing",D44&lt;&gt;"Servicios y software",D44&lt;&gt;"Mantenimiento",D44&lt;&gt;"Otros",D44&lt;&gt;"Intereses")),"Tipo o categoría inválido",IF(COUNTA(A44:J44)=0,"",IF(OR(A44="",B44="",C44="",H44=""),"Faltan datos",IF(COUNTIF($A$7:$A$2006,A44)&gt;1,"ID duplicado",IF(OR(B44&lt;DATE(Configuración!$C$5,1,1),B44&gt;=DATE(Configuración!$C$5+1,1,1)),"Fecha fuera del año",IF(OR(H44&lt;0,I44&lt;0),"Revisar signo",IF(AND(C44&lt;&gt;"Gasto",I44&lt;&gt;0),"IVA solo en Gasto",IF(AND(C44="Gasto",D44=""),"Falta categoría","OK")))))))))</f>
        <v/>
      </c>
    </row>
    <row r="45" spans="1:12" ht="22" customHeight="1">
      <c r="A45" s="3"/>
      <c r="B45" s="7"/>
      <c r="C45" s="3"/>
      <c r="D45" s="3"/>
      <c r="E45" s="3"/>
      <c r="F45" s="3"/>
      <c r="G45" s="3"/>
      <c r="H45" s="4"/>
      <c r="I45" s="4"/>
      <c r="J45" s="3"/>
      <c r="K45" s="8" t="str">
        <f t="shared" si="0"/>
        <v/>
      </c>
      <c r="L45" s="1" t="str">
        <f>IF(COUNTA(A45:J45)=0,"",IF(OR(AND(C45&lt;&gt;"Gasto",C45&lt;&gt;"Pago proveedor",C45&lt;&gt;"Retiro familiar",C45&lt;&gt;"Aportación",C45&lt;&gt;"Pago activo",C45&lt;&gt;"ISR devengado",C45&lt;&gt;"Pago ISR",C45&lt;&gt;"Pago IVA",C45&lt;&gt;"Compensación ISR",C45&lt;&gt;"Compensación IVA"),AND(C45="Gasto",D45&lt;&gt;"Costos clínicos",D45&lt;&gt;"Remuneración familiar",D45&lt;&gt;"Nómina y honorarios",D45&lt;&gt;"Renta",D45&lt;&gt;"Marketing",D45&lt;&gt;"Servicios y software",D45&lt;&gt;"Mantenimiento",D45&lt;&gt;"Otros",D45&lt;&gt;"Intereses")),"Tipo o categoría inválido",IF(COUNTA(A45:J45)=0,"",IF(OR(A45="",B45="",C45="",H45=""),"Faltan datos",IF(COUNTIF($A$7:$A$2006,A45)&gt;1,"ID duplicado",IF(OR(B45&lt;DATE(Configuración!$C$5,1,1),B45&gt;=DATE(Configuración!$C$5+1,1,1)),"Fecha fuera del año",IF(OR(H45&lt;0,I45&lt;0),"Revisar signo",IF(AND(C45&lt;&gt;"Gasto",I45&lt;&gt;0),"IVA solo en Gasto",IF(AND(C45="Gasto",D45=""),"Falta categoría","OK")))))))))</f>
        <v/>
      </c>
    </row>
    <row r="46" spans="1:12" ht="22" customHeight="1">
      <c r="A46" s="3"/>
      <c r="B46" s="7"/>
      <c r="C46" s="3"/>
      <c r="D46" s="3"/>
      <c r="E46" s="3"/>
      <c r="F46" s="3"/>
      <c r="G46" s="3"/>
      <c r="H46" s="4"/>
      <c r="I46" s="4"/>
      <c r="J46" s="3"/>
      <c r="K46" s="8" t="str">
        <f t="shared" si="0"/>
        <v/>
      </c>
      <c r="L46" s="1" t="str">
        <f>IF(COUNTA(A46:J46)=0,"",IF(OR(AND(C46&lt;&gt;"Gasto",C46&lt;&gt;"Pago proveedor",C46&lt;&gt;"Retiro familiar",C46&lt;&gt;"Aportación",C46&lt;&gt;"Pago activo",C46&lt;&gt;"ISR devengado",C46&lt;&gt;"Pago ISR",C46&lt;&gt;"Pago IVA",C46&lt;&gt;"Compensación ISR",C46&lt;&gt;"Compensación IVA"),AND(C46="Gasto",D46&lt;&gt;"Costos clínicos",D46&lt;&gt;"Remuneración familiar",D46&lt;&gt;"Nómina y honorarios",D46&lt;&gt;"Renta",D46&lt;&gt;"Marketing",D46&lt;&gt;"Servicios y software",D46&lt;&gt;"Mantenimiento",D46&lt;&gt;"Otros",D46&lt;&gt;"Intereses")),"Tipo o categoría inválido",IF(COUNTA(A46:J46)=0,"",IF(OR(A46="",B46="",C46="",H46=""),"Faltan datos",IF(COUNTIF($A$7:$A$2006,A46)&gt;1,"ID duplicado",IF(OR(B46&lt;DATE(Configuración!$C$5,1,1),B46&gt;=DATE(Configuración!$C$5+1,1,1)),"Fecha fuera del año",IF(OR(H46&lt;0,I46&lt;0),"Revisar signo",IF(AND(C46&lt;&gt;"Gasto",I46&lt;&gt;0),"IVA solo en Gasto",IF(AND(C46="Gasto",D46=""),"Falta categoría","OK")))))))))</f>
        <v/>
      </c>
    </row>
    <row r="47" spans="1:12" ht="22" customHeight="1">
      <c r="A47" s="3"/>
      <c r="B47" s="7"/>
      <c r="C47" s="3"/>
      <c r="D47" s="3"/>
      <c r="E47" s="3"/>
      <c r="F47" s="3"/>
      <c r="G47" s="3"/>
      <c r="H47" s="4"/>
      <c r="I47" s="4"/>
      <c r="J47" s="3"/>
      <c r="K47" s="8" t="str">
        <f t="shared" si="0"/>
        <v/>
      </c>
      <c r="L47" s="1" t="str">
        <f>IF(COUNTA(A47:J47)=0,"",IF(OR(AND(C47&lt;&gt;"Gasto",C47&lt;&gt;"Pago proveedor",C47&lt;&gt;"Retiro familiar",C47&lt;&gt;"Aportación",C47&lt;&gt;"Pago activo",C47&lt;&gt;"ISR devengado",C47&lt;&gt;"Pago ISR",C47&lt;&gt;"Pago IVA",C47&lt;&gt;"Compensación ISR",C47&lt;&gt;"Compensación IVA"),AND(C47="Gasto",D47&lt;&gt;"Costos clínicos",D47&lt;&gt;"Remuneración familiar",D47&lt;&gt;"Nómina y honorarios",D47&lt;&gt;"Renta",D47&lt;&gt;"Marketing",D47&lt;&gt;"Servicios y software",D47&lt;&gt;"Mantenimiento",D47&lt;&gt;"Otros",D47&lt;&gt;"Intereses")),"Tipo o categoría inválido",IF(COUNTA(A47:J47)=0,"",IF(OR(A47="",B47="",C47="",H47=""),"Faltan datos",IF(COUNTIF($A$7:$A$2006,A47)&gt;1,"ID duplicado",IF(OR(B47&lt;DATE(Configuración!$C$5,1,1),B47&gt;=DATE(Configuración!$C$5+1,1,1)),"Fecha fuera del año",IF(OR(H47&lt;0,I47&lt;0),"Revisar signo",IF(AND(C47&lt;&gt;"Gasto",I47&lt;&gt;0),"IVA solo en Gasto",IF(AND(C47="Gasto",D47=""),"Falta categoría","OK")))))))))</f>
        <v/>
      </c>
    </row>
    <row r="48" spans="1:12" ht="22" customHeight="1">
      <c r="A48" s="3"/>
      <c r="B48" s="7"/>
      <c r="C48" s="3"/>
      <c r="D48" s="3"/>
      <c r="E48" s="3"/>
      <c r="F48" s="3"/>
      <c r="G48" s="3"/>
      <c r="H48" s="4"/>
      <c r="I48" s="4"/>
      <c r="J48" s="3"/>
      <c r="K48" s="8" t="str">
        <f t="shared" si="0"/>
        <v/>
      </c>
      <c r="L48" s="1" t="str">
        <f>IF(COUNTA(A48:J48)=0,"",IF(OR(AND(C48&lt;&gt;"Gasto",C48&lt;&gt;"Pago proveedor",C48&lt;&gt;"Retiro familiar",C48&lt;&gt;"Aportación",C48&lt;&gt;"Pago activo",C48&lt;&gt;"ISR devengado",C48&lt;&gt;"Pago ISR",C48&lt;&gt;"Pago IVA",C48&lt;&gt;"Compensación ISR",C48&lt;&gt;"Compensación IVA"),AND(C48="Gasto",D48&lt;&gt;"Costos clínicos",D48&lt;&gt;"Remuneración familiar",D48&lt;&gt;"Nómina y honorarios",D48&lt;&gt;"Renta",D48&lt;&gt;"Marketing",D48&lt;&gt;"Servicios y software",D48&lt;&gt;"Mantenimiento",D48&lt;&gt;"Otros",D48&lt;&gt;"Intereses")),"Tipo o categoría inválido",IF(COUNTA(A48:J48)=0,"",IF(OR(A48="",B48="",C48="",H48=""),"Faltan datos",IF(COUNTIF($A$7:$A$2006,A48)&gt;1,"ID duplicado",IF(OR(B48&lt;DATE(Configuración!$C$5,1,1),B48&gt;=DATE(Configuración!$C$5+1,1,1)),"Fecha fuera del año",IF(OR(H48&lt;0,I48&lt;0),"Revisar signo",IF(AND(C48&lt;&gt;"Gasto",I48&lt;&gt;0),"IVA solo en Gasto",IF(AND(C48="Gasto",D48=""),"Falta categoría","OK")))))))))</f>
        <v/>
      </c>
    </row>
    <row r="49" spans="1:12" ht="22" customHeight="1">
      <c r="A49" s="3"/>
      <c r="B49" s="7"/>
      <c r="C49" s="3"/>
      <c r="D49" s="3"/>
      <c r="E49" s="3"/>
      <c r="F49" s="3"/>
      <c r="G49" s="3"/>
      <c r="H49" s="4"/>
      <c r="I49" s="4"/>
      <c r="J49" s="3"/>
      <c r="K49" s="8" t="str">
        <f t="shared" si="0"/>
        <v/>
      </c>
      <c r="L49" s="1" t="str">
        <f>IF(COUNTA(A49:J49)=0,"",IF(OR(AND(C49&lt;&gt;"Gasto",C49&lt;&gt;"Pago proveedor",C49&lt;&gt;"Retiro familiar",C49&lt;&gt;"Aportación",C49&lt;&gt;"Pago activo",C49&lt;&gt;"ISR devengado",C49&lt;&gt;"Pago ISR",C49&lt;&gt;"Pago IVA",C49&lt;&gt;"Compensación ISR",C49&lt;&gt;"Compensación IVA"),AND(C49="Gasto",D49&lt;&gt;"Costos clínicos",D49&lt;&gt;"Remuneración familiar",D49&lt;&gt;"Nómina y honorarios",D49&lt;&gt;"Renta",D49&lt;&gt;"Marketing",D49&lt;&gt;"Servicios y software",D49&lt;&gt;"Mantenimiento",D49&lt;&gt;"Otros",D49&lt;&gt;"Intereses")),"Tipo o categoría inválido",IF(COUNTA(A49:J49)=0,"",IF(OR(A49="",B49="",C49="",H49=""),"Faltan datos",IF(COUNTIF($A$7:$A$2006,A49)&gt;1,"ID duplicado",IF(OR(B49&lt;DATE(Configuración!$C$5,1,1),B49&gt;=DATE(Configuración!$C$5+1,1,1)),"Fecha fuera del año",IF(OR(H49&lt;0,I49&lt;0),"Revisar signo",IF(AND(C49&lt;&gt;"Gasto",I49&lt;&gt;0),"IVA solo en Gasto",IF(AND(C49="Gasto",D49=""),"Falta categoría","OK")))))))))</f>
        <v/>
      </c>
    </row>
    <row r="50" spans="1:12" ht="22" customHeight="1">
      <c r="A50" s="3"/>
      <c r="B50" s="7"/>
      <c r="C50" s="3"/>
      <c r="D50" s="3"/>
      <c r="E50" s="3"/>
      <c r="F50" s="3"/>
      <c r="G50" s="3"/>
      <c r="H50" s="4"/>
      <c r="I50" s="4"/>
      <c r="J50" s="3"/>
      <c r="K50" s="8" t="str">
        <f t="shared" si="0"/>
        <v/>
      </c>
      <c r="L50" s="1" t="str">
        <f>IF(COUNTA(A50:J50)=0,"",IF(OR(AND(C50&lt;&gt;"Gasto",C50&lt;&gt;"Pago proveedor",C50&lt;&gt;"Retiro familiar",C50&lt;&gt;"Aportación",C50&lt;&gt;"Pago activo",C50&lt;&gt;"ISR devengado",C50&lt;&gt;"Pago ISR",C50&lt;&gt;"Pago IVA",C50&lt;&gt;"Compensación ISR",C50&lt;&gt;"Compensación IVA"),AND(C50="Gasto",D50&lt;&gt;"Costos clínicos",D50&lt;&gt;"Remuneración familiar",D50&lt;&gt;"Nómina y honorarios",D50&lt;&gt;"Renta",D50&lt;&gt;"Marketing",D50&lt;&gt;"Servicios y software",D50&lt;&gt;"Mantenimiento",D50&lt;&gt;"Otros",D50&lt;&gt;"Intereses")),"Tipo o categoría inválido",IF(COUNTA(A50:J50)=0,"",IF(OR(A50="",B50="",C50="",H50=""),"Faltan datos",IF(COUNTIF($A$7:$A$2006,A50)&gt;1,"ID duplicado",IF(OR(B50&lt;DATE(Configuración!$C$5,1,1),B50&gt;=DATE(Configuración!$C$5+1,1,1)),"Fecha fuera del año",IF(OR(H50&lt;0,I50&lt;0),"Revisar signo",IF(AND(C50&lt;&gt;"Gasto",I50&lt;&gt;0),"IVA solo en Gasto",IF(AND(C50="Gasto",D50=""),"Falta categoría","OK")))))))))</f>
        <v/>
      </c>
    </row>
    <row r="51" spans="1:12" ht="22" customHeight="1">
      <c r="A51" s="3"/>
      <c r="B51" s="7"/>
      <c r="C51" s="3"/>
      <c r="D51" s="3"/>
      <c r="E51" s="3"/>
      <c r="F51" s="3"/>
      <c r="G51" s="3"/>
      <c r="H51" s="4"/>
      <c r="I51" s="4"/>
      <c r="J51" s="3"/>
      <c r="K51" s="8" t="str">
        <f t="shared" si="0"/>
        <v/>
      </c>
      <c r="L51" s="1" t="str">
        <f>IF(COUNTA(A51:J51)=0,"",IF(OR(AND(C51&lt;&gt;"Gasto",C51&lt;&gt;"Pago proveedor",C51&lt;&gt;"Retiro familiar",C51&lt;&gt;"Aportación",C51&lt;&gt;"Pago activo",C51&lt;&gt;"ISR devengado",C51&lt;&gt;"Pago ISR",C51&lt;&gt;"Pago IVA",C51&lt;&gt;"Compensación ISR",C51&lt;&gt;"Compensación IVA"),AND(C51="Gasto",D51&lt;&gt;"Costos clínicos",D51&lt;&gt;"Remuneración familiar",D51&lt;&gt;"Nómina y honorarios",D51&lt;&gt;"Renta",D51&lt;&gt;"Marketing",D51&lt;&gt;"Servicios y software",D51&lt;&gt;"Mantenimiento",D51&lt;&gt;"Otros",D51&lt;&gt;"Intereses")),"Tipo o categoría inválido",IF(COUNTA(A51:J51)=0,"",IF(OR(A51="",B51="",C51="",H51=""),"Faltan datos",IF(COUNTIF($A$7:$A$2006,A51)&gt;1,"ID duplicado",IF(OR(B51&lt;DATE(Configuración!$C$5,1,1),B51&gt;=DATE(Configuración!$C$5+1,1,1)),"Fecha fuera del año",IF(OR(H51&lt;0,I51&lt;0),"Revisar signo",IF(AND(C51&lt;&gt;"Gasto",I51&lt;&gt;0),"IVA solo en Gasto",IF(AND(C51="Gasto",D51=""),"Falta categoría","OK")))))))))</f>
        <v/>
      </c>
    </row>
    <row r="52" spans="1:12" ht="22" customHeight="1">
      <c r="A52" s="3"/>
      <c r="B52" s="7"/>
      <c r="C52" s="3"/>
      <c r="D52" s="3"/>
      <c r="E52" s="3"/>
      <c r="F52" s="3"/>
      <c r="G52" s="3"/>
      <c r="H52" s="4"/>
      <c r="I52" s="4"/>
      <c r="J52" s="3"/>
      <c r="K52" s="8" t="str">
        <f t="shared" si="0"/>
        <v/>
      </c>
      <c r="L52" s="1" t="str">
        <f>IF(COUNTA(A52:J52)=0,"",IF(OR(AND(C52&lt;&gt;"Gasto",C52&lt;&gt;"Pago proveedor",C52&lt;&gt;"Retiro familiar",C52&lt;&gt;"Aportación",C52&lt;&gt;"Pago activo",C52&lt;&gt;"ISR devengado",C52&lt;&gt;"Pago ISR",C52&lt;&gt;"Pago IVA",C52&lt;&gt;"Compensación ISR",C52&lt;&gt;"Compensación IVA"),AND(C52="Gasto",D52&lt;&gt;"Costos clínicos",D52&lt;&gt;"Remuneración familiar",D52&lt;&gt;"Nómina y honorarios",D52&lt;&gt;"Renta",D52&lt;&gt;"Marketing",D52&lt;&gt;"Servicios y software",D52&lt;&gt;"Mantenimiento",D52&lt;&gt;"Otros",D52&lt;&gt;"Intereses")),"Tipo o categoría inválido",IF(COUNTA(A52:J52)=0,"",IF(OR(A52="",B52="",C52="",H52=""),"Faltan datos",IF(COUNTIF($A$7:$A$2006,A52)&gt;1,"ID duplicado",IF(OR(B52&lt;DATE(Configuración!$C$5,1,1),B52&gt;=DATE(Configuración!$C$5+1,1,1)),"Fecha fuera del año",IF(OR(H52&lt;0,I52&lt;0),"Revisar signo",IF(AND(C52&lt;&gt;"Gasto",I52&lt;&gt;0),"IVA solo en Gasto",IF(AND(C52="Gasto",D52=""),"Falta categoría","OK")))))))))</f>
        <v/>
      </c>
    </row>
    <row r="53" spans="1:12" ht="22" customHeight="1">
      <c r="A53" s="3"/>
      <c r="B53" s="7"/>
      <c r="C53" s="3"/>
      <c r="D53" s="3"/>
      <c r="E53" s="3"/>
      <c r="F53" s="3"/>
      <c r="G53" s="3"/>
      <c r="H53" s="4"/>
      <c r="I53" s="4"/>
      <c r="J53" s="3"/>
      <c r="K53" s="8" t="str">
        <f t="shared" si="0"/>
        <v/>
      </c>
      <c r="L53" s="1" t="str">
        <f>IF(COUNTA(A53:J53)=0,"",IF(OR(AND(C53&lt;&gt;"Gasto",C53&lt;&gt;"Pago proveedor",C53&lt;&gt;"Retiro familiar",C53&lt;&gt;"Aportación",C53&lt;&gt;"Pago activo",C53&lt;&gt;"ISR devengado",C53&lt;&gt;"Pago ISR",C53&lt;&gt;"Pago IVA",C53&lt;&gt;"Compensación ISR",C53&lt;&gt;"Compensación IVA"),AND(C53="Gasto",D53&lt;&gt;"Costos clínicos",D53&lt;&gt;"Remuneración familiar",D53&lt;&gt;"Nómina y honorarios",D53&lt;&gt;"Renta",D53&lt;&gt;"Marketing",D53&lt;&gt;"Servicios y software",D53&lt;&gt;"Mantenimiento",D53&lt;&gt;"Otros",D53&lt;&gt;"Intereses")),"Tipo o categoría inválido",IF(COUNTA(A53:J53)=0,"",IF(OR(A53="",B53="",C53="",H53=""),"Faltan datos",IF(COUNTIF($A$7:$A$2006,A53)&gt;1,"ID duplicado",IF(OR(B53&lt;DATE(Configuración!$C$5,1,1),B53&gt;=DATE(Configuración!$C$5+1,1,1)),"Fecha fuera del año",IF(OR(H53&lt;0,I53&lt;0),"Revisar signo",IF(AND(C53&lt;&gt;"Gasto",I53&lt;&gt;0),"IVA solo en Gasto",IF(AND(C53="Gasto",D53=""),"Falta categoría","OK")))))))))</f>
        <v/>
      </c>
    </row>
    <row r="54" spans="1:12" ht="22" customHeight="1">
      <c r="A54" s="3"/>
      <c r="B54" s="7"/>
      <c r="C54" s="3"/>
      <c r="D54" s="3"/>
      <c r="E54" s="3"/>
      <c r="F54" s="3"/>
      <c r="G54" s="3"/>
      <c r="H54" s="4"/>
      <c r="I54" s="4"/>
      <c r="J54" s="3"/>
      <c r="K54" s="8" t="str">
        <f t="shared" si="0"/>
        <v/>
      </c>
      <c r="L54" s="1" t="str">
        <f>IF(COUNTA(A54:J54)=0,"",IF(OR(AND(C54&lt;&gt;"Gasto",C54&lt;&gt;"Pago proveedor",C54&lt;&gt;"Retiro familiar",C54&lt;&gt;"Aportación",C54&lt;&gt;"Pago activo",C54&lt;&gt;"ISR devengado",C54&lt;&gt;"Pago ISR",C54&lt;&gt;"Pago IVA",C54&lt;&gt;"Compensación ISR",C54&lt;&gt;"Compensación IVA"),AND(C54="Gasto",D54&lt;&gt;"Costos clínicos",D54&lt;&gt;"Remuneración familiar",D54&lt;&gt;"Nómina y honorarios",D54&lt;&gt;"Renta",D54&lt;&gt;"Marketing",D54&lt;&gt;"Servicios y software",D54&lt;&gt;"Mantenimiento",D54&lt;&gt;"Otros",D54&lt;&gt;"Intereses")),"Tipo o categoría inválido",IF(COUNTA(A54:J54)=0,"",IF(OR(A54="",B54="",C54="",H54=""),"Faltan datos",IF(COUNTIF($A$7:$A$2006,A54)&gt;1,"ID duplicado",IF(OR(B54&lt;DATE(Configuración!$C$5,1,1),B54&gt;=DATE(Configuración!$C$5+1,1,1)),"Fecha fuera del año",IF(OR(H54&lt;0,I54&lt;0),"Revisar signo",IF(AND(C54&lt;&gt;"Gasto",I54&lt;&gt;0),"IVA solo en Gasto",IF(AND(C54="Gasto",D54=""),"Falta categoría","OK")))))))))</f>
        <v/>
      </c>
    </row>
    <row r="55" spans="1:12" ht="22" customHeight="1">
      <c r="A55" s="3"/>
      <c r="B55" s="7"/>
      <c r="C55" s="3"/>
      <c r="D55" s="3"/>
      <c r="E55" s="3"/>
      <c r="F55" s="3"/>
      <c r="G55" s="3"/>
      <c r="H55" s="4"/>
      <c r="I55" s="4"/>
      <c r="J55" s="3"/>
      <c r="K55" s="8" t="str">
        <f t="shared" si="0"/>
        <v/>
      </c>
      <c r="L55" s="1" t="str">
        <f>IF(COUNTA(A55:J55)=0,"",IF(OR(AND(C55&lt;&gt;"Gasto",C55&lt;&gt;"Pago proveedor",C55&lt;&gt;"Retiro familiar",C55&lt;&gt;"Aportación",C55&lt;&gt;"Pago activo",C55&lt;&gt;"ISR devengado",C55&lt;&gt;"Pago ISR",C55&lt;&gt;"Pago IVA",C55&lt;&gt;"Compensación ISR",C55&lt;&gt;"Compensación IVA"),AND(C55="Gasto",D55&lt;&gt;"Costos clínicos",D55&lt;&gt;"Remuneración familiar",D55&lt;&gt;"Nómina y honorarios",D55&lt;&gt;"Renta",D55&lt;&gt;"Marketing",D55&lt;&gt;"Servicios y software",D55&lt;&gt;"Mantenimiento",D55&lt;&gt;"Otros",D55&lt;&gt;"Intereses")),"Tipo o categoría inválido",IF(COUNTA(A55:J55)=0,"",IF(OR(A55="",B55="",C55="",H55=""),"Faltan datos",IF(COUNTIF($A$7:$A$2006,A55)&gt;1,"ID duplicado",IF(OR(B55&lt;DATE(Configuración!$C$5,1,1),B55&gt;=DATE(Configuración!$C$5+1,1,1)),"Fecha fuera del año",IF(OR(H55&lt;0,I55&lt;0),"Revisar signo",IF(AND(C55&lt;&gt;"Gasto",I55&lt;&gt;0),"IVA solo en Gasto",IF(AND(C55="Gasto",D55=""),"Falta categoría","OK")))))))))</f>
        <v/>
      </c>
    </row>
    <row r="56" spans="1:12" ht="22" customHeight="1">
      <c r="A56" s="3"/>
      <c r="B56" s="7"/>
      <c r="C56" s="3"/>
      <c r="D56" s="3"/>
      <c r="E56" s="3"/>
      <c r="F56" s="3"/>
      <c r="G56" s="3"/>
      <c r="H56" s="4"/>
      <c r="I56" s="4"/>
      <c r="J56" s="3"/>
      <c r="K56" s="8" t="str">
        <f t="shared" si="0"/>
        <v/>
      </c>
      <c r="L56" s="1" t="str">
        <f>IF(COUNTA(A56:J56)=0,"",IF(OR(AND(C56&lt;&gt;"Gasto",C56&lt;&gt;"Pago proveedor",C56&lt;&gt;"Retiro familiar",C56&lt;&gt;"Aportación",C56&lt;&gt;"Pago activo",C56&lt;&gt;"ISR devengado",C56&lt;&gt;"Pago ISR",C56&lt;&gt;"Pago IVA",C56&lt;&gt;"Compensación ISR",C56&lt;&gt;"Compensación IVA"),AND(C56="Gasto",D56&lt;&gt;"Costos clínicos",D56&lt;&gt;"Remuneración familiar",D56&lt;&gt;"Nómina y honorarios",D56&lt;&gt;"Renta",D56&lt;&gt;"Marketing",D56&lt;&gt;"Servicios y software",D56&lt;&gt;"Mantenimiento",D56&lt;&gt;"Otros",D56&lt;&gt;"Intereses")),"Tipo o categoría inválido",IF(COUNTA(A56:J56)=0,"",IF(OR(A56="",B56="",C56="",H56=""),"Faltan datos",IF(COUNTIF($A$7:$A$2006,A56)&gt;1,"ID duplicado",IF(OR(B56&lt;DATE(Configuración!$C$5,1,1),B56&gt;=DATE(Configuración!$C$5+1,1,1)),"Fecha fuera del año",IF(OR(H56&lt;0,I56&lt;0),"Revisar signo",IF(AND(C56&lt;&gt;"Gasto",I56&lt;&gt;0),"IVA solo en Gasto",IF(AND(C56="Gasto",D56=""),"Falta categoría","OK")))))))))</f>
        <v/>
      </c>
    </row>
    <row r="57" spans="1:12" ht="22" customHeight="1">
      <c r="A57" s="3"/>
      <c r="B57" s="7"/>
      <c r="C57" s="3"/>
      <c r="D57" s="3"/>
      <c r="E57" s="3"/>
      <c r="F57" s="3"/>
      <c r="G57" s="3"/>
      <c r="H57" s="4"/>
      <c r="I57" s="4"/>
      <c r="J57" s="3"/>
      <c r="K57" s="8" t="str">
        <f t="shared" si="0"/>
        <v/>
      </c>
      <c r="L57" s="1" t="str">
        <f>IF(COUNTA(A57:J57)=0,"",IF(OR(AND(C57&lt;&gt;"Gasto",C57&lt;&gt;"Pago proveedor",C57&lt;&gt;"Retiro familiar",C57&lt;&gt;"Aportación",C57&lt;&gt;"Pago activo",C57&lt;&gt;"ISR devengado",C57&lt;&gt;"Pago ISR",C57&lt;&gt;"Pago IVA",C57&lt;&gt;"Compensación ISR",C57&lt;&gt;"Compensación IVA"),AND(C57="Gasto",D57&lt;&gt;"Costos clínicos",D57&lt;&gt;"Remuneración familiar",D57&lt;&gt;"Nómina y honorarios",D57&lt;&gt;"Renta",D57&lt;&gt;"Marketing",D57&lt;&gt;"Servicios y software",D57&lt;&gt;"Mantenimiento",D57&lt;&gt;"Otros",D57&lt;&gt;"Intereses")),"Tipo o categoría inválido",IF(COUNTA(A57:J57)=0,"",IF(OR(A57="",B57="",C57="",H57=""),"Faltan datos",IF(COUNTIF($A$7:$A$2006,A57)&gt;1,"ID duplicado",IF(OR(B57&lt;DATE(Configuración!$C$5,1,1),B57&gt;=DATE(Configuración!$C$5+1,1,1)),"Fecha fuera del año",IF(OR(H57&lt;0,I57&lt;0),"Revisar signo",IF(AND(C57&lt;&gt;"Gasto",I57&lt;&gt;0),"IVA solo en Gasto",IF(AND(C57="Gasto",D57=""),"Falta categoría","OK")))))))))</f>
        <v/>
      </c>
    </row>
    <row r="58" spans="1:12" ht="22" customHeight="1">
      <c r="A58" s="3"/>
      <c r="B58" s="7"/>
      <c r="C58" s="3"/>
      <c r="D58" s="3"/>
      <c r="E58" s="3"/>
      <c r="F58" s="3"/>
      <c r="G58" s="3"/>
      <c r="H58" s="4"/>
      <c r="I58" s="4"/>
      <c r="J58" s="3"/>
      <c r="K58" s="8" t="str">
        <f t="shared" si="0"/>
        <v/>
      </c>
      <c r="L58" s="1" t="str">
        <f>IF(COUNTA(A58:J58)=0,"",IF(OR(AND(C58&lt;&gt;"Gasto",C58&lt;&gt;"Pago proveedor",C58&lt;&gt;"Retiro familiar",C58&lt;&gt;"Aportación",C58&lt;&gt;"Pago activo",C58&lt;&gt;"ISR devengado",C58&lt;&gt;"Pago ISR",C58&lt;&gt;"Pago IVA",C58&lt;&gt;"Compensación ISR",C58&lt;&gt;"Compensación IVA"),AND(C58="Gasto",D58&lt;&gt;"Costos clínicos",D58&lt;&gt;"Remuneración familiar",D58&lt;&gt;"Nómina y honorarios",D58&lt;&gt;"Renta",D58&lt;&gt;"Marketing",D58&lt;&gt;"Servicios y software",D58&lt;&gt;"Mantenimiento",D58&lt;&gt;"Otros",D58&lt;&gt;"Intereses")),"Tipo o categoría inválido",IF(COUNTA(A58:J58)=0,"",IF(OR(A58="",B58="",C58="",H58=""),"Faltan datos",IF(COUNTIF($A$7:$A$2006,A58)&gt;1,"ID duplicado",IF(OR(B58&lt;DATE(Configuración!$C$5,1,1),B58&gt;=DATE(Configuración!$C$5+1,1,1)),"Fecha fuera del año",IF(OR(H58&lt;0,I58&lt;0),"Revisar signo",IF(AND(C58&lt;&gt;"Gasto",I58&lt;&gt;0),"IVA solo en Gasto",IF(AND(C58="Gasto",D58=""),"Falta categoría","OK")))))))))</f>
        <v/>
      </c>
    </row>
    <row r="59" spans="1:12" ht="22" customHeight="1">
      <c r="A59" s="3"/>
      <c r="B59" s="7"/>
      <c r="C59" s="3"/>
      <c r="D59" s="3"/>
      <c r="E59" s="3"/>
      <c r="F59" s="3"/>
      <c r="G59" s="3"/>
      <c r="H59" s="4"/>
      <c r="I59" s="4"/>
      <c r="J59" s="3"/>
      <c r="K59" s="8" t="str">
        <f t="shared" si="0"/>
        <v/>
      </c>
      <c r="L59" s="1" t="str">
        <f>IF(COUNTA(A59:J59)=0,"",IF(OR(AND(C59&lt;&gt;"Gasto",C59&lt;&gt;"Pago proveedor",C59&lt;&gt;"Retiro familiar",C59&lt;&gt;"Aportación",C59&lt;&gt;"Pago activo",C59&lt;&gt;"ISR devengado",C59&lt;&gt;"Pago ISR",C59&lt;&gt;"Pago IVA",C59&lt;&gt;"Compensación ISR",C59&lt;&gt;"Compensación IVA"),AND(C59="Gasto",D59&lt;&gt;"Costos clínicos",D59&lt;&gt;"Remuneración familiar",D59&lt;&gt;"Nómina y honorarios",D59&lt;&gt;"Renta",D59&lt;&gt;"Marketing",D59&lt;&gt;"Servicios y software",D59&lt;&gt;"Mantenimiento",D59&lt;&gt;"Otros",D59&lt;&gt;"Intereses")),"Tipo o categoría inválido",IF(COUNTA(A59:J59)=0,"",IF(OR(A59="",B59="",C59="",H59=""),"Faltan datos",IF(COUNTIF($A$7:$A$2006,A59)&gt;1,"ID duplicado",IF(OR(B59&lt;DATE(Configuración!$C$5,1,1),B59&gt;=DATE(Configuración!$C$5+1,1,1)),"Fecha fuera del año",IF(OR(H59&lt;0,I59&lt;0),"Revisar signo",IF(AND(C59&lt;&gt;"Gasto",I59&lt;&gt;0),"IVA solo en Gasto",IF(AND(C59="Gasto",D59=""),"Falta categoría","OK")))))))))</f>
        <v/>
      </c>
    </row>
    <row r="60" spans="1:12" ht="22" customHeight="1">
      <c r="A60" s="3"/>
      <c r="B60" s="7"/>
      <c r="C60" s="3"/>
      <c r="D60" s="3"/>
      <c r="E60" s="3"/>
      <c r="F60" s="3"/>
      <c r="G60" s="3"/>
      <c r="H60" s="4"/>
      <c r="I60" s="4"/>
      <c r="J60" s="3"/>
      <c r="K60" s="8" t="str">
        <f t="shared" si="0"/>
        <v/>
      </c>
      <c r="L60" s="1" t="str">
        <f>IF(COUNTA(A60:J60)=0,"",IF(OR(AND(C60&lt;&gt;"Gasto",C60&lt;&gt;"Pago proveedor",C60&lt;&gt;"Retiro familiar",C60&lt;&gt;"Aportación",C60&lt;&gt;"Pago activo",C60&lt;&gt;"ISR devengado",C60&lt;&gt;"Pago ISR",C60&lt;&gt;"Pago IVA",C60&lt;&gt;"Compensación ISR",C60&lt;&gt;"Compensación IVA"),AND(C60="Gasto",D60&lt;&gt;"Costos clínicos",D60&lt;&gt;"Remuneración familiar",D60&lt;&gt;"Nómina y honorarios",D60&lt;&gt;"Renta",D60&lt;&gt;"Marketing",D60&lt;&gt;"Servicios y software",D60&lt;&gt;"Mantenimiento",D60&lt;&gt;"Otros",D60&lt;&gt;"Intereses")),"Tipo o categoría inválido",IF(COUNTA(A60:J60)=0,"",IF(OR(A60="",B60="",C60="",H60=""),"Faltan datos",IF(COUNTIF($A$7:$A$2006,A60)&gt;1,"ID duplicado",IF(OR(B60&lt;DATE(Configuración!$C$5,1,1),B60&gt;=DATE(Configuración!$C$5+1,1,1)),"Fecha fuera del año",IF(OR(H60&lt;0,I60&lt;0),"Revisar signo",IF(AND(C60&lt;&gt;"Gasto",I60&lt;&gt;0),"IVA solo en Gasto",IF(AND(C60="Gasto",D60=""),"Falta categoría","OK")))))))))</f>
        <v/>
      </c>
    </row>
    <row r="61" spans="1:12" ht="22" customHeight="1">
      <c r="A61" s="3"/>
      <c r="B61" s="7"/>
      <c r="C61" s="3"/>
      <c r="D61" s="3"/>
      <c r="E61" s="3"/>
      <c r="F61" s="3"/>
      <c r="G61" s="3"/>
      <c r="H61" s="4"/>
      <c r="I61" s="4"/>
      <c r="J61" s="3"/>
      <c r="K61" s="8" t="str">
        <f t="shared" si="0"/>
        <v/>
      </c>
      <c r="L61" s="1" t="str">
        <f>IF(COUNTA(A61:J61)=0,"",IF(OR(AND(C61&lt;&gt;"Gasto",C61&lt;&gt;"Pago proveedor",C61&lt;&gt;"Retiro familiar",C61&lt;&gt;"Aportación",C61&lt;&gt;"Pago activo",C61&lt;&gt;"ISR devengado",C61&lt;&gt;"Pago ISR",C61&lt;&gt;"Pago IVA",C61&lt;&gt;"Compensación ISR",C61&lt;&gt;"Compensación IVA"),AND(C61="Gasto",D61&lt;&gt;"Costos clínicos",D61&lt;&gt;"Remuneración familiar",D61&lt;&gt;"Nómina y honorarios",D61&lt;&gt;"Renta",D61&lt;&gt;"Marketing",D61&lt;&gt;"Servicios y software",D61&lt;&gt;"Mantenimiento",D61&lt;&gt;"Otros",D61&lt;&gt;"Intereses")),"Tipo o categoría inválido",IF(COUNTA(A61:J61)=0,"",IF(OR(A61="",B61="",C61="",H61=""),"Faltan datos",IF(COUNTIF($A$7:$A$2006,A61)&gt;1,"ID duplicado",IF(OR(B61&lt;DATE(Configuración!$C$5,1,1),B61&gt;=DATE(Configuración!$C$5+1,1,1)),"Fecha fuera del año",IF(OR(H61&lt;0,I61&lt;0),"Revisar signo",IF(AND(C61&lt;&gt;"Gasto",I61&lt;&gt;0),"IVA solo en Gasto",IF(AND(C61="Gasto",D61=""),"Falta categoría","OK")))))))))</f>
        <v/>
      </c>
    </row>
    <row r="62" spans="1:12" ht="22" customHeight="1">
      <c r="A62" s="3"/>
      <c r="B62" s="7"/>
      <c r="C62" s="3"/>
      <c r="D62" s="3"/>
      <c r="E62" s="3"/>
      <c r="F62" s="3"/>
      <c r="G62" s="3"/>
      <c r="H62" s="4"/>
      <c r="I62" s="4"/>
      <c r="J62" s="3"/>
      <c r="K62" s="8" t="str">
        <f t="shared" si="0"/>
        <v/>
      </c>
      <c r="L62" s="1" t="str">
        <f>IF(COUNTA(A62:J62)=0,"",IF(OR(AND(C62&lt;&gt;"Gasto",C62&lt;&gt;"Pago proveedor",C62&lt;&gt;"Retiro familiar",C62&lt;&gt;"Aportación",C62&lt;&gt;"Pago activo",C62&lt;&gt;"ISR devengado",C62&lt;&gt;"Pago ISR",C62&lt;&gt;"Pago IVA",C62&lt;&gt;"Compensación ISR",C62&lt;&gt;"Compensación IVA"),AND(C62="Gasto",D62&lt;&gt;"Costos clínicos",D62&lt;&gt;"Remuneración familiar",D62&lt;&gt;"Nómina y honorarios",D62&lt;&gt;"Renta",D62&lt;&gt;"Marketing",D62&lt;&gt;"Servicios y software",D62&lt;&gt;"Mantenimiento",D62&lt;&gt;"Otros",D62&lt;&gt;"Intereses")),"Tipo o categoría inválido",IF(COUNTA(A62:J62)=0,"",IF(OR(A62="",B62="",C62="",H62=""),"Faltan datos",IF(COUNTIF($A$7:$A$2006,A62)&gt;1,"ID duplicado",IF(OR(B62&lt;DATE(Configuración!$C$5,1,1),B62&gt;=DATE(Configuración!$C$5+1,1,1)),"Fecha fuera del año",IF(OR(H62&lt;0,I62&lt;0),"Revisar signo",IF(AND(C62&lt;&gt;"Gasto",I62&lt;&gt;0),"IVA solo en Gasto",IF(AND(C62="Gasto",D62=""),"Falta categoría","OK")))))))))</f>
        <v/>
      </c>
    </row>
    <row r="63" spans="1:12" ht="22" customHeight="1">
      <c r="A63" s="3"/>
      <c r="B63" s="7"/>
      <c r="C63" s="3"/>
      <c r="D63" s="3"/>
      <c r="E63" s="3"/>
      <c r="F63" s="3"/>
      <c r="G63" s="3"/>
      <c r="H63" s="4"/>
      <c r="I63" s="4"/>
      <c r="J63" s="3"/>
      <c r="K63" s="8" t="str">
        <f t="shared" si="0"/>
        <v/>
      </c>
      <c r="L63" s="1" t="str">
        <f>IF(COUNTA(A63:J63)=0,"",IF(OR(AND(C63&lt;&gt;"Gasto",C63&lt;&gt;"Pago proveedor",C63&lt;&gt;"Retiro familiar",C63&lt;&gt;"Aportación",C63&lt;&gt;"Pago activo",C63&lt;&gt;"ISR devengado",C63&lt;&gt;"Pago ISR",C63&lt;&gt;"Pago IVA",C63&lt;&gt;"Compensación ISR",C63&lt;&gt;"Compensación IVA"),AND(C63="Gasto",D63&lt;&gt;"Costos clínicos",D63&lt;&gt;"Remuneración familiar",D63&lt;&gt;"Nómina y honorarios",D63&lt;&gt;"Renta",D63&lt;&gt;"Marketing",D63&lt;&gt;"Servicios y software",D63&lt;&gt;"Mantenimiento",D63&lt;&gt;"Otros",D63&lt;&gt;"Intereses")),"Tipo o categoría inválido",IF(COUNTA(A63:J63)=0,"",IF(OR(A63="",B63="",C63="",H63=""),"Faltan datos",IF(COUNTIF($A$7:$A$2006,A63)&gt;1,"ID duplicado",IF(OR(B63&lt;DATE(Configuración!$C$5,1,1),B63&gt;=DATE(Configuración!$C$5+1,1,1)),"Fecha fuera del año",IF(OR(H63&lt;0,I63&lt;0),"Revisar signo",IF(AND(C63&lt;&gt;"Gasto",I63&lt;&gt;0),"IVA solo en Gasto",IF(AND(C63="Gasto",D63=""),"Falta categoría","OK")))))))))</f>
        <v/>
      </c>
    </row>
    <row r="64" spans="1:12" ht="22" customHeight="1">
      <c r="A64" s="3"/>
      <c r="B64" s="7"/>
      <c r="C64" s="3"/>
      <c r="D64" s="3"/>
      <c r="E64" s="3"/>
      <c r="F64" s="3"/>
      <c r="G64" s="3"/>
      <c r="H64" s="4"/>
      <c r="I64" s="4"/>
      <c r="J64" s="3"/>
      <c r="K64" s="8" t="str">
        <f t="shared" si="0"/>
        <v/>
      </c>
      <c r="L64" s="1" t="str">
        <f>IF(COUNTA(A64:J64)=0,"",IF(OR(AND(C64&lt;&gt;"Gasto",C64&lt;&gt;"Pago proveedor",C64&lt;&gt;"Retiro familiar",C64&lt;&gt;"Aportación",C64&lt;&gt;"Pago activo",C64&lt;&gt;"ISR devengado",C64&lt;&gt;"Pago ISR",C64&lt;&gt;"Pago IVA",C64&lt;&gt;"Compensación ISR",C64&lt;&gt;"Compensación IVA"),AND(C64="Gasto",D64&lt;&gt;"Costos clínicos",D64&lt;&gt;"Remuneración familiar",D64&lt;&gt;"Nómina y honorarios",D64&lt;&gt;"Renta",D64&lt;&gt;"Marketing",D64&lt;&gt;"Servicios y software",D64&lt;&gt;"Mantenimiento",D64&lt;&gt;"Otros",D64&lt;&gt;"Intereses")),"Tipo o categoría inválido",IF(COUNTA(A64:J64)=0,"",IF(OR(A64="",B64="",C64="",H64=""),"Faltan datos",IF(COUNTIF($A$7:$A$2006,A64)&gt;1,"ID duplicado",IF(OR(B64&lt;DATE(Configuración!$C$5,1,1),B64&gt;=DATE(Configuración!$C$5+1,1,1)),"Fecha fuera del año",IF(OR(H64&lt;0,I64&lt;0),"Revisar signo",IF(AND(C64&lt;&gt;"Gasto",I64&lt;&gt;0),"IVA solo en Gasto",IF(AND(C64="Gasto",D64=""),"Falta categoría","OK")))))))))</f>
        <v/>
      </c>
    </row>
    <row r="65" spans="1:12" ht="22" customHeight="1">
      <c r="A65" s="3"/>
      <c r="B65" s="7"/>
      <c r="C65" s="3"/>
      <c r="D65" s="3"/>
      <c r="E65" s="3"/>
      <c r="F65" s="3"/>
      <c r="G65" s="3"/>
      <c r="H65" s="4"/>
      <c r="I65" s="4"/>
      <c r="J65" s="3"/>
      <c r="K65" s="8" t="str">
        <f t="shared" si="0"/>
        <v/>
      </c>
      <c r="L65" s="1" t="str">
        <f>IF(COUNTA(A65:J65)=0,"",IF(OR(AND(C65&lt;&gt;"Gasto",C65&lt;&gt;"Pago proveedor",C65&lt;&gt;"Retiro familiar",C65&lt;&gt;"Aportación",C65&lt;&gt;"Pago activo",C65&lt;&gt;"ISR devengado",C65&lt;&gt;"Pago ISR",C65&lt;&gt;"Pago IVA",C65&lt;&gt;"Compensación ISR",C65&lt;&gt;"Compensación IVA"),AND(C65="Gasto",D65&lt;&gt;"Costos clínicos",D65&lt;&gt;"Remuneración familiar",D65&lt;&gt;"Nómina y honorarios",D65&lt;&gt;"Renta",D65&lt;&gt;"Marketing",D65&lt;&gt;"Servicios y software",D65&lt;&gt;"Mantenimiento",D65&lt;&gt;"Otros",D65&lt;&gt;"Intereses")),"Tipo o categoría inválido",IF(COUNTA(A65:J65)=0,"",IF(OR(A65="",B65="",C65="",H65=""),"Faltan datos",IF(COUNTIF($A$7:$A$2006,A65)&gt;1,"ID duplicado",IF(OR(B65&lt;DATE(Configuración!$C$5,1,1),B65&gt;=DATE(Configuración!$C$5+1,1,1)),"Fecha fuera del año",IF(OR(H65&lt;0,I65&lt;0),"Revisar signo",IF(AND(C65&lt;&gt;"Gasto",I65&lt;&gt;0),"IVA solo en Gasto",IF(AND(C65="Gasto",D65=""),"Falta categoría","OK")))))))))</f>
        <v/>
      </c>
    </row>
    <row r="66" spans="1:12" ht="22" customHeight="1">
      <c r="A66" s="3"/>
      <c r="B66" s="7"/>
      <c r="C66" s="3"/>
      <c r="D66" s="3"/>
      <c r="E66" s="3"/>
      <c r="F66" s="3"/>
      <c r="G66" s="3"/>
      <c r="H66" s="4"/>
      <c r="I66" s="4"/>
      <c r="J66" s="3"/>
      <c r="K66" s="8" t="str">
        <f t="shared" si="0"/>
        <v/>
      </c>
      <c r="L66" s="1" t="str">
        <f>IF(COUNTA(A66:J66)=0,"",IF(OR(AND(C66&lt;&gt;"Gasto",C66&lt;&gt;"Pago proveedor",C66&lt;&gt;"Retiro familiar",C66&lt;&gt;"Aportación",C66&lt;&gt;"Pago activo",C66&lt;&gt;"ISR devengado",C66&lt;&gt;"Pago ISR",C66&lt;&gt;"Pago IVA",C66&lt;&gt;"Compensación ISR",C66&lt;&gt;"Compensación IVA"),AND(C66="Gasto",D66&lt;&gt;"Costos clínicos",D66&lt;&gt;"Remuneración familiar",D66&lt;&gt;"Nómina y honorarios",D66&lt;&gt;"Renta",D66&lt;&gt;"Marketing",D66&lt;&gt;"Servicios y software",D66&lt;&gt;"Mantenimiento",D66&lt;&gt;"Otros",D66&lt;&gt;"Intereses")),"Tipo o categoría inválido",IF(COUNTA(A66:J66)=0,"",IF(OR(A66="",B66="",C66="",H66=""),"Faltan datos",IF(COUNTIF($A$7:$A$2006,A66)&gt;1,"ID duplicado",IF(OR(B66&lt;DATE(Configuración!$C$5,1,1),B66&gt;=DATE(Configuración!$C$5+1,1,1)),"Fecha fuera del año",IF(OR(H66&lt;0,I66&lt;0),"Revisar signo",IF(AND(C66&lt;&gt;"Gasto",I66&lt;&gt;0),"IVA solo en Gasto",IF(AND(C66="Gasto",D66=""),"Falta categoría","OK")))))))))</f>
        <v/>
      </c>
    </row>
    <row r="67" spans="1:12" ht="22" customHeight="1">
      <c r="A67" s="3"/>
      <c r="B67" s="7"/>
      <c r="C67" s="3"/>
      <c r="D67" s="3"/>
      <c r="E67" s="3"/>
      <c r="F67" s="3"/>
      <c r="G67" s="3"/>
      <c r="H67" s="4"/>
      <c r="I67" s="4"/>
      <c r="J67" s="3"/>
      <c r="K67" s="8" t="str">
        <f t="shared" si="0"/>
        <v/>
      </c>
      <c r="L67" s="1" t="str">
        <f>IF(COUNTA(A67:J67)=0,"",IF(OR(AND(C67&lt;&gt;"Gasto",C67&lt;&gt;"Pago proveedor",C67&lt;&gt;"Retiro familiar",C67&lt;&gt;"Aportación",C67&lt;&gt;"Pago activo",C67&lt;&gt;"ISR devengado",C67&lt;&gt;"Pago ISR",C67&lt;&gt;"Pago IVA",C67&lt;&gt;"Compensación ISR",C67&lt;&gt;"Compensación IVA"),AND(C67="Gasto",D67&lt;&gt;"Costos clínicos",D67&lt;&gt;"Remuneración familiar",D67&lt;&gt;"Nómina y honorarios",D67&lt;&gt;"Renta",D67&lt;&gt;"Marketing",D67&lt;&gt;"Servicios y software",D67&lt;&gt;"Mantenimiento",D67&lt;&gt;"Otros",D67&lt;&gt;"Intereses")),"Tipo o categoría inválido",IF(COUNTA(A67:J67)=0,"",IF(OR(A67="",B67="",C67="",H67=""),"Faltan datos",IF(COUNTIF($A$7:$A$2006,A67)&gt;1,"ID duplicado",IF(OR(B67&lt;DATE(Configuración!$C$5,1,1),B67&gt;=DATE(Configuración!$C$5+1,1,1)),"Fecha fuera del año",IF(OR(H67&lt;0,I67&lt;0),"Revisar signo",IF(AND(C67&lt;&gt;"Gasto",I67&lt;&gt;0),"IVA solo en Gasto",IF(AND(C67="Gasto",D67=""),"Falta categoría","OK")))))))))</f>
        <v/>
      </c>
    </row>
    <row r="68" spans="1:12" ht="22" customHeight="1">
      <c r="A68" s="3"/>
      <c r="B68" s="7"/>
      <c r="C68" s="3"/>
      <c r="D68" s="3"/>
      <c r="E68" s="3"/>
      <c r="F68" s="3"/>
      <c r="G68" s="3"/>
      <c r="H68" s="4"/>
      <c r="I68" s="4"/>
      <c r="J68" s="3"/>
      <c r="K68" s="8" t="str">
        <f t="shared" si="0"/>
        <v/>
      </c>
      <c r="L68" s="1" t="str">
        <f>IF(COUNTA(A68:J68)=0,"",IF(OR(AND(C68&lt;&gt;"Gasto",C68&lt;&gt;"Pago proveedor",C68&lt;&gt;"Retiro familiar",C68&lt;&gt;"Aportación",C68&lt;&gt;"Pago activo",C68&lt;&gt;"ISR devengado",C68&lt;&gt;"Pago ISR",C68&lt;&gt;"Pago IVA",C68&lt;&gt;"Compensación ISR",C68&lt;&gt;"Compensación IVA"),AND(C68="Gasto",D68&lt;&gt;"Costos clínicos",D68&lt;&gt;"Remuneración familiar",D68&lt;&gt;"Nómina y honorarios",D68&lt;&gt;"Renta",D68&lt;&gt;"Marketing",D68&lt;&gt;"Servicios y software",D68&lt;&gt;"Mantenimiento",D68&lt;&gt;"Otros",D68&lt;&gt;"Intereses")),"Tipo o categoría inválido",IF(COUNTA(A68:J68)=0,"",IF(OR(A68="",B68="",C68="",H68=""),"Faltan datos",IF(COUNTIF($A$7:$A$2006,A68)&gt;1,"ID duplicado",IF(OR(B68&lt;DATE(Configuración!$C$5,1,1),B68&gt;=DATE(Configuración!$C$5+1,1,1)),"Fecha fuera del año",IF(OR(H68&lt;0,I68&lt;0),"Revisar signo",IF(AND(C68&lt;&gt;"Gasto",I68&lt;&gt;0),"IVA solo en Gasto",IF(AND(C68="Gasto",D68=""),"Falta categoría","OK")))))))))</f>
        <v/>
      </c>
    </row>
    <row r="69" spans="1:12" ht="22" customHeight="1">
      <c r="A69" s="3"/>
      <c r="B69" s="7"/>
      <c r="C69" s="3"/>
      <c r="D69" s="3"/>
      <c r="E69" s="3"/>
      <c r="F69" s="3"/>
      <c r="G69" s="3"/>
      <c r="H69" s="4"/>
      <c r="I69" s="4"/>
      <c r="J69" s="3"/>
      <c r="K69" s="8" t="str">
        <f t="shared" si="0"/>
        <v/>
      </c>
      <c r="L69" s="1" t="str">
        <f>IF(COUNTA(A69:J69)=0,"",IF(OR(AND(C69&lt;&gt;"Gasto",C69&lt;&gt;"Pago proveedor",C69&lt;&gt;"Retiro familiar",C69&lt;&gt;"Aportación",C69&lt;&gt;"Pago activo",C69&lt;&gt;"ISR devengado",C69&lt;&gt;"Pago ISR",C69&lt;&gt;"Pago IVA",C69&lt;&gt;"Compensación ISR",C69&lt;&gt;"Compensación IVA"),AND(C69="Gasto",D69&lt;&gt;"Costos clínicos",D69&lt;&gt;"Remuneración familiar",D69&lt;&gt;"Nómina y honorarios",D69&lt;&gt;"Renta",D69&lt;&gt;"Marketing",D69&lt;&gt;"Servicios y software",D69&lt;&gt;"Mantenimiento",D69&lt;&gt;"Otros",D69&lt;&gt;"Intereses")),"Tipo o categoría inválido",IF(COUNTA(A69:J69)=0,"",IF(OR(A69="",B69="",C69="",H69=""),"Faltan datos",IF(COUNTIF($A$7:$A$2006,A69)&gt;1,"ID duplicado",IF(OR(B69&lt;DATE(Configuración!$C$5,1,1),B69&gt;=DATE(Configuración!$C$5+1,1,1)),"Fecha fuera del año",IF(OR(H69&lt;0,I69&lt;0),"Revisar signo",IF(AND(C69&lt;&gt;"Gasto",I69&lt;&gt;0),"IVA solo en Gasto",IF(AND(C69="Gasto",D69=""),"Falta categoría","OK")))))))))</f>
        <v/>
      </c>
    </row>
    <row r="70" spans="1:12" ht="22" customHeight="1">
      <c r="A70" s="3"/>
      <c r="B70" s="7"/>
      <c r="C70" s="3"/>
      <c r="D70" s="3"/>
      <c r="E70" s="3"/>
      <c r="F70" s="3"/>
      <c r="G70" s="3"/>
      <c r="H70" s="4"/>
      <c r="I70" s="4"/>
      <c r="J70" s="3"/>
      <c r="K70" s="8" t="str">
        <f t="shared" si="0"/>
        <v/>
      </c>
      <c r="L70" s="1" t="str">
        <f>IF(COUNTA(A70:J70)=0,"",IF(OR(AND(C70&lt;&gt;"Gasto",C70&lt;&gt;"Pago proveedor",C70&lt;&gt;"Retiro familiar",C70&lt;&gt;"Aportación",C70&lt;&gt;"Pago activo",C70&lt;&gt;"ISR devengado",C70&lt;&gt;"Pago ISR",C70&lt;&gt;"Pago IVA",C70&lt;&gt;"Compensación ISR",C70&lt;&gt;"Compensación IVA"),AND(C70="Gasto",D70&lt;&gt;"Costos clínicos",D70&lt;&gt;"Remuneración familiar",D70&lt;&gt;"Nómina y honorarios",D70&lt;&gt;"Renta",D70&lt;&gt;"Marketing",D70&lt;&gt;"Servicios y software",D70&lt;&gt;"Mantenimiento",D70&lt;&gt;"Otros",D70&lt;&gt;"Intereses")),"Tipo o categoría inválido",IF(COUNTA(A70:J70)=0,"",IF(OR(A70="",B70="",C70="",H70=""),"Faltan datos",IF(COUNTIF($A$7:$A$2006,A70)&gt;1,"ID duplicado",IF(OR(B70&lt;DATE(Configuración!$C$5,1,1),B70&gt;=DATE(Configuración!$C$5+1,1,1)),"Fecha fuera del año",IF(OR(H70&lt;0,I70&lt;0),"Revisar signo",IF(AND(C70&lt;&gt;"Gasto",I70&lt;&gt;0),"IVA solo en Gasto",IF(AND(C70="Gasto",D70=""),"Falta categoría","OK")))))))))</f>
        <v/>
      </c>
    </row>
    <row r="71" spans="1:12" ht="22" customHeight="1">
      <c r="A71" s="3"/>
      <c r="B71" s="7"/>
      <c r="C71" s="3"/>
      <c r="D71" s="3"/>
      <c r="E71" s="3"/>
      <c r="F71" s="3"/>
      <c r="G71" s="3"/>
      <c r="H71" s="4"/>
      <c r="I71" s="4"/>
      <c r="J71" s="3"/>
      <c r="K71" s="8" t="str">
        <f t="shared" ref="K71:K134" si="1">IF(A71="","",H71+I71)</f>
        <v/>
      </c>
      <c r="L71" s="1" t="str">
        <f>IF(COUNTA(A71:J71)=0,"",IF(OR(AND(C71&lt;&gt;"Gasto",C71&lt;&gt;"Pago proveedor",C71&lt;&gt;"Retiro familiar",C71&lt;&gt;"Aportación",C71&lt;&gt;"Pago activo",C71&lt;&gt;"ISR devengado",C71&lt;&gt;"Pago ISR",C71&lt;&gt;"Pago IVA",C71&lt;&gt;"Compensación ISR",C71&lt;&gt;"Compensación IVA"),AND(C71="Gasto",D71&lt;&gt;"Costos clínicos",D71&lt;&gt;"Remuneración familiar",D71&lt;&gt;"Nómina y honorarios",D71&lt;&gt;"Renta",D71&lt;&gt;"Marketing",D71&lt;&gt;"Servicios y software",D71&lt;&gt;"Mantenimiento",D71&lt;&gt;"Otros",D71&lt;&gt;"Intereses")),"Tipo o categoría inválido",IF(COUNTA(A71:J71)=0,"",IF(OR(A71="",B71="",C71="",H71=""),"Faltan datos",IF(COUNTIF($A$7:$A$2006,A71)&gt;1,"ID duplicado",IF(OR(B71&lt;DATE(Configuración!$C$5,1,1),B71&gt;=DATE(Configuración!$C$5+1,1,1)),"Fecha fuera del año",IF(OR(H71&lt;0,I71&lt;0),"Revisar signo",IF(AND(C71&lt;&gt;"Gasto",I71&lt;&gt;0),"IVA solo en Gasto",IF(AND(C71="Gasto",D71=""),"Falta categoría","OK")))))))))</f>
        <v/>
      </c>
    </row>
    <row r="72" spans="1:12" ht="22" customHeight="1">
      <c r="A72" s="3"/>
      <c r="B72" s="7"/>
      <c r="C72" s="3"/>
      <c r="D72" s="3"/>
      <c r="E72" s="3"/>
      <c r="F72" s="3"/>
      <c r="G72" s="3"/>
      <c r="H72" s="4"/>
      <c r="I72" s="4"/>
      <c r="J72" s="3"/>
      <c r="K72" s="8" t="str">
        <f t="shared" si="1"/>
        <v/>
      </c>
      <c r="L72" s="1" t="str">
        <f>IF(COUNTA(A72:J72)=0,"",IF(OR(AND(C72&lt;&gt;"Gasto",C72&lt;&gt;"Pago proveedor",C72&lt;&gt;"Retiro familiar",C72&lt;&gt;"Aportación",C72&lt;&gt;"Pago activo",C72&lt;&gt;"ISR devengado",C72&lt;&gt;"Pago ISR",C72&lt;&gt;"Pago IVA",C72&lt;&gt;"Compensación ISR",C72&lt;&gt;"Compensación IVA"),AND(C72="Gasto",D72&lt;&gt;"Costos clínicos",D72&lt;&gt;"Remuneración familiar",D72&lt;&gt;"Nómina y honorarios",D72&lt;&gt;"Renta",D72&lt;&gt;"Marketing",D72&lt;&gt;"Servicios y software",D72&lt;&gt;"Mantenimiento",D72&lt;&gt;"Otros",D72&lt;&gt;"Intereses")),"Tipo o categoría inválido",IF(COUNTA(A72:J72)=0,"",IF(OR(A72="",B72="",C72="",H72=""),"Faltan datos",IF(COUNTIF($A$7:$A$2006,A72)&gt;1,"ID duplicado",IF(OR(B72&lt;DATE(Configuración!$C$5,1,1),B72&gt;=DATE(Configuración!$C$5+1,1,1)),"Fecha fuera del año",IF(OR(H72&lt;0,I72&lt;0),"Revisar signo",IF(AND(C72&lt;&gt;"Gasto",I72&lt;&gt;0),"IVA solo en Gasto",IF(AND(C72="Gasto",D72=""),"Falta categoría","OK")))))))))</f>
        <v/>
      </c>
    </row>
    <row r="73" spans="1:12" ht="22" customHeight="1">
      <c r="A73" s="3"/>
      <c r="B73" s="7"/>
      <c r="C73" s="3"/>
      <c r="D73" s="3"/>
      <c r="E73" s="3"/>
      <c r="F73" s="3"/>
      <c r="G73" s="3"/>
      <c r="H73" s="4"/>
      <c r="I73" s="4"/>
      <c r="J73" s="3"/>
      <c r="K73" s="8" t="str">
        <f t="shared" si="1"/>
        <v/>
      </c>
      <c r="L73" s="1" t="str">
        <f>IF(COUNTA(A73:J73)=0,"",IF(OR(AND(C73&lt;&gt;"Gasto",C73&lt;&gt;"Pago proveedor",C73&lt;&gt;"Retiro familiar",C73&lt;&gt;"Aportación",C73&lt;&gt;"Pago activo",C73&lt;&gt;"ISR devengado",C73&lt;&gt;"Pago ISR",C73&lt;&gt;"Pago IVA",C73&lt;&gt;"Compensación ISR",C73&lt;&gt;"Compensación IVA"),AND(C73="Gasto",D73&lt;&gt;"Costos clínicos",D73&lt;&gt;"Remuneración familiar",D73&lt;&gt;"Nómina y honorarios",D73&lt;&gt;"Renta",D73&lt;&gt;"Marketing",D73&lt;&gt;"Servicios y software",D73&lt;&gt;"Mantenimiento",D73&lt;&gt;"Otros",D73&lt;&gt;"Intereses")),"Tipo o categoría inválido",IF(COUNTA(A73:J73)=0,"",IF(OR(A73="",B73="",C73="",H73=""),"Faltan datos",IF(COUNTIF($A$7:$A$2006,A73)&gt;1,"ID duplicado",IF(OR(B73&lt;DATE(Configuración!$C$5,1,1),B73&gt;=DATE(Configuración!$C$5+1,1,1)),"Fecha fuera del año",IF(OR(H73&lt;0,I73&lt;0),"Revisar signo",IF(AND(C73&lt;&gt;"Gasto",I73&lt;&gt;0),"IVA solo en Gasto",IF(AND(C73="Gasto",D73=""),"Falta categoría","OK")))))))))</f>
        <v/>
      </c>
    </row>
    <row r="74" spans="1:12" ht="22" customHeight="1">
      <c r="A74" s="3"/>
      <c r="B74" s="7"/>
      <c r="C74" s="3"/>
      <c r="D74" s="3"/>
      <c r="E74" s="3"/>
      <c r="F74" s="3"/>
      <c r="G74" s="3"/>
      <c r="H74" s="4"/>
      <c r="I74" s="4"/>
      <c r="J74" s="3"/>
      <c r="K74" s="8" t="str">
        <f t="shared" si="1"/>
        <v/>
      </c>
      <c r="L74" s="1" t="str">
        <f>IF(COUNTA(A74:J74)=0,"",IF(OR(AND(C74&lt;&gt;"Gasto",C74&lt;&gt;"Pago proveedor",C74&lt;&gt;"Retiro familiar",C74&lt;&gt;"Aportación",C74&lt;&gt;"Pago activo",C74&lt;&gt;"ISR devengado",C74&lt;&gt;"Pago ISR",C74&lt;&gt;"Pago IVA",C74&lt;&gt;"Compensación ISR",C74&lt;&gt;"Compensación IVA"),AND(C74="Gasto",D74&lt;&gt;"Costos clínicos",D74&lt;&gt;"Remuneración familiar",D74&lt;&gt;"Nómina y honorarios",D74&lt;&gt;"Renta",D74&lt;&gt;"Marketing",D74&lt;&gt;"Servicios y software",D74&lt;&gt;"Mantenimiento",D74&lt;&gt;"Otros",D74&lt;&gt;"Intereses")),"Tipo o categoría inválido",IF(COUNTA(A74:J74)=0,"",IF(OR(A74="",B74="",C74="",H74=""),"Faltan datos",IF(COUNTIF($A$7:$A$2006,A74)&gt;1,"ID duplicado",IF(OR(B74&lt;DATE(Configuración!$C$5,1,1),B74&gt;=DATE(Configuración!$C$5+1,1,1)),"Fecha fuera del año",IF(OR(H74&lt;0,I74&lt;0),"Revisar signo",IF(AND(C74&lt;&gt;"Gasto",I74&lt;&gt;0),"IVA solo en Gasto",IF(AND(C74="Gasto",D74=""),"Falta categoría","OK")))))))))</f>
        <v/>
      </c>
    </row>
    <row r="75" spans="1:12" ht="22" customHeight="1">
      <c r="A75" s="3"/>
      <c r="B75" s="7"/>
      <c r="C75" s="3"/>
      <c r="D75" s="3"/>
      <c r="E75" s="3"/>
      <c r="F75" s="3"/>
      <c r="G75" s="3"/>
      <c r="H75" s="4"/>
      <c r="I75" s="4"/>
      <c r="J75" s="3"/>
      <c r="K75" s="8" t="str">
        <f t="shared" si="1"/>
        <v/>
      </c>
      <c r="L75" s="1" t="str">
        <f>IF(COUNTA(A75:J75)=0,"",IF(OR(AND(C75&lt;&gt;"Gasto",C75&lt;&gt;"Pago proveedor",C75&lt;&gt;"Retiro familiar",C75&lt;&gt;"Aportación",C75&lt;&gt;"Pago activo",C75&lt;&gt;"ISR devengado",C75&lt;&gt;"Pago ISR",C75&lt;&gt;"Pago IVA",C75&lt;&gt;"Compensación ISR",C75&lt;&gt;"Compensación IVA"),AND(C75="Gasto",D75&lt;&gt;"Costos clínicos",D75&lt;&gt;"Remuneración familiar",D75&lt;&gt;"Nómina y honorarios",D75&lt;&gt;"Renta",D75&lt;&gt;"Marketing",D75&lt;&gt;"Servicios y software",D75&lt;&gt;"Mantenimiento",D75&lt;&gt;"Otros",D75&lt;&gt;"Intereses")),"Tipo o categoría inválido",IF(COUNTA(A75:J75)=0,"",IF(OR(A75="",B75="",C75="",H75=""),"Faltan datos",IF(COUNTIF($A$7:$A$2006,A75)&gt;1,"ID duplicado",IF(OR(B75&lt;DATE(Configuración!$C$5,1,1),B75&gt;=DATE(Configuración!$C$5+1,1,1)),"Fecha fuera del año",IF(OR(H75&lt;0,I75&lt;0),"Revisar signo",IF(AND(C75&lt;&gt;"Gasto",I75&lt;&gt;0),"IVA solo en Gasto",IF(AND(C75="Gasto",D75=""),"Falta categoría","OK")))))))))</f>
        <v/>
      </c>
    </row>
    <row r="76" spans="1:12" ht="22" customHeight="1">
      <c r="A76" s="3"/>
      <c r="B76" s="7"/>
      <c r="C76" s="3"/>
      <c r="D76" s="3"/>
      <c r="E76" s="3"/>
      <c r="F76" s="3"/>
      <c r="G76" s="3"/>
      <c r="H76" s="4"/>
      <c r="I76" s="4"/>
      <c r="J76" s="3"/>
      <c r="K76" s="8" t="str">
        <f t="shared" si="1"/>
        <v/>
      </c>
      <c r="L76" s="1" t="str">
        <f>IF(COUNTA(A76:J76)=0,"",IF(OR(AND(C76&lt;&gt;"Gasto",C76&lt;&gt;"Pago proveedor",C76&lt;&gt;"Retiro familiar",C76&lt;&gt;"Aportación",C76&lt;&gt;"Pago activo",C76&lt;&gt;"ISR devengado",C76&lt;&gt;"Pago ISR",C76&lt;&gt;"Pago IVA",C76&lt;&gt;"Compensación ISR",C76&lt;&gt;"Compensación IVA"),AND(C76="Gasto",D76&lt;&gt;"Costos clínicos",D76&lt;&gt;"Remuneración familiar",D76&lt;&gt;"Nómina y honorarios",D76&lt;&gt;"Renta",D76&lt;&gt;"Marketing",D76&lt;&gt;"Servicios y software",D76&lt;&gt;"Mantenimiento",D76&lt;&gt;"Otros",D76&lt;&gt;"Intereses")),"Tipo o categoría inválido",IF(COUNTA(A76:J76)=0,"",IF(OR(A76="",B76="",C76="",H76=""),"Faltan datos",IF(COUNTIF($A$7:$A$2006,A76)&gt;1,"ID duplicado",IF(OR(B76&lt;DATE(Configuración!$C$5,1,1),B76&gt;=DATE(Configuración!$C$5+1,1,1)),"Fecha fuera del año",IF(OR(H76&lt;0,I76&lt;0),"Revisar signo",IF(AND(C76&lt;&gt;"Gasto",I76&lt;&gt;0),"IVA solo en Gasto",IF(AND(C76="Gasto",D76=""),"Falta categoría","OK")))))))))</f>
        <v/>
      </c>
    </row>
    <row r="77" spans="1:12" ht="22" customHeight="1">
      <c r="A77" s="3"/>
      <c r="B77" s="7"/>
      <c r="C77" s="3"/>
      <c r="D77" s="3"/>
      <c r="E77" s="3"/>
      <c r="F77" s="3"/>
      <c r="G77" s="3"/>
      <c r="H77" s="4"/>
      <c r="I77" s="4"/>
      <c r="J77" s="3"/>
      <c r="K77" s="8" t="str">
        <f t="shared" si="1"/>
        <v/>
      </c>
      <c r="L77" s="1" t="str">
        <f>IF(COUNTA(A77:J77)=0,"",IF(OR(AND(C77&lt;&gt;"Gasto",C77&lt;&gt;"Pago proveedor",C77&lt;&gt;"Retiro familiar",C77&lt;&gt;"Aportación",C77&lt;&gt;"Pago activo",C77&lt;&gt;"ISR devengado",C77&lt;&gt;"Pago ISR",C77&lt;&gt;"Pago IVA",C77&lt;&gt;"Compensación ISR",C77&lt;&gt;"Compensación IVA"),AND(C77="Gasto",D77&lt;&gt;"Costos clínicos",D77&lt;&gt;"Remuneración familiar",D77&lt;&gt;"Nómina y honorarios",D77&lt;&gt;"Renta",D77&lt;&gt;"Marketing",D77&lt;&gt;"Servicios y software",D77&lt;&gt;"Mantenimiento",D77&lt;&gt;"Otros",D77&lt;&gt;"Intereses")),"Tipo o categoría inválido",IF(COUNTA(A77:J77)=0,"",IF(OR(A77="",B77="",C77="",H77=""),"Faltan datos",IF(COUNTIF($A$7:$A$2006,A77)&gt;1,"ID duplicado",IF(OR(B77&lt;DATE(Configuración!$C$5,1,1),B77&gt;=DATE(Configuración!$C$5+1,1,1)),"Fecha fuera del año",IF(OR(H77&lt;0,I77&lt;0),"Revisar signo",IF(AND(C77&lt;&gt;"Gasto",I77&lt;&gt;0),"IVA solo en Gasto",IF(AND(C77="Gasto",D77=""),"Falta categoría","OK")))))))))</f>
        <v/>
      </c>
    </row>
    <row r="78" spans="1:12" ht="22" customHeight="1">
      <c r="A78" s="3"/>
      <c r="B78" s="7"/>
      <c r="C78" s="3"/>
      <c r="D78" s="3"/>
      <c r="E78" s="3"/>
      <c r="F78" s="3"/>
      <c r="G78" s="3"/>
      <c r="H78" s="4"/>
      <c r="I78" s="4"/>
      <c r="J78" s="3"/>
      <c r="K78" s="8" t="str">
        <f t="shared" si="1"/>
        <v/>
      </c>
      <c r="L78" s="1" t="str">
        <f>IF(COUNTA(A78:J78)=0,"",IF(OR(AND(C78&lt;&gt;"Gasto",C78&lt;&gt;"Pago proveedor",C78&lt;&gt;"Retiro familiar",C78&lt;&gt;"Aportación",C78&lt;&gt;"Pago activo",C78&lt;&gt;"ISR devengado",C78&lt;&gt;"Pago ISR",C78&lt;&gt;"Pago IVA",C78&lt;&gt;"Compensación ISR",C78&lt;&gt;"Compensación IVA"),AND(C78="Gasto",D78&lt;&gt;"Costos clínicos",D78&lt;&gt;"Remuneración familiar",D78&lt;&gt;"Nómina y honorarios",D78&lt;&gt;"Renta",D78&lt;&gt;"Marketing",D78&lt;&gt;"Servicios y software",D78&lt;&gt;"Mantenimiento",D78&lt;&gt;"Otros",D78&lt;&gt;"Intereses")),"Tipo o categoría inválido",IF(COUNTA(A78:J78)=0,"",IF(OR(A78="",B78="",C78="",H78=""),"Faltan datos",IF(COUNTIF($A$7:$A$2006,A78)&gt;1,"ID duplicado",IF(OR(B78&lt;DATE(Configuración!$C$5,1,1),B78&gt;=DATE(Configuración!$C$5+1,1,1)),"Fecha fuera del año",IF(OR(H78&lt;0,I78&lt;0),"Revisar signo",IF(AND(C78&lt;&gt;"Gasto",I78&lt;&gt;0),"IVA solo en Gasto",IF(AND(C78="Gasto",D78=""),"Falta categoría","OK")))))))))</f>
        <v/>
      </c>
    </row>
    <row r="79" spans="1:12" ht="22" customHeight="1">
      <c r="A79" s="3"/>
      <c r="B79" s="7"/>
      <c r="C79" s="3"/>
      <c r="D79" s="3"/>
      <c r="E79" s="3"/>
      <c r="F79" s="3"/>
      <c r="G79" s="3"/>
      <c r="H79" s="4"/>
      <c r="I79" s="4"/>
      <c r="J79" s="3"/>
      <c r="K79" s="8" t="str">
        <f t="shared" si="1"/>
        <v/>
      </c>
      <c r="L79" s="1" t="str">
        <f>IF(COUNTA(A79:J79)=0,"",IF(OR(AND(C79&lt;&gt;"Gasto",C79&lt;&gt;"Pago proveedor",C79&lt;&gt;"Retiro familiar",C79&lt;&gt;"Aportación",C79&lt;&gt;"Pago activo",C79&lt;&gt;"ISR devengado",C79&lt;&gt;"Pago ISR",C79&lt;&gt;"Pago IVA",C79&lt;&gt;"Compensación ISR",C79&lt;&gt;"Compensación IVA"),AND(C79="Gasto",D79&lt;&gt;"Costos clínicos",D79&lt;&gt;"Remuneración familiar",D79&lt;&gt;"Nómina y honorarios",D79&lt;&gt;"Renta",D79&lt;&gt;"Marketing",D79&lt;&gt;"Servicios y software",D79&lt;&gt;"Mantenimiento",D79&lt;&gt;"Otros",D79&lt;&gt;"Intereses")),"Tipo o categoría inválido",IF(COUNTA(A79:J79)=0,"",IF(OR(A79="",B79="",C79="",H79=""),"Faltan datos",IF(COUNTIF($A$7:$A$2006,A79)&gt;1,"ID duplicado",IF(OR(B79&lt;DATE(Configuración!$C$5,1,1),B79&gt;=DATE(Configuración!$C$5+1,1,1)),"Fecha fuera del año",IF(OR(H79&lt;0,I79&lt;0),"Revisar signo",IF(AND(C79&lt;&gt;"Gasto",I79&lt;&gt;0),"IVA solo en Gasto",IF(AND(C79="Gasto",D79=""),"Falta categoría","OK")))))))))</f>
        <v/>
      </c>
    </row>
    <row r="80" spans="1:12" ht="22" customHeight="1">
      <c r="A80" s="3"/>
      <c r="B80" s="7"/>
      <c r="C80" s="3"/>
      <c r="D80" s="3"/>
      <c r="E80" s="3"/>
      <c r="F80" s="3"/>
      <c r="G80" s="3"/>
      <c r="H80" s="4"/>
      <c r="I80" s="4"/>
      <c r="J80" s="3"/>
      <c r="K80" s="8" t="str">
        <f t="shared" si="1"/>
        <v/>
      </c>
      <c r="L80" s="1" t="str">
        <f>IF(COUNTA(A80:J80)=0,"",IF(OR(AND(C80&lt;&gt;"Gasto",C80&lt;&gt;"Pago proveedor",C80&lt;&gt;"Retiro familiar",C80&lt;&gt;"Aportación",C80&lt;&gt;"Pago activo",C80&lt;&gt;"ISR devengado",C80&lt;&gt;"Pago ISR",C80&lt;&gt;"Pago IVA",C80&lt;&gt;"Compensación ISR",C80&lt;&gt;"Compensación IVA"),AND(C80="Gasto",D80&lt;&gt;"Costos clínicos",D80&lt;&gt;"Remuneración familiar",D80&lt;&gt;"Nómina y honorarios",D80&lt;&gt;"Renta",D80&lt;&gt;"Marketing",D80&lt;&gt;"Servicios y software",D80&lt;&gt;"Mantenimiento",D80&lt;&gt;"Otros",D80&lt;&gt;"Intereses")),"Tipo o categoría inválido",IF(COUNTA(A80:J80)=0,"",IF(OR(A80="",B80="",C80="",H80=""),"Faltan datos",IF(COUNTIF($A$7:$A$2006,A80)&gt;1,"ID duplicado",IF(OR(B80&lt;DATE(Configuración!$C$5,1,1),B80&gt;=DATE(Configuración!$C$5+1,1,1)),"Fecha fuera del año",IF(OR(H80&lt;0,I80&lt;0),"Revisar signo",IF(AND(C80&lt;&gt;"Gasto",I80&lt;&gt;0),"IVA solo en Gasto",IF(AND(C80="Gasto",D80=""),"Falta categoría","OK")))))))))</f>
        <v/>
      </c>
    </row>
    <row r="81" spans="1:12" ht="22" customHeight="1">
      <c r="A81" s="3"/>
      <c r="B81" s="7"/>
      <c r="C81" s="3"/>
      <c r="D81" s="3"/>
      <c r="E81" s="3"/>
      <c r="F81" s="3"/>
      <c r="G81" s="3"/>
      <c r="H81" s="4"/>
      <c r="I81" s="4"/>
      <c r="J81" s="3"/>
      <c r="K81" s="8" t="str">
        <f t="shared" si="1"/>
        <v/>
      </c>
      <c r="L81" s="1" t="str">
        <f>IF(COUNTA(A81:J81)=0,"",IF(OR(AND(C81&lt;&gt;"Gasto",C81&lt;&gt;"Pago proveedor",C81&lt;&gt;"Retiro familiar",C81&lt;&gt;"Aportación",C81&lt;&gt;"Pago activo",C81&lt;&gt;"ISR devengado",C81&lt;&gt;"Pago ISR",C81&lt;&gt;"Pago IVA",C81&lt;&gt;"Compensación ISR",C81&lt;&gt;"Compensación IVA"),AND(C81="Gasto",D81&lt;&gt;"Costos clínicos",D81&lt;&gt;"Remuneración familiar",D81&lt;&gt;"Nómina y honorarios",D81&lt;&gt;"Renta",D81&lt;&gt;"Marketing",D81&lt;&gt;"Servicios y software",D81&lt;&gt;"Mantenimiento",D81&lt;&gt;"Otros",D81&lt;&gt;"Intereses")),"Tipo o categoría inválido",IF(COUNTA(A81:J81)=0,"",IF(OR(A81="",B81="",C81="",H81=""),"Faltan datos",IF(COUNTIF($A$7:$A$2006,A81)&gt;1,"ID duplicado",IF(OR(B81&lt;DATE(Configuración!$C$5,1,1),B81&gt;=DATE(Configuración!$C$5+1,1,1)),"Fecha fuera del año",IF(OR(H81&lt;0,I81&lt;0),"Revisar signo",IF(AND(C81&lt;&gt;"Gasto",I81&lt;&gt;0),"IVA solo en Gasto",IF(AND(C81="Gasto",D81=""),"Falta categoría","OK")))))))))</f>
        <v/>
      </c>
    </row>
    <row r="82" spans="1:12" ht="22" customHeight="1">
      <c r="A82" s="3"/>
      <c r="B82" s="7"/>
      <c r="C82" s="3"/>
      <c r="D82" s="3"/>
      <c r="E82" s="3"/>
      <c r="F82" s="3"/>
      <c r="G82" s="3"/>
      <c r="H82" s="4"/>
      <c r="I82" s="4"/>
      <c r="J82" s="3"/>
      <c r="K82" s="8" t="str">
        <f t="shared" si="1"/>
        <v/>
      </c>
      <c r="L82" s="1" t="str">
        <f>IF(COUNTA(A82:J82)=0,"",IF(OR(AND(C82&lt;&gt;"Gasto",C82&lt;&gt;"Pago proveedor",C82&lt;&gt;"Retiro familiar",C82&lt;&gt;"Aportación",C82&lt;&gt;"Pago activo",C82&lt;&gt;"ISR devengado",C82&lt;&gt;"Pago ISR",C82&lt;&gt;"Pago IVA",C82&lt;&gt;"Compensación ISR",C82&lt;&gt;"Compensación IVA"),AND(C82="Gasto",D82&lt;&gt;"Costos clínicos",D82&lt;&gt;"Remuneración familiar",D82&lt;&gt;"Nómina y honorarios",D82&lt;&gt;"Renta",D82&lt;&gt;"Marketing",D82&lt;&gt;"Servicios y software",D82&lt;&gt;"Mantenimiento",D82&lt;&gt;"Otros",D82&lt;&gt;"Intereses")),"Tipo o categoría inválido",IF(COUNTA(A82:J82)=0,"",IF(OR(A82="",B82="",C82="",H82=""),"Faltan datos",IF(COUNTIF($A$7:$A$2006,A82)&gt;1,"ID duplicado",IF(OR(B82&lt;DATE(Configuración!$C$5,1,1),B82&gt;=DATE(Configuración!$C$5+1,1,1)),"Fecha fuera del año",IF(OR(H82&lt;0,I82&lt;0),"Revisar signo",IF(AND(C82&lt;&gt;"Gasto",I82&lt;&gt;0),"IVA solo en Gasto",IF(AND(C82="Gasto",D82=""),"Falta categoría","OK")))))))))</f>
        <v/>
      </c>
    </row>
    <row r="83" spans="1:12" ht="22" customHeight="1">
      <c r="A83" s="3"/>
      <c r="B83" s="7"/>
      <c r="C83" s="3"/>
      <c r="D83" s="3"/>
      <c r="E83" s="3"/>
      <c r="F83" s="3"/>
      <c r="G83" s="3"/>
      <c r="H83" s="4"/>
      <c r="I83" s="4"/>
      <c r="J83" s="3"/>
      <c r="K83" s="8" t="str">
        <f t="shared" si="1"/>
        <v/>
      </c>
      <c r="L83" s="1" t="str">
        <f>IF(COUNTA(A83:J83)=0,"",IF(OR(AND(C83&lt;&gt;"Gasto",C83&lt;&gt;"Pago proveedor",C83&lt;&gt;"Retiro familiar",C83&lt;&gt;"Aportación",C83&lt;&gt;"Pago activo",C83&lt;&gt;"ISR devengado",C83&lt;&gt;"Pago ISR",C83&lt;&gt;"Pago IVA",C83&lt;&gt;"Compensación ISR",C83&lt;&gt;"Compensación IVA"),AND(C83="Gasto",D83&lt;&gt;"Costos clínicos",D83&lt;&gt;"Remuneración familiar",D83&lt;&gt;"Nómina y honorarios",D83&lt;&gt;"Renta",D83&lt;&gt;"Marketing",D83&lt;&gt;"Servicios y software",D83&lt;&gt;"Mantenimiento",D83&lt;&gt;"Otros",D83&lt;&gt;"Intereses")),"Tipo o categoría inválido",IF(COUNTA(A83:J83)=0,"",IF(OR(A83="",B83="",C83="",H83=""),"Faltan datos",IF(COUNTIF($A$7:$A$2006,A83)&gt;1,"ID duplicado",IF(OR(B83&lt;DATE(Configuración!$C$5,1,1),B83&gt;=DATE(Configuración!$C$5+1,1,1)),"Fecha fuera del año",IF(OR(H83&lt;0,I83&lt;0),"Revisar signo",IF(AND(C83&lt;&gt;"Gasto",I83&lt;&gt;0),"IVA solo en Gasto",IF(AND(C83="Gasto",D83=""),"Falta categoría","OK")))))))))</f>
        <v/>
      </c>
    </row>
    <row r="84" spans="1:12" ht="22" customHeight="1">
      <c r="A84" s="3"/>
      <c r="B84" s="7"/>
      <c r="C84" s="3"/>
      <c r="D84" s="3"/>
      <c r="E84" s="3"/>
      <c r="F84" s="3"/>
      <c r="G84" s="3"/>
      <c r="H84" s="4"/>
      <c r="I84" s="4"/>
      <c r="J84" s="3"/>
      <c r="K84" s="8" t="str">
        <f t="shared" si="1"/>
        <v/>
      </c>
      <c r="L84" s="1" t="str">
        <f>IF(COUNTA(A84:J84)=0,"",IF(OR(AND(C84&lt;&gt;"Gasto",C84&lt;&gt;"Pago proveedor",C84&lt;&gt;"Retiro familiar",C84&lt;&gt;"Aportación",C84&lt;&gt;"Pago activo",C84&lt;&gt;"ISR devengado",C84&lt;&gt;"Pago ISR",C84&lt;&gt;"Pago IVA",C84&lt;&gt;"Compensación ISR",C84&lt;&gt;"Compensación IVA"),AND(C84="Gasto",D84&lt;&gt;"Costos clínicos",D84&lt;&gt;"Remuneración familiar",D84&lt;&gt;"Nómina y honorarios",D84&lt;&gt;"Renta",D84&lt;&gt;"Marketing",D84&lt;&gt;"Servicios y software",D84&lt;&gt;"Mantenimiento",D84&lt;&gt;"Otros",D84&lt;&gt;"Intereses")),"Tipo o categoría inválido",IF(COUNTA(A84:J84)=0,"",IF(OR(A84="",B84="",C84="",H84=""),"Faltan datos",IF(COUNTIF($A$7:$A$2006,A84)&gt;1,"ID duplicado",IF(OR(B84&lt;DATE(Configuración!$C$5,1,1),B84&gt;=DATE(Configuración!$C$5+1,1,1)),"Fecha fuera del año",IF(OR(H84&lt;0,I84&lt;0),"Revisar signo",IF(AND(C84&lt;&gt;"Gasto",I84&lt;&gt;0),"IVA solo en Gasto",IF(AND(C84="Gasto",D84=""),"Falta categoría","OK")))))))))</f>
        <v/>
      </c>
    </row>
    <row r="85" spans="1:12" ht="22" customHeight="1">
      <c r="A85" s="3"/>
      <c r="B85" s="7"/>
      <c r="C85" s="3"/>
      <c r="D85" s="3"/>
      <c r="E85" s="3"/>
      <c r="F85" s="3"/>
      <c r="G85" s="3"/>
      <c r="H85" s="4"/>
      <c r="I85" s="4"/>
      <c r="J85" s="3"/>
      <c r="K85" s="8" t="str">
        <f t="shared" si="1"/>
        <v/>
      </c>
      <c r="L85" s="1" t="str">
        <f>IF(COUNTA(A85:J85)=0,"",IF(OR(AND(C85&lt;&gt;"Gasto",C85&lt;&gt;"Pago proveedor",C85&lt;&gt;"Retiro familiar",C85&lt;&gt;"Aportación",C85&lt;&gt;"Pago activo",C85&lt;&gt;"ISR devengado",C85&lt;&gt;"Pago ISR",C85&lt;&gt;"Pago IVA",C85&lt;&gt;"Compensación ISR",C85&lt;&gt;"Compensación IVA"),AND(C85="Gasto",D85&lt;&gt;"Costos clínicos",D85&lt;&gt;"Remuneración familiar",D85&lt;&gt;"Nómina y honorarios",D85&lt;&gt;"Renta",D85&lt;&gt;"Marketing",D85&lt;&gt;"Servicios y software",D85&lt;&gt;"Mantenimiento",D85&lt;&gt;"Otros",D85&lt;&gt;"Intereses")),"Tipo o categoría inválido",IF(COUNTA(A85:J85)=0,"",IF(OR(A85="",B85="",C85="",H85=""),"Faltan datos",IF(COUNTIF($A$7:$A$2006,A85)&gt;1,"ID duplicado",IF(OR(B85&lt;DATE(Configuración!$C$5,1,1),B85&gt;=DATE(Configuración!$C$5+1,1,1)),"Fecha fuera del año",IF(OR(H85&lt;0,I85&lt;0),"Revisar signo",IF(AND(C85&lt;&gt;"Gasto",I85&lt;&gt;0),"IVA solo en Gasto",IF(AND(C85="Gasto",D85=""),"Falta categoría","OK")))))))))</f>
        <v/>
      </c>
    </row>
    <row r="86" spans="1:12" ht="22" customHeight="1">
      <c r="A86" s="3"/>
      <c r="B86" s="7"/>
      <c r="C86" s="3"/>
      <c r="D86" s="3"/>
      <c r="E86" s="3"/>
      <c r="F86" s="3"/>
      <c r="G86" s="3"/>
      <c r="H86" s="4"/>
      <c r="I86" s="4"/>
      <c r="J86" s="3"/>
      <c r="K86" s="8" t="str">
        <f t="shared" si="1"/>
        <v/>
      </c>
      <c r="L86" s="1" t="str">
        <f>IF(COUNTA(A86:J86)=0,"",IF(OR(AND(C86&lt;&gt;"Gasto",C86&lt;&gt;"Pago proveedor",C86&lt;&gt;"Retiro familiar",C86&lt;&gt;"Aportación",C86&lt;&gt;"Pago activo",C86&lt;&gt;"ISR devengado",C86&lt;&gt;"Pago ISR",C86&lt;&gt;"Pago IVA",C86&lt;&gt;"Compensación ISR",C86&lt;&gt;"Compensación IVA"),AND(C86="Gasto",D86&lt;&gt;"Costos clínicos",D86&lt;&gt;"Remuneración familiar",D86&lt;&gt;"Nómina y honorarios",D86&lt;&gt;"Renta",D86&lt;&gt;"Marketing",D86&lt;&gt;"Servicios y software",D86&lt;&gt;"Mantenimiento",D86&lt;&gt;"Otros",D86&lt;&gt;"Intereses")),"Tipo o categoría inválido",IF(COUNTA(A86:J86)=0,"",IF(OR(A86="",B86="",C86="",H86=""),"Faltan datos",IF(COUNTIF($A$7:$A$2006,A86)&gt;1,"ID duplicado",IF(OR(B86&lt;DATE(Configuración!$C$5,1,1),B86&gt;=DATE(Configuración!$C$5+1,1,1)),"Fecha fuera del año",IF(OR(H86&lt;0,I86&lt;0),"Revisar signo",IF(AND(C86&lt;&gt;"Gasto",I86&lt;&gt;0),"IVA solo en Gasto",IF(AND(C86="Gasto",D86=""),"Falta categoría","OK")))))))))</f>
        <v/>
      </c>
    </row>
    <row r="87" spans="1:12" ht="22" customHeight="1">
      <c r="A87" s="3"/>
      <c r="B87" s="7"/>
      <c r="C87" s="3"/>
      <c r="D87" s="3"/>
      <c r="E87" s="3"/>
      <c r="F87" s="3"/>
      <c r="G87" s="3"/>
      <c r="H87" s="4"/>
      <c r="I87" s="4"/>
      <c r="J87" s="3"/>
      <c r="K87" s="8" t="str">
        <f t="shared" si="1"/>
        <v/>
      </c>
      <c r="L87" s="1" t="str">
        <f>IF(COUNTA(A87:J87)=0,"",IF(OR(AND(C87&lt;&gt;"Gasto",C87&lt;&gt;"Pago proveedor",C87&lt;&gt;"Retiro familiar",C87&lt;&gt;"Aportación",C87&lt;&gt;"Pago activo",C87&lt;&gt;"ISR devengado",C87&lt;&gt;"Pago ISR",C87&lt;&gt;"Pago IVA",C87&lt;&gt;"Compensación ISR",C87&lt;&gt;"Compensación IVA"),AND(C87="Gasto",D87&lt;&gt;"Costos clínicos",D87&lt;&gt;"Remuneración familiar",D87&lt;&gt;"Nómina y honorarios",D87&lt;&gt;"Renta",D87&lt;&gt;"Marketing",D87&lt;&gt;"Servicios y software",D87&lt;&gt;"Mantenimiento",D87&lt;&gt;"Otros",D87&lt;&gt;"Intereses")),"Tipo o categoría inválido",IF(COUNTA(A87:J87)=0,"",IF(OR(A87="",B87="",C87="",H87=""),"Faltan datos",IF(COUNTIF($A$7:$A$2006,A87)&gt;1,"ID duplicado",IF(OR(B87&lt;DATE(Configuración!$C$5,1,1),B87&gt;=DATE(Configuración!$C$5+1,1,1)),"Fecha fuera del año",IF(OR(H87&lt;0,I87&lt;0),"Revisar signo",IF(AND(C87&lt;&gt;"Gasto",I87&lt;&gt;0),"IVA solo en Gasto",IF(AND(C87="Gasto",D87=""),"Falta categoría","OK")))))))))</f>
        <v/>
      </c>
    </row>
    <row r="88" spans="1:12" ht="22" customHeight="1">
      <c r="A88" s="3"/>
      <c r="B88" s="7"/>
      <c r="C88" s="3"/>
      <c r="D88" s="3"/>
      <c r="E88" s="3"/>
      <c r="F88" s="3"/>
      <c r="G88" s="3"/>
      <c r="H88" s="4"/>
      <c r="I88" s="4"/>
      <c r="J88" s="3"/>
      <c r="K88" s="8" t="str">
        <f t="shared" si="1"/>
        <v/>
      </c>
      <c r="L88" s="1" t="str">
        <f>IF(COUNTA(A88:J88)=0,"",IF(OR(AND(C88&lt;&gt;"Gasto",C88&lt;&gt;"Pago proveedor",C88&lt;&gt;"Retiro familiar",C88&lt;&gt;"Aportación",C88&lt;&gt;"Pago activo",C88&lt;&gt;"ISR devengado",C88&lt;&gt;"Pago ISR",C88&lt;&gt;"Pago IVA",C88&lt;&gt;"Compensación ISR",C88&lt;&gt;"Compensación IVA"),AND(C88="Gasto",D88&lt;&gt;"Costos clínicos",D88&lt;&gt;"Remuneración familiar",D88&lt;&gt;"Nómina y honorarios",D88&lt;&gt;"Renta",D88&lt;&gt;"Marketing",D88&lt;&gt;"Servicios y software",D88&lt;&gt;"Mantenimiento",D88&lt;&gt;"Otros",D88&lt;&gt;"Intereses")),"Tipo o categoría inválido",IF(COUNTA(A88:J88)=0,"",IF(OR(A88="",B88="",C88="",H88=""),"Faltan datos",IF(COUNTIF($A$7:$A$2006,A88)&gt;1,"ID duplicado",IF(OR(B88&lt;DATE(Configuración!$C$5,1,1),B88&gt;=DATE(Configuración!$C$5+1,1,1)),"Fecha fuera del año",IF(OR(H88&lt;0,I88&lt;0),"Revisar signo",IF(AND(C88&lt;&gt;"Gasto",I88&lt;&gt;0),"IVA solo en Gasto",IF(AND(C88="Gasto",D88=""),"Falta categoría","OK")))))))))</f>
        <v/>
      </c>
    </row>
    <row r="89" spans="1:12" ht="22" customHeight="1">
      <c r="A89" s="3"/>
      <c r="B89" s="7"/>
      <c r="C89" s="3"/>
      <c r="D89" s="3"/>
      <c r="E89" s="3"/>
      <c r="F89" s="3"/>
      <c r="G89" s="3"/>
      <c r="H89" s="4"/>
      <c r="I89" s="4"/>
      <c r="J89" s="3"/>
      <c r="K89" s="8" t="str">
        <f t="shared" si="1"/>
        <v/>
      </c>
      <c r="L89" s="1" t="str">
        <f>IF(COUNTA(A89:J89)=0,"",IF(OR(AND(C89&lt;&gt;"Gasto",C89&lt;&gt;"Pago proveedor",C89&lt;&gt;"Retiro familiar",C89&lt;&gt;"Aportación",C89&lt;&gt;"Pago activo",C89&lt;&gt;"ISR devengado",C89&lt;&gt;"Pago ISR",C89&lt;&gt;"Pago IVA",C89&lt;&gt;"Compensación ISR",C89&lt;&gt;"Compensación IVA"),AND(C89="Gasto",D89&lt;&gt;"Costos clínicos",D89&lt;&gt;"Remuneración familiar",D89&lt;&gt;"Nómina y honorarios",D89&lt;&gt;"Renta",D89&lt;&gt;"Marketing",D89&lt;&gt;"Servicios y software",D89&lt;&gt;"Mantenimiento",D89&lt;&gt;"Otros",D89&lt;&gt;"Intereses")),"Tipo o categoría inválido",IF(COUNTA(A89:J89)=0,"",IF(OR(A89="",B89="",C89="",H89=""),"Faltan datos",IF(COUNTIF($A$7:$A$2006,A89)&gt;1,"ID duplicado",IF(OR(B89&lt;DATE(Configuración!$C$5,1,1),B89&gt;=DATE(Configuración!$C$5+1,1,1)),"Fecha fuera del año",IF(OR(H89&lt;0,I89&lt;0),"Revisar signo",IF(AND(C89&lt;&gt;"Gasto",I89&lt;&gt;0),"IVA solo en Gasto",IF(AND(C89="Gasto",D89=""),"Falta categoría","OK")))))))))</f>
        <v/>
      </c>
    </row>
    <row r="90" spans="1:12" ht="22" customHeight="1">
      <c r="A90" s="3"/>
      <c r="B90" s="7"/>
      <c r="C90" s="3"/>
      <c r="D90" s="3"/>
      <c r="E90" s="3"/>
      <c r="F90" s="3"/>
      <c r="G90" s="3"/>
      <c r="H90" s="4"/>
      <c r="I90" s="4"/>
      <c r="J90" s="3"/>
      <c r="K90" s="8" t="str">
        <f t="shared" si="1"/>
        <v/>
      </c>
      <c r="L90" s="1" t="str">
        <f>IF(COUNTA(A90:J90)=0,"",IF(OR(AND(C90&lt;&gt;"Gasto",C90&lt;&gt;"Pago proveedor",C90&lt;&gt;"Retiro familiar",C90&lt;&gt;"Aportación",C90&lt;&gt;"Pago activo",C90&lt;&gt;"ISR devengado",C90&lt;&gt;"Pago ISR",C90&lt;&gt;"Pago IVA",C90&lt;&gt;"Compensación ISR",C90&lt;&gt;"Compensación IVA"),AND(C90="Gasto",D90&lt;&gt;"Costos clínicos",D90&lt;&gt;"Remuneración familiar",D90&lt;&gt;"Nómina y honorarios",D90&lt;&gt;"Renta",D90&lt;&gt;"Marketing",D90&lt;&gt;"Servicios y software",D90&lt;&gt;"Mantenimiento",D90&lt;&gt;"Otros",D90&lt;&gt;"Intereses")),"Tipo o categoría inválido",IF(COUNTA(A90:J90)=0,"",IF(OR(A90="",B90="",C90="",H90=""),"Faltan datos",IF(COUNTIF($A$7:$A$2006,A90)&gt;1,"ID duplicado",IF(OR(B90&lt;DATE(Configuración!$C$5,1,1),B90&gt;=DATE(Configuración!$C$5+1,1,1)),"Fecha fuera del año",IF(OR(H90&lt;0,I90&lt;0),"Revisar signo",IF(AND(C90&lt;&gt;"Gasto",I90&lt;&gt;0),"IVA solo en Gasto",IF(AND(C90="Gasto",D90=""),"Falta categoría","OK")))))))))</f>
        <v/>
      </c>
    </row>
    <row r="91" spans="1:12" ht="22" customHeight="1">
      <c r="A91" s="3"/>
      <c r="B91" s="7"/>
      <c r="C91" s="3"/>
      <c r="D91" s="3"/>
      <c r="E91" s="3"/>
      <c r="F91" s="3"/>
      <c r="G91" s="3"/>
      <c r="H91" s="4"/>
      <c r="I91" s="4"/>
      <c r="J91" s="3"/>
      <c r="K91" s="8" t="str">
        <f t="shared" si="1"/>
        <v/>
      </c>
      <c r="L91" s="1" t="str">
        <f>IF(COUNTA(A91:J91)=0,"",IF(OR(AND(C91&lt;&gt;"Gasto",C91&lt;&gt;"Pago proveedor",C91&lt;&gt;"Retiro familiar",C91&lt;&gt;"Aportación",C91&lt;&gt;"Pago activo",C91&lt;&gt;"ISR devengado",C91&lt;&gt;"Pago ISR",C91&lt;&gt;"Pago IVA",C91&lt;&gt;"Compensación ISR",C91&lt;&gt;"Compensación IVA"),AND(C91="Gasto",D91&lt;&gt;"Costos clínicos",D91&lt;&gt;"Remuneración familiar",D91&lt;&gt;"Nómina y honorarios",D91&lt;&gt;"Renta",D91&lt;&gt;"Marketing",D91&lt;&gt;"Servicios y software",D91&lt;&gt;"Mantenimiento",D91&lt;&gt;"Otros",D91&lt;&gt;"Intereses")),"Tipo o categoría inválido",IF(COUNTA(A91:J91)=0,"",IF(OR(A91="",B91="",C91="",H91=""),"Faltan datos",IF(COUNTIF($A$7:$A$2006,A91)&gt;1,"ID duplicado",IF(OR(B91&lt;DATE(Configuración!$C$5,1,1),B91&gt;=DATE(Configuración!$C$5+1,1,1)),"Fecha fuera del año",IF(OR(H91&lt;0,I91&lt;0),"Revisar signo",IF(AND(C91&lt;&gt;"Gasto",I91&lt;&gt;0),"IVA solo en Gasto",IF(AND(C91="Gasto",D91=""),"Falta categoría","OK")))))))))</f>
        <v/>
      </c>
    </row>
    <row r="92" spans="1:12" ht="22" customHeight="1">
      <c r="A92" s="3"/>
      <c r="B92" s="7"/>
      <c r="C92" s="3"/>
      <c r="D92" s="3"/>
      <c r="E92" s="3"/>
      <c r="F92" s="3"/>
      <c r="G92" s="3"/>
      <c r="H92" s="4"/>
      <c r="I92" s="4"/>
      <c r="J92" s="3"/>
      <c r="K92" s="8" t="str">
        <f t="shared" si="1"/>
        <v/>
      </c>
      <c r="L92" s="1" t="str">
        <f>IF(COUNTA(A92:J92)=0,"",IF(OR(AND(C92&lt;&gt;"Gasto",C92&lt;&gt;"Pago proveedor",C92&lt;&gt;"Retiro familiar",C92&lt;&gt;"Aportación",C92&lt;&gt;"Pago activo",C92&lt;&gt;"ISR devengado",C92&lt;&gt;"Pago ISR",C92&lt;&gt;"Pago IVA",C92&lt;&gt;"Compensación ISR",C92&lt;&gt;"Compensación IVA"),AND(C92="Gasto",D92&lt;&gt;"Costos clínicos",D92&lt;&gt;"Remuneración familiar",D92&lt;&gt;"Nómina y honorarios",D92&lt;&gt;"Renta",D92&lt;&gt;"Marketing",D92&lt;&gt;"Servicios y software",D92&lt;&gt;"Mantenimiento",D92&lt;&gt;"Otros",D92&lt;&gt;"Intereses")),"Tipo o categoría inválido",IF(COUNTA(A92:J92)=0,"",IF(OR(A92="",B92="",C92="",H92=""),"Faltan datos",IF(COUNTIF($A$7:$A$2006,A92)&gt;1,"ID duplicado",IF(OR(B92&lt;DATE(Configuración!$C$5,1,1),B92&gt;=DATE(Configuración!$C$5+1,1,1)),"Fecha fuera del año",IF(OR(H92&lt;0,I92&lt;0),"Revisar signo",IF(AND(C92&lt;&gt;"Gasto",I92&lt;&gt;0),"IVA solo en Gasto",IF(AND(C92="Gasto",D92=""),"Falta categoría","OK")))))))))</f>
        <v/>
      </c>
    </row>
    <row r="93" spans="1:12" ht="22" customHeight="1">
      <c r="A93" s="3"/>
      <c r="B93" s="7"/>
      <c r="C93" s="3"/>
      <c r="D93" s="3"/>
      <c r="E93" s="3"/>
      <c r="F93" s="3"/>
      <c r="G93" s="3"/>
      <c r="H93" s="4"/>
      <c r="I93" s="4"/>
      <c r="J93" s="3"/>
      <c r="K93" s="8" t="str">
        <f t="shared" si="1"/>
        <v/>
      </c>
      <c r="L93" s="1" t="str">
        <f>IF(COUNTA(A93:J93)=0,"",IF(OR(AND(C93&lt;&gt;"Gasto",C93&lt;&gt;"Pago proveedor",C93&lt;&gt;"Retiro familiar",C93&lt;&gt;"Aportación",C93&lt;&gt;"Pago activo",C93&lt;&gt;"ISR devengado",C93&lt;&gt;"Pago ISR",C93&lt;&gt;"Pago IVA",C93&lt;&gt;"Compensación ISR",C93&lt;&gt;"Compensación IVA"),AND(C93="Gasto",D93&lt;&gt;"Costos clínicos",D93&lt;&gt;"Remuneración familiar",D93&lt;&gt;"Nómina y honorarios",D93&lt;&gt;"Renta",D93&lt;&gt;"Marketing",D93&lt;&gt;"Servicios y software",D93&lt;&gt;"Mantenimiento",D93&lt;&gt;"Otros",D93&lt;&gt;"Intereses")),"Tipo o categoría inválido",IF(COUNTA(A93:J93)=0,"",IF(OR(A93="",B93="",C93="",H93=""),"Faltan datos",IF(COUNTIF($A$7:$A$2006,A93)&gt;1,"ID duplicado",IF(OR(B93&lt;DATE(Configuración!$C$5,1,1),B93&gt;=DATE(Configuración!$C$5+1,1,1)),"Fecha fuera del año",IF(OR(H93&lt;0,I93&lt;0),"Revisar signo",IF(AND(C93&lt;&gt;"Gasto",I93&lt;&gt;0),"IVA solo en Gasto",IF(AND(C93="Gasto",D93=""),"Falta categoría","OK")))))))))</f>
        <v/>
      </c>
    </row>
    <row r="94" spans="1:12" ht="22" customHeight="1">
      <c r="A94" s="3"/>
      <c r="B94" s="7"/>
      <c r="C94" s="3"/>
      <c r="D94" s="3"/>
      <c r="E94" s="3"/>
      <c r="F94" s="3"/>
      <c r="G94" s="3"/>
      <c r="H94" s="4"/>
      <c r="I94" s="4"/>
      <c r="J94" s="3"/>
      <c r="K94" s="8" t="str">
        <f t="shared" si="1"/>
        <v/>
      </c>
      <c r="L94" s="1" t="str">
        <f>IF(COUNTA(A94:J94)=0,"",IF(OR(AND(C94&lt;&gt;"Gasto",C94&lt;&gt;"Pago proveedor",C94&lt;&gt;"Retiro familiar",C94&lt;&gt;"Aportación",C94&lt;&gt;"Pago activo",C94&lt;&gt;"ISR devengado",C94&lt;&gt;"Pago ISR",C94&lt;&gt;"Pago IVA",C94&lt;&gt;"Compensación ISR",C94&lt;&gt;"Compensación IVA"),AND(C94="Gasto",D94&lt;&gt;"Costos clínicos",D94&lt;&gt;"Remuneración familiar",D94&lt;&gt;"Nómina y honorarios",D94&lt;&gt;"Renta",D94&lt;&gt;"Marketing",D94&lt;&gt;"Servicios y software",D94&lt;&gt;"Mantenimiento",D94&lt;&gt;"Otros",D94&lt;&gt;"Intereses")),"Tipo o categoría inválido",IF(COUNTA(A94:J94)=0,"",IF(OR(A94="",B94="",C94="",H94=""),"Faltan datos",IF(COUNTIF($A$7:$A$2006,A94)&gt;1,"ID duplicado",IF(OR(B94&lt;DATE(Configuración!$C$5,1,1),B94&gt;=DATE(Configuración!$C$5+1,1,1)),"Fecha fuera del año",IF(OR(H94&lt;0,I94&lt;0),"Revisar signo",IF(AND(C94&lt;&gt;"Gasto",I94&lt;&gt;0),"IVA solo en Gasto",IF(AND(C94="Gasto",D94=""),"Falta categoría","OK")))))))))</f>
        <v/>
      </c>
    </row>
    <row r="95" spans="1:12" ht="22" customHeight="1">
      <c r="A95" s="3"/>
      <c r="B95" s="7"/>
      <c r="C95" s="3"/>
      <c r="D95" s="3"/>
      <c r="E95" s="3"/>
      <c r="F95" s="3"/>
      <c r="G95" s="3"/>
      <c r="H95" s="4"/>
      <c r="I95" s="4"/>
      <c r="J95" s="3"/>
      <c r="K95" s="8" t="str">
        <f t="shared" si="1"/>
        <v/>
      </c>
      <c r="L95" s="1" t="str">
        <f>IF(COUNTA(A95:J95)=0,"",IF(OR(AND(C95&lt;&gt;"Gasto",C95&lt;&gt;"Pago proveedor",C95&lt;&gt;"Retiro familiar",C95&lt;&gt;"Aportación",C95&lt;&gt;"Pago activo",C95&lt;&gt;"ISR devengado",C95&lt;&gt;"Pago ISR",C95&lt;&gt;"Pago IVA",C95&lt;&gt;"Compensación ISR",C95&lt;&gt;"Compensación IVA"),AND(C95="Gasto",D95&lt;&gt;"Costos clínicos",D95&lt;&gt;"Remuneración familiar",D95&lt;&gt;"Nómina y honorarios",D95&lt;&gt;"Renta",D95&lt;&gt;"Marketing",D95&lt;&gt;"Servicios y software",D95&lt;&gt;"Mantenimiento",D95&lt;&gt;"Otros",D95&lt;&gt;"Intereses")),"Tipo o categoría inválido",IF(COUNTA(A95:J95)=0,"",IF(OR(A95="",B95="",C95="",H95=""),"Faltan datos",IF(COUNTIF($A$7:$A$2006,A95)&gt;1,"ID duplicado",IF(OR(B95&lt;DATE(Configuración!$C$5,1,1),B95&gt;=DATE(Configuración!$C$5+1,1,1)),"Fecha fuera del año",IF(OR(H95&lt;0,I95&lt;0),"Revisar signo",IF(AND(C95&lt;&gt;"Gasto",I95&lt;&gt;0),"IVA solo en Gasto",IF(AND(C95="Gasto",D95=""),"Falta categoría","OK")))))))))</f>
        <v/>
      </c>
    </row>
    <row r="96" spans="1:12" ht="22" customHeight="1">
      <c r="A96" s="3"/>
      <c r="B96" s="7"/>
      <c r="C96" s="3"/>
      <c r="D96" s="3"/>
      <c r="E96" s="3"/>
      <c r="F96" s="3"/>
      <c r="G96" s="3"/>
      <c r="H96" s="4"/>
      <c r="I96" s="4"/>
      <c r="J96" s="3"/>
      <c r="K96" s="8" t="str">
        <f t="shared" si="1"/>
        <v/>
      </c>
      <c r="L96" s="1" t="str">
        <f>IF(COUNTA(A96:J96)=0,"",IF(OR(AND(C96&lt;&gt;"Gasto",C96&lt;&gt;"Pago proveedor",C96&lt;&gt;"Retiro familiar",C96&lt;&gt;"Aportación",C96&lt;&gt;"Pago activo",C96&lt;&gt;"ISR devengado",C96&lt;&gt;"Pago ISR",C96&lt;&gt;"Pago IVA",C96&lt;&gt;"Compensación ISR",C96&lt;&gt;"Compensación IVA"),AND(C96="Gasto",D96&lt;&gt;"Costos clínicos",D96&lt;&gt;"Remuneración familiar",D96&lt;&gt;"Nómina y honorarios",D96&lt;&gt;"Renta",D96&lt;&gt;"Marketing",D96&lt;&gt;"Servicios y software",D96&lt;&gt;"Mantenimiento",D96&lt;&gt;"Otros",D96&lt;&gt;"Intereses")),"Tipo o categoría inválido",IF(COUNTA(A96:J96)=0,"",IF(OR(A96="",B96="",C96="",H96=""),"Faltan datos",IF(COUNTIF($A$7:$A$2006,A96)&gt;1,"ID duplicado",IF(OR(B96&lt;DATE(Configuración!$C$5,1,1),B96&gt;=DATE(Configuración!$C$5+1,1,1)),"Fecha fuera del año",IF(OR(H96&lt;0,I96&lt;0),"Revisar signo",IF(AND(C96&lt;&gt;"Gasto",I96&lt;&gt;0),"IVA solo en Gasto",IF(AND(C96="Gasto",D96=""),"Falta categoría","OK")))))))))</f>
        <v/>
      </c>
    </row>
    <row r="97" spans="1:12" ht="22" customHeight="1">
      <c r="A97" s="3"/>
      <c r="B97" s="7"/>
      <c r="C97" s="3"/>
      <c r="D97" s="3"/>
      <c r="E97" s="3"/>
      <c r="F97" s="3"/>
      <c r="G97" s="3"/>
      <c r="H97" s="4"/>
      <c r="I97" s="4"/>
      <c r="J97" s="3"/>
      <c r="K97" s="8" t="str">
        <f t="shared" si="1"/>
        <v/>
      </c>
      <c r="L97" s="1" t="str">
        <f>IF(COUNTA(A97:J97)=0,"",IF(OR(AND(C97&lt;&gt;"Gasto",C97&lt;&gt;"Pago proveedor",C97&lt;&gt;"Retiro familiar",C97&lt;&gt;"Aportación",C97&lt;&gt;"Pago activo",C97&lt;&gt;"ISR devengado",C97&lt;&gt;"Pago ISR",C97&lt;&gt;"Pago IVA",C97&lt;&gt;"Compensación ISR",C97&lt;&gt;"Compensación IVA"),AND(C97="Gasto",D97&lt;&gt;"Costos clínicos",D97&lt;&gt;"Remuneración familiar",D97&lt;&gt;"Nómina y honorarios",D97&lt;&gt;"Renta",D97&lt;&gt;"Marketing",D97&lt;&gt;"Servicios y software",D97&lt;&gt;"Mantenimiento",D97&lt;&gt;"Otros",D97&lt;&gt;"Intereses")),"Tipo o categoría inválido",IF(COUNTA(A97:J97)=0,"",IF(OR(A97="",B97="",C97="",H97=""),"Faltan datos",IF(COUNTIF($A$7:$A$2006,A97)&gt;1,"ID duplicado",IF(OR(B97&lt;DATE(Configuración!$C$5,1,1),B97&gt;=DATE(Configuración!$C$5+1,1,1)),"Fecha fuera del año",IF(OR(H97&lt;0,I97&lt;0),"Revisar signo",IF(AND(C97&lt;&gt;"Gasto",I97&lt;&gt;0),"IVA solo en Gasto",IF(AND(C97="Gasto",D97=""),"Falta categoría","OK")))))))))</f>
        <v/>
      </c>
    </row>
    <row r="98" spans="1:12" ht="22" customHeight="1">
      <c r="A98" s="3"/>
      <c r="B98" s="7"/>
      <c r="C98" s="3"/>
      <c r="D98" s="3"/>
      <c r="E98" s="3"/>
      <c r="F98" s="3"/>
      <c r="G98" s="3"/>
      <c r="H98" s="4"/>
      <c r="I98" s="4"/>
      <c r="J98" s="3"/>
      <c r="K98" s="8" t="str">
        <f t="shared" si="1"/>
        <v/>
      </c>
      <c r="L98" s="1" t="str">
        <f>IF(COUNTA(A98:J98)=0,"",IF(OR(AND(C98&lt;&gt;"Gasto",C98&lt;&gt;"Pago proveedor",C98&lt;&gt;"Retiro familiar",C98&lt;&gt;"Aportación",C98&lt;&gt;"Pago activo",C98&lt;&gt;"ISR devengado",C98&lt;&gt;"Pago ISR",C98&lt;&gt;"Pago IVA",C98&lt;&gt;"Compensación ISR",C98&lt;&gt;"Compensación IVA"),AND(C98="Gasto",D98&lt;&gt;"Costos clínicos",D98&lt;&gt;"Remuneración familiar",D98&lt;&gt;"Nómina y honorarios",D98&lt;&gt;"Renta",D98&lt;&gt;"Marketing",D98&lt;&gt;"Servicios y software",D98&lt;&gt;"Mantenimiento",D98&lt;&gt;"Otros",D98&lt;&gt;"Intereses")),"Tipo o categoría inválido",IF(COUNTA(A98:J98)=0,"",IF(OR(A98="",B98="",C98="",H98=""),"Faltan datos",IF(COUNTIF($A$7:$A$2006,A98)&gt;1,"ID duplicado",IF(OR(B98&lt;DATE(Configuración!$C$5,1,1),B98&gt;=DATE(Configuración!$C$5+1,1,1)),"Fecha fuera del año",IF(OR(H98&lt;0,I98&lt;0),"Revisar signo",IF(AND(C98&lt;&gt;"Gasto",I98&lt;&gt;0),"IVA solo en Gasto",IF(AND(C98="Gasto",D98=""),"Falta categoría","OK")))))))))</f>
        <v/>
      </c>
    </row>
    <row r="99" spans="1:12" ht="22" customHeight="1">
      <c r="A99" s="3"/>
      <c r="B99" s="7"/>
      <c r="C99" s="3"/>
      <c r="D99" s="3"/>
      <c r="E99" s="3"/>
      <c r="F99" s="3"/>
      <c r="G99" s="3"/>
      <c r="H99" s="4"/>
      <c r="I99" s="4"/>
      <c r="J99" s="3"/>
      <c r="K99" s="8" t="str">
        <f t="shared" si="1"/>
        <v/>
      </c>
      <c r="L99" s="1" t="str">
        <f>IF(COUNTA(A99:J99)=0,"",IF(OR(AND(C99&lt;&gt;"Gasto",C99&lt;&gt;"Pago proveedor",C99&lt;&gt;"Retiro familiar",C99&lt;&gt;"Aportación",C99&lt;&gt;"Pago activo",C99&lt;&gt;"ISR devengado",C99&lt;&gt;"Pago ISR",C99&lt;&gt;"Pago IVA",C99&lt;&gt;"Compensación ISR",C99&lt;&gt;"Compensación IVA"),AND(C99="Gasto",D99&lt;&gt;"Costos clínicos",D99&lt;&gt;"Remuneración familiar",D99&lt;&gt;"Nómina y honorarios",D99&lt;&gt;"Renta",D99&lt;&gt;"Marketing",D99&lt;&gt;"Servicios y software",D99&lt;&gt;"Mantenimiento",D99&lt;&gt;"Otros",D99&lt;&gt;"Intereses")),"Tipo o categoría inválido",IF(COUNTA(A99:J99)=0,"",IF(OR(A99="",B99="",C99="",H99=""),"Faltan datos",IF(COUNTIF($A$7:$A$2006,A99)&gt;1,"ID duplicado",IF(OR(B99&lt;DATE(Configuración!$C$5,1,1),B99&gt;=DATE(Configuración!$C$5+1,1,1)),"Fecha fuera del año",IF(OR(H99&lt;0,I99&lt;0),"Revisar signo",IF(AND(C99&lt;&gt;"Gasto",I99&lt;&gt;0),"IVA solo en Gasto",IF(AND(C99="Gasto",D99=""),"Falta categoría","OK")))))))))</f>
        <v/>
      </c>
    </row>
    <row r="100" spans="1:12" ht="22" customHeight="1">
      <c r="A100" s="3"/>
      <c r="B100" s="7"/>
      <c r="C100" s="3"/>
      <c r="D100" s="3"/>
      <c r="E100" s="3"/>
      <c r="F100" s="3"/>
      <c r="G100" s="3"/>
      <c r="H100" s="4"/>
      <c r="I100" s="4"/>
      <c r="J100" s="3"/>
      <c r="K100" s="8" t="str">
        <f t="shared" si="1"/>
        <v/>
      </c>
      <c r="L100" s="1" t="str">
        <f>IF(COUNTA(A100:J100)=0,"",IF(OR(AND(C100&lt;&gt;"Gasto",C100&lt;&gt;"Pago proveedor",C100&lt;&gt;"Retiro familiar",C100&lt;&gt;"Aportación",C100&lt;&gt;"Pago activo",C100&lt;&gt;"ISR devengado",C100&lt;&gt;"Pago ISR",C100&lt;&gt;"Pago IVA",C100&lt;&gt;"Compensación ISR",C100&lt;&gt;"Compensación IVA"),AND(C100="Gasto",D100&lt;&gt;"Costos clínicos",D100&lt;&gt;"Remuneración familiar",D100&lt;&gt;"Nómina y honorarios",D100&lt;&gt;"Renta",D100&lt;&gt;"Marketing",D100&lt;&gt;"Servicios y software",D100&lt;&gt;"Mantenimiento",D100&lt;&gt;"Otros",D100&lt;&gt;"Intereses")),"Tipo o categoría inválido",IF(COUNTA(A100:J100)=0,"",IF(OR(A100="",B100="",C100="",H100=""),"Faltan datos",IF(COUNTIF($A$7:$A$2006,A100)&gt;1,"ID duplicado",IF(OR(B100&lt;DATE(Configuración!$C$5,1,1),B100&gt;=DATE(Configuración!$C$5+1,1,1)),"Fecha fuera del año",IF(OR(H100&lt;0,I100&lt;0),"Revisar signo",IF(AND(C100&lt;&gt;"Gasto",I100&lt;&gt;0),"IVA solo en Gasto",IF(AND(C100="Gasto",D100=""),"Falta categoría","OK")))))))))</f>
        <v/>
      </c>
    </row>
    <row r="101" spans="1:12" ht="22" customHeight="1">
      <c r="A101" s="3"/>
      <c r="B101" s="7"/>
      <c r="C101" s="3"/>
      <c r="D101" s="3"/>
      <c r="E101" s="3"/>
      <c r="F101" s="3"/>
      <c r="G101" s="3"/>
      <c r="H101" s="4"/>
      <c r="I101" s="4"/>
      <c r="J101" s="3"/>
      <c r="K101" s="8" t="str">
        <f t="shared" si="1"/>
        <v/>
      </c>
      <c r="L101" s="1" t="str">
        <f>IF(COUNTA(A101:J101)=0,"",IF(OR(AND(C101&lt;&gt;"Gasto",C101&lt;&gt;"Pago proveedor",C101&lt;&gt;"Retiro familiar",C101&lt;&gt;"Aportación",C101&lt;&gt;"Pago activo",C101&lt;&gt;"ISR devengado",C101&lt;&gt;"Pago ISR",C101&lt;&gt;"Pago IVA",C101&lt;&gt;"Compensación ISR",C101&lt;&gt;"Compensación IVA"),AND(C101="Gasto",D101&lt;&gt;"Costos clínicos",D101&lt;&gt;"Remuneración familiar",D101&lt;&gt;"Nómina y honorarios",D101&lt;&gt;"Renta",D101&lt;&gt;"Marketing",D101&lt;&gt;"Servicios y software",D101&lt;&gt;"Mantenimiento",D101&lt;&gt;"Otros",D101&lt;&gt;"Intereses")),"Tipo o categoría inválido",IF(COUNTA(A101:J101)=0,"",IF(OR(A101="",B101="",C101="",H101=""),"Faltan datos",IF(COUNTIF($A$7:$A$2006,A101)&gt;1,"ID duplicado",IF(OR(B101&lt;DATE(Configuración!$C$5,1,1),B101&gt;=DATE(Configuración!$C$5+1,1,1)),"Fecha fuera del año",IF(OR(H101&lt;0,I101&lt;0),"Revisar signo",IF(AND(C101&lt;&gt;"Gasto",I101&lt;&gt;0),"IVA solo en Gasto",IF(AND(C101="Gasto",D101=""),"Falta categoría","OK")))))))))</f>
        <v/>
      </c>
    </row>
    <row r="102" spans="1:12" ht="22" customHeight="1">
      <c r="A102" s="3"/>
      <c r="B102" s="7"/>
      <c r="C102" s="3"/>
      <c r="D102" s="3"/>
      <c r="E102" s="3"/>
      <c r="F102" s="3"/>
      <c r="G102" s="3"/>
      <c r="H102" s="4"/>
      <c r="I102" s="4"/>
      <c r="J102" s="3"/>
      <c r="K102" s="8" t="str">
        <f t="shared" si="1"/>
        <v/>
      </c>
      <c r="L102" s="1" t="str">
        <f>IF(COUNTA(A102:J102)=0,"",IF(OR(AND(C102&lt;&gt;"Gasto",C102&lt;&gt;"Pago proveedor",C102&lt;&gt;"Retiro familiar",C102&lt;&gt;"Aportación",C102&lt;&gt;"Pago activo",C102&lt;&gt;"ISR devengado",C102&lt;&gt;"Pago ISR",C102&lt;&gt;"Pago IVA",C102&lt;&gt;"Compensación ISR",C102&lt;&gt;"Compensación IVA"),AND(C102="Gasto",D102&lt;&gt;"Costos clínicos",D102&lt;&gt;"Remuneración familiar",D102&lt;&gt;"Nómina y honorarios",D102&lt;&gt;"Renta",D102&lt;&gt;"Marketing",D102&lt;&gt;"Servicios y software",D102&lt;&gt;"Mantenimiento",D102&lt;&gt;"Otros",D102&lt;&gt;"Intereses")),"Tipo o categoría inválido",IF(COUNTA(A102:J102)=0,"",IF(OR(A102="",B102="",C102="",H102=""),"Faltan datos",IF(COUNTIF($A$7:$A$2006,A102)&gt;1,"ID duplicado",IF(OR(B102&lt;DATE(Configuración!$C$5,1,1),B102&gt;=DATE(Configuración!$C$5+1,1,1)),"Fecha fuera del año",IF(OR(H102&lt;0,I102&lt;0),"Revisar signo",IF(AND(C102&lt;&gt;"Gasto",I102&lt;&gt;0),"IVA solo en Gasto",IF(AND(C102="Gasto",D102=""),"Falta categoría","OK")))))))))</f>
        <v/>
      </c>
    </row>
    <row r="103" spans="1:12" ht="22" customHeight="1">
      <c r="A103" s="3"/>
      <c r="B103" s="7"/>
      <c r="C103" s="3"/>
      <c r="D103" s="3"/>
      <c r="E103" s="3"/>
      <c r="F103" s="3"/>
      <c r="G103" s="3"/>
      <c r="H103" s="4"/>
      <c r="I103" s="4"/>
      <c r="J103" s="3"/>
      <c r="K103" s="8" t="str">
        <f t="shared" si="1"/>
        <v/>
      </c>
      <c r="L103" s="1" t="str">
        <f>IF(COUNTA(A103:J103)=0,"",IF(OR(AND(C103&lt;&gt;"Gasto",C103&lt;&gt;"Pago proveedor",C103&lt;&gt;"Retiro familiar",C103&lt;&gt;"Aportación",C103&lt;&gt;"Pago activo",C103&lt;&gt;"ISR devengado",C103&lt;&gt;"Pago ISR",C103&lt;&gt;"Pago IVA",C103&lt;&gt;"Compensación ISR",C103&lt;&gt;"Compensación IVA"),AND(C103="Gasto",D103&lt;&gt;"Costos clínicos",D103&lt;&gt;"Remuneración familiar",D103&lt;&gt;"Nómina y honorarios",D103&lt;&gt;"Renta",D103&lt;&gt;"Marketing",D103&lt;&gt;"Servicios y software",D103&lt;&gt;"Mantenimiento",D103&lt;&gt;"Otros",D103&lt;&gt;"Intereses")),"Tipo o categoría inválido",IF(COUNTA(A103:J103)=0,"",IF(OR(A103="",B103="",C103="",H103=""),"Faltan datos",IF(COUNTIF($A$7:$A$2006,A103)&gt;1,"ID duplicado",IF(OR(B103&lt;DATE(Configuración!$C$5,1,1),B103&gt;=DATE(Configuración!$C$5+1,1,1)),"Fecha fuera del año",IF(OR(H103&lt;0,I103&lt;0),"Revisar signo",IF(AND(C103&lt;&gt;"Gasto",I103&lt;&gt;0),"IVA solo en Gasto",IF(AND(C103="Gasto",D103=""),"Falta categoría","OK")))))))))</f>
        <v/>
      </c>
    </row>
    <row r="104" spans="1:12" ht="22" customHeight="1">
      <c r="A104" s="3"/>
      <c r="B104" s="7"/>
      <c r="C104" s="3"/>
      <c r="D104" s="3"/>
      <c r="E104" s="3"/>
      <c r="F104" s="3"/>
      <c r="G104" s="3"/>
      <c r="H104" s="4"/>
      <c r="I104" s="4"/>
      <c r="J104" s="3"/>
      <c r="K104" s="8" t="str">
        <f t="shared" si="1"/>
        <v/>
      </c>
      <c r="L104" s="1" t="str">
        <f>IF(COUNTA(A104:J104)=0,"",IF(OR(AND(C104&lt;&gt;"Gasto",C104&lt;&gt;"Pago proveedor",C104&lt;&gt;"Retiro familiar",C104&lt;&gt;"Aportación",C104&lt;&gt;"Pago activo",C104&lt;&gt;"ISR devengado",C104&lt;&gt;"Pago ISR",C104&lt;&gt;"Pago IVA",C104&lt;&gt;"Compensación ISR",C104&lt;&gt;"Compensación IVA"),AND(C104="Gasto",D104&lt;&gt;"Costos clínicos",D104&lt;&gt;"Remuneración familiar",D104&lt;&gt;"Nómina y honorarios",D104&lt;&gt;"Renta",D104&lt;&gt;"Marketing",D104&lt;&gt;"Servicios y software",D104&lt;&gt;"Mantenimiento",D104&lt;&gt;"Otros",D104&lt;&gt;"Intereses")),"Tipo o categoría inválido",IF(COUNTA(A104:J104)=0,"",IF(OR(A104="",B104="",C104="",H104=""),"Faltan datos",IF(COUNTIF($A$7:$A$2006,A104)&gt;1,"ID duplicado",IF(OR(B104&lt;DATE(Configuración!$C$5,1,1),B104&gt;=DATE(Configuración!$C$5+1,1,1)),"Fecha fuera del año",IF(OR(H104&lt;0,I104&lt;0),"Revisar signo",IF(AND(C104&lt;&gt;"Gasto",I104&lt;&gt;0),"IVA solo en Gasto",IF(AND(C104="Gasto",D104=""),"Falta categoría","OK")))))))))</f>
        <v/>
      </c>
    </row>
    <row r="105" spans="1:12" ht="22" customHeight="1">
      <c r="A105" s="3"/>
      <c r="B105" s="7"/>
      <c r="C105" s="3"/>
      <c r="D105" s="3"/>
      <c r="E105" s="3"/>
      <c r="F105" s="3"/>
      <c r="G105" s="3"/>
      <c r="H105" s="4"/>
      <c r="I105" s="4"/>
      <c r="J105" s="3"/>
      <c r="K105" s="8" t="str">
        <f t="shared" si="1"/>
        <v/>
      </c>
      <c r="L105" s="1" t="str">
        <f>IF(COUNTA(A105:J105)=0,"",IF(OR(AND(C105&lt;&gt;"Gasto",C105&lt;&gt;"Pago proveedor",C105&lt;&gt;"Retiro familiar",C105&lt;&gt;"Aportación",C105&lt;&gt;"Pago activo",C105&lt;&gt;"ISR devengado",C105&lt;&gt;"Pago ISR",C105&lt;&gt;"Pago IVA",C105&lt;&gt;"Compensación ISR",C105&lt;&gt;"Compensación IVA"),AND(C105="Gasto",D105&lt;&gt;"Costos clínicos",D105&lt;&gt;"Remuneración familiar",D105&lt;&gt;"Nómina y honorarios",D105&lt;&gt;"Renta",D105&lt;&gt;"Marketing",D105&lt;&gt;"Servicios y software",D105&lt;&gt;"Mantenimiento",D105&lt;&gt;"Otros",D105&lt;&gt;"Intereses")),"Tipo o categoría inválido",IF(COUNTA(A105:J105)=0,"",IF(OR(A105="",B105="",C105="",H105=""),"Faltan datos",IF(COUNTIF($A$7:$A$2006,A105)&gt;1,"ID duplicado",IF(OR(B105&lt;DATE(Configuración!$C$5,1,1),B105&gt;=DATE(Configuración!$C$5+1,1,1)),"Fecha fuera del año",IF(OR(H105&lt;0,I105&lt;0),"Revisar signo",IF(AND(C105&lt;&gt;"Gasto",I105&lt;&gt;0),"IVA solo en Gasto",IF(AND(C105="Gasto",D105=""),"Falta categoría","OK")))))))))</f>
        <v/>
      </c>
    </row>
    <row r="106" spans="1:12" ht="22" customHeight="1">
      <c r="A106" s="3"/>
      <c r="B106" s="7"/>
      <c r="C106" s="3"/>
      <c r="D106" s="3"/>
      <c r="E106" s="3"/>
      <c r="F106" s="3"/>
      <c r="G106" s="3"/>
      <c r="H106" s="4"/>
      <c r="I106" s="4"/>
      <c r="J106" s="3"/>
      <c r="K106" s="8" t="str">
        <f t="shared" si="1"/>
        <v/>
      </c>
      <c r="L106" s="1" t="str">
        <f>IF(COUNTA(A106:J106)=0,"",IF(OR(AND(C106&lt;&gt;"Gasto",C106&lt;&gt;"Pago proveedor",C106&lt;&gt;"Retiro familiar",C106&lt;&gt;"Aportación",C106&lt;&gt;"Pago activo",C106&lt;&gt;"ISR devengado",C106&lt;&gt;"Pago ISR",C106&lt;&gt;"Pago IVA",C106&lt;&gt;"Compensación ISR",C106&lt;&gt;"Compensación IVA"),AND(C106="Gasto",D106&lt;&gt;"Costos clínicos",D106&lt;&gt;"Remuneración familiar",D106&lt;&gt;"Nómina y honorarios",D106&lt;&gt;"Renta",D106&lt;&gt;"Marketing",D106&lt;&gt;"Servicios y software",D106&lt;&gt;"Mantenimiento",D106&lt;&gt;"Otros",D106&lt;&gt;"Intereses")),"Tipo o categoría inválido",IF(COUNTA(A106:J106)=0,"",IF(OR(A106="",B106="",C106="",H106=""),"Faltan datos",IF(COUNTIF($A$7:$A$2006,A106)&gt;1,"ID duplicado",IF(OR(B106&lt;DATE(Configuración!$C$5,1,1),B106&gt;=DATE(Configuración!$C$5+1,1,1)),"Fecha fuera del año",IF(OR(H106&lt;0,I106&lt;0),"Revisar signo",IF(AND(C106&lt;&gt;"Gasto",I106&lt;&gt;0),"IVA solo en Gasto",IF(AND(C106="Gasto",D106=""),"Falta categoría","OK")))))))))</f>
        <v/>
      </c>
    </row>
    <row r="107" spans="1:12" ht="22" customHeight="1">
      <c r="A107" s="3"/>
      <c r="B107" s="7"/>
      <c r="C107" s="3"/>
      <c r="D107" s="3"/>
      <c r="E107" s="3"/>
      <c r="F107" s="3"/>
      <c r="G107" s="3"/>
      <c r="H107" s="4"/>
      <c r="I107" s="4"/>
      <c r="J107" s="3"/>
      <c r="K107" s="8" t="str">
        <f t="shared" si="1"/>
        <v/>
      </c>
      <c r="L107" s="1" t="str">
        <f>IF(COUNTA(A107:J107)=0,"",IF(OR(AND(C107&lt;&gt;"Gasto",C107&lt;&gt;"Pago proveedor",C107&lt;&gt;"Retiro familiar",C107&lt;&gt;"Aportación",C107&lt;&gt;"Pago activo",C107&lt;&gt;"ISR devengado",C107&lt;&gt;"Pago ISR",C107&lt;&gt;"Pago IVA",C107&lt;&gt;"Compensación ISR",C107&lt;&gt;"Compensación IVA"),AND(C107="Gasto",D107&lt;&gt;"Costos clínicos",D107&lt;&gt;"Remuneración familiar",D107&lt;&gt;"Nómina y honorarios",D107&lt;&gt;"Renta",D107&lt;&gt;"Marketing",D107&lt;&gt;"Servicios y software",D107&lt;&gt;"Mantenimiento",D107&lt;&gt;"Otros",D107&lt;&gt;"Intereses")),"Tipo o categoría inválido",IF(COUNTA(A107:J107)=0,"",IF(OR(A107="",B107="",C107="",H107=""),"Faltan datos",IF(COUNTIF($A$7:$A$2006,A107)&gt;1,"ID duplicado",IF(OR(B107&lt;DATE(Configuración!$C$5,1,1),B107&gt;=DATE(Configuración!$C$5+1,1,1)),"Fecha fuera del año",IF(OR(H107&lt;0,I107&lt;0),"Revisar signo",IF(AND(C107&lt;&gt;"Gasto",I107&lt;&gt;0),"IVA solo en Gasto",IF(AND(C107="Gasto",D107=""),"Falta categoría","OK")))))))))</f>
        <v/>
      </c>
    </row>
    <row r="108" spans="1:12" ht="22" customHeight="1">
      <c r="A108" s="3"/>
      <c r="B108" s="7"/>
      <c r="C108" s="3"/>
      <c r="D108" s="3"/>
      <c r="E108" s="3"/>
      <c r="F108" s="3"/>
      <c r="G108" s="3"/>
      <c r="H108" s="4"/>
      <c r="I108" s="4"/>
      <c r="J108" s="3"/>
      <c r="K108" s="8" t="str">
        <f t="shared" si="1"/>
        <v/>
      </c>
      <c r="L108" s="1" t="str">
        <f>IF(COUNTA(A108:J108)=0,"",IF(OR(AND(C108&lt;&gt;"Gasto",C108&lt;&gt;"Pago proveedor",C108&lt;&gt;"Retiro familiar",C108&lt;&gt;"Aportación",C108&lt;&gt;"Pago activo",C108&lt;&gt;"ISR devengado",C108&lt;&gt;"Pago ISR",C108&lt;&gt;"Pago IVA",C108&lt;&gt;"Compensación ISR",C108&lt;&gt;"Compensación IVA"),AND(C108="Gasto",D108&lt;&gt;"Costos clínicos",D108&lt;&gt;"Remuneración familiar",D108&lt;&gt;"Nómina y honorarios",D108&lt;&gt;"Renta",D108&lt;&gt;"Marketing",D108&lt;&gt;"Servicios y software",D108&lt;&gt;"Mantenimiento",D108&lt;&gt;"Otros",D108&lt;&gt;"Intereses")),"Tipo o categoría inválido",IF(COUNTA(A108:J108)=0,"",IF(OR(A108="",B108="",C108="",H108=""),"Faltan datos",IF(COUNTIF($A$7:$A$2006,A108)&gt;1,"ID duplicado",IF(OR(B108&lt;DATE(Configuración!$C$5,1,1),B108&gt;=DATE(Configuración!$C$5+1,1,1)),"Fecha fuera del año",IF(OR(H108&lt;0,I108&lt;0),"Revisar signo",IF(AND(C108&lt;&gt;"Gasto",I108&lt;&gt;0),"IVA solo en Gasto",IF(AND(C108="Gasto",D108=""),"Falta categoría","OK")))))))))</f>
        <v/>
      </c>
    </row>
    <row r="109" spans="1:12" ht="22" customHeight="1">
      <c r="A109" s="3"/>
      <c r="B109" s="7"/>
      <c r="C109" s="3"/>
      <c r="D109" s="3"/>
      <c r="E109" s="3"/>
      <c r="F109" s="3"/>
      <c r="G109" s="3"/>
      <c r="H109" s="4"/>
      <c r="I109" s="4"/>
      <c r="J109" s="3"/>
      <c r="K109" s="8" t="str">
        <f t="shared" si="1"/>
        <v/>
      </c>
      <c r="L109" s="1" t="str">
        <f>IF(COUNTA(A109:J109)=0,"",IF(OR(AND(C109&lt;&gt;"Gasto",C109&lt;&gt;"Pago proveedor",C109&lt;&gt;"Retiro familiar",C109&lt;&gt;"Aportación",C109&lt;&gt;"Pago activo",C109&lt;&gt;"ISR devengado",C109&lt;&gt;"Pago ISR",C109&lt;&gt;"Pago IVA",C109&lt;&gt;"Compensación ISR",C109&lt;&gt;"Compensación IVA"),AND(C109="Gasto",D109&lt;&gt;"Costos clínicos",D109&lt;&gt;"Remuneración familiar",D109&lt;&gt;"Nómina y honorarios",D109&lt;&gt;"Renta",D109&lt;&gt;"Marketing",D109&lt;&gt;"Servicios y software",D109&lt;&gt;"Mantenimiento",D109&lt;&gt;"Otros",D109&lt;&gt;"Intereses")),"Tipo o categoría inválido",IF(COUNTA(A109:J109)=0,"",IF(OR(A109="",B109="",C109="",H109=""),"Faltan datos",IF(COUNTIF($A$7:$A$2006,A109)&gt;1,"ID duplicado",IF(OR(B109&lt;DATE(Configuración!$C$5,1,1),B109&gt;=DATE(Configuración!$C$5+1,1,1)),"Fecha fuera del año",IF(OR(H109&lt;0,I109&lt;0),"Revisar signo",IF(AND(C109&lt;&gt;"Gasto",I109&lt;&gt;0),"IVA solo en Gasto",IF(AND(C109="Gasto",D109=""),"Falta categoría","OK")))))))))</f>
        <v/>
      </c>
    </row>
    <row r="110" spans="1:12" ht="22" customHeight="1">
      <c r="A110" s="3"/>
      <c r="B110" s="7"/>
      <c r="C110" s="3"/>
      <c r="D110" s="3"/>
      <c r="E110" s="3"/>
      <c r="F110" s="3"/>
      <c r="G110" s="3"/>
      <c r="H110" s="4"/>
      <c r="I110" s="4"/>
      <c r="J110" s="3"/>
      <c r="K110" s="8" t="str">
        <f t="shared" si="1"/>
        <v/>
      </c>
      <c r="L110" s="1" t="str">
        <f>IF(COUNTA(A110:J110)=0,"",IF(OR(AND(C110&lt;&gt;"Gasto",C110&lt;&gt;"Pago proveedor",C110&lt;&gt;"Retiro familiar",C110&lt;&gt;"Aportación",C110&lt;&gt;"Pago activo",C110&lt;&gt;"ISR devengado",C110&lt;&gt;"Pago ISR",C110&lt;&gt;"Pago IVA",C110&lt;&gt;"Compensación ISR",C110&lt;&gt;"Compensación IVA"),AND(C110="Gasto",D110&lt;&gt;"Costos clínicos",D110&lt;&gt;"Remuneración familiar",D110&lt;&gt;"Nómina y honorarios",D110&lt;&gt;"Renta",D110&lt;&gt;"Marketing",D110&lt;&gt;"Servicios y software",D110&lt;&gt;"Mantenimiento",D110&lt;&gt;"Otros",D110&lt;&gt;"Intereses")),"Tipo o categoría inválido",IF(COUNTA(A110:J110)=0,"",IF(OR(A110="",B110="",C110="",H110=""),"Faltan datos",IF(COUNTIF($A$7:$A$2006,A110)&gt;1,"ID duplicado",IF(OR(B110&lt;DATE(Configuración!$C$5,1,1),B110&gt;=DATE(Configuración!$C$5+1,1,1)),"Fecha fuera del año",IF(OR(H110&lt;0,I110&lt;0),"Revisar signo",IF(AND(C110&lt;&gt;"Gasto",I110&lt;&gt;0),"IVA solo en Gasto",IF(AND(C110="Gasto",D110=""),"Falta categoría","OK")))))))))</f>
        <v/>
      </c>
    </row>
    <row r="111" spans="1:12" ht="22" customHeight="1">
      <c r="A111" s="3"/>
      <c r="B111" s="7"/>
      <c r="C111" s="3"/>
      <c r="D111" s="3"/>
      <c r="E111" s="3"/>
      <c r="F111" s="3"/>
      <c r="G111" s="3"/>
      <c r="H111" s="4"/>
      <c r="I111" s="4"/>
      <c r="J111" s="3"/>
      <c r="K111" s="8" t="str">
        <f t="shared" si="1"/>
        <v/>
      </c>
      <c r="L111" s="1" t="str">
        <f>IF(COUNTA(A111:J111)=0,"",IF(OR(AND(C111&lt;&gt;"Gasto",C111&lt;&gt;"Pago proveedor",C111&lt;&gt;"Retiro familiar",C111&lt;&gt;"Aportación",C111&lt;&gt;"Pago activo",C111&lt;&gt;"ISR devengado",C111&lt;&gt;"Pago ISR",C111&lt;&gt;"Pago IVA",C111&lt;&gt;"Compensación ISR",C111&lt;&gt;"Compensación IVA"),AND(C111="Gasto",D111&lt;&gt;"Costos clínicos",D111&lt;&gt;"Remuneración familiar",D111&lt;&gt;"Nómina y honorarios",D111&lt;&gt;"Renta",D111&lt;&gt;"Marketing",D111&lt;&gt;"Servicios y software",D111&lt;&gt;"Mantenimiento",D111&lt;&gt;"Otros",D111&lt;&gt;"Intereses")),"Tipo o categoría inválido",IF(COUNTA(A111:J111)=0,"",IF(OR(A111="",B111="",C111="",H111=""),"Faltan datos",IF(COUNTIF($A$7:$A$2006,A111)&gt;1,"ID duplicado",IF(OR(B111&lt;DATE(Configuración!$C$5,1,1),B111&gt;=DATE(Configuración!$C$5+1,1,1)),"Fecha fuera del año",IF(OR(H111&lt;0,I111&lt;0),"Revisar signo",IF(AND(C111&lt;&gt;"Gasto",I111&lt;&gt;0),"IVA solo en Gasto",IF(AND(C111="Gasto",D111=""),"Falta categoría","OK")))))))))</f>
        <v/>
      </c>
    </row>
    <row r="112" spans="1:12" ht="22" customHeight="1">
      <c r="A112" s="3"/>
      <c r="B112" s="7"/>
      <c r="C112" s="3"/>
      <c r="D112" s="3"/>
      <c r="E112" s="3"/>
      <c r="F112" s="3"/>
      <c r="G112" s="3"/>
      <c r="H112" s="4"/>
      <c r="I112" s="4"/>
      <c r="J112" s="3"/>
      <c r="K112" s="8" t="str">
        <f t="shared" si="1"/>
        <v/>
      </c>
      <c r="L112" s="1" t="str">
        <f>IF(COUNTA(A112:J112)=0,"",IF(OR(AND(C112&lt;&gt;"Gasto",C112&lt;&gt;"Pago proveedor",C112&lt;&gt;"Retiro familiar",C112&lt;&gt;"Aportación",C112&lt;&gt;"Pago activo",C112&lt;&gt;"ISR devengado",C112&lt;&gt;"Pago ISR",C112&lt;&gt;"Pago IVA",C112&lt;&gt;"Compensación ISR",C112&lt;&gt;"Compensación IVA"),AND(C112="Gasto",D112&lt;&gt;"Costos clínicos",D112&lt;&gt;"Remuneración familiar",D112&lt;&gt;"Nómina y honorarios",D112&lt;&gt;"Renta",D112&lt;&gt;"Marketing",D112&lt;&gt;"Servicios y software",D112&lt;&gt;"Mantenimiento",D112&lt;&gt;"Otros",D112&lt;&gt;"Intereses")),"Tipo o categoría inválido",IF(COUNTA(A112:J112)=0,"",IF(OR(A112="",B112="",C112="",H112=""),"Faltan datos",IF(COUNTIF($A$7:$A$2006,A112)&gt;1,"ID duplicado",IF(OR(B112&lt;DATE(Configuración!$C$5,1,1),B112&gt;=DATE(Configuración!$C$5+1,1,1)),"Fecha fuera del año",IF(OR(H112&lt;0,I112&lt;0),"Revisar signo",IF(AND(C112&lt;&gt;"Gasto",I112&lt;&gt;0),"IVA solo en Gasto",IF(AND(C112="Gasto",D112=""),"Falta categoría","OK")))))))))</f>
        <v/>
      </c>
    </row>
    <row r="113" spans="1:12" ht="22" customHeight="1">
      <c r="A113" s="3"/>
      <c r="B113" s="7"/>
      <c r="C113" s="3"/>
      <c r="D113" s="3"/>
      <c r="E113" s="3"/>
      <c r="F113" s="3"/>
      <c r="G113" s="3"/>
      <c r="H113" s="4"/>
      <c r="I113" s="4"/>
      <c r="J113" s="3"/>
      <c r="K113" s="8" t="str">
        <f t="shared" si="1"/>
        <v/>
      </c>
      <c r="L113" s="1" t="str">
        <f>IF(COUNTA(A113:J113)=0,"",IF(OR(AND(C113&lt;&gt;"Gasto",C113&lt;&gt;"Pago proveedor",C113&lt;&gt;"Retiro familiar",C113&lt;&gt;"Aportación",C113&lt;&gt;"Pago activo",C113&lt;&gt;"ISR devengado",C113&lt;&gt;"Pago ISR",C113&lt;&gt;"Pago IVA",C113&lt;&gt;"Compensación ISR",C113&lt;&gt;"Compensación IVA"),AND(C113="Gasto",D113&lt;&gt;"Costos clínicos",D113&lt;&gt;"Remuneración familiar",D113&lt;&gt;"Nómina y honorarios",D113&lt;&gt;"Renta",D113&lt;&gt;"Marketing",D113&lt;&gt;"Servicios y software",D113&lt;&gt;"Mantenimiento",D113&lt;&gt;"Otros",D113&lt;&gt;"Intereses")),"Tipo o categoría inválido",IF(COUNTA(A113:J113)=0,"",IF(OR(A113="",B113="",C113="",H113=""),"Faltan datos",IF(COUNTIF($A$7:$A$2006,A113)&gt;1,"ID duplicado",IF(OR(B113&lt;DATE(Configuración!$C$5,1,1),B113&gt;=DATE(Configuración!$C$5+1,1,1)),"Fecha fuera del año",IF(OR(H113&lt;0,I113&lt;0),"Revisar signo",IF(AND(C113&lt;&gt;"Gasto",I113&lt;&gt;0),"IVA solo en Gasto",IF(AND(C113="Gasto",D113=""),"Falta categoría","OK")))))))))</f>
        <v/>
      </c>
    </row>
    <row r="114" spans="1:12" ht="22" customHeight="1">
      <c r="A114" s="3"/>
      <c r="B114" s="7"/>
      <c r="C114" s="3"/>
      <c r="D114" s="3"/>
      <c r="E114" s="3"/>
      <c r="F114" s="3"/>
      <c r="G114" s="3"/>
      <c r="H114" s="4"/>
      <c r="I114" s="4"/>
      <c r="J114" s="3"/>
      <c r="K114" s="8" t="str">
        <f t="shared" si="1"/>
        <v/>
      </c>
      <c r="L114" s="1" t="str">
        <f>IF(COUNTA(A114:J114)=0,"",IF(OR(AND(C114&lt;&gt;"Gasto",C114&lt;&gt;"Pago proveedor",C114&lt;&gt;"Retiro familiar",C114&lt;&gt;"Aportación",C114&lt;&gt;"Pago activo",C114&lt;&gt;"ISR devengado",C114&lt;&gt;"Pago ISR",C114&lt;&gt;"Pago IVA",C114&lt;&gt;"Compensación ISR",C114&lt;&gt;"Compensación IVA"),AND(C114="Gasto",D114&lt;&gt;"Costos clínicos",D114&lt;&gt;"Remuneración familiar",D114&lt;&gt;"Nómina y honorarios",D114&lt;&gt;"Renta",D114&lt;&gt;"Marketing",D114&lt;&gt;"Servicios y software",D114&lt;&gt;"Mantenimiento",D114&lt;&gt;"Otros",D114&lt;&gt;"Intereses")),"Tipo o categoría inválido",IF(COUNTA(A114:J114)=0,"",IF(OR(A114="",B114="",C114="",H114=""),"Faltan datos",IF(COUNTIF($A$7:$A$2006,A114)&gt;1,"ID duplicado",IF(OR(B114&lt;DATE(Configuración!$C$5,1,1),B114&gt;=DATE(Configuración!$C$5+1,1,1)),"Fecha fuera del año",IF(OR(H114&lt;0,I114&lt;0),"Revisar signo",IF(AND(C114&lt;&gt;"Gasto",I114&lt;&gt;0),"IVA solo en Gasto",IF(AND(C114="Gasto",D114=""),"Falta categoría","OK")))))))))</f>
        <v/>
      </c>
    </row>
    <row r="115" spans="1:12" ht="22" customHeight="1">
      <c r="A115" s="3"/>
      <c r="B115" s="7"/>
      <c r="C115" s="3"/>
      <c r="D115" s="3"/>
      <c r="E115" s="3"/>
      <c r="F115" s="3"/>
      <c r="G115" s="3"/>
      <c r="H115" s="4"/>
      <c r="I115" s="4"/>
      <c r="J115" s="3"/>
      <c r="K115" s="8" t="str">
        <f t="shared" si="1"/>
        <v/>
      </c>
      <c r="L115" s="1" t="str">
        <f>IF(COUNTA(A115:J115)=0,"",IF(OR(AND(C115&lt;&gt;"Gasto",C115&lt;&gt;"Pago proveedor",C115&lt;&gt;"Retiro familiar",C115&lt;&gt;"Aportación",C115&lt;&gt;"Pago activo",C115&lt;&gt;"ISR devengado",C115&lt;&gt;"Pago ISR",C115&lt;&gt;"Pago IVA",C115&lt;&gt;"Compensación ISR",C115&lt;&gt;"Compensación IVA"),AND(C115="Gasto",D115&lt;&gt;"Costos clínicos",D115&lt;&gt;"Remuneración familiar",D115&lt;&gt;"Nómina y honorarios",D115&lt;&gt;"Renta",D115&lt;&gt;"Marketing",D115&lt;&gt;"Servicios y software",D115&lt;&gt;"Mantenimiento",D115&lt;&gt;"Otros",D115&lt;&gt;"Intereses")),"Tipo o categoría inválido",IF(COUNTA(A115:J115)=0,"",IF(OR(A115="",B115="",C115="",H115=""),"Faltan datos",IF(COUNTIF($A$7:$A$2006,A115)&gt;1,"ID duplicado",IF(OR(B115&lt;DATE(Configuración!$C$5,1,1),B115&gt;=DATE(Configuración!$C$5+1,1,1)),"Fecha fuera del año",IF(OR(H115&lt;0,I115&lt;0),"Revisar signo",IF(AND(C115&lt;&gt;"Gasto",I115&lt;&gt;0),"IVA solo en Gasto",IF(AND(C115="Gasto",D115=""),"Falta categoría","OK")))))))))</f>
        <v/>
      </c>
    </row>
    <row r="116" spans="1:12" ht="22" customHeight="1">
      <c r="A116" s="3"/>
      <c r="B116" s="7"/>
      <c r="C116" s="3"/>
      <c r="D116" s="3"/>
      <c r="E116" s="3"/>
      <c r="F116" s="3"/>
      <c r="G116" s="3"/>
      <c r="H116" s="4"/>
      <c r="I116" s="4"/>
      <c r="J116" s="3"/>
      <c r="K116" s="8" t="str">
        <f t="shared" si="1"/>
        <v/>
      </c>
      <c r="L116" s="1" t="str">
        <f>IF(COUNTA(A116:J116)=0,"",IF(OR(AND(C116&lt;&gt;"Gasto",C116&lt;&gt;"Pago proveedor",C116&lt;&gt;"Retiro familiar",C116&lt;&gt;"Aportación",C116&lt;&gt;"Pago activo",C116&lt;&gt;"ISR devengado",C116&lt;&gt;"Pago ISR",C116&lt;&gt;"Pago IVA",C116&lt;&gt;"Compensación ISR",C116&lt;&gt;"Compensación IVA"),AND(C116="Gasto",D116&lt;&gt;"Costos clínicos",D116&lt;&gt;"Remuneración familiar",D116&lt;&gt;"Nómina y honorarios",D116&lt;&gt;"Renta",D116&lt;&gt;"Marketing",D116&lt;&gt;"Servicios y software",D116&lt;&gt;"Mantenimiento",D116&lt;&gt;"Otros",D116&lt;&gt;"Intereses")),"Tipo o categoría inválido",IF(COUNTA(A116:J116)=0,"",IF(OR(A116="",B116="",C116="",H116=""),"Faltan datos",IF(COUNTIF($A$7:$A$2006,A116)&gt;1,"ID duplicado",IF(OR(B116&lt;DATE(Configuración!$C$5,1,1),B116&gt;=DATE(Configuración!$C$5+1,1,1)),"Fecha fuera del año",IF(OR(H116&lt;0,I116&lt;0),"Revisar signo",IF(AND(C116&lt;&gt;"Gasto",I116&lt;&gt;0),"IVA solo en Gasto",IF(AND(C116="Gasto",D116=""),"Falta categoría","OK")))))))))</f>
        <v/>
      </c>
    </row>
    <row r="117" spans="1:12" ht="22" customHeight="1">
      <c r="A117" s="3"/>
      <c r="B117" s="7"/>
      <c r="C117" s="3"/>
      <c r="D117" s="3"/>
      <c r="E117" s="3"/>
      <c r="F117" s="3"/>
      <c r="G117" s="3"/>
      <c r="H117" s="4"/>
      <c r="I117" s="4"/>
      <c r="J117" s="3"/>
      <c r="K117" s="8" t="str">
        <f t="shared" si="1"/>
        <v/>
      </c>
      <c r="L117" s="1" t="str">
        <f>IF(COUNTA(A117:J117)=0,"",IF(OR(AND(C117&lt;&gt;"Gasto",C117&lt;&gt;"Pago proveedor",C117&lt;&gt;"Retiro familiar",C117&lt;&gt;"Aportación",C117&lt;&gt;"Pago activo",C117&lt;&gt;"ISR devengado",C117&lt;&gt;"Pago ISR",C117&lt;&gt;"Pago IVA",C117&lt;&gt;"Compensación ISR",C117&lt;&gt;"Compensación IVA"),AND(C117="Gasto",D117&lt;&gt;"Costos clínicos",D117&lt;&gt;"Remuneración familiar",D117&lt;&gt;"Nómina y honorarios",D117&lt;&gt;"Renta",D117&lt;&gt;"Marketing",D117&lt;&gt;"Servicios y software",D117&lt;&gt;"Mantenimiento",D117&lt;&gt;"Otros",D117&lt;&gt;"Intereses")),"Tipo o categoría inválido",IF(COUNTA(A117:J117)=0,"",IF(OR(A117="",B117="",C117="",H117=""),"Faltan datos",IF(COUNTIF($A$7:$A$2006,A117)&gt;1,"ID duplicado",IF(OR(B117&lt;DATE(Configuración!$C$5,1,1),B117&gt;=DATE(Configuración!$C$5+1,1,1)),"Fecha fuera del año",IF(OR(H117&lt;0,I117&lt;0),"Revisar signo",IF(AND(C117&lt;&gt;"Gasto",I117&lt;&gt;0),"IVA solo en Gasto",IF(AND(C117="Gasto",D117=""),"Falta categoría","OK")))))))))</f>
        <v/>
      </c>
    </row>
    <row r="118" spans="1:12" ht="22" customHeight="1">
      <c r="A118" s="3"/>
      <c r="B118" s="7"/>
      <c r="C118" s="3"/>
      <c r="D118" s="3"/>
      <c r="E118" s="3"/>
      <c r="F118" s="3"/>
      <c r="G118" s="3"/>
      <c r="H118" s="4"/>
      <c r="I118" s="4"/>
      <c r="J118" s="3"/>
      <c r="K118" s="8" t="str">
        <f t="shared" si="1"/>
        <v/>
      </c>
      <c r="L118" s="1" t="str">
        <f>IF(COUNTA(A118:J118)=0,"",IF(OR(AND(C118&lt;&gt;"Gasto",C118&lt;&gt;"Pago proveedor",C118&lt;&gt;"Retiro familiar",C118&lt;&gt;"Aportación",C118&lt;&gt;"Pago activo",C118&lt;&gt;"ISR devengado",C118&lt;&gt;"Pago ISR",C118&lt;&gt;"Pago IVA",C118&lt;&gt;"Compensación ISR",C118&lt;&gt;"Compensación IVA"),AND(C118="Gasto",D118&lt;&gt;"Costos clínicos",D118&lt;&gt;"Remuneración familiar",D118&lt;&gt;"Nómina y honorarios",D118&lt;&gt;"Renta",D118&lt;&gt;"Marketing",D118&lt;&gt;"Servicios y software",D118&lt;&gt;"Mantenimiento",D118&lt;&gt;"Otros",D118&lt;&gt;"Intereses")),"Tipo o categoría inválido",IF(COUNTA(A118:J118)=0,"",IF(OR(A118="",B118="",C118="",H118=""),"Faltan datos",IF(COUNTIF($A$7:$A$2006,A118)&gt;1,"ID duplicado",IF(OR(B118&lt;DATE(Configuración!$C$5,1,1),B118&gt;=DATE(Configuración!$C$5+1,1,1)),"Fecha fuera del año",IF(OR(H118&lt;0,I118&lt;0),"Revisar signo",IF(AND(C118&lt;&gt;"Gasto",I118&lt;&gt;0),"IVA solo en Gasto",IF(AND(C118="Gasto",D118=""),"Falta categoría","OK")))))))))</f>
        <v/>
      </c>
    </row>
    <row r="119" spans="1:12" ht="22" customHeight="1">
      <c r="A119" s="3"/>
      <c r="B119" s="7"/>
      <c r="C119" s="3"/>
      <c r="D119" s="3"/>
      <c r="E119" s="3"/>
      <c r="F119" s="3"/>
      <c r="G119" s="3"/>
      <c r="H119" s="4"/>
      <c r="I119" s="4"/>
      <c r="J119" s="3"/>
      <c r="K119" s="8" t="str">
        <f t="shared" si="1"/>
        <v/>
      </c>
      <c r="L119" s="1" t="str">
        <f>IF(COUNTA(A119:J119)=0,"",IF(OR(AND(C119&lt;&gt;"Gasto",C119&lt;&gt;"Pago proveedor",C119&lt;&gt;"Retiro familiar",C119&lt;&gt;"Aportación",C119&lt;&gt;"Pago activo",C119&lt;&gt;"ISR devengado",C119&lt;&gt;"Pago ISR",C119&lt;&gt;"Pago IVA",C119&lt;&gt;"Compensación ISR",C119&lt;&gt;"Compensación IVA"),AND(C119="Gasto",D119&lt;&gt;"Costos clínicos",D119&lt;&gt;"Remuneración familiar",D119&lt;&gt;"Nómina y honorarios",D119&lt;&gt;"Renta",D119&lt;&gt;"Marketing",D119&lt;&gt;"Servicios y software",D119&lt;&gt;"Mantenimiento",D119&lt;&gt;"Otros",D119&lt;&gt;"Intereses")),"Tipo o categoría inválido",IF(COUNTA(A119:J119)=0,"",IF(OR(A119="",B119="",C119="",H119=""),"Faltan datos",IF(COUNTIF($A$7:$A$2006,A119)&gt;1,"ID duplicado",IF(OR(B119&lt;DATE(Configuración!$C$5,1,1),B119&gt;=DATE(Configuración!$C$5+1,1,1)),"Fecha fuera del año",IF(OR(H119&lt;0,I119&lt;0),"Revisar signo",IF(AND(C119&lt;&gt;"Gasto",I119&lt;&gt;0),"IVA solo en Gasto",IF(AND(C119="Gasto",D119=""),"Falta categoría","OK")))))))))</f>
        <v/>
      </c>
    </row>
    <row r="120" spans="1:12" ht="22" customHeight="1">
      <c r="A120" s="3"/>
      <c r="B120" s="7"/>
      <c r="C120" s="3"/>
      <c r="D120" s="3"/>
      <c r="E120" s="3"/>
      <c r="F120" s="3"/>
      <c r="G120" s="3"/>
      <c r="H120" s="4"/>
      <c r="I120" s="4"/>
      <c r="J120" s="3"/>
      <c r="K120" s="8" t="str">
        <f t="shared" si="1"/>
        <v/>
      </c>
      <c r="L120" s="1" t="str">
        <f>IF(COUNTA(A120:J120)=0,"",IF(OR(AND(C120&lt;&gt;"Gasto",C120&lt;&gt;"Pago proveedor",C120&lt;&gt;"Retiro familiar",C120&lt;&gt;"Aportación",C120&lt;&gt;"Pago activo",C120&lt;&gt;"ISR devengado",C120&lt;&gt;"Pago ISR",C120&lt;&gt;"Pago IVA",C120&lt;&gt;"Compensación ISR",C120&lt;&gt;"Compensación IVA"),AND(C120="Gasto",D120&lt;&gt;"Costos clínicos",D120&lt;&gt;"Remuneración familiar",D120&lt;&gt;"Nómina y honorarios",D120&lt;&gt;"Renta",D120&lt;&gt;"Marketing",D120&lt;&gt;"Servicios y software",D120&lt;&gt;"Mantenimiento",D120&lt;&gt;"Otros",D120&lt;&gt;"Intereses")),"Tipo o categoría inválido",IF(COUNTA(A120:J120)=0,"",IF(OR(A120="",B120="",C120="",H120=""),"Faltan datos",IF(COUNTIF($A$7:$A$2006,A120)&gt;1,"ID duplicado",IF(OR(B120&lt;DATE(Configuración!$C$5,1,1),B120&gt;=DATE(Configuración!$C$5+1,1,1)),"Fecha fuera del año",IF(OR(H120&lt;0,I120&lt;0),"Revisar signo",IF(AND(C120&lt;&gt;"Gasto",I120&lt;&gt;0),"IVA solo en Gasto",IF(AND(C120="Gasto",D120=""),"Falta categoría","OK")))))))))</f>
        <v/>
      </c>
    </row>
    <row r="121" spans="1:12" ht="22" customHeight="1">
      <c r="A121" s="3"/>
      <c r="B121" s="7"/>
      <c r="C121" s="3"/>
      <c r="D121" s="3"/>
      <c r="E121" s="3"/>
      <c r="F121" s="3"/>
      <c r="G121" s="3"/>
      <c r="H121" s="4"/>
      <c r="I121" s="4"/>
      <c r="J121" s="3"/>
      <c r="K121" s="8" t="str">
        <f t="shared" si="1"/>
        <v/>
      </c>
      <c r="L121" s="1" t="str">
        <f>IF(COUNTA(A121:J121)=0,"",IF(OR(AND(C121&lt;&gt;"Gasto",C121&lt;&gt;"Pago proveedor",C121&lt;&gt;"Retiro familiar",C121&lt;&gt;"Aportación",C121&lt;&gt;"Pago activo",C121&lt;&gt;"ISR devengado",C121&lt;&gt;"Pago ISR",C121&lt;&gt;"Pago IVA",C121&lt;&gt;"Compensación ISR",C121&lt;&gt;"Compensación IVA"),AND(C121="Gasto",D121&lt;&gt;"Costos clínicos",D121&lt;&gt;"Remuneración familiar",D121&lt;&gt;"Nómina y honorarios",D121&lt;&gt;"Renta",D121&lt;&gt;"Marketing",D121&lt;&gt;"Servicios y software",D121&lt;&gt;"Mantenimiento",D121&lt;&gt;"Otros",D121&lt;&gt;"Intereses")),"Tipo o categoría inválido",IF(COUNTA(A121:J121)=0,"",IF(OR(A121="",B121="",C121="",H121=""),"Faltan datos",IF(COUNTIF($A$7:$A$2006,A121)&gt;1,"ID duplicado",IF(OR(B121&lt;DATE(Configuración!$C$5,1,1),B121&gt;=DATE(Configuración!$C$5+1,1,1)),"Fecha fuera del año",IF(OR(H121&lt;0,I121&lt;0),"Revisar signo",IF(AND(C121&lt;&gt;"Gasto",I121&lt;&gt;0),"IVA solo en Gasto",IF(AND(C121="Gasto",D121=""),"Falta categoría","OK")))))))))</f>
        <v/>
      </c>
    </row>
    <row r="122" spans="1:12" ht="22" customHeight="1">
      <c r="A122" s="3"/>
      <c r="B122" s="7"/>
      <c r="C122" s="3"/>
      <c r="D122" s="3"/>
      <c r="E122" s="3"/>
      <c r="F122" s="3"/>
      <c r="G122" s="3"/>
      <c r="H122" s="4"/>
      <c r="I122" s="4"/>
      <c r="J122" s="3"/>
      <c r="K122" s="8" t="str">
        <f t="shared" si="1"/>
        <v/>
      </c>
      <c r="L122" s="1" t="str">
        <f>IF(COUNTA(A122:J122)=0,"",IF(OR(AND(C122&lt;&gt;"Gasto",C122&lt;&gt;"Pago proveedor",C122&lt;&gt;"Retiro familiar",C122&lt;&gt;"Aportación",C122&lt;&gt;"Pago activo",C122&lt;&gt;"ISR devengado",C122&lt;&gt;"Pago ISR",C122&lt;&gt;"Pago IVA",C122&lt;&gt;"Compensación ISR",C122&lt;&gt;"Compensación IVA"),AND(C122="Gasto",D122&lt;&gt;"Costos clínicos",D122&lt;&gt;"Remuneración familiar",D122&lt;&gt;"Nómina y honorarios",D122&lt;&gt;"Renta",D122&lt;&gt;"Marketing",D122&lt;&gt;"Servicios y software",D122&lt;&gt;"Mantenimiento",D122&lt;&gt;"Otros",D122&lt;&gt;"Intereses")),"Tipo o categoría inválido",IF(COUNTA(A122:J122)=0,"",IF(OR(A122="",B122="",C122="",H122=""),"Faltan datos",IF(COUNTIF($A$7:$A$2006,A122)&gt;1,"ID duplicado",IF(OR(B122&lt;DATE(Configuración!$C$5,1,1),B122&gt;=DATE(Configuración!$C$5+1,1,1)),"Fecha fuera del año",IF(OR(H122&lt;0,I122&lt;0),"Revisar signo",IF(AND(C122&lt;&gt;"Gasto",I122&lt;&gt;0),"IVA solo en Gasto",IF(AND(C122="Gasto",D122=""),"Falta categoría","OK")))))))))</f>
        <v/>
      </c>
    </row>
    <row r="123" spans="1:12" ht="22" customHeight="1">
      <c r="A123" s="3"/>
      <c r="B123" s="7"/>
      <c r="C123" s="3"/>
      <c r="D123" s="3"/>
      <c r="E123" s="3"/>
      <c r="F123" s="3"/>
      <c r="G123" s="3"/>
      <c r="H123" s="4"/>
      <c r="I123" s="4"/>
      <c r="J123" s="3"/>
      <c r="K123" s="8" t="str">
        <f t="shared" si="1"/>
        <v/>
      </c>
      <c r="L123" s="1" t="str">
        <f>IF(COUNTA(A123:J123)=0,"",IF(OR(AND(C123&lt;&gt;"Gasto",C123&lt;&gt;"Pago proveedor",C123&lt;&gt;"Retiro familiar",C123&lt;&gt;"Aportación",C123&lt;&gt;"Pago activo",C123&lt;&gt;"ISR devengado",C123&lt;&gt;"Pago ISR",C123&lt;&gt;"Pago IVA",C123&lt;&gt;"Compensación ISR",C123&lt;&gt;"Compensación IVA"),AND(C123="Gasto",D123&lt;&gt;"Costos clínicos",D123&lt;&gt;"Remuneración familiar",D123&lt;&gt;"Nómina y honorarios",D123&lt;&gt;"Renta",D123&lt;&gt;"Marketing",D123&lt;&gt;"Servicios y software",D123&lt;&gt;"Mantenimiento",D123&lt;&gt;"Otros",D123&lt;&gt;"Intereses")),"Tipo o categoría inválido",IF(COUNTA(A123:J123)=0,"",IF(OR(A123="",B123="",C123="",H123=""),"Faltan datos",IF(COUNTIF($A$7:$A$2006,A123)&gt;1,"ID duplicado",IF(OR(B123&lt;DATE(Configuración!$C$5,1,1),B123&gt;=DATE(Configuración!$C$5+1,1,1)),"Fecha fuera del año",IF(OR(H123&lt;0,I123&lt;0),"Revisar signo",IF(AND(C123&lt;&gt;"Gasto",I123&lt;&gt;0),"IVA solo en Gasto",IF(AND(C123="Gasto",D123=""),"Falta categoría","OK")))))))))</f>
        <v/>
      </c>
    </row>
    <row r="124" spans="1:12" ht="22" customHeight="1">
      <c r="A124" s="3"/>
      <c r="B124" s="7"/>
      <c r="C124" s="3"/>
      <c r="D124" s="3"/>
      <c r="E124" s="3"/>
      <c r="F124" s="3"/>
      <c r="G124" s="3"/>
      <c r="H124" s="4"/>
      <c r="I124" s="4"/>
      <c r="J124" s="3"/>
      <c r="K124" s="8" t="str">
        <f t="shared" si="1"/>
        <v/>
      </c>
      <c r="L124" s="1" t="str">
        <f>IF(COUNTA(A124:J124)=0,"",IF(OR(AND(C124&lt;&gt;"Gasto",C124&lt;&gt;"Pago proveedor",C124&lt;&gt;"Retiro familiar",C124&lt;&gt;"Aportación",C124&lt;&gt;"Pago activo",C124&lt;&gt;"ISR devengado",C124&lt;&gt;"Pago ISR",C124&lt;&gt;"Pago IVA",C124&lt;&gt;"Compensación ISR",C124&lt;&gt;"Compensación IVA"),AND(C124="Gasto",D124&lt;&gt;"Costos clínicos",D124&lt;&gt;"Remuneración familiar",D124&lt;&gt;"Nómina y honorarios",D124&lt;&gt;"Renta",D124&lt;&gt;"Marketing",D124&lt;&gt;"Servicios y software",D124&lt;&gt;"Mantenimiento",D124&lt;&gt;"Otros",D124&lt;&gt;"Intereses")),"Tipo o categoría inválido",IF(COUNTA(A124:J124)=0,"",IF(OR(A124="",B124="",C124="",H124=""),"Faltan datos",IF(COUNTIF($A$7:$A$2006,A124)&gt;1,"ID duplicado",IF(OR(B124&lt;DATE(Configuración!$C$5,1,1),B124&gt;=DATE(Configuración!$C$5+1,1,1)),"Fecha fuera del año",IF(OR(H124&lt;0,I124&lt;0),"Revisar signo",IF(AND(C124&lt;&gt;"Gasto",I124&lt;&gt;0),"IVA solo en Gasto",IF(AND(C124="Gasto",D124=""),"Falta categoría","OK")))))))))</f>
        <v/>
      </c>
    </row>
    <row r="125" spans="1:12" ht="22" customHeight="1">
      <c r="A125" s="3"/>
      <c r="B125" s="7"/>
      <c r="C125" s="3"/>
      <c r="D125" s="3"/>
      <c r="E125" s="3"/>
      <c r="F125" s="3"/>
      <c r="G125" s="3"/>
      <c r="H125" s="4"/>
      <c r="I125" s="4"/>
      <c r="J125" s="3"/>
      <c r="K125" s="8" t="str">
        <f t="shared" si="1"/>
        <v/>
      </c>
      <c r="L125" s="1" t="str">
        <f>IF(COUNTA(A125:J125)=0,"",IF(OR(AND(C125&lt;&gt;"Gasto",C125&lt;&gt;"Pago proveedor",C125&lt;&gt;"Retiro familiar",C125&lt;&gt;"Aportación",C125&lt;&gt;"Pago activo",C125&lt;&gt;"ISR devengado",C125&lt;&gt;"Pago ISR",C125&lt;&gt;"Pago IVA",C125&lt;&gt;"Compensación ISR",C125&lt;&gt;"Compensación IVA"),AND(C125="Gasto",D125&lt;&gt;"Costos clínicos",D125&lt;&gt;"Remuneración familiar",D125&lt;&gt;"Nómina y honorarios",D125&lt;&gt;"Renta",D125&lt;&gt;"Marketing",D125&lt;&gt;"Servicios y software",D125&lt;&gt;"Mantenimiento",D125&lt;&gt;"Otros",D125&lt;&gt;"Intereses")),"Tipo o categoría inválido",IF(COUNTA(A125:J125)=0,"",IF(OR(A125="",B125="",C125="",H125=""),"Faltan datos",IF(COUNTIF($A$7:$A$2006,A125)&gt;1,"ID duplicado",IF(OR(B125&lt;DATE(Configuración!$C$5,1,1),B125&gt;=DATE(Configuración!$C$5+1,1,1)),"Fecha fuera del año",IF(OR(H125&lt;0,I125&lt;0),"Revisar signo",IF(AND(C125&lt;&gt;"Gasto",I125&lt;&gt;0),"IVA solo en Gasto",IF(AND(C125="Gasto",D125=""),"Falta categoría","OK")))))))))</f>
        <v/>
      </c>
    </row>
    <row r="126" spans="1:12" ht="22" customHeight="1">
      <c r="A126" s="3"/>
      <c r="B126" s="7"/>
      <c r="C126" s="3"/>
      <c r="D126" s="3"/>
      <c r="E126" s="3"/>
      <c r="F126" s="3"/>
      <c r="G126" s="3"/>
      <c r="H126" s="4"/>
      <c r="I126" s="4"/>
      <c r="J126" s="3"/>
      <c r="K126" s="8" t="str">
        <f t="shared" si="1"/>
        <v/>
      </c>
      <c r="L126" s="1" t="str">
        <f>IF(COUNTA(A126:J126)=0,"",IF(OR(AND(C126&lt;&gt;"Gasto",C126&lt;&gt;"Pago proveedor",C126&lt;&gt;"Retiro familiar",C126&lt;&gt;"Aportación",C126&lt;&gt;"Pago activo",C126&lt;&gt;"ISR devengado",C126&lt;&gt;"Pago ISR",C126&lt;&gt;"Pago IVA",C126&lt;&gt;"Compensación ISR",C126&lt;&gt;"Compensación IVA"),AND(C126="Gasto",D126&lt;&gt;"Costos clínicos",D126&lt;&gt;"Remuneración familiar",D126&lt;&gt;"Nómina y honorarios",D126&lt;&gt;"Renta",D126&lt;&gt;"Marketing",D126&lt;&gt;"Servicios y software",D126&lt;&gt;"Mantenimiento",D126&lt;&gt;"Otros",D126&lt;&gt;"Intereses")),"Tipo o categoría inválido",IF(COUNTA(A126:J126)=0,"",IF(OR(A126="",B126="",C126="",H126=""),"Faltan datos",IF(COUNTIF($A$7:$A$2006,A126)&gt;1,"ID duplicado",IF(OR(B126&lt;DATE(Configuración!$C$5,1,1),B126&gt;=DATE(Configuración!$C$5+1,1,1)),"Fecha fuera del año",IF(OR(H126&lt;0,I126&lt;0),"Revisar signo",IF(AND(C126&lt;&gt;"Gasto",I126&lt;&gt;0),"IVA solo en Gasto",IF(AND(C126="Gasto",D126=""),"Falta categoría","OK")))))))))</f>
        <v/>
      </c>
    </row>
    <row r="127" spans="1:12" ht="22" customHeight="1">
      <c r="A127" s="3"/>
      <c r="B127" s="7"/>
      <c r="C127" s="3"/>
      <c r="D127" s="3"/>
      <c r="E127" s="3"/>
      <c r="F127" s="3"/>
      <c r="G127" s="3"/>
      <c r="H127" s="4"/>
      <c r="I127" s="4"/>
      <c r="J127" s="3"/>
      <c r="K127" s="8" t="str">
        <f t="shared" si="1"/>
        <v/>
      </c>
      <c r="L127" s="1" t="str">
        <f>IF(COUNTA(A127:J127)=0,"",IF(OR(AND(C127&lt;&gt;"Gasto",C127&lt;&gt;"Pago proveedor",C127&lt;&gt;"Retiro familiar",C127&lt;&gt;"Aportación",C127&lt;&gt;"Pago activo",C127&lt;&gt;"ISR devengado",C127&lt;&gt;"Pago ISR",C127&lt;&gt;"Pago IVA",C127&lt;&gt;"Compensación ISR",C127&lt;&gt;"Compensación IVA"),AND(C127="Gasto",D127&lt;&gt;"Costos clínicos",D127&lt;&gt;"Remuneración familiar",D127&lt;&gt;"Nómina y honorarios",D127&lt;&gt;"Renta",D127&lt;&gt;"Marketing",D127&lt;&gt;"Servicios y software",D127&lt;&gt;"Mantenimiento",D127&lt;&gt;"Otros",D127&lt;&gt;"Intereses")),"Tipo o categoría inválido",IF(COUNTA(A127:J127)=0,"",IF(OR(A127="",B127="",C127="",H127=""),"Faltan datos",IF(COUNTIF($A$7:$A$2006,A127)&gt;1,"ID duplicado",IF(OR(B127&lt;DATE(Configuración!$C$5,1,1),B127&gt;=DATE(Configuración!$C$5+1,1,1)),"Fecha fuera del año",IF(OR(H127&lt;0,I127&lt;0),"Revisar signo",IF(AND(C127&lt;&gt;"Gasto",I127&lt;&gt;0),"IVA solo en Gasto",IF(AND(C127="Gasto",D127=""),"Falta categoría","OK")))))))))</f>
        <v/>
      </c>
    </row>
    <row r="128" spans="1:12" ht="22" customHeight="1">
      <c r="A128" s="3"/>
      <c r="B128" s="7"/>
      <c r="C128" s="3"/>
      <c r="D128" s="3"/>
      <c r="E128" s="3"/>
      <c r="F128" s="3"/>
      <c r="G128" s="3"/>
      <c r="H128" s="4"/>
      <c r="I128" s="4"/>
      <c r="J128" s="3"/>
      <c r="K128" s="8" t="str">
        <f t="shared" si="1"/>
        <v/>
      </c>
      <c r="L128" s="1" t="str">
        <f>IF(COUNTA(A128:J128)=0,"",IF(OR(AND(C128&lt;&gt;"Gasto",C128&lt;&gt;"Pago proveedor",C128&lt;&gt;"Retiro familiar",C128&lt;&gt;"Aportación",C128&lt;&gt;"Pago activo",C128&lt;&gt;"ISR devengado",C128&lt;&gt;"Pago ISR",C128&lt;&gt;"Pago IVA",C128&lt;&gt;"Compensación ISR",C128&lt;&gt;"Compensación IVA"),AND(C128="Gasto",D128&lt;&gt;"Costos clínicos",D128&lt;&gt;"Remuneración familiar",D128&lt;&gt;"Nómina y honorarios",D128&lt;&gt;"Renta",D128&lt;&gt;"Marketing",D128&lt;&gt;"Servicios y software",D128&lt;&gt;"Mantenimiento",D128&lt;&gt;"Otros",D128&lt;&gt;"Intereses")),"Tipo o categoría inválido",IF(COUNTA(A128:J128)=0,"",IF(OR(A128="",B128="",C128="",H128=""),"Faltan datos",IF(COUNTIF($A$7:$A$2006,A128)&gt;1,"ID duplicado",IF(OR(B128&lt;DATE(Configuración!$C$5,1,1),B128&gt;=DATE(Configuración!$C$5+1,1,1)),"Fecha fuera del año",IF(OR(H128&lt;0,I128&lt;0),"Revisar signo",IF(AND(C128&lt;&gt;"Gasto",I128&lt;&gt;0),"IVA solo en Gasto",IF(AND(C128="Gasto",D128=""),"Falta categoría","OK")))))))))</f>
        <v/>
      </c>
    </row>
    <row r="129" spans="1:12" ht="22" customHeight="1">
      <c r="A129" s="3"/>
      <c r="B129" s="7"/>
      <c r="C129" s="3"/>
      <c r="D129" s="3"/>
      <c r="E129" s="3"/>
      <c r="F129" s="3"/>
      <c r="G129" s="3"/>
      <c r="H129" s="4"/>
      <c r="I129" s="4"/>
      <c r="J129" s="3"/>
      <c r="K129" s="8" t="str">
        <f t="shared" si="1"/>
        <v/>
      </c>
      <c r="L129" s="1" t="str">
        <f>IF(COUNTA(A129:J129)=0,"",IF(OR(AND(C129&lt;&gt;"Gasto",C129&lt;&gt;"Pago proveedor",C129&lt;&gt;"Retiro familiar",C129&lt;&gt;"Aportación",C129&lt;&gt;"Pago activo",C129&lt;&gt;"ISR devengado",C129&lt;&gt;"Pago ISR",C129&lt;&gt;"Pago IVA",C129&lt;&gt;"Compensación ISR",C129&lt;&gt;"Compensación IVA"),AND(C129="Gasto",D129&lt;&gt;"Costos clínicos",D129&lt;&gt;"Remuneración familiar",D129&lt;&gt;"Nómina y honorarios",D129&lt;&gt;"Renta",D129&lt;&gt;"Marketing",D129&lt;&gt;"Servicios y software",D129&lt;&gt;"Mantenimiento",D129&lt;&gt;"Otros",D129&lt;&gt;"Intereses")),"Tipo o categoría inválido",IF(COUNTA(A129:J129)=0,"",IF(OR(A129="",B129="",C129="",H129=""),"Faltan datos",IF(COUNTIF($A$7:$A$2006,A129)&gt;1,"ID duplicado",IF(OR(B129&lt;DATE(Configuración!$C$5,1,1),B129&gt;=DATE(Configuración!$C$5+1,1,1)),"Fecha fuera del año",IF(OR(H129&lt;0,I129&lt;0),"Revisar signo",IF(AND(C129&lt;&gt;"Gasto",I129&lt;&gt;0),"IVA solo en Gasto",IF(AND(C129="Gasto",D129=""),"Falta categoría","OK")))))))))</f>
        <v/>
      </c>
    </row>
    <row r="130" spans="1:12" ht="22" customHeight="1">
      <c r="A130" s="3"/>
      <c r="B130" s="7"/>
      <c r="C130" s="3"/>
      <c r="D130" s="3"/>
      <c r="E130" s="3"/>
      <c r="F130" s="3"/>
      <c r="G130" s="3"/>
      <c r="H130" s="4"/>
      <c r="I130" s="4"/>
      <c r="J130" s="3"/>
      <c r="K130" s="8" t="str">
        <f t="shared" si="1"/>
        <v/>
      </c>
      <c r="L130" s="1" t="str">
        <f>IF(COUNTA(A130:J130)=0,"",IF(OR(AND(C130&lt;&gt;"Gasto",C130&lt;&gt;"Pago proveedor",C130&lt;&gt;"Retiro familiar",C130&lt;&gt;"Aportación",C130&lt;&gt;"Pago activo",C130&lt;&gt;"ISR devengado",C130&lt;&gt;"Pago ISR",C130&lt;&gt;"Pago IVA",C130&lt;&gt;"Compensación ISR",C130&lt;&gt;"Compensación IVA"),AND(C130="Gasto",D130&lt;&gt;"Costos clínicos",D130&lt;&gt;"Remuneración familiar",D130&lt;&gt;"Nómina y honorarios",D130&lt;&gt;"Renta",D130&lt;&gt;"Marketing",D130&lt;&gt;"Servicios y software",D130&lt;&gt;"Mantenimiento",D130&lt;&gt;"Otros",D130&lt;&gt;"Intereses")),"Tipo o categoría inválido",IF(COUNTA(A130:J130)=0,"",IF(OR(A130="",B130="",C130="",H130=""),"Faltan datos",IF(COUNTIF($A$7:$A$2006,A130)&gt;1,"ID duplicado",IF(OR(B130&lt;DATE(Configuración!$C$5,1,1),B130&gt;=DATE(Configuración!$C$5+1,1,1)),"Fecha fuera del año",IF(OR(H130&lt;0,I130&lt;0),"Revisar signo",IF(AND(C130&lt;&gt;"Gasto",I130&lt;&gt;0),"IVA solo en Gasto",IF(AND(C130="Gasto",D130=""),"Falta categoría","OK")))))))))</f>
        <v/>
      </c>
    </row>
    <row r="131" spans="1:12" ht="22" customHeight="1">
      <c r="A131" s="3"/>
      <c r="B131" s="7"/>
      <c r="C131" s="3"/>
      <c r="D131" s="3"/>
      <c r="E131" s="3"/>
      <c r="F131" s="3"/>
      <c r="G131" s="3"/>
      <c r="H131" s="4"/>
      <c r="I131" s="4"/>
      <c r="J131" s="3"/>
      <c r="K131" s="8" t="str">
        <f t="shared" si="1"/>
        <v/>
      </c>
      <c r="L131" s="1" t="str">
        <f>IF(COUNTA(A131:J131)=0,"",IF(OR(AND(C131&lt;&gt;"Gasto",C131&lt;&gt;"Pago proveedor",C131&lt;&gt;"Retiro familiar",C131&lt;&gt;"Aportación",C131&lt;&gt;"Pago activo",C131&lt;&gt;"ISR devengado",C131&lt;&gt;"Pago ISR",C131&lt;&gt;"Pago IVA",C131&lt;&gt;"Compensación ISR",C131&lt;&gt;"Compensación IVA"),AND(C131="Gasto",D131&lt;&gt;"Costos clínicos",D131&lt;&gt;"Remuneración familiar",D131&lt;&gt;"Nómina y honorarios",D131&lt;&gt;"Renta",D131&lt;&gt;"Marketing",D131&lt;&gt;"Servicios y software",D131&lt;&gt;"Mantenimiento",D131&lt;&gt;"Otros",D131&lt;&gt;"Intereses")),"Tipo o categoría inválido",IF(COUNTA(A131:J131)=0,"",IF(OR(A131="",B131="",C131="",H131=""),"Faltan datos",IF(COUNTIF($A$7:$A$2006,A131)&gt;1,"ID duplicado",IF(OR(B131&lt;DATE(Configuración!$C$5,1,1),B131&gt;=DATE(Configuración!$C$5+1,1,1)),"Fecha fuera del año",IF(OR(H131&lt;0,I131&lt;0),"Revisar signo",IF(AND(C131&lt;&gt;"Gasto",I131&lt;&gt;0),"IVA solo en Gasto",IF(AND(C131="Gasto",D131=""),"Falta categoría","OK")))))))))</f>
        <v/>
      </c>
    </row>
    <row r="132" spans="1:12" ht="22" customHeight="1">
      <c r="A132" s="3"/>
      <c r="B132" s="7"/>
      <c r="C132" s="3"/>
      <c r="D132" s="3"/>
      <c r="E132" s="3"/>
      <c r="F132" s="3"/>
      <c r="G132" s="3"/>
      <c r="H132" s="4"/>
      <c r="I132" s="4"/>
      <c r="J132" s="3"/>
      <c r="K132" s="8" t="str">
        <f t="shared" si="1"/>
        <v/>
      </c>
      <c r="L132" s="1" t="str">
        <f>IF(COUNTA(A132:J132)=0,"",IF(OR(AND(C132&lt;&gt;"Gasto",C132&lt;&gt;"Pago proveedor",C132&lt;&gt;"Retiro familiar",C132&lt;&gt;"Aportación",C132&lt;&gt;"Pago activo",C132&lt;&gt;"ISR devengado",C132&lt;&gt;"Pago ISR",C132&lt;&gt;"Pago IVA",C132&lt;&gt;"Compensación ISR",C132&lt;&gt;"Compensación IVA"),AND(C132="Gasto",D132&lt;&gt;"Costos clínicos",D132&lt;&gt;"Remuneración familiar",D132&lt;&gt;"Nómina y honorarios",D132&lt;&gt;"Renta",D132&lt;&gt;"Marketing",D132&lt;&gt;"Servicios y software",D132&lt;&gt;"Mantenimiento",D132&lt;&gt;"Otros",D132&lt;&gt;"Intereses")),"Tipo o categoría inválido",IF(COUNTA(A132:J132)=0,"",IF(OR(A132="",B132="",C132="",H132=""),"Faltan datos",IF(COUNTIF($A$7:$A$2006,A132)&gt;1,"ID duplicado",IF(OR(B132&lt;DATE(Configuración!$C$5,1,1),B132&gt;=DATE(Configuración!$C$5+1,1,1)),"Fecha fuera del año",IF(OR(H132&lt;0,I132&lt;0),"Revisar signo",IF(AND(C132&lt;&gt;"Gasto",I132&lt;&gt;0),"IVA solo en Gasto",IF(AND(C132="Gasto",D132=""),"Falta categoría","OK")))))))))</f>
        <v/>
      </c>
    </row>
    <row r="133" spans="1:12" ht="22" customHeight="1">
      <c r="A133" s="3"/>
      <c r="B133" s="7"/>
      <c r="C133" s="3"/>
      <c r="D133" s="3"/>
      <c r="E133" s="3"/>
      <c r="F133" s="3"/>
      <c r="G133" s="3"/>
      <c r="H133" s="4"/>
      <c r="I133" s="4"/>
      <c r="J133" s="3"/>
      <c r="K133" s="8" t="str">
        <f t="shared" si="1"/>
        <v/>
      </c>
      <c r="L133" s="1" t="str">
        <f>IF(COUNTA(A133:J133)=0,"",IF(OR(AND(C133&lt;&gt;"Gasto",C133&lt;&gt;"Pago proveedor",C133&lt;&gt;"Retiro familiar",C133&lt;&gt;"Aportación",C133&lt;&gt;"Pago activo",C133&lt;&gt;"ISR devengado",C133&lt;&gt;"Pago ISR",C133&lt;&gt;"Pago IVA",C133&lt;&gt;"Compensación ISR",C133&lt;&gt;"Compensación IVA"),AND(C133="Gasto",D133&lt;&gt;"Costos clínicos",D133&lt;&gt;"Remuneración familiar",D133&lt;&gt;"Nómina y honorarios",D133&lt;&gt;"Renta",D133&lt;&gt;"Marketing",D133&lt;&gt;"Servicios y software",D133&lt;&gt;"Mantenimiento",D133&lt;&gt;"Otros",D133&lt;&gt;"Intereses")),"Tipo o categoría inválido",IF(COUNTA(A133:J133)=0,"",IF(OR(A133="",B133="",C133="",H133=""),"Faltan datos",IF(COUNTIF($A$7:$A$2006,A133)&gt;1,"ID duplicado",IF(OR(B133&lt;DATE(Configuración!$C$5,1,1),B133&gt;=DATE(Configuración!$C$5+1,1,1)),"Fecha fuera del año",IF(OR(H133&lt;0,I133&lt;0),"Revisar signo",IF(AND(C133&lt;&gt;"Gasto",I133&lt;&gt;0),"IVA solo en Gasto",IF(AND(C133="Gasto",D133=""),"Falta categoría","OK")))))))))</f>
        <v/>
      </c>
    </row>
    <row r="134" spans="1:12" ht="22" customHeight="1">
      <c r="A134" s="3"/>
      <c r="B134" s="7"/>
      <c r="C134" s="3"/>
      <c r="D134" s="3"/>
      <c r="E134" s="3"/>
      <c r="F134" s="3"/>
      <c r="G134" s="3"/>
      <c r="H134" s="4"/>
      <c r="I134" s="4"/>
      <c r="J134" s="3"/>
      <c r="K134" s="8" t="str">
        <f t="shared" si="1"/>
        <v/>
      </c>
      <c r="L134" s="1" t="str">
        <f>IF(COUNTA(A134:J134)=0,"",IF(OR(AND(C134&lt;&gt;"Gasto",C134&lt;&gt;"Pago proveedor",C134&lt;&gt;"Retiro familiar",C134&lt;&gt;"Aportación",C134&lt;&gt;"Pago activo",C134&lt;&gt;"ISR devengado",C134&lt;&gt;"Pago ISR",C134&lt;&gt;"Pago IVA",C134&lt;&gt;"Compensación ISR",C134&lt;&gt;"Compensación IVA"),AND(C134="Gasto",D134&lt;&gt;"Costos clínicos",D134&lt;&gt;"Remuneración familiar",D134&lt;&gt;"Nómina y honorarios",D134&lt;&gt;"Renta",D134&lt;&gt;"Marketing",D134&lt;&gt;"Servicios y software",D134&lt;&gt;"Mantenimiento",D134&lt;&gt;"Otros",D134&lt;&gt;"Intereses")),"Tipo o categoría inválido",IF(COUNTA(A134:J134)=0,"",IF(OR(A134="",B134="",C134="",H134=""),"Faltan datos",IF(COUNTIF($A$7:$A$2006,A134)&gt;1,"ID duplicado",IF(OR(B134&lt;DATE(Configuración!$C$5,1,1),B134&gt;=DATE(Configuración!$C$5+1,1,1)),"Fecha fuera del año",IF(OR(H134&lt;0,I134&lt;0),"Revisar signo",IF(AND(C134&lt;&gt;"Gasto",I134&lt;&gt;0),"IVA solo en Gasto",IF(AND(C134="Gasto",D134=""),"Falta categoría","OK")))))))))</f>
        <v/>
      </c>
    </row>
    <row r="135" spans="1:12" ht="22" customHeight="1">
      <c r="A135" s="3"/>
      <c r="B135" s="7"/>
      <c r="C135" s="3"/>
      <c r="D135" s="3"/>
      <c r="E135" s="3"/>
      <c r="F135" s="3"/>
      <c r="G135" s="3"/>
      <c r="H135" s="4"/>
      <c r="I135" s="4"/>
      <c r="J135" s="3"/>
      <c r="K135" s="8" t="str">
        <f t="shared" ref="K135:K198" si="2">IF(A135="","",H135+I135)</f>
        <v/>
      </c>
      <c r="L135" s="1" t="str">
        <f>IF(COUNTA(A135:J135)=0,"",IF(OR(AND(C135&lt;&gt;"Gasto",C135&lt;&gt;"Pago proveedor",C135&lt;&gt;"Retiro familiar",C135&lt;&gt;"Aportación",C135&lt;&gt;"Pago activo",C135&lt;&gt;"ISR devengado",C135&lt;&gt;"Pago ISR",C135&lt;&gt;"Pago IVA",C135&lt;&gt;"Compensación ISR",C135&lt;&gt;"Compensación IVA"),AND(C135="Gasto",D135&lt;&gt;"Costos clínicos",D135&lt;&gt;"Remuneración familiar",D135&lt;&gt;"Nómina y honorarios",D135&lt;&gt;"Renta",D135&lt;&gt;"Marketing",D135&lt;&gt;"Servicios y software",D135&lt;&gt;"Mantenimiento",D135&lt;&gt;"Otros",D135&lt;&gt;"Intereses")),"Tipo o categoría inválido",IF(COUNTA(A135:J135)=0,"",IF(OR(A135="",B135="",C135="",H135=""),"Faltan datos",IF(COUNTIF($A$7:$A$2006,A135)&gt;1,"ID duplicado",IF(OR(B135&lt;DATE(Configuración!$C$5,1,1),B135&gt;=DATE(Configuración!$C$5+1,1,1)),"Fecha fuera del año",IF(OR(H135&lt;0,I135&lt;0),"Revisar signo",IF(AND(C135&lt;&gt;"Gasto",I135&lt;&gt;0),"IVA solo en Gasto",IF(AND(C135="Gasto",D135=""),"Falta categoría","OK")))))))))</f>
        <v/>
      </c>
    </row>
    <row r="136" spans="1:12" ht="22" customHeight="1">
      <c r="A136" s="3"/>
      <c r="B136" s="7"/>
      <c r="C136" s="3"/>
      <c r="D136" s="3"/>
      <c r="E136" s="3"/>
      <c r="F136" s="3"/>
      <c r="G136" s="3"/>
      <c r="H136" s="4"/>
      <c r="I136" s="4"/>
      <c r="J136" s="3"/>
      <c r="K136" s="8" t="str">
        <f t="shared" si="2"/>
        <v/>
      </c>
      <c r="L136" s="1" t="str">
        <f>IF(COUNTA(A136:J136)=0,"",IF(OR(AND(C136&lt;&gt;"Gasto",C136&lt;&gt;"Pago proveedor",C136&lt;&gt;"Retiro familiar",C136&lt;&gt;"Aportación",C136&lt;&gt;"Pago activo",C136&lt;&gt;"ISR devengado",C136&lt;&gt;"Pago ISR",C136&lt;&gt;"Pago IVA",C136&lt;&gt;"Compensación ISR",C136&lt;&gt;"Compensación IVA"),AND(C136="Gasto",D136&lt;&gt;"Costos clínicos",D136&lt;&gt;"Remuneración familiar",D136&lt;&gt;"Nómina y honorarios",D136&lt;&gt;"Renta",D136&lt;&gt;"Marketing",D136&lt;&gt;"Servicios y software",D136&lt;&gt;"Mantenimiento",D136&lt;&gt;"Otros",D136&lt;&gt;"Intereses")),"Tipo o categoría inválido",IF(COUNTA(A136:J136)=0,"",IF(OR(A136="",B136="",C136="",H136=""),"Faltan datos",IF(COUNTIF($A$7:$A$2006,A136)&gt;1,"ID duplicado",IF(OR(B136&lt;DATE(Configuración!$C$5,1,1),B136&gt;=DATE(Configuración!$C$5+1,1,1)),"Fecha fuera del año",IF(OR(H136&lt;0,I136&lt;0),"Revisar signo",IF(AND(C136&lt;&gt;"Gasto",I136&lt;&gt;0),"IVA solo en Gasto",IF(AND(C136="Gasto",D136=""),"Falta categoría","OK")))))))))</f>
        <v/>
      </c>
    </row>
    <row r="137" spans="1:12" ht="22" customHeight="1">
      <c r="A137" s="3"/>
      <c r="B137" s="7"/>
      <c r="C137" s="3"/>
      <c r="D137" s="3"/>
      <c r="E137" s="3"/>
      <c r="F137" s="3"/>
      <c r="G137" s="3"/>
      <c r="H137" s="4"/>
      <c r="I137" s="4"/>
      <c r="J137" s="3"/>
      <c r="K137" s="8" t="str">
        <f t="shared" si="2"/>
        <v/>
      </c>
      <c r="L137" s="1" t="str">
        <f>IF(COUNTA(A137:J137)=0,"",IF(OR(AND(C137&lt;&gt;"Gasto",C137&lt;&gt;"Pago proveedor",C137&lt;&gt;"Retiro familiar",C137&lt;&gt;"Aportación",C137&lt;&gt;"Pago activo",C137&lt;&gt;"ISR devengado",C137&lt;&gt;"Pago ISR",C137&lt;&gt;"Pago IVA",C137&lt;&gt;"Compensación ISR",C137&lt;&gt;"Compensación IVA"),AND(C137="Gasto",D137&lt;&gt;"Costos clínicos",D137&lt;&gt;"Remuneración familiar",D137&lt;&gt;"Nómina y honorarios",D137&lt;&gt;"Renta",D137&lt;&gt;"Marketing",D137&lt;&gt;"Servicios y software",D137&lt;&gt;"Mantenimiento",D137&lt;&gt;"Otros",D137&lt;&gt;"Intereses")),"Tipo o categoría inválido",IF(COUNTA(A137:J137)=0,"",IF(OR(A137="",B137="",C137="",H137=""),"Faltan datos",IF(COUNTIF($A$7:$A$2006,A137)&gt;1,"ID duplicado",IF(OR(B137&lt;DATE(Configuración!$C$5,1,1),B137&gt;=DATE(Configuración!$C$5+1,1,1)),"Fecha fuera del año",IF(OR(H137&lt;0,I137&lt;0),"Revisar signo",IF(AND(C137&lt;&gt;"Gasto",I137&lt;&gt;0),"IVA solo en Gasto",IF(AND(C137="Gasto",D137=""),"Falta categoría","OK")))))))))</f>
        <v/>
      </c>
    </row>
    <row r="138" spans="1:12" ht="22" customHeight="1">
      <c r="A138" s="3"/>
      <c r="B138" s="7"/>
      <c r="C138" s="3"/>
      <c r="D138" s="3"/>
      <c r="E138" s="3"/>
      <c r="F138" s="3"/>
      <c r="G138" s="3"/>
      <c r="H138" s="4"/>
      <c r="I138" s="4"/>
      <c r="J138" s="3"/>
      <c r="K138" s="8" t="str">
        <f t="shared" si="2"/>
        <v/>
      </c>
      <c r="L138" s="1" t="str">
        <f>IF(COUNTA(A138:J138)=0,"",IF(OR(AND(C138&lt;&gt;"Gasto",C138&lt;&gt;"Pago proveedor",C138&lt;&gt;"Retiro familiar",C138&lt;&gt;"Aportación",C138&lt;&gt;"Pago activo",C138&lt;&gt;"ISR devengado",C138&lt;&gt;"Pago ISR",C138&lt;&gt;"Pago IVA",C138&lt;&gt;"Compensación ISR",C138&lt;&gt;"Compensación IVA"),AND(C138="Gasto",D138&lt;&gt;"Costos clínicos",D138&lt;&gt;"Remuneración familiar",D138&lt;&gt;"Nómina y honorarios",D138&lt;&gt;"Renta",D138&lt;&gt;"Marketing",D138&lt;&gt;"Servicios y software",D138&lt;&gt;"Mantenimiento",D138&lt;&gt;"Otros",D138&lt;&gt;"Intereses")),"Tipo o categoría inválido",IF(COUNTA(A138:J138)=0,"",IF(OR(A138="",B138="",C138="",H138=""),"Faltan datos",IF(COUNTIF($A$7:$A$2006,A138)&gt;1,"ID duplicado",IF(OR(B138&lt;DATE(Configuración!$C$5,1,1),B138&gt;=DATE(Configuración!$C$5+1,1,1)),"Fecha fuera del año",IF(OR(H138&lt;0,I138&lt;0),"Revisar signo",IF(AND(C138&lt;&gt;"Gasto",I138&lt;&gt;0),"IVA solo en Gasto",IF(AND(C138="Gasto",D138=""),"Falta categoría","OK")))))))))</f>
        <v/>
      </c>
    </row>
    <row r="139" spans="1:12" ht="22" customHeight="1">
      <c r="A139" s="3"/>
      <c r="B139" s="7"/>
      <c r="C139" s="3"/>
      <c r="D139" s="3"/>
      <c r="E139" s="3"/>
      <c r="F139" s="3"/>
      <c r="G139" s="3"/>
      <c r="H139" s="4"/>
      <c r="I139" s="4"/>
      <c r="J139" s="3"/>
      <c r="K139" s="8" t="str">
        <f t="shared" si="2"/>
        <v/>
      </c>
      <c r="L139" s="1" t="str">
        <f>IF(COUNTA(A139:J139)=0,"",IF(OR(AND(C139&lt;&gt;"Gasto",C139&lt;&gt;"Pago proveedor",C139&lt;&gt;"Retiro familiar",C139&lt;&gt;"Aportación",C139&lt;&gt;"Pago activo",C139&lt;&gt;"ISR devengado",C139&lt;&gt;"Pago ISR",C139&lt;&gt;"Pago IVA",C139&lt;&gt;"Compensación ISR",C139&lt;&gt;"Compensación IVA"),AND(C139="Gasto",D139&lt;&gt;"Costos clínicos",D139&lt;&gt;"Remuneración familiar",D139&lt;&gt;"Nómina y honorarios",D139&lt;&gt;"Renta",D139&lt;&gt;"Marketing",D139&lt;&gt;"Servicios y software",D139&lt;&gt;"Mantenimiento",D139&lt;&gt;"Otros",D139&lt;&gt;"Intereses")),"Tipo o categoría inválido",IF(COUNTA(A139:J139)=0,"",IF(OR(A139="",B139="",C139="",H139=""),"Faltan datos",IF(COUNTIF($A$7:$A$2006,A139)&gt;1,"ID duplicado",IF(OR(B139&lt;DATE(Configuración!$C$5,1,1),B139&gt;=DATE(Configuración!$C$5+1,1,1)),"Fecha fuera del año",IF(OR(H139&lt;0,I139&lt;0),"Revisar signo",IF(AND(C139&lt;&gt;"Gasto",I139&lt;&gt;0),"IVA solo en Gasto",IF(AND(C139="Gasto",D139=""),"Falta categoría","OK")))))))))</f>
        <v/>
      </c>
    </row>
    <row r="140" spans="1:12" ht="22" customHeight="1">
      <c r="A140" s="3"/>
      <c r="B140" s="7"/>
      <c r="C140" s="3"/>
      <c r="D140" s="3"/>
      <c r="E140" s="3"/>
      <c r="F140" s="3"/>
      <c r="G140" s="3"/>
      <c r="H140" s="4"/>
      <c r="I140" s="4"/>
      <c r="J140" s="3"/>
      <c r="K140" s="8" t="str">
        <f t="shared" si="2"/>
        <v/>
      </c>
      <c r="L140" s="1" t="str">
        <f>IF(COUNTA(A140:J140)=0,"",IF(OR(AND(C140&lt;&gt;"Gasto",C140&lt;&gt;"Pago proveedor",C140&lt;&gt;"Retiro familiar",C140&lt;&gt;"Aportación",C140&lt;&gt;"Pago activo",C140&lt;&gt;"ISR devengado",C140&lt;&gt;"Pago ISR",C140&lt;&gt;"Pago IVA",C140&lt;&gt;"Compensación ISR",C140&lt;&gt;"Compensación IVA"),AND(C140="Gasto",D140&lt;&gt;"Costos clínicos",D140&lt;&gt;"Remuneración familiar",D140&lt;&gt;"Nómina y honorarios",D140&lt;&gt;"Renta",D140&lt;&gt;"Marketing",D140&lt;&gt;"Servicios y software",D140&lt;&gt;"Mantenimiento",D140&lt;&gt;"Otros",D140&lt;&gt;"Intereses")),"Tipo o categoría inválido",IF(COUNTA(A140:J140)=0,"",IF(OR(A140="",B140="",C140="",H140=""),"Faltan datos",IF(COUNTIF($A$7:$A$2006,A140)&gt;1,"ID duplicado",IF(OR(B140&lt;DATE(Configuración!$C$5,1,1),B140&gt;=DATE(Configuración!$C$5+1,1,1)),"Fecha fuera del año",IF(OR(H140&lt;0,I140&lt;0),"Revisar signo",IF(AND(C140&lt;&gt;"Gasto",I140&lt;&gt;0),"IVA solo en Gasto",IF(AND(C140="Gasto",D140=""),"Falta categoría","OK")))))))))</f>
        <v/>
      </c>
    </row>
    <row r="141" spans="1:12" ht="22" customHeight="1">
      <c r="A141" s="3"/>
      <c r="B141" s="7"/>
      <c r="C141" s="3"/>
      <c r="D141" s="3"/>
      <c r="E141" s="3"/>
      <c r="F141" s="3"/>
      <c r="G141" s="3"/>
      <c r="H141" s="4"/>
      <c r="I141" s="4"/>
      <c r="J141" s="3"/>
      <c r="K141" s="8" t="str">
        <f t="shared" si="2"/>
        <v/>
      </c>
      <c r="L141" s="1" t="str">
        <f>IF(COUNTA(A141:J141)=0,"",IF(OR(AND(C141&lt;&gt;"Gasto",C141&lt;&gt;"Pago proveedor",C141&lt;&gt;"Retiro familiar",C141&lt;&gt;"Aportación",C141&lt;&gt;"Pago activo",C141&lt;&gt;"ISR devengado",C141&lt;&gt;"Pago ISR",C141&lt;&gt;"Pago IVA",C141&lt;&gt;"Compensación ISR",C141&lt;&gt;"Compensación IVA"),AND(C141="Gasto",D141&lt;&gt;"Costos clínicos",D141&lt;&gt;"Remuneración familiar",D141&lt;&gt;"Nómina y honorarios",D141&lt;&gt;"Renta",D141&lt;&gt;"Marketing",D141&lt;&gt;"Servicios y software",D141&lt;&gt;"Mantenimiento",D141&lt;&gt;"Otros",D141&lt;&gt;"Intereses")),"Tipo o categoría inválido",IF(COUNTA(A141:J141)=0,"",IF(OR(A141="",B141="",C141="",H141=""),"Faltan datos",IF(COUNTIF($A$7:$A$2006,A141)&gt;1,"ID duplicado",IF(OR(B141&lt;DATE(Configuración!$C$5,1,1),B141&gt;=DATE(Configuración!$C$5+1,1,1)),"Fecha fuera del año",IF(OR(H141&lt;0,I141&lt;0),"Revisar signo",IF(AND(C141&lt;&gt;"Gasto",I141&lt;&gt;0),"IVA solo en Gasto",IF(AND(C141="Gasto",D141=""),"Falta categoría","OK")))))))))</f>
        <v/>
      </c>
    </row>
    <row r="142" spans="1:12" ht="22" customHeight="1">
      <c r="A142" s="3"/>
      <c r="B142" s="7"/>
      <c r="C142" s="3"/>
      <c r="D142" s="3"/>
      <c r="E142" s="3"/>
      <c r="F142" s="3"/>
      <c r="G142" s="3"/>
      <c r="H142" s="4"/>
      <c r="I142" s="4"/>
      <c r="J142" s="3"/>
      <c r="K142" s="8" t="str">
        <f t="shared" si="2"/>
        <v/>
      </c>
      <c r="L142" s="1" t="str">
        <f>IF(COUNTA(A142:J142)=0,"",IF(OR(AND(C142&lt;&gt;"Gasto",C142&lt;&gt;"Pago proveedor",C142&lt;&gt;"Retiro familiar",C142&lt;&gt;"Aportación",C142&lt;&gt;"Pago activo",C142&lt;&gt;"ISR devengado",C142&lt;&gt;"Pago ISR",C142&lt;&gt;"Pago IVA",C142&lt;&gt;"Compensación ISR",C142&lt;&gt;"Compensación IVA"),AND(C142="Gasto",D142&lt;&gt;"Costos clínicos",D142&lt;&gt;"Remuneración familiar",D142&lt;&gt;"Nómina y honorarios",D142&lt;&gt;"Renta",D142&lt;&gt;"Marketing",D142&lt;&gt;"Servicios y software",D142&lt;&gt;"Mantenimiento",D142&lt;&gt;"Otros",D142&lt;&gt;"Intereses")),"Tipo o categoría inválido",IF(COUNTA(A142:J142)=0,"",IF(OR(A142="",B142="",C142="",H142=""),"Faltan datos",IF(COUNTIF($A$7:$A$2006,A142)&gt;1,"ID duplicado",IF(OR(B142&lt;DATE(Configuración!$C$5,1,1),B142&gt;=DATE(Configuración!$C$5+1,1,1)),"Fecha fuera del año",IF(OR(H142&lt;0,I142&lt;0),"Revisar signo",IF(AND(C142&lt;&gt;"Gasto",I142&lt;&gt;0),"IVA solo en Gasto",IF(AND(C142="Gasto",D142=""),"Falta categoría","OK")))))))))</f>
        <v/>
      </c>
    </row>
    <row r="143" spans="1:12" ht="22" customHeight="1">
      <c r="A143" s="3"/>
      <c r="B143" s="7"/>
      <c r="C143" s="3"/>
      <c r="D143" s="3"/>
      <c r="E143" s="3"/>
      <c r="F143" s="3"/>
      <c r="G143" s="3"/>
      <c r="H143" s="4"/>
      <c r="I143" s="4"/>
      <c r="J143" s="3"/>
      <c r="K143" s="8" t="str">
        <f t="shared" si="2"/>
        <v/>
      </c>
      <c r="L143" s="1" t="str">
        <f>IF(COUNTA(A143:J143)=0,"",IF(OR(AND(C143&lt;&gt;"Gasto",C143&lt;&gt;"Pago proveedor",C143&lt;&gt;"Retiro familiar",C143&lt;&gt;"Aportación",C143&lt;&gt;"Pago activo",C143&lt;&gt;"ISR devengado",C143&lt;&gt;"Pago ISR",C143&lt;&gt;"Pago IVA",C143&lt;&gt;"Compensación ISR",C143&lt;&gt;"Compensación IVA"),AND(C143="Gasto",D143&lt;&gt;"Costos clínicos",D143&lt;&gt;"Remuneración familiar",D143&lt;&gt;"Nómina y honorarios",D143&lt;&gt;"Renta",D143&lt;&gt;"Marketing",D143&lt;&gt;"Servicios y software",D143&lt;&gt;"Mantenimiento",D143&lt;&gt;"Otros",D143&lt;&gt;"Intereses")),"Tipo o categoría inválido",IF(COUNTA(A143:J143)=0,"",IF(OR(A143="",B143="",C143="",H143=""),"Faltan datos",IF(COUNTIF($A$7:$A$2006,A143)&gt;1,"ID duplicado",IF(OR(B143&lt;DATE(Configuración!$C$5,1,1),B143&gt;=DATE(Configuración!$C$5+1,1,1)),"Fecha fuera del año",IF(OR(H143&lt;0,I143&lt;0),"Revisar signo",IF(AND(C143&lt;&gt;"Gasto",I143&lt;&gt;0),"IVA solo en Gasto",IF(AND(C143="Gasto",D143=""),"Falta categoría","OK")))))))))</f>
        <v/>
      </c>
    </row>
    <row r="144" spans="1:12" ht="22" customHeight="1">
      <c r="A144" s="3"/>
      <c r="B144" s="7"/>
      <c r="C144" s="3"/>
      <c r="D144" s="3"/>
      <c r="E144" s="3"/>
      <c r="F144" s="3"/>
      <c r="G144" s="3"/>
      <c r="H144" s="4"/>
      <c r="I144" s="4"/>
      <c r="J144" s="3"/>
      <c r="K144" s="8" t="str">
        <f t="shared" si="2"/>
        <v/>
      </c>
      <c r="L144" s="1" t="str">
        <f>IF(COUNTA(A144:J144)=0,"",IF(OR(AND(C144&lt;&gt;"Gasto",C144&lt;&gt;"Pago proveedor",C144&lt;&gt;"Retiro familiar",C144&lt;&gt;"Aportación",C144&lt;&gt;"Pago activo",C144&lt;&gt;"ISR devengado",C144&lt;&gt;"Pago ISR",C144&lt;&gt;"Pago IVA",C144&lt;&gt;"Compensación ISR",C144&lt;&gt;"Compensación IVA"),AND(C144="Gasto",D144&lt;&gt;"Costos clínicos",D144&lt;&gt;"Remuneración familiar",D144&lt;&gt;"Nómina y honorarios",D144&lt;&gt;"Renta",D144&lt;&gt;"Marketing",D144&lt;&gt;"Servicios y software",D144&lt;&gt;"Mantenimiento",D144&lt;&gt;"Otros",D144&lt;&gt;"Intereses")),"Tipo o categoría inválido",IF(COUNTA(A144:J144)=0,"",IF(OR(A144="",B144="",C144="",H144=""),"Faltan datos",IF(COUNTIF($A$7:$A$2006,A144)&gt;1,"ID duplicado",IF(OR(B144&lt;DATE(Configuración!$C$5,1,1),B144&gt;=DATE(Configuración!$C$5+1,1,1)),"Fecha fuera del año",IF(OR(H144&lt;0,I144&lt;0),"Revisar signo",IF(AND(C144&lt;&gt;"Gasto",I144&lt;&gt;0),"IVA solo en Gasto",IF(AND(C144="Gasto",D144=""),"Falta categoría","OK")))))))))</f>
        <v/>
      </c>
    </row>
    <row r="145" spans="1:12" ht="22" customHeight="1">
      <c r="A145" s="3"/>
      <c r="B145" s="7"/>
      <c r="C145" s="3"/>
      <c r="D145" s="3"/>
      <c r="E145" s="3"/>
      <c r="F145" s="3"/>
      <c r="G145" s="3"/>
      <c r="H145" s="4"/>
      <c r="I145" s="4"/>
      <c r="J145" s="3"/>
      <c r="K145" s="8" t="str">
        <f t="shared" si="2"/>
        <v/>
      </c>
      <c r="L145" s="1" t="str">
        <f>IF(COUNTA(A145:J145)=0,"",IF(OR(AND(C145&lt;&gt;"Gasto",C145&lt;&gt;"Pago proveedor",C145&lt;&gt;"Retiro familiar",C145&lt;&gt;"Aportación",C145&lt;&gt;"Pago activo",C145&lt;&gt;"ISR devengado",C145&lt;&gt;"Pago ISR",C145&lt;&gt;"Pago IVA",C145&lt;&gt;"Compensación ISR",C145&lt;&gt;"Compensación IVA"),AND(C145="Gasto",D145&lt;&gt;"Costos clínicos",D145&lt;&gt;"Remuneración familiar",D145&lt;&gt;"Nómina y honorarios",D145&lt;&gt;"Renta",D145&lt;&gt;"Marketing",D145&lt;&gt;"Servicios y software",D145&lt;&gt;"Mantenimiento",D145&lt;&gt;"Otros",D145&lt;&gt;"Intereses")),"Tipo o categoría inválido",IF(COUNTA(A145:J145)=0,"",IF(OR(A145="",B145="",C145="",H145=""),"Faltan datos",IF(COUNTIF($A$7:$A$2006,A145)&gt;1,"ID duplicado",IF(OR(B145&lt;DATE(Configuración!$C$5,1,1),B145&gt;=DATE(Configuración!$C$5+1,1,1)),"Fecha fuera del año",IF(OR(H145&lt;0,I145&lt;0),"Revisar signo",IF(AND(C145&lt;&gt;"Gasto",I145&lt;&gt;0),"IVA solo en Gasto",IF(AND(C145="Gasto",D145=""),"Falta categoría","OK")))))))))</f>
        <v/>
      </c>
    </row>
    <row r="146" spans="1:12" ht="22" customHeight="1">
      <c r="A146" s="3"/>
      <c r="B146" s="7"/>
      <c r="C146" s="3"/>
      <c r="D146" s="3"/>
      <c r="E146" s="3"/>
      <c r="F146" s="3"/>
      <c r="G146" s="3"/>
      <c r="H146" s="4"/>
      <c r="I146" s="4"/>
      <c r="J146" s="3"/>
      <c r="K146" s="8" t="str">
        <f t="shared" si="2"/>
        <v/>
      </c>
      <c r="L146" s="1" t="str">
        <f>IF(COUNTA(A146:J146)=0,"",IF(OR(AND(C146&lt;&gt;"Gasto",C146&lt;&gt;"Pago proveedor",C146&lt;&gt;"Retiro familiar",C146&lt;&gt;"Aportación",C146&lt;&gt;"Pago activo",C146&lt;&gt;"ISR devengado",C146&lt;&gt;"Pago ISR",C146&lt;&gt;"Pago IVA",C146&lt;&gt;"Compensación ISR",C146&lt;&gt;"Compensación IVA"),AND(C146="Gasto",D146&lt;&gt;"Costos clínicos",D146&lt;&gt;"Remuneración familiar",D146&lt;&gt;"Nómina y honorarios",D146&lt;&gt;"Renta",D146&lt;&gt;"Marketing",D146&lt;&gt;"Servicios y software",D146&lt;&gt;"Mantenimiento",D146&lt;&gt;"Otros",D146&lt;&gt;"Intereses")),"Tipo o categoría inválido",IF(COUNTA(A146:J146)=0,"",IF(OR(A146="",B146="",C146="",H146=""),"Faltan datos",IF(COUNTIF($A$7:$A$2006,A146)&gt;1,"ID duplicado",IF(OR(B146&lt;DATE(Configuración!$C$5,1,1),B146&gt;=DATE(Configuración!$C$5+1,1,1)),"Fecha fuera del año",IF(OR(H146&lt;0,I146&lt;0),"Revisar signo",IF(AND(C146&lt;&gt;"Gasto",I146&lt;&gt;0),"IVA solo en Gasto",IF(AND(C146="Gasto",D146=""),"Falta categoría","OK")))))))))</f>
        <v/>
      </c>
    </row>
    <row r="147" spans="1:12" ht="22" customHeight="1">
      <c r="A147" s="3"/>
      <c r="B147" s="7"/>
      <c r="C147" s="3"/>
      <c r="D147" s="3"/>
      <c r="E147" s="3"/>
      <c r="F147" s="3"/>
      <c r="G147" s="3"/>
      <c r="H147" s="4"/>
      <c r="I147" s="4"/>
      <c r="J147" s="3"/>
      <c r="K147" s="8" t="str">
        <f t="shared" si="2"/>
        <v/>
      </c>
      <c r="L147" s="1" t="str">
        <f>IF(COUNTA(A147:J147)=0,"",IF(OR(AND(C147&lt;&gt;"Gasto",C147&lt;&gt;"Pago proveedor",C147&lt;&gt;"Retiro familiar",C147&lt;&gt;"Aportación",C147&lt;&gt;"Pago activo",C147&lt;&gt;"ISR devengado",C147&lt;&gt;"Pago ISR",C147&lt;&gt;"Pago IVA",C147&lt;&gt;"Compensación ISR",C147&lt;&gt;"Compensación IVA"),AND(C147="Gasto",D147&lt;&gt;"Costos clínicos",D147&lt;&gt;"Remuneración familiar",D147&lt;&gt;"Nómina y honorarios",D147&lt;&gt;"Renta",D147&lt;&gt;"Marketing",D147&lt;&gt;"Servicios y software",D147&lt;&gt;"Mantenimiento",D147&lt;&gt;"Otros",D147&lt;&gt;"Intereses")),"Tipo o categoría inválido",IF(COUNTA(A147:J147)=0,"",IF(OR(A147="",B147="",C147="",H147=""),"Faltan datos",IF(COUNTIF($A$7:$A$2006,A147)&gt;1,"ID duplicado",IF(OR(B147&lt;DATE(Configuración!$C$5,1,1),B147&gt;=DATE(Configuración!$C$5+1,1,1)),"Fecha fuera del año",IF(OR(H147&lt;0,I147&lt;0),"Revisar signo",IF(AND(C147&lt;&gt;"Gasto",I147&lt;&gt;0),"IVA solo en Gasto",IF(AND(C147="Gasto",D147=""),"Falta categoría","OK")))))))))</f>
        <v/>
      </c>
    </row>
    <row r="148" spans="1:12" ht="22" customHeight="1">
      <c r="A148" s="3"/>
      <c r="B148" s="7"/>
      <c r="C148" s="3"/>
      <c r="D148" s="3"/>
      <c r="E148" s="3"/>
      <c r="F148" s="3"/>
      <c r="G148" s="3"/>
      <c r="H148" s="4"/>
      <c r="I148" s="4"/>
      <c r="J148" s="3"/>
      <c r="K148" s="8" t="str">
        <f t="shared" si="2"/>
        <v/>
      </c>
      <c r="L148" s="1" t="str">
        <f>IF(COUNTA(A148:J148)=0,"",IF(OR(AND(C148&lt;&gt;"Gasto",C148&lt;&gt;"Pago proveedor",C148&lt;&gt;"Retiro familiar",C148&lt;&gt;"Aportación",C148&lt;&gt;"Pago activo",C148&lt;&gt;"ISR devengado",C148&lt;&gt;"Pago ISR",C148&lt;&gt;"Pago IVA",C148&lt;&gt;"Compensación ISR",C148&lt;&gt;"Compensación IVA"),AND(C148="Gasto",D148&lt;&gt;"Costos clínicos",D148&lt;&gt;"Remuneración familiar",D148&lt;&gt;"Nómina y honorarios",D148&lt;&gt;"Renta",D148&lt;&gt;"Marketing",D148&lt;&gt;"Servicios y software",D148&lt;&gt;"Mantenimiento",D148&lt;&gt;"Otros",D148&lt;&gt;"Intereses")),"Tipo o categoría inválido",IF(COUNTA(A148:J148)=0,"",IF(OR(A148="",B148="",C148="",H148=""),"Faltan datos",IF(COUNTIF($A$7:$A$2006,A148)&gt;1,"ID duplicado",IF(OR(B148&lt;DATE(Configuración!$C$5,1,1),B148&gt;=DATE(Configuración!$C$5+1,1,1)),"Fecha fuera del año",IF(OR(H148&lt;0,I148&lt;0),"Revisar signo",IF(AND(C148&lt;&gt;"Gasto",I148&lt;&gt;0),"IVA solo en Gasto",IF(AND(C148="Gasto",D148=""),"Falta categoría","OK")))))))))</f>
        <v/>
      </c>
    </row>
    <row r="149" spans="1:12" ht="22" customHeight="1">
      <c r="A149" s="3"/>
      <c r="B149" s="7"/>
      <c r="C149" s="3"/>
      <c r="D149" s="3"/>
      <c r="E149" s="3"/>
      <c r="F149" s="3"/>
      <c r="G149" s="3"/>
      <c r="H149" s="4"/>
      <c r="I149" s="4"/>
      <c r="J149" s="3"/>
      <c r="K149" s="8" t="str">
        <f t="shared" si="2"/>
        <v/>
      </c>
      <c r="L149" s="1" t="str">
        <f>IF(COUNTA(A149:J149)=0,"",IF(OR(AND(C149&lt;&gt;"Gasto",C149&lt;&gt;"Pago proveedor",C149&lt;&gt;"Retiro familiar",C149&lt;&gt;"Aportación",C149&lt;&gt;"Pago activo",C149&lt;&gt;"ISR devengado",C149&lt;&gt;"Pago ISR",C149&lt;&gt;"Pago IVA",C149&lt;&gt;"Compensación ISR",C149&lt;&gt;"Compensación IVA"),AND(C149="Gasto",D149&lt;&gt;"Costos clínicos",D149&lt;&gt;"Remuneración familiar",D149&lt;&gt;"Nómina y honorarios",D149&lt;&gt;"Renta",D149&lt;&gt;"Marketing",D149&lt;&gt;"Servicios y software",D149&lt;&gt;"Mantenimiento",D149&lt;&gt;"Otros",D149&lt;&gt;"Intereses")),"Tipo o categoría inválido",IF(COUNTA(A149:J149)=0,"",IF(OR(A149="",B149="",C149="",H149=""),"Faltan datos",IF(COUNTIF($A$7:$A$2006,A149)&gt;1,"ID duplicado",IF(OR(B149&lt;DATE(Configuración!$C$5,1,1),B149&gt;=DATE(Configuración!$C$5+1,1,1)),"Fecha fuera del año",IF(OR(H149&lt;0,I149&lt;0),"Revisar signo",IF(AND(C149&lt;&gt;"Gasto",I149&lt;&gt;0),"IVA solo en Gasto",IF(AND(C149="Gasto",D149=""),"Falta categoría","OK")))))))))</f>
        <v/>
      </c>
    </row>
    <row r="150" spans="1:12" ht="22" customHeight="1">
      <c r="A150" s="3"/>
      <c r="B150" s="7"/>
      <c r="C150" s="3"/>
      <c r="D150" s="3"/>
      <c r="E150" s="3"/>
      <c r="F150" s="3"/>
      <c r="G150" s="3"/>
      <c r="H150" s="4"/>
      <c r="I150" s="4"/>
      <c r="J150" s="3"/>
      <c r="K150" s="8" t="str">
        <f t="shared" si="2"/>
        <v/>
      </c>
      <c r="L150" s="1" t="str">
        <f>IF(COUNTA(A150:J150)=0,"",IF(OR(AND(C150&lt;&gt;"Gasto",C150&lt;&gt;"Pago proveedor",C150&lt;&gt;"Retiro familiar",C150&lt;&gt;"Aportación",C150&lt;&gt;"Pago activo",C150&lt;&gt;"ISR devengado",C150&lt;&gt;"Pago ISR",C150&lt;&gt;"Pago IVA",C150&lt;&gt;"Compensación ISR",C150&lt;&gt;"Compensación IVA"),AND(C150="Gasto",D150&lt;&gt;"Costos clínicos",D150&lt;&gt;"Remuneración familiar",D150&lt;&gt;"Nómina y honorarios",D150&lt;&gt;"Renta",D150&lt;&gt;"Marketing",D150&lt;&gt;"Servicios y software",D150&lt;&gt;"Mantenimiento",D150&lt;&gt;"Otros",D150&lt;&gt;"Intereses")),"Tipo o categoría inválido",IF(COUNTA(A150:J150)=0,"",IF(OR(A150="",B150="",C150="",H150=""),"Faltan datos",IF(COUNTIF($A$7:$A$2006,A150)&gt;1,"ID duplicado",IF(OR(B150&lt;DATE(Configuración!$C$5,1,1),B150&gt;=DATE(Configuración!$C$5+1,1,1)),"Fecha fuera del año",IF(OR(H150&lt;0,I150&lt;0),"Revisar signo",IF(AND(C150&lt;&gt;"Gasto",I150&lt;&gt;0),"IVA solo en Gasto",IF(AND(C150="Gasto",D150=""),"Falta categoría","OK")))))))))</f>
        <v/>
      </c>
    </row>
    <row r="151" spans="1:12" ht="22" customHeight="1">
      <c r="A151" s="3"/>
      <c r="B151" s="7"/>
      <c r="C151" s="3"/>
      <c r="D151" s="3"/>
      <c r="E151" s="3"/>
      <c r="F151" s="3"/>
      <c r="G151" s="3"/>
      <c r="H151" s="4"/>
      <c r="I151" s="4"/>
      <c r="J151" s="3"/>
      <c r="K151" s="8" t="str">
        <f t="shared" si="2"/>
        <v/>
      </c>
      <c r="L151" s="1" t="str">
        <f>IF(COUNTA(A151:J151)=0,"",IF(OR(AND(C151&lt;&gt;"Gasto",C151&lt;&gt;"Pago proveedor",C151&lt;&gt;"Retiro familiar",C151&lt;&gt;"Aportación",C151&lt;&gt;"Pago activo",C151&lt;&gt;"ISR devengado",C151&lt;&gt;"Pago ISR",C151&lt;&gt;"Pago IVA",C151&lt;&gt;"Compensación ISR",C151&lt;&gt;"Compensación IVA"),AND(C151="Gasto",D151&lt;&gt;"Costos clínicos",D151&lt;&gt;"Remuneración familiar",D151&lt;&gt;"Nómina y honorarios",D151&lt;&gt;"Renta",D151&lt;&gt;"Marketing",D151&lt;&gt;"Servicios y software",D151&lt;&gt;"Mantenimiento",D151&lt;&gt;"Otros",D151&lt;&gt;"Intereses")),"Tipo o categoría inválido",IF(COUNTA(A151:J151)=0,"",IF(OR(A151="",B151="",C151="",H151=""),"Faltan datos",IF(COUNTIF($A$7:$A$2006,A151)&gt;1,"ID duplicado",IF(OR(B151&lt;DATE(Configuración!$C$5,1,1),B151&gt;=DATE(Configuración!$C$5+1,1,1)),"Fecha fuera del año",IF(OR(H151&lt;0,I151&lt;0),"Revisar signo",IF(AND(C151&lt;&gt;"Gasto",I151&lt;&gt;0),"IVA solo en Gasto",IF(AND(C151="Gasto",D151=""),"Falta categoría","OK")))))))))</f>
        <v/>
      </c>
    </row>
    <row r="152" spans="1:12" ht="22" customHeight="1">
      <c r="A152" s="3"/>
      <c r="B152" s="7"/>
      <c r="C152" s="3"/>
      <c r="D152" s="3"/>
      <c r="E152" s="3"/>
      <c r="F152" s="3"/>
      <c r="G152" s="3"/>
      <c r="H152" s="4"/>
      <c r="I152" s="4"/>
      <c r="J152" s="3"/>
      <c r="K152" s="8" t="str">
        <f t="shared" si="2"/>
        <v/>
      </c>
      <c r="L152" s="1" t="str">
        <f>IF(COUNTA(A152:J152)=0,"",IF(OR(AND(C152&lt;&gt;"Gasto",C152&lt;&gt;"Pago proveedor",C152&lt;&gt;"Retiro familiar",C152&lt;&gt;"Aportación",C152&lt;&gt;"Pago activo",C152&lt;&gt;"ISR devengado",C152&lt;&gt;"Pago ISR",C152&lt;&gt;"Pago IVA",C152&lt;&gt;"Compensación ISR",C152&lt;&gt;"Compensación IVA"),AND(C152="Gasto",D152&lt;&gt;"Costos clínicos",D152&lt;&gt;"Remuneración familiar",D152&lt;&gt;"Nómina y honorarios",D152&lt;&gt;"Renta",D152&lt;&gt;"Marketing",D152&lt;&gt;"Servicios y software",D152&lt;&gt;"Mantenimiento",D152&lt;&gt;"Otros",D152&lt;&gt;"Intereses")),"Tipo o categoría inválido",IF(COUNTA(A152:J152)=0,"",IF(OR(A152="",B152="",C152="",H152=""),"Faltan datos",IF(COUNTIF($A$7:$A$2006,A152)&gt;1,"ID duplicado",IF(OR(B152&lt;DATE(Configuración!$C$5,1,1),B152&gt;=DATE(Configuración!$C$5+1,1,1)),"Fecha fuera del año",IF(OR(H152&lt;0,I152&lt;0),"Revisar signo",IF(AND(C152&lt;&gt;"Gasto",I152&lt;&gt;0),"IVA solo en Gasto",IF(AND(C152="Gasto",D152=""),"Falta categoría","OK")))))))))</f>
        <v/>
      </c>
    </row>
    <row r="153" spans="1:12" ht="22" customHeight="1">
      <c r="A153" s="3"/>
      <c r="B153" s="7"/>
      <c r="C153" s="3"/>
      <c r="D153" s="3"/>
      <c r="E153" s="3"/>
      <c r="F153" s="3"/>
      <c r="G153" s="3"/>
      <c r="H153" s="4"/>
      <c r="I153" s="4"/>
      <c r="J153" s="3"/>
      <c r="K153" s="8" t="str">
        <f t="shared" si="2"/>
        <v/>
      </c>
      <c r="L153" s="1" t="str">
        <f>IF(COUNTA(A153:J153)=0,"",IF(OR(AND(C153&lt;&gt;"Gasto",C153&lt;&gt;"Pago proveedor",C153&lt;&gt;"Retiro familiar",C153&lt;&gt;"Aportación",C153&lt;&gt;"Pago activo",C153&lt;&gt;"ISR devengado",C153&lt;&gt;"Pago ISR",C153&lt;&gt;"Pago IVA",C153&lt;&gt;"Compensación ISR",C153&lt;&gt;"Compensación IVA"),AND(C153="Gasto",D153&lt;&gt;"Costos clínicos",D153&lt;&gt;"Remuneración familiar",D153&lt;&gt;"Nómina y honorarios",D153&lt;&gt;"Renta",D153&lt;&gt;"Marketing",D153&lt;&gt;"Servicios y software",D153&lt;&gt;"Mantenimiento",D153&lt;&gt;"Otros",D153&lt;&gt;"Intereses")),"Tipo o categoría inválido",IF(COUNTA(A153:J153)=0,"",IF(OR(A153="",B153="",C153="",H153=""),"Faltan datos",IF(COUNTIF($A$7:$A$2006,A153)&gt;1,"ID duplicado",IF(OR(B153&lt;DATE(Configuración!$C$5,1,1),B153&gt;=DATE(Configuración!$C$5+1,1,1)),"Fecha fuera del año",IF(OR(H153&lt;0,I153&lt;0),"Revisar signo",IF(AND(C153&lt;&gt;"Gasto",I153&lt;&gt;0),"IVA solo en Gasto",IF(AND(C153="Gasto",D153=""),"Falta categoría","OK")))))))))</f>
        <v/>
      </c>
    </row>
    <row r="154" spans="1:12" ht="22" customHeight="1">
      <c r="A154" s="3"/>
      <c r="B154" s="7"/>
      <c r="C154" s="3"/>
      <c r="D154" s="3"/>
      <c r="E154" s="3"/>
      <c r="F154" s="3"/>
      <c r="G154" s="3"/>
      <c r="H154" s="4"/>
      <c r="I154" s="4"/>
      <c r="J154" s="3"/>
      <c r="K154" s="8" t="str">
        <f t="shared" si="2"/>
        <v/>
      </c>
      <c r="L154" s="1" t="str">
        <f>IF(COUNTA(A154:J154)=0,"",IF(OR(AND(C154&lt;&gt;"Gasto",C154&lt;&gt;"Pago proveedor",C154&lt;&gt;"Retiro familiar",C154&lt;&gt;"Aportación",C154&lt;&gt;"Pago activo",C154&lt;&gt;"ISR devengado",C154&lt;&gt;"Pago ISR",C154&lt;&gt;"Pago IVA",C154&lt;&gt;"Compensación ISR",C154&lt;&gt;"Compensación IVA"),AND(C154="Gasto",D154&lt;&gt;"Costos clínicos",D154&lt;&gt;"Remuneración familiar",D154&lt;&gt;"Nómina y honorarios",D154&lt;&gt;"Renta",D154&lt;&gt;"Marketing",D154&lt;&gt;"Servicios y software",D154&lt;&gt;"Mantenimiento",D154&lt;&gt;"Otros",D154&lt;&gt;"Intereses")),"Tipo o categoría inválido",IF(COUNTA(A154:J154)=0,"",IF(OR(A154="",B154="",C154="",H154=""),"Faltan datos",IF(COUNTIF($A$7:$A$2006,A154)&gt;1,"ID duplicado",IF(OR(B154&lt;DATE(Configuración!$C$5,1,1),B154&gt;=DATE(Configuración!$C$5+1,1,1)),"Fecha fuera del año",IF(OR(H154&lt;0,I154&lt;0),"Revisar signo",IF(AND(C154&lt;&gt;"Gasto",I154&lt;&gt;0),"IVA solo en Gasto",IF(AND(C154="Gasto",D154=""),"Falta categoría","OK")))))))))</f>
        <v/>
      </c>
    </row>
    <row r="155" spans="1:12" ht="22" customHeight="1">
      <c r="A155" s="3"/>
      <c r="B155" s="7"/>
      <c r="C155" s="3"/>
      <c r="D155" s="3"/>
      <c r="E155" s="3"/>
      <c r="F155" s="3"/>
      <c r="G155" s="3"/>
      <c r="H155" s="4"/>
      <c r="I155" s="4"/>
      <c r="J155" s="3"/>
      <c r="K155" s="8" t="str">
        <f t="shared" si="2"/>
        <v/>
      </c>
      <c r="L155" s="1" t="str">
        <f>IF(COUNTA(A155:J155)=0,"",IF(OR(AND(C155&lt;&gt;"Gasto",C155&lt;&gt;"Pago proveedor",C155&lt;&gt;"Retiro familiar",C155&lt;&gt;"Aportación",C155&lt;&gt;"Pago activo",C155&lt;&gt;"ISR devengado",C155&lt;&gt;"Pago ISR",C155&lt;&gt;"Pago IVA",C155&lt;&gt;"Compensación ISR",C155&lt;&gt;"Compensación IVA"),AND(C155="Gasto",D155&lt;&gt;"Costos clínicos",D155&lt;&gt;"Remuneración familiar",D155&lt;&gt;"Nómina y honorarios",D155&lt;&gt;"Renta",D155&lt;&gt;"Marketing",D155&lt;&gt;"Servicios y software",D155&lt;&gt;"Mantenimiento",D155&lt;&gt;"Otros",D155&lt;&gt;"Intereses")),"Tipo o categoría inválido",IF(COUNTA(A155:J155)=0,"",IF(OR(A155="",B155="",C155="",H155=""),"Faltan datos",IF(COUNTIF($A$7:$A$2006,A155)&gt;1,"ID duplicado",IF(OR(B155&lt;DATE(Configuración!$C$5,1,1),B155&gt;=DATE(Configuración!$C$5+1,1,1)),"Fecha fuera del año",IF(OR(H155&lt;0,I155&lt;0),"Revisar signo",IF(AND(C155&lt;&gt;"Gasto",I155&lt;&gt;0),"IVA solo en Gasto",IF(AND(C155="Gasto",D155=""),"Falta categoría","OK")))))))))</f>
        <v/>
      </c>
    </row>
    <row r="156" spans="1:12" ht="22" customHeight="1">
      <c r="A156" s="3"/>
      <c r="B156" s="7"/>
      <c r="C156" s="3"/>
      <c r="D156" s="3"/>
      <c r="E156" s="3"/>
      <c r="F156" s="3"/>
      <c r="G156" s="3"/>
      <c r="H156" s="4"/>
      <c r="I156" s="4"/>
      <c r="J156" s="3"/>
      <c r="K156" s="8" t="str">
        <f t="shared" si="2"/>
        <v/>
      </c>
      <c r="L156" s="1" t="str">
        <f>IF(COUNTA(A156:J156)=0,"",IF(OR(AND(C156&lt;&gt;"Gasto",C156&lt;&gt;"Pago proveedor",C156&lt;&gt;"Retiro familiar",C156&lt;&gt;"Aportación",C156&lt;&gt;"Pago activo",C156&lt;&gt;"ISR devengado",C156&lt;&gt;"Pago ISR",C156&lt;&gt;"Pago IVA",C156&lt;&gt;"Compensación ISR",C156&lt;&gt;"Compensación IVA"),AND(C156="Gasto",D156&lt;&gt;"Costos clínicos",D156&lt;&gt;"Remuneración familiar",D156&lt;&gt;"Nómina y honorarios",D156&lt;&gt;"Renta",D156&lt;&gt;"Marketing",D156&lt;&gt;"Servicios y software",D156&lt;&gt;"Mantenimiento",D156&lt;&gt;"Otros",D156&lt;&gt;"Intereses")),"Tipo o categoría inválido",IF(COUNTA(A156:J156)=0,"",IF(OR(A156="",B156="",C156="",H156=""),"Faltan datos",IF(COUNTIF($A$7:$A$2006,A156)&gt;1,"ID duplicado",IF(OR(B156&lt;DATE(Configuración!$C$5,1,1),B156&gt;=DATE(Configuración!$C$5+1,1,1)),"Fecha fuera del año",IF(OR(H156&lt;0,I156&lt;0),"Revisar signo",IF(AND(C156&lt;&gt;"Gasto",I156&lt;&gt;0),"IVA solo en Gasto",IF(AND(C156="Gasto",D156=""),"Falta categoría","OK")))))))))</f>
        <v/>
      </c>
    </row>
    <row r="157" spans="1:12" ht="22" customHeight="1">
      <c r="A157" s="3"/>
      <c r="B157" s="7"/>
      <c r="C157" s="3"/>
      <c r="D157" s="3"/>
      <c r="E157" s="3"/>
      <c r="F157" s="3"/>
      <c r="G157" s="3"/>
      <c r="H157" s="4"/>
      <c r="I157" s="4"/>
      <c r="J157" s="3"/>
      <c r="K157" s="8" t="str">
        <f t="shared" si="2"/>
        <v/>
      </c>
      <c r="L157" s="1" t="str">
        <f>IF(COUNTA(A157:J157)=0,"",IF(OR(AND(C157&lt;&gt;"Gasto",C157&lt;&gt;"Pago proveedor",C157&lt;&gt;"Retiro familiar",C157&lt;&gt;"Aportación",C157&lt;&gt;"Pago activo",C157&lt;&gt;"ISR devengado",C157&lt;&gt;"Pago ISR",C157&lt;&gt;"Pago IVA",C157&lt;&gt;"Compensación ISR",C157&lt;&gt;"Compensación IVA"),AND(C157="Gasto",D157&lt;&gt;"Costos clínicos",D157&lt;&gt;"Remuneración familiar",D157&lt;&gt;"Nómina y honorarios",D157&lt;&gt;"Renta",D157&lt;&gt;"Marketing",D157&lt;&gt;"Servicios y software",D157&lt;&gt;"Mantenimiento",D157&lt;&gt;"Otros",D157&lt;&gt;"Intereses")),"Tipo o categoría inválido",IF(COUNTA(A157:J157)=0,"",IF(OR(A157="",B157="",C157="",H157=""),"Faltan datos",IF(COUNTIF($A$7:$A$2006,A157)&gt;1,"ID duplicado",IF(OR(B157&lt;DATE(Configuración!$C$5,1,1),B157&gt;=DATE(Configuración!$C$5+1,1,1)),"Fecha fuera del año",IF(OR(H157&lt;0,I157&lt;0),"Revisar signo",IF(AND(C157&lt;&gt;"Gasto",I157&lt;&gt;0),"IVA solo en Gasto",IF(AND(C157="Gasto",D157=""),"Falta categoría","OK")))))))))</f>
        <v/>
      </c>
    </row>
    <row r="158" spans="1:12" ht="22" customHeight="1">
      <c r="A158" s="3"/>
      <c r="B158" s="7"/>
      <c r="C158" s="3"/>
      <c r="D158" s="3"/>
      <c r="E158" s="3"/>
      <c r="F158" s="3"/>
      <c r="G158" s="3"/>
      <c r="H158" s="4"/>
      <c r="I158" s="4"/>
      <c r="J158" s="3"/>
      <c r="K158" s="8" t="str">
        <f t="shared" si="2"/>
        <v/>
      </c>
      <c r="L158" s="1" t="str">
        <f>IF(COUNTA(A158:J158)=0,"",IF(OR(AND(C158&lt;&gt;"Gasto",C158&lt;&gt;"Pago proveedor",C158&lt;&gt;"Retiro familiar",C158&lt;&gt;"Aportación",C158&lt;&gt;"Pago activo",C158&lt;&gt;"ISR devengado",C158&lt;&gt;"Pago ISR",C158&lt;&gt;"Pago IVA",C158&lt;&gt;"Compensación ISR",C158&lt;&gt;"Compensación IVA"),AND(C158="Gasto",D158&lt;&gt;"Costos clínicos",D158&lt;&gt;"Remuneración familiar",D158&lt;&gt;"Nómina y honorarios",D158&lt;&gt;"Renta",D158&lt;&gt;"Marketing",D158&lt;&gt;"Servicios y software",D158&lt;&gt;"Mantenimiento",D158&lt;&gt;"Otros",D158&lt;&gt;"Intereses")),"Tipo o categoría inválido",IF(COUNTA(A158:J158)=0,"",IF(OR(A158="",B158="",C158="",H158=""),"Faltan datos",IF(COUNTIF($A$7:$A$2006,A158)&gt;1,"ID duplicado",IF(OR(B158&lt;DATE(Configuración!$C$5,1,1),B158&gt;=DATE(Configuración!$C$5+1,1,1)),"Fecha fuera del año",IF(OR(H158&lt;0,I158&lt;0),"Revisar signo",IF(AND(C158&lt;&gt;"Gasto",I158&lt;&gt;0),"IVA solo en Gasto",IF(AND(C158="Gasto",D158=""),"Falta categoría","OK")))))))))</f>
        <v/>
      </c>
    </row>
    <row r="159" spans="1:12" ht="22" customHeight="1">
      <c r="A159" s="3"/>
      <c r="B159" s="7"/>
      <c r="C159" s="3"/>
      <c r="D159" s="3"/>
      <c r="E159" s="3"/>
      <c r="F159" s="3"/>
      <c r="G159" s="3"/>
      <c r="H159" s="4"/>
      <c r="I159" s="4"/>
      <c r="J159" s="3"/>
      <c r="K159" s="8" t="str">
        <f t="shared" si="2"/>
        <v/>
      </c>
      <c r="L159" s="1" t="str">
        <f>IF(COUNTA(A159:J159)=0,"",IF(OR(AND(C159&lt;&gt;"Gasto",C159&lt;&gt;"Pago proveedor",C159&lt;&gt;"Retiro familiar",C159&lt;&gt;"Aportación",C159&lt;&gt;"Pago activo",C159&lt;&gt;"ISR devengado",C159&lt;&gt;"Pago ISR",C159&lt;&gt;"Pago IVA",C159&lt;&gt;"Compensación ISR",C159&lt;&gt;"Compensación IVA"),AND(C159="Gasto",D159&lt;&gt;"Costos clínicos",D159&lt;&gt;"Remuneración familiar",D159&lt;&gt;"Nómina y honorarios",D159&lt;&gt;"Renta",D159&lt;&gt;"Marketing",D159&lt;&gt;"Servicios y software",D159&lt;&gt;"Mantenimiento",D159&lt;&gt;"Otros",D159&lt;&gt;"Intereses")),"Tipo o categoría inválido",IF(COUNTA(A159:J159)=0,"",IF(OR(A159="",B159="",C159="",H159=""),"Faltan datos",IF(COUNTIF($A$7:$A$2006,A159)&gt;1,"ID duplicado",IF(OR(B159&lt;DATE(Configuración!$C$5,1,1),B159&gt;=DATE(Configuración!$C$5+1,1,1)),"Fecha fuera del año",IF(OR(H159&lt;0,I159&lt;0),"Revisar signo",IF(AND(C159&lt;&gt;"Gasto",I159&lt;&gt;0),"IVA solo en Gasto",IF(AND(C159="Gasto",D159=""),"Falta categoría","OK")))))))))</f>
        <v/>
      </c>
    </row>
    <row r="160" spans="1:12" ht="22" customHeight="1">
      <c r="A160" s="3"/>
      <c r="B160" s="7"/>
      <c r="C160" s="3"/>
      <c r="D160" s="3"/>
      <c r="E160" s="3"/>
      <c r="F160" s="3"/>
      <c r="G160" s="3"/>
      <c r="H160" s="4"/>
      <c r="I160" s="4"/>
      <c r="J160" s="3"/>
      <c r="K160" s="8" t="str">
        <f t="shared" si="2"/>
        <v/>
      </c>
      <c r="L160" s="1" t="str">
        <f>IF(COUNTA(A160:J160)=0,"",IF(OR(AND(C160&lt;&gt;"Gasto",C160&lt;&gt;"Pago proveedor",C160&lt;&gt;"Retiro familiar",C160&lt;&gt;"Aportación",C160&lt;&gt;"Pago activo",C160&lt;&gt;"ISR devengado",C160&lt;&gt;"Pago ISR",C160&lt;&gt;"Pago IVA",C160&lt;&gt;"Compensación ISR",C160&lt;&gt;"Compensación IVA"),AND(C160="Gasto",D160&lt;&gt;"Costos clínicos",D160&lt;&gt;"Remuneración familiar",D160&lt;&gt;"Nómina y honorarios",D160&lt;&gt;"Renta",D160&lt;&gt;"Marketing",D160&lt;&gt;"Servicios y software",D160&lt;&gt;"Mantenimiento",D160&lt;&gt;"Otros",D160&lt;&gt;"Intereses")),"Tipo o categoría inválido",IF(COUNTA(A160:J160)=0,"",IF(OR(A160="",B160="",C160="",H160=""),"Faltan datos",IF(COUNTIF($A$7:$A$2006,A160)&gt;1,"ID duplicado",IF(OR(B160&lt;DATE(Configuración!$C$5,1,1),B160&gt;=DATE(Configuración!$C$5+1,1,1)),"Fecha fuera del año",IF(OR(H160&lt;0,I160&lt;0),"Revisar signo",IF(AND(C160&lt;&gt;"Gasto",I160&lt;&gt;0),"IVA solo en Gasto",IF(AND(C160="Gasto",D160=""),"Falta categoría","OK")))))))))</f>
        <v/>
      </c>
    </row>
    <row r="161" spans="1:12" ht="22" customHeight="1">
      <c r="A161" s="3"/>
      <c r="B161" s="7"/>
      <c r="C161" s="3"/>
      <c r="D161" s="3"/>
      <c r="E161" s="3"/>
      <c r="F161" s="3"/>
      <c r="G161" s="3"/>
      <c r="H161" s="4"/>
      <c r="I161" s="4"/>
      <c r="J161" s="3"/>
      <c r="K161" s="8" t="str">
        <f t="shared" si="2"/>
        <v/>
      </c>
      <c r="L161" s="1" t="str">
        <f>IF(COUNTA(A161:J161)=0,"",IF(OR(AND(C161&lt;&gt;"Gasto",C161&lt;&gt;"Pago proveedor",C161&lt;&gt;"Retiro familiar",C161&lt;&gt;"Aportación",C161&lt;&gt;"Pago activo",C161&lt;&gt;"ISR devengado",C161&lt;&gt;"Pago ISR",C161&lt;&gt;"Pago IVA",C161&lt;&gt;"Compensación ISR",C161&lt;&gt;"Compensación IVA"),AND(C161="Gasto",D161&lt;&gt;"Costos clínicos",D161&lt;&gt;"Remuneración familiar",D161&lt;&gt;"Nómina y honorarios",D161&lt;&gt;"Renta",D161&lt;&gt;"Marketing",D161&lt;&gt;"Servicios y software",D161&lt;&gt;"Mantenimiento",D161&lt;&gt;"Otros",D161&lt;&gt;"Intereses")),"Tipo o categoría inválido",IF(COUNTA(A161:J161)=0,"",IF(OR(A161="",B161="",C161="",H161=""),"Faltan datos",IF(COUNTIF($A$7:$A$2006,A161)&gt;1,"ID duplicado",IF(OR(B161&lt;DATE(Configuración!$C$5,1,1),B161&gt;=DATE(Configuración!$C$5+1,1,1)),"Fecha fuera del año",IF(OR(H161&lt;0,I161&lt;0),"Revisar signo",IF(AND(C161&lt;&gt;"Gasto",I161&lt;&gt;0),"IVA solo en Gasto",IF(AND(C161="Gasto",D161=""),"Falta categoría","OK")))))))))</f>
        <v/>
      </c>
    </row>
    <row r="162" spans="1:12" ht="22" customHeight="1">
      <c r="A162" s="3"/>
      <c r="B162" s="7"/>
      <c r="C162" s="3"/>
      <c r="D162" s="3"/>
      <c r="E162" s="3"/>
      <c r="F162" s="3"/>
      <c r="G162" s="3"/>
      <c r="H162" s="4"/>
      <c r="I162" s="4"/>
      <c r="J162" s="3"/>
      <c r="K162" s="8" t="str">
        <f t="shared" si="2"/>
        <v/>
      </c>
      <c r="L162" s="1" t="str">
        <f>IF(COUNTA(A162:J162)=0,"",IF(OR(AND(C162&lt;&gt;"Gasto",C162&lt;&gt;"Pago proveedor",C162&lt;&gt;"Retiro familiar",C162&lt;&gt;"Aportación",C162&lt;&gt;"Pago activo",C162&lt;&gt;"ISR devengado",C162&lt;&gt;"Pago ISR",C162&lt;&gt;"Pago IVA",C162&lt;&gt;"Compensación ISR",C162&lt;&gt;"Compensación IVA"),AND(C162="Gasto",D162&lt;&gt;"Costos clínicos",D162&lt;&gt;"Remuneración familiar",D162&lt;&gt;"Nómina y honorarios",D162&lt;&gt;"Renta",D162&lt;&gt;"Marketing",D162&lt;&gt;"Servicios y software",D162&lt;&gt;"Mantenimiento",D162&lt;&gt;"Otros",D162&lt;&gt;"Intereses")),"Tipo o categoría inválido",IF(COUNTA(A162:J162)=0,"",IF(OR(A162="",B162="",C162="",H162=""),"Faltan datos",IF(COUNTIF($A$7:$A$2006,A162)&gt;1,"ID duplicado",IF(OR(B162&lt;DATE(Configuración!$C$5,1,1),B162&gt;=DATE(Configuración!$C$5+1,1,1)),"Fecha fuera del año",IF(OR(H162&lt;0,I162&lt;0),"Revisar signo",IF(AND(C162&lt;&gt;"Gasto",I162&lt;&gt;0),"IVA solo en Gasto",IF(AND(C162="Gasto",D162=""),"Falta categoría","OK")))))))))</f>
        <v/>
      </c>
    </row>
    <row r="163" spans="1:12" ht="22" customHeight="1">
      <c r="A163" s="3"/>
      <c r="B163" s="7"/>
      <c r="C163" s="3"/>
      <c r="D163" s="3"/>
      <c r="E163" s="3"/>
      <c r="F163" s="3"/>
      <c r="G163" s="3"/>
      <c r="H163" s="4"/>
      <c r="I163" s="4"/>
      <c r="J163" s="3"/>
      <c r="K163" s="8" t="str">
        <f t="shared" si="2"/>
        <v/>
      </c>
      <c r="L163" s="1" t="str">
        <f>IF(COUNTA(A163:J163)=0,"",IF(OR(AND(C163&lt;&gt;"Gasto",C163&lt;&gt;"Pago proveedor",C163&lt;&gt;"Retiro familiar",C163&lt;&gt;"Aportación",C163&lt;&gt;"Pago activo",C163&lt;&gt;"ISR devengado",C163&lt;&gt;"Pago ISR",C163&lt;&gt;"Pago IVA",C163&lt;&gt;"Compensación ISR",C163&lt;&gt;"Compensación IVA"),AND(C163="Gasto",D163&lt;&gt;"Costos clínicos",D163&lt;&gt;"Remuneración familiar",D163&lt;&gt;"Nómina y honorarios",D163&lt;&gt;"Renta",D163&lt;&gt;"Marketing",D163&lt;&gt;"Servicios y software",D163&lt;&gt;"Mantenimiento",D163&lt;&gt;"Otros",D163&lt;&gt;"Intereses")),"Tipo o categoría inválido",IF(COUNTA(A163:J163)=0,"",IF(OR(A163="",B163="",C163="",H163=""),"Faltan datos",IF(COUNTIF($A$7:$A$2006,A163)&gt;1,"ID duplicado",IF(OR(B163&lt;DATE(Configuración!$C$5,1,1),B163&gt;=DATE(Configuración!$C$5+1,1,1)),"Fecha fuera del año",IF(OR(H163&lt;0,I163&lt;0),"Revisar signo",IF(AND(C163&lt;&gt;"Gasto",I163&lt;&gt;0),"IVA solo en Gasto",IF(AND(C163="Gasto",D163=""),"Falta categoría","OK")))))))))</f>
        <v/>
      </c>
    </row>
    <row r="164" spans="1:12" ht="22" customHeight="1">
      <c r="A164" s="3"/>
      <c r="B164" s="7"/>
      <c r="C164" s="3"/>
      <c r="D164" s="3"/>
      <c r="E164" s="3"/>
      <c r="F164" s="3"/>
      <c r="G164" s="3"/>
      <c r="H164" s="4"/>
      <c r="I164" s="4"/>
      <c r="J164" s="3"/>
      <c r="K164" s="8" t="str">
        <f t="shared" si="2"/>
        <v/>
      </c>
      <c r="L164" s="1" t="str">
        <f>IF(COUNTA(A164:J164)=0,"",IF(OR(AND(C164&lt;&gt;"Gasto",C164&lt;&gt;"Pago proveedor",C164&lt;&gt;"Retiro familiar",C164&lt;&gt;"Aportación",C164&lt;&gt;"Pago activo",C164&lt;&gt;"ISR devengado",C164&lt;&gt;"Pago ISR",C164&lt;&gt;"Pago IVA",C164&lt;&gt;"Compensación ISR",C164&lt;&gt;"Compensación IVA"),AND(C164="Gasto",D164&lt;&gt;"Costos clínicos",D164&lt;&gt;"Remuneración familiar",D164&lt;&gt;"Nómina y honorarios",D164&lt;&gt;"Renta",D164&lt;&gt;"Marketing",D164&lt;&gt;"Servicios y software",D164&lt;&gt;"Mantenimiento",D164&lt;&gt;"Otros",D164&lt;&gt;"Intereses")),"Tipo o categoría inválido",IF(COUNTA(A164:J164)=0,"",IF(OR(A164="",B164="",C164="",H164=""),"Faltan datos",IF(COUNTIF($A$7:$A$2006,A164)&gt;1,"ID duplicado",IF(OR(B164&lt;DATE(Configuración!$C$5,1,1),B164&gt;=DATE(Configuración!$C$5+1,1,1)),"Fecha fuera del año",IF(OR(H164&lt;0,I164&lt;0),"Revisar signo",IF(AND(C164&lt;&gt;"Gasto",I164&lt;&gt;0),"IVA solo en Gasto",IF(AND(C164="Gasto",D164=""),"Falta categoría","OK")))))))))</f>
        <v/>
      </c>
    </row>
    <row r="165" spans="1:12" ht="22" customHeight="1">
      <c r="A165" s="3"/>
      <c r="B165" s="7"/>
      <c r="C165" s="3"/>
      <c r="D165" s="3"/>
      <c r="E165" s="3"/>
      <c r="F165" s="3"/>
      <c r="G165" s="3"/>
      <c r="H165" s="4"/>
      <c r="I165" s="4"/>
      <c r="J165" s="3"/>
      <c r="K165" s="8" t="str">
        <f t="shared" si="2"/>
        <v/>
      </c>
      <c r="L165" s="1" t="str">
        <f>IF(COUNTA(A165:J165)=0,"",IF(OR(AND(C165&lt;&gt;"Gasto",C165&lt;&gt;"Pago proveedor",C165&lt;&gt;"Retiro familiar",C165&lt;&gt;"Aportación",C165&lt;&gt;"Pago activo",C165&lt;&gt;"ISR devengado",C165&lt;&gt;"Pago ISR",C165&lt;&gt;"Pago IVA",C165&lt;&gt;"Compensación ISR",C165&lt;&gt;"Compensación IVA"),AND(C165="Gasto",D165&lt;&gt;"Costos clínicos",D165&lt;&gt;"Remuneración familiar",D165&lt;&gt;"Nómina y honorarios",D165&lt;&gt;"Renta",D165&lt;&gt;"Marketing",D165&lt;&gt;"Servicios y software",D165&lt;&gt;"Mantenimiento",D165&lt;&gt;"Otros",D165&lt;&gt;"Intereses")),"Tipo o categoría inválido",IF(COUNTA(A165:J165)=0,"",IF(OR(A165="",B165="",C165="",H165=""),"Faltan datos",IF(COUNTIF($A$7:$A$2006,A165)&gt;1,"ID duplicado",IF(OR(B165&lt;DATE(Configuración!$C$5,1,1),B165&gt;=DATE(Configuración!$C$5+1,1,1)),"Fecha fuera del año",IF(OR(H165&lt;0,I165&lt;0),"Revisar signo",IF(AND(C165&lt;&gt;"Gasto",I165&lt;&gt;0),"IVA solo en Gasto",IF(AND(C165="Gasto",D165=""),"Falta categoría","OK")))))))))</f>
        <v/>
      </c>
    </row>
    <row r="166" spans="1:12" ht="22" customHeight="1">
      <c r="A166" s="3"/>
      <c r="B166" s="7"/>
      <c r="C166" s="3"/>
      <c r="D166" s="3"/>
      <c r="E166" s="3"/>
      <c r="F166" s="3"/>
      <c r="G166" s="3"/>
      <c r="H166" s="4"/>
      <c r="I166" s="4"/>
      <c r="J166" s="3"/>
      <c r="K166" s="8" t="str">
        <f t="shared" si="2"/>
        <v/>
      </c>
      <c r="L166" s="1" t="str">
        <f>IF(COUNTA(A166:J166)=0,"",IF(OR(AND(C166&lt;&gt;"Gasto",C166&lt;&gt;"Pago proveedor",C166&lt;&gt;"Retiro familiar",C166&lt;&gt;"Aportación",C166&lt;&gt;"Pago activo",C166&lt;&gt;"ISR devengado",C166&lt;&gt;"Pago ISR",C166&lt;&gt;"Pago IVA",C166&lt;&gt;"Compensación ISR",C166&lt;&gt;"Compensación IVA"),AND(C166="Gasto",D166&lt;&gt;"Costos clínicos",D166&lt;&gt;"Remuneración familiar",D166&lt;&gt;"Nómina y honorarios",D166&lt;&gt;"Renta",D166&lt;&gt;"Marketing",D166&lt;&gt;"Servicios y software",D166&lt;&gt;"Mantenimiento",D166&lt;&gt;"Otros",D166&lt;&gt;"Intereses")),"Tipo o categoría inválido",IF(COUNTA(A166:J166)=0,"",IF(OR(A166="",B166="",C166="",H166=""),"Faltan datos",IF(COUNTIF($A$7:$A$2006,A166)&gt;1,"ID duplicado",IF(OR(B166&lt;DATE(Configuración!$C$5,1,1),B166&gt;=DATE(Configuración!$C$5+1,1,1)),"Fecha fuera del año",IF(OR(H166&lt;0,I166&lt;0),"Revisar signo",IF(AND(C166&lt;&gt;"Gasto",I166&lt;&gt;0),"IVA solo en Gasto",IF(AND(C166="Gasto",D166=""),"Falta categoría","OK")))))))))</f>
        <v/>
      </c>
    </row>
    <row r="167" spans="1:12" ht="22" customHeight="1">
      <c r="A167" s="3"/>
      <c r="B167" s="7"/>
      <c r="C167" s="3"/>
      <c r="D167" s="3"/>
      <c r="E167" s="3"/>
      <c r="F167" s="3"/>
      <c r="G167" s="3"/>
      <c r="H167" s="4"/>
      <c r="I167" s="4"/>
      <c r="J167" s="3"/>
      <c r="K167" s="8" t="str">
        <f t="shared" si="2"/>
        <v/>
      </c>
      <c r="L167" s="1" t="str">
        <f>IF(COUNTA(A167:J167)=0,"",IF(OR(AND(C167&lt;&gt;"Gasto",C167&lt;&gt;"Pago proveedor",C167&lt;&gt;"Retiro familiar",C167&lt;&gt;"Aportación",C167&lt;&gt;"Pago activo",C167&lt;&gt;"ISR devengado",C167&lt;&gt;"Pago ISR",C167&lt;&gt;"Pago IVA",C167&lt;&gt;"Compensación ISR",C167&lt;&gt;"Compensación IVA"),AND(C167="Gasto",D167&lt;&gt;"Costos clínicos",D167&lt;&gt;"Remuneración familiar",D167&lt;&gt;"Nómina y honorarios",D167&lt;&gt;"Renta",D167&lt;&gt;"Marketing",D167&lt;&gt;"Servicios y software",D167&lt;&gt;"Mantenimiento",D167&lt;&gt;"Otros",D167&lt;&gt;"Intereses")),"Tipo o categoría inválido",IF(COUNTA(A167:J167)=0,"",IF(OR(A167="",B167="",C167="",H167=""),"Faltan datos",IF(COUNTIF($A$7:$A$2006,A167)&gt;1,"ID duplicado",IF(OR(B167&lt;DATE(Configuración!$C$5,1,1),B167&gt;=DATE(Configuración!$C$5+1,1,1)),"Fecha fuera del año",IF(OR(H167&lt;0,I167&lt;0),"Revisar signo",IF(AND(C167&lt;&gt;"Gasto",I167&lt;&gt;0),"IVA solo en Gasto",IF(AND(C167="Gasto",D167=""),"Falta categoría","OK")))))))))</f>
        <v/>
      </c>
    </row>
    <row r="168" spans="1:12" ht="22" customHeight="1">
      <c r="A168" s="3"/>
      <c r="B168" s="7"/>
      <c r="C168" s="3"/>
      <c r="D168" s="3"/>
      <c r="E168" s="3"/>
      <c r="F168" s="3"/>
      <c r="G168" s="3"/>
      <c r="H168" s="4"/>
      <c r="I168" s="4"/>
      <c r="J168" s="3"/>
      <c r="K168" s="8" t="str">
        <f t="shared" si="2"/>
        <v/>
      </c>
      <c r="L168" s="1" t="str">
        <f>IF(COUNTA(A168:J168)=0,"",IF(OR(AND(C168&lt;&gt;"Gasto",C168&lt;&gt;"Pago proveedor",C168&lt;&gt;"Retiro familiar",C168&lt;&gt;"Aportación",C168&lt;&gt;"Pago activo",C168&lt;&gt;"ISR devengado",C168&lt;&gt;"Pago ISR",C168&lt;&gt;"Pago IVA",C168&lt;&gt;"Compensación ISR",C168&lt;&gt;"Compensación IVA"),AND(C168="Gasto",D168&lt;&gt;"Costos clínicos",D168&lt;&gt;"Remuneración familiar",D168&lt;&gt;"Nómina y honorarios",D168&lt;&gt;"Renta",D168&lt;&gt;"Marketing",D168&lt;&gt;"Servicios y software",D168&lt;&gt;"Mantenimiento",D168&lt;&gt;"Otros",D168&lt;&gt;"Intereses")),"Tipo o categoría inválido",IF(COUNTA(A168:J168)=0,"",IF(OR(A168="",B168="",C168="",H168=""),"Faltan datos",IF(COUNTIF($A$7:$A$2006,A168)&gt;1,"ID duplicado",IF(OR(B168&lt;DATE(Configuración!$C$5,1,1),B168&gt;=DATE(Configuración!$C$5+1,1,1)),"Fecha fuera del año",IF(OR(H168&lt;0,I168&lt;0),"Revisar signo",IF(AND(C168&lt;&gt;"Gasto",I168&lt;&gt;0),"IVA solo en Gasto",IF(AND(C168="Gasto",D168=""),"Falta categoría","OK")))))))))</f>
        <v/>
      </c>
    </row>
    <row r="169" spans="1:12" ht="22" customHeight="1">
      <c r="A169" s="3"/>
      <c r="B169" s="7"/>
      <c r="C169" s="3"/>
      <c r="D169" s="3"/>
      <c r="E169" s="3"/>
      <c r="F169" s="3"/>
      <c r="G169" s="3"/>
      <c r="H169" s="4"/>
      <c r="I169" s="4"/>
      <c r="J169" s="3"/>
      <c r="K169" s="8" t="str">
        <f t="shared" si="2"/>
        <v/>
      </c>
      <c r="L169" s="1" t="str">
        <f>IF(COUNTA(A169:J169)=0,"",IF(OR(AND(C169&lt;&gt;"Gasto",C169&lt;&gt;"Pago proveedor",C169&lt;&gt;"Retiro familiar",C169&lt;&gt;"Aportación",C169&lt;&gt;"Pago activo",C169&lt;&gt;"ISR devengado",C169&lt;&gt;"Pago ISR",C169&lt;&gt;"Pago IVA",C169&lt;&gt;"Compensación ISR",C169&lt;&gt;"Compensación IVA"),AND(C169="Gasto",D169&lt;&gt;"Costos clínicos",D169&lt;&gt;"Remuneración familiar",D169&lt;&gt;"Nómina y honorarios",D169&lt;&gt;"Renta",D169&lt;&gt;"Marketing",D169&lt;&gt;"Servicios y software",D169&lt;&gt;"Mantenimiento",D169&lt;&gt;"Otros",D169&lt;&gt;"Intereses")),"Tipo o categoría inválido",IF(COUNTA(A169:J169)=0,"",IF(OR(A169="",B169="",C169="",H169=""),"Faltan datos",IF(COUNTIF($A$7:$A$2006,A169)&gt;1,"ID duplicado",IF(OR(B169&lt;DATE(Configuración!$C$5,1,1),B169&gt;=DATE(Configuración!$C$5+1,1,1)),"Fecha fuera del año",IF(OR(H169&lt;0,I169&lt;0),"Revisar signo",IF(AND(C169&lt;&gt;"Gasto",I169&lt;&gt;0),"IVA solo en Gasto",IF(AND(C169="Gasto",D169=""),"Falta categoría","OK")))))))))</f>
        <v/>
      </c>
    </row>
    <row r="170" spans="1:12" ht="22" customHeight="1">
      <c r="A170" s="3"/>
      <c r="B170" s="7"/>
      <c r="C170" s="3"/>
      <c r="D170" s="3"/>
      <c r="E170" s="3"/>
      <c r="F170" s="3"/>
      <c r="G170" s="3"/>
      <c r="H170" s="4"/>
      <c r="I170" s="4"/>
      <c r="J170" s="3"/>
      <c r="K170" s="8" t="str">
        <f t="shared" si="2"/>
        <v/>
      </c>
      <c r="L170" s="1" t="str">
        <f>IF(COUNTA(A170:J170)=0,"",IF(OR(AND(C170&lt;&gt;"Gasto",C170&lt;&gt;"Pago proveedor",C170&lt;&gt;"Retiro familiar",C170&lt;&gt;"Aportación",C170&lt;&gt;"Pago activo",C170&lt;&gt;"ISR devengado",C170&lt;&gt;"Pago ISR",C170&lt;&gt;"Pago IVA",C170&lt;&gt;"Compensación ISR",C170&lt;&gt;"Compensación IVA"),AND(C170="Gasto",D170&lt;&gt;"Costos clínicos",D170&lt;&gt;"Remuneración familiar",D170&lt;&gt;"Nómina y honorarios",D170&lt;&gt;"Renta",D170&lt;&gt;"Marketing",D170&lt;&gt;"Servicios y software",D170&lt;&gt;"Mantenimiento",D170&lt;&gt;"Otros",D170&lt;&gt;"Intereses")),"Tipo o categoría inválido",IF(COUNTA(A170:J170)=0,"",IF(OR(A170="",B170="",C170="",H170=""),"Faltan datos",IF(COUNTIF($A$7:$A$2006,A170)&gt;1,"ID duplicado",IF(OR(B170&lt;DATE(Configuración!$C$5,1,1),B170&gt;=DATE(Configuración!$C$5+1,1,1)),"Fecha fuera del año",IF(OR(H170&lt;0,I170&lt;0),"Revisar signo",IF(AND(C170&lt;&gt;"Gasto",I170&lt;&gt;0),"IVA solo en Gasto",IF(AND(C170="Gasto",D170=""),"Falta categoría","OK")))))))))</f>
        <v/>
      </c>
    </row>
    <row r="171" spans="1:12" ht="22" customHeight="1">
      <c r="A171" s="3"/>
      <c r="B171" s="7"/>
      <c r="C171" s="3"/>
      <c r="D171" s="3"/>
      <c r="E171" s="3"/>
      <c r="F171" s="3"/>
      <c r="G171" s="3"/>
      <c r="H171" s="4"/>
      <c r="I171" s="4"/>
      <c r="J171" s="3"/>
      <c r="K171" s="8" t="str">
        <f t="shared" si="2"/>
        <v/>
      </c>
      <c r="L171" s="1" t="str">
        <f>IF(COUNTA(A171:J171)=0,"",IF(OR(AND(C171&lt;&gt;"Gasto",C171&lt;&gt;"Pago proveedor",C171&lt;&gt;"Retiro familiar",C171&lt;&gt;"Aportación",C171&lt;&gt;"Pago activo",C171&lt;&gt;"ISR devengado",C171&lt;&gt;"Pago ISR",C171&lt;&gt;"Pago IVA",C171&lt;&gt;"Compensación ISR",C171&lt;&gt;"Compensación IVA"),AND(C171="Gasto",D171&lt;&gt;"Costos clínicos",D171&lt;&gt;"Remuneración familiar",D171&lt;&gt;"Nómina y honorarios",D171&lt;&gt;"Renta",D171&lt;&gt;"Marketing",D171&lt;&gt;"Servicios y software",D171&lt;&gt;"Mantenimiento",D171&lt;&gt;"Otros",D171&lt;&gt;"Intereses")),"Tipo o categoría inválido",IF(COUNTA(A171:J171)=0,"",IF(OR(A171="",B171="",C171="",H171=""),"Faltan datos",IF(COUNTIF($A$7:$A$2006,A171)&gt;1,"ID duplicado",IF(OR(B171&lt;DATE(Configuración!$C$5,1,1),B171&gt;=DATE(Configuración!$C$5+1,1,1)),"Fecha fuera del año",IF(OR(H171&lt;0,I171&lt;0),"Revisar signo",IF(AND(C171&lt;&gt;"Gasto",I171&lt;&gt;0),"IVA solo en Gasto",IF(AND(C171="Gasto",D171=""),"Falta categoría","OK")))))))))</f>
        <v/>
      </c>
    </row>
    <row r="172" spans="1:12" ht="22" customHeight="1">
      <c r="A172" s="3"/>
      <c r="B172" s="7"/>
      <c r="C172" s="3"/>
      <c r="D172" s="3"/>
      <c r="E172" s="3"/>
      <c r="F172" s="3"/>
      <c r="G172" s="3"/>
      <c r="H172" s="4"/>
      <c r="I172" s="4"/>
      <c r="J172" s="3"/>
      <c r="K172" s="8" t="str">
        <f t="shared" si="2"/>
        <v/>
      </c>
      <c r="L172" s="1" t="str">
        <f>IF(COUNTA(A172:J172)=0,"",IF(OR(AND(C172&lt;&gt;"Gasto",C172&lt;&gt;"Pago proveedor",C172&lt;&gt;"Retiro familiar",C172&lt;&gt;"Aportación",C172&lt;&gt;"Pago activo",C172&lt;&gt;"ISR devengado",C172&lt;&gt;"Pago ISR",C172&lt;&gt;"Pago IVA",C172&lt;&gt;"Compensación ISR",C172&lt;&gt;"Compensación IVA"),AND(C172="Gasto",D172&lt;&gt;"Costos clínicos",D172&lt;&gt;"Remuneración familiar",D172&lt;&gt;"Nómina y honorarios",D172&lt;&gt;"Renta",D172&lt;&gt;"Marketing",D172&lt;&gt;"Servicios y software",D172&lt;&gt;"Mantenimiento",D172&lt;&gt;"Otros",D172&lt;&gt;"Intereses")),"Tipo o categoría inválido",IF(COUNTA(A172:J172)=0,"",IF(OR(A172="",B172="",C172="",H172=""),"Faltan datos",IF(COUNTIF($A$7:$A$2006,A172)&gt;1,"ID duplicado",IF(OR(B172&lt;DATE(Configuración!$C$5,1,1),B172&gt;=DATE(Configuración!$C$5+1,1,1)),"Fecha fuera del año",IF(OR(H172&lt;0,I172&lt;0),"Revisar signo",IF(AND(C172&lt;&gt;"Gasto",I172&lt;&gt;0),"IVA solo en Gasto",IF(AND(C172="Gasto",D172=""),"Falta categoría","OK")))))))))</f>
        <v/>
      </c>
    </row>
    <row r="173" spans="1:12" ht="22" customHeight="1">
      <c r="A173" s="3"/>
      <c r="B173" s="7"/>
      <c r="C173" s="3"/>
      <c r="D173" s="3"/>
      <c r="E173" s="3"/>
      <c r="F173" s="3"/>
      <c r="G173" s="3"/>
      <c r="H173" s="4"/>
      <c r="I173" s="4"/>
      <c r="J173" s="3"/>
      <c r="K173" s="8" t="str">
        <f t="shared" si="2"/>
        <v/>
      </c>
      <c r="L173" s="1" t="str">
        <f>IF(COUNTA(A173:J173)=0,"",IF(OR(AND(C173&lt;&gt;"Gasto",C173&lt;&gt;"Pago proveedor",C173&lt;&gt;"Retiro familiar",C173&lt;&gt;"Aportación",C173&lt;&gt;"Pago activo",C173&lt;&gt;"ISR devengado",C173&lt;&gt;"Pago ISR",C173&lt;&gt;"Pago IVA",C173&lt;&gt;"Compensación ISR",C173&lt;&gt;"Compensación IVA"),AND(C173="Gasto",D173&lt;&gt;"Costos clínicos",D173&lt;&gt;"Remuneración familiar",D173&lt;&gt;"Nómina y honorarios",D173&lt;&gt;"Renta",D173&lt;&gt;"Marketing",D173&lt;&gt;"Servicios y software",D173&lt;&gt;"Mantenimiento",D173&lt;&gt;"Otros",D173&lt;&gt;"Intereses")),"Tipo o categoría inválido",IF(COUNTA(A173:J173)=0,"",IF(OR(A173="",B173="",C173="",H173=""),"Faltan datos",IF(COUNTIF($A$7:$A$2006,A173)&gt;1,"ID duplicado",IF(OR(B173&lt;DATE(Configuración!$C$5,1,1),B173&gt;=DATE(Configuración!$C$5+1,1,1)),"Fecha fuera del año",IF(OR(H173&lt;0,I173&lt;0),"Revisar signo",IF(AND(C173&lt;&gt;"Gasto",I173&lt;&gt;0),"IVA solo en Gasto",IF(AND(C173="Gasto",D173=""),"Falta categoría","OK")))))))))</f>
        <v/>
      </c>
    </row>
    <row r="174" spans="1:12" ht="22" customHeight="1">
      <c r="A174" s="3"/>
      <c r="B174" s="7"/>
      <c r="C174" s="3"/>
      <c r="D174" s="3"/>
      <c r="E174" s="3"/>
      <c r="F174" s="3"/>
      <c r="G174" s="3"/>
      <c r="H174" s="4"/>
      <c r="I174" s="4"/>
      <c r="J174" s="3"/>
      <c r="K174" s="8" t="str">
        <f t="shared" si="2"/>
        <v/>
      </c>
      <c r="L174" s="1" t="str">
        <f>IF(COUNTA(A174:J174)=0,"",IF(OR(AND(C174&lt;&gt;"Gasto",C174&lt;&gt;"Pago proveedor",C174&lt;&gt;"Retiro familiar",C174&lt;&gt;"Aportación",C174&lt;&gt;"Pago activo",C174&lt;&gt;"ISR devengado",C174&lt;&gt;"Pago ISR",C174&lt;&gt;"Pago IVA",C174&lt;&gt;"Compensación ISR",C174&lt;&gt;"Compensación IVA"),AND(C174="Gasto",D174&lt;&gt;"Costos clínicos",D174&lt;&gt;"Remuneración familiar",D174&lt;&gt;"Nómina y honorarios",D174&lt;&gt;"Renta",D174&lt;&gt;"Marketing",D174&lt;&gt;"Servicios y software",D174&lt;&gt;"Mantenimiento",D174&lt;&gt;"Otros",D174&lt;&gt;"Intereses")),"Tipo o categoría inválido",IF(COUNTA(A174:J174)=0,"",IF(OR(A174="",B174="",C174="",H174=""),"Faltan datos",IF(COUNTIF($A$7:$A$2006,A174)&gt;1,"ID duplicado",IF(OR(B174&lt;DATE(Configuración!$C$5,1,1),B174&gt;=DATE(Configuración!$C$5+1,1,1)),"Fecha fuera del año",IF(OR(H174&lt;0,I174&lt;0),"Revisar signo",IF(AND(C174&lt;&gt;"Gasto",I174&lt;&gt;0),"IVA solo en Gasto",IF(AND(C174="Gasto",D174=""),"Falta categoría","OK")))))))))</f>
        <v/>
      </c>
    </row>
    <row r="175" spans="1:12" ht="22" customHeight="1">
      <c r="A175" s="3"/>
      <c r="B175" s="7"/>
      <c r="C175" s="3"/>
      <c r="D175" s="3"/>
      <c r="E175" s="3"/>
      <c r="F175" s="3"/>
      <c r="G175" s="3"/>
      <c r="H175" s="4"/>
      <c r="I175" s="4"/>
      <c r="J175" s="3"/>
      <c r="K175" s="8" t="str">
        <f t="shared" si="2"/>
        <v/>
      </c>
      <c r="L175" s="1" t="str">
        <f>IF(COUNTA(A175:J175)=0,"",IF(OR(AND(C175&lt;&gt;"Gasto",C175&lt;&gt;"Pago proveedor",C175&lt;&gt;"Retiro familiar",C175&lt;&gt;"Aportación",C175&lt;&gt;"Pago activo",C175&lt;&gt;"ISR devengado",C175&lt;&gt;"Pago ISR",C175&lt;&gt;"Pago IVA",C175&lt;&gt;"Compensación ISR",C175&lt;&gt;"Compensación IVA"),AND(C175="Gasto",D175&lt;&gt;"Costos clínicos",D175&lt;&gt;"Remuneración familiar",D175&lt;&gt;"Nómina y honorarios",D175&lt;&gt;"Renta",D175&lt;&gt;"Marketing",D175&lt;&gt;"Servicios y software",D175&lt;&gt;"Mantenimiento",D175&lt;&gt;"Otros",D175&lt;&gt;"Intereses")),"Tipo o categoría inválido",IF(COUNTA(A175:J175)=0,"",IF(OR(A175="",B175="",C175="",H175=""),"Faltan datos",IF(COUNTIF($A$7:$A$2006,A175)&gt;1,"ID duplicado",IF(OR(B175&lt;DATE(Configuración!$C$5,1,1),B175&gt;=DATE(Configuración!$C$5+1,1,1)),"Fecha fuera del año",IF(OR(H175&lt;0,I175&lt;0),"Revisar signo",IF(AND(C175&lt;&gt;"Gasto",I175&lt;&gt;0),"IVA solo en Gasto",IF(AND(C175="Gasto",D175=""),"Falta categoría","OK")))))))))</f>
        <v/>
      </c>
    </row>
    <row r="176" spans="1:12" ht="22" customHeight="1">
      <c r="A176" s="3"/>
      <c r="B176" s="7"/>
      <c r="C176" s="3"/>
      <c r="D176" s="3"/>
      <c r="E176" s="3"/>
      <c r="F176" s="3"/>
      <c r="G176" s="3"/>
      <c r="H176" s="4"/>
      <c r="I176" s="4"/>
      <c r="J176" s="3"/>
      <c r="K176" s="8" t="str">
        <f t="shared" si="2"/>
        <v/>
      </c>
      <c r="L176" s="1" t="str">
        <f>IF(COUNTA(A176:J176)=0,"",IF(OR(AND(C176&lt;&gt;"Gasto",C176&lt;&gt;"Pago proveedor",C176&lt;&gt;"Retiro familiar",C176&lt;&gt;"Aportación",C176&lt;&gt;"Pago activo",C176&lt;&gt;"ISR devengado",C176&lt;&gt;"Pago ISR",C176&lt;&gt;"Pago IVA",C176&lt;&gt;"Compensación ISR",C176&lt;&gt;"Compensación IVA"),AND(C176="Gasto",D176&lt;&gt;"Costos clínicos",D176&lt;&gt;"Remuneración familiar",D176&lt;&gt;"Nómina y honorarios",D176&lt;&gt;"Renta",D176&lt;&gt;"Marketing",D176&lt;&gt;"Servicios y software",D176&lt;&gt;"Mantenimiento",D176&lt;&gt;"Otros",D176&lt;&gt;"Intereses")),"Tipo o categoría inválido",IF(COUNTA(A176:J176)=0,"",IF(OR(A176="",B176="",C176="",H176=""),"Faltan datos",IF(COUNTIF($A$7:$A$2006,A176)&gt;1,"ID duplicado",IF(OR(B176&lt;DATE(Configuración!$C$5,1,1),B176&gt;=DATE(Configuración!$C$5+1,1,1)),"Fecha fuera del año",IF(OR(H176&lt;0,I176&lt;0),"Revisar signo",IF(AND(C176&lt;&gt;"Gasto",I176&lt;&gt;0),"IVA solo en Gasto",IF(AND(C176="Gasto",D176=""),"Falta categoría","OK")))))))))</f>
        <v/>
      </c>
    </row>
    <row r="177" spans="1:12" ht="22" customHeight="1">
      <c r="A177" s="3"/>
      <c r="B177" s="7"/>
      <c r="C177" s="3"/>
      <c r="D177" s="3"/>
      <c r="E177" s="3"/>
      <c r="F177" s="3"/>
      <c r="G177" s="3"/>
      <c r="H177" s="4"/>
      <c r="I177" s="4"/>
      <c r="J177" s="3"/>
      <c r="K177" s="8" t="str">
        <f t="shared" si="2"/>
        <v/>
      </c>
      <c r="L177" s="1" t="str">
        <f>IF(COUNTA(A177:J177)=0,"",IF(OR(AND(C177&lt;&gt;"Gasto",C177&lt;&gt;"Pago proveedor",C177&lt;&gt;"Retiro familiar",C177&lt;&gt;"Aportación",C177&lt;&gt;"Pago activo",C177&lt;&gt;"ISR devengado",C177&lt;&gt;"Pago ISR",C177&lt;&gt;"Pago IVA",C177&lt;&gt;"Compensación ISR",C177&lt;&gt;"Compensación IVA"),AND(C177="Gasto",D177&lt;&gt;"Costos clínicos",D177&lt;&gt;"Remuneración familiar",D177&lt;&gt;"Nómina y honorarios",D177&lt;&gt;"Renta",D177&lt;&gt;"Marketing",D177&lt;&gt;"Servicios y software",D177&lt;&gt;"Mantenimiento",D177&lt;&gt;"Otros",D177&lt;&gt;"Intereses")),"Tipo o categoría inválido",IF(COUNTA(A177:J177)=0,"",IF(OR(A177="",B177="",C177="",H177=""),"Faltan datos",IF(COUNTIF($A$7:$A$2006,A177)&gt;1,"ID duplicado",IF(OR(B177&lt;DATE(Configuración!$C$5,1,1),B177&gt;=DATE(Configuración!$C$5+1,1,1)),"Fecha fuera del año",IF(OR(H177&lt;0,I177&lt;0),"Revisar signo",IF(AND(C177&lt;&gt;"Gasto",I177&lt;&gt;0),"IVA solo en Gasto",IF(AND(C177="Gasto",D177=""),"Falta categoría","OK")))))))))</f>
        <v/>
      </c>
    </row>
    <row r="178" spans="1:12" ht="22" customHeight="1">
      <c r="A178" s="3"/>
      <c r="B178" s="7"/>
      <c r="C178" s="3"/>
      <c r="D178" s="3"/>
      <c r="E178" s="3"/>
      <c r="F178" s="3"/>
      <c r="G178" s="3"/>
      <c r="H178" s="4"/>
      <c r="I178" s="4"/>
      <c r="J178" s="3"/>
      <c r="K178" s="8" t="str">
        <f t="shared" si="2"/>
        <v/>
      </c>
      <c r="L178" s="1" t="str">
        <f>IF(COUNTA(A178:J178)=0,"",IF(OR(AND(C178&lt;&gt;"Gasto",C178&lt;&gt;"Pago proveedor",C178&lt;&gt;"Retiro familiar",C178&lt;&gt;"Aportación",C178&lt;&gt;"Pago activo",C178&lt;&gt;"ISR devengado",C178&lt;&gt;"Pago ISR",C178&lt;&gt;"Pago IVA",C178&lt;&gt;"Compensación ISR",C178&lt;&gt;"Compensación IVA"),AND(C178="Gasto",D178&lt;&gt;"Costos clínicos",D178&lt;&gt;"Remuneración familiar",D178&lt;&gt;"Nómina y honorarios",D178&lt;&gt;"Renta",D178&lt;&gt;"Marketing",D178&lt;&gt;"Servicios y software",D178&lt;&gt;"Mantenimiento",D178&lt;&gt;"Otros",D178&lt;&gt;"Intereses")),"Tipo o categoría inválido",IF(COUNTA(A178:J178)=0,"",IF(OR(A178="",B178="",C178="",H178=""),"Faltan datos",IF(COUNTIF($A$7:$A$2006,A178)&gt;1,"ID duplicado",IF(OR(B178&lt;DATE(Configuración!$C$5,1,1),B178&gt;=DATE(Configuración!$C$5+1,1,1)),"Fecha fuera del año",IF(OR(H178&lt;0,I178&lt;0),"Revisar signo",IF(AND(C178&lt;&gt;"Gasto",I178&lt;&gt;0),"IVA solo en Gasto",IF(AND(C178="Gasto",D178=""),"Falta categoría","OK")))))))))</f>
        <v/>
      </c>
    </row>
    <row r="179" spans="1:12" ht="22" customHeight="1">
      <c r="A179" s="3"/>
      <c r="B179" s="7"/>
      <c r="C179" s="3"/>
      <c r="D179" s="3"/>
      <c r="E179" s="3"/>
      <c r="F179" s="3"/>
      <c r="G179" s="3"/>
      <c r="H179" s="4"/>
      <c r="I179" s="4"/>
      <c r="J179" s="3"/>
      <c r="K179" s="8" t="str">
        <f t="shared" si="2"/>
        <v/>
      </c>
      <c r="L179" s="1" t="str">
        <f>IF(COUNTA(A179:J179)=0,"",IF(OR(AND(C179&lt;&gt;"Gasto",C179&lt;&gt;"Pago proveedor",C179&lt;&gt;"Retiro familiar",C179&lt;&gt;"Aportación",C179&lt;&gt;"Pago activo",C179&lt;&gt;"ISR devengado",C179&lt;&gt;"Pago ISR",C179&lt;&gt;"Pago IVA",C179&lt;&gt;"Compensación ISR",C179&lt;&gt;"Compensación IVA"),AND(C179="Gasto",D179&lt;&gt;"Costos clínicos",D179&lt;&gt;"Remuneración familiar",D179&lt;&gt;"Nómina y honorarios",D179&lt;&gt;"Renta",D179&lt;&gt;"Marketing",D179&lt;&gt;"Servicios y software",D179&lt;&gt;"Mantenimiento",D179&lt;&gt;"Otros",D179&lt;&gt;"Intereses")),"Tipo o categoría inválido",IF(COUNTA(A179:J179)=0,"",IF(OR(A179="",B179="",C179="",H179=""),"Faltan datos",IF(COUNTIF($A$7:$A$2006,A179)&gt;1,"ID duplicado",IF(OR(B179&lt;DATE(Configuración!$C$5,1,1),B179&gt;=DATE(Configuración!$C$5+1,1,1)),"Fecha fuera del año",IF(OR(H179&lt;0,I179&lt;0),"Revisar signo",IF(AND(C179&lt;&gt;"Gasto",I179&lt;&gt;0),"IVA solo en Gasto",IF(AND(C179="Gasto",D179=""),"Falta categoría","OK")))))))))</f>
        <v/>
      </c>
    </row>
    <row r="180" spans="1:12" ht="22" customHeight="1">
      <c r="A180" s="3"/>
      <c r="B180" s="7"/>
      <c r="C180" s="3"/>
      <c r="D180" s="3"/>
      <c r="E180" s="3"/>
      <c r="F180" s="3"/>
      <c r="G180" s="3"/>
      <c r="H180" s="4"/>
      <c r="I180" s="4"/>
      <c r="J180" s="3"/>
      <c r="K180" s="8" t="str">
        <f t="shared" si="2"/>
        <v/>
      </c>
      <c r="L180" s="1" t="str">
        <f>IF(COUNTA(A180:J180)=0,"",IF(OR(AND(C180&lt;&gt;"Gasto",C180&lt;&gt;"Pago proveedor",C180&lt;&gt;"Retiro familiar",C180&lt;&gt;"Aportación",C180&lt;&gt;"Pago activo",C180&lt;&gt;"ISR devengado",C180&lt;&gt;"Pago ISR",C180&lt;&gt;"Pago IVA",C180&lt;&gt;"Compensación ISR",C180&lt;&gt;"Compensación IVA"),AND(C180="Gasto",D180&lt;&gt;"Costos clínicos",D180&lt;&gt;"Remuneración familiar",D180&lt;&gt;"Nómina y honorarios",D180&lt;&gt;"Renta",D180&lt;&gt;"Marketing",D180&lt;&gt;"Servicios y software",D180&lt;&gt;"Mantenimiento",D180&lt;&gt;"Otros",D180&lt;&gt;"Intereses")),"Tipo o categoría inválido",IF(COUNTA(A180:J180)=0,"",IF(OR(A180="",B180="",C180="",H180=""),"Faltan datos",IF(COUNTIF($A$7:$A$2006,A180)&gt;1,"ID duplicado",IF(OR(B180&lt;DATE(Configuración!$C$5,1,1),B180&gt;=DATE(Configuración!$C$5+1,1,1)),"Fecha fuera del año",IF(OR(H180&lt;0,I180&lt;0),"Revisar signo",IF(AND(C180&lt;&gt;"Gasto",I180&lt;&gt;0),"IVA solo en Gasto",IF(AND(C180="Gasto",D180=""),"Falta categoría","OK")))))))))</f>
        <v/>
      </c>
    </row>
    <row r="181" spans="1:12" ht="22" customHeight="1">
      <c r="A181" s="3"/>
      <c r="B181" s="7"/>
      <c r="C181" s="3"/>
      <c r="D181" s="3"/>
      <c r="E181" s="3"/>
      <c r="F181" s="3"/>
      <c r="G181" s="3"/>
      <c r="H181" s="4"/>
      <c r="I181" s="4"/>
      <c r="J181" s="3"/>
      <c r="K181" s="8" t="str">
        <f t="shared" si="2"/>
        <v/>
      </c>
      <c r="L181" s="1" t="str">
        <f>IF(COUNTA(A181:J181)=0,"",IF(OR(AND(C181&lt;&gt;"Gasto",C181&lt;&gt;"Pago proveedor",C181&lt;&gt;"Retiro familiar",C181&lt;&gt;"Aportación",C181&lt;&gt;"Pago activo",C181&lt;&gt;"ISR devengado",C181&lt;&gt;"Pago ISR",C181&lt;&gt;"Pago IVA",C181&lt;&gt;"Compensación ISR",C181&lt;&gt;"Compensación IVA"),AND(C181="Gasto",D181&lt;&gt;"Costos clínicos",D181&lt;&gt;"Remuneración familiar",D181&lt;&gt;"Nómina y honorarios",D181&lt;&gt;"Renta",D181&lt;&gt;"Marketing",D181&lt;&gt;"Servicios y software",D181&lt;&gt;"Mantenimiento",D181&lt;&gt;"Otros",D181&lt;&gt;"Intereses")),"Tipo o categoría inválido",IF(COUNTA(A181:J181)=0,"",IF(OR(A181="",B181="",C181="",H181=""),"Faltan datos",IF(COUNTIF($A$7:$A$2006,A181)&gt;1,"ID duplicado",IF(OR(B181&lt;DATE(Configuración!$C$5,1,1),B181&gt;=DATE(Configuración!$C$5+1,1,1)),"Fecha fuera del año",IF(OR(H181&lt;0,I181&lt;0),"Revisar signo",IF(AND(C181&lt;&gt;"Gasto",I181&lt;&gt;0),"IVA solo en Gasto",IF(AND(C181="Gasto",D181=""),"Falta categoría","OK")))))))))</f>
        <v/>
      </c>
    </row>
    <row r="182" spans="1:12" ht="22" customHeight="1">
      <c r="A182" s="3"/>
      <c r="B182" s="7"/>
      <c r="C182" s="3"/>
      <c r="D182" s="3"/>
      <c r="E182" s="3"/>
      <c r="F182" s="3"/>
      <c r="G182" s="3"/>
      <c r="H182" s="4"/>
      <c r="I182" s="4"/>
      <c r="J182" s="3"/>
      <c r="K182" s="8" t="str">
        <f t="shared" si="2"/>
        <v/>
      </c>
      <c r="L182" s="1" t="str">
        <f>IF(COUNTA(A182:J182)=0,"",IF(OR(AND(C182&lt;&gt;"Gasto",C182&lt;&gt;"Pago proveedor",C182&lt;&gt;"Retiro familiar",C182&lt;&gt;"Aportación",C182&lt;&gt;"Pago activo",C182&lt;&gt;"ISR devengado",C182&lt;&gt;"Pago ISR",C182&lt;&gt;"Pago IVA",C182&lt;&gt;"Compensación ISR",C182&lt;&gt;"Compensación IVA"),AND(C182="Gasto",D182&lt;&gt;"Costos clínicos",D182&lt;&gt;"Remuneración familiar",D182&lt;&gt;"Nómina y honorarios",D182&lt;&gt;"Renta",D182&lt;&gt;"Marketing",D182&lt;&gt;"Servicios y software",D182&lt;&gt;"Mantenimiento",D182&lt;&gt;"Otros",D182&lt;&gt;"Intereses")),"Tipo o categoría inválido",IF(COUNTA(A182:J182)=0,"",IF(OR(A182="",B182="",C182="",H182=""),"Faltan datos",IF(COUNTIF($A$7:$A$2006,A182)&gt;1,"ID duplicado",IF(OR(B182&lt;DATE(Configuración!$C$5,1,1),B182&gt;=DATE(Configuración!$C$5+1,1,1)),"Fecha fuera del año",IF(OR(H182&lt;0,I182&lt;0),"Revisar signo",IF(AND(C182&lt;&gt;"Gasto",I182&lt;&gt;0),"IVA solo en Gasto",IF(AND(C182="Gasto",D182=""),"Falta categoría","OK")))))))))</f>
        <v/>
      </c>
    </row>
    <row r="183" spans="1:12" ht="22" customHeight="1">
      <c r="A183" s="3"/>
      <c r="B183" s="7"/>
      <c r="C183" s="3"/>
      <c r="D183" s="3"/>
      <c r="E183" s="3"/>
      <c r="F183" s="3"/>
      <c r="G183" s="3"/>
      <c r="H183" s="4"/>
      <c r="I183" s="4"/>
      <c r="J183" s="3"/>
      <c r="K183" s="8" t="str">
        <f t="shared" si="2"/>
        <v/>
      </c>
      <c r="L183" s="1" t="str">
        <f>IF(COUNTA(A183:J183)=0,"",IF(OR(AND(C183&lt;&gt;"Gasto",C183&lt;&gt;"Pago proveedor",C183&lt;&gt;"Retiro familiar",C183&lt;&gt;"Aportación",C183&lt;&gt;"Pago activo",C183&lt;&gt;"ISR devengado",C183&lt;&gt;"Pago ISR",C183&lt;&gt;"Pago IVA",C183&lt;&gt;"Compensación ISR",C183&lt;&gt;"Compensación IVA"),AND(C183="Gasto",D183&lt;&gt;"Costos clínicos",D183&lt;&gt;"Remuneración familiar",D183&lt;&gt;"Nómina y honorarios",D183&lt;&gt;"Renta",D183&lt;&gt;"Marketing",D183&lt;&gt;"Servicios y software",D183&lt;&gt;"Mantenimiento",D183&lt;&gt;"Otros",D183&lt;&gt;"Intereses")),"Tipo o categoría inválido",IF(COUNTA(A183:J183)=0,"",IF(OR(A183="",B183="",C183="",H183=""),"Faltan datos",IF(COUNTIF($A$7:$A$2006,A183)&gt;1,"ID duplicado",IF(OR(B183&lt;DATE(Configuración!$C$5,1,1),B183&gt;=DATE(Configuración!$C$5+1,1,1)),"Fecha fuera del año",IF(OR(H183&lt;0,I183&lt;0),"Revisar signo",IF(AND(C183&lt;&gt;"Gasto",I183&lt;&gt;0),"IVA solo en Gasto",IF(AND(C183="Gasto",D183=""),"Falta categoría","OK")))))))))</f>
        <v/>
      </c>
    </row>
    <row r="184" spans="1:12" ht="22" customHeight="1">
      <c r="A184" s="3"/>
      <c r="B184" s="7"/>
      <c r="C184" s="3"/>
      <c r="D184" s="3"/>
      <c r="E184" s="3"/>
      <c r="F184" s="3"/>
      <c r="G184" s="3"/>
      <c r="H184" s="4"/>
      <c r="I184" s="4"/>
      <c r="J184" s="3"/>
      <c r="K184" s="8" t="str">
        <f t="shared" si="2"/>
        <v/>
      </c>
      <c r="L184" s="1" t="str">
        <f>IF(COUNTA(A184:J184)=0,"",IF(OR(AND(C184&lt;&gt;"Gasto",C184&lt;&gt;"Pago proveedor",C184&lt;&gt;"Retiro familiar",C184&lt;&gt;"Aportación",C184&lt;&gt;"Pago activo",C184&lt;&gt;"ISR devengado",C184&lt;&gt;"Pago ISR",C184&lt;&gt;"Pago IVA",C184&lt;&gt;"Compensación ISR",C184&lt;&gt;"Compensación IVA"),AND(C184="Gasto",D184&lt;&gt;"Costos clínicos",D184&lt;&gt;"Remuneración familiar",D184&lt;&gt;"Nómina y honorarios",D184&lt;&gt;"Renta",D184&lt;&gt;"Marketing",D184&lt;&gt;"Servicios y software",D184&lt;&gt;"Mantenimiento",D184&lt;&gt;"Otros",D184&lt;&gt;"Intereses")),"Tipo o categoría inválido",IF(COUNTA(A184:J184)=0,"",IF(OR(A184="",B184="",C184="",H184=""),"Faltan datos",IF(COUNTIF($A$7:$A$2006,A184)&gt;1,"ID duplicado",IF(OR(B184&lt;DATE(Configuración!$C$5,1,1),B184&gt;=DATE(Configuración!$C$5+1,1,1)),"Fecha fuera del año",IF(OR(H184&lt;0,I184&lt;0),"Revisar signo",IF(AND(C184&lt;&gt;"Gasto",I184&lt;&gt;0),"IVA solo en Gasto",IF(AND(C184="Gasto",D184=""),"Falta categoría","OK")))))))))</f>
        <v/>
      </c>
    </row>
    <row r="185" spans="1:12" ht="22" customHeight="1">
      <c r="A185" s="3"/>
      <c r="B185" s="7"/>
      <c r="C185" s="3"/>
      <c r="D185" s="3"/>
      <c r="E185" s="3"/>
      <c r="F185" s="3"/>
      <c r="G185" s="3"/>
      <c r="H185" s="4"/>
      <c r="I185" s="4"/>
      <c r="J185" s="3"/>
      <c r="K185" s="8" t="str">
        <f t="shared" si="2"/>
        <v/>
      </c>
      <c r="L185" s="1" t="str">
        <f>IF(COUNTA(A185:J185)=0,"",IF(OR(AND(C185&lt;&gt;"Gasto",C185&lt;&gt;"Pago proveedor",C185&lt;&gt;"Retiro familiar",C185&lt;&gt;"Aportación",C185&lt;&gt;"Pago activo",C185&lt;&gt;"ISR devengado",C185&lt;&gt;"Pago ISR",C185&lt;&gt;"Pago IVA",C185&lt;&gt;"Compensación ISR",C185&lt;&gt;"Compensación IVA"),AND(C185="Gasto",D185&lt;&gt;"Costos clínicos",D185&lt;&gt;"Remuneración familiar",D185&lt;&gt;"Nómina y honorarios",D185&lt;&gt;"Renta",D185&lt;&gt;"Marketing",D185&lt;&gt;"Servicios y software",D185&lt;&gt;"Mantenimiento",D185&lt;&gt;"Otros",D185&lt;&gt;"Intereses")),"Tipo o categoría inválido",IF(COUNTA(A185:J185)=0,"",IF(OR(A185="",B185="",C185="",H185=""),"Faltan datos",IF(COUNTIF($A$7:$A$2006,A185)&gt;1,"ID duplicado",IF(OR(B185&lt;DATE(Configuración!$C$5,1,1),B185&gt;=DATE(Configuración!$C$5+1,1,1)),"Fecha fuera del año",IF(OR(H185&lt;0,I185&lt;0),"Revisar signo",IF(AND(C185&lt;&gt;"Gasto",I185&lt;&gt;0),"IVA solo en Gasto",IF(AND(C185="Gasto",D185=""),"Falta categoría","OK")))))))))</f>
        <v/>
      </c>
    </row>
    <row r="186" spans="1:12" ht="22" customHeight="1">
      <c r="A186" s="3"/>
      <c r="B186" s="7"/>
      <c r="C186" s="3"/>
      <c r="D186" s="3"/>
      <c r="E186" s="3"/>
      <c r="F186" s="3"/>
      <c r="G186" s="3"/>
      <c r="H186" s="4"/>
      <c r="I186" s="4"/>
      <c r="J186" s="3"/>
      <c r="K186" s="8" t="str">
        <f t="shared" si="2"/>
        <v/>
      </c>
      <c r="L186" s="1" t="str">
        <f>IF(COUNTA(A186:J186)=0,"",IF(OR(AND(C186&lt;&gt;"Gasto",C186&lt;&gt;"Pago proveedor",C186&lt;&gt;"Retiro familiar",C186&lt;&gt;"Aportación",C186&lt;&gt;"Pago activo",C186&lt;&gt;"ISR devengado",C186&lt;&gt;"Pago ISR",C186&lt;&gt;"Pago IVA",C186&lt;&gt;"Compensación ISR",C186&lt;&gt;"Compensación IVA"),AND(C186="Gasto",D186&lt;&gt;"Costos clínicos",D186&lt;&gt;"Remuneración familiar",D186&lt;&gt;"Nómina y honorarios",D186&lt;&gt;"Renta",D186&lt;&gt;"Marketing",D186&lt;&gt;"Servicios y software",D186&lt;&gt;"Mantenimiento",D186&lt;&gt;"Otros",D186&lt;&gt;"Intereses")),"Tipo o categoría inválido",IF(COUNTA(A186:J186)=0,"",IF(OR(A186="",B186="",C186="",H186=""),"Faltan datos",IF(COUNTIF($A$7:$A$2006,A186)&gt;1,"ID duplicado",IF(OR(B186&lt;DATE(Configuración!$C$5,1,1),B186&gt;=DATE(Configuración!$C$5+1,1,1)),"Fecha fuera del año",IF(OR(H186&lt;0,I186&lt;0),"Revisar signo",IF(AND(C186&lt;&gt;"Gasto",I186&lt;&gt;0),"IVA solo en Gasto",IF(AND(C186="Gasto",D186=""),"Falta categoría","OK")))))))))</f>
        <v/>
      </c>
    </row>
    <row r="187" spans="1:12" ht="22" customHeight="1">
      <c r="A187" s="3"/>
      <c r="B187" s="7"/>
      <c r="C187" s="3"/>
      <c r="D187" s="3"/>
      <c r="E187" s="3"/>
      <c r="F187" s="3"/>
      <c r="G187" s="3"/>
      <c r="H187" s="4"/>
      <c r="I187" s="4"/>
      <c r="J187" s="3"/>
      <c r="K187" s="8" t="str">
        <f t="shared" si="2"/>
        <v/>
      </c>
      <c r="L187" s="1" t="str">
        <f>IF(COUNTA(A187:J187)=0,"",IF(OR(AND(C187&lt;&gt;"Gasto",C187&lt;&gt;"Pago proveedor",C187&lt;&gt;"Retiro familiar",C187&lt;&gt;"Aportación",C187&lt;&gt;"Pago activo",C187&lt;&gt;"ISR devengado",C187&lt;&gt;"Pago ISR",C187&lt;&gt;"Pago IVA",C187&lt;&gt;"Compensación ISR",C187&lt;&gt;"Compensación IVA"),AND(C187="Gasto",D187&lt;&gt;"Costos clínicos",D187&lt;&gt;"Remuneración familiar",D187&lt;&gt;"Nómina y honorarios",D187&lt;&gt;"Renta",D187&lt;&gt;"Marketing",D187&lt;&gt;"Servicios y software",D187&lt;&gt;"Mantenimiento",D187&lt;&gt;"Otros",D187&lt;&gt;"Intereses")),"Tipo o categoría inválido",IF(COUNTA(A187:J187)=0,"",IF(OR(A187="",B187="",C187="",H187=""),"Faltan datos",IF(COUNTIF($A$7:$A$2006,A187)&gt;1,"ID duplicado",IF(OR(B187&lt;DATE(Configuración!$C$5,1,1),B187&gt;=DATE(Configuración!$C$5+1,1,1)),"Fecha fuera del año",IF(OR(H187&lt;0,I187&lt;0),"Revisar signo",IF(AND(C187&lt;&gt;"Gasto",I187&lt;&gt;0),"IVA solo en Gasto",IF(AND(C187="Gasto",D187=""),"Falta categoría","OK")))))))))</f>
        <v/>
      </c>
    </row>
    <row r="188" spans="1:12" ht="22" customHeight="1">
      <c r="A188" s="3"/>
      <c r="B188" s="7"/>
      <c r="C188" s="3"/>
      <c r="D188" s="3"/>
      <c r="E188" s="3"/>
      <c r="F188" s="3"/>
      <c r="G188" s="3"/>
      <c r="H188" s="4"/>
      <c r="I188" s="4"/>
      <c r="J188" s="3"/>
      <c r="K188" s="8" t="str">
        <f t="shared" si="2"/>
        <v/>
      </c>
      <c r="L188" s="1" t="str">
        <f>IF(COUNTA(A188:J188)=0,"",IF(OR(AND(C188&lt;&gt;"Gasto",C188&lt;&gt;"Pago proveedor",C188&lt;&gt;"Retiro familiar",C188&lt;&gt;"Aportación",C188&lt;&gt;"Pago activo",C188&lt;&gt;"ISR devengado",C188&lt;&gt;"Pago ISR",C188&lt;&gt;"Pago IVA",C188&lt;&gt;"Compensación ISR",C188&lt;&gt;"Compensación IVA"),AND(C188="Gasto",D188&lt;&gt;"Costos clínicos",D188&lt;&gt;"Remuneración familiar",D188&lt;&gt;"Nómina y honorarios",D188&lt;&gt;"Renta",D188&lt;&gt;"Marketing",D188&lt;&gt;"Servicios y software",D188&lt;&gt;"Mantenimiento",D188&lt;&gt;"Otros",D188&lt;&gt;"Intereses")),"Tipo o categoría inválido",IF(COUNTA(A188:J188)=0,"",IF(OR(A188="",B188="",C188="",H188=""),"Faltan datos",IF(COUNTIF($A$7:$A$2006,A188)&gt;1,"ID duplicado",IF(OR(B188&lt;DATE(Configuración!$C$5,1,1),B188&gt;=DATE(Configuración!$C$5+1,1,1)),"Fecha fuera del año",IF(OR(H188&lt;0,I188&lt;0),"Revisar signo",IF(AND(C188&lt;&gt;"Gasto",I188&lt;&gt;0),"IVA solo en Gasto",IF(AND(C188="Gasto",D188=""),"Falta categoría","OK")))))))))</f>
        <v/>
      </c>
    </row>
    <row r="189" spans="1:12" ht="22" customHeight="1">
      <c r="A189" s="3"/>
      <c r="B189" s="7"/>
      <c r="C189" s="3"/>
      <c r="D189" s="3"/>
      <c r="E189" s="3"/>
      <c r="F189" s="3"/>
      <c r="G189" s="3"/>
      <c r="H189" s="4"/>
      <c r="I189" s="4"/>
      <c r="J189" s="3"/>
      <c r="K189" s="8" t="str">
        <f t="shared" si="2"/>
        <v/>
      </c>
      <c r="L189" s="1" t="str">
        <f>IF(COUNTA(A189:J189)=0,"",IF(OR(AND(C189&lt;&gt;"Gasto",C189&lt;&gt;"Pago proveedor",C189&lt;&gt;"Retiro familiar",C189&lt;&gt;"Aportación",C189&lt;&gt;"Pago activo",C189&lt;&gt;"ISR devengado",C189&lt;&gt;"Pago ISR",C189&lt;&gt;"Pago IVA",C189&lt;&gt;"Compensación ISR",C189&lt;&gt;"Compensación IVA"),AND(C189="Gasto",D189&lt;&gt;"Costos clínicos",D189&lt;&gt;"Remuneración familiar",D189&lt;&gt;"Nómina y honorarios",D189&lt;&gt;"Renta",D189&lt;&gt;"Marketing",D189&lt;&gt;"Servicios y software",D189&lt;&gt;"Mantenimiento",D189&lt;&gt;"Otros",D189&lt;&gt;"Intereses")),"Tipo o categoría inválido",IF(COUNTA(A189:J189)=0,"",IF(OR(A189="",B189="",C189="",H189=""),"Faltan datos",IF(COUNTIF($A$7:$A$2006,A189)&gt;1,"ID duplicado",IF(OR(B189&lt;DATE(Configuración!$C$5,1,1),B189&gt;=DATE(Configuración!$C$5+1,1,1)),"Fecha fuera del año",IF(OR(H189&lt;0,I189&lt;0),"Revisar signo",IF(AND(C189&lt;&gt;"Gasto",I189&lt;&gt;0),"IVA solo en Gasto",IF(AND(C189="Gasto",D189=""),"Falta categoría","OK")))))))))</f>
        <v/>
      </c>
    </row>
    <row r="190" spans="1:12" ht="22" customHeight="1">
      <c r="A190" s="3"/>
      <c r="B190" s="7"/>
      <c r="C190" s="3"/>
      <c r="D190" s="3"/>
      <c r="E190" s="3"/>
      <c r="F190" s="3"/>
      <c r="G190" s="3"/>
      <c r="H190" s="4"/>
      <c r="I190" s="4"/>
      <c r="J190" s="3"/>
      <c r="K190" s="8" t="str">
        <f t="shared" si="2"/>
        <v/>
      </c>
      <c r="L190" s="1" t="str">
        <f>IF(COUNTA(A190:J190)=0,"",IF(OR(AND(C190&lt;&gt;"Gasto",C190&lt;&gt;"Pago proveedor",C190&lt;&gt;"Retiro familiar",C190&lt;&gt;"Aportación",C190&lt;&gt;"Pago activo",C190&lt;&gt;"ISR devengado",C190&lt;&gt;"Pago ISR",C190&lt;&gt;"Pago IVA",C190&lt;&gt;"Compensación ISR",C190&lt;&gt;"Compensación IVA"),AND(C190="Gasto",D190&lt;&gt;"Costos clínicos",D190&lt;&gt;"Remuneración familiar",D190&lt;&gt;"Nómina y honorarios",D190&lt;&gt;"Renta",D190&lt;&gt;"Marketing",D190&lt;&gt;"Servicios y software",D190&lt;&gt;"Mantenimiento",D190&lt;&gt;"Otros",D190&lt;&gt;"Intereses")),"Tipo o categoría inválido",IF(COUNTA(A190:J190)=0,"",IF(OR(A190="",B190="",C190="",H190=""),"Faltan datos",IF(COUNTIF($A$7:$A$2006,A190)&gt;1,"ID duplicado",IF(OR(B190&lt;DATE(Configuración!$C$5,1,1),B190&gt;=DATE(Configuración!$C$5+1,1,1)),"Fecha fuera del año",IF(OR(H190&lt;0,I190&lt;0),"Revisar signo",IF(AND(C190&lt;&gt;"Gasto",I190&lt;&gt;0),"IVA solo en Gasto",IF(AND(C190="Gasto",D190=""),"Falta categoría","OK")))))))))</f>
        <v/>
      </c>
    </row>
    <row r="191" spans="1:12" ht="22" customHeight="1">
      <c r="A191" s="3"/>
      <c r="B191" s="7"/>
      <c r="C191" s="3"/>
      <c r="D191" s="3"/>
      <c r="E191" s="3"/>
      <c r="F191" s="3"/>
      <c r="G191" s="3"/>
      <c r="H191" s="4"/>
      <c r="I191" s="4"/>
      <c r="J191" s="3"/>
      <c r="K191" s="8" t="str">
        <f t="shared" si="2"/>
        <v/>
      </c>
      <c r="L191" s="1" t="str">
        <f>IF(COUNTA(A191:J191)=0,"",IF(OR(AND(C191&lt;&gt;"Gasto",C191&lt;&gt;"Pago proveedor",C191&lt;&gt;"Retiro familiar",C191&lt;&gt;"Aportación",C191&lt;&gt;"Pago activo",C191&lt;&gt;"ISR devengado",C191&lt;&gt;"Pago ISR",C191&lt;&gt;"Pago IVA",C191&lt;&gt;"Compensación ISR",C191&lt;&gt;"Compensación IVA"),AND(C191="Gasto",D191&lt;&gt;"Costos clínicos",D191&lt;&gt;"Remuneración familiar",D191&lt;&gt;"Nómina y honorarios",D191&lt;&gt;"Renta",D191&lt;&gt;"Marketing",D191&lt;&gt;"Servicios y software",D191&lt;&gt;"Mantenimiento",D191&lt;&gt;"Otros",D191&lt;&gt;"Intereses")),"Tipo o categoría inválido",IF(COUNTA(A191:J191)=0,"",IF(OR(A191="",B191="",C191="",H191=""),"Faltan datos",IF(COUNTIF($A$7:$A$2006,A191)&gt;1,"ID duplicado",IF(OR(B191&lt;DATE(Configuración!$C$5,1,1),B191&gt;=DATE(Configuración!$C$5+1,1,1)),"Fecha fuera del año",IF(OR(H191&lt;0,I191&lt;0),"Revisar signo",IF(AND(C191&lt;&gt;"Gasto",I191&lt;&gt;0),"IVA solo en Gasto",IF(AND(C191="Gasto",D191=""),"Falta categoría","OK")))))))))</f>
        <v/>
      </c>
    </row>
    <row r="192" spans="1:12" ht="22" customHeight="1">
      <c r="A192" s="3"/>
      <c r="B192" s="7"/>
      <c r="C192" s="3"/>
      <c r="D192" s="3"/>
      <c r="E192" s="3"/>
      <c r="F192" s="3"/>
      <c r="G192" s="3"/>
      <c r="H192" s="4"/>
      <c r="I192" s="4"/>
      <c r="J192" s="3"/>
      <c r="K192" s="8" t="str">
        <f t="shared" si="2"/>
        <v/>
      </c>
      <c r="L192" s="1" t="str">
        <f>IF(COUNTA(A192:J192)=0,"",IF(OR(AND(C192&lt;&gt;"Gasto",C192&lt;&gt;"Pago proveedor",C192&lt;&gt;"Retiro familiar",C192&lt;&gt;"Aportación",C192&lt;&gt;"Pago activo",C192&lt;&gt;"ISR devengado",C192&lt;&gt;"Pago ISR",C192&lt;&gt;"Pago IVA",C192&lt;&gt;"Compensación ISR",C192&lt;&gt;"Compensación IVA"),AND(C192="Gasto",D192&lt;&gt;"Costos clínicos",D192&lt;&gt;"Remuneración familiar",D192&lt;&gt;"Nómina y honorarios",D192&lt;&gt;"Renta",D192&lt;&gt;"Marketing",D192&lt;&gt;"Servicios y software",D192&lt;&gt;"Mantenimiento",D192&lt;&gt;"Otros",D192&lt;&gt;"Intereses")),"Tipo o categoría inválido",IF(COUNTA(A192:J192)=0,"",IF(OR(A192="",B192="",C192="",H192=""),"Faltan datos",IF(COUNTIF($A$7:$A$2006,A192)&gt;1,"ID duplicado",IF(OR(B192&lt;DATE(Configuración!$C$5,1,1),B192&gt;=DATE(Configuración!$C$5+1,1,1)),"Fecha fuera del año",IF(OR(H192&lt;0,I192&lt;0),"Revisar signo",IF(AND(C192&lt;&gt;"Gasto",I192&lt;&gt;0),"IVA solo en Gasto",IF(AND(C192="Gasto",D192=""),"Falta categoría","OK")))))))))</f>
        <v/>
      </c>
    </row>
    <row r="193" spans="1:12" ht="22" customHeight="1">
      <c r="A193" s="3"/>
      <c r="B193" s="7"/>
      <c r="C193" s="3"/>
      <c r="D193" s="3"/>
      <c r="E193" s="3"/>
      <c r="F193" s="3"/>
      <c r="G193" s="3"/>
      <c r="H193" s="4"/>
      <c r="I193" s="4"/>
      <c r="J193" s="3"/>
      <c r="K193" s="8" t="str">
        <f t="shared" si="2"/>
        <v/>
      </c>
      <c r="L193" s="1" t="str">
        <f>IF(COUNTA(A193:J193)=0,"",IF(OR(AND(C193&lt;&gt;"Gasto",C193&lt;&gt;"Pago proveedor",C193&lt;&gt;"Retiro familiar",C193&lt;&gt;"Aportación",C193&lt;&gt;"Pago activo",C193&lt;&gt;"ISR devengado",C193&lt;&gt;"Pago ISR",C193&lt;&gt;"Pago IVA",C193&lt;&gt;"Compensación ISR",C193&lt;&gt;"Compensación IVA"),AND(C193="Gasto",D193&lt;&gt;"Costos clínicos",D193&lt;&gt;"Remuneración familiar",D193&lt;&gt;"Nómina y honorarios",D193&lt;&gt;"Renta",D193&lt;&gt;"Marketing",D193&lt;&gt;"Servicios y software",D193&lt;&gt;"Mantenimiento",D193&lt;&gt;"Otros",D193&lt;&gt;"Intereses")),"Tipo o categoría inválido",IF(COUNTA(A193:J193)=0,"",IF(OR(A193="",B193="",C193="",H193=""),"Faltan datos",IF(COUNTIF($A$7:$A$2006,A193)&gt;1,"ID duplicado",IF(OR(B193&lt;DATE(Configuración!$C$5,1,1),B193&gt;=DATE(Configuración!$C$5+1,1,1)),"Fecha fuera del año",IF(OR(H193&lt;0,I193&lt;0),"Revisar signo",IF(AND(C193&lt;&gt;"Gasto",I193&lt;&gt;0),"IVA solo en Gasto",IF(AND(C193="Gasto",D193=""),"Falta categoría","OK")))))))))</f>
        <v/>
      </c>
    </row>
    <row r="194" spans="1:12" ht="22" customHeight="1">
      <c r="A194" s="3"/>
      <c r="B194" s="7"/>
      <c r="C194" s="3"/>
      <c r="D194" s="3"/>
      <c r="E194" s="3"/>
      <c r="F194" s="3"/>
      <c r="G194" s="3"/>
      <c r="H194" s="4"/>
      <c r="I194" s="4"/>
      <c r="J194" s="3"/>
      <c r="K194" s="8" t="str">
        <f t="shared" si="2"/>
        <v/>
      </c>
      <c r="L194" s="1" t="str">
        <f>IF(COUNTA(A194:J194)=0,"",IF(OR(AND(C194&lt;&gt;"Gasto",C194&lt;&gt;"Pago proveedor",C194&lt;&gt;"Retiro familiar",C194&lt;&gt;"Aportación",C194&lt;&gt;"Pago activo",C194&lt;&gt;"ISR devengado",C194&lt;&gt;"Pago ISR",C194&lt;&gt;"Pago IVA",C194&lt;&gt;"Compensación ISR",C194&lt;&gt;"Compensación IVA"),AND(C194="Gasto",D194&lt;&gt;"Costos clínicos",D194&lt;&gt;"Remuneración familiar",D194&lt;&gt;"Nómina y honorarios",D194&lt;&gt;"Renta",D194&lt;&gt;"Marketing",D194&lt;&gt;"Servicios y software",D194&lt;&gt;"Mantenimiento",D194&lt;&gt;"Otros",D194&lt;&gt;"Intereses")),"Tipo o categoría inválido",IF(COUNTA(A194:J194)=0,"",IF(OR(A194="",B194="",C194="",H194=""),"Faltan datos",IF(COUNTIF($A$7:$A$2006,A194)&gt;1,"ID duplicado",IF(OR(B194&lt;DATE(Configuración!$C$5,1,1),B194&gt;=DATE(Configuración!$C$5+1,1,1)),"Fecha fuera del año",IF(OR(H194&lt;0,I194&lt;0),"Revisar signo",IF(AND(C194&lt;&gt;"Gasto",I194&lt;&gt;0),"IVA solo en Gasto",IF(AND(C194="Gasto",D194=""),"Falta categoría","OK")))))))))</f>
        <v/>
      </c>
    </row>
    <row r="195" spans="1:12" ht="22" customHeight="1">
      <c r="A195" s="3"/>
      <c r="B195" s="7"/>
      <c r="C195" s="3"/>
      <c r="D195" s="3"/>
      <c r="E195" s="3"/>
      <c r="F195" s="3"/>
      <c r="G195" s="3"/>
      <c r="H195" s="4"/>
      <c r="I195" s="4"/>
      <c r="J195" s="3"/>
      <c r="K195" s="8" t="str">
        <f t="shared" si="2"/>
        <v/>
      </c>
      <c r="L195" s="1" t="str">
        <f>IF(COUNTA(A195:J195)=0,"",IF(OR(AND(C195&lt;&gt;"Gasto",C195&lt;&gt;"Pago proveedor",C195&lt;&gt;"Retiro familiar",C195&lt;&gt;"Aportación",C195&lt;&gt;"Pago activo",C195&lt;&gt;"ISR devengado",C195&lt;&gt;"Pago ISR",C195&lt;&gt;"Pago IVA",C195&lt;&gt;"Compensación ISR",C195&lt;&gt;"Compensación IVA"),AND(C195="Gasto",D195&lt;&gt;"Costos clínicos",D195&lt;&gt;"Remuneración familiar",D195&lt;&gt;"Nómina y honorarios",D195&lt;&gt;"Renta",D195&lt;&gt;"Marketing",D195&lt;&gt;"Servicios y software",D195&lt;&gt;"Mantenimiento",D195&lt;&gt;"Otros",D195&lt;&gt;"Intereses")),"Tipo o categoría inválido",IF(COUNTA(A195:J195)=0,"",IF(OR(A195="",B195="",C195="",H195=""),"Faltan datos",IF(COUNTIF($A$7:$A$2006,A195)&gt;1,"ID duplicado",IF(OR(B195&lt;DATE(Configuración!$C$5,1,1),B195&gt;=DATE(Configuración!$C$5+1,1,1)),"Fecha fuera del año",IF(OR(H195&lt;0,I195&lt;0),"Revisar signo",IF(AND(C195&lt;&gt;"Gasto",I195&lt;&gt;0),"IVA solo en Gasto",IF(AND(C195="Gasto",D195=""),"Falta categoría","OK")))))))))</f>
        <v/>
      </c>
    </row>
    <row r="196" spans="1:12" ht="22" customHeight="1">
      <c r="A196" s="3"/>
      <c r="B196" s="7"/>
      <c r="C196" s="3"/>
      <c r="D196" s="3"/>
      <c r="E196" s="3"/>
      <c r="F196" s="3"/>
      <c r="G196" s="3"/>
      <c r="H196" s="4"/>
      <c r="I196" s="4"/>
      <c r="J196" s="3"/>
      <c r="K196" s="8" t="str">
        <f t="shared" si="2"/>
        <v/>
      </c>
      <c r="L196" s="1" t="str">
        <f>IF(COUNTA(A196:J196)=0,"",IF(OR(AND(C196&lt;&gt;"Gasto",C196&lt;&gt;"Pago proveedor",C196&lt;&gt;"Retiro familiar",C196&lt;&gt;"Aportación",C196&lt;&gt;"Pago activo",C196&lt;&gt;"ISR devengado",C196&lt;&gt;"Pago ISR",C196&lt;&gt;"Pago IVA",C196&lt;&gt;"Compensación ISR",C196&lt;&gt;"Compensación IVA"),AND(C196="Gasto",D196&lt;&gt;"Costos clínicos",D196&lt;&gt;"Remuneración familiar",D196&lt;&gt;"Nómina y honorarios",D196&lt;&gt;"Renta",D196&lt;&gt;"Marketing",D196&lt;&gt;"Servicios y software",D196&lt;&gt;"Mantenimiento",D196&lt;&gt;"Otros",D196&lt;&gt;"Intereses")),"Tipo o categoría inválido",IF(COUNTA(A196:J196)=0,"",IF(OR(A196="",B196="",C196="",H196=""),"Faltan datos",IF(COUNTIF($A$7:$A$2006,A196)&gt;1,"ID duplicado",IF(OR(B196&lt;DATE(Configuración!$C$5,1,1),B196&gt;=DATE(Configuración!$C$5+1,1,1)),"Fecha fuera del año",IF(OR(H196&lt;0,I196&lt;0),"Revisar signo",IF(AND(C196&lt;&gt;"Gasto",I196&lt;&gt;0),"IVA solo en Gasto",IF(AND(C196="Gasto",D196=""),"Falta categoría","OK")))))))))</f>
        <v/>
      </c>
    </row>
    <row r="197" spans="1:12" ht="22" customHeight="1">
      <c r="A197" s="3"/>
      <c r="B197" s="7"/>
      <c r="C197" s="3"/>
      <c r="D197" s="3"/>
      <c r="E197" s="3"/>
      <c r="F197" s="3"/>
      <c r="G197" s="3"/>
      <c r="H197" s="4"/>
      <c r="I197" s="4"/>
      <c r="J197" s="3"/>
      <c r="K197" s="8" t="str">
        <f t="shared" si="2"/>
        <v/>
      </c>
      <c r="L197" s="1" t="str">
        <f>IF(COUNTA(A197:J197)=0,"",IF(OR(AND(C197&lt;&gt;"Gasto",C197&lt;&gt;"Pago proveedor",C197&lt;&gt;"Retiro familiar",C197&lt;&gt;"Aportación",C197&lt;&gt;"Pago activo",C197&lt;&gt;"ISR devengado",C197&lt;&gt;"Pago ISR",C197&lt;&gt;"Pago IVA",C197&lt;&gt;"Compensación ISR",C197&lt;&gt;"Compensación IVA"),AND(C197="Gasto",D197&lt;&gt;"Costos clínicos",D197&lt;&gt;"Remuneración familiar",D197&lt;&gt;"Nómina y honorarios",D197&lt;&gt;"Renta",D197&lt;&gt;"Marketing",D197&lt;&gt;"Servicios y software",D197&lt;&gt;"Mantenimiento",D197&lt;&gt;"Otros",D197&lt;&gt;"Intereses")),"Tipo o categoría inválido",IF(COUNTA(A197:J197)=0,"",IF(OR(A197="",B197="",C197="",H197=""),"Faltan datos",IF(COUNTIF($A$7:$A$2006,A197)&gt;1,"ID duplicado",IF(OR(B197&lt;DATE(Configuración!$C$5,1,1),B197&gt;=DATE(Configuración!$C$5+1,1,1)),"Fecha fuera del año",IF(OR(H197&lt;0,I197&lt;0),"Revisar signo",IF(AND(C197&lt;&gt;"Gasto",I197&lt;&gt;0),"IVA solo en Gasto",IF(AND(C197="Gasto",D197=""),"Falta categoría","OK")))))))))</f>
        <v/>
      </c>
    </row>
    <row r="198" spans="1:12" ht="22" customHeight="1">
      <c r="A198" s="3"/>
      <c r="B198" s="7"/>
      <c r="C198" s="3"/>
      <c r="D198" s="3"/>
      <c r="E198" s="3"/>
      <c r="F198" s="3"/>
      <c r="G198" s="3"/>
      <c r="H198" s="4"/>
      <c r="I198" s="4"/>
      <c r="J198" s="3"/>
      <c r="K198" s="8" t="str">
        <f t="shared" si="2"/>
        <v/>
      </c>
      <c r="L198" s="1" t="str">
        <f>IF(COUNTA(A198:J198)=0,"",IF(OR(AND(C198&lt;&gt;"Gasto",C198&lt;&gt;"Pago proveedor",C198&lt;&gt;"Retiro familiar",C198&lt;&gt;"Aportación",C198&lt;&gt;"Pago activo",C198&lt;&gt;"ISR devengado",C198&lt;&gt;"Pago ISR",C198&lt;&gt;"Pago IVA",C198&lt;&gt;"Compensación ISR",C198&lt;&gt;"Compensación IVA"),AND(C198="Gasto",D198&lt;&gt;"Costos clínicos",D198&lt;&gt;"Remuneración familiar",D198&lt;&gt;"Nómina y honorarios",D198&lt;&gt;"Renta",D198&lt;&gt;"Marketing",D198&lt;&gt;"Servicios y software",D198&lt;&gt;"Mantenimiento",D198&lt;&gt;"Otros",D198&lt;&gt;"Intereses")),"Tipo o categoría inválido",IF(COUNTA(A198:J198)=0,"",IF(OR(A198="",B198="",C198="",H198=""),"Faltan datos",IF(COUNTIF($A$7:$A$2006,A198)&gt;1,"ID duplicado",IF(OR(B198&lt;DATE(Configuración!$C$5,1,1),B198&gt;=DATE(Configuración!$C$5+1,1,1)),"Fecha fuera del año",IF(OR(H198&lt;0,I198&lt;0),"Revisar signo",IF(AND(C198&lt;&gt;"Gasto",I198&lt;&gt;0),"IVA solo en Gasto",IF(AND(C198="Gasto",D198=""),"Falta categoría","OK")))))))))</f>
        <v/>
      </c>
    </row>
    <row r="199" spans="1:12" ht="22" customHeight="1">
      <c r="A199" s="3"/>
      <c r="B199" s="7"/>
      <c r="C199" s="3"/>
      <c r="D199" s="3"/>
      <c r="E199" s="3"/>
      <c r="F199" s="3"/>
      <c r="G199" s="3"/>
      <c r="H199" s="4"/>
      <c r="I199" s="4"/>
      <c r="J199" s="3"/>
      <c r="K199" s="8" t="str">
        <f t="shared" ref="K199:K262" si="3">IF(A199="","",H199+I199)</f>
        <v/>
      </c>
      <c r="L199" s="1" t="str">
        <f>IF(COUNTA(A199:J199)=0,"",IF(OR(AND(C199&lt;&gt;"Gasto",C199&lt;&gt;"Pago proveedor",C199&lt;&gt;"Retiro familiar",C199&lt;&gt;"Aportación",C199&lt;&gt;"Pago activo",C199&lt;&gt;"ISR devengado",C199&lt;&gt;"Pago ISR",C199&lt;&gt;"Pago IVA",C199&lt;&gt;"Compensación ISR",C199&lt;&gt;"Compensación IVA"),AND(C199="Gasto",D199&lt;&gt;"Costos clínicos",D199&lt;&gt;"Remuneración familiar",D199&lt;&gt;"Nómina y honorarios",D199&lt;&gt;"Renta",D199&lt;&gt;"Marketing",D199&lt;&gt;"Servicios y software",D199&lt;&gt;"Mantenimiento",D199&lt;&gt;"Otros",D199&lt;&gt;"Intereses")),"Tipo o categoría inválido",IF(COUNTA(A199:J199)=0,"",IF(OR(A199="",B199="",C199="",H199=""),"Faltan datos",IF(COUNTIF($A$7:$A$2006,A199)&gt;1,"ID duplicado",IF(OR(B199&lt;DATE(Configuración!$C$5,1,1),B199&gt;=DATE(Configuración!$C$5+1,1,1)),"Fecha fuera del año",IF(OR(H199&lt;0,I199&lt;0),"Revisar signo",IF(AND(C199&lt;&gt;"Gasto",I199&lt;&gt;0),"IVA solo en Gasto",IF(AND(C199="Gasto",D199=""),"Falta categoría","OK")))))))))</f>
        <v/>
      </c>
    </row>
    <row r="200" spans="1:12" ht="22" customHeight="1">
      <c r="A200" s="3"/>
      <c r="B200" s="7"/>
      <c r="C200" s="3"/>
      <c r="D200" s="3"/>
      <c r="E200" s="3"/>
      <c r="F200" s="3"/>
      <c r="G200" s="3"/>
      <c r="H200" s="4"/>
      <c r="I200" s="4"/>
      <c r="J200" s="3"/>
      <c r="K200" s="8" t="str">
        <f t="shared" si="3"/>
        <v/>
      </c>
      <c r="L200" s="1" t="str">
        <f>IF(COUNTA(A200:J200)=0,"",IF(OR(AND(C200&lt;&gt;"Gasto",C200&lt;&gt;"Pago proveedor",C200&lt;&gt;"Retiro familiar",C200&lt;&gt;"Aportación",C200&lt;&gt;"Pago activo",C200&lt;&gt;"ISR devengado",C200&lt;&gt;"Pago ISR",C200&lt;&gt;"Pago IVA",C200&lt;&gt;"Compensación ISR",C200&lt;&gt;"Compensación IVA"),AND(C200="Gasto",D200&lt;&gt;"Costos clínicos",D200&lt;&gt;"Remuneración familiar",D200&lt;&gt;"Nómina y honorarios",D200&lt;&gt;"Renta",D200&lt;&gt;"Marketing",D200&lt;&gt;"Servicios y software",D200&lt;&gt;"Mantenimiento",D200&lt;&gt;"Otros",D200&lt;&gt;"Intereses")),"Tipo o categoría inválido",IF(COUNTA(A200:J200)=0,"",IF(OR(A200="",B200="",C200="",H200=""),"Faltan datos",IF(COUNTIF($A$7:$A$2006,A200)&gt;1,"ID duplicado",IF(OR(B200&lt;DATE(Configuración!$C$5,1,1),B200&gt;=DATE(Configuración!$C$5+1,1,1)),"Fecha fuera del año",IF(OR(H200&lt;0,I200&lt;0),"Revisar signo",IF(AND(C200&lt;&gt;"Gasto",I200&lt;&gt;0),"IVA solo en Gasto",IF(AND(C200="Gasto",D200=""),"Falta categoría","OK")))))))))</f>
        <v/>
      </c>
    </row>
    <row r="201" spans="1:12" ht="22" customHeight="1">
      <c r="A201" s="3"/>
      <c r="B201" s="7"/>
      <c r="C201" s="3"/>
      <c r="D201" s="3"/>
      <c r="E201" s="3"/>
      <c r="F201" s="3"/>
      <c r="G201" s="3"/>
      <c r="H201" s="4"/>
      <c r="I201" s="4"/>
      <c r="J201" s="3"/>
      <c r="K201" s="8" t="str">
        <f t="shared" si="3"/>
        <v/>
      </c>
      <c r="L201" s="1" t="str">
        <f>IF(COUNTA(A201:J201)=0,"",IF(OR(AND(C201&lt;&gt;"Gasto",C201&lt;&gt;"Pago proveedor",C201&lt;&gt;"Retiro familiar",C201&lt;&gt;"Aportación",C201&lt;&gt;"Pago activo",C201&lt;&gt;"ISR devengado",C201&lt;&gt;"Pago ISR",C201&lt;&gt;"Pago IVA",C201&lt;&gt;"Compensación ISR",C201&lt;&gt;"Compensación IVA"),AND(C201="Gasto",D201&lt;&gt;"Costos clínicos",D201&lt;&gt;"Remuneración familiar",D201&lt;&gt;"Nómina y honorarios",D201&lt;&gt;"Renta",D201&lt;&gt;"Marketing",D201&lt;&gt;"Servicios y software",D201&lt;&gt;"Mantenimiento",D201&lt;&gt;"Otros",D201&lt;&gt;"Intereses")),"Tipo o categoría inválido",IF(COUNTA(A201:J201)=0,"",IF(OR(A201="",B201="",C201="",H201=""),"Faltan datos",IF(COUNTIF($A$7:$A$2006,A201)&gt;1,"ID duplicado",IF(OR(B201&lt;DATE(Configuración!$C$5,1,1),B201&gt;=DATE(Configuración!$C$5+1,1,1)),"Fecha fuera del año",IF(OR(H201&lt;0,I201&lt;0),"Revisar signo",IF(AND(C201&lt;&gt;"Gasto",I201&lt;&gt;0),"IVA solo en Gasto",IF(AND(C201="Gasto",D201=""),"Falta categoría","OK")))))))))</f>
        <v/>
      </c>
    </row>
    <row r="202" spans="1:12" ht="22" customHeight="1">
      <c r="A202" s="3"/>
      <c r="B202" s="7"/>
      <c r="C202" s="3"/>
      <c r="D202" s="3"/>
      <c r="E202" s="3"/>
      <c r="F202" s="3"/>
      <c r="G202" s="3"/>
      <c r="H202" s="4"/>
      <c r="I202" s="4"/>
      <c r="J202" s="3"/>
      <c r="K202" s="8" t="str">
        <f t="shared" si="3"/>
        <v/>
      </c>
      <c r="L202" s="1" t="str">
        <f>IF(COUNTA(A202:J202)=0,"",IF(OR(AND(C202&lt;&gt;"Gasto",C202&lt;&gt;"Pago proveedor",C202&lt;&gt;"Retiro familiar",C202&lt;&gt;"Aportación",C202&lt;&gt;"Pago activo",C202&lt;&gt;"ISR devengado",C202&lt;&gt;"Pago ISR",C202&lt;&gt;"Pago IVA",C202&lt;&gt;"Compensación ISR",C202&lt;&gt;"Compensación IVA"),AND(C202="Gasto",D202&lt;&gt;"Costos clínicos",D202&lt;&gt;"Remuneración familiar",D202&lt;&gt;"Nómina y honorarios",D202&lt;&gt;"Renta",D202&lt;&gt;"Marketing",D202&lt;&gt;"Servicios y software",D202&lt;&gt;"Mantenimiento",D202&lt;&gt;"Otros",D202&lt;&gt;"Intereses")),"Tipo o categoría inválido",IF(COUNTA(A202:J202)=0,"",IF(OR(A202="",B202="",C202="",H202=""),"Faltan datos",IF(COUNTIF($A$7:$A$2006,A202)&gt;1,"ID duplicado",IF(OR(B202&lt;DATE(Configuración!$C$5,1,1),B202&gt;=DATE(Configuración!$C$5+1,1,1)),"Fecha fuera del año",IF(OR(H202&lt;0,I202&lt;0),"Revisar signo",IF(AND(C202&lt;&gt;"Gasto",I202&lt;&gt;0),"IVA solo en Gasto",IF(AND(C202="Gasto",D202=""),"Falta categoría","OK")))))))))</f>
        <v/>
      </c>
    </row>
    <row r="203" spans="1:12" ht="22" customHeight="1">
      <c r="A203" s="3"/>
      <c r="B203" s="7"/>
      <c r="C203" s="3"/>
      <c r="D203" s="3"/>
      <c r="E203" s="3"/>
      <c r="F203" s="3"/>
      <c r="G203" s="3"/>
      <c r="H203" s="4"/>
      <c r="I203" s="4"/>
      <c r="J203" s="3"/>
      <c r="K203" s="8" t="str">
        <f t="shared" si="3"/>
        <v/>
      </c>
      <c r="L203" s="1" t="str">
        <f>IF(COUNTA(A203:J203)=0,"",IF(OR(AND(C203&lt;&gt;"Gasto",C203&lt;&gt;"Pago proveedor",C203&lt;&gt;"Retiro familiar",C203&lt;&gt;"Aportación",C203&lt;&gt;"Pago activo",C203&lt;&gt;"ISR devengado",C203&lt;&gt;"Pago ISR",C203&lt;&gt;"Pago IVA",C203&lt;&gt;"Compensación ISR",C203&lt;&gt;"Compensación IVA"),AND(C203="Gasto",D203&lt;&gt;"Costos clínicos",D203&lt;&gt;"Remuneración familiar",D203&lt;&gt;"Nómina y honorarios",D203&lt;&gt;"Renta",D203&lt;&gt;"Marketing",D203&lt;&gt;"Servicios y software",D203&lt;&gt;"Mantenimiento",D203&lt;&gt;"Otros",D203&lt;&gt;"Intereses")),"Tipo o categoría inválido",IF(COUNTA(A203:J203)=0,"",IF(OR(A203="",B203="",C203="",H203=""),"Faltan datos",IF(COUNTIF($A$7:$A$2006,A203)&gt;1,"ID duplicado",IF(OR(B203&lt;DATE(Configuración!$C$5,1,1),B203&gt;=DATE(Configuración!$C$5+1,1,1)),"Fecha fuera del año",IF(OR(H203&lt;0,I203&lt;0),"Revisar signo",IF(AND(C203&lt;&gt;"Gasto",I203&lt;&gt;0),"IVA solo en Gasto",IF(AND(C203="Gasto",D203=""),"Falta categoría","OK")))))))))</f>
        <v/>
      </c>
    </row>
    <row r="204" spans="1:12" ht="22" customHeight="1">
      <c r="A204" s="3"/>
      <c r="B204" s="7"/>
      <c r="C204" s="3"/>
      <c r="D204" s="3"/>
      <c r="E204" s="3"/>
      <c r="F204" s="3"/>
      <c r="G204" s="3"/>
      <c r="H204" s="4"/>
      <c r="I204" s="4"/>
      <c r="J204" s="3"/>
      <c r="K204" s="8" t="str">
        <f t="shared" si="3"/>
        <v/>
      </c>
      <c r="L204" s="1" t="str">
        <f>IF(COUNTA(A204:J204)=0,"",IF(OR(AND(C204&lt;&gt;"Gasto",C204&lt;&gt;"Pago proveedor",C204&lt;&gt;"Retiro familiar",C204&lt;&gt;"Aportación",C204&lt;&gt;"Pago activo",C204&lt;&gt;"ISR devengado",C204&lt;&gt;"Pago ISR",C204&lt;&gt;"Pago IVA",C204&lt;&gt;"Compensación ISR",C204&lt;&gt;"Compensación IVA"),AND(C204="Gasto",D204&lt;&gt;"Costos clínicos",D204&lt;&gt;"Remuneración familiar",D204&lt;&gt;"Nómina y honorarios",D204&lt;&gt;"Renta",D204&lt;&gt;"Marketing",D204&lt;&gt;"Servicios y software",D204&lt;&gt;"Mantenimiento",D204&lt;&gt;"Otros",D204&lt;&gt;"Intereses")),"Tipo o categoría inválido",IF(COUNTA(A204:J204)=0,"",IF(OR(A204="",B204="",C204="",H204=""),"Faltan datos",IF(COUNTIF($A$7:$A$2006,A204)&gt;1,"ID duplicado",IF(OR(B204&lt;DATE(Configuración!$C$5,1,1),B204&gt;=DATE(Configuración!$C$5+1,1,1)),"Fecha fuera del año",IF(OR(H204&lt;0,I204&lt;0),"Revisar signo",IF(AND(C204&lt;&gt;"Gasto",I204&lt;&gt;0),"IVA solo en Gasto",IF(AND(C204="Gasto",D204=""),"Falta categoría","OK")))))))))</f>
        <v/>
      </c>
    </row>
    <row r="205" spans="1:12" ht="22" customHeight="1">
      <c r="A205" s="3"/>
      <c r="B205" s="7"/>
      <c r="C205" s="3"/>
      <c r="D205" s="3"/>
      <c r="E205" s="3"/>
      <c r="F205" s="3"/>
      <c r="G205" s="3"/>
      <c r="H205" s="4"/>
      <c r="I205" s="4"/>
      <c r="J205" s="3"/>
      <c r="K205" s="8" t="str">
        <f t="shared" si="3"/>
        <v/>
      </c>
      <c r="L205" s="1" t="str">
        <f>IF(COUNTA(A205:J205)=0,"",IF(OR(AND(C205&lt;&gt;"Gasto",C205&lt;&gt;"Pago proveedor",C205&lt;&gt;"Retiro familiar",C205&lt;&gt;"Aportación",C205&lt;&gt;"Pago activo",C205&lt;&gt;"ISR devengado",C205&lt;&gt;"Pago ISR",C205&lt;&gt;"Pago IVA",C205&lt;&gt;"Compensación ISR",C205&lt;&gt;"Compensación IVA"),AND(C205="Gasto",D205&lt;&gt;"Costos clínicos",D205&lt;&gt;"Remuneración familiar",D205&lt;&gt;"Nómina y honorarios",D205&lt;&gt;"Renta",D205&lt;&gt;"Marketing",D205&lt;&gt;"Servicios y software",D205&lt;&gt;"Mantenimiento",D205&lt;&gt;"Otros",D205&lt;&gt;"Intereses")),"Tipo o categoría inválido",IF(COUNTA(A205:J205)=0,"",IF(OR(A205="",B205="",C205="",H205=""),"Faltan datos",IF(COUNTIF($A$7:$A$2006,A205)&gt;1,"ID duplicado",IF(OR(B205&lt;DATE(Configuración!$C$5,1,1),B205&gt;=DATE(Configuración!$C$5+1,1,1)),"Fecha fuera del año",IF(OR(H205&lt;0,I205&lt;0),"Revisar signo",IF(AND(C205&lt;&gt;"Gasto",I205&lt;&gt;0),"IVA solo en Gasto",IF(AND(C205="Gasto",D205=""),"Falta categoría","OK")))))))))</f>
        <v/>
      </c>
    </row>
    <row r="206" spans="1:12" ht="22" customHeight="1">
      <c r="A206" s="3"/>
      <c r="B206" s="7"/>
      <c r="C206" s="3"/>
      <c r="D206" s="3"/>
      <c r="E206" s="3"/>
      <c r="F206" s="3"/>
      <c r="G206" s="3"/>
      <c r="H206" s="4"/>
      <c r="I206" s="4"/>
      <c r="J206" s="3"/>
      <c r="K206" s="8" t="str">
        <f t="shared" si="3"/>
        <v/>
      </c>
      <c r="L206" s="1" t="str">
        <f>IF(COUNTA(A206:J206)=0,"",IF(OR(AND(C206&lt;&gt;"Gasto",C206&lt;&gt;"Pago proveedor",C206&lt;&gt;"Retiro familiar",C206&lt;&gt;"Aportación",C206&lt;&gt;"Pago activo",C206&lt;&gt;"ISR devengado",C206&lt;&gt;"Pago ISR",C206&lt;&gt;"Pago IVA",C206&lt;&gt;"Compensación ISR",C206&lt;&gt;"Compensación IVA"),AND(C206="Gasto",D206&lt;&gt;"Costos clínicos",D206&lt;&gt;"Remuneración familiar",D206&lt;&gt;"Nómina y honorarios",D206&lt;&gt;"Renta",D206&lt;&gt;"Marketing",D206&lt;&gt;"Servicios y software",D206&lt;&gt;"Mantenimiento",D206&lt;&gt;"Otros",D206&lt;&gt;"Intereses")),"Tipo o categoría inválido",IF(COUNTA(A206:J206)=0,"",IF(OR(A206="",B206="",C206="",H206=""),"Faltan datos",IF(COUNTIF($A$7:$A$2006,A206)&gt;1,"ID duplicado",IF(OR(B206&lt;DATE(Configuración!$C$5,1,1),B206&gt;=DATE(Configuración!$C$5+1,1,1)),"Fecha fuera del año",IF(OR(H206&lt;0,I206&lt;0),"Revisar signo",IF(AND(C206&lt;&gt;"Gasto",I206&lt;&gt;0),"IVA solo en Gasto",IF(AND(C206="Gasto",D206=""),"Falta categoría","OK")))))))))</f>
        <v/>
      </c>
    </row>
    <row r="207" spans="1:12" ht="22" customHeight="1">
      <c r="A207" s="3"/>
      <c r="B207" s="7"/>
      <c r="C207" s="3"/>
      <c r="D207" s="3"/>
      <c r="E207" s="3"/>
      <c r="F207" s="3"/>
      <c r="G207" s="3"/>
      <c r="H207" s="4"/>
      <c r="I207" s="4"/>
      <c r="J207" s="3"/>
      <c r="K207" s="8" t="str">
        <f t="shared" si="3"/>
        <v/>
      </c>
      <c r="L207" s="1" t="str">
        <f>IF(COUNTA(A207:J207)=0,"",IF(OR(AND(C207&lt;&gt;"Gasto",C207&lt;&gt;"Pago proveedor",C207&lt;&gt;"Retiro familiar",C207&lt;&gt;"Aportación",C207&lt;&gt;"Pago activo",C207&lt;&gt;"ISR devengado",C207&lt;&gt;"Pago ISR",C207&lt;&gt;"Pago IVA",C207&lt;&gt;"Compensación ISR",C207&lt;&gt;"Compensación IVA"),AND(C207="Gasto",D207&lt;&gt;"Costos clínicos",D207&lt;&gt;"Remuneración familiar",D207&lt;&gt;"Nómina y honorarios",D207&lt;&gt;"Renta",D207&lt;&gt;"Marketing",D207&lt;&gt;"Servicios y software",D207&lt;&gt;"Mantenimiento",D207&lt;&gt;"Otros",D207&lt;&gt;"Intereses")),"Tipo o categoría inválido",IF(COUNTA(A207:J207)=0,"",IF(OR(A207="",B207="",C207="",H207=""),"Faltan datos",IF(COUNTIF($A$7:$A$2006,A207)&gt;1,"ID duplicado",IF(OR(B207&lt;DATE(Configuración!$C$5,1,1),B207&gt;=DATE(Configuración!$C$5+1,1,1)),"Fecha fuera del año",IF(OR(H207&lt;0,I207&lt;0),"Revisar signo",IF(AND(C207&lt;&gt;"Gasto",I207&lt;&gt;0),"IVA solo en Gasto",IF(AND(C207="Gasto",D207=""),"Falta categoría","OK")))))))))</f>
        <v/>
      </c>
    </row>
    <row r="208" spans="1:12" ht="22" customHeight="1">
      <c r="A208" s="3"/>
      <c r="B208" s="7"/>
      <c r="C208" s="3"/>
      <c r="D208" s="3"/>
      <c r="E208" s="3"/>
      <c r="F208" s="3"/>
      <c r="G208" s="3"/>
      <c r="H208" s="4"/>
      <c r="I208" s="4"/>
      <c r="J208" s="3"/>
      <c r="K208" s="8" t="str">
        <f t="shared" si="3"/>
        <v/>
      </c>
      <c r="L208" s="1" t="str">
        <f>IF(COUNTA(A208:J208)=0,"",IF(OR(AND(C208&lt;&gt;"Gasto",C208&lt;&gt;"Pago proveedor",C208&lt;&gt;"Retiro familiar",C208&lt;&gt;"Aportación",C208&lt;&gt;"Pago activo",C208&lt;&gt;"ISR devengado",C208&lt;&gt;"Pago ISR",C208&lt;&gt;"Pago IVA",C208&lt;&gt;"Compensación ISR",C208&lt;&gt;"Compensación IVA"),AND(C208="Gasto",D208&lt;&gt;"Costos clínicos",D208&lt;&gt;"Remuneración familiar",D208&lt;&gt;"Nómina y honorarios",D208&lt;&gt;"Renta",D208&lt;&gt;"Marketing",D208&lt;&gt;"Servicios y software",D208&lt;&gt;"Mantenimiento",D208&lt;&gt;"Otros",D208&lt;&gt;"Intereses")),"Tipo o categoría inválido",IF(COUNTA(A208:J208)=0,"",IF(OR(A208="",B208="",C208="",H208=""),"Faltan datos",IF(COUNTIF($A$7:$A$2006,A208)&gt;1,"ID duplicado",IF(OR(B208&lt;DATE(Configuración!$C$5,1,1),B208&gt;=DATE(Configuración!$C$5+1,1,1)),"Fecha fuera del año",IF(OR(H208&lt;0,I208&lt;0),"Revisar signo",IF(AND(C208&lt;&gt;"Gasto",I208&lt;&gt;0),"IVA solo en Gasto",IF(AND(C208="Gasto",D208=""),"Falta categoría","OK")))))))))</f>
        <v/>
      </c>
    </row>
    <row r="209" spans="1:12" ht="22" customHeight="1">
      <c r="A209" s="3"/>
      <c r="B209" s="7"/>
      <c r="C209" s="3"/>
      <c r="D209" s="3"/>
      <c r="E209" s="3"/>
      <c r="F209" s="3"/>
      <c r="G209" s="3"/>
      <c r="H209" s="4"/>
      <c r="I209" s="4"/>
      <c r="J209" s="3"/>
      <c r="K209" s="8" t="str">
        <f t="shared" si="3"/>
        <v/>
      </c>
      <c r="L209" s="1" t="str">
        <f>IF(COUNTA(A209:J209)=0,"",IF(OR(AND(C209&lt;&gt;"Gasto",C209&lt;&gt;"Pago proveedor",C209&lt;&gt;"Retiro familiar",C209&lt;&gt;"Aportación",C209&lt;&gt;"Pago activo",C209&lt;&gt;"ISR devengado",C209&lt;&gt;"Pago ISR",C209&lt;&gt;"Pago IVA",C209&lt;&gt;"Compensación ISR",C209&lt;&gt;"Compensación IVA"),AND(C209="Gasto",D209&lt;&gt;"Costos clínicos",D209&lt;&gt;"Remuneración familiar",D209&lt;&gt;"Nómina y honorarios",D209&lt;&gt;"Renta",D209&lt;&gt;"Marketing",D209&lt;&gt;"Servicios y software",D209&lt;&gt;"Mantenimiento",D209&lt;&gt;"Otros",D209&lt;&gt;"Intereses")),"Tipo o categoría inválido",IF(COUNTA(A209:J209)=0,"",IF(OR(A209="",B209="",C209="",H209=""),"Faltan datos",IF(COUNTIF($A$7:$A$2006,A209)&gt;1,"ID duplicado",IF(OR(B209&lt;DATE(Configuración!$C$5,1,1),B209&gt;=DATE(Configuración!$C$5+1,1,1)),"Fecha fuera del año",IF(OR(H209&lt;0,I209&lt;0),"Revisar signo",IF(AND(C209&lt;&gt;"Gasto",I209&lt;&gt;0),"IVA solo en Gasto",IF(AND(C209="Gasto",D209=""),"Falta categoría","OK")))))))))</f>
        <v/>
      </c>
    </row>
    <row r="210" spans="1:12" ht="22" customHeight="1">
      <c r="A210" s="3"/>
      <c r="B210" s="7"/>
      <c r="C210" s="3"/>
      <c r="D210" s="3"/>
      <c r="E210" s="3"/>
      <c r="F210" s="3"/>
      <c r="G210" s="3"/>
      <c r="H210" s="4"/>
      <c r="I210" s="4"/>
      <c r="J210" s="3"/>
      <c r="K210" s="8" t="str">
        <f t="shared" si="3"/>
        <v/>
      </c>
      <c r="L210" s="1" t="str">
        <f>IF(COUNTA(A210:J210)=0,"",IF(OR(AND(C210&lt;&gt;"Gasto",C210&lt;&gt;"Pago proveedor",C210&lt;&gt;"Retiro familiar",C210&lt;&gt;"Aportación",C210&lt;&gt;"Pago activo",C210&lt;&gt;"ISR devengado",C210&lt;&gt;"Pago ISR",C210&lt;&gt;"Pago IVA",C210&lt;&gt;"Compensación ISR",C210&lt;&gt;"Compensación IVA"),AND(C210="Gasto",D210&lt;&gt;"Costos clínicos",D210&lt;&gt;"Remuneración familiar",D210&lt;&gt;"Nómina y honorarios",D210&lt;&gt;"Renta",D210&lt;&gt;"Marketing",D210&lt;&gt;"Servicios y software",D210&lt;&gt;"Mantenimiento",D210&lt;&gt;"Otros",D210&lt;&gt;"Intereses")),"Tipo o categoría inválido",IF(COUNTA(A210:J210)=0,"",IF(OR(A210="",B210="",C210="",H210=""),"Faltan datos",IF(COUNTIF($A$7:$A$2006,A210)&gt;1,"ID duplicado",IF(OR(B210&lt;DATE(Configuración!$C$5,1,1),B210&gt;=DATE(Configuración!$C$5+1,1,1)),"Fecha fuera del año",IF(OR(H210&lt;0,I210&lt;0),"Revisar signo",IF(AND(C210&lt;&gt;"Gasto",I210&lt;&gt;0),"IVA solo en Gasto",IF(AND(C210="Gasto",D210=""),"Falta categoría","OK")))))))))</f>
        <v/>
      </c>
    </row>
    <row r="211" spans="1:12" ht="22" customHeight="1">
      <c r="A211" s="3"/>
      <c r="B211" s="7"/>
      <c r="C211" s="3"/>
      <c r="D211" s="3"/>
      <c r="E211" s="3"/>
      <c r="F211" s="3"/>
      <c r="G211" s="3"/>
      <c r="H211" s="4"/>
      <c r="I211" s="4"/>
      <c r="J211" s="3"/>
      <c r="K211" s="8" t="str">
        <f t="shared" si="3"/>
        <v/>
      </c>
      <c r="L211" s="1" t="str">
        <f>IF(COUNTA(A211:J211)=0,"",IF(OR(AND(C211&lt;&gt;"Gasto",C211&lt;&gt;"Pago proveedor",C211&lt;&gt;"Retiro familiar",C211&lt;&gt;"Aportación",C211&lt;&gt;"Pago activo",C211&lt;&gt;"ISR devengado",C211&lt;&gt;"Pago ISR",C211&lt;&gt;"Pago IVA",C211&lt;&gt;"Compensación ISR",C211&lt;&gt;"Compensación IVA"),AND(C211="Gasto",D211&lt;&gt;"Costos clínicos",D211&lt;&gt;"Remuneración familiar",D211&lt;&gt;"Nómina y honorarios",D211&lt;&gt;"Renta",D211&lt;&gt;"Marketing",D211&lt;&gt;"Servicios y software",D211&lt;&gt;"Mantenimiento",D211&lt;&gt;"Otros",D211&lt;&gt;"Intereses")),"Tipo o categoría inválido",IF(COUNTA(A211:J211)=0,"",IF(OR(A211="",B211="",C211="",H211=""),"Faltan datos",IF(COUNTIF($A$7:$A$2006,A211)&gt;1,"ID duplicado",IF(OR(B211&lt;DATE(Configuración!$C$5,1,1),B211&gt;=DATE(Configuración!$C$5+1,1,1)),"Fecha fuera del año",IF(OR(H211&lt;0,I211&lt;0),"Revisar signo",IF(AND(C211&lt;&gt;"Gasto",I211&lt;&gt;0),"IVA solo en Gasto",IF(AND(C211="Gasto",D211=""),"Falta categoría","OK")))))))))</f>
        <v/>
      </c>
    </row>
    <row r="212" spans="1:12" ht="22" customHeight="1">
      <c r="A212" s="3"/>
      <c r="B212" s="7"/>
      <c r="C212" s="3"/>
      <c r="D212" s="3"/>
      <c r="E212" s="3"/>
      <c r="F212" s="3"/>
      <c r="G212" s="3"/>
      <c r="H212" s="4"/>
      <c r="I212" s="4"/>
      <c r="J212" s="3"/>
      <c r="K212" s="8" t="str">
        <f t="shared" si="3"/>
        <v/>
      </c>
      <c r="L212" s="1" t="str">
        <f>IF(COUNTA(A212:J212)=0,"",IF(OR(AND(C212&lt;&gt;"Gasto",C212&lt;&gt;"Pago proveedor",C212&lt;&gt;"Retiro familiar",C212&lt;&gt;"Aportación",C212&lt;&gt;"Pago activo",C212&lt;&gt;"ISR devengado",C212&lt;&gt;"Pago ISR",C212&lt;&gt;"Pago IVA",C212&lt;&gt;"Compensación ISR",C212&lt;&gt;"Compensación IVA"),AND(C212="Gasto",D212&lt;&gt;"Costos clínicos",D212&lt;&gt;"Remuneración familiar",D212&lt;&gt;"Nómina y honorarios",D212&lt;&gt;"Renta",D212&lt;&gt;"Marketing",D212&lt;&gt;"Servicios y software",D212&lt;&gt;"Mantenimiento",D212&lt;&gt;"Otros",D212&lt;&gt;"Intereses")),"Tipo o categoría inválido",IF(COUNTA(A212:J212)=0,"",IF(OR(A212="",B212="",C212="",H212=""),"Faltan datos",IF(COUNTIF($A$7:$A$2006,A212)&gt;1,"ID duplicado",IF(OR(B212&lt;DATE(Configuración!$C$5,1,1),B212&gt;=DATE(Configuración!$C$5+1,1,1)),"Fecha fuera del año",IF(OR(H212&lt;0,I212&lt;0),"Revisar signo",IF(AND(C212&lt;&gt;"Gasto",I212&lt;&gt;0),"IVA solo en Gasto",IF(AND(C212="Gasto",D212=""),"Falta categoría","OK")))))))))</f>
        <v/>
      </c>
    </row>
    <row r="213" spans="1:12" ht="22" customHeight="1">
      <c r="A213" s="3"/>
      <c r="B213" s="7"/>
      <c r="C213" s="3"/>
      <c r="D213" s="3"/>
      <c r="E213" s="3"/>
      <c r="F213" s="3"/>
      <c r="G213" s="3"/>
      <c r="H213" s="4"/>
      <c r="I213" s="4"/>
      <c r="J213" s="3"/>
      <c r="K213" s="8" t="str">
        <f t="shared" si="3"/>
        <v/>
      </c>
      <c r="L213" s="1" t="str">
        <f>IF(COUNTA(A213:J213)=0,"",IF(OR(AND(C213&lt;&gt;"Gasto",C213&lt;&gt;"Pago proveedor",C213&lt;&gt;"Retiro familiar",C213&lt;&gt;"Aportación",C213&lt;&gt;"Pago activo",C213&lt;&gt;"ISR devengado",C213&lt;&gt;"Pago ISR",C213&lt;&gt;"Pago IVA",C213&lt;&gt;"Compensación ISR",C213&lt;&gt;"Compensación IVA"),AND(C213="Gasto",D213&lt;&gt;"Costos clínicos",D213&lt;&gt;"Remuneración familiar",D213&lt;&gt;"Nómina y honorarios",D213&lt;&gt;"Renta",D213&lt;&gt;"Marketing",D213&lt;&gt;"Servicios y software",D213&lt;&gt;"Mantenimiento",D213&lt;&gt;"Otros",D213&lt;&gt;"Intereses")),"Tipo o categoría inválido",IF(COUNTA(A213:J213)=0,"",IF(OR(A213="",B213="",C213="",H213=""),"Faltan datos",IF(COUNTIF($A$7:$A$2006,A213)&gt;1,"ID duplicado",IF(OR(B213&lt;DATE(Configuración!$C$5,1,1),B213&gt;=DATE(Configuración!$C$5+1,1,1)),"Fecha fuera del año",IF(OR(H213&lt;0,I213&lt;0),"Revisar signo",IF(AND(C213&lt;&gt;"Gasto",I213&lt;&gt;0),"IVA solo en Gasto",IF(AND(C213="Gasto",D213=""),"Falta categoría","OK")))))))))</f>
        <v/>
      </c>
    </row>
    <row r="214" spans="1:12" ht="22" customHeight="1">
      <c r="A214" s="3"/>
      <c r="B214" s="7"/>
      <c r="C214" s="3"/>
      <c r="D214" s="3"/>
      <c r="E214" s="3"/>
      <c r="F214" s="3"/>
      <c r="G214" s="3"/>
      <c r="H214" s="4"/>
      <c r="I214" s="4"/>
      <c r="J214" s="3"/>
      <c r="K214" s="8" t="str">
        <f t="shared" si="3"/>
        <v/>
      </c>
      <c r="L214" s="1" t="str">
        <f>IF(COUNTA(A214:J214)=0,"",IF(OR(AND(C214&lt;&gt;"Gasto",C214&lt;&gt;"Pago proveedor",C214&lt;&gt;"Retiro familiar",C214&lt;&gt;"Aportación",C214&lt;&gt;"Pago activo",C214&lt;&gt;"ISR devengado",C214&lt;&gt;"Pago ISR",C214&lt;&gt;"Pago IVA",C214&lt;&gt;"Compensación ISR",C214&lt;&gt;"Compensación IVA"),AND(C214="Gasto",D214&lt;&gt;"Costos clínicos",D214&lt;&gt;"Remuneración familiar",D214&lt;&gt;"Nómina y honorarios",D214&lt;&gt;"Renta",D214&lt;&gt;"Marketing",D214&lt;&gt;"Servicios y software",D214&lt;&gt;"Mantenimiento",D214&lt;&gt;"Otros",D214&lt;&gt;"Intereses")),"Tipo o categoría inválido",IF(COUNTA(A214:J214)=0,"",IF(OR(A214="",B214="",C214="",H214=""),"Faltan datos",IF(COUNTIF($A$7:$A$2006,A214)&gt;1,"ID duplicado",IF(OR(B214&lt;DATE(Configuración!$C$5,1,1),B214&gt;=DATE(Configuración!$C$5+1,1,1)),"Fecha fuera del año",IF(OR(H214&lt;0,I214&lt;0),"Revisar signo",IF(AND(C214&lt;&gt;"Gasto",I214&lt;&gt;0),"IVA solo en Gasto",IF(AND(C214="Gasto",D214=""),"Falta categoría","OK")))))))))</f>
        <v/>
      </c>
    </row>
    <row r="215" spans="1:12" ht="22" customHeight="1">
      <c r="A215" s="3"/>
      <c r="B215" s="7"/>
      <c r="C215" s="3"/>
      <c r="D215" s="3"/>
      <c r="E215" s="3"/>
      <c r="F215" s="3"/>
      <c r="G215" s="3"/>
      <c r="H215" s="4"/>
      <c r="I215" s="4"/>
      <c r="J215" s="3"/>
      <c r="K215" s="8" t="str">
        <f t="shared" si="3"/>
        <v/>
      </c>
      <c r="L215" s="1" t="str">
        <f>IF(COUNTA(A215:J215)=0,"",IF(OR(AND(C215&lt;&gt;"Gasto",C215&lt;&gt;"Pago proveedor",C215&lt;&gt;"Retiro familiar",C215&lt;&gt;"Aportación",C215&lt;&gt;"Pago activo",C215&lt;&gt;"ISR devengado",C215&lt;&gt;"Pago ISR",C215&lt;&gt;"Pago IVA",C215&lt;&gt;"Compensación ISR",C215&lt;&gt;"Compensación IVA"),AND(C215="Gasto",D215&lt;&gt;"Costos clínicos",D215&lt;&gt;"Remuneración familiar",D215&lt;&gt;"Nómina y honorarios",D215&lt;&gt;"Renta",D215&lt;&gt;"Marketing",D215&lt;&gt;"Servicios y software",D215&lt;&gt;"Mantenimiento",D215&lt;&gt;"Otros",D215&lt;&gt;"Intereses")),"Tipo o categoría inválido",IF(COUNTA(A215:J215)=0,"",IF(OR(A215="",B215="",C215="",H215=""),"Faltan datos",IF(COUNTIF($A$7:$A$2006,A215)&gt;1,"ID duplicado",IF(OR(B215&lt;DATE(Configuración!$C$5,1,1),B215&gt;=DATE(Configuración!$C$5+1,1,1)),"Fecha fuera del año",IF(OR(H215&lt;0,I215&lt;0),"Revisar signo",IF(AND(C215&lt;&gt;"Gasto",I215&lt;&gt;0),"IVA solo en Gasto",IF(AND(C215="Gasto",D215=""),"Falta categoría","OK")))))))))</f>
        <v/>
      </c>
    </row>
    <row r="216" spans="1:12" ht="22" customHeight="1">
      <c r="A216" s="3"/>
      <c r="B216" s="7"/>
      <c r="C216" s="3"/>
      <c r="D216" s="3"/>
      <c r="E216" s="3"/>
      <c r="F216" s="3"/>
      <c r="G216" s="3"/>
      <c r="H216" s="4"/>
      <c r="I216" s="4"/>
      <c r="J216" s="3"/>
      <c r="K216" s="8" t="str">
        <f t="shared" si="3"/>
        <v/>
      </c>
      <c r="L216" s="1" t="str">
        <f>IF(COUNTA(A216:J216)=0,"",IF(OR(AND(C216&lt;&gt;"Gasto",C216&lt;&gt;"Pago proveedor",C216&lt;&gt;"Retiro familiar",C216&lt;&gt;"Aportación",C216&lt;&gt;"Pago activo",C216&lt;&gt;"ISR devengado",C216&lt;&gt;"Pago ISR",C216&lt;&gt;"Pago IVA",C216&lt;&gt;"Compensación ISR",C216&lt;&gt;"Compensación IVA"),AND(C216="Gasto",D216&lt;&gt;"Costos clínicos",D216&lt;&gt;"Remuneración familiar",D216&lt;&gt;"Nómina y honorarios",D216&lt;&gt;"Renta",D216&lt;&gt;"Marketing",D216&lt;&gt;"Servicios y software",D216&lt;&gt;"Mantenimiento",D216&lt;&gt;"Otros",D216&lt;&gt;"Intereses")),"Tipo o categoría inválido",IF(COUNTA(A216:J216)=0,"",IF(OR(A216="",B216="",C216="",H216=""),"Faltan datos",IF(COUNTIF($A$7:$A$2006,A216)&gt;1,"ID duplicado",IF(OR(B216&lt;DATE(Configuración!$C$5,1,1),B216&gt;=DATE(Configuración!$C$5+1,1,1)),"Fecha fuera del año",IF(OR(H216&lt;0,I216&lt;0),"Revisar signo",IF(AND(C216&lt;&gt;"Gasto",I216&lt;&gt;0),"IVA solo en Gasto",IF(AND(C216="Gasto",D216=""),"Falta categoría","OK")))))))))</f>
        <v/>
      </c>
    </row>
    <row r="217" spans="1:12" ht="22" customHeight="1">
      <c r="A217" s="3"/>
      <c r="B217" s="7"/>
      <c r="C217" s="3"/>
      <c r="D217" s="3"/>
      <c r="E217" s="3"/>
      <c r="F217" s="3"/>
      <c r="G217" s="3"/>
      <c r="H217" s="4"/>
      <c r="I217" s="4"/>
      <c r="J217" s="3"/>
      <c r="K217" s="8" t="str">
        <f t="shared" si="3"/>
        <v/>
      </c>
      <c r="L217" s="1" t="str">
        <f>IF(COUNTA(A217:J217)=0,"",IF(OR(AND(C217&lt;&gt;"Gasto",C217&lt;&gt;"Pago proveedor",C217&lt;&gt;"Retiro familiar",C217&lt;&gt;"Aportación",C217&lt;&gt;"Pago activo",C217&lt;&gt;"ISR devengado",C217&lt;&gt;"Pago ISR",C217&lt;&gt;"Pago IVA",C217&lt;&gt;"Compensación ISR",C217&lt;&gt;"Compensación IVA"),AND(C217="Gasto",D217&lt;&gt;"Costos clínicos",D217&lt;&gt;"Remuneración familiar",D217&lt;&gt;"Nómina y honorarios",D217&lt;&gt;"Renta",D217&lt;&gt;"Marketing",D217&lt;&gt;"Servicios y software",D217&lt;&gt;"Mantenimiento",D217&lt;&gt;"Otros",D217&lt;&gt;"Intereses")),"Tipo o categoría inválido",IF(COUNTA(A217:J217)=0,"",IF(OR(A217="",B217="",C217="",H217=""),"Faltan datos",IF(COUNTIF($A$7:$A$2006,A217)&gt;1,"ID duplicado",IF(OR(B217&lt;DATE(Configuración!$C$5,1,1),B217&gt;=DATE(Configuración!$C$5+1,1,1)),"Fecha fuera del año",IF(OR(H217&lt;0,I217&lt;0),"Revisar signo",IF(AND(C217&lt;&gt;"Gasto",I217&lt;&gt;0),"IVA solo en Gasto",IF(AND(C217="Gasto",D217=""),"Falta categoría","OK")))))))))</f>
        <v/>
      </c>
    </row>
    <row r="218" spans="1:12" ht="22" customHeight="1">
      <c r="A218" s="3"/>
      <c r="B218" s="7"/>
      <c r="C218" s="3"/>
      <c r="D218" s="3"/>
      <c r="E218" s="3"/>
      <c r="F218" s="3"/>
      <c r="G218" s="3"/>
      <c r="H218" s="4"/>
      <c r="I218" s="4"/>
      <c r="J218" s="3"/>
      <c r="K218" s="8" t="str">
        <f t="shared" si="3"/>
        <v/>
      </c>
      <c r="L218" s="1" t="str">
        <f>IF(COUNTA(A218:J218)=0,"",IF(OR(AND(C218&lt;&gt;"Gasto",C218&lt;&gt;"Pago proveedor",C218&lt;&gt;"Retiro familiar",C218&lt;&gt;"Aportación",C218&lt;&gt;"Pago activo",C218&lt;&gt;"ISR devengado",C218&lt;&gt;"Pago ISR",C218&lt;&gt;"Pago IVA",C218&lt;&gt;"Compensación ISR",C218&lt;&gt;"Compensación IVA"),AND(C218="Gasto",D218&lt;&gt;"Costos clínicos",D218&lt;&gt;"Remuneración familiar",D218&lt;&gt;"Nómina y honorarios",D218&lt;&gt;"Renta",D218&lt;&gt;"Marketing",D218&lt;&gt;"Servicios y software",D218&lt;&gt;"Mantenimiento",D218&lt;&gt;"Otros",D218&lt;&gt;"Intereses")),"Tipo o categoría inválido",IF(COUNTA(A218:J218)=0,"",IF(OR(A218="",B218="",C218="",H218=""),"Faltan datos",IF(COUNTIF($A$7:$A$2006,A218)&gt;1,"ID duplicado",IF(OR(B218&lt;DATE(Configuración!$C$5,1,1),B218&gt;=DATE(Configuración!$C$5+1,1,1)),"Fecha fuera del año",IF(OR(H218&lt;0,I218&lt;0),"Revisar signo",IF(AND(C218&lt;&gt;"Gasto",I218&lt;&gt;0),"IVA solo en Gasto",IF(AND(C218="Gasto",D218=""),"Falta categoría","OK")))))))))</f>
        <v/>
      </c>
    </row>
    <row r="219" spans="1:12" ht="22" customHeight="1">
      <c r="A219" s="3"/>
      <c r="B219" s="7"/>
      <c r="C219" s="3"/>
      <c r="D219" s="3"/>
      <c r="E219" s="3"/>
      <c r="F219" s="3"/>
      <c r="G219" s="3"/>
      <c r="H219" s="4"/>
      <c r="I219" s="4"/>
      <c r="J219" s="3"/>
      <c r="K219" s="8" t="str">
        <f t="shared" si="3"/>
        <v/>
      </c>
      <c r="L219" s="1" t="str">
        <f>IF(COUNTA(A219:J219)=0,"",IF(OR(AND(C219&lt;&gt;"Gasto",C219&lt;&gt;"Pago proveedor",C219&lt;&gt;"Retiro familiar",C219&lt;&gt;"Aportación",C219&lt;&gt;"Pago activo",C219&lt;&gt;"ISR devengado",C219&lt;&gt;"Pago ISR",C219&lt;&gt;"Pago IVA",C219&lt;&gt;"Compensación ISR",C219&lt;&gt;"Compensación IVA"),AND(C219="Gasto",D219&lt;&gt;"Costos clínicos",D219&lt;&gt;"Remuneración familiar",D219&lt;&gt;"Nómina y honorarios",D219&lt;&gt;"Renta",D219&lt;&gt;"Marketing",D219&lt;&gt;"Servicios y software",D219&lt;&gt;"Mantenimiento",D219&lt;&gt;"Otros",D219&lt;&gt;"Intereses")),"Tipo o categoría inválido",IF(COUNTA(A219:J219)=0,"",IF(OR(A219="",B219="",C219="",H219=""),"Faltan datos",IF(COUNTIF($A$7:$A$2006,A219)&gt;1,"ID duplicado",IF(OR(B219&lt;DATE(Configuración!$C$5,1,1),B219&gt;=DATE(Configuración!$C$5+1,1,1)),"Fecha fuera del año",IF(OR(H219&lt;0,I219&lt;0),"Revisar signo",IF(AND(C219&lt;&gt;"Gasto",I219&lt;&gt;0),"IVA solo en Gasto",IF(AND(C219="Gasto",D219=""),"Falta categoría","OK")))))))))</f>
        <v/>
      </c>
    </row>
    <row r="220" spans="1:12" ht="22" customHeight="1">
      <c r="A220" s="3"/>
      <c r="B220" s="7"/>
      <c r="C220" s="3"/>
      <c r="D220" s="3"/>
      <c r="E220" s="3"/>
      <c r="F220" s="3"/>
      <c r="G220" s="3"/>
      <c r="H220" s="4"/>
      <c r="I220" s="4"/>
      <c r="J220" s="3"/>
      <c r="K220" s="8" t="str">
        <f t="shared" si="3"/>
        <v/>
      </c>
      <c r="L220" s="1" t="str">
        <f>IF(COUNTA(A220:J220)=0,"",IF(OR(AND(C220&lt;&gt;"Gasto",C220&lt;&gt;"Pago proveedor",C220&lt;&gt;"Retiro familiar",C220&lt;&gt;"Aportación",C220&lt;&gt;"Pago activo",C220&lt;&gt;"ISR devengado",C220&lt;&gt;"Pago ISR",C220&lt;&gt;"Pago IVA",C220&lt;&gt;"Compensación ISR",C220&lt;&gt;"Compensación IVA"),AND(C220="Gasto",D220&lt;&gt;"Costos clínicos",D220&lt;&gt;"Remuneración familiar",D220&lt;&gt;"Nómina y honorarios",D220&lt;&gt;"Renta",D220&lt;&gt;"Marketing",D220&lt;&gt;"Servicios y software",D220&lt;&gt;"Mantenimiento",D220&lt;&gt;"Otros",D220&lt;&gt;"Intereses")),"Tipo o categoría inválido",IF(COUNTA(A220:J220)=0,"",IF(OR(A220="",B220="",C220="",H220=""),"Faltan datos",IF(COUNTIF($A$7:$A$2006,A220)&gt;1,"ID duplicado",IF(OR(B220&lt;DATE(Configuración!$C$5,1,1),B220&gt;=DATE(Configuración!$C$5+1,1,1)),"Fecha fuera del año",IF(OR(H220&lt;0,I220&lt;0),"Revisar signo",IF(AND(C220&lt;&gt;"Gasto",I220&lt;&gt;0),"IVA solo en Gasto",IF(AND(C220="Gasto",D220=""),"Falta categoría","OK")))))))))</f>
        <v/>
      </c>
    </row>
    <row r="221" spans="1:12" ht="22" customHeight="1">
      <c r="A221" s="3"/>
      <c r="B221" s="7"/>
      <c r="C221" s="3"/>
      <c r="D221" s="3"/>
      <c r="E221" s="3"/>
      <c r="F221" s="3"/>
      <c r="G221" s="3"/>
      <c r="H221" s="4"/>
      <c r="I221" s="4"/>
      <c r="J221" s="3"/>
      <c r="K221" s="8" t="str">
        <f t="shared" si="3"/>
        <v/>
      </c>
      <c r="L221" s="1" t="str">
        <f>IF(COUNTA(A221:J221)=0,"",IF(OR(AND(C221&lt;&gt;"Gasto",C221&lt;&gt;"Pago proveedor",C221&lt;&gt;"Retiro familiar",C221&lt;&gt;"Aportación",C221&lt;&gt;"Pago activo",C221&lt;&gt;"ISR devengado",C221&lt;&gt;"Pago ISR",C221&lt;&gt;"Pago IVA",C221&lt;&gt;"Compensación ISR",C221&lt;&gt;"Compensación IVA"),AND(C221="Gasto",D221&lt;&gt;"Costos clínicos",D221&lt;&gt;"Remuneración familiar",D221&lt;&gt;"Nómina y honorarios",D221&lt;&gt;"Renta",D221&lt;&gt;"Marketing",D221&lt;&gt;"Servicios y software",D221&lt;&gt;"Mantenimiento",D221&lt;&gt;"Otros",D221&lt;&gt;"Intereses")),"Tipo o categoría inválido",IF(COUNTA(A221:J221)=0,"",IF(OR(A221="",B221="",C221="",H221=""),"Faltan datos",IF(COUNTIF($A$7:$A$2006,A221)&gt;1,"ID duplicado",IF(OR(B221&lt;DATE(Configuración!$C$5,1,1),B221&gt;=DATE(Configuración!$C$5+1,1,1)),"Fecha fuera del año",IF(OR(H221&lt;0,I221&lt;0),"Revisar signo",IF(AND(C221&lt;&gt;"Gasto",I221&lt;&gt;0),"IVA solo en Gasto",IF(AND(C221="Gasto",D221=""),"Falta categoría","OK")))))))))</f>
        <v/>
      </c>
    </row>
    <row r="222" spans="1:12" ht="22" customHeight="1">
      <c r="A222" s="3"/>
      <c r="B222" s="7"/>
      <c r="C222" s="3"/>
      <c r="D222" s="3"/>
      <c r="E222" s="3"/>
      <c r="F222" s="3"/>
      <c r="G222" s="3"/>
      <c r="H222" s="4"/>
      <c r="I222" s="4"/>
      <c r="J222" s="3"/>
      <c r="K222" s="8" t="str">
        <f t="shared" si="3"/>
        <v/>
      </c>
      <c r="L222" s="1" t="str">
        <f>IF(COUNTA(A222:J222)=0,"",IF(OR(AND(C222&lt;&gt;"Gasto",C222&lt;&gt;"Pago proveedor",C222&lt;&gt;"Retiro familiar",C222&lt;&gt;"Aportación",C222&lt;&gt;"Pago activo",C222&lt;&gt;"ISR devengado",C222&lt;&gt;"Pago ISR",C222&lt;&gt;"Pago IVA",C222&lt;&gt;"Compensación ISR",C222&lt;&gt;"Compensación IVA"),AND(C222="Gasto",D222&lt;&gt;"Costos clínicos",D222&lt;&gt;"Remuneración familiar",D222&lt;&gt;"Nómina y honorarios",D222&lt;&gt;"Renta",D222&lt;&gt;"Marketing",D222&lt;&gt;"Servicios y software",D222&lt;&gt;"Mantenimiento",D222&lt;&gt;"Otros",D222&lt;&gt;"Intereses")),"Tipo o categoría inválido",IF(COUNTA(A222:J222)=0,"",IF(OR(A222="",B222="",C222="",H222=""),"Faltan datos",IF(COUNTIF($A$7:$A$2006,A222)&gt;1,"ID duplicado",IF(OR(B222&lt;DATE(Configuración!$C$5,1,1),B222&gt;=DATE(Configuración!$C$5+1,1,1)),"Fecha fuera del año",IF(OR(H222&lt;0,I222&lt;0),"Revisar signo",IF(AND(C222&lt;&gt;"Gasto",I222&lt;&gt;0),"IVA solo en Gasto",IF(AND(C222="Gasto",D222=""),"Falta categoría","OK")))))))))</f>
        <v/>
      </c>
    </row>
    <row r="223" spans="1:12" ht="22" customHeight="1">
      <c r="A223" s="3"/>
      <c r="B223" s="7"/>
      <c r="C223" s="3"/>
      <c r="D223" s="3"/>
      <c r="E223" s="3"/>
      <c r="F223" s="3"/>
      <c r="G223" s="3"/>
      <c r="H223" s="4"/>
      <c r="I223" s="4"/>
      <c r="J223" s="3"/>
      <c r="K223" s="8" t="str">
        <f t="shared" si="3"/>
        <v/>
      </c>
      <c r="L223" s="1" t="str">
        <f>IF(COUNTA(A223:J223)=0,"",IF(OR(AND(C223&lt;&gt;"Gasto",C223&lt;&gt;"Pago proveedor",C223&lt;&gt;"Retiro familiar",C223&lt;&gt;"Aportación",C223&lt;&gt;"Pago activo",C223&lt;&gt;"ISR devengado",C223&lt;&gt;"Pago ISR",C223&lt;&gt;"Pago IVA",C223&lt;&gt;"Compensación ISR",C223&lt;&gt;"Compensación IVA"),AND(C223="Gasto",D223&lt;&gt;"Costos clínicos",D223&lt;&gt;"Remuneración familiar",D223&lt;&gt;"Nómina y honorarios",D223&lt;&gt;"Renta",D223&lt;&gt;"Marketing",D223&lt;&gt;"Servicios y software",D223&lt;&gt;"Mantenimiento",D223&lt;&gt;"Otros",D223&lt;&gt;"Intereses")),"Tipo o categoría inválido",IF(COUNTA(A223:J223)=0,"",IF(OR(A223="",B223="",C223="",H223=""),"Faltan datos",IF(COUNTIF($A$7:$A$2006,A223)&gt;1,"ID duplicado",IF(OR(B223&lt;DATE(Configuración!$C$5,1,1),B223&gt;=DATE(Configuración!$C$5+1,1,1)),"Fecha fuera del año",IF(OR(H223&lt;0,I223&lt;0),"Revisar signo",IF(AND(C223&lt;&gt;"Gasto",I223&lt;&gt;0),"IVA solo en Gasto",IF(AND(C223="Gasto",D223=""),"Falta categoría","OK")))))))))</f>
        <v/>
      </c>
    </row>
    <row r="224" spans="1:12" ht="22" customHeight="1">
      <c r="A224" s="3"/>
      <c r="B224" s="7"/>
      <c r="C224" s="3"/>
      <c r="D224" s="3"/>
      <c r="E224" s="3"/>
      <c r="F224" s="3"/>
      <c r="G224" s="3"/>
      <c r="H224" s="4"/>
      <c r="I224" s="4"/>
      <c r="J224" s="3"/>
      <c r="K224" s="8" t="str">
        <f t="shared" si="3"/>
        <v/>
      </c>
      <c r="L224" s="1" t="str">
        <f>IF(COUNTA(A224:J224)=0,"",IF(OR(AND(C224&lt;&gt;"Gasto",C224&lt;&gt;"Pago proveedor",C224&lt;&gt;"Retiro familiar",C224&lt;&gt;"Aportación",C224&lt;&gt;"Pago activo",C224&lt;&gt;"ISR devengado",C224&lt;&gt;"Pago ISR",C224&lt;&gt;"Pago IVA",C224&lt;&gt;"Compensación ISR",C224&lt;&gt;"Compensación IVA"),AND(C224="Gasto",D224&lt;&gt;"Costos clínicos",D224&lt;&gt;"Remuneración familiar",D224&lt;&gt;"Nómina y honorarios",D224&lt;&gt;"Renta",D224&lt;&gt;"Marketing",D224&lt;&gt;"Servicios y software",D224&lt;&gt;"Mantenimiento",D224&lt;&gt;"Otros",D224&lt;&gt;"Intereses")),"Tipo o categoría inválido",IF(COUNTA(A224:J224)=0,"",IF(OR(A224="",B224="",C224="",H224=""),"Faltan datos",IF(COUNTIF($A$7:$A$2006,A224)&gt;1,"ID duplicado",IF(OR(B224&lt;DATE(Configuración!$C$5,1,1),B224&gt;=DATE(Configuración!$C$5+1,1,1)),"Fecha fuera del año",IF(OR(H224&lt;0,I224&lt;0),"Revisar signo",IF(AND(C224&lt;&gt;"Gasto",I224&lt;&gt;0),"IVA solo en Gasto",IF(AND(C224="Gasto",D224=""),"Falta categoría","OK")))))))))</f>
        <v/>
      </c>
    </row>
    <row r="225" spans="1:12" ht="22" customHeight="1">
      <c r="A225" s="3"/>
      <c r="B225" s="7"/>
      <c r="C225" s="3"/>
      <c r="D225" s="3"/>
      <c r="E225" s="3"/>
      <c r="F225" s="3"/>
      <c r="G225" s="3"/>
      <c r="H225" s="4"/>
      <c r="I225" s="4"/>
      <c r="J225" s="3"/>
      <c r="K225" s="8" t="str">
        <f t="shared" si="3"/>
        <v/>
      </c>
      <c r="L225" s="1" t="str">
        <f>IF(COUNTA(A225:J225)=0,"",IF(OR(AND(C225&lt;&gt;"Gasto",C225&lt;&gt;"Pago proveedor",C225&lt;&gt;"Retiro familiar",C225&lt;&gt;"Aportación",C225&lt;&gt;"Pago activo",C225&lt;&gt;"ISR devengado",C225&lt;&gt;"Pago ISR",C225&lt;&gt;"Pago IVA",C225&lt;&gt;"Compensación ISR",C225&lt;&gt;"Compensación IVA"),AND(C225="Gasto",D225&lt;&gt;"Costos clínicos",D225&lt;&gt;"Remuneración familiar",D225&lt;&gt;"Nómina y honorarios",D225&lt;&gt;"Renta",D225&lt;&gt;"Marketing",D225&lt;&gt;"Servicios y software",D225&lt;&gt;"Mantenimiento",D225&lt;&gt;"Otros",D225&lt;&gt;"Intereses")),"Tipo o categoría inválido",IF(COUNTA(A225:J225)=0,"",IF(OR(A225="",B225="",C225="",H225=""),"Faltan datos",IF(COUNTIF($A$7:$A$2006,A225)&gt;1,"ID duplicado",IF(OR(B225&lt;DATE(Configuración!$C$5,1,1),B225&gt;=DATE(Configuración!$C$5+1,1,1)),"Fecha fuera del año",IF(OR(H225&lt;0,I225&lt;0),"Revisar signo",IF(AND(C225&lt;&gt;"Gasto",I225&lt;&gt;0),"IVA solo en Gasto",IF(AND(C225="Gasto",D225=""),"Falta categoría","OK")))))))))</f>
        <v/>
      </c>
    </row>
    <row r="226" spans="1:12" ht="22" customHeight="1">
      <c r="A226" s="3"/>
      <c r="B226" s="7"/>
      <c r="C226" s="3"/>
      <c r="D226" s="3"/>
      <c r="E226" s="3"/>
      <c r="F226" s="3"/>
      <c r="G226" s="3"/>
      <c r="H226" s="4"/>
      <c r="I226" s="4"/>
      <c r="J226" s="3"/>
      <c r="K226" s="8" t="str">
        <f t="shared" si="3"/>
        <v/>
      </c>
      <c r="L226" s="1" t="str">
        <f>IF(COUNTA(A226:J226)=0,"",IF(OR(AND(C226&lt;&gt;"Gasto",C226&lt;&gt;"Pago proveedor",C226&lt;&gt;"Retiro familiar",C226&lt;&gt;"Aportación",C226&lt;&gt;"Pago activo",C226&lt;&gt;"ISR devengado",C226&lt;&gt;"Pago ISR",C226&lt;&gt;"Pago IVA",C226&lt;&gt;"Compensación ISR",C226&lt;&gt;"Compensación IVA"),AND(C226="Gasto",D226&lt;&gt;"Costos clínicos",D226&lt;&gt;"Remuneración familiar",D226&lt;&gt;"Nómina y honorarios",D226&lt;&gt;"Renta",D226&lt;&gt;"Marketing",D226&lt;&gt;"Servicios y software",D226&lt;&gt;"Mantenimiento",D226&lt;&gt;"Otros",D226&lt;&gt;"Intereses")),"Tipo o categoría inválido",IF(COUNTA(A226:J226)=0,"",IF(OR(A226="",B226="",C226="",H226=""),"Faltan datos",IF(COUNTIF($A$7:$A$2006,A226)&gt;1,"ID duplicado",IF(OR(B226&lt;DATE(Configuración!$C$5,1,1),B226&gt;=DATE(Configuración!$C$5+1,1,1)),"Fecha fuera del año",IF(OR(H226&lt;0,I226&lt;0),"Revisar signo",IF(AND(C226&lt;&gt;"Gasto",I226&lt;&gt;0),"IVA solo en Gasto",IF(AND(C226="Gasto",D226=""),"Falta categoría","OK")))))))))</f>
        <v/>
      </c>
    </row>
    <row r="227" spans="1:12" ht="22" customHeight="1">
      <c r="A227" s="3"/>
      <c r="B227" s="7"/>
      <c r="C227" s="3"/>
      <c r="D227" s="3"/>
      <c r="E227" s="3"/>
      <c r="F227" s="3"/>
      <c r="G227" s="3"/>
      <c r="H227" s="4"/>
      <c r="I227" s="4"/>
      <c r="J227" s="3"/>
      <c r="K227" s="8" t="str">
        <f t="shared" si="3"/>
        <v/>
      </c>
      <c r="L227" s="1" t="str">
        <f>IF(COUNTA(A227:J227)=0,"",IF(OR(AND(C227&lt;&gt;"Gasto",C227&lt;&gt;"Pago proveedor",C227&lt;&gt;"Retiro familiar",C227&lt;&gt;"Aportación",C227&lt;&gt;"Pago activo",C227&lt;&gt;"ISR devengado",C227&lt;&gt;"Pago ISR",C227&lt;&gt;"Pago IVA",C227&lt;&gt;"Compensación ISR",C227&lt;&gt;"Compensación IVA"),AND(C227="Gasto",D227&lt;&gt;"Costos clínicos",D227&lt;&gt;"Remuneración familiar",D227&lt;&gt;"Nómina y honorarios",D227&lt;&gt;"Renta",D227&lt;&gt;"Marketing",D227&lt;&gt;"Servicios y software",D227&lt;&gt;"Mantenimiento",D227&lt;&gt;"Otros",D227&lt;&gt;"Intereses")),"Tipo o categoría inválido",IF(COUNTA(A227:J227)=0,"",IF(OR(A227="",B227="",C227="",H227=""),"Faltan datos",IF(COUNTIF($A$7:$A$2006,A227)&gt;1,"ID duplicado",IF(OR(B227&lt;DATE(Configuración!$C$5,1,1),B227&gt;=DATE(Configuración!$C$5+1,1,1)),"Fecha fuera del año",IF(OR(H227&lt;0,I227&lt;0),"Revisar signo",IF(AND(C227&lt;&gt;"Gasto",I227&lt;&gt;0),"IVA solo en Gasto",IF(AND(C227="Gasto",D227=""),"Falta categoría","OK")))))))))</f>
        <v/>
      </c>
    </row>
    <row r="228" spans="1:12" ht="22" customHeight="1">
      <c r="A228" s="3"/>
      <c r="B228" s="7"/>
      <c r="C228" s="3"/>
      <c r="D228" s="3"/>
      <c r="E228" s="3"/>
      <c r="F228" s="3"/>
      <c r="G228" s="3"/>
      <c r="H228" s="4"/>
      <c r="I228" s="4"/>
      <c r="J228" s="3"/>
      <c r="K228" s="8" t="str">
        <f t="shared" si="3"/>
        <v/>
      </c>
      <c r="L228" s="1" t="str">
        <f>IF(COUNTA(A228:J228)=0,"",IF(OR(AND(C228&lt;&gt;"Gasto",C228&lt;&gt;"Pago proveedor",C228&lt;&gt;"Retiro familiar",C228&lt;&gt;"Aportación",C228&lt;&gt;"Pago activo",C228&lt;&gt;"ISR devengado",C228&lt;&gt;"Pago ISR",C228&lt;&gt;"Pago IVA",C228&lt;&gt;"Compensación ISR",C228&lt;&gt;"Compensación IVA"),AND(C228="Gasto",D228&lt;&gt;"Costos clínicos",D228&lt;&gt;"Remuneración familiar",D228&lt;&gt;"Nómina y honorarios",D228&lt;&gt;"Renta",D228&lt;&gt;"Marketing",D228&lt;&gt;"Servicios y software",D228&lt;&gt;"Mantenimiento",D228&lt;&gt;"Otros",D228&lt;&gt;"Intereses")),"Tipo o categoría inválido",IF(COUNTA(A228:J228)=0,"",IF(OR(A228="",B228="",C228="",H228=""),"Faltan datos",IF(COUNTIF($A$7:$A$2006,A228)&gt;1,"ID duplicado",IF(OR(B228&lt;DATE(Configuración!$C$5,1,1),B228&gt;=DATE(Configuración!$C$5+1,1,1)),"Fecha fuera del año",IF(OR(H228&lt;0,I228&lt;0),"Revisar signo",IF(AND(C228&lt;&gt;"Gasto",I228&lt;&gt;0),"IVA solo en Gasto",IF(AND(C228="Gasto",D228=""),"Falta categoría","OK")))))))))</f>
        <v/>
      </c>
    </row>
    <row r="229" spans="1:12" ht="22" customHeight="1">
      <c r="A229" s="3"/>
      <c r="B229" s="7"/>
      <c r="C229" s="3"/>
      <c r="D229" s="3"/>
      <c r="E229" s="3"/>
      <c r="F229" s="3"/>
      <c r="G229" s="3"/>
      <c r="H229" s="4"/>
      <c r="I229" s="4"/>
      <c r="J229" s="3"/>
      <c r="K229" s="8" t="str">
        <f t="shared" si="3"/>
        <v/>
      </c>
      <c r="L229" s="1" t="str">
        <f>IF(COUNTA(A229:J229)=0,"",IF(OR(AND(C229&lt;&gt;"Gasto",C229&lt;&gt;"Pago proveedor",C229&lt;&gt;"Retiro familiar",C229&lt;&gt;"Aportación",C229&lt;&gt;"Pago activo",C229&lt;&gt;"ISR devengado",C229&lt;&gt;"Pago ISR",C229&lt;&gt;"Pago IVA",C229&lt;&gt;"Compensación ISR",C229&lt;&gt;"Compensación IVA"),AND(C229="Gasto",D229&lt;&gt;"Costos clínicos",D229&lt;&gt;"Remuneración familiar",D229&lt;&gt;"Nómina y honorarios",D229&lt;&gt;"Renta",D229&lt;&gt;"Marketing",D229&lt;&gt;"Servicios y software",D229&lt;&gt;"Mantenimiento",D229&lt;&gt;"Otros",D229&lt;&gt;"Intereses")),"Tipo o categoría inválido",IF(COUNTA(A229:J229)=0,"",IF(OR(A229="",B229="",C229="",H229=""),"Faltan datos",IF(COUNTIF($A$7:$A$2006,A229)&gt;1,"ID duplicado",IF(OR(B229&lt;DATE(Configuración!$C$5,1,1),B229&gt;=DATE(Configuración!$C$5+1,1,1)),"Fecha fuera del año",IF(OR(H229&lt;0,I229&lt;0),"Revisar signo",IF(AND(C229&lt;&gt;"Gasto",I229&lt;&gt;0),"IVA solo en Gasto",IF(AND(C229="Gasto",D229=""),"Falta categoría","OK")))))))))</f>
        <v/>
      </c>
    </row>
    <row r="230" spans="1:12" ht="22" customHeight="1">
      <c r="A230" s="3"/>
      <c r="B230" s="7"/>
      <c r="C230" s="3"/>
      <c r="D230" s="3"/>
      <c r="E230" s="3"/>
      <c r="F230" s="3"/>
      <c r="G230" s="3"/>
      <c r="H230" s="4"/>
      <c r="I230" s="4"/>
      <c r="J230" s="3"/>
      <c r="K230" s="8" t="str">
        <f t="shared" si="3"/>
        <v/>
      </c>
      <c r="L230" s="1" t="str">
        <f>IF(COUNTA(A230:J230)=0,"",IF(OR(AND(C230&lt;&gt;"Gasto",C230&lt;&gt;"Pago proveedor",C230&lt;&gt;"Retiro familiar",C230&lt;&gt;"Aportación",C230&lt;&gt;"Pago activo",C230&lt;&gt;"ISR devengado",C230&lt;&gt;"Pago ISR",C230&lt;&gt;"Pago IVA",C230&lt;&gt;"Compensación ISR",C230&lt;&gt;"Compensación IVA"),AND(C230="Gasto",D230&lt;&gt;"Costos clínicos",D230&lt;&gt;"Remuneración familiar",D230&lt;&gt;"Nómina y honorarios",D230&lt;&gt;"Renta",D230&lt;&gt;"Marketing",D230&lt;&gt;"Servicios y software",D230&lt;&gt;"Mantenimiento",D230&lt;&gt;"Otros",D230&lt;&gt;"Intereses")),"Tipo o categoría inválido",IF(COUNTA(A230:J230)=0,"",IF(OR(A230="",B230="",C230="",H230=""),"Faltan datos",IF(COUNTIF($A$7:$A$2006,A230)&gt;1,"ID duplicado",IF(OR(B230&lt;DATE(Configuración!$C$5,1,1),B230&gt;=DATE(Configuración!$C$5+1,1,1)),"Fecha fuera del año",IF(OR(H230&lt;0,I230&lt;0),"Revisar signo",IF(AND(C230&lt;&gt;"Gasto",I230&lt;&gt;0),"IVA solo en Gasto",IF(AND(C230="Gasto",D230=""),"Falta categoría","OK")))))))))</f>
        <v/>
      </c>
    </row>
    <row r="231" spans="1:12" ht="22" customHeight="1">
      <c r="A231" s="3"/>
      <c r="B231" s="7"/>
      <c r="C231" s="3"/>
      <c r="D231" s="3"/>
      <c r="E231" s="3"/>
      <c r="F231" s="3"/>
      <c r="G231" s="3"/>
      <c r="H231" s="4"/>
      <c r="I231" s="4"/>
      <c r="J231" s="3"/>
      <c r="K231" s="8" t="str">
        <f t="shared" si="3"/>
        <v/>
      </c>
      <c r="L231" s="1" t="str">
        <f>IF(COUNTA(A231:J231)=0,"",IF(OR(AND(C231&lt;&gt;"Gasto",C231&lt;&gt;"Pago proveedor",C231&lt;&gt;"Retiro familiar",C231&lt;&gt;"Aportación",C231&lt;&gt;"Pago activo",C231&lt;&gt;"ISR devengado",C231&lt;&gt;"Pago ISR",C231&lt;&gt;"Pago IVA",C231&lt;&gt;"Compensación ISR",C231&lt;&gt;"Compensación IVA"),AND(C231="Gasto",D231&lt;&gt;"Costos clínicos",D231&lt;&gt;"Remuneración familiar",D231&lt;&gt;"Nómina y honorarios",D231&lt;&gt;"Renta",D231&lt;&gt;"Marketing",D231&lt;&gt;"Servicios y software",D231&lt;&gt;"Mantenimiento",D231&lt;&gt;"Otros",D231&lt;&gt;"Intereses")),"Tipo o categoría inválido",IF(COUNTA(A231:J231)=0,"",IF(OR(A231="",B231="",C231="",H231=""),"Faltan datos",IF(COUNTIF($A$7:$A$2006,A231)&gt;1,"ID duplicado",IF(OR(B231&lt;DATE(Configuración!$C$5,1,1),B231&gt;=DATE(Configuración!$C$5+1,1,1)),"Fecha fuera del año",IF(OR(H231&lt;0,I231&lt;0),"Revisar signo",IF(AND(C231&lt;&gt;"Gasto",I231&lt;&gt;0),"IVA solo en Gasto",IF(AND(C231="Gasto",D231=""),"Falta categoría","OK")))))))))</f>
        <v/>
      </c>
    </row>
    <row r="232" spans="1:12" ht="22" customHeight="1">
      <c r="A232" s="3"/>
      <c r="B232" s="7"/>
      <c r="C232" s="3"/>
      <c r="D232" s="3"/>
      <c r="E232" s="3"/>
      <c r="F232" s="3"/>
      <c r="G232" s="3"/>
      <c r="H232" s="4"/>
      <c r="I232" s="4"/>
      <c r="J232" s="3"/>
      <c r="K232" s="8" t="str">
        <f t="shared" si="3"/>
        <v/>
      </c>
      <c r="L232" s="1" t="str">
        <f>IF(COUNTA(A232:J232)=0,"",IF(OR(AND(C232&lt;&gt;"Gasto",C232&lt;&gt;"Pago proveedor",C232&lt;&gt;"Retiro familiar",C232&lt;&gt;"Aportación",C232&lt;&gt;"Pago activo",C232&lt;&gt;"ISR devengado",C232&lt;&gt;"Pago ISR",C232&lt;&gt;"Pago IVA",C232&lt;&gt;"Compensación ISR",C232&lt;&gt;"Compensación IVA"),AND(C232="Gasto",D232&lt;&gt;"Costos clínicos",D232&lt;&gt;"Remuneración familiar",D232&lt;&gt;"Nómina y honorarios",D232&lt;&gt;"Renta",D232&lt;&gt;"Marketing",D232&lt;&gt;"Servicios y software",D232&lt;&gt;"Mantenimiento",D232&lt;&gt;"Otros",D232&lt;&gt;"Intereses")),"Tipo o categoría inválido",IF(COUNTA(A232:J232)=0,"",IF(OR(A232="",B232="",C232="",H232=""),"Faltan datos",IF(COUNTIF($A$7:$A$2006,A232)&gt;1,"ID duplicado",IF(OR(B232&lt;DATE(Configuración!$C$5,1,1),B232&gt;=DATE(Configuración!$C$5+1,1,1)),"Fecha fuera del año",IF(OR(H232&lt;0,I232&lt;0),"Revisar signo",IF(AND(C232&lt;&gt;"Gasto",I232&lt;&gt;0),"IVA solo en Gasto",IF(AND(C232="Gasto",D232=""),"Falta categoría","OK")))))))))</f>
        <v/>
      </c>
    </row>
    <row r="233" spans="1:12" ht="22" customHeight="1">
      <c r="A233" s="3"/>
      <c r="B233" s="7"/>
      <c r="C233" s="3"/>
      <c r="D233" s="3"/>
      <c r="E233" s="3"/>
      <c r="F233" s="3"/>
      <c r="G233" s="3"/>
      <c r="H233" s="4"/>
      <c r="I233" s="4"/>
      <c r="J233" s="3"/>
      <c r="K233" s="8" t="str">
        <f t="shared" si="3"/>
        <v/>
      </c>
      <c r="L233" s="1" t="str">
        <f>IF(COUNTA(A233:J233)=0,"",IF(OR(AND(C233&lt;&gt;"Gasto",C233&lt;&gt;"Pago proveedor",C233&lt;&gt;"Retiro familiar",C233&lt;&gt;"Aportación",C233&lt;&gt;"Pago activo",C233&lt;&gt;"ISR devengado",C233&lt;&gt;"Pago ISR",C233&lt;&gt;"Pago IVA",C233&lt;&gt;"Compensación ISR",C233&lt;&gt;"Compensación IVA"),AND(C233="Gasto",D233&lt;&gt;"Costos clínicos",D233&lt;&gt;"Remuneración familiar",D233&lt;&gt;"Nómina y honorarios",D233&lt;&gt;"Renta",D233&lt;&gt;"Marketing",D233&lt;&gt;"Servicios y software",D233&lt;&gt;"Mantenimiento",D233&lt;&gt;"Otros",D233&lt;&gt;"Intereses")),"Tipo o categoría inválido",IF(COUNTA(A233:J233)=0,"",IF(OR(A233="",B233="",C233="",H233=""),"Faltan datos",IF(COUNTIF($A$7:$A$2006,A233)&gt;1,"ID duplicado",IF(OR(B233&lt;DATE(Configuración!$C$5,1,1),B233&gt;=DATE(Configuración!$C$5+1,1,1)),"Fecha fuera del año",IF(OR(H233&lt;0,I233&lt;0),"Revisar signo",IF(AND(C233&lt;&gt;"Gasto",I233&lt;&gt;0),"IVA solo en Gasto",IF(AND(C233="Gasto",D233=""),"Falta categoría","OK")))))))))</f>
        <v/>
      </c>
    </row>
    <row r="234" spans="1:12" ht="22" customHeight="1">
      <c r="A234" s="3"/>
      <c r="B234" s="7"/>
      <c r="C234" s="3"/>
      <c r="D234" s="3"/>
      <c r="E234" s="3"/>
      <c r="F234" s="3"/>
      <c r="G234" s="3"/>
      <c r="H234" s="4"/>
      <c r="I234" s="4"/>
      <c r="J234" s="3"/>
      <c r="K234" s="8" t="str">
        <f t="shared" si="3"/>
        <v/>
      </c>
      <c r="L234" s="1" t="str">
        <f>IF(COUNTA(A234:J234)=0,"",IF(OR(AND(C234&lt;&gt;"Gasto",C234&lt;&gt;"Pago proveedor",C234&lt;&gt;"Retiro familiar",C234&lt;&gt;"Aportación",C234&lt;&gt;"Pago activo",C234&lt;&gt;"ISR devengado",C234&lt;&gt;"Pago ISR",C234&lt;&gt;"Pago IVA",C234&lt;&gt;"Compensación ISR",C234&lt;&gt;"Compensación IVA"),AND(C234="Gasto",D234&lt;&gt;"Costos clínicos",D234&lt;&gt;"Remuneración familiar",D234&lt;&gt;"Nómina y honorarios",D234&lt;&gt;"Renta",D234&lt;&gt;"Marketing",D234&lt;&gt;"Servicios y software",D234&lt;&gt;"Mantenimiento",D234&lt;&gt;"Otros",D234&lt;&gt;"Intereses")),"Tipo o categoría inválido",IF(COUNTA(A234:J234)=0,"",IF(OR(A234="",B234="",C234="",H234=""),"Faltan datos",IF(COUNTIF($A$7:$A$2006,A234)&gt;1,"ID duplicado",IF(OR(B234&lt;DATE(Configuración!$C$5,1,1),B234&gt;=DATE(Configuración!$C$5+1,1,1)),"Fecha fuera del año",IF(OR(H234&lt;0,I234&lt;0),"Revisar signo",IF(AND(C234&lt;&gt;"Gasto",I234&lt;&gt;0),"IVA solo en Gasto",IF(AND(C234="Gasto",D234=""),"Falta categoría","OK")))))))))</f>
        <v/>
      </c>
    </row>
    <row r="235" spans="1:12" ht="22" customHeight="1">
      <c r="A235" s="3"/>
      <c r="B235" s="7"/>
      <c r="C235" s="3"/>
      <c r="D235" s="3"/>
      <c r="E235" s="3"/>
      <c r="F235" s="3"/>
      <c r="G235" s="3"/>
      <c r="H235" s="4"/>
      <c r="I235" s="4"/>
      <c r="J235" s="3"/>
      <c r="K235" s="8" t="str">
        <f t="shared" si="3"/>
        <v/>
      </c>
      <c r="L235" s="1" t="str">
        <f>IF(COUNTA(A235:J235)=0,"",IF(OR(AND(C235&lt;&gt;"Gasto",C235&lt;&gt;"Pago proveedor",C235&lt;&gt;"Retiro familiar",C235&lt;&gt;"Aportación",C235&lt;&gt;"Pago activo",C235&lt;&gt;"ISR devengado",C235&lt;&gt;"Pago ISR",C235&lt;&gt;"Pago IVA",C235&lt;&gt;"Compensación ISR",C235&lt;&gt;"Compensación IVA"),AND(C235="Gasto",D235&lt;&gt;"Costos clínicos",D235&lt;&gt;"Remuneración familiar",D235&lt;&gt;"Nómina y honorarios",D235&lt;&gt;"Renta",D235&lt;&gt;"Marketing",D235&lt;&gt;"Servicios y software",D235&lt;&gt;"Mantenimiento",D235&lt;&gt;"Otros",D235&lt;&gt;"Intereses")),"Tipo o categoría inválido",IF(COUNTA(A235:J235)=0,"",IF(OR(A235="",B235="",C235="",H235=""),"Faltan datos",IF(COUNTIF($A$7:$A$2006,A235)&gt;1,"ID duplicado",IF(OR(B235&lt;DATE(Configuración!$C$5,1,1),B235&gt;=DATE(Configuración!$C$5+1,1,1)),"Fecha fuera del año",IF(OR(H235&lt;0,I235&lt;0),"Revisar signo",IF(AND(C235&lt;&gt;"Gasto",I235&lt;&gt;0),"IVA solo en Gasto",IF(AND(C235="Gasto",D235=""),"Falta categoría","OK")))))))))</f>
        <v/>
      </c>
    </row>
    <row r="236" spans="1:12" ht="22" customHeight="1">
      <c r="A236" s="3"/>
      <c r="B236" s="7"/>
      <c r="C236" s="3"/>
      <c r="D236" s="3"/>
      <c r="E236" s="3"/>
      <c r="F236" s="3"/>
      <c r="G236" s="3"/>
      <c r="H236" s="4"/>
      <c r="I236" s="4"/>
      <c r="J236" s="3"/>
      <c r="K236" s="8" t="str">
        <f t="shared" si="3"/>
        <v/>
      </c>
      <c r="L236" s="1" t="str">
        <f>IF(COUNTA(A236:J236)=0,"",IF(OR(AND(C236&lt;&gt;"Gasto",C236&lt;&gt;"Pago proveedor",C236&lt;&gt;"Retiro familiar",C236&lt;&gt;"Aportación",C236&lt;&gt;"Pago activo",C236&lt;&gt;"ISR devengado",C236&lt;&gt;"Pago ISR",C236&lt;&gt;"Pago IVA",C236&lt;&gt;"Compensación ISR",C236&lt;&gt;"Compensación IVA"),AND(C236="Gasto",D236&lt;&gt;"Costos clínicos",D236&lt;&gt;"Remuneración familiar",D236&lt;&gt;"Nómina y honorarios",D236&lt;&gt;"Renta",D236&lt;&gt;"Marketing",D236&lt;&gt;"Servicios y software",D236&lt;&gt;"Mantenimiento",D236&lt;&gt;"Otros",D236&lt;&gt;"Intereses")),"Tipo o categoría inválido",IF(COUNTA(A236:J236)=0,"",IF(OR(A236="",B236="",C236="",H236=""),"Faltan datos",IF(COUNTIF($A$7:$A$2006,A236)&gt;1,"ID duplicado",IF(OR(B236&lt;DATE(Configuración!$C$5,1,1),B236&gt;=DATE(Configuración!$C$5+1,1,1)),"Fecha fuera del año",IF(OR(H236&lt;0,I236&lt;0),"Revisar signo",IF(AND(C236&lt;&gt;"Gasto",I236&lt;&gt;0),"IVA solo en Gasto",IF(AND(C236="Gasto",D236=""),"Falta categoría","OK")))))))))</f>
        <v/>
      </c>
    </row>
    <row r="237" spans="1:12" ht="22" customHeight="1">
      <c r="A237" s="3"/>
      <c r="B237" s="7"/>
      <c r="C237" s="3"/>
      <c r="D237" s="3"/>
      <c r="E237" s="3"/>
      <c r="F237" s="3"/>
      <c r="G237" s="3"/>
      <c r="H237" s="4"/>
      <c r="I237" s="4"/>
      <c r="J237" s="3"/>
      <c r="K237" s="8" t="str">
        <f t="shared" si="3"/>
        <v/>
      </c>
      <c r="L237" s="1" t="str">
        <f>IF(COUNTA(A237:J237)=0,"",IF(OR(AND(C237&lt;&gt;"Gasto",C237&lt;&gt;"Pago proveedor",C237&lt;&gt;"Retiro familiar",C237&lt;&gt;"Aportación",C237&lt;&gt;"Pago activo",C237&lt;&gt;"ISR devengado",C237&lt;&gt;"Pago ISR",C237&lt;&gt;"Pago IVA",C237&lt;&gt;"Compensación ISR",C237&lt;&gt;"Compensación IVA"),AND(C237="Gasto",D237&lt;&gt;"Costos clínicos",D237&lt;&gt;"Remuneración familiar",D237&lt;&gt;"Nómina y honorarios",D237&lt;&gt;"Renta",D237&lt;&gt;"Marketing",D237&lt;&gt;"Servicios y software",D237&lt;&gt;"Mantenimiento",D237&lt;&gt;"Otros",D237&lt;&gt;"Intereses")),"Tipo o categoría inválido",IF(COUNTA(A237:J237)=0,"",IF(OR(A237="",B237="",C237="",H237=""),"Faltan datos",IF(COUNTIF($A$7:$A$2006,A237)&gt;1,"ID duplicado",IF(OR(B237&lt;DATE(Configuración!$C$5,1,1),B237&gt;=DATE(Configuración!$C$5+1,1,1)),"Fecha fuera del año",IF(OR(H237&lt;0,I237&lt;0),"Revisar signo",IF(AND(C237&lt;&gt;"Gasto",I237&lt;&gt;0),"IVA solo en Gasto",IF(AND(C237="Gasto",D237=""),"Falta categoría","OK")))))))))</f>
        <v/>
      </c>
    </row>
    <row r="238" spans="1:12" ht="22" customHeight="1">
      <c r="A238" s="3"/>
      <c r="B238" s="7"/>
      <c r="C238" s="3"/>
      <c r="D238" s="3"/>
      <c r="E238" s="3"/>
      <c r="F238" s="3"/>
      <c r="G238" s="3"/>
      <c r="H238" s="4"/>
      <c r="I238" s="4"/>
      <c r="J238" s="3"/>
      <c r="K238" s="8" t="str">
        <f t="shared" si="3"/>
        <v/>
      </c>
      <c r="L238" s="1" t="str">
        <f>IF(COUNTA(A238:J238)=0,"",IF(OR(AND(C238&lt;&gt;"Gasto",C238&lt;&gt;"Pago proveedor",C238&lt;&gt;"Retiro familiar",C238&lt;&gt;"Aportación",C238&lt;&gt;"Pago activo",C238&lt;&gt;"ISR devengado",C238&lt;&gt;"Pago ISR",C238&lt;&gt;"Pago IVA",C238&lt;&gt;"Compensación ISR",C238&lt;&gt;"Compensación IVA"),AND(C238="Gasto",D238&lt;&gt;"Costos clínicos",D238&lt;&gt;"Remuneración familiar",D238&lt;&gt;"Nómina y honorarios",D238&lt;&gt;"Renta",D238&lt;&gt;"Marketing",D238&lt;&gt;"Servicios y software",D238&lt;&gt;"Mantenimiento",D238&lt;&gt;"Otros",D238&lt;&gt;"Intereses")),"Tipo o categoría inválido",IF(COUNTA(A238:J238)=0,"",IF(OR(A238="",B238="",C238="",H238=""),"Faltan datos",IF(COUNTIF($A$7:$A$2006,A238)&gt;1,"ID duplicado",IF(OR(B238&lt;DATE(Configuración!$C$5,1,1),B238&gt;=DATE(Configuración!$C$5+1,1,1)),"Fecha fuera del año",IF(OR(H238&lt;0,I238&lt;0),"Revisar signo",IF(AND(C238&lt;&gt;"Gasto",I238&lt;&gt;0),"IVA solo en Gasto",IF(AND(C238="Gasto",D238=""),"Falta categoría","OK")))))))))</f>
        <v/>
      </c>
    </row>
    <row r="239" spans="1:12" ht="22" customHeight="1">
      <c r="A239" s="3"/>
      <c r="B239" s="7"/>
      <c r="C239" s="3"/>
      <c r="D239" s="3"/>
      <c r="E239" s="3"/>
      <c r="F239" s="3"/>
      <c r="G239" s="3"/>
      <c r="H239" s="4"/>
      <c r="I239" s="4"/>
      <c r="J239" s="3"/>
      <c r="K239" s="8" t="str">
        <f t="shared" si="3"/>
        <v/>
      </c>
      <c r="L239" s="1" t="str">
        <f>IF(COUNTA(A239:J239)=0,"",IF(OR(AND(C239&lt;&gt;"Gasto",C239&lt;&gt;"Pago proveedor",C239&lt;&gt;"Retiro familiar",C239&lt;&gt;"Aportación",C239&lt;&gt;"Pago activo",C239&lt;&gt;"ISR devengado",C239&lt;&gt;"Pago ISR",C239&lt;&gt;"Pago IVA",C239&lt;&gt;"Compensación ISR",C239&lt;&gt;"Compensación IVA"),AND(C239="Gasto",D239&lt;&gt;"Costos clínicos",D239&lt;&gt;"Remuneración familiar",D239&lt;&gt;"Nómina y honorarios",D239&lt;&gt;"Renta",D239&lt;&gt;"Marketing",D239&lt;&gt;"Servicios y software",D239&lt;&gt;"Mantenimiento",D239&lt;&gt;"Otros",D239&lt;&gt;"Intereses")),"Tipo o categoría inválido",IF(COUNTA(A239:J239)=0,"",IF(OR(A239="",B239="",C239="",H239=""),"Faltan datos",IF(COUNTIF($A$7:$A$2006,A239)&gt;1,"ID duplicado",IF(OR(B239&lt;DATE(Configuración!$C$5,1,1),B239&gt;=DATE(Configuración!$C$5+1,1,1)),"Fecha fuera del año",IF(OR(H239&lt;0,I239&lt;0),"Revisar signo",IF(AND(C239&lt;&gt;"Gasto",I239&lt;&gt;0),"IVA solo en Gasto",IF(AND(C239="Gasto",D239=""),"Falta categoría","OK")))))))))</f>
        <v/>
      </c>
    </row>
    <row r="240" spans="1:12" ht="22" customHeight="1">
      <c r="A240" s="3"/>
      <c r="B240" s="7"/>
      <c r="C240" s="3"/>
      <c r="D240" s="3"/>
      <c r="E240" s="3"/>
      <c r="F240" s="3"/>
      <c r="G240" s="3"/>
      <c r="H240" s="4"/>
      <c r="I240" s="4"/>
      <c r="J240" s="3"/>
      <c r="K240" s="8" t="str">
        <f t="shared" si="3"/>
        <v/>
      </c>
      <c r="L240" s="1" t="str">
        <f>IF(COUNTA(A240:J240)=0,"",IF(OR(AND(C240&lt;&gt;"Gasto",C240&lt;&gt;"Pago proveedor",C240&lt;&gt;"Retiro familiar",C240&lt;&gt;"Aportación",C240&lt;&gt;"Pago activo",C240&lt;&gt;"ISR devengado",C240&lt;&gt;"Pago ISR",C240&lt;&gt;"Pago IVA",C240&lt;&gt;"Compensación ISR",C240&lt;&gt;"Compensación IVA"),AND(C240="Gasto",D240&lt;&gt;"Costos clínicos",D240&lt;&gt;"Remuneración familiar",D240&lt;&gt;"Nómina y honorarios",D240&lt;&gt;"Renta",D240&lt;&gt;"Marketing",D240&lt;&gt;"Servicios y software",D240&lt;&gt;"Mantenimiento",D240&lt;&gt;"Otros",D240&lt;&gt;"Intereses")),"Tipo o categoría inválido",IF(COUNTA(A240:J240)=0,"",IF(OR(A240="",B240="",C240="",H240=""),"Faltan datos",IF(COUNTIF($A$7:$A$2006,A240)&gt;1,"ID duplicado",IF(OR(B240&lt;DATE(Configuración!$C$5,1,1),B240&gt;=DATE(Configuración!$C$5+1,1,1)),"Fecha fuera del año",IF(OR(H240&lt;0,I240&lt;0),"Revisar signo",IF(AND(C240&lt;&gt;"Gasto",I240&lt;&gt;0),"IVA solo en Gasto",IF(AND(C240="Gasto",D240=""),"Falta categoría","OK")))))))))</f>
        <v/>
      </c>
    </row>
    <row r="241" spans="1:12" ht="22" customHeight="1">
      <c r="A241" s="3"/>
      <c r="B241" s="7"/>
      <c r="C241" s="3"/>
      <c r="D241" s="3"/>
      <c r="E241" s="3"/>
      <c r="F241" s="3"/>
      <c r="G241" s="3"/>
      <c r="H241" s="4"/>
      <c r="I241" s="4"/>
      <c r="J241" s="3"/>
      <c r="K241" s="8" t="str">
        <f t="shared" si="3"/>
        <v/>
      </c>
      <c r="L241" s="1" t="str">
        <f>IF(COUNTA(A241:J241)=0,"",IF(OR(AND(C241&lt;&gt;"Gasto",C241&lt;&gt;"Pago proveedor",C241&lt;&gt;"Retiro familiar",C241&lt;&gt;"Aportación",C241&lt;&gt;"Pago activo",C241&lt;&gt;"ISR devengado",C241&lt;&gt;"Pago ISR",C241&lt;&gt;"Pago IVA",C241&lt;&gt;"Compensación ISR",C241&lt;&gt;"Compensación IVA"),AND(C241="Gasto",D241&lt;&gt;"Costos clínicos",D241&lt;&gt;"Remuneración familiar",D241&lt;&gt;"Nómina y honorarios",D241&lt;&gt;"Renta",D241&lt;&gt;"Marketing",D241&lt;&gt;"Servicios y software",D241&lt;&gt;"Mantenimiento",D241&lt;&gt;"Otros",D241&lt;&gt;"Intereses")),"Tipo o categoría inválido",IF(COUNTA(A241:J241)=0,"",IF(OR(A241="",B241="",C241="",H241=""),"Faltan datos",IF(COUNTIF($A$7:$A$2006,A241)&gt;1,"ID duplicado",IF(OR(B241&lt;DATE(Configuración!$C$5,1,1),B241&gt;=DATE(Configuración!$C$5+1,1,1)),"Fecha fuera del año",IF(OR(H241&lt;0,I241&lt;0),"Revisar signo",IF(AND(C241&lt;&gt;"Gasto",I241&lt;&gt;0),"IVA solo en Gasto",IF(AND(C241="Gasto",D241=""),"Falta categoría","OK")))))))))</f>
        <v/>
      </c>
    </row>
    <row r="242" spans="1:12" ht="22" customHeight="1">
      <c r="A242" s="3"/>
      <c r="B242" s="7"/>
      <c r="C242" s="3"/>
      <c r="D242" s="3"/>
      <c r="E242" s="3"/>
      <c r="F242" s="3"/>
      <c r="G242" s="3"/>
      <c r="H242" s="4"/>
      <c r="I242" s="4"/>
      <c r="J242" s="3"/>
      <c r="K242" s="8" t="str">
        <f t="shared" si="3"/>
        <v/>
      </c>
      <c r="L242" s="1" t="str">
        <f>IF(COUNTA(A242:J242)=0,"",IF(OR(AND(C242&lt;&gt;"Gasto",C242&lt;&gt;"Pago proveedor",C242&lt;&gt;"Retiro familiar",C242&lt;&gt;"Aportación",C242&lt;&gt;"Pago activo",C242&lt;&gt;"ISR devengado",C242&lt;&gt;"Pago ISR",C242&lt;&gt;"Pago IVA",C242&lt;&gt;"Compensación ISR",C242&lt;&gt;"Compensación IVA"),AND(C242="Gasto",D242&lt;&gt;"Costos clínicos",D242&lt;&gt;"Remuneración familiar",D242&lt;&gt;"Nómina y honorarios",D242&lt;&gt;"Renta",D242&lt;&gt;"Marketing",D242&lt;&gt;"Servicios y software",D242&lt;&gt;"Mantenimiento",D242&lt;&gt;"Otros",D242&lt;&gt;"Intereses")),"Tipo o categoría inválido",IF(COUNTA(A242:J242)=0,"",IF(OR(A242="",B242="",C242="",H242=""),"Faltan datos",IF(COUNTIF($A$7:$A$2006,A242)&gt;1,"ID duplicado",IF(OR(B242&lt;DATE(Configuración!$C$5,1,1),B242&gt;=DATE(Configuración!$C$5+1,1,1)),"Fecha fuera del año",IF(OR(H242&lt;0,I242&lt;0),"Revisar signo",IF(AND(C242&lt;&gt;"Gasto",I242&lt;&gt;0),"IVA solo en Gasto",IF(AND(C242="Gasto",D242=""),"Falta categoría","OK")))))))))</f>
        <v/>
      </c>
    </row>
    <row r="243" spans="1:12" ht="22" customHeight="1">
      <c r="A243" s="3"/>
      <c r="B243" s="7"/>
      <c r="C243" s="3"/>
      <c r="D243" s="3"/>
      <c r="E243" s="3"/>
      <c r="F243" s="3"/>
      <c r="G243" s="3"/>
      <c r="H243" s="4"/>
      <c r="I243" s="4"/>
      <c r="J243" s="3"/>
      <c r="K243" s="8" t="str">
        <f t="shared" si="3"/>
        <v/>
      </c>
      <c r="L243" s="1" t="str">
        <f>IF(COUNTA(A243:J243)=0,"",IF(OR(AND(C243&lt;&gt;"Gasto",C243&lt;&gt;"Pago proveedor",C243&lt;&gt;"Retiro familiar",C243&lt;&gt;"Aportación",C243&lt;&gt;"Pago activo",C243&lt;&gt;"ISR devengado",C243&lt;&gt;"Pago ISR",C243&lt;&gt;"Pago IVA",C243&lt;&gt;"Compensación ISR",C243&lt;&gt;"Compensación IVA"),AND(C243="Gasto",D243&lt;&gt;"Costos clínicos",D243&lt;&gt;"Remuneración familiar",D243&lt;&gt;"Nómina y honorarios",D243&lt;&gt;"Renta",D243&lt;&gt;"Marketing",D243&lt;&gt;"Servicios y software",D243&lt;&gt;"Mantenimiento",D243&lt;&gt;"Otros",D243&lt;&gt;"Intereses")),"Tipo o categoría inválido",IF(COUNTA(A243:J243)=0,"",IF(OR(A243="",B243="",C243="",H243=""),"Faltan datos",IF(COUNTIF($A$7:$A$2006,A243)&gt;1,"ID duplicado",IF(OR(B243&lt;DATE(Configuración!$C$5,1,1),B243&gt;=DATE(Configuración!$C$5+1,1,1)),"Fecha fuera del año",IF(OR(H243&lt;0,I243&lt;0),"Revisar signo",IF(AND(C243&lt;&gt;"Gasto",I243&lt;&gt;0),"IVA solo en Gasto",IF(AND(C243="Gasto",D243=""),"Falta categoría","OK")))))))))</f>
        <v/>
      </c>
    </row>
    <row r="244" spans="1:12" ht="22" customHeight="1">
      <c r="A244" s="3"/>
      <c r="B244" s="7"/>
      <c r="C244" s="3"/>
      <c r="D244" s="3"/>
      <c r="E244" s="3"/>
      <c r="F244" s="3"/>
      <c r="G244" s="3"/>
      <c r="H244" s="4"/>
      <c r="I244" s="4"/>
      <c r="J244" s="3"/>
      <c r="K244" s="8" t="str">
        <f t="shared" si="3"/>
        <v/>
      </c>
      <c r="L244" s="1" t="str">
        <f>IF(COUNTA(A244:J244)=0,"",IF(OR(AND(C244&lt;&gt;"Gasto",C244&lt;&gt;"Pago proveedor",C244&lt;&gt;"Retiro familiar",C244&lt;&gt;"Aportación",C244&lt;&gt;"Pago activo",C244&lt;&gt;"ISR devengado",C244&lt;&gt;"Pago ISR",C244&lt;&gt;"Pago IVA",C244&lt;&gt;"Compensación ISR",C244&lt;&gt;"Compensación IVA"),AND(C244="Gasto",D244&lt;&gt;"Costos clínicos",D244&lt;&gt;"Remuneración familiar",D244&lt;&gt;"Nómina y honorarios",D244&lt;&gt;"Renta",D244&lt;&gt;"Marketing",D244&lt;&gt;"Servicios y software",D244&lt;&gt;"Mantenimiento",D244&lt;&gt;"Otros",D244&lt;&gt;"Intereses")),"Tipo o categoría inválido",IF(COUNTA(A244:J244)=0,"",IF(OR(A244="",B244="",C244="",H244=""),"Faltan datos",IF(COUNTIF($A$7:$A$2006,A244)&gt;1,"ID duplicado",IF(OR(B244&lt;DATE(Configuración!$C$5,1,1),B244&gt;=DATE(Configuración!$C$5+1,1,1)),"Fecha fuera del año",IF(OR(H244&lt;0,I244&lt;0),"Revisar signo",IF(AND(C244&lt;&gt;"Gasto",I244&lt;&gt;0),"IVA solo en Gasto",IF(AND(C244="Gasto",D244=""),"Falta categoría","OK")))))))))</f>
        <v/>
      </c>
    </row>
    <row r="245" spans="1:12" ht="22" customHeight="1">
      <c r="A245" s="3"/>
      <c r="B245" s="7"/>
      <c r="C245" s="3"/>
      <c r="D245" s="3"/>
      <c r="E245" s="3"/>
      <c r="F245" s="3"/>
      <c r="G245" s="3"/>
      <c r="H245" s="4"/>
      <c r="I245" s="4"/>
      <c r="J245" s="3"/>
      <c r="K245" s="8" t="str">
        <f t="shared" si="3"/>
        <v/>
      </c>
      <c r="L245" s="1" t="str">
        <f>IF(COUNTA(A245:J245)=0,"",IF(OR(AND(C245&lt;&gt;"Gasto",C245&lt;&gt;"Pago proveedor",C245&lt;&gt;"Retiro familiar",C245&lt;&gt;"Aportación",C245&lt;&gt;"Pago activo",C245&lt;&gt;"ISR devengado",C245&lt;&gt;"Pago ISR",C245&lt;&gt;"Pago IVA",C245&lt;&gt;"Compensación ISR",C245&lt;&gt;"Compensación IVA"),AND(C245="Gasto",D245&lt;&gt;"Costos clínicos",D245&lt;&gt;"Remuneración familiar",D245&lt;&gt;"Nómina y honorarios",D245&lt;&gt;"Renta",D245&lt;&gt;"Marketing",D245&lt;&gt;"Servicios y software",D245&lt;&gt;"Mantenimiento",D245&lt;&gt;"Otros",D245&lt;&gt;"Intereses")),"Tipo o categoría inválido",IF(COUNTA(A245:J245)=0,"",IF(OR(A245="",B245="",C245="",H245=""),"Faltan datos",IF(COUNTIF($A$7:$A$2006,A245)&gt;1,"ID duplicado",IF(OR(B245&lt;DATE(Configuración!$C$5,1,1),B245&gt;=DATE(Configuración!$C$5+1,1,1)),"Fecha fuera del año",IF(OR(H245&lt;0,I245&lt;0),"Revisar signo",IF(AND(C245&lt;&gt;"Gasto",I245&lt;&gt;0),"IVA solo en Gasto",IF(AND(C245="Gasto",D245=""),"Falta categoría","OK")))))))))</f>
        <v/>
      </c>
    </row>
    <row r="246" spans="1:12" ht="22" customHeight="1">
      <c r="A246" s="3"/>
      <c r="B246" s="7"/>
      <c r="C246" s="3"/>
      <c r="D246" s="3"/>
      <c r="E246" s="3"/>
      <c r="F246" s="3"/>
      <c r="G246" s="3"/>
      <c r="H246" s="4"/>
      <c r="I246" s="4"/>
      <c r="J246" s="3"/>
      <c r="K246" s="8" t="str">
        <f t="shared" si="3"/>
        <v/>
      </c>
      <c r="L246" s="1" t="str">
        <f>IF(COUNTA(A246:J246)=0,"",IF(OR(AND(C246&lt;&gt;"Gasto",C246&lt;&gt;"Pago proveedor",C246&lt;&gt;"Retiro familiar",C246&lt;&gt;"Aportación",C246&lt;&gt;"Pago activo",C246&lt;&gt;"ISR devengado",C246&lt;&gt;"Pago ISR",C246&lt;&gt;"Pago IVA",C246&lt;&gt;"Compensación ISR",C246&lt;&gt;"Compensación IVA"),AND(C246="Gasto",D246&lt;&gt;"Costos clínicos",D246&lt;&gt;"Remuneración familiar",D246&lt;&gt;"Nómina y honorarios",D246&lt;&gt;"Renta",D246&lt;&gt;"Marketing",D246&lt;&gt;"Servicios y software",D246&lt;&gt;"Mantenimiento",D246&lt;&gt;"Otros",D246&lt;&gt;"Intereses")),"Tipo o categoría inválido",IF(COUNTA(A246:J246)=0,"",IF(OR(A246="",B246="",C246="",H246=""),"Faltan datos",IF(COUNTIF($A$7:$A$2006,A246)&gt;1,"ID duplicado",IF(OR(B246&lt;DATE(Configuración!$C$5,1,1),B246&gt;=DATE(Configuración!$C$5+1,1,1)),"Fecha fuera del año",IF(OR(H246&lt;0,I246&lt;0),"Revisar signo",IF(AND(C246&lt;&gt;"Gasto",I246&lt;&gt;0),"IVA solo en Gasto",IF(AND(C246="Gasto",D246=""),"Falta categoría","OK")))))))))</f>
        <v/>
      </c>
    </row>
    <row r="247" spans="1:12" ht="22" customHeight="1">
      <c r="A247" s="3"/>
      <c r="B247" s="7"/>
      <c r="C247" s="3"/>
      <c r="D247" s="3"/>
      <c r="E247" s="3"/>
      <c r="F247" s="3"/>
      <c r="G247" s="3"/>
      <c r="H247" s="4"/>
      <c r="I247" s="4"/>
      <c r="J247" s="3"/>
      <c r="K247" s="8" t="str">
        <f t="shared" si="3"/>
        <v/>
      </c>
      <c r="L247" s="1" t="str">
        <f>IF(COUNTA(A247:J247)=0,"",IF(OR(AND(C247&lt;&gt;"Gasto",C247&lt;&gt;"Pago proveedor",C247&lt;&gt;"Retiro familiar",C247&lt;&gt;"Aportación",C247&lt;&gt;"Pago activo",C247&lt;&gt;"ISR devengado",C247&lt;&gt;"Pago ISR",C247&lt;&gt;"Pago IVA",C247&lt;&gt;"Compensación ISR",C247&lt;&gt;"Compensación IVA"),AND(C247="Gasto",D247&lt;&gt;"Costos clínicos",D247&lt;&gt;"Remuneración familiar",D247&lt;&gt;"Nómina y honorarios",D247&lt;&gt;"Renta",D247&lt;&gt;"Marketing",D247&lt;&gt;"Servicios y software",D247&lt;&gt;"Mantenimiento",D247&lt;&gt;"Otros",D247&lt;&gt;"Intereses")),"Tipo o categoría inválido",IF(COUNTA(A247:J247)=0,"",IF(OR(A247="",B247="",C247="",H247=""),"Faltan datos",IF(COUNTIF($A$7:$A$2006,A247)&gt;1,"ID duplicado",IF(OR(B247&lt;DATE(Configuración!$C$5,1,1),B247&gt;=DATE(Configuración!$C$5+1,1,1)),"Fecha fuera del año",IF(OR(H247&lt;0,I247&lt;0),"Revisar signo",IF(AND(C247&lt;&gt;"Gasto",I247&lt;&gt;0),"IVA solo en Gasto",IF(AND(C247="Gasto",D247=""),"Falta categoría","OK")))))))))</f>
        <v/>
      </c>
    </row>
    <row r="248" spans="1:12" ht="22" customHeight="1">
      <c r="A248" s="3"/>
      <c r="B248" s="7"/>
      <c r="C248" s="3"/>
      <c r="D248" s="3"/>
      <c r="E248" s="3"/>
      <c r="F248" s="3"/>
      <c r="G248" s="3"/>
      <c r="H248" s="4"/>
      <c r="I248" s="4"/>
      <c r="J248" s="3"/>
      <c r="K248" s="8" t="str">
        <f t="shared" si="3"/>
        <v/>
      </c>
      <c r="L248" s="1" t="str">
        <f>IF(COUNTA(A248:J248)=0,"",IF(OR(AND(C248&lt;&gt;"Gasto",C248&lt;&gt;"Pago proveedor",C248&lt;&gt;"Retiro familiar",C248&lt;&gt;"Aportación",C248&lt;&gt;"Pago activo",C248&lt;&gt;"ISR devengado",C248&lt;&gt;"Pago ISR",C248&lt;&gt;"Pago IVA",C248&lt;&gt;"Compensación ISR",C248&lt;&gt;"Compensación IVA"),AND(C248="Gasto",D248&lt;&gt;"Costos clínicos",D248&lt;&gt;"Remuneración familiar",D248&lt;&gt;"Nómina y honorarios",D248&lt;&gt;"Renta",D248&lt;&gt;"Marketing",D248&lt;&gt;"Servicios y software",D248&lt;&gt;"Mantenimiento",D248&lt;&gt;"Otros",D248&lt;&gt;"Intereses")),"Tipo o categoría inválido",IF(COUNTA(A248:J248)=0,"",IF(OR(A248="",B248="",C248="",H248=""),"Faltan datos",IF(COUNTIF($A$7:$A$2006,A248)&gt;1,"ID duplicado",IF(OR(B248&lt;DATE(Configuración!$C$5,1,1),B248&gt;=DATE(Configuración!$C$5+1,1,1)),"Fecha fuera del año",IF(OR(H248&lt;0,I248&lt;0),"Revisar signo",IF(AND(C248&lt;&gt;"Gasto",I248&lt;&gt;0),"IVA solo en Gasto",IF(AND(C248="Gasto",D248=""),"Falta categoría","OK")))))))))</f>
        <v/>
      </c>
    </row>
    <row r="249" spans="1:12" ht="22" customHeight="1">
      <c r="A249" s="3"/>
      <c r="B249" s="7"/>
      <c r="C249" s="3"/>
      <c r="D249" s="3"/>
      <c r="E249" s="3"/>
      <c r="F249" s="3"/>
      <c r="G249" s="3"/>
      <c r="H249" s="4"/>
      <c r="I249" s="4"/>
      <c r="J249" s="3"/>
      <c r="K249" s="8" t="str">
        <f t="shared" si="3"/>
        <v/>
      </c>
      <c r="L249" s="1" t="str">
        <f>IF(COUNTA(A249:J249)=0,"",IF(OR(AND(C249&lt;&gt;"Gasto",C249&lt;&gt;"Pago proveedor",C249&lt;&gt;"Retiro familiar",C249&lt;&gt;"Aportación",C249&lt;&gt;"Pago activo",C249&lt;&gt;"ISR devengado",C249&lt;&gt;"Pago ISR",C249&lt;&gt;"Pago IVA",C249&lt;&gt;"Compensación ISR",C249&lt;&gt;"Compensación IVA"),AND(C249="Gasto",D249&lt;&gt;"Costos clínicos",D249&lt;&gt;"Remuneración familiar",D249&lt;&gt;"Nómina y honorarios",D249&lt;&gt;"Renta",D249&lt;&gt;"Marketing",D249&lt;&gt;"Servicios y software",D249&lt;&gt;"Mantenimiento",D249&lt;&gt;"Otros",D249&lt;&gt;"Intereses")),"Tipo o categoría inválido",IF(COUNTA(A249:J249)=0,"",IF(OR(A249="",B249="",C249="",H249=""),"Faltan datos",IF(COUNTIF($A$7:$A$2006,A249)&gt;1,"ID duplicado",IF(OR(B249&lt;DATE(Configuración!$C$5,1,1),B249&gt;=DATE(Configuración!$C$5+1,1,1)),"Fecha fuera del año",IF(OR(H249&lt;0,I249&lt;0),"Revisar signo",IF(AND(C249&lt;&gt;"Gasto",I249&lt;&gt;0),"IVA solo en Gasto",IF(AND(C249="Gasto",D249=""),"Falta categoría","OK")))))))))</f>
        <v/>
      </c>
    </row>
    <row r="250" spans="1:12" ht="22" customHeight="1">
      <c r="A250" s="3"/>
      <c r="B250" s="7"/>
      <c r="C250" s="3"/>
      <c r="D250" s="3"/>
      <c r="E250" s="3"/>
      <c r="F250" s="3"/>
      <c r="G250" s="3"/>
      <c r="H250" s="4"/>
      <c r="I250" s="4"/>
      <c r="J250" s="3"/>
      <c r="K250" s="8" t="str">
        <f t="shared" si="3"/>
        <v/>
      </c>
      <c r="L250" s="1" t="str">
        <f>IF(COUNTA(A250:J250)=0,"",IF(OR(AND(C250&lt;&gt;"Gasto",C250&lt;&gt;"Pago proveedor",C250&lt;&gt;"Retiro familiar",C250&lt;&gt;"Aportación",C250&lt;&gt;"Pago activo",C250&lt;&gt;"ISR devengado",C250&lt;&gt;"Pago ISR",C250&lt;&gt;"Pago IVA",C250&lt;&gt;"Compensación ISR",C250&lt;&gt;"Compensación IVA"),AND(C250="Gasto",D250&lt;&gt;"Costos clínicos",D250&lt;&gt;"Remuneración familiar",D250&lt;&gt;"Nómina y honorarios",D250&lt;&gt;"Renta",D250&lt;&gt;"Marketing",D250&lt;&gt;"Servicios y software",D250&lt;&gt;"Mantenimiento",D250&lt;&gt;"Otros",D250&lt;&gt;"Intereses")),"Tipo o categoría inválido",IF(COUNTA(A250:J250)=0,"",IF(OR(A250="",B250="",C250="",H250=""),"Faltan datos",IF(COUNTIF($A$7:$A$2006,A250)&gt;1,"ID duplicado",IF(OR(B250&lt;DATE(Configuración!$C$5,1,1),B250&gt;=DATE(Configuración!$C$5+1,1,1)),"Fecha fuera del año",IF(OR(H250&lt;0,I250&lt;0),"Revisar signo",IF(AND(C250&lt;&gt;"Gasto",I250&lt;&gt;0),"IVA solo en Gasto",IF(AND(C250="Gasto",D250=""),"Falta categoría","OK")))))))))</f>
        <v/>
      </c>
    </row>
    <row r="251" spans="1:12" ht="22" customHeight="1">
      <c r="A251" s="3"/>
      <c r="B251" s="7"/>
      <c r="C251" s="3"/>
      <c r="D251" s="3"/>
      <c r="E251" s="3"/>
      <c r="F251" s="3"/>
      <c r="G251" s="3"/>
      <c r="H251" s="4"/>
      <c r="I251" s="4"/>
      <c r="J251" s="3"/>
      <c r="K251" s="8" t="str">
        <f t="shared" si="3"/>
        <v/>
      </c>
      <c r="L251" s="1" t="str">
        <f>IF(COUNTA(A251:J251)=0,"",IF(OR(AND(C251&lt;&gt;"Gasto",C251&lt;&gt;"Pago proveedor",C251&lt;&gt;"Retiro familiar",C251&lt;&gt;"Aportación",C251&lt;&gt;"Pago activo",C251&lt;&gt;"ISR devengado",C251&lt;&gt;"Pago ISR",C251&lt;&gt;"Pago IVA",C251&lt;&gt;"Compensación ISR",C251&lt;&gt;"Compensación IVA"),AND(C251="Gasto",D251&lt;&gt;"Costos clínicos",D251&lt;&gt;"Remuneración familiar",D251&lt;&gt;"Nómina y honorarios",D251&lt;&gt;"Renta",D251&lt;&gt;"Marketing",D251&lt;&gt;"Servicios y software",D251&lt;&gt;"Mantenimiento",D251&lt;&gt;"Otros",D251&lt;&gt;"Intereses")),"Tipo o categoría inválido",IF(COUNTA(A251:J251)=0,"",IF(OR(A251="",B251="",C251="",H251=""),"Faltan datos",IF(COUNTIF($A$7:$A$2006,A251)&gt;1,"ID duplicado",IF(OR(B251&lt;DATE(Configuración!$C$5,1,1),B251&gt;=DATE(Configuración!$C$5+1,1,1)),"Fecha fuera del año",IF(OR(H251&lt;0,I251&lt;0),"Revisar signo",IF(AND(C251&lt;&gt;"Gasto",I251&lt;&gt;0),"IVA solo en Gasto",IF(AND(C251="Gasto",D251=""),"Falta categoría","OK")))))))))</f>
        <v/>
      </c>
    </row>
    <row r="252" spans="1:12" ht="22" customHeight="1">
      <c r="A252" s="3"/>
      <c r="B252" s="7"/>
      <c r="C252" s="3"/>
      <c r="D252" s="3"/>
      <c r="E252" s="3"/>
      <c r="F252" s="3"/>
      <c r="G252" s="3"/>
      <c r="H252" s="4"/>
      <c r="I252" s="4"/>
      <c r="J252" s="3"/>
      <c r="K252" s="8" t="str">
        <f t="shared" si="3"/>
        <v/>
      </c>
      <c r="L252" s="1" t="str">
        <f>IF(COUNTA(A252:J252)=0,"",IF(OR(AND(C252&lt;&gt;"Gasto",C252&lt;&gt;"Pago proveedor",C252&lt;&gt;"Retiro familiar",C252&lt;&gt;"Aportación",C252&lt;&gt;"Pago activo",C252&lt;&gt;"ISR devengado",C252&lt;&gt;"Pago ISR",C252&lt;&gt;"Pago IVA",C252&lt;&gt;"Compensación ISR",C252&lt;&gt;"Compensación IVA"),AND(C252="Gasto",D252&lt;&gt;"Costos clínicos",D252&lt;&gt;"Remuneración familiar",D252&lt;&gt;"Nómina y honorarios",D252&lt;&gt;"Renta",D252&lt;&gt;"Marketing",D252&lt;&gt;"Servicios y software",D252&lt;&gt;"Mantenimiento",D252&lt;&gt;"Otros",D252&lt;&gt;"Intereses")),"Tipo o categoría inválido",IF(COUNTA(A252:J252)=0,"",IF(OR(A252="",B252="",C252="",H252=""),"Faltan datos",IF(COUNTIF($A$7:$A$2006,A252)&gt;1,"ID duplicado",IF(OR(B252&lt;DATE(Configuración!$C$5,1,1),B252&gt;=DATE(Configuración!$C$5+1,1,1)),"Fecha fuera del año",IF(OR(H252&lt;0,I252&lt;0),"Revisar signo",IF(AND(C252&lt;&gt;"Gasto",I252&lt;&gt;0),"IVA solo en Gasto",IF(AND(C252="Gasto",D252=""),"Falta categoría","OK")))))))))</f>
        <v/>
      </c>
    </row>
    <row r="253" spans="1:12" ht="22" customHeight="1">
      <c r="A253" s="3"/>
      <c r="B253" s="7"/>
      <c r="C253" s="3"/>
      <c r="D253" s="3"/>
      <c r="E253" s="3"/>
      <c r="F253" s="3"/>
      <c r="G253" s="3"/>
      <c r="H253" s="4"/>
      <c r="I253" s="4"/>
      <c r="J253" s="3"/>
      <c r="K253" s="8" t="str">
        <f t="shared" si="3"/>
        <v/>
      </c>
      <c r="L253" s="1" t="str">
        <f>IF(COUNTA(A253:J253)=0,"",IF(OR(AND(C253&lt;&gt;"Gasto",C253&lt;&gt;"Pago proveedor",C253&lt;&gt;"Retiro familiar",C253&lt;&gt;"Aportación",C253&lt;&gt;"Pago activo",C253&lt;&gt;"ISR devengado",C253&lt;&gt;"Pago ISR",C253&lt;&gt;"Pago IVA",C253&lt;&gt;"Compensación ISR",C253&lt;&gt;"Compensación IVA"),AND(C253="Gasto",D253&lt;&gt;"Costos clínicos",D253&lt;&gt;"Remuneración familiar",D253&lt;&gt;"Nómina y honorarios",D253&lt;&gt;"Renta",D253&lt;&gt;"Marketing",D253&lt;&gt;"Servicios y software",D253&lt;&gt;"Mantenimiento",D253&lt;&gt;"Otros",D253&lt;&gt;"Intereses")),"Tipo o categoría inválido",IF(COUNTA(A253:J253)=0,"",IF(OR(A253="",B253="",C253="",H253=""),"Faltan datos",IF(COUNTIF($A$7:$A$2006,A253)&gt;1,"ID duplicado",IF(OR(B253&lt;DATE(Configuración!$C$5,1,1),B253&gt;=DATE(Configuración!$C$5+1,1,1)),"Fecha fuera del año",IF(OR(H253&lt;0,I253&lt;0),"Revisar signo",IF(AND(C253&lt;&gt;"Gasto",I253&lt;&gt;0),"IVA solo en Gasto",IF(AND(C253="Gasto",D253=""),"Falta categoría","OK")))))))))</f>
        <v/>
      </c>
    </row>
    <row r="254" spans="1:12" ht="22" customHeight="1">
      <c r="A254" s="3"/>
      <c r="B254" s="7"/>
      <c r="C254" s="3"/>
      <c r="D254" s="3"/>
      <c r="E254" s="3"/>
      <c r="F254" s="3"/>
      <c r="G254" s="3"/>
      <c r="H254" s="4"/>
      <c r="I254" s="4"/>
      <c r="J254" s="3"/>
      <c r="K254" s="8" t="str">
        <f t="shared" si="3"/>
        <v/>
      </c>
      <c r="L254" s="1" t="str">
        <f>IF(COUNTA(A254:J254)=0,"",IF(OR(AND(C254&lt;&gt;"Gasto",C254&lt;&gt;"Pago proveedor",C254&lt;&gt;"Retiro familiar",C254&lt;&gt;"Aportación",C254&lt;&gt;"Pago activo",C254&lt;&gt;"ISR devengado",C254&lt;&gt;"Pago ISR",C254&lt;&gt;"Pago IVA",C254&lt;&gt;"Compensación ISR",C254&lt;&gt;"Compensación IVA"),AND(C254="Gasto",D254&lt;&gt;"Costos clínicos",D254&lt;&gt;"Remuneración familiar",D254&lt;&gt;"Nómina y honorarios",D254&lt;&gt;"Renta",D254&lt;&gt;"Marketing",D254&lt;&gt;"Servicios y software",D254&lt;&gt;"Mantenimiento",D254&lt;&gt;"Otros",D254&lt;&gt;"Intereses")),"Tipo o categoría inválido",IF(COUNTA(A254:J254)=0,"",IF(OR(A254="",B254="",C254="",H254=""),"Faltan datos",IF(COUNTIF($A$7:$A$2006,A254)&gt;1,"ID duplicado",IF(OR(B254&lt;DATE(Configuración!$C$5,1,1),B254&gt;=DATE(Configuración!$C$5+1,1,1)),"Fecha fuera del año",IF(OR(H254&lt;0,I254&lt;0),"Revisar signo",IF(AND(C254&lt;&gt;"Gasto",I254&lt;&gt;0),"IVA solo en Gasto",IF(AND(C254="Gasto",D254=""),"Falta categoría","OK")))))))))</f>
        <v/>
      </c>
    </row>
    <row r="255" spans="1:12" ht="22" customHeight="1">
      <c r="A255" s="3"/>
      <c r="B255" s="7"/>
      <c r="C255" s="3"/>
      <c r="D255" s="3"/>
      <c r="E255" s="3"/>
      <c r="F255" s="3"/>
      <c r="G255" s="3"/>
      <c r="H255" s="4"/>
      <c r="I255" s="4"/>
      <c r="J255" s="3"/>
      <c r="K255" s="8" t="str">
        <f t="shared" si="3"/>
        <v/>
      </c>
      <c r="L255" s="1" t="str">
        <f>IF(COUNTA(A255:J255)=0,"",IF(OR(AND(C255&lt;&gt;"Gasto",C255&lt;&gt;"Pago proveedor",C255&lt;&gt;"Retiro familiar",C255&lt;&gt;"Aportación",C255&lt;&gt;"Pago activo",C255&lt;&gt;"ISR devengado",C255&lt;&gt;"Pago ISR",C255&lt;&gt;"Pago IVA",C255&lt;&gt;"Compensación ISR",C255&lt;&gt;"Compensación IVA"),AND(C255="Gasto",D255&lt;&gt;"Costos clínicos",D255&lt;&gt;"Remuneración familiar",D255&lt;&gt;"Nómina y honorarios",D255&lt;&gt;"Renta",D255&lt;&gt;"Marketing",D255&lt;&gt;"Servicios y software",D255&lt;&gt;"Mantenimiento",D255&lt;&gt;"Otros",D255&lt;&gt;"Intereses")),"Tipo o categoría inválido",IF(COUNTA(A255:J255)=0,"",IF(OR(A255="",B255="",C255="",H255=""),"Faltan datos",IF(COUNTIF($A$7:$A$2006,A255)&gt;1,"ID duplicado",IF(OR(B255&lt;DATE(Configuración!$C$5,1,1),B255&gt;=DATE(Configuración!$C$5+1,1,1)),"Fecha fuera del año",IF(OR(H255&lt;0,I255&lt;0),"Revisar signo",IF(AND(C255&lt;&gt;"Gasto",I255&lt;&gt;0),"IVA solo en Gasto",IF(AND(C255="Gasto",D255=""),"Falta categoría","OK")))))))))</f>
        <v/>
      </c>
    </row>
    <row r="256" spans="1:12" ht="22" customHeight="1">
      <c r="A256" s="3"/>
      <c r="B256" s="7"/>
      <c r="C256" s="3"/>
      <c r="D256" s="3"/>
      <c r="E256" s="3"/>
      <c r="F256" s="3"/>
      <c r="G256" s="3"/>
      <c r="H256" s="4"/>
      <c r="I256" s="4"/>
      <c r="J256" s="3"/>
      <c r="K256" s="8" t="str">
        <f t="shared" si="3"/>
        <v/>
      </c>
      <c r="L256" s="1" t="str">
        <f>IF(COUNTA(A256:J256)=0,"",IF(OR(AND(C256&lt;&gt;"Gasto",C256&lt;&gt;"Pago proveedor",C256&lt;&gt;"Retiro familiar",C256&lt;&gt;"Aportación",C256&lt;&gt;"Pago activo",C256&lt;&gt;"ISR devengado",C256&lt;&gt;"Pago ISR",C256&lt;&gt;"Pago IVA",C256&lt;&gt;"Compensación ISR",C256&lt;&gt;"Compensación IVA"),AND(C256="Gasto",D256&lt;&gt;"Costos clínicos",D256&lt;&gt;"Remuneración familiar",D256&lt;&gt;"Nómina y honorarios",D256&lt;&gt;"Renta",D256&lt;&gt;"Marketing",D256&lt;&gt;"Servicios y software",D256&lt;&gt;"Mantenimiento",D256&lt;&gt;"Otros",D256&lt;&gt;"Intereses")),"Tipo o categoría inválido",IF(COUNTA(A256:J256)=0,"",IF(OR(A256="",B256="",C256="",H256=""),"Faltan datos",IF(COUNTIF($A$7:$A$2006,A256)&gt;1,"ID duplicado",IF(OR(B256&lt;DATE(Configuración!$C$5,1,1),B256&gt;=DATE(Configuración!$C$5+1,1,1)),"Fecha fuera del año",IF(OR(H256&lt;0,I256&lt;0),"Revisar signo",IF(AND(C256&lt;&gt;"Gasto",I256&lt;&gt;0),"IVA solo en Gasto",IF(AND(C256="Gasto",D256=""),"Falta categoría","OK")))))))))</f>
        <v/>
      </c>
    </row>
    <row r="257" spans="1:12" ht="22" customHeight="1">
      <c r="A257" s="3"/>
      <c r="B257" s="7"/>
      <c r="C257" s="3"/>
      <c r="D257" s="3"/>
      <c r="E257" s="3"/>
      <c r="F257" s="3"/>
      <c r="G257" s="3"/>
      <c r="H257" s="4"/>
      <c r="I257" s="4"/>
      <c r="J257" s="3"/>
      <c r="K257" s="8" t="str">
        <f t="shared" si="3"/>
        <v/>
      </c>
      <c r="L257" s="1" t="str">
        <f>IF(COUNTA(A257:J257)=0,"",IF(OR(AND(C257&lt;&gt;"Gasto",C257&lt;&gt;"Pago proveedor",C257&lt;&gt;"Retiro familiar",C257&lt;&gt;"Aportación",C257&lt;&gt;"Pago activo",C257&lt;&gt;"ISR devengado",C257&lt;&gt;"Pago ISR",C257&lt;&gt;"Pago IVA",C257&lt;&gt;"Compensación ISR",C257&lt;&gt;"Compensación IVA"),AND(C257="Gasto",D257&lt;&gt;"Costos clínicos",D257&lt;&gt;"Remuneración familiar",D257&lt;&gt;"Nómina y honorarios",D257&lt;&gt;"Renta",D257&lt;&gt;"Marketing",D257&lt;&gt;"Servicios y software",D257&lt;&gt;"Mantenimiento",D257&lt;&gt;"Otros",D257&lt;&gt;"Intereses")),"Tipo o categoría inválido",IF(COUNTA(A257:J257)=0,"",IF(OR(A257="",B257="",C257="",H257=""),"Faltan datos",IF(COUNTIF($A$7:$A$2006,A257)&gt;1,"ID duplicado",IF(OR(B257&lt;DATE(Configuración!$C$5,1,1),B257&gt;=DATE(Configuración!$C$5+1,1,1)),"Fecha fuera del año",IF(OR(H257&lt;0,I257&lt;0),"Revisar signo",IF(AND(C257&lt;&gt;"Gasto",I257&lt;&gt;0),"IVA solo en Gasto",IF(AND(C257="Gasto",D257=""),"Falta categoría","OK")))))))))</f>
        <v/>
      </c>
    </row>
    <row r="258" spans="1:12" ht="22" customHeight="1">
      <c r="A258" s="3"/>
      <c r="B258" s="7"/>
      <c r="C258" s="3"/>
      <c r="D258" s="3"/>
      <c r="E258" s="3"/>
      <c r="F258" s="3"/>
      <c r="G258" s="3"/>
      <c r="H258" s="4"/>
      <c r="I258" s="4"/>
      <c r="J258" s="3"/>
      <c r="K258" s="8" t="str">
        <f t="shared" si="3"/>
        <v/>
      </c>
      <c r="L258" s="1" t="str">
        <f>IF(COUNTA(A258:J258)=0,"",IF(OR(AND(C258&lt;&gt;"Gasto",C258&lt;&gt;"Pago proveedor",C258&lt;&gt;"Retiro familiar",C258&lt;&gt;"Aportación",C258&lt;&gt;"Pago activo",C258&lt;&gt;"ISR devengado",C258&lt;&gt;"Pago ISR",C258&lt;&gt;"Pago IVA",C258&lt;&gt;"Compensación ISR",C258&lt;&gt;"Compensación IVA"),AND(C258="Gasto",D258&lt;&gt;"Costos clínicos",D258&lt;&gt;"Remuneración familiar",D258&lt;&gt;"Nómina y honorarios",D258&lt;&gt;"Renta",D258&lt;&gt;"Marketing",D258&lt;&gt;"Servicios y software",D258&lt;&gt;"Mantenimiento",D258&lt;&gt;"Otros",D258&lt;&gt;"Intereses")),"Tipo o categoría inválido",IF(COUNTA(A258:J258)=0,"",IF(OR(A258="",B258="",C258="",H258=""),"Faltan datos",IF(COUNTIF($A$7:$A$2006,A258)&gt;1,"ID duplicado",IF(OR(B258&lt;DATE(Configuración!$C$5,1,1),B258&gt;=DATE(Configuración!$C$5+1,1,1)),"Fecha fuera del año",IF(OR(H258&lt;0,I258&lt;0),"Revisar signo",IF(AND(C258&lt;&gt;"Gasto",I258&lt;&gt;0),"IVA solo en Gasto",IF(AND(C258="Gasto",D258=""),"Falta categoría","OK")))))))))</f>
        <v/>
      </c>
    </row>
    <row r="259" spans="1:12" ht="22" customHeight="1">
      <c r="A259" s="3"/>
      <c r="B259" s="7"/>
      <c r="C259" s="3"/>
      <c r="D259" s="3"/>
      <c r="E259" s="3"/>
      <c r="F259" s="3"/>
      <c r="G259" s="3"/>
      <c r="H259" s="4"/>
      <c r="I259" s="4"/>
      <c r="J259" s="3"/>
      <c r="K259" s="8" t="str">
        <f t="shared" si="3"/>
        <v/>
      </c>
      <c r="L259" s="1" t="str">
        <f>IF(COUNTA(A259:J259)=0,"",IF(OR(AND(C259&lt;&gt;"Gasto",C259&lt;&gt;"Pago proveedor",C259&lt;&gt;"Retiro familiar",C259&lt;&gt;"Aportación",C259&lt;&gt;"Pago activo",C259&lt;&gt;"ISR devengado",C259&lt;&gt;"Pago ISR",C259&lt;&gt;"Pago IVA",C259&lt;&gt;"Compensación ISR",C259&lt;&gt;"Compensación IVA"),AND(C259="Gasto",D259&lt;&gt;"Costos clínicos",D259&lt;&gt;"Remuneración familiar",D259&lt;&gt;"Nómina y honorarios",D259&lt;&gt;"Renta",D259&lt;&gt;"Marketing",D259&lt;&gt;"Servicios y software",D259&lt;&gt;"Mantenimiento",D259&lt;&gt;"Otros",D259&lt;&gt;"Intereses")),"Tipo o categoría inválido",IF(COUNTA(A259:J259)=0,"",IF(OR(A259="",B259="",C259="",H259=""),"Faltan datos",IF(COUNTIF($A$7:$A$2006,A259)&gt;1,"ID duplicado",IF(OR(B259&lt;DATE(Configuración!$C$5,1,1),B259&gt;=DATE(Configuración!$C$5+1,1,1)),"Fecha fuera del año",IF(OR(H259&lt;0,I259&lt;0),"Revisar signo",IF(AND(C259&lt;&gt;"Gasto",I259&lt;&gt;0),"IVA solo en Gasto",IF(AND(C259="Gasto",D259=""),"Falta categoría","OK")))))))))</f>
        <v/>
      </c>
    </row>
    <row r="260" spans="1:12" ht="22" customHeight="1">
      <c r="A260" s="3"/>
      <c r="B260" s="7"/>
      <c r="C260" s="3"/>
      <c r="D260" s="3"/>
      <c r="E260" s="3"/>
      <c r="F260" s="3"/>
      <c r="G260" s="3"/>
      <c r="H260" s="4"/>
      <c r="I260" s="4"/>
      <c r="J260" s="3"/>
      <c r="K260" s="8" t="str">
        <f t="shared" si="3"/>
        <v/>
      </c>
      <c r="L260" s="1" t="str">
        <f>IF(COUNTA(A260:J260)=0,"",IF(OR(AND(C260&lt;&gt;"Gasto",C260&lt;&gt;"Pago proveedor",C260&lt;&gt;"Retiro familiar",C260&lt;&gt;"Aportación",C260&lt;&gt;"Pago activo",C260&lt;&gt;"ISR devengado",C260&lt;&gt;"Pago ISR",C260&lt;&gt;"Pago IVA",C260&lt;&gt;"Compensación ISR",C260&lt;&gt;"Compensación IVA"),AND(C260="Gasto",D260&lt;&gt;"Costos clínicos",D260&lt;&gt;"Remuneración familiar",D260&lt;&gt;"Nómina y honorarios",D260&lt;&gt;"Renta",D260&lt;&gt;"Marketing",D260&lt;&gt;"Servicios y software",D260&lt;&gt;"Mantenimiento",D260&lt;&gt;"Otros",D260&lt;&gt;"Intereses")),"Tipo o categoría inválido",IF(COUNTA(A260:J260)=0,"",IF(OR(A260="",B260="",C260="",H260=""),"Faltan datos",IF(COUNTIF($A$7:$A$2006,A260)&gt;1,"ID duplicado",IF(OR(B260&lt;DATE(Configuración!$C$5,1,1),B260&gt;=DATE(Configuración!$C$5+1,1,1)),"Fecha fuera del año",IF(OR(H260&lt;0,I260&lt;0),"Revisar signo",IF(AND(C260&lt;&gt;"Gasto",I260&lt;&gt;0),"IVA solo en Gasto",IF(AND(C260="Gasto",D260=""),"Falta categoría","OK")))))))))</f>
        <v/>
      </c>
    </row>
    <row r="261" spans="1:12" ht="22" customHeight="1">
      <c r="A261" s="3"/>
      <c r="B261" s="7"/>
      <c r="C261" s="3"/>
      <c r="D261" s="3"/>
      <c r="E261" s="3"/>
      <c r="F261" s="3"/>
      <c r="G261" s="3"/>
      <c r="H261" s="4"/>
      <c r="I261" s="4"/>
      <c r="J261" s="3"/>
      <c r="K261" s="8" t="str">
        <f t="shared" si="3"/>
        <v/>
      </c>
      <c r="L261" s="1" t="str">
        <f>IF(COUNTA(A261:J261)=0,"",IF(OR(AND(C261&lt;&gt;"Gasto",C261&lt;&gt;"Pago proveedor",C261&lt;&gt;"Retiro familiar",C261&lt;&gt;"Aportación",C261&lt;&gt;"Pago activo",C261&lt;&gt;"ISR devengado",C261&lt;&gt;"Pago ISR",C261&lt;&gt;"Pago IVA",C261&lt;&gt;"Compensación ISR",C261&lt;&gt;"Compensación IVA"),AND(C261="Gasto",D261&lt;&gt;"Costos clínicos",D261&lt;&gt;"Remuneración familiar",D261&lt;&gt;"Nómina y honorarios",D261&lt;&gt;"Renta",D261&lt;&gt;"Marketing",D261&lt;&gt;"Servicios y software",D261&lt;&gt;"Mantenimiento",D261&lt;&gt;"Otros",D261&lt;&gt;"Intereses")),"Tipo o categoría inválido",IF(COUNTA(A261:J261)=0,"",IF(OR(A261="",B261="",C261="",H261=""),"Faltan datos",IF(COUNTIF($A$7:$A$2006,A261)&gt;1,"ID duplicado",IF(OR(B261&lt;DATE(Configuración!$C$5,1,1),B261&gt;=DATE(Configuración!$C$5+1,1,1)),"Fecha fuera del año",IF(OR(H261&lt;0,I261&lt;0),"Revisar signo",IF(AND(C261&lt;&gt;"Gasto",I261&lt;&gt;0),"IVA solo en Gasto",IF(AND(C261="Gasto",D261=""),"Falta categoría","OK")))))))))</f>
        <v/>
      </c>
    </row>
    <row r="262" spans="1:12" ht="22" customHeight="1">
      <c r="A262" s="3"/>
      <c r="B262" s="7"/>
      <c r="C262" s="3"/>
      <c r="D262" s="3"/>
      <c r="E262" s="3"/>
      <c r="F262" s="3"/>
      <c r="G262" s="3"/>
      <c r="H262" s="4"/>
      <c r="I262" s="4"/>
      <c r="J262" s="3"/>
      <c r="K262" s="8" t="str">
        <f t="shared" si="3"/>
        <v/>
      </c>
      <c r="L262" s="1" t="str">
        <f>IF(COUNTA(A262:J262)=0,"",IF(OR(AND(C262&lt;&gt;"Gasto",C262&lt;&gt;"Pago proveedor",C262&lt;&gt;"Retiro familiar",C262&lt;&gt;"Aportación",C262&lt;&gt;"Pago activo",C262&lt;&gt;"ISR devengado",C262&lt;&gt;"Pago ISR",C262&lt;&gt;"Pago IVA",C262&lt;&gt;"Compensación ISR",C262&lt;&gt;"Compensación IVA"),AND(C262="Gasto",D262&lt;&gt;"Costos clínicos",D262&lt;&gt;"Remuneración familiar",D262&lt;&gt;"Nómina y honorarios",D262&lt;&gt;"Renta",D262&lt;&gt;"Marketing",D262&lt;&gt;"Servicios y software",D262&lt;&gt;"Mantenimiento",D262&lt;&gt;"Otros",D262&lt;&gt;"Intereses")),"Tipo o categoría inválido",IF(COUNTA(A262:J262)=0,"",IF(OR(A262="",B262="",C262="",H262=""),"Faltan datos",IF(COUNTIF($A$7:$A$2006,A262)&gt;1,"ID duplicado",IF(OR(B262&lt;DATE(Configuración!$C$5,1,1),B262&gt;=DATE(Configuración!$C$5+1,1,1)),"Fecha fuera del año",IF(OR(H262&lt;0,I262&lt;0),"Revisar signo",IF(AND(C262&lt;&gt;"Gasto",I262&lt;&gt;0),"IVA solo en Gasto",IF(AND(C262="Gasto",D262=""),"Falta categoría","OK")))))))))</f>
        <v/>
      </c>
    </row>
    <row r="263" spans="1:12" ht="22" customHeight="1">
      <c r="A263" s="3"/>
      <c r="B263" s="7"/>
      <c r="C263" s="3"/>
      <c r="D263" s="3"/>
      <c r="E263" s="3"/>
      <c r="F263" s="3"/>
      <c r="G263" s="3"/>
      <c r="H263" s="4"/>
      <c r="I263" s="4"/>
      <c r="J263" s="3"/>
      <c r="K263" s="8" t="str">
        <f t="shared" ref="K263:K326" si="4">IF(A263="","",H263+I263)</f>
        <v/>
      </c>
      <c r="L263" s="1" t="str">
        <f>IF(COUNTA(A263:J263)=0,"",IF(OR(AND(C263&lt;&gt;"Gasto",C263&lt;&gt;"Pago proveedor",C263&lt;&gt;"Retiro familiar",C263&lt;&gt;"Aportación",C263&lt;&gt;"Pago activo",C263&lt;&gt;"ISR devengado",C263&lt;&gt;"Pago ISR",C263&lt;&gt;"Pago IVA",C263&lt;&gt;"Compensación ISR",C263&lt;&gt;"Compensación IVA"),AND(C263="Gasto",D263&lt;&gt;"Costos clínicos",D263&lt;&gt;"Remuneración familiar",D263&lt;&gt;"Nómina y honorarios",D263&lt;&gt;"Renta",D263&lt;&gt;"Marketing",D263&lt;&gt;"Servicios y software",D263&lt;&gt;"Mantenimiento",D263&lt;&gt;"Otros",D263&lt;&gt;"Intereses")),"Tipo o categoría inválido",IF(COUNTA(A263:J263)=0,"",IF(OR(A263="",B263="",C263="",H263=""),"Faltan datos",IF(COUNTIF($A$7:$A$2006,A263)&gt;1,"ID duplicado",IF(OR(B263&lt;DATE(Configuración!$C$5,1,1),B263&gt;=DATE(Configuración!$C$5+1,1,1)),"Fecha fuera del año",IF(OR(H263&lt;0,I263&lt;0),"Revisar signo",IF(AND(C263&lt;&gt;"Gasto",I263&lt;&gt;0),"IVA solo en Gasto",IF(AND(C263="Gasto",D263=""),"Falta categoría","OK")))))))))</f>
        <v/>
      </c>
    </row>
    <row r="264" spans="1:12" ht="22" customHeight="1">
      <c r="A264" s="3"/>
      <c r="B264" s="7"/>
      <c r="C264" s="3"/>
      <c r="D264" s="3"/>
      <c r="E264" s="3"/>
      <c r="F264" s="3"/>
      <c r="G264" s="3"/>
      <c r="H264" s="4"/>
      <c r="I264" s="4"/>
      <c r="J264" s="3"/>
      <c r="K264" s="8" t="str">
        <f t="shared" si="4"/>
        <v/>
      </c>
      <c r="L264" s="1" t="str">
        <f>IF(COUNTA(A264:J264)=0,"",IF(OR(AND(C264&lt;&gt;"Gasto",C264&lt;&gt;"Pago proveedor",C264&lt;&gt;"Retiro familiar",C264&lt;&gt;"Aportación",C264&lt;&gt;"Pago activo",C264&lt;&gt;"ISR devengado",C264&lt;&gt;"Pago ISR",C264&lt;&gt;"Pago IVA",C264&lt;&gt;"Compensación ISR",C264&lt;&gt;"Compensación IVA"),AND(C264="Gasto",D264&lt;&gt;"Costos clínicos",D264&lt;&gt;"Remuneración familiar",D264&lt;&gt;"Nómina y honorarios",D264&lt;&gt;"Renta",D264&lt;&gt;"Marketing",D264&lt;&gt;"Servicios y software",D264&lt;&gt;"Mantenimiento",D264&lt;&gt;"Otros",D264&lt;&gt;"Intereses")),"Tipo o categoría inválido",IF(COUNTA(A264:J264)=0,"",IF(OR(A264="",B264="",C264="",H264=""),"Faltan datos",IF(COUNTIF($A$7:$A$2006,A264)&gt;1,"ID duplicado",IF(OR(B264&lt;DATE(Configuración!$C$5,1,1),B264&gt;=DATE(Configuración!$C$5+1,1,1)),"Fecha fuera del año",IF(OR(H264&lt;0,I264&lt;0),"Revisar signo",IF(AND(C264&lt;&gt;"Gasto",I264&lt;&gt;0),"IVA solo en Gasto",IF(AND(C264="Gasto",D264=""),"Falta categoría","OK")))))))))</f>
        <v/>
      </c>
    </row>
    <row r="265" spans="1:12" ht="22" customHeight="1">
      <c r="A265" s="3"/>
      <c r="B265" s="7"/>
      <c r="C265" s="3"/>
      <c r="D265" s="3"/>
      <c r="E265" s="3"/>
      <c r="F265" s="3"/>
      <c r="G265" s="3"/>
      <c r="H265" s="4"/>
      <c r="I265" s="4"/>
      <c r="J265" s="3"/>
      <c r="K265" s="8" t="str">
        <f t="shared" si="4"/>
        <v/>
      </c>
      <c r="L265" s="1" t="str">
        <f>IF(COUNTA(A265:J265)=0,"",IF(OR(AND(C265&lt;&gt;"Gasto",C265&lt;&gt;"Pago proveedor",C265&lt;&gt;"Retiro familiar",C265&lt;&gt;"Aportación",C265&lt;&gt;"Pago activo",C265&lt;&gt;"ISR devengado",C265&lt;&gt;"Pago ISR",C265&lt;&gt;"Pago IVA",C265&lt;&gt;"Compensación ISR",C265&lt;&gt;"Compensación IVA"),AND(C265="Gasto",D265&lt;&gt;"Costos clínicos",D265&lt;&gt;"Remuneración familiar",D265&lt;&gt;"Nómina y honorarios",D265&lt;&gt;"Renta",D265&lt;&gt;"Marketing",D265&lt;&gt;"Servicios y software",D265&lt;&gt;"Mantenimiento",D265&lt;&gt;"Otros",D265&lt;&gt;"Intereses")),"Tipo o categoría inválido",IF(COUNTA(A265:J265)=0,"",IF(OR(A265="",B265="",C265="",H265=""),"Faltan datos",IF(COUNTIF($A$7:$A$2006,A265)&gt;1,"ID duplicado",IF(OR(B265&lt;DATE(Configuración!$C$5,1,1),B265&gt;=DATE(Configuración!$C$5+1,1,1)),"Fecha fuera del año",IF(OR(H265&lt;0,I265&lt;0),"Revisar signo",IF(AND(C265&lt;&gt;"Gasto",I265&lt;&gt;0),"IVA solo en Gasto",IF(AND(C265="Gasto",D265=""),"Falta categoría","OK")))))))))</f>
        <v/>
      </c>
    </row>
    <row r="266" spans="1:12" ht="22" customHeight="1">
      <c r="A266" s="3"/>
      <c r="B266" s="7"/>
      <c r="C266" s="3"/>
      <c r="D266" s="3"/>
      <c r="E266" s="3"/>
      <c r="F266" s="3"/>
      <c r="G266" s="3"/>
      <c r="H266" s="4"/>
      <c r="I266" s="4"/>
      <c r="J266" s="3"/>
      <c r="K266" s="8" t="str">
        <f t="shared" si="4"/>
        <v/>
      </c>
      <c r="L266" s="1" t="str">
        <f>IF(COUNTA(A266:J266)=0,"",IF(OR(AND(C266&lt;&gt;"Gasto",C266&lt;&gt;"Pago proveedor",C266&lt;&gt;"Retiro familiar",C266&lt;&gt;"Aportación",C266&lt;&gt;"Pago activo",C266&lt;&gt;"ISR devengado",C266&lt;&gt;"Pago ISR",C266&lt;&gt;"Pago IVA",C266&lt;&gt;"Compensación ISR",C266&lt;&gt;"Compensación IVA"),AND(C266="Gasto",D266&lt;&gt;"Costos clínicos",D266&lt;&gt;"Remuneración familiar",D266&lt;&gt;"Nómina y honorarios",D266&lt;&gt;"Renta",D266&lt;&gt;"Marketing",D266&lt;&gt;"Servicios y software",D266&lt;&gt;"Mantenimiento",D266&lt;&gt;"Otros",D266&lt;&gt;"Intereses")),"Tipo o categoría inválido",IF(COUNTA(A266:J266)=0,"",IF(OR(A266="",B266="",C266="",H266=""),"Faltan datos",IF(COUNTIF($A$7:$A$2006,A266)&gt;1,"ID duplicado",IF(OR(B266&lt;DATE(Configuración!$C$5,1,1),B266&gt;=DATE(Configuración!$C$5+1,1,1)),"Fecha fuera del año",IF(OR(H266&lt;0,I266&lt;0),"Revisar signo",IF(AND(C266&lt;&gt;"Gasto",I266&lt;&gt;0),"IVA solo en Gasto",IF(AND(C266="Gasto",D266=""),"Falta categoría","OK")))))))))</f>
        <v/>
      </c>
    </row>
    <row r="267" spans="1:12" ht="22" customHeight="1">
      <c r="A267" s="3"/>
      <c r="B267" s="7"/>
      <c r="C267" s="3"/>
      <c r="D267" s="3"/>
      <c r="E267" s="3"/>
      <c r="F267" s="3"/>
      <c r="G267" s="3"/>
      <c r="H267" s="4"/>
      <c r="I267" s="4"/>
      <c r="J267" s="3"/>
      <c r="K267" s="8" t="str">
        <f t="shared" si="4"/>
        <v/>
      </c>
      <c r="L267" s="1" t="str">
        <f>IF(COUNTA(A267:J267)=0,"",IF(OR(AND(C267&lt;&gt;"Gasto",C267&lt;&gt;"Pago proveedor",C267&lt;&gt;"Retiro familiar",C267&lt;&gt;"Aportación",C267&lt;&gt;"Pago activo",C267&lt;&gt;"ISR devengado",C267&lt;&gt;"Pago ISR",C267&lt;&gt;"Pago IVA",C267&lt;&gt;"Compensación ISR",C267&lt;&gt;"Compensación IVA"),AND(C267="Gasto",D267&lt;&gt;"Costos clínicos",D267&lt;&gt;"Remuneración familiar",D267&lt;&gt;"Nómina y honorarios",D267&lt;&gt;"Renta",D267&lt;&gt;"Marketing",D267&lt;&gt;"Servicios y software",D267&lt;&gt;"Mantenimiento",D267&lt;&gt;"Otros",D267&lt;&gt;"Intereses")),"Tipo o categoría inválido",IF(COUNTA(A267:J267)=0,"",IF(OR(A267="",B267="",C267="",H267=""),"Faltan datos",IF(COUNTIF($A$7:$A$2006,A267)&gt;1,"ID duplicado",IF(OR(B267&lt;DATE(Configuración!$C$5,1,1),B267&gt;=DATE(Configuración!$C$5+1,1,1)),"Fecha fuera del año",IF(OR(H267&lt;0,I267&lt;0),"Revisar signo",IF(AND(C267&lt;&gt;"Gasto",I267&lt;&gt;0),"IVA solo en Gasto",IF(AND(C267="Gasto",D267=""),"Falta categoría","OK")))))))))</f>
        <v/>
      </c>
    </row>
    <row r="268" spans="1:12" ht="22" customHeight="1">
      <c r="A268" s="3"/>
      <c r="B268" s="7"/>
      <c r="C268" s="3"/>
      <c r="D268" s="3"/>
      <c r="E268" s="3"/>
      <c r="F268" s="3"/>
      <c r="G268" s="3"/>
      <c r="H268" s="4"/>
      <c r="I268" s="4"/>
      <c r="J268" s="3"/>
      <c r="K268" s="8" t="str">
        <f t="shared" si="4"/>
        <v/>
      </c>
      <c r="L268" s="1" t="str">
        <f>IF(COUNTA(A268:J268)=0,"",IF(OR(AND(C268&lt;&gt;"Gasto",C268&lt;&gt;"Pago proveedor",C268&lt;&gt;"Retiro familiar",C268&lt;&gt;"Aportación",C268&lt;&gt;"Pago activo",C268&lt;&gt;"ISR devengado",C268&lt;&gt;"Pago ISR",C268&lt;&gt;"Pago IVA",C268&lt;&gt;"Compensación ISR",C268&lt;&gt;"Compensación IVA"),AND(C268="Gasto",D268&lt;&gt;"Costos clínicos",D268&lt;&gt;"Remuneración familiar",D268&lt;&gt;"Nómina y honorarios",D268&lt;&gt;"Renta",D268&lt;&gt;"Marketing",D268&lt;&gt;"Servicios y software",D268&lt;&gt;"Mantenimiento",D268&lt;&gt;"Otros",D268&lt;&gt;"Intereses")),"Tipo o categoría inválido",IF(COUNTA(A268:J268)=0,"",IF(OR(A268="",B268="",C268="",H268=""),"Faltan datos",IF(COUNTIF($A$7:$A$2006,A268)&gt;1,"ID duplicado",IF(OR(B268&lt;DATE(Configuración!$C$5,1,1),B268&gt;=DATE(Configuración!$C$5+1,1,1)),"Fecha fuera del año",IF(OR(H268&lt;0,I268&lt;0),"Revisar signo",IF(AND(C268&lt;&gt;"Gasto",I268&lt;&gt;0),"IVA solo en Gasto",IF(AND(C268="Gasto",D268=""),"Falta categoría","OK")))))))))</f>
        <v/>
      </c>
    </row>
    <row r="269" spans="1:12" ht="22" customHeight="1">
      <c r="A269" s="3"/>
      <c r="B269" s="7"/>
      <c r="C269" s="3"/>
      <c r="D269" s="3"/>
      <c r="E269" s="3"/>
      <c r="F269" s="3"/>
      <c r="G269" s="3"/>
      <c r="H269" s="4"/>
      <c r="I269" s="4"/>
      <c r="J269" s="3"/>
      <c r="K269" s="8" t="str">
        <f t="shared" si="4"/>
        <v/>
      </c>
      <c r="L269" s="1" t="str">
        <f>IF(COUNTA(A269:J269)=0,"",IF(OR(AND(C269&lt;&gt;"Gasto",C269&lt;&gt;"Pago proveedor",C269&lt;&gt;"Retiro familiar",C269&lt;&gt;"Aportación",C269&lt;&gt;"Pago activo",C269&lt;&gt;"ISR devengado",C269&lt;&gt;"Pago ISR",C269&lt;&gt;"Pago IVA",C269&lt;&gt;"Compensación ISR",C269&lt;&gt;"Compensación IVA"),AND(C269="Gasto",D269&lt;&gt;"Costos clínicos",D269&lt;&gt;"Remuneración familiar",D269&lt;&gt;"Nómina y honorarios",D269&lt;&gt;"Renta",D269&lt;&gt;"Marketing",D269&lt;&gt;"Servicios y software",D269&lt;&gt;"Mantenimiento",D269&lt;&gt;"Otros",D269&lt;&gt;"Intereses")),"Tipo o categoría inválido",IF(COUNTA(A269:J269)=0,"",IF(OR(A269="",B269="",C269="",H269=""),"Faltan datos",IF(COUNTIF($A$7:$A$2006,A269)&gt;1,"ID duplicado",IF(OR(B269&lt;DATE(Configuración!$C$5,1,1),B269&gt;=DATE(Configuración!$C$5+1,1,1)),"Fecha fuera del año",IF(OR(H269&lt;0,I269&lt;0),"Revisar signo",IF(AND(C269&lt;&gt;"Gasto",I269&lt;&gt;0),"IVA solo en Gasto",IF(AND(C269="Gasto",D269=""),"Falta categoría","OK")))))))))</f>
        <v/>
      </c>
    </row>
    <row r="270" spans="1:12" ht="22" customHeight="1">
      <c r="A270" s="3"/>
      <c r="B270" s="7"/>
      <c r="C270" s="3"/>
      <c r="D270" s="3"/>
      <c r="E270" s="3"/>
      <c r="F270" s="3"/>
      <c r="G270" s="3"/>
      <c r="H270" s="4"/>
      <c r="I270" s="4"/>
      <c r="J270" s="3"/>
      <c r="K270" s="8" t="str">
        <f t="shared" si="4"/>
        <v/>
      </c>
      <c r="L270" s="1" t="str">
        <f>IF(COUNTA(A270:J270)=0,"",IF(OR(AND(C270&lt;&gt;"Gasto",C270&lt;&gt;"Pago proveedor",C270&lt;&gt;"Retiro familiar",C270&lt;&gt;"Aportación",C270&lt;&gt;"Pago activo",C270&lt;&gt;"ISR devengado",C270&lt;&gt;"Pago ISR",C270&lt;&gt;"Pago IVA",C270&lt;&gt;"Compensación ISR",C270&lt;&gt;"Compensación IVA"),AND(C270="Gasto",D270&lt;&gt;"Costos clínicos",D270&lt;&gt;"Remuneración familiar",D270&lt;&gt;"Nómina y honorarios",D270&lt;&gt;"Renta",D270&lt;&gt;"Marketing",D270&lt;&gt;"Servicios y software",D270&lt;&gt;"Mantenimiento",D270&lt;&gt;"Otros",D270&lt;&gt;"Intereses")),"Tipo o categoría inválido",IF(COUNTA(A270:J270)=0,"",IF(OR(A270="",B270="",C270="",H270=""),"Faltan datos",IF(COUNTIF($A$7:$A$2006,A270)&gt;1,"ID duplicado",IF(OR(B270&lt;DATE(Configuración!$C$5,1,1),B270&gt;=DATE(Configuración!$C$5+1,1,1)),"Fecha fuera del año",IF(OR(H270&lt;0,I270&lt;0),"Revisar signo",IF(AND(C270&lt;&gt;"Gasto",I270&lt;&gt;0),"IVA solo en Gasto",IF(AND(C270="Gasto",D270=""),"Falta categoría","OK")))))))))</f>
        <v/>
      </c>
    </row>
    <row r="271" spans="1:12" ht="22" customHeight="1">
      <c r="A271" s="3"/>
      <c r="B271" s="7"/>
      <c r="C271" s="3"/>
      <c r="D271" s="3"/>
      <c r="E271" s="3"/>
      <c r="F271" s="3"/>
      <c r="G271" s="3"/>
      <c r="H271" s="4"/>
      <c r="I271" s="4"/>
      <c r="J271" s="3"/>
      <c r="K271" s="8" t="str">
        <f t="shared" si="4"/>
        <v/>
      </c>
      <c r="L271" s="1" t="str">
        <f>IF(COUNTA(A271:J271)=0,"",IF(OR(AND(C271&lt;&gt;"Gasto",C271&lt;&gt;"Pago proveedor",C271&lt;&gt;"Retiro familiar",C271&lt;&gt;"Aportación",C271&lt;&gt;"Pago activo",C271&lt;&gt;"ISR devengado",C271&lt;&gt;"Pago ISR",C271&lt;&gt;"Pago IVA",C271&lt;&gt;"Compensación ISR",C271&lt;&gt;"Compensación IVA"),AND(C271="Gasto",D271&lt;&gt;"Costos clínicos",D271&lt;&gt;"Remuneración familiar",D271&lt;&gt;"Nómina y honorarios",D271&lt;&gt;"Renta",D271&lt;&gt;"Marketing",D271&lt;&gt;"Servicios y software",D271&lt;&gt;"Mantenimiento",D271&lt;&gt;"Otros",D271&lt;&gt;"Intereses")),"Tipo o categoría inválido",IF(COUNTA(A271:J271)=0,"",IF(OR(A271="",B271="",C271="",H271=""),"Faltan datos",IF(COUNTIF($A$7:$A$2006,A271)&gt;1,"ID duplicado",IF(OR(B271&lt;DATE(Configuración!$C$5,1,1),B271&gt;=DATE(Configuración!$C$5+1,1,1)),"Fecha fuera del año",IF(OR(H271&lt;0,I271&lt;0),"Revisar signo",IF(AND(C271&lt;&gt;"Gasto",I271&lt;&gt;0),"IVA solo en Gasto",IF(AND(C271="Gasto",D271=""),"Falta categoría","OK")))))))))</f>
        <v/>
      </c>
    </row>
    <row r="272" spans="1:12" ht="22" customHeight="1">
      <c r="A272" s="3"/>
      <c r="B272" s="7"/>
      <c r="C272" s="3"/>
      <c r="D272" s="3"/>
      <c r="E272" s="3"/>
      <c r="F272" s="3"/>
      <c r="G272" s="3"/>
      <c r="H272" s="4"/>
      <c r="I272" s="4"/>
      <c r="J272" s="3"/>
      <c r="K272" s="8" t="str">
        <f t="shared" si="4"/>
        <v/>
      </c>
      <c r="L272" s="1" t="str">
        <f>IF(COUNTA(A272:J272)=0,"",IF(OR(AND(C272&lt;&gt;"Gasto",C272&lt;&gt;"Pago proveedor",C272&lt;&gt;"Retiro familiar",C272&lt;&gt;"Aportación",C272&lt;&gt;"Pago activo",C272&lt;&gt;"ISR devengado",C272&lt;&gt;"Pago ISR",C272&lt;&gt;"Pago IVA",C272&lt;&gt;"Compensación ISR",C272&lt;&gt;"Compensación IVA"),AND(C272="Gasto",D272&lt;&gt;"Costos clínicos",D272&lt;&gt;"Remuneración familiar",D272&lt;&gt;"Nómina y honorarios",D272&lt;&gt;"Renta",D272&lt;&gt;"Marketing",D272&lt;&gt;"Servicios y software",D272&lt;&gt;"Mantenimiento",D272&lt;&gt;"Otros",D272&lt;&gt;"Intereses")),"Tipo o categoría inválido",IF(COUNTA(A272:J272)=0,"",IF(OR(A272="",B272="",C272="",H272=""),"Faltan datos",IF(COUNTIF($A$7:$A$2006,A272)&gt;1,"ID duplicado",IF(OR(B272&lt;DATE(Configuración!$C$5,1,1),B272&gt;=DATE(Configuración!$C$5+1,1,1)),"Fecha fuera del año",IF(OR(H272&lt;0,I272&lt;0),"Revisar signo",IF(AND(C272&lt;&gt;"Gasto",I272&lt;&gt;0),"IVA solo en Gasto",IF(AND(C272="Gasto",D272=""),"Falta categoría","OK")))))))))</f>
        <v/>
      </c>
    </row>
    <row r="273" spans="1:12" ht="22" customHeight="1">
      <c r="A273" s="3"/>
      <c r="B273" s="7"/>
      <c r="C273" s="3"/>
      <c r="D273" s="3"/>
      <c r="E273" s="3"/>
      <c r="F273" s="3"/>
      <c r="G273" s="3"/>
      <c r="H273" s="4"/>
      <c r="I273" s="4"/>
      <c r="J273" s="3"/>
      <c r="K273" s="8" t="str">
        <f t="shared" si="4"/>
        <v/>
      </c>
      <c r="L273" s="1" t="str">
        <f>IF(COUNTA(A273:J273)=0,"",IF(OR(AND(C273&lt;&gt;"Gasto",C273&lt;&gt;"Pago proveedor",C273&lt;&gt;"Retiro familiar",C273&lt;&gt;"Aportación",C273&lt;&gt;"Pago activo",C273&lt;&gt;"ISR devengado",C273&lt;&gt;"Pago ISR",C273&lt;&gt;"Pago IVA",C273&lt;&gt;"Compensación ISR",C273&lt;&gt;"Compensación IVA"),AND(C273="Gasto",D273&lt;&gt;"Costos clínicos",D273&lt;&gt;"Remuneración familiar",D273&lt;&gt;"Nómina y honorarios",D273&lt;&gt;"Renta",D273&lt;&gt;"Marketing",D273&lt;&gt;"Servicios y software",D273&lt;&gt;"Mantenimiento",D273&lt;&gt;"Otros",D273&lt;&gt;"Intereses")),"Tipo o categoría inválido",IF(COUNTA(A273:J273)=0,"",IF(OR(A273="",B273="",C273="",H273=""),"Faltan datos",IF(COUNTIF($A$7:$A$2006,A273)&gt;1,"ID duplicado",IF(OR(B273&lt;DATE(Configuración!$C$5,1,1),B273&gt;=DATE(Configuración!$C$5+1,1,1)),"Fecha fuera del año",IF(OR(H273&lt;0,I273&lt;0),"Revisar signo",IF(AND(C273&lt;&gt;"Gasto",I273&lt;&gt;0),"IVA solo en Gasto",IF(AND(C273="Gasto",D273=""),"Falta categoría","OK")))))))))</f>
        <v/>
      </c>
    </row>
    <row r="274" spans="1:12" ht="22" customHeight="1">
      <c r="A274" s="3"/>
      <c r="B274" s="7"/>
      <c r="C274" s="3"/>
      <c r="D274" s="3"/>
      <c r="E274" s="3"/>
      <c r="F274" s="3"/>
      <c r="G274" s="3"/>
      <c r="H274" s="4"/>
      <c r="I274" s="4"/>
      <c r="J274" s="3"/>
      <c r="K274" s="8" t="str">
        <f t="shared" si="4"/>
        <v/>
      </c>
      <c r="L274" s="1" t="str">
        <f>IF(COUNTA(A274:J274)=0,"",IF(OR(AND(C274&lt;&gt;"Gasto",C274&lt;&gt;"Pago proveedor",C274&lt;&gt;"Retiro familiar",C274&lt;&gt;"Aportación",C274&lt;&gt;"Pago activo",C274&lt;&gt;"ISR devengado",C274&lt;&gt;"Pago ISR",C274&lt;&gt;"Pago IVA",C274&lt;&gt;"Compensación ISR",C274&lt;&gt;"Compensación IVA"),AND(C274="Gasto",D274&lt;&gt;"Costos clínicos",D274&lt;&gt;"Remuneración familiar",D274&lt;&gt;"Nómina y honorarios",D274&lt;&gt;"Renta",D274&lt;&gt;"Marketing",D274&lt;&gt;"Servicios y software",D274&lt;&gt;"Mantenimiento",D274&lt;&gt;"Otros",D274&lt;&gt;"Intereses")),"Tipo o categoría inválido",IF(COUNTA(A274:J274)=0,"",IF(OR(A274="",B274="",C274="",H274=""),"Faltan datos",IF(COUNTIF($A$7:$A$2006,A274)&gt;1,"ID duplicado",IF(OR(B274&lt;DATE(Configuración!$C$5,1,1),B274&gt;=DATE(Configuración!$C$5+1,1,1)),"Fecha fuera del año",IF(OR(H274&lt;0,I274&lt;0),"Revisar signo",IF(AND(C274&lt;&gt;"Gasto",I274&lt;&gt;0),"IVA solo en Gasto",IF(AND(C274="Gasto",D274=""),"Falta categoría","OK")))))))))</f>
        <v/>
      </c>
    </row>
    <row r="275" spans="1:12" ht="22" customHeight="1">
      <c r="A275" s="3"/>
      <c r="B275" s="7"/>
      <c r="C275" s="3"/>
      <c r="D275" s="3"/>
      <c r="E275" s="3"/>
      <c r="F275" s="3"/>
      <c r="G275" s="3"/>
      <c r="H275" s="4"/>
      <c r="I275" s="4"/>
      <c r="J275" s="3"/>
      <c r="K275" s="8" t="str">
        <f t="shared" si="4"/>
        <v/>
      </c>
      <c r="L275" s="1" t="str">
        <f>IF(COUNTA(A275:J275)=0,"",IF(OR(AND(C275&lt;&gt;"Gasto",C275&lt;&gt;"Pago proveedor",C275&lt;&gt;"Retiro familiar",C275&lt;&gt;"Aportación",C275&lt;&gt;"Pago activo",C275&lt;&gt;"ISR devengado",C275&lt;&gt;"Pago ISR",C275&lt;&gt;"Pago IVA",C275&lt;&gt;"Compensación ISR",C275&lt;&gt;"Compensación IVA"),AND(C275="Gasto",D275&lt;&gt;"Costos clínicos",D275&lt;&gt;"Remuneración familiar",D275&lt;&gt;"Nómina y honorarios",D275&lt;&gt;"Renta",D275&lt;&gt;"Marketing",D275&lt;&gt;"Servicios y software",D275&lt;&gt;"Mantenimiento",D275&lt;&gt;"Otros",D275&lt;&gt;"Intereses")),"Tipo o categoría inválido",IF(COUNTA(A275:J275)=0,"",IF(OR(A275="",B275="",C275="",H275=""),"Faltan datos",IF(COUNTIF($A$7:$A$2006,A275)&gt;1,"ID duplicado",IF(OR(B275&lt;DATE(Configuración!$C$5,1,1),B275&gt;=DATE(Configuración!$C$5+1,1,1)),"Fecha fuera del año",IF(OR(H275&lt;0,I275&lt;0),"Revisar signo",IF(AND(C275&lt;&gt;"Gasto",I275&lt;&gt;0),"IVA solo en Gasto",IF(AND(C275="Gasto",D275=""),"Falta categoría","OK")))))))))</f>
        <v/>
      </c>
    </row>
    <row r="276" spans="1:12" ht="22" customHeight="1">
      <c r="A276" s="3"/>
      <c r="B276" s="7"/>
      <c r="C276" s="3"/>
      <c r="D276" s="3"/>
      <c r="E276" s="3"/>
      <c r="F276" s="3"/>
      <c r="G276" s="3"/>
      <c r="H276" s="4"/>
      <c r="I276" s="4"/>
      <c r="J276" s="3"/>
      <c r="K276" s="8" t="str">
        <f t="shared" si="4"/>
        <v/>
      </c>
      <c r="L276" s="1" t="str">
        <f>IF(COUNTA(A276:J276)=0,"",IF(OR(AND(C276&lt;&gt;"Gasto",C276&lt;&gt;"Pago proveedor",C276&lt;&gt;"Retiro familiar",C276&lt;&gt;"Aportación",C276&lt;&gt;"Pago activo",C276&lt;&gt;"ISR devengado",C276&lt;&gt;"Pago ISR",C276&lt;&gt;"Pago IVA",C276&lt;&gt;"Compensación ISR",C276&lt;&gt;"Compensación IVA"),AND(C276="Gasto",D276&lt;&gt;"Costos clínicos",D276&lt;&gt;"Remuneración familiar",D276&lt;&gt;"Nómina y honorarios",D276&lt;&gt;"Renta",D276&lt;&gt;"Marketing",D276&lt;&gt;"Servicios y software",D276&lt;&gt;"Mantenimiento",D276&lt;&gt;"Otros",D276&lt;&gt;"Intereses")),"Tipo o categoría inválido",IF(COUNTA(A276:J276)=0,"",IF(OR(A276="",B276="",C276="",H276=""),"Faltan datos",IF(COUNTIF($A$7:$A$2006,A276)&gt;1,"ID duplicado",IF(OR(B276&lt;DATE(Configuración!$C$5,1,1),B276&gt;=DATE(Configuración!$C$5+1,1,1)),"Fecha fuera del año",IF(OR(H276&lt;0,I276&lt;0),"Revisar signo",IF(AND(C276&lt;&gt;"Gasto",I276&lt;&gt;0),"IVA solo en Gasto",IF(AND(C276="Gasto",D276=""),"Falta categoría","OK")))))))))</f>
        <v/>
      </c>
    </row>
    <row r="277" spans="1:12" ht="22" customHeight="1">
      <c r="A277" s="3"/>
      <c r="B277" s="7"/>
      <c r="C277" s="3"/>
      <c r="D277" s="3"/>
      <c r="E277" s="3"/>
      <c r="F277" s="3"/>
      <c r="G277" s="3"/>
      <c r="H277" s="4"/>
      <c r="I277" s="4"/>
      <c r="J277" s="3"/>
      <c r="K277" s="8" t="str">
        <f t="shared" si="4"/>
        <v/>
      </c>
      <c r="L277" s="1" t="str">
        <f>IF(COUNTA(A277:J277)=0,"",IF(OR(AND(C277&lt;&gt;"Gasto",C277&lt;&gt;"Pago proveedor",C277&lt;&gt;"Retiro familiar",C277&lt;&gt;"Aportación",C277&lt;&gt;"Pago activo",C277&lt;&gt;"ISR devengado",C277&lt;&gt;"Pago ISR",C277&lt;&gt;"Pago IVA",C277&lt;&gt;"Compensación ISR",C277&lt;&gt;"Compensación IVA"),AND(C277="Gasto",D277&lt;&gt;"Costos clínicos",D277&lt;&gt;"Remuneración familiar",D277&lt;&gt;"Nómina y honorarios",D277&lt;&gt;"Renta",D277&lt;&gt;"Marketing",D277&lt;&gt;"Servicios y software",D277&lt;&gt;"Mantenimiento",D277&lt;&gt;"Otros",D277&lt;&gt;"Intereses")),"Tipo o categoría inválido",IF(COUNTA(A277:J277)=0,"",IF(OR(A277="",B277="",C277="",H277=""),"Faltan datos",IF(COUNTIF($A$7:$A$2006,A277)&gt;1,"ID duplicado",IF(OR(B277&lt;DATE(Configuración!$C$5,1,1),B277&gt;=DATE(Configuración!$C$5+1,1,1)),"Fecha fuera del año",IF(OR(H277&lt;0,I277&lt;0),"Revisar signo",IF(AND(C277&lt;&gt;"Gasto",I277&lt;&gt;0),"IVA solo en Gasto",IF(AND(C277="Gasto",D277=""),"Falta categoría","OK")))))))))</f>
        <v/>
      </c>
    </row>
    <row r="278" spans="1:12" ht="22" customHeight="1">
      <c r="A278" s="3"/>
      <c r="B278" s="7"/>
      <c r="C278" s="3"/>
      <c r="D278" s="3"/>
      <c r="E278" s="3"/>
      <c r="F278" s="3"/>
      <c r="G278" s="3"/>
      <c r="H278" s="4"/>
      <c r="I278" s="4"/>
      <c r="J278" s="3"/>
      <c r="K278" s="8" t="str">
        <f t="shared" si="4"/>
        <v/>
      </c>
      <c r="L278" s="1" t="str">
        <f>IF(COUNTA(A278:J278)=0,"",IF(OR(AND(C278&lt;&gt;"Gasto",C278&lt;&gt;"Pago proveedor",C278&lt;&gt;"Retiro familiar",C278&lt;&gt;"Aportación",C278&lt;&gt;"Pago activo",C278&lt;&gt;"ISR devengado",C278&lt;&gt;"Pago ISR",C278&lt;&gt;"Pago IVA",C278&lt;&gt;"Compensación ISR",C278&lt;&gt;"Compensación IVA"),AND(C278="Gasto",D278&lt;&gt;"Costos clínicos",D278&lt;&gt;"Remuneración familiar",D278&lt;&gt;"Nómina y honorarios",D278&lt;&gt;"Renta",D278&lt;&gt;"Marketing",D278&lt;&gt;"Servicios y software",D278&lt;&gt;"Mantenimiento",D278&lt;&gt;"Otros",D278&lt;&gt;"Intereses")),"Tipo o categoría inválido",IF(COUNTA(A278:J278)=0,"",IF(OR(A278="",B278="",C278="",H278=""),"Faltan datos",IF(COUNTIF($A$7:$A$2006,A278)&gt;1,"ID duplicado",IF(OR(B278&lt;DATE(Configuración!$C$5,1,1),B278&gt;=DATE(Configuración!$C$5+1,1,1)),"Fecha fuera del año",IF(OR(H278&lt;0,I278&lt;0),"Revisar signo",IF(AND(C278&lt;&gt;"Gasto",I278&lt;&gt;0),"IVA solo en Gasto",IF(AND(C278="Gasto",D278=""),"Falta categoría","OK")))))))))</f>
        <v/>
      </c>
    </row>
    <row r="279" spans="1:12" ht="22" customHeight="1">
      <c r="A279" s="3"/>
      <c r="B279" s="7"/>
      <c r="C279" s="3"/>
      <c r="D279" s="3"/>
      <c r="E279" s="3"/>
      <c r="F279" s="3"/>
      <c r="G279" s="3"/>
      <c r="H279" s="4"/>
      <c r="I279" s="4"/>
      <c r="J279" s="3"/>
      <c r="K279" s="8" t="str">
        <f t="shared" si="4"/>
        <v/>
      </c>
      <c r="L279" s="1" t="str">
        <f>IF(COUNTA(A279:J279)=0,"",IF(OR(AND(C279&lt;&gt;"Gasto",C279&lt;&gt;"Pago proveedor",C279&lt;&gt;"Retiro familiar",C279&lt;&gt;"Aportación",C279&lt;&gt;"Pago activo",C279&lt;&gt;"ISR devengado",C279&lt;&gt;"Pago ISR",C279&lt;&gt;"Pago IVA",C279&lt;&gt;"Compensación ISR",C279&lt;&gt;"Compensación IVA"),AND(C279="Gasto",D279&lt;&gt;"Costos clínicos",D279&lt;&gt;"Remuneración familiar",D279&lt;&gt;"Nómina y honorarios",D279&lt;&gt;"Renta",D279&lt;&gt;"Marketing",D279&lt;&gt;"Servicios y software",D279&lt;&gt;"Mantenimiento",D279&lt;&gt;"Otros",D279&lt;&gt;"Intereses")),"Tipo o categoría inválido",IF(COUNTA(A279:J279)=0,"",IF(OR(A279="",B279="",C279="",H279=""),"Faltan datos",IF(COUNTIF($A$7:$A$2006,A279)&gt;1,"ID duplicado",IF(OR(B279&lt;DATE(Configuración!$C$5,1,1),B279&gt;=DATE(Configuración!$C$5+1,1,1)),"Fecha fuera del año",IF(OR(H279&lt;0,I279&lt;0),"Revisar signo",IF(AND(C279&lt;&gt;"Gasto",I279&lt;&gt;0),"IVA solo en Gasto",IF(AND(C279="Gasto",D279=""),"Falta categoría","OK")))))))))</f>
        <v/>
      </c>
    </row>
    <row r="280" spans="1:12" ht="22" customHeight="1">
      <c r="A280" s="3"/>
      <c r="B280" s="7"/>
      <c r="C280" s="3"/>
      <c r="D280" s="3"/>
      <c r="E280" s="3"/>
      <c r="F280" s="3"/>
      <c r="G280" s="3"/>
      <c r="H280" s="4"/>
      <c r="I280" s="4"/>
      <c r="J280" s="3"/>
      <c r="K280" s="8" t="str">
        <f t="shared" si="4"/>
        <v/>
      </c>
      <c r="L280" s="1" t="str">
        <f>IF(COUNTA(A280:J280)=0,"",IF(OR(AND(C280&lt;&gt;"Gasto",C280&lt;&gt;"Pago proveedor",C280&lt;&gt;"Retiro familiar",C280&lt;&gt;"Aportación",C280&lt;&gt;"Pago activo",C280&lt;&gt;"ISR devengado",C280&lt;&gt;"Pago ISR",C280&lt;&gt;"Pago IVA",C280&lt;&gt;"Compensación ISR",C280&lt;&gt;"Compensación IVA"),AND(C280="Gasto",D280&lt;&gt;"Costos clínicos",D280&lt;&gt;"Remuneración familiar",D280&lt;&gt;"Nómina y honorarios",D280&lt;&gt;"Renta",D280&lt;&gt;"Marketing",D280&lt;&gt;"Servicios y software",D280&lt;&gt;"Mantenimiento",D280&lt;&gt;"Otros",D280&lt;&gt;"Intereses")),"Tipo o categoría inválido",IF(COUNTA(A280:J280)=0,"",IF(OR(A280="",B280="",C280="",H280=""),"Faltan datos",IF(COUNTIF($A$7:$A$2006,A280)&gt;1,"ID duplicado",IF(OR(B280&lt;DATE(Configuración!$C$5,1,1),B280&gt;=DATE(Configuración!$C$5+1,1,1)),"Fecha fuera del año",IF(OR(H280&lt;0,I280&lt;0),"Revisar signo",IF(AND(C280&lt;&gt;"Gasto",I280&lt;&gt;0),"IVA solo en Gasto",IF(AND(C280="Gasto",D280=""),"Falta categoría","OK")))))))))</f>
        <v/>
      </c>
    </row>
    <row r="281" spans="1:12" ht="22" customHeight="1">
      <c r="A281" s="3"/>
      <c r="B281" s="7"/>
      <c r="C281" s="3"/>
      <c r="D281" s="3"/>
      <c r="E281" s="3"/>
      <c r="F281" s="3"/>
      <c r="G281" s="3"/>
      <c r="H281" s="4"/>
      <c r="I281" s="4"/>
      <c r="J281" s="3"/>
      <c r="K281" s="8" t="str">
        <f t="shared" si="4"/>
        <v/>
      </c>
      <c r="L281" s="1" t="str">
        <f>IF(COUNTA(A281:J281)=0,"",IF(OR(AND(C281&lt;&gt;"Gasto",C281&lt;&gt;"Pago proveedor",C281&lt;&gt;"Retiro familiar",C281&lt;&gt;"Aportación",C281&lt;&gt;"Pago activo",C281&lt;&gt;"ISR devengado",C281&lt;&gt;"Pago ISR",C281&lt;&gt;"Pago IVA",C281&lt;&gt;"Compensación ISR",C281&lt;&gt;"Compensación IVA"),AND(C281="Gasto",D281&lt;&gt;"Costos clínicos",D281&lt;&gt;"Remuneración familiar",D281&lt;&gt;"Nómina y honorarios",D281&lt;&gt;"Renta",D281&lt;&gt;"Marketing",D281&lt;&gt;"Servicios y software",D281&lt;&gt;"Mantenimiento",D281&lt;&gt;"Otros",D281&lt;&gt;"Intereses")),"Tipo o categoría inválido",IF(COUNTA(A281:J281)=0,"",IF(OR(A281="",B281="",C281="",H281=""),"Faltan datos",IF(COUNTIF($A$7:$A$2006,A281)&gt;1,"ID duplicado",IF(OR(B281&lt;DATE(Configuración!$C$5,1,1),B281&gt;=DATE(Configuración!$C$5+1,1,1)),"Fecha fuera del año",IF(OR(H281&lt;0,I281&lt;0),"Revisar signo",IF(AND(C281&lt;&gt;"Gasto",I281&lt;&gt;0),"IVA solo en Gasto",IF(AND(C281="Gasto",D281=""),"Falta categoría","OK")))))))))</f>
        <v/>
      </c>
    </row>
    <row r="282" spans="1:12" ht="22" customHeight="1">
      <c r="A282" s="3"/>
      <c r="B282" s="7"/>
      <c r="C282" s="3"/>
      <c r="D282" s="3"/>
      <c r="E282" s="3"/>
      <c r="F282" s="3"/>
      <c r="G282" s="3"/>
      <c r="H282" s="4"/>
      <c r="I282" s="4"/>
      <c r="J282" s="3"/>
      <c r="K282" s="8" t="str">
        <f t="shared" si="4"/>
        <v/>
      </c>
      <c r="L282" s="1" t="str">
        <f>IF(COUNTA(A282:J282)=0,"",IF(OR(AND(C282&lt;&gt;"Gasto",C282&lt;&gt;"Pago proveedor",C282&lt;&gt;"Retiro familiar",C282&lt;&gt;"Aportación",C282&lt;&gt;"Pago activo",C282&lt;&gt;"ISR devengado",C282&lt;&gt;"Pago ISR",C282&lt;&gt;"Pago IVA",C282&lt;&gt;"Compensación ISR",C282&lt;&gt;"Compensación IVA"),AND(C282="Gasto",D282&lt;&gt;"Costos clínicos",D282&lt;&gt;"Remuneración familiar",D282&lt;&gt;"Nómina y honorarios",D282&lt;&gt;"Renta",D282&lt;&gt;"Marketing",D282&lt;&gt;"Servicios y software",D282&lt;&gt;"Mantenimiento",D282&lt;&gt;"Otros",D282&lt;&gt;"Intereses")),"Tipo o categoría inválido",IF(COUNTA(A282:J282)=0,"",IF(OR(A282="",B282="",C282="",H282=""),"Faltan datos",IF(COUNTIF($A$7:$A$2006,A282)&gt;1,"ID duplicado",IF(OR(B282&lt;DATE(Configuración!$C$5,1,1),B282&gt;=DATE(Configuración!$C$5+1,1,1)),"Fecha fuera del año",IF(OR(H282&lt;0,I282&lt;0),"Revisar signo",IF(AND(C282&lt;&gt;"Gasto",I282&lt;&gt;0),"IVA solo en Gasto",IF(AND(C282="Gasto",D282=""),"Falta categoría","OK")))))))))</f>
        <v/>
      </c>
    </row>
    <row r="283" spans="1:12" ht="22" customHeight="1">
      <c r="A283" s="3"/>
      <c r="B283" s="7"/>
      <c r="C283" s="3"/>
      <c r="D283" s="3"/>
      <c r="E283" s="3"/>
      <c r="F283" s="3"/>
      <c r="G283" s="3"/>
      <c r="H283" s="4"/>
      <c r="I283" s="4"/>
      <c r="J283" s="3"/>
      <c r="K283" s="8" t="str">
        <f t="shared" si="4"/>
        <v/>
      </c>
      <c r="L283" s="1" t="str">
        <f>IF(COUNTA(A283:J283)=0,"",IF(OR(AND(C283&lt;&gt;"Gasto",C283&lt;&gt;"Pago proveedor",C283&lt;&gt;"Retiro familiar",C283&lt;&gt;"Aportación",C283&lt;&gt;"Pago activo",C283&lt;&gt;"ISR devengado",C283&lt;&gt;"Pago ISR",C283&lt;&gt;"Pago IVA",C283&lt;&gt;"Compensación ISR",C283&lt;&gt;"Compensación IVA"),AND(C283="Gasto",D283&lt;&gt;"Costos clínicos",D283&lt;&gt;"Remuneración familiar",D283&lt;&gt;"Nómina y honorarios",D283&lt;&gt;"Renta",D283&lt;&gt;"Marketing",D283&lt;&gt;"Servicios y software",D283&lt;&gt;"Mantenimiento",D283&lt;&gt;"Otros",D283&lt;&gt;"Intereses")),"Tipo o categoría inválido",IF(COUNTA(A283:J283)=0,"",IF(OR(A283="",B283="",C283="",H283=""),"Faltan datos",IF(COUNTIF($A$7:$A$2006,A283)&gt;1,"ID duplicado",IF(OR(B283&lt;DATE(Configuración!$C$5,1,1),B283&gt;=DATE(Configuración!$C$5+1,1,1)),"Fecha fuera del año",IF(OR(H283&lt;0,I283&lt;0),"Revisar signo",IF(AND(C283&lt;&gt;"Gasto",I283&lt;&gt;0),"IVA solo en Gasto",IF(AND(C283="Gasto",D283=""),"Falta categoría","OK")))))))))</f>
        <v/>
      </c>
    </row>
    <row r="284" spans="1:12" ht="22" customHeight="1">
      <c r="A284" s="3"/>
      <c r="B284" s="7"/>
      <c r="C284" s="3"/>
      <c r="D284" s="3"/>
      <c r="E284" s="3"/>
      <c r="F284" s="3"/>
      <c r="G284" s="3"/>
      <c r="H284" s="4"/>
      <c r="I284" s="4"/>
      <c r="J284" s="3"/>
      <c r="K284" s="8" t="str">
        <f t="shared" si="4"/>
        <v/>
      </c>
      <c r="L284" s="1" t="str">
        <f>IF(COUNTA(A284:J284)=0,"",IF(OR(AND(C284&lt;&gt;"Gasto",C284&lt;&gt;"Pago proveedor",C284&lt;&gt;"Retiro familiar",C284&lt;&gt;"Aportación",C284&lt;&gt;"Pago activo",C284&lt;&gt;"ISR devengado",C284&lt;&gt;"Pago ISR",C284&lt;&gt;"Pago IVA",C284&lt;&gt;"Compensación ISR",C284&lt;&gt;"Compensación IVA"),AND(C284="Gasto",D284&lt;&gt;"Costos clínicos",D284&lt;&gt;"Remuneración familiar",D284&lt;&gt;"Nómina y honorarios",D284&lt;&gt;"Renta",D284&lt;&gt;"Marketing",D284&lt;&gt;"Servicios y software",D284&lt;&gt;"Mantenimiento",D284&lt;&gt;"Otros",D284&lt;&gt;"Intereses")),"Tipo o categoría inválido",IF(COUNTA(A284:J284)=0,"",IF(OR(A284="",B284="",C284="",H284=""),"Faltan datos",IF(COUNTIF($A$7:$A$2006,A284)&gt;1,"ID duplicado",IF(OR(B284&lt;DATE(Configuración!$C$5,1,1),B284&gt;=DATE(Configuración!$C$5+1,1,1)),"Fecha fuera del año",IF(OR(H284&lt;0,I284&lt;0),"Revisar signo",IF(AND(C284&lt;&gt;"Gasto",I284&lt;&gt;0),"IVA solo en Gasto",IF(AND(C284="Gasto",D284=""),"Falta categoría","OK")))))))))</f>
        <v/>
      </c>
    </row>
    <row r="285" spans="1:12" ht="22" customHeight="1">
      <c r="A285" s="3"/>
      <c r="B285" s="7"/>
      <c r="C285" s="3"/>
      <c r="D285" s="3"/>
      <c r="E285" s="3"/>
      <c r="F285" s="3"/>
      <c r="G285" s="3"/>
      <c r="H285" s="4"/>
      <c r="I285" s="4"/>
      <c r="J285" s="3"/>
      <c r="K285" s="8" t="str">
        <f t="shared" si="4"/>
        <v/>
      </c>
      <c r="L285" s="1" t="str">
        <f>IF(COUNTA(A285:J285)=0,"",IF(OR(AND(C285&lt;&gt;"Gasto",C285&lt;&gt;"Pago proveedor",C285&lt;&gt;"Retiro familiar",C285&lt;&gt;"Aportación",C285&lt;&gt;"Pago activo",C285&lt;&gt;"ISR devengado",C285&lt;&gt;"Pago ISR",C285&lt;&gt;"Pago IVA",C285&lt;&gt;"Compensación ISR",C285&lt;&gt;"Compensación IVA"),AND(C285="Gasto",D285&lt;&gt;"Costos clínicos",D285&lt;&gt;"Remuneración familiar",D285&lt;&gt;"Nómina y honorarios",D285&lt;&gt;"Renta",D285&lt;&gt;"Marketing",D285&lt;&gt;"Servicios y software",D285&lt;&gt;"Mantenimiento",D285&lt;&gt;"Otros",D285&lt;&gt;"Intereses")),"Tipo o categoría inválido",IF(COUNTA(A285:J285)=0,"",IF(OR(A285="",B285="",C285="",H285=""),"Faltan datos",IF(COUNTIF($A$7:$A$2006,A285)&gt;1,"ID duplicado",IF(OR(B285&lt;DATE(Configuración!$C$5,1,1),B285&gt;=DATE(Configuración!$C$5+1,1,1)),"Fecha fuera del año",IF(OR(H285&lt;0,I285&lt;0),"Revisar signo",IF(AND(C285&lt;&gt;"Gasto",I285&lt;&gt;0),"IVA solo en Gasto",IF(AND(C285="Gasto",D285=""),"Falta categoría","OK")))))))))</f>
        <v/>
      </c>
    </row>
    <row r="286" spans="1:12" ht="22" customHeight="1">
      <c r="A286" s="3"/>
      <c r="B286" s="7"/>
      <c r="C286" s="3"/>
      <c r="D286" s="3"/>
      <c r="E286" s="3"/>
      <c r="F286" s="3"/>
      <c r="G286" s="3"/>
      <c r="H286" s="4"/>
      <c r="I286" s="4"/>
      <c r="J286" s="3"/>
      <c r="K286" s="8" t="str">
        <f t="shared" si="4"/>
        <v/>
      </c>
      <c r="L286" s="1" t="str">
        <f>IF(COUNTA(A286:J286)=0,"",IF(OR(AND(C286&lt;&gt;"Gasto",C286&lt;&gt;"Pago proveedor",C286&lt;&gt;"Retiro familiar",C286&lt;&gt;"Aportación",C286&lt;&gt;"Pago activo",C286&lt;&gt;"ISR devengado",C286&lt;&gt;"Pago ISR",C286&lt;&gt;"Pago IVA",C286&lt;&gt;"Compensación ISR",C286&lt;&gt;"Compensación IVA"),AND(C286="Gasto",D286&lt;&gt;"Costos clínicos",D286&lt;&gt;"Remuneración familiar",D286&lt;&gt;"Nómina y honorarios",D286&lt;&gt;"Renta",D286&lt;&gt;"Marketing",D286&lt;&gt;"Servicios y software",D286&lt;&gt;"Mantenimiento",D286&lt;&gt;"Otros",D286&lt;&gt;"Intereses")),"Tipo o categoría inválido",IF(COUNTA(A286:J286)=0,"",IF(OR(A286="",B286="",C286="",H286=""),"Faltan datos",IF(COUNTIF($A$7:$A$2006,A286)&gt;1,"ID duplicado",IF(OR(B286&lt;DATE(Configuración!$C$5,1,1),B286&gt;=DATE(Configuración!$C$5+1,1,1)),"Fecha fuera del año",IF(OR(H286&lt;0,I286&lt;0),"Revisar signo",IF(AND(C286&lt;&gt;"Gasto",I286&lt;&gt;0),"IVA solo en Gasto",IF(AND(C286="Gasto",D286=""),"Falta categoría","OK")))))))))</f>
        <v/>
      </c>
    </row>
    <row r="287" spans="1:12" ht="22" customHeight="1">
      <c r="A287" s="3"/>
      <c r="B287" s="7"/>
      <c r="C287" s="3"/>
      <c r="D287" s="3"/>
      <c r="E287" s="3"/>
      <c r="F287" s="3"/>
      <c r="G287" s="3"/>
      <c r="H287" s="4"/>
      <c r="I287" s="4"/>
      <c r="J287" s="3"/>
      <c r="K287" s="8" t="str">
        <f t="shared" si="4"/>
        <v/>
      </c>
      <c r="L287" s="1" t="str">
        <f>IF(COUNTA(A287:J287)=0,"",IF(OR(AND(C287&lt;&gt;"Gasto",C287&lt;&gt;"Pago proveedor",C287&lt;&gt;"Retiro familiar",C287&lt;&gt;"Aportación",C287&lt;&gt;"Pago activo",C287&lt;&gt;"ISR devengado",C287&lt;&gt;"Pago ISR",C287&lt;&gt;"Pago IVA",C287&lt;&gt;"Compensación ISR",C287&lt;&gt;"Compensación IVA"),AND(C287="Gasto",D287&lt;&gt;"Costos clínicos",D287&lt;&gt;"Remuneración familiar",D287&lt;&gt;"Nómina y honorarios",D287&lt;&gt;"Renta",D287&lt;&gt;"Marketing",D287&lt;&gt;"Servicios y software",D287&lt;&gt;"Mantenimiento",D287&lt;&gt;"Otros",D287&lt;&gt;"Intereses")),"Tipo o categoría inválido",IF(COUNTA(A287:J287)=0,"",IF(OR(A287="",B287="",C287="",H287=""),"Faltan datos",IF(COUNTIF($A$7:$A$2006,A287)&gt;1,"ID duplicado",IF(OR(B287&lt;DATE(Configuración!$C$5,1,1),B287&gt;=DATE(Configuración!$C$5+1,1,1)),"Fecha fuera del año",IF(OR(H287&lt;0,I287&lt;0),"Revisar signo",IF(AND(C287&lt;&gt;"Gasto",I287&lt;&gt;0),"IVA solo en Gasto",IF(AND(C287="Gasto",D287=""),"Falta categoría","OK")))))))))</f>
        <v/>
      </c>
    </row>
    <row r="288" spans="1:12" ht="22" customHeight="1">
      <c r="A288" s="3"/>
      <c r="B288" s="7"/>
      <c r="C288" s="3"/>
      <c r="D288" s="3"/>
      <c r="E288" s="3"/>
      <c r="F288" s="3"/>
      <c r="G288" s="3"/>
      <c r="H288" s="4"/>
      <c r="I288" s="4"/>
      <c r="J288" s="3"/>
      <c r="K288" s="8" t="str">
        <f t="shared" si="4"/>
        <v/>
      </c>
      <c r="L288" s="1" t="str">
        <f>IF(COUNTA(A288:J288)=0,"",IF(OR(AND(C288&lt;&gt;"Gasto",C288&lt;&gt;"Pago proveedor",C288&lt;&gt;"Retiro familiar",C288&lt;&gt;"Aportación",C288&lt;&gt;"Pago activo",C288&lt;&gt;"ISR devengado",C288&lt;&gt;"Pago ISR",C288&lt;&gt;"Pago IVA",C288&lt;&gt;"Compensación ISR",C288&lt;&gt;"Compensación IVA"),AND(C288="Gasto",D288&lt;&gt;"Costos clínicos",D288&lt;&gt;"Remuneración familiar",D288&lt;&gt;"Nómina y honorarios",D288&lt;&gt;"Renta",D288&lt;&gt;"Marketing",D288&lt;&gt;"Servicios y software",D288&lt;&gt;"Mantenimiento",D288&lt;&gt;"Otros",D288&lt;&gt;"Intereses")),"Tipo o categoría inválido",IF(COUNTA(A288:J288)=0,"",IF(OR(A288="",B288="",C288="",H288=""),"Faltan datos",IF(COUNTIF($A$7:$A$2006,A288)&gt;1,"ID duplicado",IF(OR(B288&lt;DATE(Configuración!$C$5,1,1),B288&gt;=DATE(Configuración!$C$5+1,1,1)),"Fecha fuera del año",IF(OR(H288&lt;0,I288&lt;0),"Revisar signo",IF(AND(C288&lt;&gt;"Gasto",I288&lt;&gt;0),"IVA solo en Gasto",IF(AND(C288="Gasto",D288=""),"Falta categoría","OK")))))))))</f>
        <v/>
      </c>
    </row>
    <row r="289" spans="1:12" ht="22" customHeight="1">
      <c r="A289" s="3"/>
      <c r="B289" s="7"/>
      <c r="C289" s="3"/>
      <c r="D289" s="3"/>
      <c r="E289" s="3"/>
      <c r="F289" s="3"/>
      <c r="G289" s="3"/>
      <c r="H289" s="4"/>
      <c r="I289" s="4"/>
      <c r="J289" s="3"/>
      <c r="K289" s="8" t="str">
        <f t="shared" si="4"/>
        <v/>
      </c>
      <c r="L289" s="1" t="str">
        <f>IF(COUNTA(A289:J289)=0,"",IF(OR(AND(C289&lt;&gt;"Gasto",C289&lt;&gt;"Pago proveedor",C289&lt;&gt;"Retiro familiar",C289&lt;&gt;"Aportación",C289&lt;&gt;"Pago activo",C289&lt;&gt;"ISR devengado",C289&lt;&gt;"Pago ISR",C289&lt;&gt;"Pago IVA",C289&lt;&gt;"Compensación ISR",C289&lt;&gt;"Compensación IVA"),AND(C289="Gasto",D289&lt;&gt;"Costos clínicos",D289&lt;&gt;"Remuneración familiar",D289&lt;&gt;"Nómina y honorarios",D289&lt;&gt;"Renta",D289&lt;&gt;"Marketing",D289&lt;&gt;"Servicios y software",D289&lt;&gt;"Mantenimiento",D289&lt;&gt;"Otros",D289&lt;&gt;"Intereses")),"Tipo o categoría inválido",IF(COUNTA(A289:J289)=0,"",IF(OR(A289="",B289="",C289="",H289=""),"Faltan datos",IF(COUNTIF($A$7:$A$2006,A289)&gt;1,"ID duplicado",IF(OR(B289&lt;DATE(Configuración!$C$5,1,1),B289&gt;=DATE(Configuración!$C$5+1,1,1)),"Fecha fuera del año",IF(OR(H289&lt;0,I289&lt;0),"Revisar signo",IF(AND(C289&lt;&gt;"Gasto",I289&lt;&gt;0),"IVA solo en Gasto",IF(AND(C289="Gasto",D289=""),"Falta categoría","OK")))))))))</f>
        <v/>
      </c>
    </row>
    <row r="290" spans="1:12" ht="22" customHeight="1">
      <c r="A290" s="3"/>
      <c r="B290" s="7"/>
      <c r="C290" s="3"/>
      <c r="D290" s="3"/>
      <c r="E290" s="3"/>
      <c r="F290" s="3"/>
      <c r="G290" s="3"/>
      <c r="H290" s="4"/>
      <c r="I290" s="4"/>
      <c r="J290" s="3"/>
      <c r="K290" s="8" t="str">
        <f t="shared" si="4"/>
        <v/>
      </c>
      <c r="L290" s="1" t="str">
        <f>IF(COUNTA(A290:J290)=0,"",IF(OR(AND(C290&lt;&gt;"Gasto",C290&lt;&gt;"Pago proveedor",C290&lt;&gt;"Retiro familiar",C290&lt;&gt;"Aportación",C290&lt;&gt;"Pago activo",C290&lt;&gt;"ISR devengado",C290&lt;&gt;"Pago ISR",C290&lt;&gt;"Pago IVA",C290&lt;&gt;"Compensación ISR",C290&lt;&gt;"Compensación IVA"),AND(C290="Gasto",D290&lt;&gt;"Costos clínicos",D290&lt;&gt;"Remuneración familiar",D290&lt;&gt;"Nómina y honorarios",D290&lt;&gt;"Renta",D290&lt;&gt;"Marketing",D290&lt;&gt;"Servicios y software",D290&lt;&gt;"Mantenimiento",D290&lt;&gt;"Otros",D290&lt;&gt;"Intereses")),"Tipo o categoría inválido",IF(COUNTA(A290:J290)=0,"",IF(OR(A290="",B290="",C290="",H290=""),"Faltan datos",IF(COUNTIF($A$7:$A$2006,A290)&gt;1,"ID duplicado",IF(OR(B290&lt;DATE(Configuración!$C$5,1,1),B290&gt;=DATE(Configuración!$C$5+1,1,1)),"Fecha fuera del año",IF(OR(H290&lt;0,I290&lt;0),"Revisar signo",IF(AND(C290&lt;&gt;"Gasto",I290&lt;&gt;0),"IVA solo en Gasto",IF(AND(C290="Gasto",D290=""),"Falta categoría","OK")))))))))</f>
        <v/>
      </c>
    </row>
    <row r="291" spans="1:12" ht="22" customHeight="1">
      <c r="A291" s="3"/>
      <c r="B291" s="7"/>
      <c r="C291" s="3"/>
      <c r="D291" s="3"/>
      <c r="E291" s="3"/>
      <c r="F291" s="3"/>
      <c r="G291" s="3"/>
      <c r="H291" s="4"/>
      <c r="I291" s="4"/>
      <c r="J291" s="3"/>
      <c r="K291" s="8" t="str">
        <f t="shared" si="4"/>
        <v/>
      </c>
      <c r="L291" s="1" t="str">
        <f>IF(COUNTA(A291:J291)=0,"",IF(OR(AND(C291&lt;&gt;"Gasto",C291&lt;&gt;"Pago proveedor",C291&lt;&gt;"Retiro familiar",C291&lt;&gt;"Aportación",C291&lt;&gt;"Pago activo",C291&lt;&gt;"ISR devengado",C291&lt;&gt;"Pago ISR",C291&lt;&gt;"Pago IVA",C291&lt;&gt;"Compensación ISR",C291&lt;&gt;"Compensación IVA"),AND(C291="Gasto",D291&lt;&gt;"Costos clínicos",D291&lt;&gt;"Remuneración familiar",D291&lt;&gt;"Nómina y honorarios",D291&lt;&gt;"Renta",D291&lt;&gt;"Marketing",D291&lt;&gt;"Servicios y software",D291&lt;&gt;"Mantenimiento",D291&lt;&gt;"Otros",D291&lt;&gt;"Intereses")),"Tipo o categoría inválido",IF(COUNTA(A291:J291)=0,"",IF(OR(A291="",B291="",C291="",H291=""),"Faltan datos",IF(COUNTIF($A$7:$A$2006,A291)&gt;1,"ID duplicado",IF(OR(B291&lt;DATE(Configuración!$C$5,1,1),B291&gt;=DATE(Configuración!$C$5+1,1,1)),"Fecha fuera del año",IF(OR(H291&lt;0,I291&lt;0),"Revisar signo",IF(AND(C291&lt;&gt;"Gasto",I291&lt;&gt;0),"IVA solo en Gasto",IF(AND(C291="Gasto",D291=""),"Falta categoría","OK")))))))))</f>
        <v/>
      </c>
    </row>
    <row r="292" spans="1:12" ht="22" customHeight="1">
      <c r="A292" s="3"/>
      <c r="B292" s="7"/>
      <c r="C292" s="3"/>
      <c r="D292" s="3"/>
      <c r="E292" s="3"/>
      <c r="F292" s="3"/>
      <c r="G292" s="3"/>
      <c r="H292" s="4"/>
      <c r="I292" s="4"/>
      <c r="J292" s="3"/>
      <c r="K292" s="8" t="str">
        <f t="shared" si="4"/>
        <v/>
      </c>
      <c r="L292" s="1" t="str">
        <f>IF(COUNTA(A292:J292)=0,"",IF(OR(AND(C292&lt;&gt;"Gasto",C292&lt;&gt;"Pago proveedor",C292&lt;&gt;"Retiro familiar",C292&lt;&gt;"Aportación",C292&lt;&gt;"Pago activo",C292&lt;&gt;"ISR devengado",C292&lt;&gt;"Pago ISR",C292&lt;&gt;"Pago IVA",C292&lt;&gt;"Compensación ISR",C292&lt;&gt;"Compensación IVA"),AND(C292="Gasto",D292&lt;&gt;"Costos clínicos",D292&lt;&gt;"Remuneración familiar",D292&lt;&gt;"Nómina y honorarios",D292&lt;&gt;"Renta",D292&lt;&gt;"Marketing",D292&lt;&gt;"Servicios y software",D292&lt;&gt;"Mantenimiento",D292&lt;&gt;"Otros",D292&lt;&gt;"Intereses")),"Tipo o categoría inválido",IF(COUNTA(A292:J292)=0,"",IF(OR(A292="",B292="",C292="",H292=""),"Faltan datos",IF(COUNTIF($A$7:$A$2006,A292)&gt;1,"ID duplicado",IF(OR(B292&lt;DATE(Configuración!$C$5,1,1),B292&gt;=DATE(Configuración!$C$5+1,1,1)),"Fecha fuera del año",IF(OR(H292&lt;0,I292&lt;0),"Revisar signo",IF(AND(C292&lt;&gt;"Gasto",I292&lt;&gt;0),"IVA solo en Gasto",IF(AND(C292="Gasto",D292=""),"Falta categoría","OK")))))))))</f>
        <v/>
      </c>
    </row>
    <row r="293" spans="1:12" ht="22" customHeight="1">
      <c r="A293" s="3"/>
      <c r="B293" s="7"/>
      <c r="C293" s="3"/>
      <c r="D293" s="3"/>
      <c r="E293" s="3"/>
      <c r="F293" s="3"/>
      <c r="G293" s="3"/>
      <c r="H293" s="4"/>
      <c r="I293" s="4"/>
      <c r="J293" s="3"/>
      <c r="K293" s="8" t="str">
        <f t="shared" si="4"/>
        <v/>
      </c>
      <c r="L293" s="1" t="str">
        <f>IF(COUNTA(A293:J293)=0,"",IF(OR(AND(C293&lt;&gt;"Gasto",C293&lt;&gt;"Pago proveedor",C293&lt;&gt;"Retiro familiar",C293&lt;&gt;"Aportación",C293&lt;&gt;"Pago activo",C293&lt;&gt;"ISR devengado",C293&lt;&gt;"Pago ISR",C293&lt;&gt;"Pago IVA",C293&lt;&gt;"Compensación ISR",C293&lt;&gt;"Compensación IVA"),AND(C293="Gasto",D293&lt;&gt;"Costos clínicos",D293&lt;&gt;"Remuneración familiar",D293&lt;&gt;"Nómina y honorarios",D293&lt;&gt;"Renta",D293&lt;&gt;"Marketing",D293&lt;&gt;"Servicios y software",D293&lt;&gt;"Mantenimiento",D293&lt;&gt;"Otros",D293&lt;&gt;"Intereses")),"Tipo o categoría inválido",IF(COUNTA(A293:J293)=0,"",IF(OR(A293="",B293="",C293="",H293=""),"Faltan datos",IF(COUNTIF($A$7:$A$2006,A293)&gt;1,"ID duplicado",IF(OR(B293&lt;DATE(Configuración!$C$5,1,1),B293&gt;=DATE(Configuración!$C$5+1,1,1)),"Fecha fuera del año",IF(OR(H293&lt;0,I293&lt;0),"Revisar signo",IF(AND(C293&lt;&gt;"Gasto",I293&lt;&gt;0),"IVA solo en Gasto",IF(AND(C293="Gasto",D293=""),"Falta categoría","OK")))))))))</f>
        <v/>
      </c>
    </row>
    <row r="294" spans="1:12" ht="22" customHeight="1">
      <c r="A294" s="3"/>
      <c r="B294" s="7"/>
      <c r="C294" s="3"/>
      <c r="D294" s="3"/>
      <c r="E294" s="3"/>
      <c r="F294" s="3"/>
      <c r="G294" s="3"/>
      <c r="H294" s="4"/>
      <c r="I294" s="4"/>
      <c r="J294" s="3"/>
      <c r="K294" s="8" t="str">
        <f t="shared" si="4"/>
        <v/>
      </c>
      <c r="L294" s="1" t="str">
        <f>IF(COUNTA(A294:J294)=0,"",IF(OR(AND(C294&lt;&gt;"Gasto",C294&lt;&gt;"Pago proveedor",C294&lt;&gt;"Retiro familiar",C294&lt;&gt;"Aportación",C294&lt;&gt;"Pago activo",C294&lt;&gt;"ISR devengado",C294&lt;&gt;"Pago ISR",C294&lt;&gt;"Pago IVA",C294&lt;&gt;"Compensación ISR",C294&lt;&gt;"Compensación IVA"),AND(C294="Gasto",D294&lt;&gt;"Costos clínicos",D294&lt;&gt;"Remuneración familiar",D294&lt;&gt;"Nómina y honorarios",D294&lt;&gt;"Renta",D294&lt;&gt;"Marketing",D294&lt;&gt;"Servicios y software",D294&lt;&gt;"Mantenimiento",D294&lt;&gt;"Otros",D294&lt;&gt;"Intereses")),"Tipo o categoría inválido",IF(COUNTA(A294:J294)=0,"",IF(OR(A294="",B294="",C294="",H294=""),"Faltan datos",IF(COUNTIF($A$7:$A$2006,A294)&gt;1,"ID duplicado",IF(OR(B294&lt;DATE(Configuración!$C$5,1,1),B294&gt;=DATE(Configuración!$C$5+1,1,1)),"Fecha fuera del año",IF(OR(H294&lt;0,I294&lt;0),"Revisar signo",IF(AND(C294&lt;&gt;"Gasto",I294&lt;&gt;0),"IVA solo en Gasto",IF(AND(C294="Gasto",D294=""),"Falta categoría","OK")))))))))</f>
        <v/>
      </c>
    </row>
    <row r="295" spans="1:12" ht="22" customHeight="1">
      <c r="A295" s="3"/>
      <c r="B295" s="7"/>
      <c r="C295" s="3"/>
      <c r="D295" s="3"/>
      <c r="E295" s="3"/>
      <c r="F295" s="3"/>
      <c r="G295" s="3"/>
      <c r="H295" s="4"/>
      <c r="I295" s="4"/>
      <c r="J295" s="3"/>
      <c r="K295" s="8" t="str">
        <f t="shared" si="4"/>
        <v/>
      </c>
      <c r="L295" s="1" t="str">
        <f>IF(COUNTA(A295:J295)=0,"",IF(OR(AND(C295&lt;&gt;"Gasto",C295&lt;&gt;"Pago proveedor",C295&lt;&gt;"Retiro familiar",C295&lt;&gt;"Aportación",C295&lt;&gt;"Pago activo",C295&lt;&gt;"ISR devengado",C295&lt;&gt;"Pago ISR",C295&lt;&gt;"Pago IVA",C295&lt;&gt;"Compensación ISR",C295&lt;&gt;"Compensación IVA"),AND(C295="Gasto",D295&lt;&gt;"Costos clínicos",D295&lt;&gt;"Remuneración familiar",D295&lt;&gt;"Nómina y honorarios",D295&lt;&gt;"Renta",D295&lt;&gt;"Marketing",D295&lt;&gt;"Servicios y software",D295&lt;&gt;"Mantenimiento",D295&lt;&gt;"Otros",D295&lt;&gt;"Intereses")),"Tipo o categoría inválido",IF(COUNTA(A295:J295)=0,"",IF(OR(A295="",B295="",C295="",H295=""),"Faltan datos",IF(COUNTIF($A$7:$A$2006,A295)&gt;1,"ID duplicado",IF(OR(B295&lt;DATE(Configuración!$C$5,1,1),B295&gt;=DATE(Configuración!$C$5+1,1,1)),"Fecha fuera del año",IF(OR(H295&lt;0,I295&lt;0),"Revisar signo",IF(AND(C295&lt;&gt;"Gasto",I295&lt;&gt;0),"IVA solo en Gasto",IF(AND(C295="Gasto",D295=""),"Falta categoría","OK")))))))))</f>
        <v/>
      </c>
    </row>
    <row r="296" spans="1:12" ht="22" customHeight="1">
      <c r="A296" s="3"/>
      <c r="B296" s="7"/>
      <c r="C296" s="3"/>
      <c r="D296" s="3"/>
      <c r="E296" s="3"/>
      <c r="F296" s="3"/>
      <c r="G296" s="3"/>
      <c r="H296" s="4"/>
      <c r="I296" s="4"/>
      <c r="J296" s="3"/>
      <c r="K296" s="8" t="str">
        <f t="shared" si="4"/>
        <v/>
      </c>
      <c r="L296" s="1" t="str">
        <f>IF(COUNTA(A296:J296)=0,"",IF(OR(AND(C296&lt;&gt;"Gasto",C296&lt;&gt;"Pago proveedor",C296&lt;&gt;"Retiro familiar",C296&lt;&gt;"Aportación",C296&lt;&gt;"Pago activo",C296&lt;&gt;"ISR devengado",C296&lt;&gt;"Pago ISR",C296&lt;&gt;"Pago IVA",C296&lt;&gt;"Compensación ISR",C296&lt;&gt;"Compensación IVA"),AND(C296="Gasto",D296&lt;&gt;"Costos clínicos",D296&lt;&gt;"Remuneración familiar",D296&lt;&gt;"Nómina y honorarios",D296&lt;&gt;"Renta",D296&lt;&gt;"Marketing",D296&lt;&gt;"Servicios y software",D296&lt;&gt;"Mantenimiento",D296&lt;&gt;"Otros",D296&lt;&gt;"Intereses")),"Tipo o categoría inválido",IF(COUNTA(A296:J296)=0,"",IF(OR(A296="",B296="",C296="",H296=""),"Faltan datos",IF(COUNTIF($A$7:$A$2006,A296)&gt;1,"ID duplicado",IF(OR(B296&lt;DATE(Configuración!$C$5,1,1),B296&gt;=DATE(Configuración!$C$5+1,1,1)),"Fecha fuera del año",IF(OR(H296&lt;0,I296&lt;0),"Revisar signo",IF(AND(C296&lt;&gt;"Gasto",I296&lt;&gt;0),"IVA solo en Gasto",IF(AND(C296="Gasto",D296=""),"Falta categoría","OK")))))))))</f>
        <v/>
      </c>
    </row>
    <row r="297" spans="1:12" ht="22" customHeight="1">
      <c r="A297" s="3"/>
      <c r="B297" s="7"/>
      <c r="C297" s="3"/>
      <c r="D297" s="3"/>
      <c r="E297" s="3"/>
      <c r="F297" s="3"/>
      <c r="G297" s="3"/>
      <c r="H297" s="4"/>
      <c r="I297" s="4"/>
      <c r="J297" s="3"/>
      <c r="K297" s="8" t="str">
        <f t="shared" si="4"/>
        <v/>
      </c>
      <c r="L297" s="1" t="str">
        <f>IF(COUNTA(A297:J297)=0,"",IF(OR(AND(C297&lt;&gt;"Gasto",C297&lt;&gt;"Pago proveedor",C297&lt;&gt;"Retiro familiar",C297&lt;&gt;"Aportación",C297&lt;&gt;"Pago activo",C297&lt;&gt;"ISR devengado",C297&lt;&gt;"Pago ISR",C297&lt;&gt;"Pago IVA",C297&lt;&gt;"Compensación ISR",C297&lt;&gt;"Compensación IVA"),AND(C297="Gasto",D297&lt;&gt;"Costos clínicos",D297&lt;&gt;"Remuneración familiar",D297&lt;&gt;"Nómina y honorarios",D297&lt;&gt;"Renta",D297&lt;&gt;"Marketing",D297&lt;&gt;"Servicios y software",D297&lt;&gt;"Mantenimiento",D297&lt;&gt;"Otros",D297&lt;&gt;"Intereses")),"Tipo o categoría inválido",IF(COUNTA(A297:J297)=0,"",IF(OR(A297="",B297="",C297="",H297=""),"Faltan datos",IF(COUNTIF($A$7:$A$2006,A297)&gt;1,"ID duplicado",IF(OR(B297&lt;DATE(Configuración!$C$5,1,1),B297&gt;=DATE(Configuración!$C$5+1,1,1)),"Fecha fuera del año",IF(OR(H297&lt;0,I297&lt;0),"Revisar signo",IF(AND(C297&lt;&gt;"Gasto",I297&lt;&gt;0),"IVA solo en Gasto",IF(AND(C297="Gasto",D297=""),"Falta categoría","OK")))))))))</f>
        <v/>
      </c>
    </row>
    <row r="298" spans="1:12" ht="22" customHeight="1">
      <c r="A298" s="3"/>
      <c r="B298" s="7"/>
      <c r="C298" s="3"/>
      <c r="D298" s="3"/>
      <c r="E298" s="3"/>
      <c r="F298" s="3"/>
      <c r="G298" s="3"/>
      <c r="H298" s="4"/>
      <c r="I298" s="4"/>
      <c r="J298" s="3"/>
      <c r="K298" s="8" t="str">
        <f t="shared" si="4"/>
        <v/>
      </c>
      <c r="L298" s="1" t="str">
        <f>IF(COUNTA(A298:J298)=0,"",IF(OR(AND(C298&lt;&gt;"Gasto",C298&lt;&gt;"Pago proveedor",C298&lt;&gt;"Retiro familiar",C298&lt;&gt;"Aportación",C298&lt;&gt;"Pago activo",C298&lt;&gt;"ISR devengado",C298&lt;&gt;"Pago ISR",C298&lt;&gt;"Pago IVA",C298&lt;&gt;"Compensación ISR",C298&lt;&gt;"Compensación IVA"),AND(C298="Gasto",D298&lt;&gt;"Costos clínicos",D298&lt;&gt;"Remuneración familiar",D298&lt;&gt;"Nómina y honorarios",D298&lt;&gt;"Renta",D298&lt;&gt;"Marketing",D298&lt;&gt;"Servicios y software",D298&lt;&gt;"Mantenimiento",D298&lt;&gt;"Otros",D298&lt;&gt;"Intereses")),"Tipo o categoría inválido",IF(COUNTA(A298:J298)=0,"",IF(OR(A298="",B298="",C298="",H298=""),"Faltan datos",IF(COUNTIF($A$7:$A$2006,A298)&gt;1,"ID duplicado",IF(OR(B298&lt;DATE(Configuración!$C$5,1,1),B298&gt;=DATE(Configuración!$C$5+1,1,1)),"Fecha fuera del año",IF(OR(H298&lt;0,I298&lt;0),"Revisar signo",IF(AND(C298&lt;&gt;"Gasto",I298&lt;&gt;0),"IVA solo en Gasto",IF(AND(C298="Gasto",D298=""),"Falta categoría","OK")))))))))</f>
        <v/>
      </c>
    </row>
    <row r="299" spans="1:12" ht="22" customHeight="1">
      <c r="A299" s="3"/>
      <c r="B299" s="7"/>
      <c r="C299" s="3"/>
      <c r="D299" s="3"/>
      <c r="E299" s="3"/>
      <c r="F299" s="3"/>
      <c r="G299" s="3"/>
      <c r="H299" s="4"/>
      <c r="I299" s="4"/>
      <c r="J299" s="3"/>
      <c r="K299" s="8" t="str">
        <f t="shared" si="4"/>
        <v/>
      </c>
      <c r="L299" s="1" t="str">
        <f>IF(COUNTA(A299:J299)=0,"",IF(OR(AND(C299&lt;&gt;"Gasto",C299&lt;&gt;"Pago proveedor",C299&lt;&gt;"Retiro familiar",C299&lt;&gt;"Aportación",C299&lt;&gt;"Pago activo",C299&lt;&gt;"ISR devengado",C299&lt;&gt;"Pago ISR",C299&lt;&gt;"Pago IVA",C299&lt;&gt;"Compensación ISR",C299&lt;&gt;"Compensación IVA"),AND(C299="Gasto",D299&lt;&gt;"Costos clínicos",D299&lt;&gt;"Remuneración familiar",D299&lt;&gt;"Nómina y honorarios",D299&lt;&gt;"Renta",D299&lt;&gt;"Marketing",D299&lt;&gt;"Servicios y software",D299&lt;&gt;"Mantenimiento",D299&lt;&gt;"Otros",D299&lt;&gt;"Intereses")),"Tipo o categoría inválido",IF(COUNTA(A299:J299)=0,"",IF(OR(A299="",B299="",C299="",H299=""),"Faltan datos",IF(COUNTIF($A$7:$A$2006,A299)&gt;1,"ID duplicado",IF(OR(B299&lt;DATE(Configuración!$C$5,1,1),B299&gt;=DATE(Configuración!$C$5+1,1,1)),"Fecha fuera del año",IF(OR(H299&lt;0,I299&lt;0),"Revisar signo",IF(AND(C299&lt;&gt;"Gasto",I299&lt;&gt;0),"IVA solo en Gasto",IF(AND(C299="Gasto",D299=""),"Falta categoría","OK")))))))))</f>
        <v/>
      </c>
    </row>
    <row r="300" spans="1:12" ht="22" customHeight="1">
      <c r="A300" s="3"/>
      <c r="B300" s="7"/>
      <c r="C300" s="3"/>
      <c r="D300" s="3"/>
      <c r="E300" s="3"/>
      <c r="F300" s="3"/>
      <c r="G300" s="3"/>
      <c r="H300" s="4"/>
      <c r="I300" s="4"/>
      <c r="J300" s="3"/>
      <c r="K300" s="8" t="str">
        <f t="shared" si="4"/>
        <v/>
      </c>
      <c r="L300" s="1" t="str">
        <f>IF(COUNTA(A300:J300)=0,"",IF(OR(AND(C300&lt;&gt;"Gasto",C300&lt;&gt;"Pago proveedor",C300&lt;&gt;"Retiro familiar",C300&lt;&gt;"Aportación",C300&lt;&gt;"Pago activo",C300&lt;&gt;"ISR devengado",C300&lt;&gt;"Pago ISR",C300&lt;&gt;"Pago IVA",C300&lt;&gt;"Compensación ISR",C300&lt;&gt;"Compensación IVA"),AND(C300="Gasto",D300&lt;&gt;"Costos clínicos",D300&lt;&gt;"Remuneración familiar",D300&lt;&gt;"Nómina y honorarios",D300&lt;&gt;"Renta",D300&lt;&gt;"Marketing",D300&lt;&gt;"Servicios y software",D300&lt;&gt;"Mantenimiento",D300&lt;&gt;"Otros",D300&lt;&gt;"Intereses")),"Tipo o categoría inválido",IF(COUNTA(A300:J300)=0,"",IF(OR(A300="",B300="",C300="",H300=""),"Faltan datos",IF(COUNTIF($A$7:$A$2006,A300)&gt;1,"ID duplicado",IF(OR(B300&lt;DATE(Configuración!$C$5,1,1),B300&gt;=DATE(Configuración!$C$5+1,1,1)),"Fecha fuera del año",IF(OR(H300&lt;0,I300&lt;0),"Revisar signo",IF(AND(C300&lt;&gt;"Gasto",I300&lt;&gt;0),"IVA solo en Gasto",IF(AND(C300="Gasto",D300=""),"Falta categoría","OK")))))))))</f>
        <v/>
      </c>
    </row>
    <row r="301" spans="1:12" ht="22" customHeight="1">
      <c r="A301" s="3"/>
      <c r="B301" s="7"/>
      <c r="C301" s="3"/>
      <c r="D301" s="3"/>
      <c r="E301" s="3"/>
      <c r="F301" s="3"/>
      <c r="G301" s="3"/>
      <c r="H301" s="4"/>
      <c r="I301" s="4"/>
      <c r="J301" s="3"/>
      <c r="K301" s="8" t="str">
        <f t="shared" si="4"/>
        <v/>
      </c>
      <c r="L301" s="1" t="str">
        <f>IF(COUNTA(A301:J301)=0,"",IF(OR(AND(C301&lt;&gt;"Gasto",C301&lt;&gt;"Pago proveedor",C301&lt;&gt;"Retiro familiar",C301&lt;&gt;"Aportación",C301&lt;&gt;"Pago activo",C301&lt;&gt;"ISR devengado",C301&lt;&gt;"Pago ISR",C301&lt;&gt;"Pago IVA",C301&lt;&gt;"Compensación ISR",C301&lt;&gt;"Compensación IVA"),AND(C301="Gasto",D301&lt;&gt;"Costos clínicos",D301&lt;&gt;"Remuneración familiar",D301&lt;&gt;"Nómina y honorarios",D301&lt;&gt;"Renta",D301&lt;&gt;"Marketing",D301&lt;&gt;"Servicios y software",D301&lt;&gt;"Mantenimiento",D301&lt;&gt;"Otros",D301&lt;&gt;"Intereses")),"Tipo o categoría inválido",IF(COUNTA(A301:J301)=0,"",IF(OR(A301="",B301="",C301="",H301=""),"Faltan datos",IF(COUNTIF($A$7:$A$2006,A301)&gt;1,"ID duplicado",IF(OR(B301&lt;DATE(Configuración!$C$5,1,1),B301&gt;=DATE(Configuración!$C$5+1,1,1)),"Fecha fuera del año",IF(OR(H301&lt;0,I301&lt;0),"Revisar signo",IF(AND(C301&lt;&gt;"Gasto",I301&lt;&gt;0),"IVA solo en Gasto",IF(AND(C301="Gasto",D301=""),"Falta categoría","OK")))))))))</f>
        <v/>
      </c>
    </row>
    <row r="302" spans="1:12" ht="22" customHeight="1">
      <c r="A302" s="3"/>
      <c r="B302" s="7"/>
      <c r="C302" s="3"/>
      <c r="D302" s="3"/>
      <c r="E302" s="3"/>
      <c r="F302" s="3"/>
      <c r="G302" s="3"/>
      <c r="H302" s="4"/>
      <c r="I302" s="4"/>
      <c r="J302" s="3"/>
      <c r="K302" s="8" t="str">
        <f t="shared" si="4"/>
        <v/>
      </c>
      <c r="L302" s="1" t="str">
        <f>IF(COUNTA(A302:J302)=0,"",IF(OR(AND(C302&lt;&gt;"Gasto",C302&lt;&gt;"Pago proveedor",C302&lt;&gt;"Retiro familiar",C302&lt;&gt;"Aportación",C302&lt;&gt;"Pago activo",C302&lt;&gt;"ISR devengado",C302&lt;&gt;"Pago ISR",C302&lt;&gt;"Pago IVA",C302&lt;&gt;"Compensación ISR",C302&lt;&gt;"Compensación IVA"),AND(C302="Gasto",D302&lt;&gt;"Costos clínicos",D302&lt;&gt;"Remuneración familiar",D302&lt;&gt;"Nómina y honorarios",D302&lt;&gt;"Renta",D302&lt;&gt;"Marketing",D302&lt;&gt;"Servicios y software",D302&lt;&gt;"Mantenimiento",D302&lt;&gt;"Otros",D302&lt;&gt;"Intereses")),"Tipo o categoría inválido",IF(COUNTA(A302:J302)=0,"",IF(OR(A302="",B302="",C302="",H302=""),"Faltan datos",IF(COUNTIF($A$7:$A$2006,A302)&gt;1,"ID duplicado",IF(OR(B302&lt;DATE(Configuración!$C$5,1,1),B302&gt;=DATE(Configuración!$C$5+1,1,1)),"Fecha fuera del año",IF(OR(H302&lt;0,I302&lt;0),"Revisar signo",IF(AND(C302&lt;&gt;"Gasto",I302&lt;&gt;0),"IVA solo en Gasto",IF(AND(C302="Gasto",D302=""),"Falta categoría","OK")))))))))</f>
        <v/>
      </c>
    </row>
    <row r="303" spans="1:12" ht="22" customHeight="1">
      <c r="A303" s="3"/>
      <c r="B303" s="7"/>
      <c r="C303" s="3"/>
      <c r="D303" s="3"/>
      <c r="E303" s="3"/>
      <c r="F303" s="3"/>
      <c r="G303" s="3"/>
      <c r="H303" s="4"/>
      <c r="I303" s="4"/>
      <c r="J303" s="3"/>
      <c r="K303" s="8" t="str">
        <f t="shared" si="4"/>
        <v/>
      </c>
      <c r="L303" s="1" t="str">
        <f>IF(COUNTA(A303:J303)=0,"",IF(OR(AND(C303&lt;&gt;"Gasto",C303&lt;&gt;"Pago proveedor",C303&lt;&gt;"Retiro familiar",C303&lt;&gt;"Aportación",C303&lt;&gt;"Pago activo",C303&lt;&gt;"ISR devengado",C303&lt;&gt;"Pago ISR",C303&lt;&gt;"Pago IVA",C303&lt;&gt;"Compensación ISR",C303&lt;&gt;"Compensación IVA"),AND(C303="Gasto",D303&lt;&gt;"Costos clínicos",D303&lt;&gt;"Remuneración familiar",D303&lt;&gt;"Nómina y honorarios",D303&lt;&gt;"Renta",D303&lt;&gt;"Marketing",D303&lt;&gt;"Servicios y software",D303&lt;&gt;"Mantenimiento",D303&lt;&gt;"Otros",D303&lt;&gt;"Intereses")),"Tipo o categoría inválido",IF(COUNTA(A303:J303)=0,"",IF(OR(A303="",B303="",C303="",H303=""),"Faltan datos",IF(COUNTIF($A$7:$A$2006,A303)&gt;1,"ID duplicado",IF(OR(B303&lt;DATE(Configuración!$C$5,1,1),B303&gt;=DATE(Configuración!$C$5+1,1,1)),"Fecha fuera del año",IF(OR(H303&lt;0,I303&lt;0),"Revisar signo",IF(AND(C303&lt;&gt;"Gasto",I303&lt;&gt;0),"IVA solo en Gasto",IF(AND(C303="Gasto",D303=""),"Falta categoría","OK")))))))))</f>
        <v/>
      </c>
    </row>
    <row r="304" spans="1:12" ht="22" customHeight="1">
      <c r="A304" s="3"/>
      <c r="B304" s="7"/>
      <c r="C304" s="3"/>
      <c r="D304" s="3"/>
      <c r="E304" s="3"/>
      <c r="F304" s="3"/>
      <c r="G304" s="3"/>
      <c r="H304" s="4"/>
      <c r="I304" s="4"/>
      <c r="J304" s="3"/>
      <c r="K304" s="8" t="str">
        <f t="shared" si="4"/>
        <v/>
      </c>
      <c r="L304" s="1" t="str">
        <f>IF(COUNTA(A304:J304)=0,"",IF(OR(AND(C304&lt;&gt;"Gasto",C304&lt;&gt;"Pago proveedor",C304&lt;&gt;"Retiro familiar",C304&lt;&gt;"Aportación",C304&lt;&gt;"Pago activo",C304&lt;&gt;"ISR devengado",C304&lt;&gt;"Pago ISR",C304&lt;&gt;"Pago IVA",C304&lt;&gt;"Compensación ISR",C304&lt;&gt;"Compensación IVA"),AND(C304="Gasto",D304&lt;&gt;"Costos clínicos",D304&lt;&gt;"Remuneración familiar",D304&lt;&gt;"Nómina y honorarios",D304&lt;&gt;"Renta",D304&lt;&gt;"Marketing",D304&lt;&gt;"Servicios y software",D304&lt;&gt;"Mantenimiento",D304&lt;&gt;"Otros",D304&lt;&gt;"Intereses")),"Tipo o categoría inválido",IF(COUNTA(A304:J304)=0,"",IF(OR(A304="",B304="",C304="",H304=""),"Faltan datos",IF(COUNTIF($A$7:$A$2006,A304)&gt;1,"ID duplicado",IF(OR(B304&lt;DATE(Configuración!$C$5,1,1),B304&gt;=DATE(Configuración!$C$5+1,1,1)),"Fecha fuera del año",IF(OR(H304&lt;0,I304&lt;0),"Revisar signo",IF(AND(C304&lt;&gt;"Gasto",I304&lt;&gt;0),"IVA solo en Gasto",IF(AND(C304="Gasto",D304=""),"Falta categoría","OK")))))))))</f>
        <v/>
      </c>
    </row>
    <row r="305" spans="1:12" ht="22" customHeight="1">
      <c r="A305" s="3"/>
      <c r="B305" s="7"/>
      <c r="C305" s="3"/>
      <c r="D305" s="3"/>
      <c r="E305" s="3"/>
      <c r="F305" s="3"/>
      <c r="G305" s="3"/>
      <c r="H305" s="4"/>
      <c r="I305" s="4"/>
      <c r="J305" s="3"/>
      <c r="K305" s="8" t="str">
        <f t="shared" si="4"/>
        <v/>
      </c>
      <c r="L305" s="1" t="str">
        <f>IF(COUNTA(A305:J305)=0,"",IF(OR(AND(C305&lt;&gt;"Gasto",C305&lt;&gt;"Pago proveedor",C305&lt;&gt;"Retiro familiar",C305&lt;&gt;"Aportación",C305&lt;&gt;"Pago activo",C305&lt;&gt;"ISR devengado",C305&lt;&gt;"Pago ISR",C305&lt;&gt;"Pago IVA",C305&lt;&gt;"Compensación ISR",C305&lt;&gt;"Compensación IVA"),AND(C305="Gasto",D305&lt;&gt;"Costos clínicos",D305&lt;&gt;"Remuneración familiar",D305&lt;&gt;"Nómina y honorarios",D305&lt;&gt;"Renta",D305&lt;&gt;"Marketing",D305&lt;&gt;"Servicios y software",D305&lt;&gt;"Mantenimiento",D305&lt;&gt;"Otros",D305&lt;&gt;"Intereses")),"Tipo o categoría inválido",IF(COUNTA(A305:J305)=0,"",IF(OR(A305="",B305="",C305="",H305=""),"Faltan datos",IF(COUNTIF($A$7:$A$2006,A305)&gt;1,"ID duplicado",IF(OR(B305&lt;DATE(Configuración!$C$5,1,1),B305&gt;=DATE(Configuración!$C$5+1,1,1)),"Fecha fuera del año",IF(OR(H305&lt;0,I305&lt;0),"Revisar signo",IF(AND(C305&lt;&gt;"Gasto",I305&lt;&gt;0),"IVA solo en Gasto",IF(AND(C305="Gasto",D305=""),"Falta categoría","OK")))))))))</f>
        <v/>
      </c>
    </row>
    <row r="306" spans="1:12" ht="22" customHeight="1">
      <c r="A306" s="3"/>
      <c r="B306" s="7"/>
      <c r="C306" s="3"/>
      <c r="D306" s="3"/>
      <c r="E306" s="3"/>
      <c r="F306" s="3"/>
      <c r="G306" s="3"/>
      <c r="H306" s="4"/>
      <c r="I306" s="4"/>
      <c r="J306" s="3"/>
      <c r="K306" s="8" t="str">
        <f t="shared" si="4"/>
        <v/>
      </c>
      <c r="L306" s="1" t="str">
        <f>IF(COUNTA(A306:J306)=0,"",IF(OR(AND(C306&lt;&gt;"Gasto",C306&lt;&gt;"Pago proveedor",C306&lt;&gt;"Retiro familiar",C306&lt;&gt;"Aportación",C306&lt;&gt;"Pago activo",C306&lt;&gt;"ISR devengado",C306&lt;&gt;"Pago ISR",C306&lt;&gt;"Pago IVA",C306&lt;&gt;"Compensación ISR",C306&lt;&gt;"Compensación IVA"),AND(C306="Gasto",D306&lt;&gt;"Costos clínicos",D306&lt;&gt;"Remuneración familiar",D306&lt;&gt;"Nómina y honorarios",D306&lt;&gt;"Renta",D306&lt;&gt;"Marketing",D306&lt;&gt;"Servicios y software",D306&lt;&gt;"Mantenimiento",D306&lt;&gt;"Otros",D306&lt;&gt;"Intereses")),"Tipo o categoría inválido",IF(COUNTA(A306:J306)=0,"",IF(OR(A306="",B306="",C306="",H306=""),"Faltan datos",IF(COUNTIF($A$7:$A$2006,A306)&gt;1,"ID duplicado",IF(OR(B306&lt;DATE(Configuración!$C$5,1,1),B306&gt;=DATE(Configuración!$C$5+1,1,1)),"Fecha fuera del año",IF(OR(H306&lt;0,I306&lt;0),"Revisar signo",IF(AND(C306&lt;&gt;"Gasto",I306&lt;&gt;0),"IVA solo en Gasto",IF(AND(C306="Gasto",D306=""),"Falta categoría","OK")))))))))</f>
        <v/>
      </c>
    </row>
    <row r="307" spans="1:12" ht="22" customHeight="1">
      <c r="A307" s="3"/>
      <c r="B307" s="7"/>
      <c r="C307" s="3"/>
      <c r="D307" s="3"/>
      <c r="E307" s="3"/>
      <c r="F307" s="3"/>
      <c r="G307" s="3"/>
      <c r="H307" s="4"/>
      <c r="I307" s="4"/>
      <c r="J307" s="3"/>
      <c r="K307" s="8" t="str">
        <f t="shared" si="4"/>
        <v/>
      </c>
      <c r="L307" s="1" t="str">
        <f>IF(COUNTA(A307:J307)=0,"",IF(OR(AND(C307&lt;&gt;"Gasto",C307&lt;&gt;"Pago proveedor",C307&lt;&gt;"Retiro familiar",C307&lt;&gt;"Aportación",C307&lt;&gt;"Pago activo",C307&lt;&gt;"ISR devengado",C307&lt;&gt;"Pago ISR",C307&lt;&gt;"Pago IVA",C307&lt;&gt;"Compensación ISR",C307&lt;&gt;"Compensación IVA"),AND(C307="Gasto",D307&lt;&gt;"Costos clínicos",D307&lt;&gt;"Remuneración familiar",D307&lt;&gt;"Nómina y honorarios",D307&lt;&gt;"Renta",D307&lt;&gt;"Marketing",D307&lt;&gt;"Servicios y software",D307&lt;&gt;"Mantenimiento",D307&lt;&gt;"Otros",D307&lt;&gt;"Intereses")),"Tipo o categoría inválido",IF(COUNTA(A307:J307)=0,"",IF(OR(A307="",B307="",C307="",H307=""),"Faltan datos",IF(COUNTIF($A$7:$A$2006,A307)&gt;1,"ID duplicado",IF(OR(B307&lt;DATE(Configuración!$C$5,1,1),B307&gt;=DATE(Configuración!$C$5+1,1,1)),"Fecha fuera del año",IF(OR(H307&lt;0,I307&lt;0),"Revisar signo",IF(AND(C307&lt;&gt;"Gasto",I307&lt;&gt;0),"IVA solo en Gasto",IF(AND(C307="Gasto",D307=""),"Falta categoría","OK")))))))))</f>
        <v/>
      </c>
    </row>
    <row r="308" spans="1:12" ht="22" customHeight="1">
      <c r="A308" s="3"/>
      <c r="B308" s="7"/>
      <c r="C308" s="3"/>
      <c r="D308" s="3"/>
      <c r="E308" s="3"/>
      <c r="F308" s="3"/>
      <c r="G308" s="3"/>
      <c r="H308" s="4"/>
      <c r="I308" s="4"/>
      <c r="J308" s="3"/>
      <c r="K308" s="8" t="str">
        <f t="shared" si="4"/>
        <v/>
      </c>
      <c r="L308" s="1" t="str">
        <f>IF(COUNTA(A308:J308)=0,"",IF(OR(AND(C308&lt;&gt;"Gasto",C308&lt;&gt;"Pago proveedor",C308&lt;&gt;"Retiro familiar",C308&lt;&gt;"Aportación",C308&lt;&gt;"Pago activo",C308&lt;&gt;"ISR devengado",C308&lt;&gt;"Pago ISR",C308&lt;&gt;"Pago IVA",C308&lt;&gt;"Compensación ISR",C308&lt;&gt;"Compensación IVA"),AND(C308="Gasto",D308&lt;&gt;"Costos clínicos",D308&lt;&gt;"Remuneración familiar",D308&lt;&gt;"Nómina y honorarios",D308&lt;&gt;"Renta",D308&lt;&gt;"Marketing",D308&lt;&gt;"Servicios y software",D308&lt;&gt;"Mantenimiento",D308&lt;&gt;"Otros",D308&lt;&gt;"Intereses")),"Tipo o categoría inválido",IF(COUNTA(A308:J308)=0,"",IF(OR(A308="",B308="",C308="",H308=""),"Faltan datos",IF(COUNTIF($A$7:$A$2006,A308)&gt;1,"ID duplicado",IF(OR(B308&lt;DATE(Configuración!$C$5,1,1),B308&gt;=DATE(Configuración!$C$5+1,1,1)),"Fecha fuera del año",IF(OR(H308&lt;0,I308&lt;0),"Revisar signo",IF(AND(C308&lt;&gt;"Gasto",I308&lt;&gt;0),"IVA solo en Gasto",IF(AND(C308="Gasto",D308=""),"Falta categoría","OK")))))))))</f>
        <v/>
      </c>
    </row>
    <row r="309" spans="1:12" ht="22" customHeight="1">
      <c r="A309" s="3"/>
      <c r="B309" s="7"/>
      <c r="C309" s="3"/>
      <c r="D309" s="3"/>
      <c r="E309" s="3"/>
      <c r="F309" s="3"/>
      <c r="G309" s="3"/>
      <c r="H309" s="4"/>
      <c r="I309" s="4"/>
      <c r="J309" s="3"/>
      <c r="K309" s="8" t="str">
        <f t="shared" si="4"/>
        <v/>
      </c>
      <c r="L309" s="1" t="str">
        <f>IF(COUNTA(A309:J309)=0,"",IF(OR(AND(C309&lt;&gt;"Gasto",C309&lt;&gt;"Pago proveedor",C309&lt;&gt;"Retiro familiar",C309&lt;&gt;"Aportación",C309&lt;&gt;"Pago activo",C309&lt;&gt;"ISR devengado",C309&lt;&gt;"Pago ISR",C309&lt;&gt;"Pago IVA",C309&lt;&gt;"Compensación ISR",C309&lt;&gt;"Compensación IVA"),AND(C309="Gasto",D309&lt;&gt;"Costos clínicos",D309&lt;&gt;"Remuneración familiar",D309&lt;&gt;"Nómina y honorarios",D309&lt;&gt;"Renta",D309&lt;&gt;"Marketing",D309&lt;&gt;"Servicios y software",D309&lt;&gt;"Mantenimiento",D309&lt;&gt;"Otros",D309&lt;&gt;"Intereses")),"Tipo o categoría inválido",IF(COUNTA(A309:J309)=0,"",IF(OR(A309="",B309="",C309="",H309=""),"Faltan datos",IF(COUNTIF($A$7:$A$2006,A309)&gt;1,"ID duplicado",IF(OR(B309&lt;DATE(Configuración!$C$5,1,1),B309&gt;=DATE(Configuración!$C$5+1,1,1)),"Fecha fuera del año",IF(OR(H309&lt;0,I309&lt;0),"Revisar signo",IF(AND(C309&lt;&gt;"Gasto",I309&lt;&gt;0),"IVA solo en Gasto",IF(AND(C309="Gasto",D309=""),"Falta categoría","OK")))))))))</f>
        <v/>
      </c>
    </row>
    <row r="310" spans="1:12" ht="22" customHeight="1">
      <c r="A310" s="3"/>
      <c r="B310" s="7"/>
      <c r="C310" s="3"/>
      <c r="D310" s="3"/>
      <c r="E310" s="3"/>
      <c r="F310" s="3"/>
      <c r="G310" s="3"/>
      <c r="H310" s="4"/>
      <c r="I310" s="4"/>
      <c r="J310" s="3"/>
      <c r="K310" s="8" t="str">
        <f t="shared" si="4"/>
        <v/>
      </c>
      <c r="L310" s="1" t="str">
        <f>IF(COUNTA(A310:J310)=0,"",IF(OR(AND(C310&lt;&gt;"Gasto",C310&lt;&gt;"Pago proveedor",C310&lt;&gt;"Retiro familiar",C310&lt;&gt;"Aportación",C310&lt;&gt;"Pago activo",C310&lt;&gt;"ISR devengado",C310&lt;&gt;"Pago ISR",C310&lt;&gt;"Pago IVA",C310&lt;&gt;"Compensación ISR",C310&lt;&gt;"Compensación IVA"),AND(C310="Gasto",D310&lt;&gt;"Costos clínicos",D310&lt;&gt;"Remuneración familiar",D310&lt;&gt;"Nómina y honorarios",D310&lt;&gt;"Renta",D310&lt;&gt;"Marketing",D310&lt;&gt;"Servicios y software",D310&lt;&gt;"Mantenimiento",D310&lt;&gt;"Otros",D310&lt;&gt;"Intereses")),"Tipo o categoría inválido",IF(COUNTA(A310:J310)=0,"",IF(OR(A310="",B310="",C310="",H310=""),"Faltan datos",IF(COUNTIF($A$7:$A$2006,A310)&gt;1,"ID duplicado",IF(OR(B310&lt;DATE(Configuración!$C$5,1,1),B310&gt;=DATE(Configuración!$C$5+1,1,1)),"Fecha fuera del año",IF(OR(H310&lt;0,I310&lt;0),"Revisar signo",IF(AND(C310&lt;&gt;"Gasto",I310&lt;&gt;0),"IVA solo en Gasto",IF(AND(C310="Gasto",D310=""),"Falta categoría","OK")))))))))</f>
        <v/>
      </c>
    </row>
    <row r="311" spans="1:12" ht="22" customHeight="1">
      <c r="A311" s="3"/>
      <c r="B311" s="7"/>
      <c r="C311" s="3"/>
      <c r="D311" s="3"/>
      <c r="E311" s="3"/>
      <c r="F311" s="3"/>
      <c r="G311" s="3"/>
      <c r="H311" s="4"/>
      <c r="I311" s="4"/>
      <c r="J311" s="3"/>
      <c r="K311" s="8" t="str">
        <f t="shared" si="4"/>
        <v/>
      </c>
      <c r="L311" s="1" t="str">
        <f>IF(COUNTA(A311:J311)=0,"",IF(OR(AND(C311&lt;&gt;"Gasto",C311&lt;&gt;"Pago proveedor",C311&lt;&gt;"Retiro familiar",C311&lt;&gt;"Aportación",C311&lt;&gt;"Pago activo",C311&lt;&gt;"ISR devengado",C311&lt;&gt;"Pago ISR",C311&lt;&gt;"Pago IVA",C311&lt;&gt;"Compensación ISR",C311&lt;&gt;"Compensación IVA"),AND(C311="Gasto",D311&lt;&gt;"Costos clínicos",D311&lt;&gt;"Remuneración familiar",D311&lt;&gt;"Nómina y honorarios",D311&lt;&gt;"Renta",D311&lt;&gt;"Marketing",D311&lt;&gt;"Servicios y software",D311&lt;&gt;"Mantenimiento",D311&lt;&gt;"Otros",D311&lt;&gt;"Intereses")),"Tipo o categoría inválido",IF(COUNTA(A311:J311)=0,"",IF(OR(A311="",B311="",C311="",H311=""),"Faltan datos",IF(COUNTIF($A$7:$A$2006,A311)&gt;1,"ID duplicado",IF(OR(B311&lt;DATE(Configuración!$C$5,1,1),B311&gt;=DATE(Configuración!$C$5+1,1,1)),"Fecha fuera del año",IF(OR(H311&lt;0,I311&lt;0),"Revisar signo",IF(AND(C311&lt;&gt;"Gasto",I311&lt;&gt;0),"IVA solo en Gasto",IF(AND(C311="Gasto",D311=""),"Falta categoría","OK")))))))))</f>
        <v/>
      </c>
    </row>
    <row r="312" spans="1:12" ht="22" customHeight="1">
      <c r="A312" s="3"/>
      <c r="B312" s="7"/>
      <c r="C312" s="3"/>
      <c r="D312" s="3"/>
      <c r="E312" s="3"/>
      <c r="F312" s="3"/>
      <c r="G312" s="3"/>
      <c r="H312" s="4"/>
      <c r="I312" s="4"/>
      <c r="J312" s="3"/>
      <c r="K312" s="8" t="str">
        <f t="shared" si="4"/>
        <v/>
      </c>
      <c r="L312" s="1" t="str">
        <f>IF(COUNTA(A312:J312)=0,"",IF(OR(AND(C312&lt;&gt;"Gasto",C312&lt;&gt;"Pago proveedor",C312&lt;&gt;"Retiro familiar",C312&lt;&gt;"Aportación",C312&lt;&gt;"Pago activo",C312&lt;&gt;"ISR devengado",C312&lt;&gt;"Pago ISR",C312&lt;&gt;"Pago IVA",C312&lt;&gt;"Compensación ISR",C312&lt;&gt;"Compensación IVA"),AND(C312="Gasto",D312&lt;&gt;"Costos clínicos",D312&lt;&gt;"Remuneración familiar",D312&lt;&gt;"Nómina y honorarios",D312&lt;&gt;"Renta",D312&lt;&gt;"Marketing",D312&lt;&gt;"Servicios y software",D312&lt;&gt;"Mantenimiento",D312&lt;&gt;"Otros",D312&lt;&gt;"Intereses")),"Tipo o categoría inválido",IF(COUNTA(A312:J312)=0,"",IF(OR(A312="",B312="",C312="",H312=""),"Faltan datos",IF(COUNTIF($A$7:$A$2006,A312)&gt;1,"ID duplicado",IF(OR(B312&lt;DATE(Configuración!$C$5,1,1),B312&gt;=DATE(Configuración!$C$5+1,1,1)),"Fecha fuera del año",IF(OR(H312&lt;0,I312&lt;0),"Revisar signo",IF(AND(C312&lt;&gt;"Gasto",I312&lt;&gt;0),"IVA solo en Gasto",IF(AND(C312="Gasto",D312=""),"Falta categoría","OK")))))))))</f>
        <v/>
      </c>
    </row>
    <row r="313" spans="1:12" ht="22" customHeight="1">
      <c r="A313" s="3"/>
      <c r="B313" s="7"/>
      <c r="C313" s="3"/>
      <c r="D313" s="3"/>
      <c r="E313" s="3"/>
      <c r="F313" s="3"/>
      <c r="G313" s="3"/>
      <c r="H313" s="4"/>
      <c r="I313" s="4"/>
      <c r="J313" s="3"/>
      <c r="K313" s="8" t="str">
        <f t="shared" si="4"/>
        <v/>
      </c>
      <c r="L313" s="1" t="str">
        <f>IF(COUNTA(A313:J313)=0,"",IF(OR(AND(C313&lt;&gt;"Gasto",C313&lt;&gt;"Pago proveedor",C313&lt;&gt;"Retiro familiar",C313&lt;&gt;"Aportación",C313&lt;&gt;"Pago activo",C313&lt;&gt;"ISR devengado",C313&lt;&gt;"Pago ISR",C313&lt;&gt;"Pago IVA",C313&lt;&gt;"Compensación ISR",C313&lt;&gt;"Compensación IVA"),AND(C313="Gasto",D313&lt;&gt;"Costos clínicos",D313&lt;&gt;"Remuneración familiar",D313&lt;&gt;"Nómina y honorarios",D313&lt;&gt;"Renta",D313&lt;&gt;"Marketing",D313&lt;&gt;"Servicios y software",D313&lt;&gt;"Mantenimiento",D313&lt;&gt;"Otros",D313&lt;&gt;"Intereses")),"Tipo o categoría inválido",IF(COUNTA(A313:J313)=0,"",IF(OR(A313="",B313="",C313="",H313=""),"Faltan datos",IF(COUNTIF($A$7:$A$2006,A313)&gt;1,"ID duplicado",IF(OR(B313&lt;DATE(Configuración!$C$5,1,1),B313&gt;=DATE(Configuración!$C$5+1,1,1)),"Fecha fuera del año",IF(OR(H313&lt;0,I313&lt;0),"Revisar signo",IF(AND(C313&lt;&gt;"Gasto",I313&lt;&gt;0),"IVA solo en Gasto",IF(AND(C313="Gasto",D313=""),"Falta categoría","OK")))))))))</f>
        <v/>
      </c>
    </row>
    <row r="314" spans="1:12" ht="22" customHeight="1">
      <c r="A314" s="3"/>
      <c r="B314" s="7"/>
      <c r="C314" s="3"/>
      <c r="D314" s="3"/>
      <c r="E314" s="3"/>
      <c r="F314" s="3"/>
      <c r="G314" s="3"/>
      <c r="H314" s="4"/>
      <c r="I314" s="4"/>
      <c r="J314" s="3"/>
      <c r="K314" s="8" t="str">
        <f t="shared" si="4"/>
        <v/>
      </c>
      <c r="L314" s="1" t="str">
        <f>IF(COUNTA(A314:J314)=0,"",IF(OR(AND(C314&lt;&gt;"Gasto",C314&lt;&gt;"Pago proveedor",C314&lt;&gt;"Retiro familiar",C314&lt;&gt;"Aportación",C314&lt;&gt;"Pago activo",C314&lt;&gt;"ISR devengado",C314&lt;&gt;"Pago ISR",C314&lt;&gt;"Pago IVA",C314&lt;&gt;"Compensación ISR",C314&lt;&gt;"Compensación IVA"),AND(C314="Gasto",D314&lt;&gt;"Costos clínicos",D314&lt;&gt;"Remuneración familiar",D314&lt;&gt;"Nómina y honorarios",D314&lt;&gt;"Renta",D314&lt;&gt;"Marketing",D314&lt;&gt;"Servicios y software",D314&lt;&gt;"Mantenimiento",D314&lt;&gt;"Otros",D314&lt;&gt;"Intereses")),"Tipo o categoría inválido",IF(COUNTA(A314:J314)=0,"",IF(OR(A314="",B314="",C314="",H314=""),"Faltan datos",IF(COUNTIF($A$7:$A$2006,A314)&gt;1,"ID duplicado",IF(OR(B314&lt;DATE(Configuración!$C$5,1,1),B314&gt;=DATE(Configuración!$C$5+1,1,1)),"Fecha fuera del año",IF(OR(H314&lt;0,I314&lt;0),"Revisar signo",IF(AND(C314&lt;&gt;"Gasto",I314&lt;&gt;0),"IVA solo en Gasto",IF(AND(C314="Gasto",D314=""),"Falta categoría","OK")))))))))</f>
        <v/>
      </c>
    </row>
    <row r="315" spans="1:12" ht="22" customHeight="1">
      <c r="A315" s="3"/>
      <c r="B315" s="7"/>
      <c r="C315" s="3"/>
      <c r="D315" s="3"/>
      <c r="E315" s="3"/>
      <c r="F315" s="3"/>
      <c r="G315" s="3"/>
      <c r="H315" s="4"/>
      <c r="I315" s="4"/>
      <c r="J315" s="3"/>
      <c r="K315" s="8" t="str">
        <f t="shared" si="4"/>
        <v/>
      </c>
      <c r="L315" s="1" t="str">
        <f>IF(COUNTA(A315:J315)=0,"",IF(OR(AND(C315&lt;&gt;"Gasto",C315&lt;&gt;"Pago proveedor",C315&lt;&gt;"Retiro familiar",C315&lt;&gt;"Aportación",C315&lt;&gt;"Pago activo",C315&lt;&gt;"ISR devengado",C315&lt;&gt;"Pago ISR",C315&lt;&gt;"Pago IVA",C315&lt;&gt;"Compensación ISR",C315&lt;&gt;"Compensación IVA"),AND(C315="Gasto",D315&lt;&gt;"Costos clínicos",D315&lt;&gt;"Remuneración familiar",D315&lt;&gt;"Nómina y honorarios",D315&lt;&gt;"Renta",D315&lt;&gt;"Marketing",D315&lt;&gt;"Servicios y software",D315&lt;&gt;"Mantenimiento",D315&lt;&gt;"Otros",D315&lt;&gt;"Intereses")),"Tipo o categoría inválido",IF(COUNTA(A315:J315)=0,"",IF(OR(A315="",B315="",C315="",H315=""),"Faltan datos",IF(COUNTIF($A$7:$A$2006,A315)&gt;1,"ID duplicado",IF(OR(B315&lt;DATE(Configuración!$C$5,1,1),B315&gt;=DATE(Configuración!$C$5+1,1,1)),"Fecha fuera del año",IF(OR(H315&lt;0,I315&lt;0),"Revisar signo",IF(AND(C315&lt;&gt;"Gasto",I315&lt;&gt;0),"IVA solo en Gasto",IF(AND(C315="Gasto",D315=""),"Falta categoría","OK")))))))))</f>
        <v/>
      </c>
    </row>
    <row r="316" spans="1:12" ht="22" customHeight="1">
      <c r="A316" s="3"/>
      <c r="B316" s="7"/>
      <c r="C316" s="3"/>
      <c r="D316" s="3"/>
      <c r="E316" s="3"/>
      <c r="F316" s="3"/>
      <c r="G316" s="3"/>
      <c r="H316" s="4"/>
      <c r="I316" s="4"/>
      <c r="J316" s="3"/>
      <c r="K316" s="8" t="str">
        <f t="shared" si="4"/>
        <v/>
      </c>
      <c r="L316" s="1" t="str">
        <f>IF(COUNTA(A316:J316)=0,"",IF(OR(AND(C316&lt;&gt;"Gasto",C316&lt;&gt;"Pago proveedor",C316&lt;&gt;"Retiro familiar",C316&lt;&gt;"Aportación",C316&lt;&gt;"Pago activo",C316&lt;&gt;"ISR devengado",C316&lt;&gt;"Pago ISR",C316&lt;&gt;"Pago IVA",C316&lt;&gt;"Compensación ISR",C316&lt;&gt;"Compensación IVA"),AND(C316="Gasto",D316&lt;&gt;"Costos clínicos",D316&lt;&gt;"Remuneración familiar",D316&lt;&gt;"Nómina y honorarios",D316&lt;&gt;"Renta",D316&lt;&gt;"Marketing",D316&lt;&gt;"Servicios y software",D316&lt;&gt;"Mantenimiento",D316&lt;&gt;"Otros",D316&lt;&gt;"Intereses")),"Tipo o categoría inválido",IF(COUNTA(A316:J316)=0,"",IF(OR(A316="",B316="",C316="",H316=""),"Faltan datos",IF(COUNTIF($A$7:$A$2006,A316)&gt;1,"ID duplicado",IF(OR(B316&lt;DATE(Configuración!$C$5,1,1),B316&gt;=DATE(Configuración!$C$5+1,1,1)),"Fecha fuera del año",IF(OR(H316&lt;0,I316&lt;0),"Revisar signo",IF(AND(C316&lt;&gt;"Gasto",I316&lt;&gt;0),"IVA solo en Gasto",IF(AND(C316="Gasto",D316=""),"Falta categoría","OK")))))))))</f>
        <v/>
      </c>
    </row>
    <row r="317" spans="1:12" ht="22" customHeight="1">
      <c r="A317" s="3"/>
      <c r="B317" s="7"/>
      <c r="C317" s="3"/>
      <c r="D317" s="3"/>
      <c r="E317" s="3"/>
      <c r="F317" s="3"/>
      <c r="G317" s="3"/>
      <c r="H317" s="4"/>
      <c r="I317" s="4"/>
      <c r="J317" s="3"/>
      <c r="K317" s="8" t="str">
        <f t="shared" si="4"/>
        <v/>
      </c>
      <c r="L317" s="1" t="str">
        <f>IF(COUNTA(A317:J317)=0,"",IF(OR(AND(C317&lt;&gt;"Gasto",C317&lt;&gt;"Pago proveedor",C317&lt;&gt;"Retiro familiar",C317&lt;&gt;"Aportación",C317&lt;&gt;"Pago activo",C317&lt;&gt;"ISR devengado",C317&lt;&gt;"Pago ISR",C317&lt;&gt;"Pago IVA",C317&lt;&gt;"Compensación ISR",C317&lt;&gt;"Compensación IVA"),AND(C317="Gasto",D317&lt;&gt;"Costos clínicos",D317&lt;&gt;"Remuneración familiar",D317&lt;&gt;"Nómina y honorarios",D317&lt;&gt;"Renta",D317&lt;&gt;"Marketing",D317&lt;&gt;"Servicios y software",D317&lt;&gt;"Mantenimiento",D317&lt;&gt;"Otros",D317&lt;&gt;"Intereses")),"Tipo o categoría inválido",IF(COUNTA(A317:J317)=0,"",IF(OR(A317="",B317="",C317="",H317=""),"Faltan datos",IF(COUNTIF($A$7:$A$2006,A317)&gt;1,"ID duplicado",IF(OR(B317&lt;DATE(Configuración!$C$5,1,1),B317&gt;=DATE(Configuración!$C$5+1,1,1)),"Fecha fuera del año",IF(OR(H317&lt;0,I317&lt;0),"Revisar signo",IF(AND(C317&lt;&gt;"Gasto",I317&lt;&gt;0),"IVA solo en Gasto",IF(AND(C317="Gasto",D317=""),"Falta categoría","OK")))))))))</f>
        <v/>
      </c>
    </row>
    <row r="318" spans="1:12" ht="22" customHeight="1">
      <c r="A318" s="3"/>
      <c r="B318" s="7"/>
      <c r="C318" s="3"/>
      <c r="D318" s="3"/>
      <c r="E318" s="3"/>
      <c r="F318" s="3"/>
      <c r="G318" s="3"/>
      <c r="H318" s="4"/>
      <c r="I318" s="4"/>
      <c r="J318" s="3"/>
      <c r="K318" s="8" t="str">
        <f t="shared" si="4"/>
        <v/>
      </c>
      <c r="L318" s="1" t="str">
        <f>IF(COUNTA(A318:J318)=0,"",IF(OR(AND(C318&lt;&gt;"Gasto",C318&lt;&gt;"Pago proveedor",C318&lt;&gt;"Retiro familiar",C318&lt;&gt;"Aportación",C318&lt;&gt;"Pago activo",C318&lt;&gt;"ISR devengado",C318&lt;&gt;"Pago ISR",C318&lt;&gt;"Pago IVA",C318&lt;&gt;"Compensación ISR",C318&lt;&gt;"Compensación IVA"),AND(C318="Gasto",D318&lt;&gt;"Costos clínicos",D318&lt;&gt;"Remuneración familiar",D318&lt;&gt;"Nómina y honorarios",D318&lt;&gt;"Renta",D318&lt;&gt;"Marketing",D318&lt;&gt;"Servicios y software",D318&lt;&gt;"Mantenimiento",D318&lt;&gt;"Otros",D318&lt;&gt;"Intereses")),"Tipo o categoría inválido",IF(COUNTA(A318:J318)=0,"",IF(OR(A318="",B318="",C318="",H318=""),"Faltan datos",IF(COUNTIF($A$7:$A$2006,A318)&gt;1,"ID duplicado",IF(OR(B318&lt;DATE(Configuración!$C$5,1,1),B318&gt;=DATE(Configuración!$C$5+1,1,1)),"Fecha fuera del año",IF(OR(H318&lt;0,I318&lt;0),"Revisar signo",IF(AND(C318&lt;&gt;"Gasto",I318&lt;&gt;0),"IVA solo en Gasto",IF(AND(C318="Gasto",D318=""),"Falta categoría","OK")))))))))</f>
        <v/>
      </c>
    </row>
    <row r="319" spans="1:12" ht="22" customHeight="1">
      <c r="A319" s="3"/>
      <c r="B319" s="7"/>
      <c r="C319" s="3"/>
      <c r="D319" s="3"/>
      <c r="E319" s="3"/>
      <c r="F319" s="3"/>
      <c r="G319" s="3"/>
      <c r="H319" s="4"/>
      <c r="I319" s="4"/>
      <c r="J319" s="3"/>
      <c r="K319" s="8" t="str">
        <f t="shared" si="4"/>
        <v/>
      </c>
      <c r="L319" s="1" t="str">
        <f>IF(COUNTA(A319:J319)=0,"",IF(OR(AND(C319&lt;&gt;"Gasto",C319&lt;&gt;"Pago proveedor",C319&lt;&gt;"Retiro familiar",C319&lt;&gt;"Aportación",C319&lt;&gt;"Pago activo",C319&lt;&gt;"ISR devengado",C319&lt;&gt;"Pago ISR",C319&lt;&gt;"Pago IVA",C319&lt;&gt;"Compensación ISR",C319&lt;&gt;"Compensación IVA"),AND(C319="Gasto",D319&lt;&gt;"Costos clínicos",D319&lt;&gt;"Remuneración familiar",D319&lt;&gt;"Nómina y honorarios",D319&lt;&gt;"Renta",D319&lt;&gt;"Marketing",D319&lt;&gt;"Servicios y software",D319&lt;&gt;"Mantenimiento",D319&lt;&gt;"Otros",D319&lt;&gt;"Intereses")),"Tipo o categoría inválido",IF(COUNTA(A319:J319)=0,"",IF(OR(A319="",B319="",C319="",H319=""),"Faltan datos",IF(COUNTIF($A$7:$A$2006,A319)&gt;1,"ID duplicado",IF(OR(B319&lt;DATE(Configuración!$C$5,1,1),B319&gt;=DATE(Configuración!$C$5+1,1,1)),"Fecha fuera del año",IF(OR(H319&lt;0,I319&lt;0),"Revisar signo",IF(AND(C319&lt;&gt;"Gasto",I319&lt;&gt;0),"IVA solo en Gasto",IF(AND(C319="Gasto",D319=""),"Falta categoría","OK")))))))))</f>
        <v/>
      </c>
    </row>
    <row r="320" spans="1:12" ht="22" customHeight="1">
      <c r="A320" s="3"/>
      <c r="B320" s="7"/>
      <c r="C320" s="3"/>
      <c r="D320" s="3"/>
      <c r="E320" s="3"/>
      <c r="F320" s="3"/>
      <c r="G320" s="3"/>
      <c r="H320" s="4"/>
      <c r="I320" s="4"/>
      <c r="J320" s="3"/>
      <c r="K320" s="8" t="str">
        <f t="shared" si="4"/>
        <v/>
      </c>
      <c r="L320" s="1" t="str">
        <f>IF(COUNTA(A320:J320)=0,"",IF(OR(AND(C320&lt;&gt;"Gasto",C320&lt;&gt;"Pago proveedor",C320&lt;&gt;"Retiro familiar",C320&lt;&gt;"Aportación",C320&lt;&gt;"Pago activo",C320&lt;&gt;"ISR devengado",C320&lt;&gt;"Pago ISR",C320&lt;&gt;"Pago IVA",C320&lt;&gt;"Compensación ISR",C320&lt;&gt;"Compensación IVA"),AND(C320="Gasto",D320&lt;&gt;"Costos clínicos",D320&lt;&gt;"Remuneración familiar",D320&lt;&gt;"Nómina y honorarios",D320&lt;&gt;"Renta",D320&lt;&gt;"Marketing",D320&lt;&gt;"Servicios y software",D320&lt;&gt;"Mantenimiento",D320&lt;&gt;"Otros",D320&lt;&gt;"Intereses")),"Tipo o categoría inválido",IF(COUNTA(A320:J320)=0,"",IF(OR(A320="",B320="",C320="",H320=""),"Faltan datos",IF(COUNTIF($A$7:$A$2006,A320)&gt;1,"ID duplicado",IF(OR(B320&lt;DATE(Configuración!$C$5,1,1),B320&gt;=DATE(Configuración!$C$5+1,1,1)),"Fecha fuera del año",IF(OR(H320&lt;0,I320&lt;0),"Revisar signo",IF(AND(C320&lt;&gt;"Gasto",I320&lt;&gt;0),"IVA solo en Gasto",IF(AND(C320="Gasto",D320=""),"Falta categoría","OK")))))))))</f>
        <v/>
      </c>
    </row>
    <row r="321" spans="1:12" ht="22" customHeight="1">
      <c r="A321" s="3"/>
      <c r="B321" s="7"/>
      <c r="C321" s="3"/>
      <c r="D321" s="3"/>
      <c r="E321" s="3"/>
      <c r="F321" s="3"/>
      <c r="G321" s="3"/>
      <c r="H321" s="4"/>
      <c r="I321" s="4"/>
      <c r="J321" s="3"/>
      <c r="K321" s="8" t="str">
        <f t="shared" si="4"/>
        <v/>
      </c>
      <c r="L321" s="1" t="str">
        <f>IF(COUNTA(A321:J321)=0,"",IF(OR(AND(C321&lt;&gt;"Gasto",C321&lt;&gt;"Pago proveedor",C321&lt;&gt;"Retiro familiar",C321&lt;&gt;"Aportación",C321&lt;&gt;"Pago activo",C321&lt;&gt;"ISR devengado",C321&lt;&gt;"Pago ISR",C321&lt;&gt;"Pago IVA",C321&lt;&gt;"Compensación ISR",C321&lt;&gt;"Compensación IVA"),AND(C321="Gasto",D321&lt;&gt;"Costos clínicos",D321&lt;&gt;"Remuneración familiar",D321&lt;&gt;"Nómina y honorarios",D321&lt;&gt;"Renta",D321&lt;&gt;"Marketing",D321&lt;&gt;"Servicios y software",D321&lt;&gt;"Mantenimiento",D321&lt;&gt;"Otros",D321&lt;&gt;"Intereses")),"Tipo o categoría inválido",IF(COUNTA(A321:J321)=0,"",IF(OR(A321="",B321="",C321="",H321=""),"Faltan datos",IF(COUNTIF($A$7:$A$2006,A321)&gt;1,"ID duplicado",IF(OR(B321&lt;DATE(Configuración!$C$5,1,1),B321&gt;=DATE(Configuración!$C$5+1,1,1)),"Fecha fuera del año",IF(OR(H321&lt;0,I321&lt;0),"Revisar signo",IF(AND(C321&lt;&gt;"Gasto",I321&lt;&gt;0),"IVA solo en Gasto",IF(AND(C321="Gasto",D321=""),"Falta categoría","OK")))))))))</f>
        <v/>
      </c>
    </row>
    <row r="322" spans="1:12" ht="22" customHeight="1">
      <c r="A322" s="3"/>
      <c r="B322" s="7"/>
      <c r="C322" s="3"/>
      <c r="D322" s="3"/>
      <c r="E322" s="3"/>
      <c r="F322" s="3"/>
      <c r="G322" s="3"/>
      <c r="H322" s="4"/>
      <c r="I322" s="4"/>
      <c r="J322" s="3"/>
      <c r="K322" s="8" t="str">
        <f t="shared" si="4"/>
        <v/>
      </c>
      <c r="L322" s="1" t="str">
        <f>IF(COUNTA(A322:J322)=0,"",IF(OR(AND(C322&lt;&gt;"Gasto",C322&lt;&gt;"Pago proveedor",C322&lt;&gt;"Retiro familiar",C322&lt;&gt;"Aportación",C322&lt;&gt;"Pago activo",C322&lt;&gt;"ISR devengado",C322&lt;&gt;"Pago ISR",C322&lt;&gt;"Pago IVA",C322&lt;&gt;"Compensación ISR",C322&lt;&gt;"Compensación IVA"),AND(C322="Gasto",D322&lt;&gt;"Costos clínicos",D322&lt;&gt;"Remuneración familiar",D322&lt;&gt;"Nómina y honorarios",D322&lt;&gt;"Renta",D322&lt;&gt;"Marketing",D322&lt;&gt;"Servicios y software",D322&lt;&gt;"Mantenimiento",D322&lt;&gt;"Otros",D322&lt;&gt;"Intereses")),"Tipo o categoría inválido",IF(COUNTA(A322:J322)=0,"",IF(OR(A322="",B322="",C322="",H322=""),"Faltan datos",IF(COUNTIF($A$7:$A$2006,A322)&gt;1,"ID duplicado",IF(OR(B322&lt;DATE(Configuración!$C$5,1,1),B322&gt;=DATE(Configuración!$C$5+1,1,1)),"Fecha fuera del año",IF(OR(H322&lt;0,I322&lt;0),"Revisar signo",IF(AND(C322&lt;&gt;"Gasto",I322&lt;&gt;0),"IVA solo en Gasto",IF(AND(C322="Gasto",D322=""),"Falta categoría","OK")))))))))</f>
        <v/>
      </c>
    </row>
    <row r="323" spans="1:12" ht="22" customHeight="1">
      <c r="A323" s="3"/>
      <c r="B323" s="7"/>
      <c r="C323" s="3"/>
      <c r="D323" s="3"/>
      <c r="E323" s="3"/>
      <c r="F323" s="3"/>
      <c r="G323" s="3"/>
      <c r="H323" s="4"/>
      <c r="I323" s="4"/>
      <c r="J323" s="3"/>
      <c r="K323" s="8" t="str">
        <f t="shared" si="4"/>
        <v/>
      </c>
      <c r="L323" s="1" t="str">
        <f>IF(COUNTA(A323:J323)=0,"",IF(OR(AND(C323&lt;&gt;"Gasto",C323&lt;&gt;"Pago proveedor",C323&lt;&gt;"Retiro familiar",C323&lt;&gt;"Aportación",C323&lt;&gt;"Pago activo",C323&lt;&gt;"ISR devengado",C323&lt;&gt;"Pago ISR",C323&lt;&gt;"Pago IVA",C323&lt;&gt;"Compensación ISR",C323&lt;&gt;"Compensación IVA"),AND(C323="Gasto",D323&lt;&gt;"Costos clínicos",D323&lt;&gt;"Remuneración familiar",D323&lt;&gt;"Nómina y honorarios",D323&lt;&gt;"Renta",D323&lt;&gt;"Marketing",D323&lt;&gt;"Servicios y software",D323&lt;&gt;"Mantenimiento",D323&lt;&gt;"Otros",D323&lt;&gt;"Intereses")),"Tipo o categoría inválido",IF(COUNTA(A323:J323)=0,"",IF(OR(A323="",B323="",C323="",H323=""),"Faltan datos",IF(COUNTIF($A$7:$A$2006,A323)&gt;1,"ID duplicado",IF(OR(B323&lt;DATE(Configuración!$C$5,1,1),B323&gt;=DATE(Configuración!$C$5+1,1,1)),"Fecha fuera del año",IF(OR(H323&lt;0,I323&lt;0),"Revisar signo",IF(AND(C323&lt;&gt;"Gasto",I323&lt;&gt;0),"IVA solo en Gasto",IF(AND(C323="Gasto",D323=""),"Falta categoría","OK")))))))))</f>
        <v/>
      </c>
    </row>
    <row r="324" spans="1:12" ht="22" customHeight="1">
      <c r="A324" s="3"/>
      <c r="B324" s="7"/>
      <c r="C324" s="3"/>
      <c r="D324" s="3"/>
      <c r="E324" s="3"/>
      <c r="F324" s="3"/>
      <c r="G324" s="3"/>
      <c r="H324" s="4"/>
      <c r="I324" s="4"/>
      <c r="J324" s="3"/>
      <c r="K324" s="8" t="str">
        <f t="shared" si="4"/>
        <v/>
      </c>
      <c r="L324" s="1" t="str">
        <f>IF(COUNTA(A324:J324)=0,"",IF(OR(AND(C324&lt;&gt;"Gasto",C324&lt;&gt;"Pago proveedor",C324&lt;&gt;"Retiro familiar",C324&lt;&gt;"Aportación",C324&lt;&gt;"Pago activo",C324&lt;&gt;"ISR devengado",C324&lt;&gt;"Pago ISR",C324&lt;&gt;"Pago IVA",C324&lt;&gt;"Compensación ISR",C324&lt;&gt;"Compensación IVA"),AND(C324="Gasto",D324&lt;&gt;"Costos clínicos",D324&lt;&gt;"Remuneración familiar",D324&lt;&gt;"Nómina y honorarios",D324&lt;&gt;"Renta",D324&lt;&gt;"Marketing",D324&lt;&gt;"Servicios y software",D324&lt;&gt;"Mantenimiento",D324&lt;&gt;"Otros",D324&lt;&gt;"Intereses")),"Tipo o categoría inválido",IF(COUNTA(A324:J324)=0,"",IF(OR(A324="",B324="",C324="",H324=""),"Faltan datos",IF(COUNTIF($A$7:$A$2006,A324)&gt;1,"ID duplicado",IF(OR(B324&lt;DATE(Configuración!$C$5,1,1),B324&gt;=DATE(Configuración!$C$5+1,1,1)),"Fecha fuera del año",IF(OR(H324&lt;0,I324&lt;0),"Revisar signo",IF(AND(C324&lt;&gt;"Gasto",I324&lt;&gt;0),"IVA solo en Gasto",IF(AND(C324="Gasto",D324=""),"Falta categoría","OK")))))))))</f>
        <v/>
      </c>
    </row>
    <row r="325" spans="1:12" ht="22" customHeight="1">
      <c r="A325" s="3"/>
      <c r="B325" s="7"/>
      <c r="C325" s="3"/>
      <c r="D325" s="3"/>
      <c r="E325" s="3"/>
      <c r="F325" s="3"/>
      <c r="G325" s="3"/>
      <c r="H325" s="4"/>
      <c r="I325" s="4"/>
      <c r="J325" s="3"/>
      <c r="K325" s="8" t="str">
        <f t="shared" si="4"/>
        <v/>
      </c>
      <c r="L325" s="1" t="str">
        <f>IF(COUNTA(A325:J325)=0,"",IF(OR(AND(C325&lt;&gt;"Gasto",C325&lt;&gt;"Pago proveedor",C325&lt;&gt;"Retiro familiar",C325&lt;&gt;"Aportación",C325&lt;&gt;"Pago activo",C325&lt;&gt;"ISR devengado",C325&lt;&gt;"Pago ISR",C325&lt;&gt;"Pago IVA",C325&lt;&gt;"Compensación ISR",C325&lt;&gt;"Compensación IVA"),AND(C325="Gasto",D325&lt;&gt;"Costos clínicos",D325&lt;&gt;"Remuneración familiar",D325&lt;&gt;"Nómina y honorarios",D325&lt;&gt;"Renta",D325&lt;&gt;"Marketing",D325&lt;&gt;"Servicios y software",D325&lt;&gt;"Mantenimiento",D325&lt;&gt;"Otros",D325&lt;&gt;"Intereses")),"Tipo o categoría inválido",IF(COUNTA(A325:J325)=0,"",IF(OR(A325="",B325="",C325="",H325=""),"Faltan datos",IF(COUNTIF($A$7:$A$2006,A325)&gt;1,"ID duplicado",IF(OR(B325&lt;DATE(Configuración!$C$5,1,1),B325&gt;=DATE(Configuración!$C$5+1,1,1)),"Fecha fuera del año",IF(OR(H325&lt;0,I325&lt;0),"Revisar signo",IF(AND(C325&lt;&gt;"Gasto",I325&lt;&gt;0),"IVA solo en Gasto",IF(AND(C325="Gasto",D325=""),"Falta categoría","OK")))))))))</f>
        <v/>
      </c>
    </row>
    <row r="326" spans="1:12" ht="22" customHeight="1">
      <c r="A326" s="3"/>
      <c r="B326" s="7"/>
      <c r="C326" s="3"/>
      <c r="D326" s="3"/>
      <c r="E326" s="3"/>
      <c r="F326" s="3"/>
      <c r="G326" s="3"/>
      <c r="H326" s="4"/>
      <c r="I326" s="4"/>
      <c r="J326" s="3"/>
      <c r="K326" s="8" t="str">
        <f t="shared" si="4"/>
        <v/>
      </c>
      <c r="L326" s="1" t="str">
        <f>IF(COUNTA(A326:J326)=0,"",IF(OR(AND(C326&lt;&gt;"Gasto",C326&lt;&gt;"Pago proveedor",C326&lt;&gt;"Retiro familiar",C326&lt;&gt;"Aportación",C326&lt;&gt;"Pago activo",C326&lt;&gt;"ISR devengado",C326&lt;&gt;"Pago ISR",C326&lt;&gt;"Pago IVA",C326&lt;&gt;"Compensación ISR",C326&lt;&gt;"Compensación IVA"),AND(C326="Gasto",D326&lt;&gt;"Costos clínicos",D326&lt;&gt;"Remuneración familiar",D326&lt;&gt;"Nómina y honorarios",D326&lt;&gt;"Renta",D326&lt;&gt;"Marketing",D326&lt;&gt;"Servicios y software",D326&lt;&gt;"Mantenimiento",D326&lt;&gt;"Otros",D326&lt;&gt;"Intereses")),"Tipo o categoría inválido",IF(COUNTA(A326:J326)=0,"",IF(OR(A326="",B326="",C326="",H326=""),"Faltan datos",IF(COUNTIF($A$7:$A$2006,A326)&gt;1,"ID duplicado",IF(OR(B326&lt;DATE(Configuración!$C$5,1,1),B326&gt;=DATE(Configuración!$C$5+1,1,1)),"Fecha fuera del año",IF(OR(H326&lt;0,I326&lt;0),"Revisar signo",IF(AND(C326&lt;&gt;"Gasto",I326&lt;&gt;0),"IVA solo en Gasto",IF(AND(C326="Gasto",D326=""),"Falta categoría","OK")))))))))</f>
        <v/>
      </c>
    </row>
    <row r="327" spans="1:12" ht="22" customHeight="1">
      <c r="A327" s="3"/>
      <c r="B327" s="7"/>
      <c r="C327" s="3"/>
      <c r="D327" s="3"/>
      <c r="E327" s="3"/>
      <c r="F327" s="3"/>
      <c r="G327" s="3"/>
      <c r="H327" s="4"/>
      <c r="I327" s="4"/>
      <c r="J327" s="3"/>
      <c r="K327" s="8" t="str">
        <f t="shared" ref="K327:K390" si="5">IF(A327="","",H327+I327)</f>
        <v/>
      </c>
      <c r="L327" s="1" t="str">
        <f>IF(COUNTA(A327:J327)=0,"",IF(OR(AND(C327&lt;&gt;"Gasto",C327&lt;&gt;"Pago proveedor",C327&lt;&gt;"Retiro familiar",C327&lt;&gt;"Aportación",C327&lt;&gt;"Pago activo",C327&lt;&gt;"ISR devengado",C327&lt;&gt;"Pago ISR",C327&lt;&gt;"Pago IVA",C327&lt;&gt;"Compensación ISR",C327&lt;&gt;"Compensación IVA"),AND(C327="Gasto",D327&lt;&gt;"Costos clínicos",D327&lt;&gt;"Remuneración familiar",D327&lt;&gt;"Nómina y honorarios",D327&lt;&gt;"Renta",D327&lt;&gt;"Marketing",D327&lt;&gt;"Servicios y software",D327&lt;&gt;"Mantenimiento",D327&lt;&gt;"Otros",D327&lt;&gt;"Intereses")),"Tipo o categoría inválido",IF(COUNTA(A327:J327)=0,"",IF(OR(A327="",B327="",C327="",H327=""),"Faltan datos",IF(COUNTIF($A$7:$A$2006,A327)&gt;1,"ID duplicado",IF(OR(B327&lt;DATE(Configuración!$C$5,1,1),B327&gt;=DATE(Configuración!$C$5+1,1,1)),"Fecha fuera del año",IF(OR(H327&lt;0,I327&lt;0),"Revisar signo",IF(AND(C327&lt;&gt;"Gasto",I327&lt;&gt;0),"IVA solo en Gasto",IF(AND(C327="Gasto",D327=""),"Falta categoría","OK")))))))))</f>
        <v/>
      </c>
    </row>
    <row r="328" spans="1:12" ht="22" customHeight="1">
      <c r="A328" s="3"/>
      <c r="B328" s="7"/>
      <c r="C328" s="3"/>
      <c r="D328" s="3"/>
      <c r="E328" s="3"/>
      <c r="F328" s="3"/>
      <c r="G328" s="3"/>
      <c r="H328" s="4"/>
      <c r="I328" s="4"/>
      <c r="J328" s="3"/>
      <c r="K328" s="8" t="str">
        <f t="shared" si="5"/>
        <v/>
      </c>
      <c r="L328" s="1" t="str">
        <f>IF(COUNTA(A328:J328)=0,"",IF(OR(AND(C328&lt;&gt;"Gasto",C328&lt;&gt;"Pago proveedor",C328&lt;&gt;"Retiro familiar",C328&lt;&gt;"Aportación",C328&lt;&gt;"Pago activo",C328&lt;&gt;"ISR devengado",C328&lt;&gt;"Pago ISR",C328&lt;&gt;"Pago IVA",C328&lt;&gt;"Compensación ISR",C328&lt;&gt;"Compensación IVA"),AND(C328="Gasto",D328&lt;&gt;"Costos clínicos",D328&lt;&gt;"Remuneración familiar",D328&lt;&gt;"Nómina y honorarios",D328&lt;&gt;"Renta",D328&lt;&gt;"Marketing",D328&lt;&gt;"Servicios y software",D328&lt;&gt;"Mantenimiento",D328&lt;&gt;"Otros",D328&lt;&gt;"Intereses")),"Tipo o categoría inválido",IF(COUNTA(A328:J328)=0,"",IF(OR(A328="",B328="",C328="",H328=""),"Faltan datos",IF(COUNTIF($A$7:$A$2006,A328)&gt;1,"ID duplicado",IF(OR(B328&lt;DATE(Configuración!$C$5,1,1),B328&gt;=DATE(Configuración!$C$5+1,1,1)),"Fecha fuera del año",IF(OR(H328&lt;0,I328&lt;0),"Revisar signo",IF(AND(C328&lt;&gt;"Gasto",I328&lt;&gt;0),"IVA solo en Gasto",IF(AND(C328="Gasto",D328=""),"Falta categoría","OK")))))))))</f>
        <v/>
      </c>
    </row>
    <row r="329" spans="1:12" ht="22" customHeight="1">
      <c r="A329" s="3"/>
      <c r="B329" s="7"/>
      <c r="C329" s="3"/>
      <c r="D329" s="3"/>
      <c r="E329" s="3"/>
      <c r="F329" s="3"/>
      <c r="G329" s="3"/>
      <c r="H329" s="4"/>
      <c r="I329" s="4"/>
      <c r="J329" s="3"/>
      <c r="K329" s="8" t="str">
        <f t="shared" si="5"/>
        <v/>
      </c>
      <c r="L329" s="1" t="str">
        <f>IF(COUNTA(A329:J329)=0,"",IF(OR(AND(C329&lt;&gt;"Gasto",C329&lt;&gt;"Pago proveedor",C329&lt;&gt;"Retiro familiar",C329&lt;&gt;"Aportación",C329&lt;&gt;"Pago activo",C329&lt;&gt;"ISR devengado",C329&lt;&gt;"Pago ISR",C329&lt;&gt;"Pago IVA",C329&lt;&gt;"Compensación ISR",C329&lt;&gt;"Compensación IVA"),AND(C329="Gasto",D329&lt;&gt;"Costos clínicos",D329&lt;&gt;"Remuneración familiar",D329&lt;&gt;"Nómina y honorarios",D329&lt;&gt;"Renta",D329&lt;&gt;"Marketing",D329&lt;&gt;"Servicios y software",D329&lt;&gt;"Mantenimiento",D329&lt;&gt;"Otros",D329&lt;&gt;"Intereses")),"Tipo o categoría inválido",IF(COUNTA(A329:J329)=0,"",IF(OR(A329="",B329="",C329="",H329=""),"Faltan datos",IF(COUNTIF($A$7:$A$2006,A329)&gt;1,"ID duplicado",IF(OR(B329&lt;DATE(Configuración!$C$5,1,1),B329&gt;=DATE(Configuración!$C$5+1,1,1)),"Fecha fuera del año",IF(OR(H329&lt;0,I329&lt;0),"Revisar signo",IF(AND(C329&lt;&gt;"Gasto",I329&lt;&gt;0),"IVA solo en Gasto",IF(AND(C329="Gasto",D329=""),"Falta categoría","OK")))))))))</f>
        <v/>
      </c>
    </row>
    <row r="330" spans="1:12" ht="22" customHeight="1">
      <c r="A330" s="3"/>
      <c r="B330" s="7"/>
      <c r="C330" s="3"/>
      <c r="D330" s="3"/>
      <c r="E330" s="3"/>
      <c r="F330" s="3"/>
      <c r="G330" s="3"/>
      <c r="H330" s="4"/>
      <c r="I330" s="4"/>
      <c r="J330" s="3"/>
      <c r="K330" s="8" t="str">
        <f t="shared" si="5"/>
        <v/>
      </c>
      <c r="L330" s="1" t="str">
        <f>IF(COUNTA(A330:J330)=0,"",IF(OR(AND(C330&lt;&gt;"Gasto",C330&lt;&gt;"Pago proveedor",C330&lt;&gt;"Retiro familiar",C330&lt;&gt;"Aportación",C330&lt;&gt;"Pago activo",C330&lt;&gt;"ISR devengado",C330&lt;&gt;"Pago ISR",C330&lt;&gt;"Pago IVA",C330&lt;&gt;"Compensación ISR",C330&lt;&gt;"Compensación IVA"),AND(C330="Gasto",D330&lt;&gt;"Costos clínicos",D330&lt;&gt;"Remuneración familiar",D330&lt;&gt;"Nómina y honorarios",D330&lt;&gt;"Renta",D330&lt;&gt;"Marketing",D330&lt;&gt;"Servicios y software",D330&lt;&gt;"Mantenimiento",D330&lt;&gt;"Otros",D330&lt;&gt;"Intereses")),"Tipo o categoría inválido",IF(COUNTA(A330:J330)=0,"",IF(OR(A330="",B330="",C330="",H330=""),"Faltan datos",IF(COUNTIF($A$7:$A$2006,A330)&gt;1,"ID duplicado",IF(OR(B330&lt;DATE(Configuración!$C$5,1,1),B330&gt;=DATE(Configuración!$C$5+1,1,1)),"Fecha fuera del año",IF(OR(H330&lt;0,I330&lt;0),"Revisar signo",IF(AND(C330&lt;&gt;"Gasto",I330&lt;&gt;0),"IVA solo en Gasto",IF(AND(C330="Gasto",D330=""),"Falta categoría","OK")))))))))</f>
        <v/>
      </c>
    </row>
    <row r="331" spans="1:12" ht="22" customHeight="1">
      <c r="A331" s="3"/>
      <c r="B331" s="7"/>
      <c r="C331" s="3"/>
      <c r="D331" s="3"/>
      <c r="E331" s="3"/>
      <c r="F331" s="3"/>
      <c r="G331" s="3"/>
      <c r="H331" s="4"/>
      <c r="I331" s="4"/>
      <c r="J331" s="3"/>
      <c r="K331" s="8" t="str">
        <f t="shared" si="5"/>
        <v/>
      </c>
      <c r="L331" s="1" t="str">
        <f>IF(COUNTA(A331:J331)=0,"",IF(OR(AND(C331&lt;&gt;"Gasto",C331&lt;&gt;"Pago proveedor",C331&lt;&gt;"Retiro familiar",C331&lt;&gt;"Aportación",C331&lt;&gt;"Pago activo",C331&lt;&gt;"ISR devengado",C331&lt;&gt;"Pago ISR",C331&lt;&gt;"Pago IVA",C331&lt;&gt;"Compensación ISR",C331&lt;&gt;"Compensación IVA"),AND(C331="Gasto",D331&lt;&gt;"Costos clínicos",D331&lt;&gt;"Remuneración familiar",D331&lt;&gt;"Nómina y honorarios",D331&lt;&gt;"Renta",D331&lt;&gt;"Marketing",D331&lt;&gt;"Servicios y software",D331&lt;&gt;"Mantenimiento",D331&lt;&gt;"Otros",D331&lt;&gt;"Intereses")),"Tipo o categoría inválido",IF(COUNTA(A331:J331)=0,"",IF(OR(A331="",B331="",C331="",H331=""),"Faltan datos",IF(COUNTIF($A$7:$A$2006,A331)&gt;1,"ID duplicado",IF(OR(B331&lt;DATE(Configuración!$C$5,1,1),B331&gt;=DATE(Configuración!$C$5+1,1,1)),"Fecha fuera del año",IF(OR(H331&lt;0,I331&lt;0),"Revisar signo",IF(AND(C331&lt;&gt;"Gasto",I331&lt;&gt;0),"IVA solo en Gasto",IF(AND(C331="Gasto",D331=""),"Falta categoría","OK")))))))))</f>
        <v/>
      </c>
    </row>
    <row r="332" spans="1:12" ht="22" customHeight="1">
      <c r="A332" s="3"/>
      <c r="B332" s="7"/>
      <c r="C332" s="3"/>
      <c r="D332" s="3"/>
      <c r="E332" s="3"/>
      <c r="F332" s="3"/>
      <c r="G332" s="3"/>
      <c r="H332" s="4"/>
      <c r="I332" s="4"/>
      <c r="J332" s="3"/>
      <c r="K332" s="8" t="str">
        <f t="shared" si="5"/>
        <v/>
      </c>
      <c r="L332" s="1" t="str">
        <f>IF(COUNTA(A332:J332)=0,"",IF(OR(AND(C332&lt;&gt;"Gasto",C332&lt;&gt;"Pago proveedor",C332&lt;&gt;"Retiro familiar",C332&lt;&gt;"Aportación",C332&lt;&gt;"Pago activo",C332&lt;&gt;"ISR devengado",C332&lt;&gt;"Pago ISR",C332&lt;&gt;"Pago IVA",C332&lt;&gt;"Compensación ISR",C332&lt;&gt;"Compensación IVA"),AND(C332="Gasto",D332&lt;&gt;"Costos clínicos",D332&lt;&gt;"Remuneración familiar",D332&lt;&gt;"Nómina y honorarios",D332&lt;&gt;"Renta",D332&lt;&gt;"Marketing",D332&lt;&gt;"Servicios y software",D332&lt;&gt;"Mantenimiento",D332&lt;&gt;"Otros",D332&lt;&gt;"Intereses")),"Tipo o categoría inválido",IF(COUNTA(A332:J332)=0,"",IF(OR(A332="",B332="",C332="",H332=""),"Faltan datos",IF(COUNTIF($A$7:$A$2006,A332)&gt;1,"ID duplicado",IF(OR(B332&lt;DATE(Configuración!$C$5,1,1),B332&gt;=DATE(Configuración!$C$5+1,1,1)),"Fecha fuera del año",IF(OR(H332&lt;0,I332&lt;0),"Revisar signo",IF(AND(C332&lt;&gt;"Gasto",I332&lt;&gt;0),"IVA solo en Gasto",IF(AND(C332="Gasto",D332=""),"Falta categoría","OK")))))))))</f>
        <v/>
      </c>
    </row>
    <row r="333" spans="1:12" ht="22" customHeight="1">
      <c r="A333" s="3"/>
      <c r="B333" s="7"/>
      <c r="C333" s="3"/>
      <c r="D333" s="3"/>
      <c r="E333" s="3"/>
      <c r="F333" s="3"/>
      <c r="G333" s="3"/>
      <c r="H333" s="4"/>
      <c r="I333" s="4"/>
      <c r="J333" s="3"/>
      <c r="K333" s="8" t="str">
        <f t="shared" si="5"/>
        <v/>
      </c>
      <c r="L333" s="1" t="str">
        <f>IF(COUNTA(A333:J333)=0,"",IF(OR(AND(C333&lt;&gt;"Gasto",C333&lt;&gt;"Pago proveedor",C333&lt;&gt;"Retiro familiar",C333&lt;&gt;"Aportación",C333&lt;&gt;"Pago activo",C333&lt;&gt;"ISR devengado",C333&lt;&gt;"Pago ISR",C333&lt;&gt;"Pago IVA",C333&lt;&gt;"Compensación ISR",C333&lt;&gt;"Compensación IVA"),AND(C333="Gasto",D333&lt;&gt;"Costos clínicos",D333&lt;&gt;"Remuneración familiar",D333&lt;&gt;"Nómina y honorarios",D333&lt;&gt;"Renta",D333&lt;&gt;"Marketing",D333&lt;&gt;"Servicios y software",D333&lt;&gt;"Mantenimiento",D333&lt;&gt;"Otros",D333&lt;&gt;"Intereses")),"Tipo o categoría inválido",IF(COUNTA(A333:J333)=0,"",IF(OR(A333="",B333="",C333="",H333=""),"Faltan datos",IF(COUNTIF($A$7:$A$2006,A333)&gt;1,"ID duplicado",IF(OR(B333&lt;DATE(Configuración!$C$5,1,1),B333&gt;=DATE(Configuración!$C$5+1,1,1)),"Fecha fuera del año",IF(OR(H333&lt;0,I333&lt;0),"Revisar signo",IF(AND(C333&lt;&gt;"Gasto",I333&lt;&gt;0),"IVA solo en Gasto",IF(AND(C333="Gasto",D333=""),"Falta categoría","OK")))))))))</f>
        <v/>
      </c>
    </row>
    <row r="334" spans="1:12" ht="22" customHeight="1">
      <c r="A334" s="3"/>
      <c r="B334" s="7"/>
      <c r="C334" s="3"/>
      <c r="D334" s="3"/>
      <c r="E334" s="3"/>
      <c r="F334" s="3"/>
      <c r="G334" s="3"/>
      <c r="H334" s="4"/>
      <c r="I334" s="4"/>
      <c r="J334" s="3"/>
      <c r="K334" s="8" t="str">
        <f t="shared" si="5"/>
        <v/>
      </c>
      <c r="L334" s="1" t="str">
        <f>IF(COUNTA(A334:J334)=0,"",IF(OR(AND(C334&lt;&gt;"Gasto",C334&lt;&gt;"Pago proveedor",C334&lt;&gt;"Retiro familiar",C334&lt;&gt;"Aportación",C334&lt;&gt;"Pago activo",C334&lt;&gt;"ISR devengado",C334&lt;&gt;"Pago ISR",C334&lt;&gt;"Pago IVA",C334&lt;&gt;"Compensación ISR",C334&lt;&gt;"Compensación IVA"),AND(C334="Gasto",D334&lt;&gt;"Costos clínicos",D334&lt;&gt;"Remuneración familiar",D334&lt;&gt;"Nómina y honorarios",D334&lt;&gt;"Renta",D334&lt;&gt;"Marketing",D334&lt;&gt;"Servicios y software",D334&lt;&gt;"Mantenimiento",D334&lt;&gt;"Otros",D334&lt;&gt;"Intereses")),"Tipo o categoría inválido",IF(COUNTA(A334:J334)=0,"",IF(OR(A334="",B334="",C334="",H334=""),"Faltan datos",IF(COUNTIF($A$7:$A$2006,A334)&gt;1,"ID duplicado",IF(OR(B334&lt;DATE(Configuración!$C$5,1,1),B334&gt;=DATE(Configuración!$C$5+1,1,1)),"Fecha fuera del año",IF(OR(H334&lt;0,I334&lt;0),"Revisar signo",IF(AND(C334&lt;&gt;"Gasto",I334&lt;&gt;0),"IVA solo en Gasto",IF(AND(C334="Gasto",D334=""),"Falta categoría","OK")))))))))</f>
        <v/>
      </c>
    </row>
    <row r="335" spans="1:12" ht="22" customHeight="1">
      <c r="A335" s="3"/>
      <c r="B335" s="7"/>
      <c r="C335" s="3"/>
      <c r="D335" s="3"/>
      <c r="E335" s="3"/>
      <c r="F335" s="3"/>
      <c r="G335" s="3"/>
      <c r="H335" s="4"/>
      <c r="I335" s="4"/>
      <c r="J335" s="3"/>
      <c r="K335" s="8" t="str">
        <f t="shared" si="5"/>
        <v/>
      </c>
      <c r="L335" s="1" t="str">
        <f>IF(COUNTA(A335:J335)=0,"",IF(OR(AND(C335&lt;&gt;"Gasto",C335&lt;&gt;"Pago proveedor",C335&lt;&gt;"Retiro familiar",C335&lt;&gt;"Aportación",C335&lt;&gt;"Pago activo",C335&lt;&gt;"ISR devengado",C335&lt;&gt;"Pago ISR",C335&lt;&gt;"Pago IVA",C335&lt;&gt;"Compensación ISR",C335&lt;&gt;"Compensación IVA"),AND(C335="Gasto",D335&lt;&gt;"Costos clínicos",D335&lt;&gt;"Remuneración familiar",D335&lt;&gt;"Nómina y honorarios",D335&lt;&gt;"Renta",D335&lt;&gt;"Marketing",D335&lt;&gt;"Servicios y software",D335&lt;&gt;"Mantenimiento",D335&lt;&gt;"Otros",D335&lt;&gt;"Intereses")),"Tipo o categoría inválido",IF(COUNTA(A335:J335)=0,"",IF(OR(A335="",B335="",C335="",H335=""),"Faltan datos",IF(COUNTIF($A$7:$A$2006,A335)&gt;1,"ID duplicado",IF(OR(B335&lt;DATE(Configuración!$C$5,1,1),B335&gt;=DATE(Configuración!$C$5+1,1,1)),"Fecha fuera del año",IF(OR(H335&lt;0,I335&lt;0),"Revisar signo",IF(AND(C335&lt;&gt;"Gasto",I335&lt;&gt;0),"IVA solo en Gasto",IF(AND(C335="Gasto",D335=""),"Falta categoría","OK")))))))))</f>
        <v/>
      </c>
    </row>
    <row r="336" spans="1:12" ht="22" customHeight="1">
      <c r="A336" s="3"/>
      <c r="B336" s="7"/>
      <c r="C336" s="3"/>
      <c r="D336" s="3"/>
      <c r="E336" s="3"/>
      <c r="F336" s="3"/>
      <c r="G336" s="3"/>
      <c r="H336" s="4"/>
      <c r="I336" s="4"/>
      <c r="J336" s="3"/>
      <c r="K336" s="8" t="str">
        <f t="shared" si="5"/>
        <v/>
      </c>
      <c r="L336" s="1" t="str">
        <f>IF(COUNTA(A336:J336)=0,"",IF(OR(AND(C336&lt;&gt;"Gasto",C336&lt;&gt;"Pago proveedor",C336&lt;&gt;"Retiro familiar",C336&lt;&gt;"Aportación",C336&lt;&gt;"Pago activo",C336&lt;&gt;"ISR devengado",C336&lt;&gt;"Pago ISR",C336&lt;&gt;"Pago IVA",C336&lt;&gt;"Compensación ISR",C336&lt;&gt;"Compensación IVA"),AND(C336="Gasto",D336&lt;&gt;"Costos clínicos",D336&lt;&gt;"Remuneración familiar",D336&lt;&gt;"Nómina y honorarios",D336&lt;&gt;"Renta",D336&lt;&gt;"Marketing",D336&lt;&gt;"Servicios y software",D336&lt;&gt;"Mantenimiento",D336&lt;&gt;"Otros",D336&lt;&gt;"Intereses")),"Tipo o categoría inválido",IF(COUNTA(A336:J336)=0,"",IF(OR(A336="",B336="",C336="",H336=""),"Faltan datos",IF(COUNTIF($A$7:$A$2006,A336)&gt;1,"ID duplicado",IF(OR(B336&lt;DATE(Configuración!$C$5,1,1),B336&gt;=DATE(Configuración!$C$5+1,1,1)),"Fecha fuera del año",IF(OR(H336&lt;0,I336&lt;0),"Revisar signo",IF(AND(C336&lt;&gt;"Gasto",I336&lt;&gt;0),"IVA solo en Gasto",IF(AND(C336="Gasto",D336=""),"Falta categoría","OK")))))))))</f>
        <v/>
      </c>
    </row>
    <row r="337" spans="1:12" ht="22" customHeight="1">
      <c r="A337" s="3"/>
      <c r="B337" s="7"/>
      <c r="C337" s="3"/>
      <c r="D337" s="3"/>
      <c r="E337" s="3"/>
      <c r="F337" s="3"/>
      <c r="G337" s="3"/>
      <c r="H337" s="4"/>
      <c r="I337" s="4"/>
      <c r="J337" s="3"/>
      <c r="K337" s="8" t="str">
        <f t="shared" si="5"/>
        <v/>
      </c>
      <c r="L337" s="1" t="str">
        <f>IF(COUNTA(A337:J337)=0,"",IF(OR(AND(C337&lt;&gt;"Gasto",C337&lt;&gt;"Pago proveedor",C337&lt;&gt;"Retiro familiar",C337&lt;&gt;"Aportación",C337&lt;&gt;"Pago activo",C337&lt;&gt;"ISR devengado",C337&lt;&gt;"Pago ISR",C337&lt;&gt;"Pago IVA",C337&lt;&gt;"Compensación ISR",C337&lt;&gt;"Compensación IVA"),AND(C337="Gasto",D337&lt;&gt;"Costos clínicos",D337&lt;&gt;"Remuneración familiar",D337&lt;&gt;"Nómina y honorarios",D337&lt;&gt;"Renta",D337&lt;&gt;"Marketing",D337&lt;&gt;"Servicios y software",D337&lt;&gt;"Mantenimiento",D337&lt;&gt;"Otros",D337&lt;&gt;"Intereses")),"Tipo o categoría inválido",IF(COUNTA(A337:J337)=0,"",IF(OR(A337="",B337="",C337="",H337=""),"Faltan datos",IF(COUNTIF($A$7:$A$2006,A337)&gt;1,"ID duplicado",IF(OR(B337&lt;DATE(Configuración!$C$5,1,1),B337&gt;=DATE(Configuración!$C$5+1,1,1)),"Fecha fuera del año",IF(OR(H337&lt;0,I337&lt;0),"Revisar signo",IF(AND(C337&lt;&gt;"Gasto",I337&lt;&gt;0),"IVA solo en Gasto",IF(AND(C337="Gasto",D337=""),"Falta categoría","OK")))))))))</f>
        <v/>
      </c>
    </row>
    <row r="338" spans="1:12" ht="22" customHeight="1">
      <c r="A338" s="3"/>
      <c r="B338" s="7"/>
      <c r="C338" s="3"/>
      <c r="D338" s="3"/>
      <c r="E338" s="3"/>
      <c r="F338" s="3"/>
      <c r="G338" s="3"/>
      <c r="H338" s="4"/>
      <c r="I338" s="4"/>
      <c r="J338" s="3"/>
      <c r="K338" s="8" t="str">
        <f t="shared" si="5"/>
        <v/>
      </c>
      <c r="L338" s="1" t="str">
        <f>IF(COUNTA(A338:J338)=0,"",IF(OR(AND(C338&lt;&gt;"Gasto",C338&lt;&gt;"Pago proveedor",C338&lt;&gt;"Retiro familiar",C338&lt;&gt;"Aportación",C338&lt;&gt;"Pago activo",C338&lt;&gt;"ISR devengado",C338&lt;&gt;"Pago ISR",C338&lt;&gt;"Pago IVA",C338&lt;&gt;"Compensación ISR",C338&lt;&gt;"Compensación IVA"),AND(C338="Gasto",D338&lt;&gt;"Costos clínicos",D338&lt;&gt;"Remuneración familiar",D338&lt;&gt;"Nómina y honorarios",D338&lt;&gt;"Renta",D338&lt;&gt;"Marketing",D338&lt;&gt;"Servicios y software",D338&lt;&gt;"Mantenimiento",D338&lt;&gt;"Otros",D338&lt;&gt;"Intereses")),"Tipo o categoría inválido",IF(COUNTA(A338:J338)=0,"",IF(OR(A338="",B338="",C338="",H338=""),"Faltan datos",IF(COUNTIF($A$7:$A$2006,A338)&gt;1,"ID duplicado",IF(OR(B338&lt;DATE(Configuración!$C$5,1,1),B338&gt;=DATE(Configuración!$C$5+1,1,1)),"Fecha fuera del año",IF(OR(H338&lt;0,I338&lt;0),"Revisar signo",IF(AND(C338&lt;&gt;"Gasto",I338&lt;&gt;0),"IVA solo en Gasto",IF(AND(C338="Gasto",D338=""),"Falta categoría","OK")))))))))</f>
        <v/>
      </c>
    </row>
    <row r="339" spans="1:12" ht="22" customHeight="1">
      <c r="A339" s="3"/>
      <c r="B339" s="7"/>
      <c r="C339" s="3"/>
      <c r="D339" s="3"/>
      <c r="E339" s="3"/>
      <c r="F339" s="3"/>
      <c r="G339" s="3"/>
      <c r="H339" s="4"/>
      <c r="I339" s="4"/>
      <c r="J339" s="3"/>
      <c r="K339" s="8" t="str">
        <f t="shared" si="5"/>
        <v/>
      </c>
      <c r="L339" s="1" t="str">
        <f>IF(COUNTA(A339:J339)=0,"",IF(OR(AND(C339&lt;&gt;"Gasto",C339&lt;&gt;"Pago proveedor",C339&lt;&gt;"Retiro familiar",C339&lt;&gt;"Aportación",C339&lt;&gt;"Pago activo",C339&lt;&gt;"ISR devengado",C339&lt;&gt;"Pago ISR",C339&lt;&gt;"Pago IVA",C339&lt;&gt;"Compensación ISR",C339&lt;&gt;"Compensación IVA"),AND(C339="Gasto",D339&lt;&gt;"Costos clínicos",D339&lt;&gt;"Remuneración familiar",D339&lt;&gt;"Nómina y honorarios",D339&lt;&gt;"Renta",D339&lt;&gt;"Marketing",D339&lt;&gt;"Servicios y software",D339&lt;&gt;"Mantenimiento",D339&lt;&gt;"Otros",D339&lt;&gt;"Intereses")),"Tipo o categoría inválido",IF(COUNTA(A339:J339)=0,"",IF(OR(A339="",B339="",C339="",H339=""),"Faltan datos",IF(COUNTIF($A$7:$A$2006,A339)&gt;1,"ID duplicado",IF(OR(B339&lt;DATE(Configuración!$C$5,1,1),B339&gt;=DATE(Configuración!$C$5+1,1,1)),"Fecha fuera del año",IF(OR(H339&lt;0,I339&lt;0),"Revisar signo",IF(AND(C339&lt;&gt;"Gasto",I339&lt;&gt;0),"IVA solo en Gasto",IF(AND(C339="Gasto",D339=""),"Falta categoría","OK")))))))))</f>
        <v/>
      </c>
    </row>
    <row r="340" spans="1:12" ht="22" customHeight="1">
      <c r="A340" s="3"/>
      <c r="B340" s="7"/>
      <c r="C340" s="3"/>
      <c r="D340" s="3"/>
      <c r="E340" s="3"/>
      <c r="F340" s="3"/>
      <c r="G340" s="3"/>
      <c r="H340" s="4"/>
      <c r="I340" s="4"/>
      <c r="J340" s="3"/>
      <c r="K340" s="8" t="str">
        <f t="shared" si="5"/>
        <v/>
      </c>
      <c r="L340" s="1" t="str">
        <f>IF(COUNTA(A340:J340)=0,"",IF(OR(AND(C340&lt;&gt;"Gasto",C340&lt;&gt;"Pago proveedor",C340&lt;&gt;"Retiro familiar",C340&lt;&gt;"Aportación",C340&lt;&gt;"Pago activo",C340&lt;&gt;"ISR devengado",C340&lt;&gt;"Pago ISR",C340&lt;&gt;"Pago IVA",C340&lt;&gt;"Compensación ISR",C340&lt;&gt;"Compensación IVA"),AND(C340="Gasto",D340&lt;&gt;"Costos clínicos",D340&lt;&gt;"Remuneración familiar",D340&lt;&gt;"Nómina y honorarios",D340&lt;&gt;"Renta",D340&lt;&gt;"Marketing",D340&lt;&gt;"Servicios y software",D340&lt;&gt;"Mantenimiento",D340&lt;&gt;"Otros",D340&lt;&gt;"Intereses")),"Tipo o categoría inválido",IF(COUNTA(A340:J340)=0,"",IF(OR(A340="",B340="",C340="",H340=""),"Faltan datos",IF(COUNTIF($A$7:$A$2006,A340)&gt;1,"ID duplicado",IF(OR(B340&lt;DATE(Configuración!$C$5,1,1),B340&gt;=DATE(Configuración!$C$5+1,1,1)),"Fecha fuera del año",IF(OR(H340&lt;0,I340&lt;0),"Revisar signo",IF(AND(C340&lt;&gt;"Gasto",I340&lt;&gt;0),"IVA solo en Gasto",IF(AND(C340="Gasto",D340=""),"Falta categoría","OK")))))))))</f>
        <v/>
      </c>
    </row>
    <row r="341" spans="1:12" ht="22" customHeight="1">
      <c r="A341" s="3"/>
      <c r="B341" s="7"/>
      <c r="C341" s="3"/>
      <c r="D341" s="3"/>
      <c r="E341" s="3"/>
      <c r="F341" s="3"/>
      <c r="G341" s="3"/>
      <c r="H341" s="4"/>
      <c r="I341" s="4"/>
      <c r="J341" s="3"/>
      <c r="K341" s="8" t="str">
        <f t="shared" si="5"/>
        <v/>
      </c>
      <c r="L341" s="1" t="str">
        <f>IF(COUNTA(A341:J341)=0,"",IF(OR(AND(C341&lt;&gt;"Gasto",C341&lt;&gt;"Pago proveedor",C341&lt;&gt;"Retiro familiar",C341&lt;&gt;"Aportación",C341&lt;&gt;"Pago activo",C341&lt;&gt;"ISR devengado",C341&lt;&gt;"Pago ISR",C341&lt;&gt;"Pago IVA",C341&lt;&gt;"Compensación ISR",C341&lt;&gt;"Compensación IVA"),AND(C341="Gasto",D341&lt;&gt;"Costos clínicos",D341&lt;&gt;"Remuneración familiar",D341&lt;&gt;"Nómina y honorarios",D341&lt;&gt;"Renta",D341&lt;&gt;"Marketing",D341&lt;&gt;"Servicios y software",D341&lt;&gt;"Mantenimiento",D341&lt;&gt;"Otros",D341&lt;&gt;"Intereses")),"Tipo o categoría inválido",IF(COUNTA(A341:J341)=0,"",IF(OR(A341="",B341="",C341="",H341=""),"Faltan datos",IF(COUNTIF($A$7:$A$2006,A341)&gt;1,"ID duplicado",IF(OR(B341&lt;DATE(Configuración!$C$5,1,1),B341&gt;=DATE(Configuración!$C$5+1,1,1)),"Fecha fuera del año",IF(OR(H341&lt;0,I341&lt;0),"Revisar signo",IF(AND(C341&lt;&gt;"Gasto",I341&lt;&gt;0),"IVA solo en Gasto",IF(AND(C341="Gasto",D341=""),"Falta categoría","OK")))))))))</f>
        <v/>
      </c>
    </row>
    <row r="342" spans="1:12" ht="22" customHeight="1">
      <c r="A342" s="3"/>
      <c r="B342" s="7"/>
      <c r="C342" s="3"/>
      <c r="D342" s="3"/>
      <c r="E342" s="3"/>
      <c r="F342" s="3"/>
      <c r="G342" s="3"/>
      <c r="H342" s="4"/>
      <c r="I342" s="4"/>
      <c r="J342" s="3"/>
      <c r="K342" s="8" t="str">
        <f t="shared" si="5"/>
        <v/>
      </c>
      <c r="L342" s="1" t="str">
        <f>IF(COUNTA(A342:J342)=0,"",IF(OR(AND(C342&lt;&gt;"Gasto",C342&lt;&gt;"Pago proveedor",C342&lt;&gt;"Retiro familiar",C342&lt;&gt;"Aportación",C342&lt;&gt;"Pago activo",C342&lt;&gt;"ISR devengado",C342&lt;&gt;"Pago ISR",C342&lt;&gt;"Pago IVA",C342&lt;&gt;"Compensación ISR",C342&lt;&gt;"Compensación IVA"),AND(C342="Gasto",D342&lt;&gt;"Costos clínicos",D342&lt;&gt;"Remuneración familiar",D342&lt;&gt;"Nómina y honorarios",D342&lt;&gt;"Renta",D342&lt;&gt;"Marketing",D342&lt;&gt;"Servicios y software",D342&lt;&gt;"Mantenimiento",D342&lt;&gt;"Otros",D342&lt;&gt;"Intereses")),"Tipo o categoría inválido",IF(COUNTA(A342:J342)=0,"",IF(OR(A342="",B342="",C342="",H342=""),"Faltan datos",IF(COUNTIF($A$7:$A$2006,A342)&gt;1,"ID duplicado",IF(OR(B342&lt;DATE(Configuración!$C$5,1,1),B342&gt;=DATE(Configuración!$C$5+1,1,1)),"Fecha fuera del año",IF(OR(H342&lt;0,I342&lt;0),"Revisar signo",IF(AND(C342&lt;&gt;"Gasto",I342&lt;&gt;0),"IVA solo en Gasto",IF(AND(C342="Gasto",D342=""),"Falta categoría","OK")))))))))</f>
        <v/>
      </c>
    </row>
    <row r="343" spans="1:12" ht="22" customHeight="1">
      <c r="A343" s="3"/>
      <c r="B343" s="7"/>
      <c r="C343" s="3"/>
      <c r="D343" s="3"/>
      <c r="E343" s="3"/>
      <c r="F343" s="3"/>
      <c r="G343" s="3"/>
      <c r="H343" s="4"/>
      <c r="I343" s="4"/>
      <c r="J343" s="3"/>
      <c r="K343" s="8" t="str">
        <f t="shared" si="5"/>
        <v/>
      </c>
      <c r="L343" s="1" t="str">
        <f>IF(COUNTA(A343:J343)=0,"",IF(OR(AND(C343&lt;&gt;"Gasto",C343&lt;&gt;"Pago proveedor",C343&lt;&gt;"Retiro familiar",C343&lt;&gt;"Aportación",C343&lt;&gt;"Pago activo",C343&lt;&gt;"ISR devengado",C343&lt;&gt;"Pago ISR",C343&lt;&gt;"Pago IVA",C343&lt;&gt;"Compensación ISR",C343&lt;&gt;"Compensación IVA"),AND(C343="Gasto",D343&lt;&gt;"Costos clínicos",D343&lt;&gt;"Remuneración familiar",D343&lt;&gt;"Nómina y honorarios",D343&lt;&gt;"Renta",D343&lt;&gt;"Marketing",D343&lt;&gt;"Servicios y software",D343&lt;&gt;"Mantenimiento",D343&lt;&gt;"Otros",D343&lt;&gt;"Intereses")),"Tipo o categoría inválido",IF(COUNTA(A343:J343)=0,"",IF(OR(A343="",B343="",C343="",H343=""),"Faltan datos",IF(COUNTIF($A$7:$A$2006,A343)&gt;1,"ID duplicado",IF(OR(B343&lt;DATE(Configuración!$C$5,1,1),B343&gt;=DATE(Configuración!$C$5+1,1,1)),"Fecha fuera del año",IF(OR(H343&lt;0,I343&lt;0),"Revisar signo",IF(AND(C343&lt;&gt;"Gasto",I343&lt;&gt;0),"IVA solo en Gasto",IF(AND(C343="Gasto",D343=""),"Falta categoría","OK")))))))))</f>
        <v/>
      </c>
    </row>
    <row r="344" spans="1:12" ht="22" customHeight="1">
      <c r="A344" s="3"/>
      <c r="B344" s="7"/>
      <c r="C344" s="3"/>
      <c r="D344" s="3"/>
      <c r="E344" s="3"/>
      <c r="F344" s="3"/>
      <c r="G344" s="3"/>
      <c r="H344" s="4"/>
      <c r="I344" s="4"/>
      <c r="J344" s="3"/>
      <c r="K344" s="8" t="str">
        <f t="shared" si="5"/>
        <v/>
      </c>
      <c r="L344" s="1" t="str">
        <f>IF(COUNTA(A344:J344)=0,"",IF(OR(AND(C344&lt;&gt;"Gasto",C344&lt;&gt;"Pago proveedor",C344&lt;&gt;"Retiro familiar",C344&lt;&gt;"Aportación",C344&lt;&gt;"Pago activo",C344&lt;&gt;"ISR devengado",C344&lt;&gt;"Pago ISR",C344&lt;&gt;"Pago IVA",C344&lt;&gt;"Compensación ISR",C344&lt;&gt;"Compensación IVA"),AND(C344="Gasto",D344&lt;&gt;"Costos clínicos",D344&lt;&gt;"Remuneración familiar",D344&lt;&gt;"Nómina y honorarios",D344&lt;&gt;"Renta",D344&lt;&gt;"Marketing",D344&lt;&gt;"Servicios y software",D344&lt;&gt;"Mantenimiento",D344&lt;&gt;"Otros",D344&lt;&gt;"Intereses")),"Tipo o categoría inválido",IF(COUNTA(A344:J344)=0,"",IF(OR(A344="",B344="",C344="",H344=""),"Faltan datos",IF(COUNTIF($A$7:$A$2006,A344)&gt;1,"ID duplicado",IF(OR(B344&lt;DATE(Configuración!$C$5,1,1),B344&gt;=DATE(Configuración!$C$5+1,1,1)),"Fecha fuera del año",IF(OR(H344&lt;0,I344&lt;0),"Revisar signo",IF(AND(C344&lt;&gt;"Gasto",I344&lt;&gt;0),"IVA solo en Gasto",IF(AND(C344="Gasto",D344=""),"Falta categoría","OK")))))))))</f>
        <v/>
      </c>
    </row>
    <row r="345" spans="1:12" ht="22" customHeight="1">
      <c r="A345" s="3"/>
      <c r="B345" s="7"/>
      <c r="C345" s="3"/>
      <c r="D345" s="3"/>
      <c r="E345" s="3"/>
      <c r="F345" s="3"/>
      <c r="G345" s="3"/>
      <c r="H345" s="4"/>
      <c r="I345" s="4"/>
      <c r="J345" s="3"/>
      <c r="K345" s="8" t="str">
        <f t="shared" si="5"/>
        <v/>
      </c>
      <c r="L345" s="1" t="str">
        <f>IF(COUNTA(A345:J345)=0,"",IF(OR(AND(C345&lt;&gt;"Gasto",C345&lt;&gt;"Pago proveedor",C345&lt;&gt;"Retiro familiar",C345&lt;&gt;"Aportación",C345&lt;&gt;"Pago activo",C345&lt;&gt;"ISR devengado",C345&lt;&gt;"Pago ISR",C345&lt;&gt;"Pago IVA",C345&lt;&gt;"Compensación ISR",C345&lt;&gt;"Compensación IVA"),AND(C345="Gasto",D345&lt;&gt;"Costos clínicos",D345&lt;&gt;"Remuneración familiar",D345&lt;&gt;"Nómina y honorarios",D345&lt;&gt;"Renta",D345&lt;&gt;"Marketing",D345&lt;&gt;"Servicios y software",D345&lt;&gt;"Mantenimiento",D345&lt;&gt;"Otros",D345&lt;&gt;"Intereses")),"Tipo o categoría inválido",IF(COUNTA(A345:J345)=0,"",IF(OR(A345="",B345="",C345="",H345=""),"Faltan datos",IF(COUNTIF($A$7:$A$2006,A345)&gt;1,"ID duplicado",IF(OR(B345&lt;DATE(Configuración!$C$5,1,1),B345&gt;=DATE(Configuración!$C$5+1,1,1)),"Fecha fuera del año",IF(OR(H345&lt;0,I345&lt;0),"Revisar signo",IF(AND(C345&lt;&gt;"Gasto",I345&lt;&gt;0),"IVA solo en Gasto",IF(AND(C345="Gasto",D345=""),"Falta categoría","OK")))))))))</f>
        <v/>
      </c>
    </row>
    <row r="346" spans="1:12" ht="22" customHeight="1">
      <c r="A346" s="3"/>
      <c r="B346" s="7"/>
      <c r="C346" s="3"/>
      <c r="D346" s="3"/>
      <c r="E346" s="3"/>
      <c r="F346" s="3"/>
      <c r="G346" s="3"/>
      <c r="H346" s="4"/>
      <c r="I346" s="4"/>
      <c r="J346" s="3"/>
      <c r="K346" s="8" t="str">
        <f t="shared" si="5"/>
        <v/>
      </c>
      <c r="L346" s="1" t="str">
        <f>IF(COUNTA(A346:J346)=0,"",IF(OR(AND(C346&lt;&gt;"Gasto",C346&lt;&gt;"Pago proveedor",C346&lt;&gt;"Retiro familiar",C346&lt;&gt;"Aportación",C346&lt;&gt;"Pago activo",C346&lt;&gt;"ISR devengado",C346&lt;&gt;"Pago ISR",C346&lt;&gt;"Pago IVA",C346&lt;&gt;"Compensación ISR",C346&lt;&gt;"Compensación IVA"),AND(C346="Gasto",D346&lt;&gt;"Costos clínicos",D346&lt;&gt;"Remuneración familiar",D346&lt;&gt;"Nómina y honorarios",D346&lt;&gt;"Renta",D346&lt;&gt;"Marketing",D346&lt;&gt;"Servicios y software",D346&lt;&gt;"Mantenimiento",D346&lt;&gt;"Otros",D346&lt;&gt;"Intereses")),"Tipo o categoría inválido",IF(COUNTA(A346:J346)=0,"",IF(OR(A346="",B346="",C346="",H346=""),"Faltan datos",IF(COUNTIF($A$7:$A$2006,A346)&gt;1,"ID duplicado",IF(OR(B346&lt;DATE(Configuración!$C$5,1,1),B346&gt;=DATE(Configuración!$C$5+1,1,1)),"Fecha fuera del año",IF(OR(H346&lt;0,I346&lt;0),"Revisar signo",IF(AND(C346&lt;&gt;"Gasto",I346&lt;&gt;0),"IVA solo en Gasto",IF(AND(C346="Gasto",D346=""),"Falta categoría","OK")))))))))</f>
        <v/>
      </c>
    </row>
    <row r="347" spans="1:12" ht="22" customHeight="1">
      <c r="A347" s="3"/>
      <c r="B347" s="7"/>
      <c r="C347" s="3"/>
      <c r="D347" s="3"/>
      <c r="E347" s="3"/>
      <c r="F347" s="3"/>
      <c r="G347" s="3"/>
      <c r="H347" s="4"/>
      <c r="I347" s="4"/>
      <c r="J347" s="3"/>
      <c r="K347" s="8" t="str">
        <f t="shared" si="5"/>
        <v/>
      </c>
      <c r="L347" s="1" t="str">
        <f>IF(COUNTA(A347:J347)=0,"",IF(OR(AND(C347&lt;&gt;"Gasto",C347&lt;&gt;"Pago proveedor",C347&lt;&gt;"Retiro familiar",C347&lt;&gt;"Aportación",C347&lt;&gt;"Pago activo",C347&lt;&gt;"ISR devengado",C347&lt;&gt;"Pago ISR",C347&lt;&gt;"Pago IVA",C347&lt;&gt;"Compensación ISR",C347&lt;&gt;"Compensación IVA"),AND(C347="Gasto",D347&lt;&gt;"Costos clínicos",D347&lt;&gt;"Remuneración familiar",D347&lt;&gt;"Nómina y honorarios",D347&lt;&gt;"Renta",D347&lt;&gt;"Marketing",D347&lt;&gt;"Servicios y software",D347&lt;&gt;"Mantenimiento",D347&lt;&gt;"Otros",D347&lt;&gt;"Intereses")),"Tipo o categoría inválido",IF(COUNTA(A347:J347)=0,"",IF(OR(A347="",B347="",C347="",H347=""),"Faltan datos",IF(COUNTIF($A$7:$A$2006,A347)&gt;1,"ID duplicado",IF(OR(B347&lt;DATE(Configuración!$C$5,1,1),B347&gt;=DATE(Configuración!$C$5+1,1,1)),"Fecha fuera del año",IF(OR(H347&lt;0,I347&lt;0),"Revisar signo",IF(AND(C347&lt;&gt;"Gasto",I347&lt;&gt;0),"IVA solo en Gasto",IF(AND(C347="Gasto",D347=""),"Falta categoría","OK")))))))))</f>
        <v/>
      </c>
    </row>
    <row r="348" spans="1:12" ht="22" customHeight="1">
      <c r="A348" s="3"/>
      <c r="B348" s="7"/>
      <c r="C348" s="3"/>
      <c r="D348" s="3"/>
      <c r="E348" s="3"/>
      <c r="F348" s="3"/>
      <c r="G348" s="3"/>
      <c r="H348" s="4"/>
      <c r="I348" s="4"/>
      <c r="J348" s="3"/>
      <c r="K348" s="8" t="str">
        <f t="shared" si="5"/>
        <v/>
      </c>
      <c r="L348" s="1" t="str">
        <f>IF(COUNTA(A348:J348)=0,"",IF(OR(AND(C348&lt;&gt;"Gasto",C348&lt;&gt;"Pago proveedor",C348&lt;&gt;"Retiro familiar",C348&lt;&gt;"Aportación",C348&lt;&gt;"Pago activo",C348&lt;&gt;"ISR devengado",C348&lt;&gt;"Pago ISR",C348&lt;&gt;"Pago IVA",C348&lt;&gt;"Compensación ISR",C348&lt;&gt;"Compensación IVA"),AND(C348="Gasto",D348&lt;&gt;"Costos clínicos",D348&lt;&gt;"Remuneración familiar",D348&lt;&gt;"Nómina y honorarios",D348&lt;&gt;"Renta",D348&lt;&gt;"Marketing",D348&lt;&gt;"Servicios y software",D348&lt;&gt;"Mantenimiento",D348&lt;&gt;"Otros",D348&lt;&gt;"Intereses")),"Tipo o categoría inválido",IF(COUNTA(A348:J348)=0,"",IF(OR(A348="",B348="",C348="",H348=""),"Faltan datos",IF(COUNTIF($A$7:$A$2006,A348)&gt;1,"ID duplicado",IF(OR(B348&lt;DATE(Configuración!$C$5,1,1),B348&gt;=DATE(Configuración!$C$5+1,1,1)),"Fecha fuera del año",IF(OR(H348&lt;0,I348&lt;0),"Revisar signo",IF(AND(C348&lt;&gt;"Gasto",I348&lt;&gt;0),"IVA solo en Gasto",IF(AND(C348="Gasto",D348=""),"Falta categoría","OK")))))))))</f>
        <v/>
      </c>
    </row>
    <row r="349" spans="1:12" ht="22" customHeight="1">
      <c r="A349" s="3"/>
      <c r="B349" s="7"/>
      <c r="C349" s="3"/>
      <c r="D349" s="3"/>
      <c r="E349" s="3"/>
      <c r="F349" s="3"/>
      <c r="G349" s="3"/>
      <c r="H349" s="4"/>
      <c r="I349" s="4"/>
      <c r="J349" s="3"/>
      <c r="K349" s="8" t="str">
        <f t="shared" si="5"/>
        <v/>
      </c>
      <c r="L349" s="1" t="str">
        <f>IF(COUNTA(A349:J349)=0,"",IF(OR(AND(C349&lt;&gt;"Gasto",C349&lt;&gt;"Pago proveedor",C349&lt;&gt;"Retiro familiar",C349&lt;&gt;"Aportación",C349&lt;&gt;"Pago activo",C349&lt;&gt;"ISR devengado",C349&lt;&gt;"Pago ISR",C349&lt;&gt;"Pago IVA",C349&lt;&gt;"Compensación ISR",C349&lt;&gt;"Compensación IVA"),AND(C349="Gasto",D349&lt;&gt;"Costos clínicos",D349&lt;&gt;"Remuneración familiar",D349&lt;&gt;"Nómina y honorarios",D349&lt;&gt;"Renta",D349&lt;&gt;"Marketing",D349&lt;&gt;"Servicios y software",D349&lt;&gt;"Mantenimiento",D349&lt;&gt;"Otros",D349&lt;&gt;"Intereses")),"Tipo o categoría inválido",IF(COUNTA(A349:J349)=0,"",IF(OR(A349="",B349="",C349="",H349=""),"Faltan datos",IF(COUNTIF($A$7:$A$2006,A349)&gt;1,"ID duplicado",IF(OR(B349&lt;DATE(Configuración!$C$5,1,1),B349&gt;=DATE(Configuración!$C$5+1,1,1)),"Fecha fuera del año",IF(OR(H349&lt;0,I349&lt;0),"Revisar signo",IF(AND(C349&lt;&gt;"Gasto",I349&lt;&gt;0),"IVA solo en Gasto",IF(AND(C349="Gasto",D349=""),"Falta categoría","OK")))))))))</f>
        <v/>
      </c>
    </row>
    <row r="350" spans="1:12" ht="22" customHeight="1">
      <c r="A350" s="3"/>
      <c r="B350" s="7"/>
      <c r="C350" s="3"/>
      <c r="D350" s="3"/>
      <c r="E350" s="3"/>
      <c r="F350" s="3"/>
      <c r="G350" s="3"/>
      <c r="H350" s="4"/>
      <c r="I350" s="4"/>
      <c r="J350" s="3"/>
      <c r="K350" s="8" t="str">
        <f t="shared" si="5"/>
        <v/>
      </c>
      <c r="L350" s="1" t="str">
        <f>IF(COUNTA(A350:J350)=0,"",IF(OR(AND(C350&lt;&gt;"Gasto",C350&lt;&gt;"Pago proveedor",C350&lt;&gt;"Retiro familiar",C350&lt;&gt;"Aportación",C350&lt;&gt;"Pago activo",C350&lt;&gt;"ISR devengado",C350&lt;&gt;"Pago ISR",C350&lt;&gt;"Pago IVA",C350&lt;&gt;"Compensación ISR",C350&lt;&gt;"Compensación IVA"),AND(C350="Gasto",D350&lt;&gt;"Costos clínicos",D350&lt;&gt;"Remuneración familiar",D350&lt;&gt;"Nómina y honorarios",D350&lt;&gt;"Renta",D350&lt;&gt;"Marketing",D350&lt;&gt;"Servicios y software",D350&lt;&gt;"Mantenimiento",D350&lt;&gt;"Otros",D350&lt;&gt;"Intereses")),"Tipo o categoría inválido",IF(COUNTA(A350:J350)=0,"",IF(OR(A350="",B350="",C350="",H350=""),"Faltan datos",IF(COUNTIF($A$7:$A$2006,A350)&gt;1,"ID duplicado",IF(OR(B350&lt;DATE(Configuración!$C$5,1,1),B350&gt;=DATE(Configuración!$C$5+1,1,1)),"Fecha fuera del año",IF(OR(H350&lt;0,I350&lt;0),"Revisar signo",IF(AND(C350&lt;&gt;"Gasto",I350&lt;&gt;0),"IVA solo en Gasto",IF(AND(C350="Gasto",D350=""),"Falta categoría","OK")))))))))</f>
        <v/>
      </c>
    </row>
    <row r="351" spans="1:12" ht="22" customHeight="1">
      <c r="A351" s="3"/>
      <c r="B351" s="7"/>
      <c r="C351" s="3"/>
      <c r="D351" s="3"/>
      <c r="E351" s="3"/>
      <c r="F351" s="3"/>
      <c r="G351" s="3"/>
      <c r="H351" s="4"/>
      <c r="I351" s="4"/>
      <c r="J351" s="3"/>
      <c r="K351" s="8" t="str">
        <f t="shared" si="5"/>
        <v/>
      </c>
      <c r="L351" s="1" t="str">
        <f>IF(COUNTA(A351:J351)=0,"",IF(OR(AND(C351&lt;&gt;"Gasto",C351&lt;&gt;"Pago proveedor",C351&lt;&gt;"Retiro familiar",C351&lt;&gt;"Aportación",C351&lt;&gt;"Pago activo",C351&lt;&gt;"ISR devengado",C351&lt;&gt;"Pago ISR",C351&lt;&gt;"Pago IVA",C351&lt;&gt;"Compensación ISR",C351&lt;&gt;"Compensación IVA"),AND(C351="Gasto",D351&lt;&gt;"Costos clínicos",D351&lt;&gt;"Remuneración familiar",D351&lt;&gt;"Nómina y honorarios",D351&lt;&gt;"Renta",D351&lt;&gt;"Marketing",D351&lt;&gt;"Servicios y software",D351&lt;&gt;"Mantenimiento",D351&lt;&gt;"Otros",D351&lt;&gt;"Intereses")),"Tipo o categoría inválido",IF(COUNTA(A351:J351)=0,"",IF(OR(A351="",B351="",C351="",H351=""),"Faltan datos",IF(COUNTIF($A$7:$A$2006,A351)&gt;1,"ID duplicado",IF(OR(B351&lt;DATE(Configuración!$C$5,1,1),B351&gt;=DATE(Configuración!$C$5+1,1,1)),"Fecha fuera del año",IF(OR(H351&lt;0,I351&lt;0),"Revisar signo",IF(AND(C351&lt;&gt;"Gasto",I351&lt;&gt;0),"IVA solo en Gasto",IF(AND(C351="Gasto",D351=""),"Falta categoría","OK")))))))))</f>
        <v/>
      </c>
    </row>
    <row r="352" spans="1:12" ht="22" customHeight="1">
      <c r="A352" s="3"/>
      <c r="B352" s="7"/>
      <c r="C352" s="3"/>
      <c r="D352" s="3"/>
      <c r="E352" s="3"/>
      <c r="F352" s="3"/>
      <c r="G352" s="3"/>
      <c r="H352" s="4"/>
      <c r="I352" s="4"/>
      <c r="J352" s="3"/>
      <c r="K352" s="8" t="str">
        <f t="shared" si="5"/>
        <v/>
      </c>
      <c r="L352" s="1" t="str">
        <f>IF(COUNTA(A352:J352)=0,"",IF(OR(AND(C352&lt;&gt;"Gasto",C352&lt;&gt;"Pago proveedor",C352&lt;&gt;"Retiro familiar",C352&lt;&gt;"Aportación",C352&lt;&gt;"Pago activo",C352&lt;&gt;"ISR devengado",C352&lt;&gt;"Pago ISR",C352&lt;&gt;"Pago IVA",C352&lt;&gt;"Compensación ISR",C352&lt;&gt;"Compensación IVA"),AND(C352="Gasto",D352&lt;&gt;"Costos clínicos",D352&lt;&gt;"Remuneración familiar",D352&lt;&gt;"Nómina y honorarios",D352&lt;&gt;"Renta",D352&lt;&gt;"Marketing",D352&lt;&gt;"Servicios y software",D352&lt;&gt;"Mantenimiento",D352&lt;&gt;"Otros",D352&lt;&gt;"Intereses")),"Tipo o categoría inválido",IF(COUNTA(A352:J352)=0,"",IF(OR(A352="",B352="",C352="",H352=""),"Faltan datos",IF(COUNTIF($A$7:$A$2006,A352)&gt;1,"ID duplicado",IF(OR(B352&lt;DATE(Configuración!$C$5,1,1),B352&gt;=DATE(Configuración!$C$5+1,1,1)),"Fecha fuera del año",IF(OR(H352&lt;0,I352&lt;0),"Revisar signo",IF(AND(C352&lt;&gt;"Gasto",I352&lt;&gt;0),"IVA solo en Gasto",IF(AND(C352="Gasto",D352=""),"Falta categoría","OK")))))))))</f>
        <v/>
      </c>
    </row>
    <row r="353" spans="1:12" ht="22" customHeight="1">
      <c r="A353" s="3"/>
      <c r="B353" s="7"/>
      <c r="C353" s="3"/>
      <c r="D353" s="3"/>
      <c r="E353" s="3"/>
      <c r="F353" s="3"/>
      <c r="G353" s="3"/>
      <c r="H353" s="4"/>
      <c r="I353" s="4"/>
      <c r="J353" s="3"/>
      <c r="K353" s="8" t="str">
        <f t="shared" si="5"/>
        <v/>
      </c>
      <c r="L353" s="1" t="str">
        <f>IF(COUNTA(A353:J353)=0,"",IF(OR(AND(C353&lt;&gt;"Gasto",C353&lt;&gt;"Pago proveedor",C353&lt;&gt;"Retiro familiar",C353&lt;&gt;"Aportación",C353&lt;&gt;"Pago activo",C353&lt;&gt;"ISR devengado",C353&lt;&gt;"Pago ISR",C353&lt;&gt;"Pago IVA",C353&lt;&gt;"Compensación ISR",C353&lt;&gt;"Compensación IVA"),AND(C353="Gasto",D353&lt;&gt;"Costos clínicos",D353&lt;&gt;"Remuneración familiar",D353&lt;&gt;"Nómina y honorarios",D353&lt;&gt;"Renta",D353&lt;&gt;"Marketing",D353&lt;&gt;"Servicios y software",D353&lt;&gt;"Mantenimiento",D353&lt;&gt;"Otros",D353&lt;&gt;"Intereses")),"Tipo o categoría inválido",IF(COUNTA(A353:J353)=0,"",IF(OR(A353="",B353="",C353="",H353=""),"Faltan datos",IF(COUNTIF($A$7:$A$2006,A353)&gt;1,"ID duplicado",IF(OR(B353&lt;DATE(Configuración!$C$5,1,1),B353&gt;=DATE(Configuración!$C$5+1,1,1)),"Fecha fuera del año",IF(OR(H353&lt;0,I353&lt;0),"Revisar signo",IF(AND(C353&lt;&gt;"Gasto",I353&lt;&gt;0),"IVA solo en Gasto",IF(AND(C353="Gasto",D353=""),"Falta categoría","OK")))))))))</f>
        <v/>
      </c>
    </row>
    <row r="354" spans="1:12" ht="22" customHeight="1">
      <c r="A354" s="3"/>
      <c r="B354" s="7"/>
      <c r="C354" s="3"/>
      <c r="D354" s="3"/>
      <c r="E354" s="3"/>
      <c r="F354" s="3"/>
      <c r="G354" s="3"/>
      <c r="H354" s="4"/>
      <c r="I354" s="4"/>
      <c r="J354" s="3"/>
      <c r="K354" s="8" t="str">
        <f t="shared" si="5"/>
        <v/>
      </c>
      <c r="L354" s="1" t="str">
        <f>IF(COUNTA(A354:J354)=0,"",IF(OR(AND(C354&lt;&gt;"Gasto",C354&lt;&gt;"Pago proveedor",C354&lt;&gt;"Retiro familiar",C354&lt;&gt;"Aportación",C354&lt;&gt;"Pago activo",C354&lt;&gt;"ISR devengado",C354&lt;&gt;"Pago ISR",C354&lt;&gt;"Pago IVA",C354&lt;&gt;"Compensación ISR",C354&lt;&gt;"Compensación IVA"),AND(C354="Gasto",D354&lt;&gt;"Costos clínicos",D354&lt;&gt;"Remuneración familiar",D354&lt;&gt;"Nómina y honorarios",D354&lt;&gt;"Renta",D354&lt;&gt;"Marketing",D354&lt;&gt;"Servicios y software",D354&lt;&gt;"Mantenimiento",D354&lt;&gt;"Otros",D354&lt;&gt;"Intereses")),"Tipo o categoría inválido",IF(COUNTA(A354:J354)=0,"",IF(OR(A354="",B354="",C354="",H354=""),"Faltan datos",IF(COUNTIF($A$7:$A$2006,A354)&gt;1,"ID duplicado",IF(OR(B354&lt;DATE(Configuración!$C$5,1,1),B354&gt;=DATE(Configuración!$C$5+1,1,1)),"Fecha fuera del año",IF(OR(H354&lt;0,I354&lt;0),"Revisar signo",IF(AND(C354&lt;&gt;"Gasto",I354&lt;&gt;0),"IVA solo en Gasto",IF(AND(C354="Gasto",D354=""),"Falta categoría","OK")))))))))</f>
        <v/>
      </c>
    </row>
    <row r="355" spans="1:12" ht="22" customHeight="1">
      <c r="A355" s="3"/>
      <c r="B355" s="7"/>
      <c r="C355" s="3"/>
      <c r="D355" s="3"/>
      <c r="E355" s="3"/>
      <c r="F355" s="3"/>
      <c r="G355" s="3"/>
      <c r="H355" s="4"/>
      <c r="I355" s="4"/>
      <c r="J355" s="3"/>
      <c r="K355" s="8" t="str">
        <f t="shared" si="5"/>
        <v/>
      </c>
      <c r="L355" s="1" t="str">
        <f>IF(COUNTA(A355:J355)=0,"",IF(OR(AND(C355&lt;&gt;"Gasto",C355&lt;&gt;"Pago proveedor",C355&lt;&gt;"Retiro familiar",C355&lt;&gt;"Aportación",C355&lt;&gt;"Pago activo",C355&lt;&gt;"ISR devengado",C355&lt;&gt;"Pago ISR",C355&lt;&gt;"Pago IVA",C355&lt;&gt;"Compensación ISR",C355&lt;&gt;"Compensación IVA"),AND(C355="Gasto",D355&lt;&gt;"Costos clínicos",D355&lt;&gt;"Remuneración familiar",D355&lt;&gt;"Nómina y honorarios",D355&lt;&gt;"Renta",D355&lt;&gt;"Marketing",D355&lt;&gt;"Servicios y software",D355&lt;&gt;"Mantenimiento",D355&lt;&gt;"Otros",D355&lt;&gt;"Intereses")),"Tipo o categoría inválido",IF(COUNTA(A355:J355)=0,"",IF(OR(A355="",B355="",C355="",H355=""),"Faltan datos",IF(COUNTIF($A$7:$A$2006,A355)&gt;1,"ID duplicado",IF(OR(B355&lt;DATE(Configuración!$C$5,1,1),B355&gt;=DATE(Configuración!$C$5+1,1,1)),"Fecha fuera del año",IF(OR(H355&lt;0,I355&lt;0),"Revisar signo",IF(AND(C355&lt;&gt;"Gasto",I355&lt;&gt;0),"IVA solo en Gasto",IF(AND(C355="Gasto",D355=""),"Falta categoría","OK")))))))))</f>
        <v/>
      </c>
    </row>
    <row r="356" spans="1:12" ht="22" customHeight="1">
      <c r="A356" s="3"/>
      <c r="B356" s="7"/>
      <c r="C356" s="3"/>
      <c r="D356" s="3"/>
      <c r="E356" s="3"/>
      <c r="F356" s="3"/>
      <c r="G356" s="3"/>
      <c r="H356" s="4"/>
      <c r="I356" s="4"/>
      <c r="J356" s="3"/>
      <c r="K356" s="8" t="str">
        <f t="shared" si="5"/>
        <v/>
      </c>
      <c r="L356" s="1" t="str">
        <f>IF(COUNTA(A356:J356)=0,"",IF(OR(AND(C356&lt;&gt;"Gasto",C356&lt;&gt;"Pago proveedor",C356&lt;&gt;"Retiro familiar",C356&lt;&gt;"Aportación",C356&lt;&gt;"Pago activo",C356&lt;&gt;"ISR devengado",C356&lt;&gt;"Pago ISR",C356&lt;&gt;"Pago IVA",C356&lt;&gt;"Compensación ISR",C356&lt;&gt;"Compensación IVA"),AND(C356="Gasto",D356&lt;&gt;"Costos clínicos",D356&lt;&gt;"Remuneración familiar",D356&lt;&gt;"Nómina y honorarios",D356&lt;&gt;"Renta",D356&lt;&gt;"Marketing",D356&lt;&gt;"Servicios y software",D356&lt;&gt;"Mantenimiento",D356&lt;&gt;"Otros",D356&lt;&gt;"Intereses")),"Tipo o categoría inválido",IF(COUNTA(A356:J356)=0,"",IF(OR(A356="",B356="",C356="",H356=""),"Faltan datos",IF(COUNTIF($A$7:$A$2006,A356)&gt;1,"ID duplicado",IF(OR(B356&lt;DATE(Configuración!$C$5,1,1),B356&gt;=DATE(Configuración!$C$5+1,1,1)),"Fecha fuera del año",IF(OR(H356&lt;0,I356&lt;0),"Revisar signo",IF(AND(C356&lt;&gt;"Gasto",I356&lt;&gt;0),"IVA solo en Gasto",IF(AND(C356="Gasto",D356=""),"Falta categoría","OK")))))))))</f>
        <v/>
      </c>
    </row>
    <row r="357" spans="1:12" ht="22" customHeight="1">
      <c r="A357" s="3"/>
      <c r="B357" s="7"/>
      <c r="C357" s="3"/>
      <c r="D357" s="3"/>
      <c r="E357" s="3"/>
      <c r="F357" s="3"/>
      <c r="G357" s="3"/>
      <c r="H357" s="4"/>
      <c r="I357" s="4"/>
      <c r="J357" s="3"/>
      <c r="K357" s="8" t="str">
        <f t="shared" si="5"/>
        <v/>
      </c>
      <c r="L357" s="1" t="str">
        <f>IF(COUNTA(A357:J357)=0,"",IF(OR(AND(C357&lt;&gt;"Gasto",C357&lt;&gt;"Pago proveedor",C357&lt;&gt;"Retiro familiar",C357&lt;&gt;"Aportación",C357&lt;&gt;"Pago activo",C357&lt;&gt;"ISR devengado",C357&lt;&gt;"Pago ISR",C357&lt;&gt;"Pago IVA",C357&lt;&gt;"Compensación ISR",C357&lt;&gt;"Compensación IVA"),AND(C357="Gasto",D357&lt;&gt;"Costos clínicos",D357&lt;&gt;"Remuneración familiar",D357&lt;&gt;"Nómina y honorarios",D357&lt;&gt;"Renta",D357&lt;&gt;"Marketing",D357&lt;&gt;"Servicios y software",D357&lt;&gt;"Mantenimiento",D357&lt;&gt;"Otros",D357&lt;&gt;"Intereses")),"Tipo o categoría inválido",IF(COUNTA(A357:J357)=0,"",IF(OR(A357="",B357="",C357="",H357=""),"Faltan datos",IF(COUNTIF($A$7:$A$2006,A357)&gt;1,"ID duplicado",IF(OR(B357&lt;DATE(Configuración!$C$5,1,1),B357&gt;=DATE(Configuración!$C$5+1,1,1)),"Fecha fuera del año",IF(OR(H357&lt;0,I357&lt;0),"Revisar signo",IF(AND(C357&lt;&gt;"Gasto",I357&lt;&gt;0),"IVA solo en Gasto",IF(AND(C357="Gasto",D357=""),"Falta categoría","OK")))))))))</f>
        <v/>
      </c>
    </row>
    <row r="358" spans="1:12" ht="22" customHeight="1">
      <c r="A358" s="3"/>
      <c r="B358" s="7"/>
      <c r="C358" s="3"/>
      <c r="D358" s="3"/>
      <c r="E358" s="3"/>
      <c r="F358" s="3"/>
      <c r="G358" s="3"/>
      <c r="H358" s="4"/>
      <c r="I358" s="4"/>
      <c r="J358" s="3"/>
      <c r="K358" s="8" t="str">
        <f t="shared" si="5"/>
        <v/>
      </c>
      <c r="L358" s="1" t="str">
        <f>IF(COUNTA(A358:J358)=0,"",IF(OR(AND(C358&lt;&gt;"Gasto",C358&lt;&gt;"Pago proveedor",C358&lt;&gt;"Retiro familiar",C358&lt;&gt;"Aportación",C358&lt;&gt;"Pago activo",C358&lt;&gt;"ISR devengado",C358&lt;&gt;"Pago ISR",C358&lt;&gt;"Pago IVA",C358&lt;&gt;"Compensación ISR",C358&lt;&gt;"Compensación IVA"),AND(C358="Gasto",D358&lt;&gt;"Costos clínicos",D358&lt;&gt;"Remuneración familiar",D358&lt;&gt;"Nómina y honorarios",D358&lt;&gt;"Renta",D358&lt;&gt;"Marketing",D358&lt;&gt;"Servicios y software",D358&lt;&gt;"Mantenimiento",D358&lt;&gt;"Otros",D358&lt;&gt;"Intereses")),"Tipo o categoría inválido",IF(COUNTA(A358:J358)=0,"",IF(OR(A358="",B358="",C358="",H358=""),"Faltan datos",IF(COUNTIF($A$7:$A$2006,A358)&gt;1,"ID duplicado",IF(OR(B358&lt;DATE(Configuración!$C$5,1,1),B358&gt;=DATE(Configuración!$C$5+1,1,1)),"Fecha fuera del año",IF(OR(H358&lt;0,I358&lt;0),"Revisar signo",IF(AND(C358&lt;&gt;"Gasto",I358&lt;&gt;0),"IVA solo en Gasto",IF(AND(C358="Gasto",D358=""),"Falta categoría","OK")))))))))</f>
        <v/>
      </c>
    </row>
    <row r="359" spans="1:12" ht="22" customHeight="1">
      <c r="A359" s="3"/>
      <c r="B359" s="7"/>
      <c r="C359" s="3"/>
      <c r="D359" s="3"/>
      <c r="E359" s="3"/>
      <c r="F359" s="3"/>
      <c r="G359" s="3"/>
      <c r="H359" s="4"/>
      <c r="I359" s="4"/>
      <c r="J359" s="3"/>
      <c r="K359" s="8" t="str">
        <f t="shared" si="5"/>
        <v/>
      </c>
      <c r="L359" s="1" t="str">
        <f>IF(COUNTA(A359:J359)=0,"",IF(OR(AND(C359&lt;&gt;"Gasto",C359&lt;&gt;"Pago proveedor",C359&lt;&gt;"Retiro familiar",C359&lt;&gt;"Aportación",C359&lt;&gt;"Pago activo",C359&lt;&gt;"ISR devengado",C359&lt;&gt;"Pago ISR",C359&lt;&gt;"Pago IVA",C359&lt;&gt;"Compensación ISR",C359&lt;&gt;"Compensación IVA"),AND(C359="Gasto",D359&lt;&gt;"Costos clínicos",D359&lt;&gt;"Remuneración familiar",D359&lt;&gt;"Nómina y honorarios",D359&lt;&gt;"Renta",D359&lt;&gt;"Marketing",D359&lt;&gt;"Servicios y software",D359&lt;&gt;"Mantenimiento",D359&lt;&gt;"Otros",D359&lt;&gt;"Intereses")),"Tipo o categoría inválido",IF(COUNTA(A359:J359)=0,"",IF(OR(A359="",B359="",C359="",H359=""),"Faltan datos",IF(COUNTIF($A$7:$A$2006,A359)&gt;1,"ID duplicado",IF(OR(B359&lt;DATE(Configuración!$C$5,1,1),B359&gt;=DATE(Configuración!$C$5+1,1,1)),"Fecha fuera del año",IF(OR(H359&lt;0,I359&lt;0),"Revisar signo",IF(AND(C359&lt;&gt;"Gasto",I359&lt;&gt;0),"IVA solo en Gasto",IF(AND(C359="Gasto",D359=""),"Falta categoría","OK")))))))))</f>
        <v/>
      </c>
    </row>
    <row r="360" spans="1:12" ht="22" customHeight="1">
      <c r="A360" s="3"/>
      <c r="B360" s="7"/>
      <c r="C360" s="3"/>
      <c r="D360" s="3"/>
      <c r="E360" s="3"/>
      <c r="F360" s="3"/>
      <c r="G360" s="3"/>
      <c r="H360" s="4"/>
      <c r="I360" s="4"/>
      <c r="J360" s="3"/>
      <c r="K360" s="8" t="str">
        <f t="shared" si="5"/>
        <v/>
      </c>
      <c r="L360" s="1" t="str">
        <f>IF(COUNTA(A360:J360)=0,"",IF(OR(AND(C360&lt;&gt;"Gasto",C360&lt;&gt;"Pago proveedor",C360&lt;&gt;"Retiro familiar",C360&lt;&gt;"Aportación",C360&lt;&gt;"Pago activo",C360&lt;&gt;"ISR devengado",C360&lt;&gt;"Pago ISR",C360&lt;&gt;"Pago IVA",C360&lt;&gt;"Compensación ISR",C360&lt;&gt;"Compensación IVA"),AND(C360="Gasto",D360&lt;&gt;"Costos clínicos",D360&lt;&gt;"Remuneración familiar",D360&lt;&gt;"Nómina y honorarios",D360&lt;&gt;"Renta",D360&lt;&gt;"Marketing",D360&lt;&gt;"Servicios y software",D360&lt;&gt;"Mantenimiento",D360&lt;&gt;"Otros",D360&lt;&gt;"Intereses")),"Tipo o categoría inválido",IF(COUNTA(A360:J360)=0,"",IF(OR(A360="",B360="",C360="",H360=""),"Faltan datos",IF(COUNTIF($A$7:$A$2006,A360)&gt;1,"ID duplicado",IF(OR(B360&lt;DATE(Configuración!$C$5,1,1),B360&gt;=DATE(Configuración!$C$5+1,1,1)),"Fecha fuera del año",IF(OR(H360&lt;0,I360&lt;0),"Revisar signo",IF(AND(C360&lt;&gt;"Gasto",I360&lt;&gt;0),"IVA solo en Gasto",IF(AND(C360="Gasto",D360=""),"Falta categoría","OK")))))))))</f>
        <v/>
      </c>
    </row>
    <row r="361" spans="1:12" ht="22" customHeight="1">
      <c r="A361" s="3"/>
      <c r="B361" s="7"/>
      <c r="C361" s="3"/>
      <c r="D361" s="3"/>
      <c r="E361" s="3"/>
      <c r="F361" s="3"/>
      <c r="G361" s="3"/>
      <c r="H361" s="4"/>
      <c r="I361" s="4"/>
      <c r="J361" s="3"/>
      <c r="K361" s="8" t="str">
        <f t="shared" si="5"/>
        <v/>
      </c>
      <c r="L361" s="1" t="str">
        <f>IF(COUNTA(A361:J361)=0,"",IF(OR(AND(C361&lt;&gt;"Gasto",C361&lt;&gt;"Pago proveedor",C361&lt;&gt;"Retiro familiar",C361&lt;&gt;"Aportación",C361&lt;&gt;"Pago activo",C361&lt;&gt;"ISR devengado",C361&lt;&gt;"Pago ISR",C361&lt;&gt;"Pago IVA",C361&lt;&gt;"Compensación ISR",C361&lt;&gt;"Compensación IVA"),AND(C361="Gasto",D361&lt;&gt;"Costos clínicos",D361&lt;&gt;"Remuneración familiar",D361&lt;&gt;"Nómina y honorarios",D361&lt;&gt;"Renta",D361&lt;&gt;"Marketing",D361&lt;&gt;"Servicios y software",D361&lt;&gt;"Mantenimiento",D361&lt;&gt;"Otros",D361&lt;&gt;"Intereses")),"Tipo o categoría inválido",IF(COUNTA(A361:J361)=0,"",IF(OR(A361="",B361="",C361="",H361=""),"Faltan datos",IF(COUNTIF($A$7:$A$2006,A361)&gt;1,"ID duplicado",IF(OR(B361&lt;DATE(Configuración!$C$5,1,1),B361&gt;=DATE(Configuración!$C$5+1,1,1)),"Fecha fuera del año",IF(OR(H361&lt;0,I361&lt;0),"Revisar signo",IF(AND(C361&lt;&gt;"Gasto",I361&lt;&gt;0),"IVA solo en Gasto",IF(AND(C361="Gasto",D361=""),"Falta categoría","OK")))))))))</f>
        <v/>
      </c>
    </row>
    <row r="362" spans="1:12" ht="22" customHeight="1">
      <c r="A362" s="3"/>
      <c r="B362" s="7"/>
      <c r="C362" s="3"/>
      <c r="D362" s="3"/>
      <c r="E362" s="3"/>
      <c r="F362" s="3"/>
      <c r="G362" s="3"/>
      <c r="H362" s="4"/>
      <c r="I362" s="4"/>
      <c r="J362" s="3"/>
      <c r="K362" s="8" t="str">
        <f t="shared" si="5"/>
        <v/>
      </c>
      <c r="L362" s="1" t="str">
        <f>IF(COUNTA(A362:J362)=0,"",IF(OR(AND(C362&lt;&gt;"Gasto",C362&lt;&gt;"Pago proveedor",C362&lt;&gt;"Retiro familiar",C362&lt;&gt;"Aportación",C362&lt;&gt;"Pago activo",C362&lt;&gt;"ISR devengado",C362&lt;&gt;"Pago ISR",C362&lt;&gt;"Pago IVA",C362&lt;&gt;"Compensación ISR",C362&lt;&gt;"Compensación IVA"),AND(C362="Gasto",D362&lt;&gt;"Costos clínicos",D362&lt;&gt;"Remuneración familiar",D362&lt;&gt;"Nómina y honorarios",D362&lt;&gt;"Renta",D362&lt;&gt;"Marketing",D362&lt;&gt;"Servicios y software",D362&lt;&gt;"Mantenimiento",D362&lt;&gt;"Otros",D362&lt;&gt;"Intereses")),"Tipo o categoría inválido",IF(COUNTA(A362:J362)=0,"",IF(OR(A362="",B362="",C362="",H362=""),"Faltan datos",IF(COUNTIF($A$7:$A$2006,A362)&gt;1,"ID duplicado",IF(OR(B362&lt;DATE(Configuración!$C$5,1,1),B362&gt;=DATE(Configuración!$C$5+1,1,1)),"Fecha fuera del año",IF(OR(H362&lt;0,I362&lt;0),"Revisar signo",IF(AND(C362&lt;&gt;"Gasto",I362&lt;&gt;0),"IVA solo en Gasto",IF(AND(C362="Gasto",D362=""),"Falta categoría","OK")))))))))</f>
        <v/>
      </c>
    </row>
    <row r="363" spans="1:12" ht="22" customHeight="1">
      <c r="A363" s="3"/>
      <c r="B363" s="7"/>
      <c r="C363" s="3"/>
      <c r="D363" s="3"/>
      <c r="E363" s="3"/>
      <c r="F363" s="3"/>
      <c r="G363" s="3"/>
      <c r="H363" s="4"/>
      <c r="I363" s="4"/>
      <c r="J363" s="3"/>
      <c r="K363" s="8" t="str">
        <f t="shared" si="5"/>
        <v/>
      </c>
      <c r="L363" s="1" t="str">
        <f>IF(COUNTA(A363:J363)=0,"",IF(OR(AND(C363&lt;&gt;"Gasto",C363&lt;&gt;"Pago proveedor",C363&lt;&gt;"Retiro familiar",C363&lt;&gt;"Aportación",C363&lt;&gt;"Pago activo",C363&lt;&gt;"ISR devengado",C363&lt;&gt;"Pago ISR",C363&lt;&gt;"Pago IVA",C363&lt;&gt;"Compensación ISR",C363&lt;&gt;"Compensación IVA"),AND(C363="Gasto",D363&lt;&gt;"Costos clínicos",D363&lt;&gt;"Remuneración familiar",D363&lt;&gt;"Nómina y honorarios",D363&lt;&gt;"Renta",D363&lt;&gt;"Marketing",D363&lt;&gt;"Servicios y software",D363&lt;&gt;"Mantenimiento",D363&lt;&gt;"Otros",D363&lt;&gt;"Intereses")),"Tipo o categoría inválido",IF(COUNTA(A363:J363)=0,"",IF(OR(A363="",B363="",C363="",H363=""),"Faltan datos",IF(COUNTIF($A$7:$A$2006,A363)&gt;1,"ID duplicado",IF(OR(B363&lt;DATE(Configuración!$C$5,1,1),B363&gt;=DATE(Configuración!$C$5+1,1,1)),"Fecha fuera del año",IF(OR(H363&lt;0,I363&lt;0),"Revisar signo",IF(AND(C363&lt;&gt;"Gasto",I363&lt;&gt;0),"IVA solo en Gasto",IF(AND(C363="Gasto",D363=""),"Falta categoría","OK")))))))))</f>
        <v/>
      </c>
    </row>
    <row r="364" spans="1:12" ht="22" customHeight="1">
      <c r="A364" s="3"/>
      <c r="B364" s="7"/>
      <c r="C364" s="3"/>
      <c r="D364" s="3"/>
      <c r="E364" s="3"/>
      <c r="F364" s="3"/>
      <c r="G364" s="3"/>
      <c r="H364" s="4"/>
      <c r="I364" s="4"/>
      <c r="J364" s="3"/>
      <c r="K364" s="8" t="str">
        <f t="shared" si="5"/>
        <v/>
      </c>
      <c r="L364" s="1" t="str">
        <f>IF(COUNTA(A364:J364)=0,"",IF(OR(AND(C364&lt;&gt;"Gasto",C364&lt;&gt;"Pago proveedor",C364&lt;&gt;"Retiro familiar",C364&lt;&gt;"Aportación",C364&lt;&gt;"Pago activo",C364&lt;&gt;"ISR devengado",C364&lt;&gt;"Pago ISR",C364&lt;&gt;"Pago IVA",C364&lt;&gt;"Compensación ISR",C364&lt;&gt;"Compensación IVA"),AND(C364="Gasto",D364&lt;&gt;"Costos clínicos",D364&lt;&gt;"Remuneración familiar",D364&lt;&gt;"Nómina y honorarios",D364&lt;&gt;"Renta",D364&lt;&gt;"Marketing",D364&lt;&gt;"Servicios y software",D364&lt;&gt;"Mantenimiento",D364&lt;&gt;"Otros",D364&lt;&gt;"Intereses")),"Tipo o categoría inválido",IF(COUNTA(A364:J364)=0,"",IF(OR(A364="",B364="",C364="",H364=""),"Faltan datos",IF(COUNTIF($A$7:$A$2006,A364)&gt;1,"ID duplicado",IF(OR(B364&lt;DATE(Configuración!$C$5,1,1),B364&gt;=DATE(Configuración!$C$5+1,1,1)),"Fecha fuera del año",IF(OR(H364&lt;0,I364&lt;0),"Revisar signo",IF(AND(C364&lt;&gt;"Gasto",I364&lt;&gt;0),"IVA solo en Gasto",IF(AND(C364="Gasto",D364=""),"Falta categoría","OK")))))))))</f>
        <v/>
      </c>
    </row>
    <row r="365" spans="1:12" ht="22" customHeight="1">
      <c r="A365" s="3"/>
      <c r="B365" s="7"/>
      <c r="C365" s="3"/>
      <c r="D365" s="3"/>
      <c r="E365" s="3"/>
      <c r="F365" s="3"/>
      <c r="G365" s="3"/>
      <c r="H365" s="4"/>
      <c r="I365" s="4"/>
      <c r="J365" s="3"/>
      <c r="K365" s="8" t="str">
        <f t="shared" si="5"/>
        <v/>
      </c>
      <c r="L365" s="1" t="str">
        <f>IF(COUNTA(A365:J365)=0,"",IF(OR(AND(C365&lt;&gt;"Gasto",C365&lt;&gt;"Pago proveedor",C365&lt;&gt;"Retiro familiar",C365&lt;&gt;"Aportación",C365&lt;&gt;"Pago activo",C365&lt;&gt;"ISR devengado",C365&lt;&gt;"Pago ISR",C365&lt;&gt;"Pago IVA",C365&lt;&gt;"Compensación ISR",C365&lt;&gt;"Compensación IVA"),AND(C365="Gasto",D365&lt;&gt;"Costos clínicos",D365&lt;&gt;"Remuneración familiar",D365&lt;&gt;"Nómina y honorarios",D365&lt;&gt;"Renta",D365&lt;&gt;"Marketing",D365&lt;&gt;"Servicios y software",D365&lt;&gt;"Mantenimiento",D365&lt;&gt;"Otros",D365&lt;&gt;"Intereses")),"Tipo o categoría inválido",IF(COUNTA(A365:J365)=0,"",IF(OR(A365="",B365="",C365="",H365=""),"Faltan datos",IF(COUNTIF($A$7:$A$2006,A365)&gt;1,"ID duplicado",IF(OR(B365&lt;DATE(Configuración!$C$5,1,1),B365&gt;=DATE(Configuración!$C$5+1,1,1)),"Fecha fuera del año",IF(OR(H365&lt;0,I365&lt;0),"Revisar signo",IF(AND(C365&lt;&gt;"Gasto",I365&lt;&gt;0),"IVA solo en Gasto",IF(AND(C365="Gasto",D365=""),"Falta categoría","OK")))))))))</f>
        <v/>
      </c>
    </row>
    <row r="366" spans="1:12" ht="22" customHeight="1">
      <c r="A366" s="3"/>
      <c r="B366" s="7"/>
      <c r="C366" s="3"/>
      <c r="D366" s="3"/>
      <c r="E366" s="3"/>
      <c r="F366" s="3"/>
      <c r="G366" s="3"/>
      <c r="H366" s="4"/>
      <c r="I366" s="4"/>
      <c r="J366" s="3"/>
      <c r="K366" s="8" t="str">
        <f t="shared" si="5"/>
        <v/>
      </c>
      <c r="L366" s="1" t="str">
        <f>IF(COUNTA(A366:J366)=0,"",IF(OR(AND(C366&lt;&gt;"Gasto",C366&lt;&gt;"Pago proveedor",C366&lt;&gt;"Retiro familiar",C366&lt;&gt;"Aportación",C366&lt;&gt;"Pago activo",C366&lt;&gt;"ISR devengado",C366&lt;&gt;"Pago ISR",C366&lt;&gt;"Pago IVA",C366&lt;&gt;"Compensación ISR",C366&lt;&gt;"Compensación IVA"),AND(C366="Gasto",D366&lt;&gt;"Costos clínicos",D366&lt;&gt;"Remuneración familiar",D366&lt;&gt;"Nómina y honorarios",D366&lt;&gt;"Renta",D366&lt;&gt;"Marketing",D366&lt;&gt;"Servicios y software",D366&lt;&gt;"Mantenimiento",D366&lt;&gt;"Otros",D366&lt;&gt;"Intereses")),"Tipo o categoría inválido",IF(COUNTA(A366:J366)=0,"",IF(OR(A366="",B366="",C366="",H366=""),"Faltan datos",IF(COUNTIF($A$7:$A$2006,A366)&gt;1,"ID duplicado",IF(OR(B366&lt;DATE(Configuración!$C$5,1,1),B366&gt;=DATE(Configuración!$C$5+1,1,1)),"Fecha fuera del año",IF(OR(H366&lt;0,I366&lt;0),"Revisar signo",IF(AND(C366&lt;&gt;"Gasto",I366&lt;&gt;0),"IVA solo en Gasto",IF(AND(C366="Gasto",D366=""),"Falta categoría","OK")))))))))</f>
        <v/>
      </c>
    </row>
    <row r="367" spans="1:12" ht="22" customHeight="1">
      <c r="A367" s="3"/>
      <c r="B367" s="7"/>
      <c r="C367" s="3"/>
      <c r="D367" s="3"/>
      <c r="E367" s="3"/>
      <c r="F367" s="3"/>
      <c r="G367" s="3"/>
      <c r="H367" s="4"/>
      <c r="I367" s="4"/>
      <c r="J367" s="3"/>
      <c r="K367" s="8" t="str">
        <f t="shared" si="5"/>
        <v/>
      </c>
      <c r="L367" s="1" t="str">
        <f>IF(COUNTA(A367:J367)=0,"",IF(OR(AND(C367&lt;&gt;"Gasto",C367&lt;&gt;"Pago proveedor",C367&lt;&gt;"Retiro familiar",C367&lt;&gt;"Aportación",C367&lt;&gt;"Pago activo",C367&lt;&gt;"ISR devengado",C367&lt;&gt;"Pago ISR",C367&lt;&gt;"Pago IVA",C367&lt;&gt;"Compensación ISR",C367&lt;&gt;"Compensación IVA"),AND(C367="Gasto",D367&lt;&gt;"Costos clínicos",D367&lt;&gt;"Remuneración familiar",D367&lt;&gt;"Nómina y honorarios",D367&lt;&gt;"Renta",D367&lt;&gt;"Marketing",D367&lt;&gt;"Servicios y software",D367&lt;&gt;"Mantenimiento",D367&lt;&gt;"Otros",D367&lt;&gt;"Intereses")),"Tipo o categoría inválido",IF(COUNTA(A367:J367)=0,"",IF(OR(A367="",B367="",C367="",H367=""),"Faltan datos",IF(COUNTIF($A$7:$A$2006,A367)&gt;1,"ID duplicado",IF(OR(B367&lt;DATE(Configuración!$C$5,1,1),B367&gt;=DATE(Configuración!$C$5+1,1,1)),"Fecha fuera del año",IF(OR(H367&lt;0,I367&lt;0),"Revisar signo",IF(AND(C367&lt;&gt;"Gasto",I367&lt;&gt;0),"IVA solo en Gasto",IF(AND(C367="Gasto",D367=""),"Falta categoría","OK")))))))))</f>
        <v/>
      </c>
    </row>
    <row r="368" spans="1:12" ht="22" customHeight="1">
      <c r="A368" s="3"/>
      <c r="B368" s="7"/>
      <c r="C368" s="3"/>
      <c r="D368" s="3"/>
      <c r="E368" s="3"/>
      <c r="F368" s="3"/>
      <c r="G368" s="3"/>
      <c r="H368" s="4"/>
      <c r="I368" s="4"/>
      <c r="J368" s="3"/>
      <c r="K368" s="8" t="str">
        <f t="shared" si="5"/>
        <v/>
      </c>
      <c r="L368" s="1" t="str">
        <f>IF(COUNTA(A368:J368)=0,"",IF(OR(AND(C368&lt;&gt;"Gasto",C368&lt;&gt;"Pago proveedor",C368&lt;&gt;"Retiro familiar",C368&lt;&gt;"Aportación",C368&lt;&gt;"Pago activo",C368&lt;&gt;"ISR devengado",C368&lt;&gt;"Pago ISR",C368&lt;&gt;"Pago IVA",C368&lt;&gt;"Compensación ISR",C368&lt;&gt;"Compensación IVA"),AND(C368="Gasto",D368&lt;&gt;"Costos clínicos",D368&lt;&gt;"Remuneración familiar",D368&lt;&gt;"Nómina y honorarios",D368&lt;&gt;"Renta",D368&lt;&gt;"Marketing",D368&lt;&gt;"Servicios y software",D368&lt;&gt;"Mantenimiento",D368&lt;&gt;"Otros",D368&lt;&gt;"Intereses")),"Tipo o categoría inválido",IF(COUNTA(A368:J368)=0,"",IF(OR(A368="",B368="",C368="",H368=""),"Faltan datos",IF(COUNTIF($A$7:$A$2006,A368)&gt;1,"ID duplicado",IF(OR(B368&lt;DATE(Configuración!$C$5,1,1),B368&gt;=DATE(Configuración!$C$5+1,1,1)),"Fecha fuera del año",IF(OR(H368&lt;0,I368&lt;0),"Revisar signo",IF(AND(C368&lt;&gt;"Gasto",I368&lt;&gt;0),"IVA solo en Gasto",IF(AND(C368="Gasto",D368=""),"Falta categoría","OK")))))))))</f>
        <v/>
      </c>
    </row>
    <row r="369" spans="1:12" ht="22" customHeight="1">
      <c r="A369" s="3"/>
      <c r="B369" s="7"/>
      <c r="C369" s="3"/>
      <c r="D369" s="3"/>
      <c r="E369" s="3"/>
      <c r="F369" s="3"/>
      <c r="G369" s="3"/>
      <c r="H369" s="4"/>
      <c r="I369" s="4"/>
      <c r="J369" s="3"/>
      <c r="K369" s="8" t="str">
        <f t="shared" si="5"/>
        <v/>
      </c>
      <c r="L369" s="1" t="str">
        <f>IF(COUNTA(A369:J369)=0,"",IF(OR(AND(C369&lt;&gt;"Gasto",C369&lt;&gt;"Pago proveedor",C369&lt;&gt;"Retiro familiar",C369&lt;&gt;"Aportación",C369&lt;&gt;"Pago activo",C369&lt;&gt;"ISR devengado",C369&lt;&gt;"Pago ISR",C369&lt;&gt;"Pago IVA",C369&lt;&gt;"Compensación ISR",C369&lt;&gt;"Compensación IVA"),AND(C369="Gasto",D369&lt;&gt;"Costos clínicos",D369&lt;&gt;"Remuneración familiar",D369&lt;&gt;"Nómina y honorarios",D369&lt;&gt;"Renta",D369&lt;&gt;"Marketing",D369&lt;&gt;"Servicios y software",D369&lt;&gt;"Mantenimiento",D369&lt;&gt;"Otros",D369&lt;&gt;"Intereses")),"Tipo o categoría inválido",IF(COUNTA(A369:J369)=0,"",IF(OR(A369="",B369="",C369="",H369=""),"Faltan datos",IF(COUNTIF($A$7:$A$2006,A369)&gt;1,"ID duplicado",IF(OR(B369&lt;DATE(Configuración!$C$5,1,1),B369&gt;=DATE(Configuración!$C$5+1,1,1)),"Fecha fuera del año",IF(OR(H369&lt;0,I369&lt;0),"Revisar signo",IF(AND(C369&lt;&gt;"Gasto",I369&lt;&gt;0),"IVA solo en Gasto",IF(AND(C369="Gasto",D369=""),"Falta categoría","OK")))))))))</f>
        <v/>
      </c>
    </row>
    <row r="370" spans="1:12" ht="22" customHeight="1">
      <c r="A370" s="3"/>
      <c r="B370" s="7"/>
      <c r="C370" s="3"/>
      <c r="D370" s="3"/>
      <c r="E370" s="3"/>
      <c r="F370" s="3"/>
      <c r="G370" s="3"/>
      <c r="H370" s="4"/>
      <c r="I370" s="4"/>
      <c r="J370" s="3"/>
      <c r="K370" s="8" t="str">
        <f t="shared" si="5"/>
        <v/>
      </c>
      <c r="L370" s="1" t="str">
        <f>IF(COUNTA(A370:J370)=0,"",IF(OR(AND(C370&lt;&gt;"Gasto",C370&lt;&gt;"Pago proveedor",C370&lt;&gt;"Retiro familiar",C370&lt;&gt;"Aportación",C370&lt;&gt;"Pago activo",C370&lt;&gt;"ISR devengado",C370&lt;&gt;"Pago ISR",C370&lt;&gt;"Pago IVA",C370&lt;&gt;"Compensación ISR",C370&lt;&gt;"Compensación IVA"),AND(C370="Gasto",D370&lt;&gt;"Costos clínicos",D370&lt;&gt;"Remuneración familiar",D370&lt;&gt;"Nómina y honorarios",D370&lt;&gt;"Renta",D370&lt;&gt;"Marketing",D370&lt;&gt;"Servicios y software",D370&lt;&gt;"Mantenimiento",D370&lt;&gt;"Otros",D370&lt;&gt;"Intereses")),"Tipo o categoría inválido",IF(COUNTA(A370:J370)=0,"",IF(OR(A370="",B370="",C370="",H370=""),"Faltan datos",IF(COUNTIF($A$7:$A$2006,A370)&gt;1,"ID duplicado",IF(OR(B370&lt;DATE(Configuración!$C$5,1,1),B370&gt;=DATE(Configuración!$C$5+1,1,1)),"Fecha fuera del año",IF(OR(H370&lt;0,I370&lt;0),"Revisar signo",IF(AND(C370&lt;&gt;"Gasto",I370&lt;&gt;0),"IVA solo en Gasto",IF(AND(C370="Gasto",D370=""),"Falta categoría","OK")))))))))</f>
        <v/>
      </c>
    </row>
    <row r="371" spans="1:12" ht="22" customHeight="1">
      <c r="A371" s="3"/>
      <c r="B371" s="7"/>
      <c r="C371" s="3"/>
      <c r="D371" s="3"/>
      <c r="E371" s="3"/>
      <c r="F371" s="3"/>
      <c r="G371" s="3"/>
      <c r="H371" s="4"/>
      <c r="I371" s="4"/>
      <c r="J371" s="3"/>
      <c r="K371" s="8" t="str">
        <f t="shared" si="5"/>
        <v/>
      </c>
      <c r="L371" s="1" t="str">
        <f>IF(COUNTA(A371:J371)=0,"",IF(OR(AND(C371&lt;&gt;"Gasto",C371&lt;&gt;"Pago proveedor",C371&lt;&gt;"Retiro familiar",C371&lt;&gt;"Aportación",C371&lt;&gt;"Pago activo",C371&lt;&gt;"ISR devengado",C371&lt;&gt;"Pago ISR",C371&lt;&gt;"Pago IVA",C371&lt;&gt;"Compensación ISR",C371&lt;&gt;"Compensación IVA"),AND(C371="Gasto",D371&lt;&gt;"Costos clínicos",D371&lt;&gt;"Remuneración familiar",D371&lt;&gt;"Nómina y honorarios",D371&lt;&gt;"Renta",D371&lt;&gt;"Marketing",D371&lt;&gt;"Servicios y software",D371&lt;&gt;"Mantenimiento",D371&lt;&gt;"Otros",D371&lt;&gt;"Intereses")),"Tipo o categoría inválido",IF(COUNTA(A371:J371)=0,"",IF(OR(A371="",B371="",C371="",H371=""),"Faltan datos",IF(COUNTIF($A$7:$A$2006,A371)&gt;1,"ID duplicado",IF(OR(B371&lt;DATE(Configuración!$C$5,1,1),B371&gt;=DATE(Configuración!$C$5+1,1,1)),"Fecha fuera del año",IF(OR(H371&lt;0,I371&lt;0),"Revisar signo",IF(AND(C371&lt;&gt;"Gasto",I371&lt;&gt;0),"IVA solo en Gasto",IF(AND(C371="Gasto",D371=""),"Falta categoría","OK")))))))))</f>
        <v/>
      </c>
    </row>
    <row r="372" spans="1:12" ht="22" customHeight="1">
      <c r="A372" s="3"/>
      <c r="B372" s="7"/>
      <c r="C372" s="3"/>
      <c r="D372" s="3"/>
      <c r="E372" s="3"/>
      <c r="F372" s="3"/>
      <c r="G372" s="3"/>
      <c r="H372" s="4"/>
      <c r="I372" s="4"/>
      <c r="J372" s="3"/>
      <c r="K372" s="8" t="str">
        <f t="shared" si="5"/>
        <v/>
      </c>
      <c r="L372" s="1" t="str">
        <f>IF(COUNTA(A372:J372)=0,"",IF(OR(AND(C372&lt;&gt;"Gasto",C372&lt;&gt;"Pago proveedor",C372&lt;&gt;"Retiro familiar",C372&lt;&gt;"Aportación",C372&lt;&gt;"Pago activo",C372&lt;&gt;"ISR devengado",C372&lt;&gt;"Pago ISR",C372&lt;&gt;"Pago IVA",C372&lt;&gt;"Compensación ISR",C372&lt;&gt;"Compensación IVA"),AND(C372="Gasto",D372&lt;&gt;"Costos clínicos",D372&lt;&gt;"Remuneración familiar",D372&lt;&gt;"Nómina y honorarios",D372&lt;&gt;"Renta",D372&lt;&gt;"Marketing",D372&lt;&gt;"Servicios y software",D372&lt;&gt;"Mantenimiento",D372&lt;&gt;"Otros",D372&lt;&gt;"Intereses")),"Tipo o categoría inválido",IF(COUNTA(A372:J372)=0,"",IF(OR(A372="",B372="",C372="",H372=""),"Faltan datos",IF(COUNTIF($A$7:$A$2006,A372)&gt;1,"ID duplicado",IF(OR(B372&lt;DATE(Configuración!$C$5,1,1),B372&gt;=DATE(Configuración!$C$5+1,1,1)),"Fecha fuera del año",IF(OR(H372&lt;0,I372&lt;0),"Revisar signo",IF(AND(C372&lt;&gt;"Gasto",I372&lt;&gt;0),"IVA solo en Gasto",IF(AND(C372="Gasto",D372=""),"Falta categoría","OK")))))))))</f>
        <v/>
      </c>
    </row>
    <row r="373" spans="1:12" ht="22" customHeight="1">
      <c r="A373" s="3"/>
      <c r="B373" s="7"/>
      <c r="C373" s="3"/>
      <c r="D373" s="3"/>
      <c r="E373" s="3"/>
      <c r="F373" s="3"/>
      <c r="G373" s="3"/>
      <c r="H373" s="4"/>
      <c r="I373" s="4"/>
      <c r="J373" s="3"/>
      <c r="K373" s="8" t="str">
        <f t="shared" si="5"/>
        <v/>
      </c>
      <c r="L373" s="1" t="str">
        <f>IF(COUNTA(A373:J373)=0,"",IF(OR(AND(C373&lt;&gt;"Gasto",C373&lt;&gt;"Pago proveedor",C373&lt;&gt;"Retiro familiar",C373&lt;&gt;"Aportación",C373&lt;&gt;"Pago activo",C373&lt;&gt;"ISR devengado",C373&lt;&gt;"Pago ISR",C373&lt;&gt;"Pago IVA",C373&lt;&gt;"Compensación ISR",C373&lt;&gt;"Compensación IVA"),AND(C373="Gasto",D373&lt;&gt;"Costos clínicos",D373&lt;&gt;"Remuneración familiar",D373&lt;&gt;"Nómina y honorarios",D373&lt;&gt;"Renta",D373&lt;&gt;"Marketing",D373&lt;&gt;"Servicios y software",D373&lt;&gt;"Mantenimiento",D373&lt;&gt;"Otros",D373&lt;&gt;"Intereses")),"Tipo o categoría inválido",IF(COUNTA(A373:J373)=0,"",IF(OR(A373="",B373="",C373="",H373=""),"Faltan datos",IF(COUNTIF($A$7:$A$2006,A373)&gt;1,"ID duplicado",IF(OR(B373&lt;DATE(Configuración!$C$5,1,1),B373&gt;=DATE(Configuración!$C$5+1,1,1)),"Fecha fuera del año",IF(OR(H373&lt;0,I373&lt;0),"Revisar signo",IF(AND(C373&lt;&gt;"Gasto",I373&lt;&gt;0),"IVA solo en Gasto",IF(AND(C373="Gasto",D373=""),"Falta categoría","OK")))))))))</f>
        <v/>
      </c>
    </row>
    <row r="374" spans="1:12" ht="22" customHeight="1">
      <c r="A374" s="3"/>
      <c r="B374" s="7"/>
      <c r="C374" s="3"/>
      <c r="D374" s="3"/>
      <c r="E374" s="3"/>
      <c r="F374" s="3"/>
      <c r="G374" s="3"/>
      <c r="H374" s="4"/>
      <c r="I374" s="4"/>
      <c r="J374" s="3"/>
      <c r="K374" s="8" t="str">
        <f t="shared" si="5"/>
        <v/>
      </c>
      <c r="L374" s="1" t="str">
        <f>IF(COUNTA(A374:J374)=0,"",IF(OR(AND(C374&lt;&gt;"Gasto",C374&lt;&gt;"Pago proveedor",C374&lt;&gt;"Retiro familiar",C374&lt;&gt;"Aportación",C374&lt;&gt;"Pago activo",C374&lt;&gt;"ISR devengado",C374&lt;&gt;"Pago ISR",C374&lt;&gt;"Pago IVA",C374&lt;&gt;"Compensación ISR",C374&lt;&gt;"Compensación IVA"),AND(C374="Gasto",D374&lt;&gt;"Costos clínicos",D374&lt;&gt;"Remuneración familiar",D374&lt;&gt;"Nómina y honorarios",D374&lt;&gt;"Renta",D374&lt;&gt;"Marketing",D374&lt;&gt;"Servicios y software",D374&lt;&gt;"Mantenimiento",D374&lt;&gt;"Otros",D374&lt;&gt;"Intereses")),"Tipo o categoría inválido",IF(COUNTA(A374:J374)=0,"",IF(OR(A374="",B374="",C374="",H374=""),"Faltan datos",IF(COUNTIF($A$7:$A$2006,A374)&gt;1,"ID duplicado",IF(OR(B374&lt;DATE(Configuración!$C$5,1,1),B374&gt;=DATE(Configuración!$C$5+1,1,1)),"Fecha fuera del año",IF(OR(H374&lt;0,I374&lt;0),"Revisar signo",IF(AND(C374&lt;&gt;"Gasto",I374&lt;&gt;0),"IVA solo en Gasto",IF(AND(C374="Gasto",D374=""),"Falta categoría","OK")))))))))</f>
        <v/>
      </c>
    </row>
    <row r="375" spans="1:12" ht="22" customHeight="1">
      <c r="A375" s="3"/>
      <c r="B375" s="7"/>
      <c r="C375" s="3"/>
      <c r="D375" s="3"/>
      <c r="E375" s="3"/>
      <c r="F375" s="3"/>
      <c r="G375" s="3"/>
      <c r="H375" s="4"/>
      <c r="I375" s="4"/>
      <c r="J375" s="3"/>
      <c r="K375" s="8" t="str">
        <f t="shared" si="5"/>
        <v/>
      </c>
      <c r="L375" s="1" t="str">
        <f>IF(COUNTA(A375:J375)=0,"",IF(OR(AND(C375&lt;&gt;"Gasto",C375&lt;&gt;"Pago proveedor",C375&lt;&gt;"Retiro familiar",C375&lt;&gt;"Aportación",C375&lt;&gt;"Pago activo",C375&lt;&gt;"ISR devengado",C375&lt;&gt;"Pago ISR",C375&lt;&gt;"Pago IVA",C375&lt;&gt;"Compensación ISR",C375&lt;&gt;"Compensación IVA"),AND(C375="Gasto",D375&lt;&gt;"Costos clínicos",D375&lt;&gt;"Remuneración familiar",D375&lt;&gt;"Nómina y honorarios",D375&lt;&gt;"Renta",D375&lt;&gt;"Marketing",D375&lt;&gt;"Servicios y software",D375&lt;&gt;"Mantenimiento",D375&lt;&gt;"Otros",D375&lt;&gt;"Intereses")),"Tipo o categoría inválido",IF(COUNTA(A375:J375)=0,"",IF(OR(A375="",B375="",C375="",H375=""),"Faltan datos",IF(COUNTIF($A$7:$A$2006,A375)&gt;1,"ID duplicado",IF(OR(B375&lt;DATE(Configuración!$C$5,1,1),B375&gt;=DATE(Configuración!$C$5+1,1,1)),"Fecha fuera del año",IF(OR(H375&lt;0,I375&lt;0),"Revisar signo",IF(AND(C375&lt;&gt;"Gasto",I375&lt;&gt;0),"IVA solo en Gasto",IF(AND(C375="Gasto",D375=""),"Falta categoría","OK")))))))))</f>
        <v/>
      </c>
    </row>
    <row r="376" spans="1:12" ht="22" customHeight="1">
      <c r="A376" s="3"/>
      <c r="B376" s="7"/>
      <c r="C376" s="3"/>
      <c r="D376" s="3"/>
      <c r="E376" s="3"/>
      <c r="F376" s="3"/>
      <c r="G376" s="3"/>
      <c r="H376" s="4"/>
      <c r="I376" s="4"/>
      <c r="J376" s="3"/>
      <c r="K376" s="8" t="str">
        <f t="shared" si="5"/>
        <v/>
      </c>
      <c r="L376" s="1" t="str">
        <f>IF(COUNTA(A376:J376)=0,"",IF(OR(AND(C376&lt;&gt;"Gasto",C376&lt;&gt;"Pago proveedor",C376&lt;&gt;"Retiro familiar",C376&lt;&gt;"Aportación",C376&lt;&gt;"Pago activo",C376&lt;&gt;"ISR devengado",C376&lt;&gt;"Pago ISR",C376&lt;&gt;"Pago IVA",C376&lt;&gt;"Compensación ISR",C376&lt;&gt;"Compensación IVA"),AND(C376="Gasto",D376&lt;&gt;"Costos clínicos",D376&lt;&gt;"Remuneración familiar",D376&lt;&gt;"Nómina y honorarios",D376&lt;&gt;"Renta",D376&lt;&gt;"Marketing",D376&lt;&gt;"Servicios y software",D376&lt;&gt;"Mantenimiento",D376&lt;&gt;"Otros",D376&lt;&gt;"Intereses")),"Tipo o categoría inválido",IF(COUNTA(A376:J376)=0,"",IF(OR(A376="",B376="",C376="",H376=""),"Faltan datos",IF(COUNTIF($A$7:$A$2006,A376)&gt;1,"ID duplicado",IF(OR(B376&lt;DATE(Configuración!$C$5,1,1),B376&gt;=DATE(Configuración!$C$5+1,1,1)),"Fecha fuera del año",IF(OR(H376&lt;0,I376&lt;0),"Revisar signo",IF(AND(C376&lt;&gt;"Gasto",I376&lt;&gt;0),"IVA solo en Gasto",IF(AND(C376="Gasto",D376=""),"Falta categoría","OK")))))))))</f>
        <v/>
      </c>
    </row>
    <row r="377" spans="1:12" ht="22" customHeight="1">
      <c r="A377" s="3"/>
      <c r="B377" s="7"/>
      <c r="C377" s="3"/>
      <c r="D377" s="3"/>
      <c r="E377" s="3"/>
      <c r="F377" s="3"/>
      <c r="G377" s="3"/>
      <c r="H377" s="4"/>
      <c r="I377" s="4"/>
      <c r="J377" s="3"/>
      <c r="K377" s="8" t="str">
        <f t="shared" si="5"/>
        <v/>
      </c>
      <c r="L377" s="1" t="str">
        <f>IF(COUNTA(A377:J377)=0,"",IF(OR(AND(C377&lt;&gt;"Gasto",C377&lt;&gt;"Pago proveedor",C377&lt;&gt;"Retiro familiar",C377&lt;&gt;"Aportación",C377&lt;&gt;"Pago activo",C377&lt;&gt;"ISR devengado",C377&lt;&gt;"Pago ISR",C377&lt;&gt;"Pago IVA",C377&lt;&gt;"Compensación ISR",C377&lt;&gt;"Compensación IVA"),AND(C377="Gasto",D377&lt;&gt;"Costos clínicos",D377&lt;&gt;"Remuneración familiar",D377&lt;&gt;"Nómina y honorarios",D377&lt;&gt;"Renta",D377&lt;&gt;"Marketing",D377&lt;&gt;"Servicios y software",D377&lt;&gt;"Mantenimiento",D377&lt;&gt;"Otros",D377&lt;&gt;"Intereses")),"Tipo o categoría inválido",IF(COUNTA(A377:J377)=0,"",IF(OR(A377="",B377="",C377="",H377=""),"Faltan datos",IF(COUNTIF($A$7:$A$2006,A377)&gt;1,"ID duplicado",IF(OR(B377&lt;DATE(Configuración!$C$5,1,1),B377&gt;=DATE(Configuración!$C$5+1,1,1)),"Fecha fuera del año",IF(OR(H377&lt;0,I377&lt;0),"Revisar signo",IF(AND(C377&lt;&gt;"Gasto",I377&lt;&gt;0),"IVA solo en Gasto",IF(AND(C377="Gasto",D377=""),"Falta categoría","OK")))))))))</f>
        <v/>
      </c>
    </row>
    <row r="378" spans="1:12" ht="22" customHeight="1">
      <c r="A378" s="3"/>
      <c r="B378" s="7"/>
      <c r="C378" s="3"/>
      <c r="D378" s="3"/>
      <c r="E378" s="3"/>
      <c r="F378" s="3"/>
      <c r="G378" s="3"/>
      <c r="H378" s="4"/>
      <c r="I378" s="4"/>
      <c r="J378" s="3"/>
      <c r="K378" s="8" t="str">
        <f t="shared" si="5"/>
        <v/>
      </c>
      <c r="L378" s="1" t="str">
        <f>IF(COUNTA(A378:J378)=0,"",IF(OR(AND(C378&lt;&gt;"Gasto",C378&lt;&gt;"Pago proveedor",C378&lt;&gt;"Retiro familiar",C378&lt;&gt;"Aportación",C378&lt;&gt;"Pago activo",C378&lt;&gt;"ISR devengado",C378&lt;&gt;"Pago ISR",C378&lt;&gt;"Pago IVA",C378&lt;&gt;"Compensación ISR",C378&lt;&gt;"Compensación IVA"),AND(C378="Gasto",D378&lt;&gt;"Costos clínicos",D378&lt;&gt;"Remuneración familiar",D378&lt;&gt;"Nómina y honorarios",D378&lt;&gt;"Renta",D378&lt;&gt;"Marketing",D378&lt;&gt;"Servicios y software",D378&lt;&gt;"Mantenimiento",D378&lt;&gt;"Otros",D378&lt;&gt;"Intereses")),"Tipo o categoría inválido",IF(COUNTA(A378:J378)=0,"",IF(OR(A378="",B378="",C378="",H378=""),"Faltan datos",IF(COUNTIF($A$7:$A$2006,A378)&gt;1,"ID duplicado",IF(OR(B378&lt;DATE(Configuración!$C$5,1,1),B378&gt;=DATE(Configuración!$C$5+1,1,1)),"Fecha fuera del año",IF(OR(H378&lt;0,I378&lt;0),"Revisar signo",IF(AND(C378&lt;&gt;"Gasto",I378&lt;&gt;0),"IVA solo en Gasto",IF(AND(C378="Gasto",D378=""),"Falta categoría","OK")))))))))</f>
        <v/>
      </c>
    </row>
    <row r="379" spans="1:12" ht="22" customHeight="1">
      <c r="A379" s="3"/>
      <c r="B379" s="7"/>
      <c r="C379" s="3"/>
      <c r="D379" s="3"/>
      <c r="E379" s="3"/>
      <c r="F379" s="3"/>
      <c r="G379" s="3"/>
      <c r="H379" s="4"/>
      <c r="I379" s="4"/>
      <c r="J379" s="3"/>
      <c r="K379" s="8" t="str">
        <f t="shared" si="5"/>
        <v/>
      </c>
      <c r="L379" s="1" t="str">
        <f>IF(COUNTA(A379:J379)=0,"",IF(OR(AND(C379&lt;&gt;"Gasto",C379&lt;&gt;"Pago proveedor",C379&lt;&gt;"Retiro familiar",C379&lt;&gt;"Aportación",C379&lt;&gt;"Pago activo",C379&lt;&gt;"ISR devengado",C379&lt;&gt;"Pago ISR",C379&lt;&gt;"Pago IVA",C379&lt;&gt;"Compensación ISR",C379&lt;&gt;"Compensación IVA"),AND(C379="Gasto",D379&lt;&gt;"Costos clínicos",D379&lt;&gt;"Remuneración familiar",D379&lt;&gt;"Nómina y honorarios",D379&lt;&gt;"Renta",D379&lt;&gt;"Marketing",D379&lt;&gt;"Servicios y software",D379&lt;&gt;"Mantenimiento",D379&lt;&gt;"Otros",D379&lt;&gt;"Intereses")),"Tipo o categoría inválido",IF(COUNTA(A379:J379)=0,"",IF(OR(A379="",B379="",C379="",H379=""),"Faltan datos",IF(COUNTIF($A$7:$A$2006,A379)&gt;1,"ID duplicado",IF(OR(B379&lt;DATE(Configuración!$C$5,1,1),B379&gt;=DATE(Configuración!$C$5+1,1,1)),"Fecha fuera del año",IF(OR(H379&lt;0,I379&lt;0),"Revisar signo",IF(AND(C379&lt;&gt;"Gasto",I379&lt;&gt;0),"IVA solo en Gasto",IF(AND(C379="Gasto",D379=""),"Falta categoría","OK")))))))))</f>
        <v/>
      </c>
    </row>
    <row r="380" spans="1:12" ht="22" customHeight="1">
      <c r="A380" s="3"/>
      <c r="B380" s="7"/>
      <c r="C380" s="3"/>
      <c r="D380" s="3"/>
      <c r="E380" s="3"/>
      <c r="F380" s="3"/>
      <c r="G380" s="3"/>
      <c r="H380" s="4"/>
      <c r="I380" s="4"/>
      <c r="J380" s="3"/>
      <c r="K380" s="8" t="str">
        <f t="shared" si="5"/>
        <v/>
      </c>
      <c r="L380" s="1" t="str">
        <f>IF(COUNTA(A380:J380)=0,"",IF(OR(AND(C380&lt;&gt;"Gasto",C380&lt;&gt;"Pago proveedor",C380&lt;&gt;"Retiro familiar",C380&lt;&gt;"Aportación",C380&lt;&gt;"Pago activo",C380&lt;&gt;"ISR devengado",C380&lt;&gt;"Pago ISR",C380&lt;&gt;"Pago IVA",C380&lt;&gt;"Compensación ISR",C380&lt;&gt;"Compensación IVA"),AND(C380="Gasto",D380&lt;&gt;"Costos clínicos",D380&lt;&gt;"Remuneración familiar",D380&lt;&gt;"Nómina y honorarios",D380&lt;&gt;"Renta",D380&lt;&gt;"Marketing",D380&lt;&gt;"Servicios y software",D380&lt;&gt;"Mantenimiento",D380&lt;&gt;"Otros",D380&lt;&gt;"Intereses")),"Tipo o categoría inválido",IF(COUNTA(A380:J380)=0,"",IF(OR(A380="",B380="",C380="",H380=""),"Faltan datos",IF(COUNTIF($A$7:$A$2006,A380)&gt;1,"ID duplicado",IF(OR(B380&lt;DATE(Configuración!$C$5,1,1),B380&gt;=DATE(Configuración!$C$5+1,1,1)),"Fecha fuera del año",IF(OR(H380&lt;0,I380&lt;0),"Revisar signo",IF(AND(C380&lt;&gt;"Gasto",I380&lt;&gt;0),"IVA solo en Gasto",IF(AND(C380="Gasto",D380=""),"Falta categoría","OK")))))))))</f>
        <v/>
      </c>
    </row>
    <row r="381" spans="1:12" ht="22" customHeight="1">
      <c r="A381" s="3"/>
      <c r="B381" s="7"/>
      <c r="C381" s="3"/>
      <c r="D381" s="3"/>
      <c r="E381" s="3"/>
      <c r="F381" s="3"/>
      <c r="G381" s="3"/>
      <c r="H381" s="4"/>
      <c r="I381" s="4"/>
      <c r="J381" s="3"/>
      <c r="K381" s="8" t="str">
        <f t="shared" si="5"/>
        <v/>
      </c>
      <c r="L381" s="1" t="str">
        <f>IF(COUNTA(A381:J381)=0,"",IF(OR(AND(C381&lt;&gt;"Gasto",C381&lt;&gt;"Pago proveedor",C381&lt;&gt;"Retiro familiar",C381&lt;&gt;"Aportación",C381&lt;&gt;"Pago activo",C381&lt;&gt;"ISR devengado",C381&lt;&gt;"Pago ISR",C381&lt;&gt;"Pago IVA",C381&lt;&gt;"Compensación ISR",C381&lt;&gt;"Compensación IVA"),AND(C381="Gasto",D381&lt;&gt;"Costos clínicos",D381&lt;&gt;"Remuneración familiar",D381&lt;&gt;"Nómina y honorarios",D381&lt;&gt;"Renta",D381&lt;&gt;"Marketing",D381&lt;&gt;"Servicios y software",D381&lt;&gt;"Mantenimiento",D381&lt;&gt;"Otros",D381&lt;&gt;"Intereses")),"Tipo o categoría inválido",IF(COUNTA(A381:J381)=0,"",IF(OR(A381="",B381="",C381="",H381=""),"Faltan datos",IF(COUNTIF($A$7:$A$2006,A381)&gt;1,"ID duplicado",IF(OR(B381&lt;DATE(Configuración!$C$5,1,1),B381&gt;=DATE(Configuración!$C$5+1,1,1)),"Fecha fuera del año",IF(OR(H381&lt;0,I381&lt;0),"Revisar signo",IF(AND(C381&lt;&gt;"Gasto",I381&lt;&gt;0),"IVA solo en Gasto",IF(AND(C381="Gasto",D381=""),"Falta categoría","OK")))))))))</f>
        <v/>
      </c>
    </row>
    <row r="382" spans="1:12" ht="22" customHeight="1">
      <c r="A382" s="3"/>
      <c r="B382" s="7"/>
      <c r="C382" s="3"/>
      <c r="D382" s="3"/>
      <c r="E382" s="3"/>
      <c r="F382" s="3"/>
      <c r="G382" s="3"/>
      <c r="H382" s="4"/>
      <c r="I382" s="4"/>
      <c r="J382" s="3"/>
      <c r="K382" s="8" t="str">
        <f t="shared" si="5"/>
        <v/>
      </c>
      <c r="L382" s="1" t="str">
        <f>IF(COUNTA(A382:J382)=0,"",IF(OR(AND(C382&lt;&gt;"Gasto",C382&lt;&gt;"Pago proveedor",C382&lt;&gt;"Retiro familiar",C382&lt;&gt;"Aportación",C382&lt;&gt;"Pago activo",C382&lt;&gt;"ISR devengado",C382&lt;&gt;"Pago ISR",C382&lt;&gt;"Pago IVA",C382&lt;&gt;"Compensación ISR",C382&lt;&gt;"Compensación IVA"),AND(C382="Gasto",D382&lt;&gt;"Costos clínicos",D382&lt;&gt;"Remuneración familiar",D382&lt;&gt;"Nómina y honorarios",D382&lt;&gt;"Renta",D382&lt;&gt;"Marketing",D382&lt;&gt;"Servicios y software",D382&lt;&gt;"Mantenimiento",D382&lt;&gt;"Otros",D382&lt;&gt;"Intereses")),"Tipo o categoría inválido",IF(COUNTA(A382:J382)=0,"",IF(OR(A382="",B382="",C382="",H382=""),"Faltan datos",IF(COUNTIF($A$7:$A$2006,A382)&gt;1,"ID duplicado",IF(OR(B382&lt;DATE(Configuración!$C$5,1,1),B382&gt;=DATE(Configuración!$C$5+1,1,1)),"Fecha fuera del año",IF(OR(H382&lt;0,I382&lt;0),"Revisar signo",IF(AND(C382&lt;&gt;"Gasto",I382&lt;&gt;0),"IVA solo en Gasto",IF(AND(C382="Gasto",D382=""),"Falta categoría","OK")))))))))</f>
        <v/>
      </c>
    </row>
    <row r="383" spans="1:12" ht="22" customHeight="1">
      <c r="A383" s="3"/>
      <c r="B383" s="7"/>
      <c r="C383" s="3"/>
      <c r="D383" s="3"/>
      <c r="E383" s="3"/>
      <c r="F383" s="3"/>
      <c r="G383" s="3"/>
      <c r="H383" s="4"/>
      <c r="I383" s="4"/>
      <c r="J383" s="3"/>
      <c r="K383" s="8" t="str">
        <f t="shared" si="5"/>
        <v/>
      </c>
      <c r="L383" s="1" t="str">
        <f>IF(COUNTA(A383:J383)=0,"",IF(OR(AND(C383&lt;&gt;"Gasto",C383&lt;&gt;"Pago proveedor",C383&lt;&gt;"Retiro familiar",C383&lt;&gt;"Aportación",C383&lt;&gt;"Pago activo",C383&lt;&gt;"ISR devengado",C383&lt;&gt;"Pago ISR",C383&lt;&gt;"Pago IVA",C383&lt;&gt;"Compensación ISR",C383&lt;&gt;"Compensación IVA"),AND(C383="Gasto",D383&lt;&gt;"Costos clínicos",D383&lt;&gt;"Remuneración familiar",D383&lt;&gt;"Nómina y honorarios",D383&lt;&gt;"Renta",D383&lt;&gt;"Marketing",D383&lt;&gt;"Servicios y software",D383&lt;&gt;"Mantenimiento",D383&lt;&gt;"Otros",D383&lt;&gt;"Intereses")),"Tipo o categoría inválido",IF(COUNTA(A383:J383)=0,"",IF(OR(A383="",B383="",C383="",H383=""),"Faltan datos",IF(COUNTIF($A$7:$A$2006,A383)&gt;1,"ID duplicado",IF(OR(B383&lt;DATE(Configuración!$C$5,1,1),B383&gt;=DATE(Configuración!$C$5+1,1,1)),"Fecha fuera del año",IF(OR(H383&lt;0,I383&lt;0),"Revisar signo",IF(AND(C383&lt;&gt;"Gasto",I383&lt;&gt;0),"IVA solo en Gasto",IF(AND(C383="Gasto",D383=""),"Falta categoría","OK")))))))))</f>
        <v/>
      </c>
    </row>
    <row r="384" spans="1:12" ht="22" customHeight="1">
      <c r="A384" s="3"/>
      <c r="B384" s="7"/>
      <c r="C384" s="3"/>
      <c r="D384" s="3"/>
      <c r="E384" s="3"/>
      <c r="F384" s="3"/>
      <c r="G384" s="3"/>
      <c r="H384" s="4"/>
      <c r="I384" s="4"/>
      <c r="J384" s="3"/>
      <c r="K384" s="8" t="str">
        <f t="shared" si="5"/>
        <v/>
      </c>
      <c r="L384" s="1" t="str">
        <f>IF(COUNTA(A384:J384)=0,"",IF(OR(AND(C384&lt;&gt;"Gasto",C384&lt;&gt;"Pago proveedor",C384&lt;&gt;"Retiro familiar",C384&lt;&gt;"Aportación",C384&lt;&gt;"Pago activo",C384&lt;&gt;"ISR devengado",C384&lt;&gt;"Pago ISR",C384&lt;&gt;"Pago IVA",C384&lt;&gt;"Compensación ISR",C384&lt;&gt;"Compensación IVA"),AND(C384="Gasto",D384&lt;&gt;"Costos clínicos",D384&lt;&gt;"Remuneración familiar",D384&lt;&gt;"Nómina y honorarios",D384&lt;&gt;"Renta",D384&lt;&gt;"Marketing",D384&lt;&gt;"Servicios y software",D384&lt;&gt;"Mantenimiento",D384&lt;&gt;"Otros",D384&lt;&gt;"Intereses")),"Tipo o categoría inválido",IF(COUNTA(A384:J384)=0,"",IF(OR(A384="",B384="",C384="",H384=""),"Faltan datos",IF(COUNTIF($A$7:$A$2006,A384)&gt;1,"ID duplicado",IF(OR(B384&lt;DATE(Configuración!$C$5,1,1),B384&gt;=DATE(Configuración!$C$5+1,1,1)),"Fecha fuera del año",IF(OR(H384&lt;0,I384&lt;0),"Revisar signo",IF(AND(C384&lt;&gt;"Gasto",I384&lt;&gt;0),"IVA solo en Gasto",IF(AND(C384="Gasto",D384=""),"Falta categoría","OK")))))))))</f>
        <v/>
      </c>
    </row>
    <row r="385" spans="1:12" ht="22" customHeight="1">
      <c r="A385" s="3"/>
      <c r="B385" s="7"/>
      <c r="C385" s="3"/>
      <c r="D385" s="3"/>
      <c r="E385" s="3"/>
      <c r="F385" s="3"/>
      <c r="G385" s="3"/>
      <c r="H385" s="4"/>
      <c r="I385" s="4"/>
      <c r="J385" s="3"/>
      <c r="K385" s="8" t="str">
        <f t="shared" si="5"/>
        <v/>
      </c>
      <c r="L385" s="1" t="str">
        <f>IF(COUNTA(A385:J385)=0,"",IF(OR(AND(C385&lt;&gt;"Gasto",C385&lt;&gt;"Pago proveedor",C385&lt;&gt;"Retiro familiar",C385&lt;&gt;"Aportación",C385&lt;&gt;"Pago activo",C385&lt;&gt;"ISR devengado",C385&lt;&gt;"Pago ISR",C385&lt;&gt;"Pago IVA",C385&lt;&gt;"Compensación ISR",C385&lt;&gt;"Compensación IVA"),AND(C385="Gasto",D385&lt;&gt;"Costos clínicos",D385&lt;&gt;"Remuneración familiar",D385&lt;&gt;"Nómina y honorarios",D385&lt;&gt;"Renta",D385&lt;&gt;"Marketing",D385&lt;&gt;"Servicios y software",D385&lt;&gt;"Mantenimiento",D385&lt;&gt;"Otros",D385&lt;&gt;"Intereses")),"Tipo o categoría inválido",IF(COUNTA(A385:J385)=0,"",IF(OR(A385="",B385="",C385="",H385=""),"Faltan datos",IF(COUNTIF($A$7:$A$2006,A385)&gt;1,"ID duplicado",IF(OR(B385&lt;DATE(Configuración!$C$5,1,1),B385&gt;=DATE(Configuración!$C$5+1,1,1)),"Fecha fuera del año",IF(OR(H385&lt;0,I385&lt;0),"Revisar signo",IF(AND(C385&lt;&gt;"Gasto",I385&lt;&gt;0),"IVA solo en Gasto",IF(AND(C385="Gasto",D385=""),"Falta categoría","OK")))))))))</f>
        <v/>
      </c>
    </row>
    <row r="386" spans="1:12" ht="22" customHeight="1">
      <c r="A386" s="3"/>
      <c r="B386" s="7"/>
      <c r="C386" s="3"/>
      <c r="D386" s="3"/>
      <c r="E386" s="3"/>
      <c r="F386" s="3"/>
      <c r="G386" s="3"/>
      <c r="H386" s="4"/>
      <c r="I386" s="4"/>
      <c r="J386" s="3"/>
      <c r="K386" s="8" t="str">
        <f t="shared" si="5"/>
        <v/>
      </c>
      <c r="L386" s="1" t="str">
        <f>IF(COUNTA(A386:J386)=0,"",IF(OR(AND(C386&lt;&gt;"Gasto",C386&lt;&gt;"Pago proveedor",C386&lt;&gt;"Retiro familiar",C386&lt;&gt;"Aportación",C386&lt;&gt;"Pago activo",C386&lt;&gt;"ISR devengado",C386&lt;&gt;"Pago ISR",C386&lt;&gt;"Pago IVA",C386&lt;&gt;"Compensación ISR",C386&lt;&gt;"Compensación IVA"),AND(C386="Gasto",D386&lt;&gt;"Costos clínicos",D386&lt;&gt;"Remuneración familiar",D386&lt;&gt;"Nómina y honorarios",D386&lt;&gt;"Renta",D386&lt;&gt;"Marketing",D386&lt;&gt;"Servicios y software",D386&lt;&gt;"Mantenimiento",D386&lt;&gt;"Otros",D386&lt;&gt;"Intereses")),"Tipo o categoría inválido",IF(COUNTA(A386:J386)=0,"",IF(OR(A386="",B386="",C386="",H386=""),"Faltan datos",IF(COUNTIF($A$7:$A$2006,A386)&gt;1,"ID duplicado",IF(OR(B386&lt;DATE(Configuración!$C$5,1,1),B386&gt;=DATE(Configuración!$C$5+1,1,1)),"Fecha fuera del año",IF(OR(H386&lt;0,I386&lt;0),"Revisar signo",IF(AND(C386&lt;&gt;"Gasto",I386&lt;&gt;0),"IVA solo en Gasto",IF(AND(C386="Gasto",D386=""),"Falta categoría","OK")))))))))</f>
        <v/>
      </c>
    </row>
    <row r="387" spans="1:12" ht="22" customHeight="1">
      <c r="A387" s="3"/>
      <c r="B387" s="7"/>
      <c r="C387" s="3"/>
      <c r="D387" s="3"/>
      <c r="E387" s="3"/>
      <c r="F387" s="3"/>
      <c r="G387" s="3"/>
      <c r="H387" s="4"/>
      <c r="I387" s="4"/>
      <c r="J387" s="3"/>
      <c r="K387" s="8" t="str">
        <f t="shared" si="5"/>
        <v/>
      </c>
      <c r="L387" s="1" t="str">
        <f>IF(COUNTA(A387:J387)=0,"",IF(OR(AND(C387&lt;&gt;"Gasto",C387&lt;&gt;"Pago proveedor",C387&lt;&gt;"Retiro familiar",C387&lt;&gt;"Aportación",C387&lt;&gt;"Pago activo",C387&lt;&gt;"ISR devengado",C387&lt;&gt;"Pago ISR",C387&lt;&gt;"Pago IVA",C387&lt;&gt;"Compensación ISR",C387&lt;&gt;"Compensación IVA"),AND(C387="Gasto",D387&lt;&gt;"Costos clínicos",D387&lt;&gt;"Remuneración familiar",D387&lt;&gt;"Nómina y honorarios",D387&lt;&gt;"Renta",D387&lt;&gt;"Marketing",D387&lt;&gt;"Servicios y software",D387&lt;&gt;"Mantenimiento",D387&lt;&gt;"Otros",D387&lt;&gt;"Intereses")),"Tipo o categoría inválido",IF(COUNTA(A387:J387)=0,"",IF(OR(A387="",B387="",C387="",H387=""),"Faltan datos",IF(COUNTIF($A$7:$A$2006,A387)&gt;1,"ID duplicado",IF(OR(B387&lt;DATE(Configuración!$C$5,1,1),B387&gt;=DATE(Configuración!$C$5+1,1,1)),"Fecha fuera del año",IF(OR(H387&lt;0,I387&lt;0),"Revisar signo",IF(AND(C387&lt;&gt;"Gasto",I387&lt;&gt;0),"IVA solo en Gasto",IF(AND(C387="Gasto",D387=""),"Falta categoría","OK")))))))))</f>
        <v/>
      </c>
    </row>
    <row r="388" spans="1:12" ht="22" customHeight="1">
      <c r="A388" s="3"/>
      <c r="B388" s="7"/>
      <c r="C388" s="3"/>
      <c r="D388" s="3"/>
      <c r="E388" s="3"/>
      <c r="F388" s="3"/>
      <c r="G388" s="3"/>
      <c r="H388" s="4"/>
      <c r="I388" s="4"/>
      <c r="J388" s="3"/>
      <c r="K388" s="8" t="str">
        <f t="shared" si="5"/>
        <v/>
      </c>
      <c r="L388" s="1" t="str">
        <f>IF(COUNTA(A388:J388)=0,"",IF(OR(AND(C388&lt;&gt;"Gasto",C388&lt;&gt;"Pago proveedor",C388&lt;&gt;"Retiro familiar",C388&lt;&gt;"Aportación",C388&lt;&gt;"Pago activo",C388&lt;&gt;"ISR devengado",C388&lt;&gt;"Pago ISR",C388&lt;&gt;"Pago IVA",C388&lt;&gt;"Compensación ISR",C388&lt;&gt;"Compensación IVA"),AND(C388="Gasto",D388&lt;&gt;"Costos clínicos",D388&lt;&gt;"Remuneración familiar",D388&lt;&gt;"Nómina y honorarios",D388&lt;&gt;"Renta",D388&lt;&gt;"Marketing",D388&lt;&gt;"Servicios y software",D388&lt;&gt;"Mantenimiento",D388&lt;&gt;"Otros",D388&lt;&gt;"Intereses")),"Tipo o categoría inválido",IF(COUNTA(A388:J388)=0,"",IF(OR(A388="",B388="",C388="",H388=""),"Faltan datos",IF(COUNTIF($A$7:$A$2006,A388)&gt;1,"ID duplicado",IF(OR(B388&lt;DATE(Configuración!$C$5,1,1),B388&gt;=DATE(Configuración!$C$5+1,1,1)),"Fecha fuera del año",IF(OR(H388&lt;0,I388&lt;0),"Revisar signo",IF(AND(C388&lt;&gt;"Gasto",I388&lt;&gt;0),"IVA solo en Gasto",IF(AND(C388="Gasto",D388=""),"Falta categoría","OK")))))))))</f>
        <v/>
      </c>
    </row>
    <row r="389" spans="1:12" ht="22" customHeight="1">
      <c r="A389" s="3"/>
      <c r="B389" s="7"/>
      <c r="C389" s="3"/>
      <c r="D389" s="3"/>
      <c r="E389" s="3"/>
      <c r="F389" s="3"/>
      <c r="G389" s="3"/>
      <c r="H389" s="4"/>
      <c r="I389" s="4"/>
      <c r="J389" s="3"/>
      <c r="K389" s="8" t="str">
        <f t="shared" si="5"/>
        <v/>
      </c>
      <c r="L389" s="1" t="str">
        <f>IF(COUNTA(A389:J389)=0,"",IF(OR(AND(C389&lt;&gt;"Gasto",C389&lt;&gt;"Pago proveedor",C389&lt;&gt;"Retiro familiar",C389&lt;&gt;"Aportación",C389&lt;&gt;"Pago activo",C389&lt;&gt;"ISR devengado",C389&lt;&gt;"Pago ISR",C389&lt;&gt;"Pago IVA",C389&lt;&gt;"Compensación ISR",C389&lt;&gt;"Compensación IVA"),AND(C389="Gasto",D389&lt;&gt;"Costos clínicos",D389&lt;&gt;"Remuneración familiar",D389&lt;&gt;"Nómina y honorarios",D389&lt;&gt;"Renta",D389&lt;&gt;"Marketing",D389&lt;&gt;"Servicios y software",D389&lt;&gt;"Mantenimiento",D389&lt;&gt;"Otros",D389&lt;&gt;"Intereses")),"Tipo o categoría inválido",IF(COUNTA(A389:J389)=0,"",IF(OR(A389="",B389="",C389="",H389=""),"Faltan datos",IF(COUNTIF($A$7:$A$2006,A389)&gt;1,"ID duplicado",IF(OR(B389&lt;DATE(Configuración!$C$5,1,1),B389&gt;=DATE(Configuración!$C$5+1,1,1)),"Fecha fuera del año",IF(OR(H389&lt;0,I389&lt;0),"Revisar signo",IF(AND(C389&lt;&gt;"Gasto",I389&lt;&gt;0),"IVA solo en Gasto",IF(AND(C389="Gasto",D389=""),"Falta categoría","OK")))))))))</f>
        <v/>
      </c>
    </row>
    <row r="390" spans="1:12" ht="22" customHeight="1">
      <c r="A390" s="3"/>
      <c r="B390" s="7"/>
      <c r="C390" s="3"/>
      <c r="D390" s="3"/>
      <c r="E390" s="3"/>
      <c r="F390" s="3"/>
      <c r="G390" s="3"/>
      <c r="H390" s="4"/>
      <c r="I390" s="4"/>
      <c r="J390" s="3"/>
      <c r="K390" s="8" t="str">
        <f t="shared" si="5"/>
        <v/>
      </c>
      <c r="L390" s="1" t="str">
        <f>IF(COUNTA(A390:J390)=0,"",IF(OR(AND(C390&lt;&gt;"Gasto",C390&lt;&gt;"Pago proveedor",C390&lt;&gt;"Retiro familiar",C390&lt;&gt;"Aportación",C390&lt;&gt;"Pago activo",C390&lt;&gt;"ISR devengado",C390&lt;&gt;"Pago ISR",C390&lt;&gt;"Pago IVA",C390&lt;&gt;"Compensación ISR",C390&lt;&gt;"Compensación IVA"),AND(C390="Gasto",D390&lt;&gt;"Costos clínicos",D390&lt;&gt;"Remuneración familiar",D390&lt;&gt;"Nómina y honorarios",D390&lt;&gt;"Renta",D390&lt;&gt;"Marketing",D390&lt;&gt;"Servicios y software",D390&lt;&gt;"Mantenimiento",D390&lt;&gt;"Otros",D390&lt;&gt;"Intereses")),"Tipo o categoría inválido",IF(COUNTA(A390:J390)=0,"",IF(OR(A390="",B390="",C390="",H390=""),"Faltan datos",IF(COUNTIF($A$7:$A$2006,A390)&gt;1,"ID duplicado",IF(OR(B390&lt;DATE(Configuración!$C$5,1,1),B390&gt;=DATE(Configuración!$C$5+1,1,1)),"Fecha fuera del año",IF(OR(H390&lt;0,I390&lt;0),"Revisar signo",IF(AND(C390&lt;&gt;"Gasto",I390&lt;&gt;0),"IVA solo en Gasto",IF(AND(C390="Gasto",D390=""),"Falta categoría","OK")))))))))</f>
        <v/>
      </c>
    </row>
    <row r="391" spans="1:12" ht="22" customHeight="1">
      <c r="A391" s="3"/>
      <c r="B391" s="7"/>
      <c r="C391" s="3"/>
      <c r="D391" s="3"/>
      <c r="E391" s="3"/>
      <c r="F391" s="3"/>
      <c r="G391" s="3"/>
      <c r="H391" s="4"/>
      <c r="I391" s="4"/>
      <c r="J391" s="3"/>
      <c r="K391" s="8" t="str">
        <f t="shared" ref="K391:K454" si="6">IF(A391="","",H391+I391)</f>
        <v/>
      </c>
      <c r="L391" s="1" t="str">
        <f>IF(COUNTA(A391:J391)=0,"",IF(OR(AND(C391&lt;&gt;"Gasto",C391&lt;&gt;"Pago proveedor",C391&lt;&gt;"Retiro familiar",C391&lt;&gt;"Aportación",C391&lt;&gt;"Pago activo",C391&lt;&gt;"ISR devengado",C391&lt;&gt;"Pago ISR",C391&lt;&gt;"Pago IVA",C391&lt;&gt;"Compensación ISR",C391&lt;&gt;"Compensación IVA"),AND(C391="Gasto",D391&lt;&gt;"Costos clínicos",D391&lt;&gt;"Remuneración familiar",D391&lt;&gt;"Nómina y honorarios",D391&lt;&gt;"Renta",D391&lt;&gt;"Marketing",D391&lt;&gt;"Servicios y software",D391&lt;&gt;"Mantenimiento",D391&lt;&gt;"Otros",D391&lt;&gt;"Intereses")),"Tipo o categoría inválido",IF(COUNTA(A391:J391)=0,"",IF(OR(A391="",B391="",C391="",H391=""),"Faltan datos",IF(COUNTIF($A$7:$A$2006,A391)&gt;1,"ID duplicado",IF(OR(B391&lt;DATE(Configuración!$C$5,1,1),B391&gt;=DATE(Configuración!$C$5+1,1,1)),"Fecha fuera del año",IF(OR(H391&lt;0,I391&lt;0),"Revisar signo",IF(AND(C391&lt;&gt;"Gasto",I391&lt;&gt;0),"IVA solo en Gasto",IF(AND(C391="Gasto",D391=""),"Falta categoría","OK")))))))))</f>
        <v/>
      </c>
    </row>
    <row r="392" spans="1:12" ht="22" customHeight="1">
      <c r="A392" s="3"/>
      <c r="B392" s="7"/>
      <c r="C392" s="3"/>
      <c r="D392" s="3"/>
      <c r="E392" s="3"/>
      <c r="F392" s="3"/>
      <c r="G392" s="3"/>
      <c r="H392" s="4"/>
      <c r="I392" s="4"/>
      <c r="J392" s="3"/>
      <c r="K392" s="8" t="str">
        <f t="shared" si="6"/>
        <v/>
      </c>
      <c r="L392" s="1" t="str">
        <f>IF(COUNTA(A392:J392)=0,"",IF(OR(AND(C392&lt;&gt;"Gasto",C392&lt;&gt;"Pago proveedor",C392&lt;&gt;"Retiro familiar",C392&lt;&gt;"Aportación",C392&lt;&gt;"Pago activo",C392&lt;&gt;"ISR devengado",C392&lt;&gt;"Pago ISR",C392&lt;&gt;"Pago IVA",C392&lt;&gt;"Compensación ISR",C392&lt;&gt;"Compensación IVA"),AND(C392="Gasto",D392&lt;&gt;"Costos clínicos",D392&lt;&gt;"Remuneración familiar",D392&lt;&gt;"Nómina y honorarios",D392&lt;&gt;"Renta",D392&lt;&gt;"Marketing",D392&lt;&gt;"Servicios y software",D392&lt;&gt;"Mantenimiento",D392&lt;&gt;"Otros",D392&lt;&gt;"Intereses")),"Tipo o categoría inválido",IF(COUNTA(A392:J392)=0,"",IF(OR(A392="",B392="",C392="",H392=""),"Faltan datos",IF(COUNTIF($A$7:$A$2006,A392)&gt;1,"ID duplicado",IF(OR(B392&lt;DATE(Configuración!$C$5,1,1),B392&gt;=DATE(Configuración!$C$5+1,1,1)),"Fecha fuera del año",IF(OR(H392&lt;0,I392&lt;0),"Revisar signo",IF(AND(C392&lt;&gt;"Gasto",I392&lt;&gt;0),"IVA solo en Gasto",IF(AND(C392="Gasto",D392=""),"Falta categoría","OK")))))))))</f>
        <v/>
      </c>
    </row>
    <row r="393" spans="1:12" ht="22" customHeight="1">
      <c r="A393" s="3"/>
      <c r="B393" s="7"/>
      <c r="C393" s="3"/>
      <c r="D393" s="3"/>
      <c r="E393" s="3"/>
      <c r="F393" s="3"/>
      <c r="G393" s="3"/>
      <c r="H393" s="4"/>
      <c r="I393" s="4"/>
      <c r="J393" s="3"/>
      <c r="K393" s="8" t="str">
        <f t="shared" si="6"/>
        <v/>
      </c>
      <c r="L393" s="1" t="str">
        <f>IF(COUNTA(A393:J393)=0,"",IF(OR(AND(C393&lt;&gt;"Gasto",C393&lt;&gt;"Pago proveedor",C393&lt;&gt;"Retiro familiar",C393&lt;&gt;"Aportación",C393&lt;&gt;"Pago activo",C393&lt;&gt;"ISR devengado",C393&lt;&gt;"Pago ISR",C393&lt;&gt;"Pago IVA",C393&lt;&gt;"Compensación ISR",C393&lt;&gt;"Compensación IVA"),AND(C393="Gasto",D393&lt;&gt;"Costos clínicos",D393&lt;&gt;"Remuneración familiar",D393&lt;&gt;"Nómina y honorarios",D393&lt;&gt;"Renta",D393&lt;&gt;"Marketing",D393&lt;&gt;"Servicios y software",D393&lt;&gt;"Mantenimiento",D393&lt;&gt;"Otros",D393&lt;&gt;"Intereses")),"Tipo o categoría inválido",IF(COUNTA(A393:J393)=0,"",IF(OR(A393="",B393="",C393="",H393=""),"Faltan datos",IF(COUNTIF($A$7:$A$2006,A393)&gt;1,"ID duplicado",IF(OR(B393&lt;DATE(Configuración!$C$5,1,1),B393&gt;=DATE(Configuración!$C$5+1,1,1)),"Fecha fuera del año",IF(OR(H393&lt;0,I393&lt;0),"Revisar signo",IF(AND(C393&lt;&gt;"Gasto",I393&lt;&gt;0),"IVA solo en Gasto",IF(AND(C393="Gasto",D393=""),"Falta categoría","OK")))))))))</f>
        <v/>
      </c>
    </row>
    <row r="394" spans="1:12" ht="22" customHeight="1">
      <c r="A394" s="3"/>
      <c r="B394" s="7"/>
      <c r="C394" s="3"/>
      <c r="D394" s="3"/>
      <c r="E394" s="3"/>
      <c r="F394" s="3"/>
      <c r="G394" s="3"/>
      <c r="H394" s="4"/>
      <c r="I394" s="4"/>
      <c r="J394" s="3"/>
      <c r="K394" s="8" t="str">
        <f t="shared" si="6"/>
        <v/>
      </c>
      <c r="L394" s="1" t="str">
        <f>IF(COUNTA(A394:J394)=0,"",IF(OR(AND(C394&lt;&gt;"Gasto",C394&lt;&gt;"Pago proveedor",C394&lt;&gt;"Retiro familiar",C394&lt;&gt;"Aportación",C394&lt;&gt;"Pago activo",C394&lt;&gt;"ISR devengado",C394&lt;&gt;"Pago ISR",C394&lt;&gt;"Pago IVA",C394&lt;&gt;"Compensación ISR",C394&lt;&gt;"Compensación IVA"),AND(C394="Gasto",D394&lt;&gt;"Costos clínicos",D394&lt;&gt;"Remuneración familiar",D394&lt;&gt;"Nómina y honorarios",D394&lt;&gt;"Renta",D394&lt;&gt;"Marketing",D394&lt;&gt;"Servicios y software",D394&lt;&gt;"Mantenimiento",D394&lt;&gt;"Otros",D394&lt;&gt;"Intereses")),"Tipo o categoría inválido",IF(COUNTA(A394:J394)=0,"",IF(OR(A394="",B394="",C394="",H394=""),"Faltan datos",IF(COUNTIF($A$7:$A$2006,A394)&gt;1,"ID duplicado",IF(OR(B394&lt;DATE(Configuración!$C$5,1,1),B394&gt;=DATE(Configuración!$C$5+1,1,1)),"Fecha fuera del año",IF(OR(H394&lt;0,I394&lt;0),"Revisar signo",IF(AND(C394&lt;&gt;"Gasto",I394&lt;&gt;0),"IVA solo en Gasto",IF(AND(C394="Gasto",D394=""),"Falta categoría","OK")))))))))</f>
        <v/>
      </c>
    </row>
    <row r="395" spans="1:12" ht="22" customHeight="1">
      <c r="A395" s="3"/>
      <c r="B395" s="7"/>
      <c r="C395" s="3"/>
      <c r="D395" s="3"/>
      <c r="E395" s="3"/>
      <c r="F395" s="3"/>
      <c r="G395" s="3"/>
      <c r="H395" s="4"/>
      <c r="I395" s="4"/>
      <c r="J395" s="3"/>
      <c r="K395" s="8" t="str">
        <f t="shared" si="6"/>
        <v/>
      </c>
      <c r="L395" s="1" t="str">
        <f>IF(COUNTA(A395:J395)=0,"",IF(OR(AND(C395&lt;&gt;"Gasto",C395&lt;&gt;"Pago proveedor",C395&lt;&gt;"Retiro familiar",C395&lt;&gt;"Aportación",C395&lt;&gt;"Pago activo",C395&lt;&gt;"ISR devengado",C395&lt;&gt;"Pago ISR",C395&lt;&gt;"Pago IVA",C395&lt;&gt;"Compensación ISR",C395&lt;&gt;"Compensación IVA"),AND(C395="Gasto",D395&lt;&gt;"Costos clínicos",D395&lt;&gt;"Remuneración familiar",D395&lt;&gt;"Nómina y honorarios",D395&lt;&gt;"Renta",D395&lt;&gt;"Marketing",D395&lt;&gt;"Servicios y software",D395&lt;&gt;"Mantenimiento",D395&lt;&gt;"Otros",D395&lt;&gt;"Intereses")),"Tipo o categoría inválido",IF(COUNTA(A395:J395)=0,"",IF(OR(A395="",B395="",C395="",H395=""),"Faltan datos",IF(COUNTIF($A$7:$A$2006,A395)&gt;1,"ID duplicado",IF(OR(B395&lt;DATE(Configuración!$C$5,1,1),B395&gt;=DATE(Configuración!$C$5+1,1,1)),"Fecha fuera del año",IF(OR(H395&lt;0,I395&lt;0),"Revisar signo",IF(AND(C395&lt;&gt;"Gasto",I395&lt;&gt;0),"IVA solo en Gasto",IF(AND(C395="Gasto",D395=""),"Falta categoría","OK")))))))))</f>
        <v/>
      </c>
    </row>
    <row r="396" spans="1:12" ht="22" customHeight="1">
      <c r="A396" s="3"/>
      <c r="B396" s="7"/>
      <c r="C396" s="3"/>
      <c r="D396" s="3"/>
      <c r="E396" s="3"/>
      <c r="F396" s="3"/>
      <c r="G396" s="3"/>
      <c r="H396" s="4"/>
      <c r="I396" s="4"/>
      <c r="J396" s="3"/>
      <c r="K396" s="8" t="str">
        <f t="shared" si="6"/>
        <v/>
      </c>
      <c r="L396" s="1" t="str">
        <f>IF(COUNTA(A396:J396)=0,"",IF(OR(AND(C396&lt;&gt;"Gasto",C396&lt;&gt;"Pago proveedor",C396&lt;&gt;"Retiro familiar",C396&lt;&gt;"Aportación",C396&lt;&gt;"Pago activo",C396&lt;&gt;"ISR devengado",C396&lt;&gt;"Pago ISR",C396&lt;&gt;"Pago IVA",C396&lt;&gt;"Compensación ISR",C396&lt;&gt;"Compensación IVA"),AND(C396="Gasto",D396&lt;&gt;"Costos clínicos",D396&lt;&gt;"Remuneración familiar",D396&lt;&gt;"Nómina y honorarios",D396&lt;&gt;"Renta",D396&lt;&gt;"Marketing",D396&lt;&gt;"Servicios y software",D396&lt;&gt;"Mantenimiento",D396&lt;&gt;"Otros",D396&lt;&gt;"Intereses")),"Tipo o categoría inválido",IF(COUNTA(A396:J396)=0,"",IF(OR(A396="",B396="",C396="",H396=""),"Faltan datos",IF(COUNTIF($A$7:$A$2006,A396)&gt;1,"ID duplicado",IF(OR(B396&lt;DATE(Configuración!$C$5,1,1),B396&gt;=DATE(Configuración!$C$5+1,1,1)),"Fecha fuera del año",IF(OR(H396&lt;0,I396&lt;0),"Revisar signo",IF(AND(C396&lt;&gt;"Gasto",I396&lt;&gt;0),"IVA solo en Gasto",IF(AND(C396="Gasto",D396=""),"Falta categoría","OK")))))))))</f>
        <v/>
      </c>
    </row>
    <row r="397" spans="1:12" ht="22" customHeight="1">
      <c r="A397" s="3"/>
      <c r="B397" s="7"/>
      <c r="C397" s="3"/>
      <c r="D397" s="3"/>
      <c r="E397" s="3"/>
      <c r="F397" s="3"/>
      <c r="G397" s="3"/>
      <c r="H397" s="4"/>
      <c r="I397" s="4"/>
      <c r="J397" s="3"/>
      <c r="K397" s="8" t="str">
        <f t="shared" si="6"/>
        <v/>
      </c>
      <c r="L397" s="1" t="str">
        <f>IF(COUNTA(A397:J397)=0,"",IF(OR(AND(C397&lt;&gt;"Gasto",C397&lt;&gt;"Pago proveedor",C397&lt;&gt;"Retiro familiar",C397&lt;&gt;"Aportación",C397&lt;&gt;"Pago activo",C397&lt;&gt;"ISR devengado",C397&lt;&gt;"Pago ISR",C397&lt;&gt;"Pago IVA",C397&lt;&gt;"Compensación ISR",C397&lt;&gt;"Compensación IVA"),AND(C397="Gasto",D397&lt;&gt;"Costos clínicos",D397&lt;&gt;"Remuneración familiar",D397&lt;&gt;"Nómina y honorarios",D397&lt;&gt;"Renta",D397&lt;&gt;"Marketing",D397&lt;&gt;"Servicios y software",D397&lt;&gt;"Mantenimiento",D397&lt;&gt;"Otros",D397&lt;&gt;"Intereses")),"Tipo o categoría inválido",IF(COUNTA(A397:J397)=0,"",IF(OR(A397="",B397="",C397="",H397=""),"Faltan datos",IF(COUNTIF($A$7:$A$2006,A397)&gt;1,"ID duplicado",IF(OR(B397&lt;DATE(Configuración!$C$5,1,1),B397&gt;=DATE(Configuración!$C$5+1,1,1)),"Fecha fuera del año",IF(OR(H397&lt;0,I397&lt;0),"Revisar signo",IF(AND(C397&lt;&gt;"Gasto",I397&lt;&gt;0),"IVA solo en Gasto",IF(AND(C397="Gasto",D397=""),"Falta categoría","OK")))))))))</f>
        <v/>
      </c>
    </row>
    <row r="398" spans="1:12" ht="22" customHeight="1">
      <c r="A398" s="3"/>
      <c r="B398" s="7"/>
      <c r="C398" s="3"/>
      <c r="D398" s="3"/>
      <c r="E398" s="3"/>
      <c r="F398" s="3"/>
      <c r="G398" s="3"/>
      <c r="H398" s="4"/>
      <c r="I398" s="4"/>
      <c r="J398" s="3"/>
      <c r="K398" s="8" t="str">
        <f t="shared" si="6"/>
        <v/>
      </c>
      <c r="L398" s="1" t="str">
        <f>IF(COUNTA(A398:J398)=0,"",IF(OR(AND(C398&lt;&gt;"Gasto",C398&lt;&gt;"Pago proveedor",C398&lt;&gt;"Retiro familiar",C398&lt;&gt;"Aportación",C398&lt;&gt;"Pago activo",C398&lt;&gt;"ISR devengado",C398&lt;&gt;"Pago ISR",C398&lt;&gt;"Pago IVA",C398&lt;&gt;"Compensación ISR",C398&lt;&gt;"Compensación IVA"),AND(C398="Gasto",D398&lt;&gt;"Costos clínicos",D398&lt;&gt;"Remuneración familiar",D398&lt;&gt;"Nómina y honorarios",D398&lt;&gt;"Renta",D398&lt;&gt;"Marketing",D398&lt;&gt;"Servicios y software",D398&lt;&gt;"Mantenimiento",D398&lt;&gt;"Otros",D398&lt;&gt;"Intereses")),"Tipo o categoría inválido",IF(COUNTA(A398:J398)=0,"",IF(OR(A398="",B398="",C398="",H398=""),"Faltan datos",IF(COUNTIF($A$7:$A$2006,A398)&gt;1,"ID duplicado",IF(OR(B398&lt;DATE(Configuración!$C$5,1,1),B398&gt;=DATE(Configuración!$C$5+1,1,1)),"Fecha fuera del año",IF(OR(H398&lt;0,I398&lt;0),"Revisar signo",IF(AND(C398&lt;&gt;"Gasto",I398&lt;&gt;0),"IVA solo en Gasto",IF(AND(C398="Gasto",D398=""),"Falta categoría","OK")))))))))</f>
        <v/>
      </c>
    </row>
    <row r="399" spans="1:12" ht="22" customHeight="1">
      <c r="A399" s="3"/>
      <c r="B399" s="7"/>
      <c r="C399" s="3"/>
      <c r="D399" s="3"/>
      <c r="E399" s="3"/>
      <c r="F399" s="3"/>
      <c r="G399" s="3"/>
      <c r="H399" s="4"/>
      <c r="I399" s="4"/>
      <c r="J399" s="3"/>
      <c r="K399" s="8" t="str">
        <f t="shared" si="6"/>
        <v/>
      </c>
      <c r="L399" s="1" t="str">
        <f>IF(COUNTA(A399:J399)=0,"",IF(OR(AND(C399&lt;&gt;"Gasto",C399&lt;&gt;"Pago proveedor",C399&lt;&gt;"Retiro familiar",C399&lt;&gt;"Aportación",C399&lt;&gt;"Pago activo",C399&lt;&gt;"ISR devengado",C399&lt;&gt;"Pago ISR",C399&lt;&gt;"Pago IVA",C399&lt;&gt;"Compensación ISR",C399&lt;&gt;"Compensación IVA"),AND(C399="Gasto",D399&lt;&gt;"Costos clínicos",D399&lt;&gt;"Remuneración familiar",D399&lt;&gt;"Nómina y honorarios",D399&lt;&gt;"Renta",D399&lt;&gt;"Marketing",D399&lt;&gt;"Servicios y software",D399&lt;&gt;"Mantenimiento",D399&lt;&gt;"Otros",D399&lt;&gt;"Intereses")),"Tipo o categoría inválido",IF(COUNTA(A399:J399)=0,"",IF(OR(A399="",B399="",C399="",H399=""),"Faltan datos",IF(COUNTIF($A$7:$A$2006,A399)&gt;1,"ID duplicado",IF(OR(B399&lt;DATE(Configuración!$C$5,1,1),B399&gt;=DATE(Configuración!$C$5+1,1,1)),"Fecha fuera del año",IF(OR(H399&lt;0,I399&lt;0),"Revisar signo",IF(AND(C399&lt;&gt;"Gasto",I399&lt;&gt;0),"IVA solo en Gasto",IF(AND(C399="Gasto",D399=""),"Falta categoría","OK")))))))))</f>
        <v/>
      </c>
    </row>
    <row r="400" spans="1:12" ht="22" customHeight="1">
      <c r="A400" s="3"/>
      <c r="B400" s="7"/>
      <c r="C400" s="3"/>
      <c r="D400" s="3"/>
      <c r="E400" s="3"/>
      <c r="F400" s="3"/>
      <c r="G400" s="3"/>
      <c r="H400" s="4"/>
      <c r="I400" s="4"/>
      <c r="J400" s="3"/>
      <c r="K400" s="8" t="str">
        <f t="shared" si="6"/>
        <v/>
      </c>
      <c r="L400" s="1" t="str">
        <f>IF(COUNTA(A400:J400)=0,"",IF(OR(AND(C400&lt;&gt;"Gasto",C400&lt;&gt;"Pago proveedor",C400&lt;&gt;"Retiro familiar",C400&lt;&gt;"Aportación",C400&lt;&gt;"Pago activo",C400&lt;&gt;"ISR devengado",C400&lt;&gt;"Pago ISR",C400&lt;&gt;"Pago IVA",C400&lt;&gt;"Compensación ISR",C400&lt;&gt;"Compensación IVA"),AND(C400="Gasto",D400&lt;&gt;"Costos clínicos",D400&lt;&gt;"Remuneración familiar",D400&lt;&gt;"Nómina y honorarios",D400&lt;&gt;"Renta",D400&lt;&gt;"Marketing",D400&lt;&gt;"Servicios y software",D400&lt;&gt;"Mantenimiento",D400&lt;&gt;"Otros",D400&lt;&gt;"Intereses")),"Tipo o categoría inválido",IF(COUNTA(A400:J400)=0,"",IF(OR(A400="",B400="",C400="",H400=""),"Faltan datos",IF(COUNTIF($A$7:$A$2006,A400)&gt;1,"ID duplicado",IF(OR(B400&lt;DATE(Configuración!$C$5,1,1),B400&gt;=DATE(Configuración!$C$5+1,1,1)),"Fecha fuera del año",IF(OR(H400&lt;0,I400&lt;0),"Revisar signo",IF(AND(C400&lt;&gt;"Gasto",I400&lt;&gt;0),"IVA solo en Gasto",IF(AND(C400="Gasto",D400=""),"Falta categoría","OK")))))))))</f>
        <v/>
      </c>
    </row>
    <row r="401" spans="1:12" ht="22" customHeight="1">
      <c r="A401" s="3"/>
      <c r="B401" s="7"/>
      <c r="C401" s="3"/>
      <c r="D401" s="3"/>
      <c r="E401" s="3"/>
      <c r="F401" s="3"/>
      <c r="G401" s="3"/>
      <c r="H401" s="4"/>
      <c r="I401" s="4"/>
      <c r="J401" s="3"/>
      <c r="K401" s="8" t="str">
        <f t="shared" si="6"/>
        <v/>
      </c>
      <c r="L401" s="1" t="str">
        <f>IF(COUNTA(A401:J401)=0,"",IF(OR(AND(C401&lt;&gt;"Gasto",C401&lt;&gt;"Pago proveedor",C401&lt;&gt;"Retiro familiar",C401&lt;&gt;"Aportación",C401&lt;&gt;"Pago activo",C401&lt;&gt;"ISR devengado",C401&lt;&gt;"Pago ISR",C401&lt;&gt;"Pago IVA",C401&lt;&gt;"Compensación ISR",C401&lt;&gt;"Compensación IVA"),AND(C401="Gasto",D401&lt;&gt;"Costos clínicos",D401&lt;&gt;"Remuneración familiar",D401&lt;&gt;"Nómina y honorarios",D401&lt;&gt;"Renta",D401&lt;&gt;"Marketing",D401&lt;&gt;"Servicios y software",D401&lt;&gt;"Mantenimiento",D401&lt;&gt;"Otros",D401&lt;&gt;"Intereses")),"Tipo o categoría inválido",IF(COUNTA(A401:J401)=0,"",IF(OR(A401="",B401="",C401="",H401=""),"Faltan datos",IF(COUNTIF($A$7:$A$2006,A401)&gt;1,"ID duplicado",IF(OR(B401&lt;DATE(Configuración!$C$5,1,1),B401&gt;=DATE(Configuración!$C$5+1,1,1)),"Fecha fuera del año",IF(OR(H401&lt;0,I401&lt;0),"Revisar signo",IF(AND(C401&lt;&gt;"Gasto",I401&lt;&gt;0),"IVA solo en Gasto",IF(AND(C401="Gasto",D401=""),"Falta categoría","OK")))))))))</f>
        <v/>
      </c>
    </row>
    <row r="402" spans="1:12" ht="22" customHeight="1">
      <c r="A402" s="3"/>
      <c r="B402" s="7"/>
      <c r="C402" s="3"/>
      <c r="D402" s="3"/>
      <c r="E402" s="3"/>
      <c r="F402" s="3"/>
      <c r="G402" s="3"/>
      <c r="H402" s="4"/>
      <c r="I402" s="4"/>
      <c r="J402" s="3"/>
      <c r="K402" s="8" t="str">
        <f t="shared" si="6"/>
        <v/>
      </c>
      <c r="L402" s="1" t="str">
        <f>IF(COUNTA(A402:J402)=0,"",IF(OR(AND(C402&lt;&gt;"Gasto",C402&lt;&gt;"Pago proveedor",C402&lt;&gt;"Retiro familiar",C402&lt;&gt;"Aportación",C402&lt;&gt;"Pago activo",C402&lt;&gt;"ISR devengado",C402&lt;&gt;"Pago ISR",C402&lt;&gt;"Pago IVA",C402&lt;&gt;"Compensación ISR",C402&lt;&gt;"Compensación IVA"),AND(C402="Gasto",D402&lt;&gt;"Costos clínicos",D402&lt;&gt;"Remuneración familiar",D402&lt;&gt;"Nómina y honorarios",D402&lt;&gt;"Renta",D402&lt;&gt;"Marketing",D402&lt;&gt;"Servicios y software",D402&lt;&gt;"Mantenimiento",D402&lt;&gt;"Otros",D402&lt;&gt;"Intereses")),"Tipo o categoría inválido",IF(COUNTA(A402:J402)=0,"",IF(OR(A402="",B402="",C402="",H402=""),"Faltan datos",IF(COUNTIF($A$7:$A$2006,A402)&gt;1,"ID duplicado",IF(OR(B402&lt;DATE(Configuración!$C$5,1,1),B402&gt;=DATE(Configuración!$C$5+1,1,1)),"Fecha fuera del año",IF(OR(H402&lt;0,I402&lt;0),"Revisar signo",IF(AND(C402&lt;&gt;"Gasto",I402&lt;&gt;0),"IVA solo en Gasto",IF(AND(C402="Gasto",D402=""),"Falta categoría","OK")))))))))</f>
        <v/>
      </c>
    </row>
    <row r="403" spans="1:12" ht="22" customHeight="1">
      <c r="A403" s="3"/>
      <c r="B403" s="7"/>
      <c r="C403" s="3"/>
      <c r="D403" s="3"/>
      <c r="E403" s="3"/>
      <c r="F403" s="3"/>
      <c r="G403" s="3"/>
      <c r="H403" s="4"/>
      <c r="I403" s="4"/>
      <c r="J403" s="3"/>
      <c r="K403" s="8" t="str">
        <f t="shared" si="6"/>
        <v/>
      </c>
      <c r="L403" s="1" t="str">
        <f>IF(COUNTA(A403:J403)=0,"",IF(OR(AND(C403&lt;&gt;"Gasto",C403&lt;&gt;"Pago proveedor",C403&lt;&gt;"Retiro familiar",C403&lt;&gt;"Aportación",C403&lt;&gt;"Pago activo",C403&lt;&gt;"ISR devengado",C403&lt;&gt;"Pago ISR",C403&lt;&gt;"Pago IVA",C403&lt;&gt;"Compensación ISR",C403&lt;&gt;"Compensación IVA"),AND(C403="Gasto",D403&lt;&gt;"Costos clínicos",D403&lt;&gt;"Remuneración familiar",D403&lt;&gt;"Nómina y honorarios",D403&lt;&gt;"Renta",D403&lt;&gt;"Marketing",D403&lt;&gt;"Servicios y software",D403&lt;&gt;"Mantenimiento",D403&lt;&gt;"Otros",D403&lt;&gt;"Intereses")),"Tipo o categoría inválido",IF(COUNTA(A403:J403)=0,"",IF(OR(A403="",B403="",C403="",H403=""),"Faltan datos",IF(COUNTIF($A$7:$A$2006,A403)&gt;1,"ID duplicado",IF(OR(B403&lt;DATE(Configuración!$C$5,1,1),B403&gt;=DATE(Configuración!$C$5+1,1,1)),"Fecha fuera del año",IF(OR(H403&lt;0,I403&lt;0),"Revisar signo",IF(AND(C403&lt;&gt;"Gasto",I403&lt;&gt;0),"IVA solo en Gasto",IF(AND(C403="Gasto",D403=""),"Falta categoría","OK")))))))))</f>
        <v/>
      </c>
    </row>
    <row r="404" spans="1:12" ht="22" customHeight="1">
      <c r="A404" s="3"/>
      <c r="B404" s="7"/>
      <c r="C404" s="3"/>
      <c r="D404" s="3"/>
      <c r="E404" s="3"/>
      <c r="F404" s="3"/>
      <c r="G404" s="3"/>
      <c r="H404" s="4"/>
      <c r="I404" s="4"/>
      <c r="J404" s="3"/>
      <c r="K404" s="8" t="str">
        <f t="shared" si="6"/>
        <v/>
      </c>
      <c r="L404" s="1" t="str">
        <f>IF(COUNTA(A404:J404)=0,"",IF(OR(AND(C404&lt;&gt;"Gasto",C404&lt;&gt;"Pago proveedor",C404&lt;&gt;"Retiro familiar",C404&lt;&gt;"Aportación",C404&lt;&gt;"Pago activo",C404&lt;&gt;"ISR devengado",C404&lt;&gt;"Pago ISR",C404&lt;&gt;"Pago IVA",C404&lt;&gt;"Compensación ISR",C404&lt;&gt;"Compensación IVA"),AND(C404="Gasto",D404&lt;&gt;"Costos clínicos",D404&lt;&gt;"Remuneración familiar",D404&lt;&gt;"Nómina y honorarios",D404&lt;&gt;"Renta",D404&lt;&gt;"Marketing",D404&lt;&gt;"Servicios y software",D404&lt;&gt;"Mantenimiento",D404&lt;&gt;"Otros",D404&lt;&gt;"Intereses")),"Tipo o categoría inválido",IF(COUNTA(A404:J404)=0,"",IF(OR(A404="",B404="",C404="",H404=""),"Faltan datos",IF(COUNTIF($A$7:$A$2006,A404)&gt;1,"ID duplicado",IF(OR(B404&lt;DATE(Configuración!$C$5,1,1),B404&gt;=DATE(Configuración!$C$5+1,1,1)),"Fecha fuera del año",IF(OR(H404&lt;0,I404&lt;0),"Revisar signo",IF(AND(C404&lt;&gt;"Gasto",I404&lt;&gt;0),"IVA solo en Gasto",IF(AND(C404="Gasto",D404=""),"Falta categoría","OK")))))))))</f>
        <v/>
      </c>
    </row>
    <row r="405" spans="1:12" ht="22" customHeight="1">
      <c r="A405" s="3"/>
      <c r="B405" s="7"/>
      <c r="C405" s="3"/>
      <c r="D405" s="3"/>
      <c r="E405" s="3"/>
      <c r="F405" s="3"/>
      <c r="G405" s="3"/>
      <c r="H405" s="4"/>
      <c r="I405" s="4"/>
      <c r="J405" s="3"/>
      <c r="K405" s="8" t="str">
        <f t="shared" si="6"/>
        <v/>
      </c>
      <c r="L405" s="1" t="str">
        <f>IF(COUNTA(A405:J405)=0,"",IF(OR(AND(C405&lt;&gt;"Gasto",C405&lt;&gt;"Pago proveedor",C405&lt;&gt;"Retiro familiar",C405&lt;&gt;"Aportación",C405&lt;&gt;"Pago activo",C405&lt;&gt;"ISR devengado",C405&lt;&gt;"Pago ISR",C405&lt;&gt;"Pago IVA",C405&lt;&gt;"Compensación ISR",C405&lt;&gt;"Compensación IVA"),AND(C405="Gasto",D405&lt;&gt;"Costos clínicos",D405&lt;&gt;"Remuneración familiar",D405&lt;&gt;"Nómina y honorarios",D405&lt;&gt;"Renta",D405&lt;&gt;"Marketing",D405&lt;&gt;"Servicios y software",D405&lt;&gt;"Mantenimiento",D405&lt;&gt;"Otros",D405&lt;&gt;"Intereses")),"Tipo o categoría inválido",IF(COUNTA(A405:J405)=0,"",IF(OR(A405="",B405="",C405="",H405=""),"Faltan datos",IF(COUNTIF($A$7:$A$2006,A405)&gt;1,"ID duplicado",IF(OR(B405&lt;DATE(Configuración!$C$5,1,1),B405&gt;=DATE(Configuración!$C$5+1,1,1)),"Fecha fuera del año",IF(OR(H405&lt;0,I405&lt;0),"Revisar signo",IF(AND(C405&lt;&gt;"Gasto",I405&lt;&gt;0),"IVA solo en Gasto",IF(AND(C405="Gasto",D405=""),"Falta categoría","OK")))))))))</f>
        <v/>
      </c>
    </row>
    <row r="406" spans="1:12" ht="22" customHeight="1">
      <c r="A406" s="3"/>
      <c r="B406" s="7"/>
      <c r="C406" s="3"/>
      <c r="D406" s="3"/>
      <c r="E406" s="3"/>
      <c r="F406" s="3"/>
      <c r="G406" s="3"/>
      <c r="H406" s="4"/>
      <c r="I406" s="4"/>
      <c r="J406" s="3"/>
      <c r="K406" s="8" t="str">
        <f t="shared" si="6"/>
        <v/>
      </c>
      <c r="L406" s="1" t="str">
        <f>IF(COUNTA(A406:J406)=0,"",IF(OR(AND(C406&lt;&gt;"Gasto",C406&lt;&gt;"Pago proveedor",C406&lt;&gt;"Retiro familiar",C406&lt;&gt;"Aportación",C406&lt;&gt;"Pago activo",C406&lt;&gt;"ISR devengado",C406&lt;&gt;"Pago ISR",C406&lt;&gt;"Pago IVA",C406&lt;&gt;"Compensación ISR",C406&lt;&gt;"Compensación IVA"),AND(C406="Gasto",D406&lt;&gt;"Costos clínicos",D406&lt;&gt;"Remuneración familiar",D406&lt;&gt;"Nómina y honorarios",D406&lt;&gt;"Renta",D406&lt;&gt;"Marketing",D406&lt;&gt;"Servicios y software",D406&lt;&gt;"Mantenimiento",D406&lt;&gt;"Otros",D406&lt;&gt;"Intereses")),"Tipo o categoría inválido",IF(COUNTA(A406:J406)=0,"",IF(OR(A406="",B406="",C406="",H406=""),"Faltan datos",IF(COUNTIF($A$7:$A$2006,A406)&gt;1,"ID duplicado",IF(OR(B406&lt;DATE(Configuración!$C$5,1,1),B406&gt;=DATE(Configuración!$C$5+1,1,1)),"Fecha fuera del año",IF(OR(H406&lt;0,I406&lt;0),"Revisar signo",IF(AND(C406&lt;&gt;"Gasto",I406&lt;&gt;0),"IVA solo en Gasto",IF(AND(C406="Gasto",D406=""),"Falta categoría","OK")))))))))</f>
        <v/>
      </c>
    </row>
    <row r="407" spans="1:12" ht="22" customHeight="1">
      <c r="A407" s="3"/>
      <c r="B407" s="7"/>
      <c r="C407" s="3"/>
      <c r="D407" s="3"/>
      <c r="E407" s="3"/>
      <c r="F407" s="3"/>
      <c r="G407" s="3"/>
      <c r="H407" s="4"/>
      <c r="I407" s="4"/>
      <c r="J407" s="3"/>
      <c r="K407" s="8" t="str">
        <f t="shared" si="6"/>
        <v/>
      </c>
      <c r="L407" s="1" t="str">
        <f>IF(COUNTA(A407:J407)=0,"",IF(OR(AND(C407&lt;&gt;"Gasto",C407&lt;&gt;"Pago proveedor",C407&lt;&gt;"Retiro familiar",C407&lt;&gt;"Aportación",C407&lt;&gt;"Pago activo",C407&lt;&gt;"ISR devengado",C407&lt;&gt;"Pago ISR",C407&lt;&gt;"Pago IVA",C407&lt;&gt;"Compensación ISR",C407&lt;&gt;"Compensación IVA"),AND(C407="Gasto",D407&lt;&gt;"Costos clínicos",D407&lt;&gt;"Remuneración familiar",D407&lt;&gt;"Nómina y honorarios",D407&lt;&gt;"Renta",D407&lt;&gt;"Marketing",D407&lt;&gt;"Servicios y software",D407&lt;&gt;"Mantenimiento",D407&lt;&gt;"Otros",D407&lt;&gt;"Intereses")),"Tipo o categoría inválido",IF(COUNTA(A407:J407)=0,"",IF(OR(A407="",B407="",C407="",H407=""),"Faltan datos",IF(COUNTIF($A$7:$A$2006,A407)&gt;1,"ID duplicado",IF(OR(B407&lt;DATE(Configuración!$C$5,1,1),B407&gt;=DATE(Configuración!$C$5+1,1,1)),"Fecha fuera del año",IF(OR(H407&lt;0,I407&lt;0),"Revisar signo",IF(AND(C407&lt;&gt;"Gasto",I407&lt;&gt;0),"IVA solo en Gasto",IF(AND(C407="Gasto",D407=""),"Falta categoría","OK")))))))))</f>
        <v/>
      </c>
    </row>
    <row r="408" spans="1:12" ht="22" customHeight="1">
      <c r="A408" s="3"/>
      <c r="B408" s="7"/>
      <c r="C408" s="3"/>
      <c r="D408" s="3"/>
      <c r="E408" s="3"/>
      <c r="F408" s="3"/>
      <c r="G408" s="3"/>
      <c r="H408" s="4"/>
      <c r="I408" s="4"/>
      <c r="J408" s="3"/>
      <c r="K408" s="8" t="str">
        <f t="shared" si="6"/>
        <v/>
      </c>
      <c r="L408" s="1" t="str">
        <f>IF(COUNTA(A408:J408)=0,"",IF(OR(AND(C408&lt;&gt;"Gasto",C408&lt;&gt;"Pago proveedor",C408&lt;&gt;"Retiro familiar",C408&lt;&gt;"Aportación",C408&lt;&gt;"Pago activo",C408&lt;&gt;"ISR devengado",C408&lt;&gt;"Pago ISR",C408&lt;&gt;"Pago IVA",C408&lt;&gt;"Compensación ISR",C408&lt;&gt;"Compensación IVA"),AND(C408="Gasto",D408&lt;&gt;"Costos clínicos",D408&lt;&gt;"Remuneración familiar",D408&lt;&gt;"Nómina y honorarios",D408&lt;&gt;"Renta",D408&lt;&gt;"Marketing",D408&lt;&gt;"Servicios y software",D408&lt;&gt;"Mantenimiento",D408&lt;&gt;"Otros",D408&lt;&gt;"Intereses")),"Tipo o categoría inválido",IF(COUNTA(A408:J408)=0,"",IF(OR(A408="",B408="",C408="",H408=""),"Faltan datos",IF(COUNTIF($A$7:$A$2006,A408)&gt;1,"ID duplicado",IF(OR(B408&lt;DATE(Configuración!$C$5,1,1),B408&gt;=DATE(Configuración!$C$5+1,1,1)),"Fecha fuera del año",IF(OR(H408&lt;0,I408&lt;0),"Revisar signo",IF(AND(C408&lt;&gt;"Gasto",I408&lt;&gt;0),"IVA solo en Gasto",IF(AND(C408="Gasto",D408=""),"Falta categoría","OK")))))))))</f>
        <v/>
      </c>
    </row>
    <row r="409" spans="1:12" ht="22" customHeight="1">
      <c r="A409" s="3"/>
      <c r="B409" s="7"/>
      <c r="C409" s="3"/>
      <c r="D409" s="3"/>
      <c r="E409" s="3"/>
      <c r="F409" s="3"/>
      <c r="G409" s="3"/>
      <c r="H409" s="4"/>
      <c r="I409" s="4"/>
      <c r="J409" s="3"/>
      <c r="K409" s="8" t="str">
        <f t="shared" si="6"/>
        <v/>
      </c>
      <c r="L409" s="1" t="str">
        <f>IF(COUNTA(A409:J409)=0,"",IF(OR(AND(C409&lt;&gt;"Gasto",C409&lt;&gt;"Pago proveedor",C409&lt;&gt;"Retiro familiar",C409&lt;&gt;"Aportación",C409&lt;&gt;"Pago activo",C409&lt;&gt;"ISR devengado",C409&lt;&gt;"Pago ISR",C409&lt;&gt;"Pago IVA",C409&lt;&gt;"Compensación ISR",C409&lt;&gt;"Compensación IVA"),AND(C409="Gasto",D409&lt;&gt;"Costos clínicos",D409&lt;&gt;"Remuneración familiar",D409&lt;&gt;"Nómina y honorarios",D409&lt;&gt;"Renta",D409&lt;&gt;"Marketing",D409&lt;&gt;"Servicios y software",D409&lt;&gt;"Mantenimiento",D409&lt;&gt;"Otros",D409&lt;&gt;"Intereses")),"Tipo o categoría inválido",IF(COUNTA(A409:J409)=0,"",IF(OR(A409="",B409="",C409="",H409=""),"Faltan datos",IF(COUNTIF($A$7:$A$2006,A409)&gt;1,"ID duplicado",IF(OR(B409&lt;DATE(Configuración!$C$5,1,1),B409&gt;=DATE(Configuración!$C$5+1,1,1)),"Fecha fuera del año",IF(OR(H409&lt;0,I409&lt;0),"Revisar signo",IF(AND(C409&lt;&gt;"Gasto",I409&lt;&gt;0),"IVA solo en Gasto",IF(AND(C409="Gasto",D409=""),"Falta categoría","OK")))))))))</f>
        <v/>
      </c>
    </row>
    <row r="410" spans="1:12" ht="22" customHeight="1">
      <c r="A410" s="3"/>
      <c r="B410" s="7"/>
      <c r="C410" s="3"/>
      <c r="D410" s="3"/>
      <c r="E410" s="3"/>
      <c r="F410" s="3"/>
      <c r="G410" s="3"/>
      <c r="H410" s="4"/>
      <c r="I410" s="4"/>
      <c r="J410" s="3"/>
      <c r="K410" s="8" t="str">
        <f t="shared" si="6"/>
        <v/>
      </c>
      <c r="L410" s="1" t="str">
        <f>IF(COUNTA(A410:J410)=0,"",IF(OR(AND(C410&lt;&gt;"Gasto",C410&lt;&gt;"Pago proveedor",C410&lt;&gt;"Retiro familiar",C410&lt;&gt;"Aportación",C410&lt;&gt;"Pago activo",C410&lt;&gt;"ISR devengado",C410&lt;&gt;"Pago ISR",C410&lt;&gt;"Pago IVA",C410&lt;&gt;"Compensación ISR",C410&lt;&gt;"Compensación IVA"),AND(C410="Gasto",D410&lt;&gt;"Costos clínicos",D410&lt;&gt;"Remuneración familiar",D410&lt;&gt;"Nómina y honorarios",D410&lt;&gt;"Renta",D410&lt;&gt;"Marketing",D410&lt;&gt;"Servicios y software",D410&lt;&gt;"Mantenimiento",D410&lt;&gt;"Otros",D410&lt;&gt;"Intereses")),"Tipo o categoría inválido",IF(COUNTA(A410:J410)=0,"",IF(OR(A410="",B410="",C410="",H410=""),"Faltan datos",IF(COUNTIF($A$7:$A$2006,A410)&gt;1,"ID duplicado",IF(OR(B410&lt;DATE(Configuración!$C$5,1,1),B410&gt;=DATE(Configuración!$C$5+1,1,1)),"Fecha fuera del año",IF(OR(H410&lt;0,I410&lt;0),"Revisar signo",IF(AND(C410&lt;&gt;"Gasto",I410&lt;&gt;0),"IVA solo en Gasto",IF(AND(C410="Gasto",D410=""),"Falta categoría","OK")))))))))</f>
        <v/>
      </c>
    </row>
    <row r="411" spans="1:12" ht="22" customHeight="1">
      <c r="A411" s="3"/>
      <c r="B411" s="7"/>
      <c r="C411" s="3"/>
      <c r="D411" s="3"/>
      <c r="E411" s="3"/>
      <c r="F411" s="3"/>
      <c r="G411" s="3"/>
      <c r="H411" s="4"/>
      <c r="I411" s="4"/>
      <c r="J411" s="3"/>
      <c r="K411" s="8" t="str">
        <f t="shared" si="6"/>
        <v/>
      </c>
      <c r="L411" s="1" t="str">
        <f>IF(COUNTA(A411:J411)=0,"",IF(OR(AND(C411&lt;&gt;"Gasto",C411&lt;&gt;"Pago proveedor",C411&lt;&gt;"Retiro familiar",C411&lt;&gt;"Aportación",C411&lt;&gt;"Pago activo",C411&lt;&gt;"ISR devengado",C411&lt;&gt;"Pago ISR",C411&lt;&gt;"Pago IVA",C411&lt;&gt;"Compensación ISR",C411&lt;&gt;"Compensación IVA"),AND(C411="Gasto",D411&lt;&gt;"Costos clínicos",D411&lt;&gt;"Remuneración familiar",D411&lt;&gt;"Nómina y honorarios",D411&lt;&gt;"Renta",D411&lt;&gt;"Marketing",D411&lt;&gt;"Servicios y software",D411&lt;&gt;"Mantenimiento",D411&lt;&gt;"Otros",D411&lt;&gt;"Intereses")),"Tipo o categoría inválido",IF(COUNTA(A411:J411)=0,"",IF(OR(A411="",B411="",C411="",H411=""),"Faltan datos",IF(COUNTIF($A$7:$A$2006,A411)&gt;1,"ID duplicado",IF(OR(B411&lt;DATE(Configuración!$C$5,1,1),B411&gt;=DATE(Configuración!$C$5+1,1,1)),"Fecha fuera del año",IF(OR(H411&lt;0,I411&lt;0),"Revisar signo",IF(AND(C411&lt;&gt;"Gasto",I411&lt;&gt;0),"IVA solo en Gasto",IF(AND(C411="Gasto",D411=""),"Falta categoría","OK")))))))))</f>
        <v/>
      </c>
    </row>
    <row r="412" spans="1:12" ht="22" customHeight="1">
      <c r="A412" s="3"/>
      <c r="B412" s="7"/>
      <c r="C412" s="3"/>
      <c r="D412" s="3"/>
      <c r="E412" s="3"/>
      <c r="F412" s="3"/>
      <c r="G412" s="3"/>
      <c r="H412" s="4"/>
      <c r="I412" s="4"/>
      <c r="J412" s="3"/>
      <c r="K412" s="8" t="str">
        <f t="shared" si="6"/>
        <v/>
      </c>
      <c r="L412" s="1" t="str">
        <f>IF(COUNTA(A412:J412)=0,"",IF(OR(AND(C412&lt;&gt;"Gasto",C412&lt;&gt;"Pago proveedor",C412&lt;&gt;"Retiro familiar",C412&lt;&gt;"Aportación",C412&lt;&gt;"Pago activo",C412&lt;&gt;"ISR devengado",C412&lt;&gt;"Pago ISR",C412&lt;&gt;"Pago IVA",C412&lt;&gt;"Compensación ISR",C412&lt;&gt;"Compensación IVA"),AND(C412="Gasto",D412&lt;&gt;"Costos clínicos",D412&lt;&gt;"Remuneración familiar",D412&lt;&gt;"Nómina y honorarios",D412&lt;&gt;"Renta",D412&lt;&gt;"Marketing",D412&lt;&gt;"Servicios y software",D412&lt;&gt;"Mantenimiento",D412&lt;&gt;"Otros",D412&lt;&gt;"Intereses")),"Tipo o categoría inválido",IF(COUNTA(A412:J412)=0,"",IF(OR(A412="",B412="",C412="",H412=""),"Faltan datos",IF(COUNTIF($A$7:$A$2006,A412)&gt;1,"ID duplicado",IF(OR(B412&lt;DATE(Configuración!$C$5,1,1),B412&gt;=DATE(Configuración!$C$5+1,1,1)),"Fecha fuera del año",IF(OR(H412&lt;0,I412&lt;0),"Revisar signo",IF(AND(C412&lt;&gt;"Gasto",I412&lt;&gt;0),"IVA solo en Gasto",IF(AND(C412="Gasto",D412=""),"Falta categoría","OK")))))))))</f>
        <v/>
      </c>
    </row>
    <row r="413" spans="1:12" ht="22" customHeight="1">
      <c r="A413" s="3"/>
      <c r="B413" s="7"/>
      <c r="C413" s="3"/>
      <c r="D413" s="3"/>
      <c r="E413" s="3"/>
      <c r="F413" s="3"/>
      <c r="G413" s="3"/>
      <c r="H413" s="4"/>
      <c r="I413" s="4"/>
      <c r="J413" s="3"/>
      <c r="K413" s="8" t="str">
        <f t="shared" si="6"/>
        <v/>
      </c>
      <c r="L413" s="1" t="str">
        <f>IF(COUNTA(A413:J413)=0,"",IF(OR(AND(C413&lt;&gt;"Gasto",C413&lt;&gt;"Pago proveedor",C413&lt;&gt;"Retiro familiar",C413&lt;&gt;"Aportación",C413&lt;&gt;"Pago activo",C413&lt;&gt;"ISR devengado",C413&lt;&gt;"Pago ISR",C413&lt;&gt;"Pago IVA",C413&lt;&gt;"Compensación ISR",C413&lt;&gt;"Compensación IVA"),AND(C413="Gasto",D413&lt;&gt;"Costos clínicos",D413&lt;&gt;"Remuneración familiar",D413&lt;&gt;"Nómina y honorarios",D413&lt;&gt;"Renta",D413&lt;&gt;"Marketing",D413&lt;&gt;"Servicios y software",D413&lt;&gt;"Mantenimiento",D413&lt;&gt;"Otros",D413&lt;&gt;"Intereses")),"Tipo o categoría inválido",IF(COUNTA(A413:J413)=0,"",IF(OR(A413="",B413="",C413="",H413=""),"Faltan datos",IF(COUNTIF($A$7:$A$2006,A413)&gt;1,"ID duplicado",IF(OR(B413&lt;DATE(Configuración!$C$5,1,1),B413&gt;=DATE(Configuración!$C$5+1,1,1)),"Fecha fuera del año",IF(OR(H413&lt;0,I413&lt;0),"Revisar signo",IF(AND(C413&lt;&gt;"Gasto",I413&lt;&gt;0),"IVA solo en Gasto",IF(AND(C413="Gasto",D413=""),"Falta categoría","OK")))))))))</f>
        <v/>
      </c>
    </row>
    <row r="414" spans="1:12" ht="22" customHeight="1">
      <c r="A414" s="3"/>
      <c r="B414" s="7"/>
      <c r="C414" s="3"/>
      <c r="D414" s="3"/>
      <c r="E414" s="3"/>
      <c r="F414" s="3"/>
      <c r="G414" s="3"/>
      <c r="H414" s="4"/>
      <c r="I414" s="4"/>
      <c r="J414" s="3"/>
      <c r="K414" s="8" t="str">
        <f t="shared" si="6"/>
        <v/>
      </c>
      <c r="L414" s="1" t="str">
        <f>IF(COUNTA(A414:J414)=0,"",IF(OR(AND(C414&lt;&gt;"Gasto",C414&lt;&gt;"Pago proveedor",C414&lt;&gt;"Retiro familiar",C414&lt;&gt;"Aportación",C414&lt;&gt;"Pago activo",C414&lt;&gt;"ISR devengado",C414&lt;&gt;"Pago ISR",C414&lt;&gt;"Pago IVA",C414&lt;&gt;"Compensación ISR",C414&lt;&gt;"Compensación IVA"),AND(C414="Gasto",D414&lt;&gt;"Costos clínicos",D414&lt;&gt;"Remuneración familiar",D414&lt;&gt;"Nómina y honorarios",D414&lt;&gt;"Renta",D414&lt;&gt;"Marketing",D414&lt;&gt;"Servicios y software",D414&lt;&gt;"Mantenimiento",D414&lt;&gt;"Otros",D414&lt;&gt;"Intereses")),"Tipo o categoría inválido",IF(COUNTA(A414:J414)=0,"",IF(OR(A414="",B414="",C414="",H414=""),"Faltan datos",IF(COUNTIF($A$7:$A$2006,A414)&gt;1,"ID duplicado",IF(OR(B414&lt;DATE(Configuración!$C$5,1,1),B414&gt;=DATE(Configuración!$C$5+1,1,1)),"Fecha fuera del año",IF(OR(H414&lt;0,I414&lt;0),"Revisar signo",IF(AND(C414&lt;&gt;"Gasto",I414&lt;&gt;0),"IVA solo en Gasto",IF(AND(C414="Gasto",D414=""),"Falta categoría","OK")))))))))</f>
        <v/>
      </c>
    </row>
    <row r="415" spans="1:12" ht="22" customHeight="1">
      <c r="A415" s="3"/>
      <c r="B415" s="7"/>
      <c r="C415" s="3"/>
      <c r="D415" s="3"/>
      <c r="E415" s="3"/>
      <c r="F415" s="3"/>
      <c r="G415" s="3"/>
      <c r="H415" s="4"/>
      <c r="I415" s="4"/>
      <c r="J415" s="3"/>
      <c r="K415" s="8" t="str">
        <f t="shared" si="6"/>
        <v/>
      </c>
      <c r="L415" s="1" t="str">
        <f>IF(COUNTA(A415:J415)=0,"",IF(OR(AND(C415&lt;&gt;"Gasto",C415&lt;&gt;"Pago proveedor",C415&lt;&gt;"Retiro familiar",C415&lt;&gt;"Aportación",C415&lt;&gt;"Pago activo",C415&lt;&gt;"ISR devengado",C415&lt;&gt;"Pago ISR",C415&lt;&gt;"Pago IVA",C415&lt;&gt;"Compensación ISR",C415&lt;&gt;"Compensación IVA"),AND(C415="Gasto",D415&lt;&gt;"Costos clínicos",D415&lt;&gt;"Remuneración familiar",D415&lt;&gt;"Nómina y honorarios",D415&lt;&gt;"Renta",D415&lt;&gt;"Marketing",D415&lt;&gt;"Servicios y software",D415&lt;&gt;"Mantenimiento",D415&lt;&gt;"Otros",D415&lt;&gt;"Intereses")),"Tipo o categoría inválido",IF(COUNTA(A415:J415)=0,"",IF(OR(A415="",B415="",C415="",H415=""),"Faltan datos",IF(COUNTIF($A$7:$A$2006,A415)&gt;1,"ID duplicado",IF(OR(B415&lt;DATE(Configuración!$C$5,1,1),B415&gt;=DATE(Configuración!$C$5+1,1,1)),"Fecha fuera del año",IF(OR(H415&lt;0,I415&lt;0),"Revisar signo",IF(AND(C415&lt;&gt;"Gasto",I415&lt;&gt;0),"IVA solo en Gasto",IF(AND(C415="Gasto",D415=""),"Falta categoría","OK")))))))))</f>
        <v/>
      </c>
    </row>
    <row r="416" spans="1:12" ht="22" customHeight="1">
      <c r="A416" s="3"/>
      <c r="B416" s="7"/>
      <c r="C416" s="3"/>
      <c r="D416" s="3"/>
      <c r="E416" s="3"/>
      <c r="F416" s="3"/>
      <c r="G416" s="3"/>
      <c r="H416" s="4"/>
      <c r="I416" s="4"/>
      <c r="J416" s="3"/>
      <c r="K416" s="8" t="str">
        <f t="shared" si="6"/>
        <v/>
      </c>
      <c r="L416" s="1" t="str">
        <f>IF(COUNTA(A416:J416)=0,"",IF(OR(AND(C416&lt;&gt;"Gasto",C416&lt;&gt;"Pago proveedor",C416&lt;&gt;"Retiro familiar",C416&lt;&gt;"Aportación",C416&lt;&gt;"Pago activo",C416&lt;&gt;"ISR devengado",C416&lt;&gt;"Pago ISR",C416&lt;&gt;"Pago IVA",C416&lt;&gt;"Compensación ISR",C416&lt;&gt;"Compensación IVA"),AND(C416="Gasto",D416&lt;&gt;"Costos clínicos",D416&lt;&gt;"Remuneración familiar",D416&lt;&gt;"Nómina y honorarios",D416&lt;&gt;"Renta",D416&lt;&gt;"Marketing",D416&lt;&gt;"Servicios y software",D416&lt;&gt;"Mantenimiento",D416&lt;&gt;"Otros",D416&lt;&gt;"Intereses")),"Tipo o categoría inválido",IF(COUNTA(A416:J416)=0,"",IF(OR(A416="",B416="",C416="",H416=""),"Faltan datos",IF(COUNTIF($A$7:$A$2006,A416)&gt;1,"ID duplicado",IF(OR(B416&lt;DATE(Configuración!$C$5,1,1),B416&gt;=DATE(Configuración!$C$5+1,1,1)),"Fecha fuera del año",IF(OR(H416&lt;0,I416&lt;0),"Revisar signo",IF(AND(C416&lt;&gt;"Gasto",I416&lt;&gt;0),"IVA solo en Gasto",IF(AND(C416="Gasto",D416=""),"Falta categoría","OK")))))))))</f>
        <v/>
      </c>
    </row>
    <row r="417" spans="1:12" ht="22" customHeight="1">
      <c r="A417" s="3"/>
      <c r="B417" s="7"/>
      <c r="C417" s="3"/>
      <c r="D417" s="3"/>
      <c r="E417" s="3"/>
      <c r="F417" s="3"/>
      <c r="G417" s="3"/>
      <c r="H417" s="4"/>
      <c r="I417" s="4"/>
      <c r="J417" s="3"/>
      <c r="K417" s="8" t="str">
        <f t="shared" si="6"/>
        <v/>
      </c>
      <c r="L417" s="1" t="str">
        <f>IF(COUNTA(A417:J417)=0,"",IF(OR(AND(C417&lt;&gt;"Gasto",C417&lt;&gt;"Pago proveedor",C417&lt;&gt;"Retiro familiar",C417&lt;&gt;"Aportación",C417&lt;&gt;"Pago activo",C417&lt;&gt;"ISR devengado",C417&lt;&gt;"Pago ISR",C417&lt;&gt;"Pago IVA",C417&lt;&gt;"Compensación ISR",C417&lt;&gt;"Compensación IVA"),AND(C417="Gasto",D417&lt;&gt;"Costos clínicos",D417&lt;&gt;"Remuneración familiar",D417&lt;&gt;"Nómina y honorarios",D417&lt;&gt;"Renta",D417&lt;&gt;"Marketing",D417&lt;&gt;"Servicios y software",D417&lt;&gt;"Mantenimiento",D417&lt;&gt;"Otros",D417&lt;&gt;"Intereses")),"Tipo o categoría inválido",IF(COUNTA(A417:J417)=0,"",IF(OR(A417="",B417="",C417="",H417=""),"Faltan datos",IF(COUNTIF($A$7:$A$2006,A417)&gt;1,"ID duplicado",IF(OR(B417&lt;DATE(Configuración!$C$5,1,1),B417&gt;=DATE(Configuración!$C$5+1,1,1)),"Fecha fuera del año",IF(OR(H417&lt;0,I417&lt;0),"Revisar signo",IF(AND(C417&lt;&gt;"Gasto",I417&lt;&gt;0),"IVA solo en Gasto",IF(AND(C417="Gasto",D417=""),"Falta categoría","OK")))))))))</f>
        <v/>
      </c>
    </row>
    <row r="418" spans="1:12" ht="22" customHeight="1">
      <c r="A418" s="3"/>
      <c r="B418" s="7"/>
      <c r="C418" s="3"/>
      <c r="D418" s="3"/>
      <c r="E418" s="3"/>
      <c r="F418" s="3"/>
      <c r="G418" s="3"/>
      <c r="H418" s="4"/>
      <c r="I418" s="4"/>
      <c r="J418" s="3"/>
      <c r="K418" s="8" t="str">
        <f t="shared" si="6"/>
        <v/>
      </c>
      <c r="L418" s="1" t="str">
        <f>IF(COUNTA(A418:J418)=0,"",IF(OR(AND(C418&lt;&gt;"Gasto",C418&lt;&gt;"Pago proveedor",C418&lt;&gt;"Retiro familiar",C418&lt;&gt;"Aportación",C418&lt;&gt;"Pago activo",C418&lt;&gt;"ISR devengado",C418&lt;&gt;"Pago ISR",C418&lt;&gt;"Pago IVA",C418&lt;&gt;"Compensación ISR",C418&lt;&gt;"Compensación IVA"),AND(C418="Gasto",D418&lt;&gt;"Costos clínicos",D418&lt;&gt;"Remuneración familiar",D418&lt;&gt;"Nómina y honorarios",D418&lt;&gt;"Renta",D418&lt;&gt;"Marketing",D418&lt;&gt;"Servicios y software",D418&lt;&gt;"Mantenimiento",D418&lt;&gt;"Otros",D418&lt;&gt;"Intereses")),"Tipo o categoría inválido",IF(COUNTA(A418:J418)=0,"",IF(OR(A418="",B418="",C418="",H418=""),"Faltan datos",IF(COUNTIF($A$7:$A$2006,A418)&gt;1,"ID duplicado",IF(OR(B418&lt;DATE(Configuración!$C$5,1,1),B418&gt;=DATE(Configuración!$C$5+1,1,1)),"Fecha fuera del año",IF(OR(H418&lt;0,I418&lt;0),"Revisar signo",IF(AND(C418&lt;&gt;"Gasto",I418&lt;&gt;0),"IVA solo en Gasto",IF(AND(C418="Gasto",D418=""),"Falta categoría","OK")))))))))</f>
        <v/>
      </c>
    </row>
    <row r="419" spans="1:12" ht="22" customHeight="1">
      <c r="A419" s="3"/>
      <c r="B419" s="7"/>
      <c r="C419" s="3"/>
      <c r="D419" s="3"/>
      <c r="E419" s="3"/>
      <c r="F419" s="3"/>
      <c r="G419" s="3"/>
      <c r="H419" s="4"/>
      <c r="I419" s="4"/>
      <c r="J419" s="3"/>
      <c r="K419" s="8" t="str">
        <f t="shared" si="6"/>
        <v/>
      </c>
      <c r="L419" s="1" t="str">
        <f>IF(COUNTA(A419:J419)=0,"",IF(OR(AND(C419&lt;&gt;"Gasto",C419&lt;&gt;"Pago proveedor",C419&lt;&gt;"Retiro familiar",C419&lt;&gt;"Aportación",C419&lt;&gt;"Pago activo",C419&lt;&gt;"ISR devengado",C419&lt;&gt;"Pago ISR",C419&lt;&gt;"Pago IVA",C419&lt;&gt;"Compensación ISR",C419&lt;&gt;"Compensación IVA"),AND(C419="Gasto",D419&lt;&gt;"Costos clínicos",D419&lt;&gt;"Remuneración familiar",D419&lt;&gt;"Nómina y honorarios",D419&lt;&gt;"Renta",D419&lt;&gt;"Marketing",D419&lt;&gt;"Servicios y software",D419&lt;&gt;"Mantenimiento",D419&lt;&gt;"Otros",D419&lt;&gt;"Intereses")),"Tipo o categoría inválido",IF(COUNTA(A419:J419)=0,"",IF(OR(A419="",B419="",C419="",H419=""),"Faltan datos",IF(COUNTIF($A$7:$A$2006,A419)&gt;1,"ID duplicado",IF(OR(B419&lt;DATE(Configuración!$C$5,1,1),B419&gt;=DATE(Configuración!$C$5+1,1,1)),"Fecha fuera del año",IF(OR(H419&lt;0,I419&lt;0),"Revisar signo",IF(AND(C419&lt;&gt;"Gasto",I419&lt;&gt;0),"IVA solo en Gasto",IF(AND(C419="Gasto",D419=""),"Falta categoría","OK")))))))))</f>
        <v/>
      </c>
    </row>
    <row r="420" spans="1:12" ht="22" customHeight="1">
      <c r="A420" s="3"/>
      <c r="B420" s="7"/>
      <c r="C420" s="3"/>
      <c r="D420" s="3"/>
      <c r="E420" s="3"/>
      <c r="F420" s="3"/>
      <c r="G420" s="3"/>
      <c r="H420" s="4"/>
      <c r="I420" s="4"/>
      <c r="J420" s="3"/>
      <c r="K420" s="8" t="str">
        <f t="shared" si="6"/>
        <v/>
      </c>
      <c r="L420" s="1" t="str">
        <f>IF(COUNTA(A420:J420)=0,"",IF(OR(AND(C420&lt;&gt;"Gasto",C420&lt;&gt;"Pago proveedor",C420&lt;&gt;"Retiro familiar",C420&lt;&gt;"Aportación",C420&lt;&gt;"Pago activo",C420&lt;&gt;"ISR devengado",C420&lt;&gt;"Pago ISR",C420&lt;&gt;"Pago IVA",C420&lt;&gt;"Compensación ISR",C420&lt;&gt;"Compensación IVA"),AND(C420="Gasto",D420&lt;&gt;"Costos clínicos",D420&lt;&gt;"Remuneración familiar",D420&lt;&gt;"Nómina y honorarios",D420&lt;&gt;"Renta",D420&lt;&gt;"Marketing",D420&lt;&gt;"Servicios y software",D420&lt;&gt;"Mantenimiento",D420&lt;&gt;"Otros",D420&lt;&gt;"Intereses")),"Tipo o categoría inválido",IF(COUNTA(A420:J420)=0,"",IF(OR(A420="",B420="",C420="",H420=""),"Faltan datos",IF(COUNTIF($A$7:$A$2006,A420)&gt;1,"ID duplicado",IF(OR(B420&lt;DATE(Configuración!$C$5,1,1),B420&gt;=DATE(Configuración!$C$5+1,1,1)),"Fecha fuera del año",IF(OR(H420&lt;0,I420&lt;0),"Revisar signo",IF(AND(C420&lt;&gt;"Gasto",I420&lt;&gt;0),"IVA solo en Gasto",IF(AND(C420="Gasto",D420=""),"Falta categoría","OK")))))))))</f>
        <v/>
      </c>
    </row>
    <row r="421" spans="1:12" ht="22" customHeight="1">
      <c r="A421" s="3"/>
      <c r="B421" s="7"/>
      <c r="C421" s="3"/>
      <c r="D421" s="3"/>
      <c r="E421" s="3"/>
      <c r="F421" s="3"/>
      <c r="G421" s="3"/>
      <c r="H421" s="4"/>
      <c r="I421" s="4"/>
      <c r="J421" s="3"/>
      <c r="K421" s="8" t="str">
        <f t="shared" si="6"/>
        <v/>
      </c>
      <c r="L421" s="1" t="str">
        <f>IF(COUNTA(A421:J421)=0,"",IF(OR(AND(C421&lt;&gt;"Gasto",C421&lt;&gt;"Pago proveedor",C421&lt;&gt;"Retiro familiar",C421&lt;&gt;"Aportación",C421&lt;&gt;"Pago activo",C421&lt;&gt;"ISR devengado",C421&lt;&gt;"Pago ISR",C421&lt;&gt;"Pago IVA",C421&lt;&gt;"Compensación ISR",C421&lt;&gt;"Compensación IVA"),AND(C421="Gasto",D421&lt;&gt;"Costos clínicos",D421&lt;&gt;"Remuneración familiar",D421&lt;&gt;"Nómina y honorarios",D421&lt;&gt;"Renta",D421&lt;&gt;"Marketing",D421&lt;&gt;"Servicios y software",D421&lt;&gt;"Mantenimiento",D421&lt;&gt;"Otros",D421&lt;&gt;"Intereses")),"Tipo o categoría inválido",IF(COUNTA(A421:J421)=0,"",IF(OR(A421="",B421="",C421="",H421=""),"Faltan datos",IF(COUNTIF($A$7:$A$2006,A421)&gt;1,"ID duplicado",IF(OR(B421&lt;DATE(Configuración!$C$5,1,1),B421&gt;=DATE(Configuración!$C$5+1,1,1)),"Fecha fuera del año",IF(OR(H421&lt;0,I421&lt;0),"Revisar signo",IF(AND(C421&lt;&gt;"Gasto",I421&lt;&gt;0),"IVA solo en Gasto",IF(AND(C421="Gasto",D421=""),"Falta categoría","OK")))))))))</f>
        <v/>
      </c>
    </row>
    <row r="422" spans="1:12" ht="22" customHeight="1">
      <c r="A422" s="3"/>
      <c r="B422" s="7"/>
      <c r="C422" s="3"/>
      <c r="D422" s="3"/>
      <c r="E422" s="3"/>
      <c r="F422" s="3"/>
      <c r="G422" s="3"/>
      <c r="H422" s="4"/>
      <c r="I422" s="4"/>
      <c r="J422" s="3"/>
      <c r="K422" s="8" t="str">
        <f t="shared" si="6"/>
        <v/>
      </c>
      <c r="L422" s="1" t="str">
        <f>IF(COUNTA(A422:J422)=0,"",IF(OR(AND(C422&lt;&gt;"Gasto",C422&lt;&gt;"Pago proveedor",C422&lt;&gt;"Retiro familiar",C422&lt;&gt;"Aportación",C422&lt;&gt;"Pago activo",C422&lt;&gt;"ISR devengado",C422&lt;&gt;"Pago ISR",C422&lt;&gt;"Pago IVA",C422&lt;&gt;"Compensación ISR",C422&lt;&gt;"Compensación IVA"),AND(C422="Gasto",D422&lt;&gt;"Costos clínicos",D422&lt;&gt;"Remuneración familiar",D422&lt;&gt;"Nómina y honorarios",D422&lt;&gt;"Renta",D422&lt;&gt;"Marketing",D422&lt;&gt;"Servicios y software",D422&lt;&gt;"Mantenimiento",D422&lt;&gt;"Otros",D422&lt;&gt;"Intereses")),"Tipo o categoría inválido",IF(COUNTA(A422:J422)=0,"",IF(OR(A422="",B422="",C422="",H422=""),"Faltan datos",IF(COUNTIF($A$7:$A$2006,A422)&gt;1,"ID duplicado",IF(OR(B422&lt;DATE(Configuración!$C$5,1,1),B422&gt;=DATE(Configuración!$C$5+1,1,1)),"Fecha fuera del año",IF(OR(H422&lt;0,I422&lt;0),"Revisar signo",IF(AND(C422&lt;&gt;"Gasto",I422&lt;&gt;0),"IVA solo en Gasto",IF(AND(C422="Gasto",D422=""),"Falta categoría","OK")))))))))</f>
        <v/>
      </c>
    </row>
    <row r="423" spans="1:12" ht="22" customHeight="1">
      <c r="A423" s="3"/>
      <c r="B423" s="7"/>
      <c r="C423" s="3"/>
      <c r="D423" s="3"/>
      <c r="E423" s="3"/>
      <c r="F423" s="3"/>
      <c r="G423" s="3"/>
      <c r="H423" s="4"/>
      <c r="I423" s="4"/>
      <c r="J423" s="3"/>
      <c r="K423" s="8" t="str">
        <f t="shared" si="6"/>
        <v/>
      </c>
      <c r="L423" s="1" t="str">
        <f>IF(COUNTA(A423:J423)=0,"",IF(OR(AND(C423&lt;&gt;"Gasto",C423&lt;&gt;"Pago proveedor",C423&lt;&gt;"Retiro familiar",C423&lt;&gt;"Aportación",C423&lt;&gt;"Pago activo",C423&lt;&gt;"ISR devengado",C423&lt;&gt;"Pago ISR",C423&lt;&gt;"Pago IVA",C423&lt;&gt;"Compensación ISR",C423&lt;&gt;"Compensación IVA"),AND(C423="Gasto",D423&lt;&gt;"Costos clínicos",D423&lt;&gt;"Remuneración familiar",D423&lt;&gt;"Nómina y honorarios",D423&lt;&gt;"Renta",D423&lt;&gt;"Marketing",D423&lt;&gt;"Servicios y software",D423&lt;&gt;"Mantenimiento",D423&lt;&gt;"Otros",D423&lt;&gt;"Intereses")),"Tipo o categoría inválido",IF(COUNTA(A423:J423)=0,"",IF(OR(A423="",B423="",C423="",H423=""),"Faltan datos",IF(COUNTIF($A$7:$A$2006,A423)&gt;1,"ID duplicado",IF(OR(B423&lt;DATE(Configuración!$C$5,1,1),B423&gt;=DATE(Configuración!$C$5+1,1,1)),"Fecha fuera del año",IF(OR(H423&lt;0,I423&lt;0),"Revisar signo",IF(AND(C423&lt;&gt;"Gasto",I423&lt;&gt;0),"IVA solo en Gasto",IF(AND(C423="Gasto",D423=""),"Falta categoría","OK")))))))))</f>
        <v/>
      </c>
    </row>
    <row r="424" spans="1:12" ht="22" customHeight="1">
      <c r="A424" s="3"/>
      <c r="B424" s="7"/>
      <c r="C424" s="3"/>
      <c r="D424" s="3"/>
      <c r="E424" s="3"/>
      <c r="F424" s="3"/>
      <c r="G424" s="3"/>
      <c r="H424" s="4"/>
      <c r="I424" s="4"/>
      <c r="J424" s="3"/>
      <c r="K424" s="8" t="str">
        <f t="shared" si="6"/>
        <v/>
      </c>
      <c r="L424" s="1" t="str">
        <f>IF(COUNTA(A424:J424)=0,"",IF(OR(AND(C424&lt;&gt;"Gasto",C424&lt;&gt;"Pago proveedor",C424&lt;&gt;"Retiro familiar",C424&lt;&gt;"Aportación",C424&lt;&gt;"Pago activo",C424&lt;&gt;"ISR devengado",C424&lt;&gt;"Pago ISR",C424&lt;&gt;"Pago IVA",C424&lt;&gt;"Compensación ISR",C424&lt;&gt;"Compensación IVA"),AND(C424="Gasto",D424&lt;&gt;"Costos clínicos",D424&lt;&gt;"Remuneración familiar",D424&lt;&gt;"Nómina y honorarios",D424&lt;&gt;"Renta",D424&lt;&gt;"Marketing",D424&lt;&gt;"Servicios y software",D424&lt;&gt;"Mantenimiento",D424&lt;&gt;"Otros",D424&lt;&gt;"Intereses")),"Tipo o categoría inválido",IF(COUNTA(A424:J424)=0,"",IF(OR(A424="",B424="",C424="",H424=""),"Faltan datos",IF(COUNTIF($A$7:$A$2006,A424)&gt;1,"ID duplicado",IF(OR(B424&lt;DATE(Configuración!$C$5,1,1),B424&gt;=DATE(Configuración!$C$5+1,1,1)),"Fecha fuera del año",IF(OR(H424&lt;0,I424&lt;0),"Revisar signo",IF(AND(C424&lt;&gt;"Gasto",I424&lt;&gt;0),"IVA solo en Gasto",IF(AND(C424="Gasto",D424=""),"Falta categoría","OK")))))))))</f>
        <v/>
      </c>
    </row>
    <row r="425" spans="1:12" ht="22" customHeight="1">
      <c r="A425" s="3"/>
      <c r="B425" s="7"/>
      <c r="C425" s="3"/>
      <c r="D425" s="3"/>
      <c r="E425" s="3"/>
      <c r="F425" s="3"/>
      <c r="G425" s="3"/>
      <c r="H425" s="4"/>
      <c r="I425" s="4"/>
      <c r="J425" s="3"/>
      <c r="K425" s="8" t="str">
        <f t="shared" si="6"/>
        <v/>
      </c>
      <c r="L425" s="1" t="str">
        <f>IF(COUNTA(A425:J425)=0,"",IF(OR(AND(C425&lt;&gt;"Gasto",C425&lt;&gt;"Pago proveedor",C425&lt;&gt;"Retiro familiar",C425&lt;&gt;"Aportación",C425&lt;&gt;"Pago activo",C425&lt;&gt;"ISR devengado",C425&lt;&gt;"Pago ISR",C425&lt;&gt;"Pago IVA",C425&lt;&gt;"Compensación ISR",C425&lt;&gt;"Compensación IVA"),AND(C425="Gasto",D425&lt;&gt;"Costos clínicos",D425&lt;&gt;"Remuneración familiar",D425&lt;&gt;"Nómina y honorarios",D425&lt;&gt;"Renta",D425&lt;&gt;"Marketing",D425&lt;&gt;"Servicios y software",D425&lt;&gt;"Mantenimiento",D425&lt;&gt;"Otros",D425&lt;&gt;"Intereses")),"Tipo o categoría inválido",IF(COUNTA(A425:J425)=0,"",IF(OR(A425="",B425="",C425="",H425=""),"Faltan datos",IF(COUNTIF($A$7:$A$2006,A425)&gt;1,"ID duplicado",IF(OR(B425&lt;DATE(Configuración!$C$5,1,1),B425&gt;=DATE(Configuración!$C$5+1,1,1)),"Fecha fuera del año",IF(OR(H425&lt;0,I425&lt;0),"Revisar signo",IF(AND(C425&lt;&gt;"Gasto",I425&lt;&gt;0),"IVA solo en Gasto",IF(AND(C425="Gasto",D425=""),"Falta categoría","OK")))))))))</f>
        <v/>
      </c>
    </row>
    <row r="426" spans="1:12" ht="22" customHeight="1">
      <c r="A426" s="3"/>
      <c r="B426" s="7"/>
      <c r="C426" s="3"/>
      <c r="D426" s="3"/>
      <c r="E426" s="3"/>
      <c r="F426" s="3"/>
      <c r="G426" s="3"/>
      <c r="H426" s="4"/>
      <c r="I426" s="4"/>
      <c r="J426" s="3"/>
      <c r="K426" s="8" t="str">
        <f t="shared" si="6"/>
        <v/>
      </c>
      <c r="L426" s="1" t="str">
        <f>IF(COUNTA(A426:J426)=0,"",IF(OR(AND(C426&lt;&gt;"Gasto",C426&lt;&gt;"Pago proveedor",C426&lt;&gt;"Retiro familiar",C426&lt;&gt;"Aportación",C426&lt;&gt;"Pago activo",C426&lt;&gt;"ISR devengado",C426&lt;&gt;"Pago ISR",C426&lt;&gt;"Pago IVA",C426&lt;&gt;"Compensación ISR",C426&lt;&gt;"Compensación IVA"),AND(C426="Gasto",D426&lt;&gt;"Costos clínicos",D426&lt;&gt;"Remuneración familiar",D426&lt;&gt;"Nómina y honorarios",D426&lt;&gt;"Renta",D426&lt;&gt;"Marketing",D426&lt;&gt;"Servicios y software",D426&lt;&gt;"Mantenimiento",D426&lt;&gt;"Otros",D426&lt;&gt;"Intereses")),"Tipo o categoría inválido",IF(COUNTA(A426:J426)=0,"",IF(OR(A426="",B426="",C426="",H426=""),"Faltan datos",IF(COUNTIF($A$7:$A$2006,A426)&gt;1,"ID duplicado",IF(OR(B426&lt;DATE(Configuración!$C$5,1,1),B426&gt;=DATE(Configuración!$C$5+1,1,1)),"Fecha fuera del año",IF(OR(H426&lt;0,I426&lt;0),"Revisar signo",IF(AND(C426&lt;&gt;"Gasto",I426&lt;&gt;0),"IVA solo en Gasto",IF(AND(C426="Gasto",D426=""),"Falta categoría","OK")))))))))</f>
        <v/>
      </c>
    </row>
    <row r="427" spans="1:12" ht="22" customHeight="1">
      <c r="A427" s="3"/>
      <c r="B427" s="7"/>
      <c r="C427" s="3"/>
      <c r="D427" s="3"/>
      <c r="E427" s="3"/>
      <c r="F427" s="3"/>
      <c r="G427" s="3"/>
      <c r="H427" s="4"/>
      <c r="I427" s="4"/>
      <c r="J427" s="3"/>
      <c r="K427" s="8" t="str">
        <f t="shared" si="6"/>
        <v/>
      </c>
      <c r="L427" s="1" t="str">
        <f>IF(COUNTA(A427:J427)=0,"",IF(OR(AND(C427&lt;&gt;"Gasto",C427&lt;&gt;"Pago proveedor",C427&lt;&gt;"Retiro familiar",C427&lt;&gt;"Aportación",C427&lt;&gt;"Pago activo",C427&lt;&gt;"ISR devengado",C427&lt;&gt;"Pago ISR",C427&lt;&gt;"Pago IVA",C427&lt;&gt;"Compensación ISR",C427&lt;&gt;"Compensación IVA"),AND(C427="Gasto",D427&lt;&gt;"Costos clínicos",D427&lt;&gt;"Remuneración familiar",D427&lt;&gt;"Nómina y honorarios",D427&lt;&gt;"Renta",D427&lt;&gt;"Marketing",D427&lt;&gt;"Servicios y software",D427&lt;&gt;"Mantenimiento",D427&lt;&gt;"Otros",D427&lt;&gt;"Intereses")),"Tipo o categoría inválido",IF(COUNTA(A427:J427)=0,"",IF(OR(A427="",B427="",C427="",H427=""),"Faltan datos",IF(COUNTIF($A$7:$A$2006,A427)&gt;1,"ID duplicado",IF(OR(B427&lt;DATE(Configuración!$C$5,1,1),B427&gt;=DATE(Configuración!$C$5+1,1,1)),"Fecha fuera del año",IF(OR(H427&lt;0,I427&lt;0),"Revisar signo",IF(AND(C427&lt;&gt;"Gasto",I427&lt;&gt;0),"IVA solo en Gasto",IF(AND(C427="Gasto",D427=""),"Falta categoría","OK")))))))))</f>
        <v/>
      </c>
    </row>
    <row r="428" spans="1:12" ht="22" customHeight="1">
      <c r="A428" s="3"/>
      <c r="B428" s="7"/>
      <c r="C428" s="3"/>
      <c r="D428" s="3"/>
      <c r="E428" s="3"/>
      <c r="F428" s="3"/>
      <c r="G428" s="3"/>
      <c r="H428" s="4"/>
      <c r="I428" s="4"/>
      <c r="J428" s="3"/>
      <c r="K428" s="8" t="str">
        <f t="shared" si="6"/>
        <v/>
      </c>
      <c r="L428" s="1" t="str">
        <f>IF(COUNTA(A428:J428)=0,"",IF(OR(AND(C428&lt;&gt;"Gasto",C428&lt;&gt;"Pago proveedor",C428&lt;&gt;"Retiro familiar",C428&lt;&gt;"Aportación",C428&lt;&gt;"Pago activo",C428&lt;&gt;"ISR devengado",C428&lt;&gt;"Pago ISR",C428&lt;&gt;"Pago IVA",C428&lt;&gt;"Compensación ISR",C428&lt;&gt;"Compensación IVA"),AND(C428="Gasto",D428&lt;&gt;"Costos clínicos",D428&lt;&gt;"Remuneración familiar",D428&lt;&gt;"Nómina y honorarios",D428&lt;&gt;"Renta",D428&lt;&gt;"Marketing",D428&lt;&gt;"Servicios y software",D428&lt;&gt;"Mantenimiento",D428&lt;&gt;"Otros",D428&lt;&gt;"Intereses")),"Tipo o categoría inválido",IF(COUNTA(A428:J428)=0,"",IF(OR(A428="",B428="",C428="",H428=""),"Faltan datos",IF(COUNTIF($A$7:$A$2006,A428)&gt;1,"ID duplicado",IF(OR(B428&lt;DATE(Configuración!$C$5,1,1),B428&gt;=DATE(Configuración!$C$5+1,1,1)),"Fecha fuera del año",IF(OR(H428&lt;0,I428&lt;0),"Revisar signo",IF(AND(C428&lt;&gt;"Gasto",I428&lt;&gt;0),"IVA solo en Gasto",IF(AND(C428="Gasto",D428=""),"Falta categoría","OK")))))))))</f>
        <v/>
      </c>
    </row>
    <row r="429" spans="1:12" ht="22" customHeight="1">
      <c r="A429" s="3"/>
      <c r="B429" s="7"/>
      <c r="C429" s="3"/>
      <c r="D429" s="3"/>
      <c r="E429" s="3"/>
      <c r="F429" s="3"/>
      <c r="G429" s="3"/>
      <c r="H429" s="4"/>
      <c r="I429" s="4"/>
      <c r="J429" s="3"/>
      <c r="K429" s="8" t="str">
        <f t="shared" si="6"/>
        <v/>
      </c>
      <c r="L429" s="1" t="str">
        <f>IF(COUNTA(A429:J429)=0,"",IF(OR(AND(C429&lt;&gt;"Gasto",C429&lt;&gt;"Pago proveedor",C429&lt;&gt;"Retiro familiar",C429&lt;&gt;"Aportación",C429&lt;&gt;"Pago activo",C429&lt;&gt;"ISR devengado",C429&lt;&gt;"Pago ISR",C429&lt;&gt;"Pago IVA",C429&lt;&gt;"Compensación ISR",C429&lt;&gt;"Compensación IVA"),AND(C429="Gasto",D429&lt;&gt;"Costos clínicos",D429&lt;&gt;"Remuneración familiar",D429&lt;&gt;"Nómina y honorarios",D429&lt;&gt;"Renta",D429&lt;&gt;"Marketing",D429&lt;&gt;"Servicios y software",D429&lt;&gt;"Mantenimiento",D429&lt;&gt;"Otros",D429&lt;&gt;"Intereses")),"Tipo o categoría inválido",IF(COUNTA(A429:J429)=0,"",IF(OR(A429="",B429="",C429="",H429=""),"Faltan datos",IF(COUNTIF($A$7:$A$2006,A429)&gt;1,"ID duplicado",IF(OR(B429&lt;DATE(Configuración!$C$5,1,1),B429&gt;=DATE(Configuración!$C$5+1,1,1)),"Fecha fuera del año",IF(OR(H429&lt;0,I429&lt;0),"Revisar signo",IF(AND(C429&lt;&gt;"Gasto",I429&lt;&gt;0),"IVA solo en Gasto",IF(AND(C429="Gasto",D429=""),"Falta categoría","OK")))))))))</f>
        <v/>
      </c>
    </row>
    <row r="430" spans="1:12" ht="22" customHeight="1">
      <c r="A430" s="3"/>
      <c r="B430" s="7"/>
      <c r="C430" s="3"/>
      <c r="D430" s="3"/>
      <c r="E430" s="3"/>
      <c r="F430" s="3"/>
      <c r="G430" s="3"/>
      <c r="H430" s="4"/>
      <c r="I430" s="4"/>
      <c r="J430" s="3"/>
      <c r="K430" s="8" t="str">
        <f t="shared" si="6"/>
        <v/>
      </c>
      <c r="L430" s="1" t="str">
        <f>IF(COUNTA(A430:J430)=0,"",IF(OR(AND(C430&lt;&gt;"Gasto",C430&lt;&gt;"Pago proveedor",C430&lt;&gt;"Retiro familiar",C430&lt;&gt;"Aportación",C430&lt;&gt;"Pago activo",C430&lt;&gt;"ISR devengado",C430&lt;&gt;"Pago ISR",C430&lt;&gt;"Pago IVA",C430&lt;&gt;"Compensación ISR",C430&lt;&gt;"Compensación IVA"),AND(C430="Gasto",D430&lt;&gt;"Costos clínicos",D430&lt;&gt;"Remuneración familiar",D430&lt;&gt;"Nómina y honorarios",D430&lt;&gt;"Renta",D430&lt;&gt;"Marketing",D430&lt;&gt;"Servicios y software",D430&lt;&gt;"Mantenimiento",D430&lt;&gt;"Otros",D430&lt;&gt;"Intereses")),"Tipo o categoría inválido",IF(COUNTA(A430:J430)=0,"",IF(OR(A430="",B430="",C430="",H430=""),"Faltan datos",IF(COUNTIF($A$7:$A$2006,A430)&gt;1,"ID duplicado",IF(OR(B430&lt;DATE(Configuración!$C$5,1,1),B430&gt;=DATE(Configuración!$C$5+1,1,1)),"Fecha fuera del año",IF(OR(H430&lt;0,I430&lt;0),"Revisar signo",IF(AND(C430&lt;&gt;"Gasto",I430&lt;&gt;0),"IVA solo en Gasto",IF(AND(C430="Gasto",D430=""),"Falta categoría","OK")))))))))</f>
        <v/>
      </c>
    </row>
    <row r="431" spans="1:12" ht="22" customHeight="1">
      <c r="A431" s="3"/>
      <c r="B431" s="7"/>
      <c r="C431" s="3"/>
      <c r="D431" s="3"/>
      <c r="E431" s="3"/>
      <c r="F431" s="3"/>
      <c r="G431" s="3"/>
      <c r="H431" s="4"/>
      <c r="I431" s="4"/>
      <c r="J431" s="3"/>
      <c r="K431" s="8" t="str">
        <f t="shared" si="6"/>
        <v/>
      </c>
      <c r="L431" s="1" t="str">
        <f>IF(COUNTA(A431:J431)=0,"",IF(OR(AND(C431&lt;&gt;"Gasto",C431&lt;&gt;"Pago proveedor",C431&lt;&gt;"Retiro familiar",C431&lt;&gt;"Aportación",C431&lt;&gt;"Pago activo",C431&lt;&gt;"ISR devengado",C431&lt;&gt;"Pago ISR",C431&lt;&gt;"Pago IVA",C431&lt;&gt;"Compensación ISR",C431&lt;&gt;"Compensación IVA"),AND(C431="Gasto",D431&lt;&gt;"Costos clínicos",D431&lt;&gt;"Remuneración familiar",D431&lt;&gt;"Nómina y honorarios",D431&lt;&gt;"Renta",D431&lt;&gt;"Marketing",D431&lt;&gt;"Servicios y software",D431&lt;&gt;"Mantenimiento",D431&lt;&gt;"Otros",D431&lt;&gt;"Intereses")),"Tipo o categoría inválido",IF(COUNTA(A431:J431)=0,"",IF(OR(A431="",B431="",C431="",H431=""),"Faltan datos",IF(COUNTIF($A$7:$A$2006,A431)&gt;1,"ID duplicado",IF(OR(B431&lt;DATE(Configuración!$C$5,1,1),B431&gt;=DATE(Configuración!$C$5+1,1,1)),"Fecha fuera del año",IF(OR(H431&lt;0,I431&lt;0),"Revisar signo",IF(AND(C431&lt;&gt;"Gasto",I431&lt;&gt;0),"IVA solo en Gasto",IF(AND(C431="Gasto",D431=""),"Falta categoría","OK")))))))))</f>
        <v/>
      </c>
    </row>
    <row r="432" spans="1:12" ht="22" customHeight="1">
      <c r="A432" s="3"/>
      <c r="B432" s="7"/>
      <c r="C432" s="3"/>
      <c r="D432" s="3"/>
      <c r="E432" s="3"/>
      <c r="F432" s="3"/>
      <c r="G432" s="3"/>
      <c r="H432" s="4"/>
      <c r="I432" s="4"/>
      <c r="J432" s="3"/>
      <c r="K432" s="8" t="str">
        <f t="shared" si="6"/>
        <v/>
      </c>
      <c r="L432" s="1" t="str">
        <f>IF(COUNTA(A432:J432)=0,"",IF(OR(AND(C432&lt;&gt;"Gasto",C432&lt;&gt;"Pago proveedor",C432&lt;&gt;"Retiro familiar",C432&lt;&gt;"Aportación",C432&lt;&gt;"Pago activo",C432&lt;&gt;"ISR devengado",C432&lt;&gt;"Pago ISR",C432&lt;&gt;"Pago IVA",C432&lt;&gt;"Compensación ISR",C432&lt;&gt;"Compensación IVA"),AND(C432="Gasto",D432&lt;&gt;"Costos clínicos",D432&lt;&gt;"Remuneración familiar",D432&lt;&gt;"Nómina y honorarios",D432&lt;&gt;"Renta",D432&lt;&gt;"Marketing",D432&lt;&gt;"Servicios y software",D432&lt;&gt;"Mantenimiento",D432&lt;&gt;"Otros",D432&lt;&gt;"Intereses")),"Tipo o categoría inválido",IF(COUNTA(A432:J432)=0,"",IF(OR(A432="",B432="",C432="",H432=""),"Faltan datos",IF(COUNTIF($A$7:$A$2006,A432)&gt;1,"ID duplicado",IF(OR(B432&lt;DATE(Configuración!$C$5,1,1),B432&gt;=DATE(Configuración!$C$5+1,1,1)),"Fecha fuera del año",IF(OR(H432&lt;0,I432&lt;0),"Revisar signo",IF(AND(C432&lt;&gt;"Gasto",I432&lt;&gt;0),"IVA solo en Gasto",IF(AND(C432="Gasto",D432=""),"Falta categoría","OK")))))))))</f>
        <v/>
      </c>
    </row>
    <row r="433" spans="1:12" ht="22" customHeight="1">
      <c r="A433" s="3"/>
      <c r="B433" s="7"/>
      <c r="C433" s="3"/>
      <c r="D433" s="3"/>
      <c r="E433" s="3"/>
      <c r="F433" s="3"/>
      <c r="G433" s="3"/>
      <c r="H433" s="4"/>
      <c r="I433" s="4"/>
      <c r="J433" s="3"/>
      <c r="K433" s="8" t="str">
        <f t="shared" si="6"/>
        <v/>
      </c>
      <c r="L433" s="1" t="str">
        <f>IF(COUNTA(A433:J433)=0,"",IF(OR(AND(C433&lt;&gt;"Gasto",C433&lt;&gt;"Pago proveedor",C433&lt;&gt;"Retiro familiar",C433&lt;&gt;"Aportación",C433&lt;&gt;"Pago activo",C433&lt;&gt;"ISR devengado",C433&lt;&gt;"Pago ISR",C433&lt;&gt;"Pago IVA",C433&lt;&gt;"Compensación ISR",C433&lt;&gt;"Compensación IVA"),AND(C433="Gasto",D433&lt;&gt;"Costos clínicos",D433&lt;&gt;"Remuneración familiar",D433&lt;&gt;"Nómina y honorarios",D433&lt;&gt;"Renta",D433&lt;&gt;"Marketing",D433&lt;&gt;"Servicios y software",D433&lt;&gt;"Mantenimiento",D433&lt;&gt;"Otros",D433&lt;&gt;"Intereses")),"Tipo o categoría inválido",IF(COUNTA(A433:J433)=0,"",IF(OR(A433="",B433="",C433="",H433=""),"Faltan datos",IF(COUNTIF($A$7:$A$2006,A433)&gt;1,"ID duplicado",IF(OR(B433&lt;DATE(Configuración!$C$5,1,1),B433&gt;=DATE(Configuración!$C$5+1,1,1)),"Fecha fuera del año",IF(OR(H433&lt;0,I433&lt;0),"Revisar signo",IF(AND(C433&lt;&gt;"Gasto",I433&lt;&gt;0),"IVA solo en Gasto",IF(AND(C433="Gasto",D433=""),"Falta categoría","OK")))))))))</f>
        <v/>
      </c>
    </row>
    <row r="434" spans="1:12" ht="22" customHeight="1">
      <c r="A434" s="3"/>
      <c r="B434" s="7"/>
      <c r="C434" s="3"/>
      <c r="D434" s="3"/>
      <c r="E434" s="3"/>
      <c r="F434" s="3"/>
      <c r="G434" s="3"/>
      <c r="H434" s="4"/>
      <c r="I434" s="4"/>
      <c r="J434" s="3"/>
      <c r="K434" s="8" t="str">
        <f t="shared" si="6"/>
        <v/>
      </c>
      <c r="L434" s="1" t="str">
        <f>IF(COUNTA(A434:J434)=0,"",IF(OR(AND(C434&lt;&gt;"Gasto",C434&lt;&gt;"Pago proveedor",C434&lt;&gt;"Retiro familiar",C434&lt;&gt;"Aportación",C434&lt;&gt;"Pago activo",C434&lt;&gt;"ISR devengado",C434&lt;&gt;"Pago ISR",C434&lt;&gt;"Pago IVA",C434&lt;&gt;"Compensación ISR",C434&lt;&gt;"Compensación IVA"),AND(C434="Gasto",D434&lt;&gt;"Costos clínicos",D434&lt;&gt;"Remuneración familiar",D434&lt;&gt;"Nómina y honorarios",D434&lt;&gt;"Renta",D434&lt;&gt;"Marketing",D434&lt;&gt;"Servicios y software",D434&lt;&gt;"Mantenimiento",D434&lt;&gt;"Otros",D434&lt;&gt;"Intereses")),"Tipo o categoría inválido",IF(COUNTA(A434:J434)=0,"",IF(OR(A434="",B434="",C434="",H434=""),"Faltan datos",IF(COUNTIF($A$7:$A$2006,A434)&gt;1,"ID duplicado",IF(OR(B434&lt;DATE(Configuración!$C$5,1,1),B434&gt;=DATE(Configuración!$C$5+1,1,1)),"Fecha fuera del año",IF(OR(H434&lt;0,I434&lt;0),"Revisar signo",IF(AND(C434&lt;&gt;"Gasto",I434&lt;&gt;0),"IVA solo en Gasto",IF(AND(C434="Gasto",D434=""),"Falta categoría","OK")))))))))</f>
        <v/>
      </c>
    </row>
    <row r="435" spans="1:12" ht="22" customHeight="1">
      <c r="A435" s="3"/>
      <c r="B435" s="7"/>
      <c r="C435" s="3"/>
      <c r="D435" s="3"/>
      <c r="E435" s="3"/>
      <c r="F435" s="3"/>
      <c r="G435" s="3"/>
      <c r="H435" s="4"/>
      <c r="I435" s="4"/>
      <c r="J435" s="3"/>
      <c r="K435" s="8" t="str">
        <f t="shared" si="6"/>
        <v/>
      </c>
      <c r="L435" s="1" t="str">
        <f>IF(COUNTA(A435:J435)=0,"",IF(OR(AND(C435&lt;&gt;"Gasto",C435&lt;&gt;"Pago proveedor",C435&lt;&gt;"Retiro familiar",C435&lt;&gt;"Aportación",C435&lt;&gt;"Pago activo",C435&lt;&gt;"ISR devengado",C435&lt;&gt;"Pago ISR",C435&lt;&gt;"Pago IVA",C435&lt;&gt;"Compensación ISR",C435&lt;&gt;"Compensación IVA"),AND(C435="Gasto",D435&lt;&gt;"Costos clínicos",D435&lt;&gt;"Remuneración familiar",D435&lt;&gt;"Nómina y honorarios",D435&lt;&gt;"Renta",D435&lt;&gt;"Marketing",D435&lt;&gt;"Servicios y software",D435&lt;&gt;"Mantenimiento",D435&lt;&gt;"Otros",D435&lt;&gt;"Intereses")),"Tipo o categoría inválido",IF(COUNTA(A435:J435)=0,"",IF(OR(A435="",B435="",C435="",H435=""),"Faltan datos",IF(COUNTIF($A$7:$A$2006,A435)&gt;1,"ID duplicado",IF(OR(B435&lt;DATE(Configuración!$C$5,1,1),B435&gt;=DATE(Configuración!$C$5+1,1,1)),"Fecha fuera del año",IF(OR(H435&lt;0,I435&lt;0),"Revisar signo",IF(AND(C435&lt;&gt;"Gasto",I435&lt;&gt;0),"IVA solo en Gasto",IF(AND(C435="Gasto",D435=""),"Falta categoría","OK")))))))))</f>
        <v/>
      </c>
    </row>
    <row r="436" spans="1:12" ht="22" customHeight="1">
      <c r="A436" s="3"/>
      <c r="B436" s="7"/>
      <c r="C436" s="3"/>
      <c r="D436" s="3"/>
      <c r="E436" s="3"/>
      <c r="F436" s="3"/>
      <c r="G436" s="3"/>
      <c r="H436" s="4"/>
      <c r="I436" s="4"/>
      <c r="J436" s="3"/>
      <c r="K436" s="8" t="str">
        <f t="shared" si="6"/>
        <v/>
      </c>
      <c r="L436" s="1" t="str">
        <f>IF(COUNTA(A436:J436)=0,"",IF(OR(AND(C436&lt;&gt;"Gasto",C436&lt;&gt;"Pago proveedor",C436&lt;&gt;"Retiro familiar",C436&lt;&gt;"Aportación",C436&lt;&gt;"Pago activo",C436&lt;&gt;"ISR devengado",C436&lt;&gt;"Pago ISR",C436&lt;&gt;"Pago IVA",C436&lt;&gt;"Compensación ISR",C436&lt;&gt;"Compensación IVA"),AND(C436="Gasto",D436&lt;&gt;"Costos clínicos",D436&lt;&gt;"Remuneración familiar",D436&lt;&gt;"Nómina y honorarios",D436&lt;&gt;"Renta",D436&lt;&gt;"Marketing",D436&lt;&gt;"Servicios y software",D436&lt;&gt;"Mantenimiento",D436&lt;&gt;"Otros",D436&lt;&gt;"Intereses")),"Tipo o categoría inválido",IF(COUNTA(A436:J436)=0,"",IF(OR(A436="",B436="",C436="",H436=""),"Faltan datos",IF(COUNTIF($A$7:$A$2006,A436)&gt;1,"ID duplicado",IF(OR(B436&lt;DATE(Configuración!$C$5,1,1),B436&gt;=DATE(Configuración!$C$5+1,1,1)),"Fecha fuera del año",IF(OR(H436&lt;0,I436&lt;0),"Revisar signo",IF(AND(C436&lt;&gt;"Gasto",I436&lt;&gt;0),"IVA solo en Gasto",IF(AND(C436="Gasto",D436=""),"Falta categoría","OK")))))))))</f>
        <v/>
      </c>
    </row>
    <row r="437" spans="1:12" ht="22" customHeight="1">
      <c r="A437" s="3"/>
      <c r="B437" s="7"/>
      <c r="C437" s="3"/>
      <c r="D437" s="3"/>
      <c r="E437" s="3"/>
      <c r="F437" s="3"/>
      <c r="G437" s="3"/>
      <c r="H437" s="4"/>
      <c r="I437" s="4"/>
      <c r="J437" s="3"/>
      <c r="K437" s="8" t="str">
        <f t="shared" si="6"/>
        <v/>
      </c>
      <c r="L437" s="1" t="str">
        <f>IF(COUNTA(A437:J437)=0,"",IF(OR(AND(C437&lt;&gt;"Gasto",C437&lt;&gt;"Pago proveedor",C437&lt;&gt;"Retiro familiar",C437&lt;&gt;"Aportación",C437&lt;&gt;"Pago activo",C437&lt;&gt;"ISR devengado",C437&lt;&gt;"Pago ISR",C437&lt;&gt;"Pago IVA",C437&lt;&gt;"Compensación ISR",C437&lt;&gt;"Compensación IVA"),AND(C437="Gasto",D437&lt;&gt;"Costos clínicos",D437&lt;&gt;"Remuneración familiar",D437&lt;&gt;"Nómina y honorarios",D437&lt;&gt;"Renta",D437&lt;&gt;"Marketing",D437&lt;&gt;"Servicios y software",D437&lt;&gt;"Mantenimiento",D437&lt;&gt;"Otros",D437&lt;&gt;"Intereses")),"Tipo o categoría inválido",IF(COUNTA(A437:J437)=0,"",IF(OR(A437="",B437="",C437="",H437=""),"Faltan datos",IF(COUNTIF($A$7:$A$2006,A437)&gt;1,"ID duplicado",IF(OR(B437&lt;DATE(Configuración!$C$5,1,1),B437&gt;=DATE(Configuración!$C$5+1,1,1)),"Fecha fuera del año",IF(OR(H437&lt;0,I437&lt;0),"Revisar signo",IF(AND(C437&lt;&gt;"Gasto",I437&lt;&gt;0),"IVA solo en Gasto",IF(AND(C437="Gasto",D437=""),"Falta categoría","OK")))))))))</f>
        <v/>
      </c>
    </row>
    <row r="438" spans="1:12" ht="22" customHeight="1">
      <c r="A438" s="3"/>
      <c r="B438" s="7"/>
      <c r="C438" s="3"/>
      <c r="D438" s="3"/>
      <c r="E438" s="3"/>
      <c r="F438" s="3"/>
      <c r="G438" s="3"/>
      <c r="H438" s="4"/>
      <c r="I438" s="4"/>
      <c r="J438" s="3"/>
      <c r="K438" s="8" t="str">
        <f t="shared" si="6"/>
        <v/>
      </c>
      <c r="L438" s="1" t="str">
        <f>IF(COUNTA(A438:J438)=0,"",IF(OR(AND(C438&lt;&gt;"Gasto",C438&lt;&gt;"Pago proveedor",C438&lt;&gt;"Retiro familiar",C438&lt;&gt;"Aportación",C438&lt;&gt;"Pago activo",C438&lt;&gt;"ISR devengado",C438&lt;&gt;"Pago ISR",C438&lt;&gt;"Pago IVA",C438&lt;&gt;"Compensación ISR",C438&lt;&gt;"Compensación IVA"),AND(C438="Gasto",D438&lt;&gt;"Costos clínicos",D438&lt;&gt;"Remuneración familiar",D438&lt;&gt;"Nómina y honorarios",D438&lt;&gt;"Renta",D438&lt;&gt;"Marketing",D438&lt;&gt;"Servicios y software",D438&lt;&gt;"Mantenimiento",D438&lt;&gt;"Otros",D438&lt;&gt;"Intereses")),"Tipo o categoría inválido",IF(COUNTA(A438:J438)=0,"",IF(OR(A438="",B438="",C438="",H438=""),"Faltan datos",IF(COUNTIF($A$7:$A$2006,A438)&gt;1,"ID duplicado",IF(OR(B438&lt;DATE(Configuración!$C$5,1,1),B438&gt;=DATE(Configuración!$C$5+1,1,1)),"Fecha fuera del año",IF(OR(H438&lt;0,I438&lt;0),"Revisar signo",IF(AND(C438&lt;&gt;"Gasto",I438&lt;&gt;0),"IVA solo en Gasto",IF(AND(C438="Gasto",D438=""),"Falta categoría","OK")))))))))</f>
        <v/>
      </c>
    </row>
    <row r="439" spans="1:12" ht="22" customHeight="1">
      <c r="A439" s="3"/>
      <c r="B439" s="7"/>
      <c r="C439" s="3"/>
      <c r="D439" s="3"/>
      <c r="E439" s="3"/>
      <c r="F439" s="3"/>
      <c r="G439" s="3"/>
      <c r="H439" s="4"/>
      <c r="I439" s="4"/>
      <c r="J439" s="3"/>
      <c r="K439" s="8" t="str">
        <f t="shared" si="6"/>
        <v/>
      </c>
      <c r="L439" s="1" t="str">
        <f>IF(COUNTA(A439:J439)=0,"",IF(OR(AND(C439&lt;&gt;"Gasto",C439&lt;&gt;"Pago proveedor",C439&lt;&gt;"Retiro familiar",C439&lt;&gt;"Aportación",C439&lt;&gt;"Pago activo",C439&lt;&gt;"ISR devengado",C439&lt;&gt;"Pago ISR",C439&lt;&gt;"Pago IVA",C439&lt;&gt;"Compensación ISR",C439&lt;&gt;"Compensación IVA"),AND(C439="Gasto",D439&lt;&gt;"Costos clínicos",D439&lt;&gt;"Remuneración familiar",D439&lt;&gt;"Nómina y honorarios",D439&lt;&gt;"Renta",D439&lt;&gt;"Marketing",D439&lt;&gt;"Servicios y software",D439&lt;&gt;"Mantenimiento",D439&lt;&gt;"Otros",D439&lt;&gt;"Intereses")),"Tipo o categoría inválido",IF(COUNTA(A439:J439)=0,"",IF(OR(A439="",B439="",C439="",H439=""),"Faltan datos",IF(COUNTIF($A$7:$A$2006,A439)&gt;1,"ID duplicado",IF(OR(B439&lt;DATE(Configuración!$C$5,1,1),B439&gt;=DATE(Configuración!$C$5+1,1,1)),"Fecha fuera del año",IF(OR(H439&lt;0,I439&lt;0),"Revisar signo",IF(AND(C439&lt;&gt;"Gasto",I439&lt;&gt;0),"IVA solo en Gasto",IF(AND(C439="Gasto",D439=""),"Falta categoría","OK")))))))))</f>
        <v/>
      </c>
    </row>
    <row r="440" spans="1:12" ht="22" customHeight="1">
      <c r="A440" s="3"/>
      <c r="B440" s="7"/>
      <c r="C440" s="3"/>
      <c r="D440" s="3"/>
      <c r="E440" s="3"/>
      <c r="F440" s="3"/>
      <c r="G440" s="3"/>
      <c r="H440" s="4"/>
      <c r="I440" s="4"/>
      <c r="J440" s="3"/>
      <c r="K440" s="8" t="str">
        <f t="shared" si="6"/>
        <v/>
      </c>
      <c r="L440" s="1" t="str">
        <f>IF(COUNTA(A440:J440)=0,"",IF(OR(AND(C440&lt;&gt;"Gasto",C440&lt;&gt;"Pago proveedor",C440&lt;&gt;"Retiro familiar",C440&lt;&gt;"Aportación",C440&lt;&gt;"Pago activo",C440&lt;&gt;"ISR devengado",C440&lt;&gt;"Pago ISR",C440&lt;&gt;"Pago IVA",C440&lt;&gt;"Compensación ISR",C440&lt;&gt;"Compensación IVA"),AND(C440="Gasto",D440&lt;&gt;"Costos clínicos",D440&lt;&gt;"Remuneración familiar",D440&lt;&gt;"Nómina y honorarios",D440&lt;&gt;"Renta",D440&lt;&gt;"Marketing",D440&lt;&gt;"Servicios y software",D440&lt;&gt;"Mantenimiento",D440&lt;&gt;"Otros",D440&lt;&gt;"Intereses")),"Tipo o categoría inválido",IF(COUNTA(A440:J440)=0,"",IF(OR(A440="",B440="",C440="",H440=""),"Faltan datos",IF(COUNTIF($A$7:$A$2006,A440)&gt;1,"ID duplicado",IF(OR(B440&lt;DATE(Configuración!$C$5,1,1),B440&gt;=DATE(Configuración!$C$5+1,1,1)),"Fecha fuera del año",IF(OR(H440&lt;0,I440&lt;0),"Revisar signo",IF(AND(C440&lt;&gt;"Gasto",I440&lt;&gt;0),"IVA solo en Gasto",IF(AND(C440="Gasto",D440=""),"Falta categoría","OK")))))))))</f>
        <v/>
      </c>
    </row>
    <row r="441" spans="1:12" ht="22" customHeight="1">
      <c r="A441" s="3"/>
      <c r="B441" s="7"/>
      <c r="C441" s="3"/>
      <c r="D441" s="3"/>
      <c r="E441" s="3"/>
      <c r="F441" s="3"/>
      <c r="G441" s="3"/>
      <c r="H441" s="4"/>
      <c r="I441" s="4"/>
      <c r="J441" s="3"/>
      <c r="K441" s="8" t="str">
        <f t="shared" si="6"/>
        <v/>
      </c>
      <c r="L441" s="1" t="str">
        <f>IF(COUNTA(A441:J441)=0,"",IF(OR(AND(C441&lt;&gt;"Gasto",C441&lt;&gt;"Pago proveedor",C441&lt;&gt;"Retiro familiar",C441&lt;&gt;"Aportación",C441&lt;&gt;"Pago activo",C441&lt;&gt;"ISR devengado",C441&lt;&gt;"Pago ISR",C441&lt;&gt;"Pago IVA",C441&lt;&gt;"Compensación ISR",C441&lt;&gt;"Compensación IVA"),AND(C441="Gasto",D441&lt;&gt;"Costos clínicos",D441&lt;&gt;"Remuneración familiar",D441&lt;&gt;"Nómina y honorarios",D441&lt;&gt;"Renta",D441&lt;&gt;"Marketing",D441&lt;&gt;"Servicios y software",D441&lt;&gt;"Mantenimiento",D441&lt;&gt;"Otros",D441&lt;&gt;"Intereses")),"Tipo o categoría inválido",IF(COUNTA(A441:J441)=0,"",IF(OR(A441="",B441="",C441="",H441=""),"Faltan datos",IF(COUNTIF($A$7:$A$2006,A441)&gt;1,"ID duplicado",IF(OR(B441&lt;DATE(Configuración!$C$5,1,1),B441&gt;=DATE(Configuración!$C$5+1,1,1)),"Fecha fuera del año",IF(OR(H441&lt;0,I441&lt;0),"Revisar signo",IF(AND(C441&lt;&gt;"Gasto",I441&lt;&gt;0),"IVA solo en Gasto",IF(AND(C441="Gasto",D441=""),"Falta categoría","OK")))))))))</f>
        <v/>
      </c>
    </row>
    <row r="442" spans="1:12" ht="22" customHeight="1">
      <c r="A442" s="3"/>
      <c r="B442" s="7"/>
      <c r="C442" s="3"/>
      <c r="D442" s="3"/>
      <c r="E442" s="3"/>
      <c r="F442" s="3"/>
      <c r="G442" s="3"/>
      <c r="H442" s="4"/>
      <c r="I442" s="4"/>
      <c r="J442" s="3"/>
      <c r="K442" s="8" t="str">
        <f t="shared" si="6"/>
        <v/>
      </c>
      <c r="L442" s="1" t="str">
        <f>IF(COUNTA(A442:J442)=0,"",IF(OR(AND(C442&lt;&gt;"Gasto",C442&lt;&gt;"Pago proveedor",C442&lt;&gt;"Retiro familiar",C442&lt;&gt;"Aportación",C442&lt;&gt;"Pago activo",C442&lt;&gt;"ISR devengado",C442&lt;&gt;"Pago ISR",C442&lt;&gt;"Pago IVA",C442&lt;&gt;"Compensación ISR",C442&lt;&gt;"Compensación IVA"),AND(C442="Gasto",D442&lt;&gt;"Costos clínicos",D442&lt;&gt;"Remuneración familiar",D442&lt;&gt;"Nómina y honorarios",D442&lt;&gt;"Renta",D442&lt;&gt;"Marketing",D442&lt;&gt;"Servicios y software",D442&lt;&gt;"Mantenimiento",D442&lt;&gt;"Otros",D442&lt;&gt;"Intereses")),"Tipo o categoría inválido",IF(COUNTA(A442:J442)=0,"",IF(OR(A442="",B442="",C442="",H442=""),"Faltan datos",IF(COUNTIF($A$7:$A$2006,A442)&gt;1,"ID duplicado",IF(OR(B442&lt;DATE(Configuración!$C$5,1,1),B442&gt;=DATE(Configuración!$C$5+1,1,1)),"Fecha fuera del año",IF(OR(H442&lt;0,I442&lt;0),"Revisar signo",IF(AND(C442&lt;&gt;"Gasto",I442&lt;&gt;0),"IVA solo en Gasto",IF(AND(C442="Gasto",D442=""),"Falta categoría","OK")))))))))</f>
        <v/>
      </c>
    </row>
    <row r="443" spans="1:12" ht="22" customHeight="1">
      <c r="A443" s="3"/>
      <c r="B443" s="7"/>
      <c r="C443" s="3"/>
      <c r="D443" s="3"/>
      <c r="E443" s="3"/>
      <c r="F443" s="3"/>
      <c r="G443" s="3"/>
      <c r="H443" s="4"/>
      <c r="I443" s="4"/>
      <c r="J443" s="3"/>
      <c r="K443" s="8" t="str">
        <f t="shared" si="6"/>
        <v/>
      </c>
      <c r="L443" s="1" t="str">
        <f>IF(COUNTA(A443:J443)=0,"",IF(OR(AND(C443&lt;&gt;"Gasto",C443&lt;&gt;"Pago proveedor",C443&lt;&gt;"Retiro familiar",C443&lt;&gt;"Aportación",C443&lt;&gt;"Pago activo",C443&lt;&gt;"ISR devengado",C443&lt;&gt;"Pago ISR",C443&lt;&gt;"Pago IVA",C443&lt;&gt;"Compensación ISR",C443&lt;&gt;"Compensación IVA"),AND(C443="Gasto",D443&lt;&gt;"Costos clínicos",D443&lt;&gt;"Remuneración familiar",D443&lt;&gt;"Nómina y honorarios",D443&lt;&gt;"Renta",D443&lt;&gt;"Marketing",D443&lt;&gt;"Servicios y software",D443&lt;&gt;"Mantenimiento",D443&lt;&gt;"Otros",D443&lt;&gt;"Intereses")),"Tipo o categoría inválido",IF(COUNTA(A443:J443)=0,"",IF(OR(A443="",B443="",C443="",H443=""),"Faltan datos",IF(COUNTIF($A$7:$A$2006,A443)&gt;1,"ID duplicado",IF(OR(B443&lt;DATE(Configuración!$C$5,1,1),B443&gt;=DATE(Configuración!$C$5+1,1,1)),"Fecha fuera del año",IF(OR(H443&lt;0,I443&lt;0),"Revisar signo",IF(AND(C443&lt;&gt;"Gasto",I443&lt;&gt;0),"IVA solo en Gasto",IF(AND(C443="Gasto",D443=""),"Falta categoría","OK")))))))))</f>
        <v/>
      </c>
    </row>
    <row r="444" spans="1:12" ht="22" customHeight="1">
      <c r="A444" s="3"/>
      <c r="B444" s="7"/>
      <c r="C444" s="3"/>
      <c r="D444" s="3"/>
      <c r="E444" s="3"/>
      <c r="F444" s="3"/>
      <c r="G444" s="3"/>
      <c r="H444" s="4"/>
      <c r="I444" s="4"/>
      <c r="J444" s="3"/>
      <c r="K444" s="8" t="str">
        <f t="shared" si="6"/>
        <v/>
      </c>
      <c r="L444" s="1" t="str">
        <f>IF(COUNTA(A444:J444)=0,"",IF(OR(AND(C444&lt;&gt;"Gasto",C444&lt;&gt;"Pago proveedor",C444&lt;&gt;"Retiro familiar",C444&lt;&gt;"Aportación",C444&lt;&gt;"Pago activo",C444&lt;&gt;"ISR devengado",C444&lt;&gt;"Pago ISR",C444&lt;&gt;"Pago IVA",C444&lt;&gt;"Compensación ISR",C444&lt;&gt;"Compensación IVA"),AND(C444="Gasto",D444&lt;&gt;"Costos clínicos",D444&lt;&gt;"Remuneración familiar",D444&lt;&gt;"Nómina y honorarios",D444&lt;&gt;"Renta",D444&lt;&gt;"Marketing",D444&lt;&gt;"Servicios y software",D444&lt;&gt;"Mantenimiento",D444&lt;&gt;"Otros",D444&lt;&gt;"Intereses")),"Tipo o categoría inválido",IF(COUNTA(A444:J444)=0,"",IF(OR(A444="",B444="",C444="",H444=""),"Faltan datos",IF(COUNTIF($A$7:$A$2006,A444)&gt;1,"ID duplicado",IF(OR(B444&lt;DATE(Configuración!$C$5,1,1),B444&gt;=DATE(Configuración!$C$5+1,1,1)),"Fecha fuera del año",IF(OR(H444&lt;0,I444&lt;0),"Revisar signo",IF(AND(C444&lt;&gt;"Gasto",I444&lt;&gt;0),"IVA solo en Gasto",IF(AND(C444="Gasto",D444=""),"Falta categoría","OK")))))))))</f>
        <v/>
      </c>
    </row>
    <row r="445" spans="1:12" ht="22" customHeight="1">
      <c r="A445" s="3"/>
      <c r="B445" s="7"/>
      <c r="C445" s="3"/>
      <c r="D445" s="3"/>
      <c r="E445" s="3"/>
      <c r="F445" s="3"/>
      <c r="G445" s="3"/>
      <c r="H445" s="4"/>
      <c r="I445" s="4"/>
      <c r="J445" s="3"/>
      <c r="K445" s="8" t="str">
        <f t="shared" si="6"/>
        <v/>
      </c>
      <c r="L445" s="1" t="str">
        <f>IF(COUNTA(A445:J445)=0,"",IF(OR(AND(C445&lt;&gt;"Gasto",C445&lt;&gt;"Pago proveedor",C445&lt;&gt;"Retiro familiar",C445&lt;&gt;"Aportación",C445&lt;&gt;"Pago activo",C445&lt;&gt;"ISR devengado",C445&lt;&gt;"Pago ISR",C445&lt;&gt;"Pago IVA",C445&lt;&gt;"Compensación ISR",C445&lt;&gt;"Compensación IVA"),AND(C445="Gasto",D445&lt;&gt;"Costos clínicos",D445&lt;&gt;"Remuneración familiar",D445&lt;&gt;"Nómina y honorarios",D445&lt;&gt;"Renta",D445&lt;&gt;"Marketing",D445&lt;&gt;"Servicios y software",D445&lt;&gt;"Mantenimiento",D445&lt;&gt;"Otros",D445&lt;&gt;"Intereses")),"Tipo o categoría inválido",IF(COUNTA(A445:J445)=0,"",IF(OR(A445="",B445="",C445="",H445=""),"Faltan datos",IF(COUNTIF($A$7:$A$2006,A445)&gt;1,"ID duplicado",IF(OR(B445&lt;DATE(Configuración!$C$5,1,1),B445&gt;=DATE(Configuración!$C$5+1,1,1)),"Fecha fuera del año",IF(OR(H445&lt;0,I445&lt;0),"Revisar signo",IF(AND(C445&lt;&gt;"Gasto",I445&lt;&gt;0),"IVA solo en Gasto",IF(AND(C445="Gasto",D445=""),"Falta categoría","OK")))))))))</f>
        <v/>
      </c>
    </row>
    <row r="446" spans="1:12" ht="22" customHeight="1">
      <c r="A446" s="3"/>
      <c r="B446" s="7"/>
      <c r="C446" s="3"/>
      <c r="D446" s="3"/>
      <c r="E446" s="3"/>
      <c r="F446" s="3"/>
      <c r="G446" s="3"/>
      <c r="H446" s="4"/>
      <c r="I446" s="4"/>
      <c r="J446" s="3"/>
      <c r="K446" s="8" t="str">
        <f t="shared" si="6"/>
        <v/>
      </c>
      <c r="L446" s="1" t="str">
        <f>IF(COUNTA(A446:J446)=0,"",IF(OR(AND(C446&lt;&gt;"Gasto",C446&lt;&gt;"Pago proveedor",C446&lt;&gt;"Retiro familiar",C446&lt;&gt;"Aportación",C446&lt;&gt;"Pago activo",C446&lt;&gt;"ISR devengado",C446&lt;&gt;"Pago ISR",C446&lt;&gt;"Pago IVA",C446&lt;&gt;"Compensación ISR",C446&lt;&gt;"Compensación IVA"),AND(C446="Gasto",D446&lt;&gt;"Costos clínicos",D446&lt;&gt;"Remuneración familiar",D446&lt;&gt;"Nómina y honorarios",D446&lt;&gt;"Renta",D446&lt;&gt;"Marketing",D446&lt;&gt;"Servicios y software",D446&lt;&gt;"Mantenimiento",D446&lt;&gt;"Otros",D446&lt;&gt;"Intereses")),"Tipo o categoría inválido",IF(COUNTA(A446:J446)=0,"",IF(OR(A446="",B446="",C446="",H446=""),"Faltan datos",IF(COUNTIF($A$7:$A$2006,A446)&gt;1,"ID duplicado",IF(OR(B446&lt;DATE(Configuración!$C$5,1,1),B446&gt;=DATE(Configuración!$C$5+1,1,1)),"Fecha fuera del año",IF(OR(H446&lt;0,I446&lt;0),"Revisar signo",IF(AND(C446&lt;&gt;"Gasto",I446&lt;&gt;0),"IVA solo en Gasto",IF(AND(C446="Gasto",D446=""),"Falta categoría","OK")))))))))</f>
        <v/>
      </c>
    </row>
    <row r="447" spans="1:12" ht="22" customHeight="1">
      <c r="A447" s="3"/>
      <c r="B447" s="7"/>
      <c r="C447" s="3"/>
      <c r="D447" s="3"/>
      <c r="E447" s="3"/>
      <c r="F447" s="3"/>
      <c r="G447" s="3"/>
      <c r="H447" s="4"/>
      <c r="I447" s="4"/>
      <c r="J447" s="3"/>
      <c r="K447" s="8" t="str">
        <f t="shared" si="6"/>
        <v/>
      </c>
      <c r="L447" s="1" t="str">
        <f>IF(COUNTA(A447:J447)=0,"",IF(OR(AND(C447&lt;&gt;"Gasto",C447&lt;&gt;"Pago proveedor",C447&lt;&gt;"Retiro familiar",C447&lt;&gt;"Aportación",C447&lt;&gt;"Pago activo",C447&lt;&gt;"ISR devengado",C447&lt;&gt;"Pago ISR",C447&lt;&gt;"Pago IVA",C447&lt;&gt;"Compensación ISR",C447&lt;&gt;"Compensación IVA"),AND(C447="Gasto",D447&lt;&gt;"Costos clínicos",D447&lt;&gt;"Remuneración familiar",D447&lt;&gt;"Nómina y honorarios",D447&lt;&gt;"Renta",D447&lt;&gt;"Marketing",D447&lt;&gt;"Servicios y software",D447&lt;&gt;"Mantenimiento",D447&lt;&gt;"Otros",D447&lt;&gt;"Intereses")),"Tipo o categoría inválido",IF(COUNTA(A447:J447)=0,"",IF(OR(A447="",B447="",C447="",H447=""),"Faltan datos",IF(COUNTIF($A$7:$A$2006,A447)&gt;1,"ID duplicado",IF(OR(B447&lt;DATE(Configuración!$C$5,1,1),B447&gt;=DATE(Configuración!$C$5+1,1,1)),"Fecha fuera del año",IF(OR(H447&lt;0,I447&lt;0),"Revisar signo",IF(AND(C447&lt;&gt;"Gasto",I447&lt;&gt;0),"IVA solo en Gasto",IF(AND(C447="Gasto",D447=""),"Falta categoría","OK")))))))))</f>
        <v/>
      </c>
    </row>
    <row r="448" spans="1:12" ht="22" customHeight="1">
      <c r="A448" s="3"/>
      <c r="B448" s="7"/>
      <c r="C448" s="3"/>
      <c r="D448" s="3"/>
      <c r="E448" s="3"/>
      <c r="F448" s="3"/>
      <c r="G448" s="3"/>
      <c r="H448" s="4"/>
      <c r="I448" s="4"/>
      <c r="J448" s="3"/>
      <c r="K448" s="8" t="str">
        <f t="shared" si="6"/>
        <v/>
      </c>
      <c r="L448" s="1" t="str">
        <f>IF(COUNTA(A448:J448)=0,"",IF(OR(AND(C448&lt;&gt;"Gasto",C448&lt;&gt;"Pago proveedor",C448&lt;&gt;"Retiro familiar",C448&lt;&gt;"Aportación",C448&lt;&gt;"Pago activo",C448&lt;&gt;"ISR devengado",C448&lt;&gt;"Pago ISR",C448&lt;&gt;"Pago IVA",C448&lt;&gt;"Compensación ISR",C448&lt;&gt;"Compensación IVA"),AND(C448="Gasto",D448&lt;&gt;"Costos clínicos",D448&lt;&gt;"Remuneración familiar",D448&lt;&gt;"Nómina y honorarios",D448&lt;&gt;"Renta",D448&lt;&gt;"Marketing",D448&lt;&gt;"Servicios y software",D448&lt;&gt;"Mantenimiento",D448&lt;&gt;"Otros",D448&lt;&gt;"Intereses")),"Tipo o categoría inválido",IF(COUNTA(A448:J448)=0,"",IF(OR(A448="",B448="",C448="",H448=""),"Faltan datos",IF(COUNTIF($A$7:$A$2006,A448)&gt;1,"ID duplicado",IF(OR(B448&lt;DATE(Configuración!$C$5,1,1),B448&gt;=DATE(Configuración!$C$5+1,1,1)),"Fecha fuera del año",IF(OR(H448&lt;0,I448&lt;0),"Revisar signo",IF(AND(C448&lt;&gt;"Gasto",I448&lt;&gt;0),"IVA solo en Gasto",IF(AND(C448="Gasto",D448=""),"Falta categoría","OK")))))))))</f>
        <v/>
      </c>
    </row>
    <row r="449" spans="1:12" ht="22" customHeight="1">
      <c r="A449" s="3"/>
      <c r="B449" s="7"/>
      <c r="C449" s="3"/>
      <c r="D449" s="3"/>
      <c r="E449" s="3"/>
      <c r="F449" s="3"/>
      <c r="G449" s="3"/>
      <c r="H449" s="4"/>
      <c r="I449" s="4"/>
      <c r="J449" s="3"/>
      <c r="K449" s="8" t="str">
        <f t="shared" si="6"/>
        <v/>
      </c>
      <c r="L449" s="1" t="str">
        <f>IF(COUNTA(A449:J449)=0,"",IF(OR(AND(C449&lt;&gt;"Gasto",C449&lt;&gt;"Pago proveedor",C449&lt;&gt;"Retiro familiar",C449&lt;&gt;"Aportación",C449&lt;&gt;"Pago activo",C449&lt;&gt;"ISR devengado",C449&lt;&gt;"Pago ISR",C449&lt;&gt;"Pago IVA",C449&lt;&gt;"Compensación ISR",C449&lt;&gt;"Compensación IVA"),AND(C449="Gasto",D449&lt;&gt;"Costos clínicos",D449&lt;&gt;"Remuneración familiar",D449&lt;&gt;"Nómina y honorarios",D449&lt;&gt;"Renta",D449&lt;&gt;"Marketing",D449&lt;&gt;"Servicios y software",D449&lt;&gt;"Mantenimiento",D449&lt;&gt;"Otros",D449&lt;&gt;"Intereses")),"Tipo o categoría inválido",IF(COUNTA(A449:J449)=0,"",IF(OR(A449="",B449="",C449="",H449=""),"Faltan datos",IF(COUNTIF($A$7:$A$2006,A449)&gt;1,"ID duplicado",IF(OR(B449&lt;DATE(Configuración!$C$5,1,1),B449&gt;=DATE(Configuración!$C$5+1,1,1)),"Fecha fuera del año",IF(OR(H449&lt;0,I449&lt;0),"Revisar signo",IF(AND(C449&lt;&gt;"Gasto",I449&lt;&gt;0),"IVA solo en Gasto",IF(AND(C449="Gasto",D449=""),"Falta categoría","OK")))))))))</f>
        <v/>
      </c>
    </row>
    <row r="450" spans="1:12" ht="22" customHeight="1">
      <c r="A450" s="3"/>
      <c r="B450" s="7"/>
      <c r="C450" s="3"/>
      <c r="D450" s="3"/>
      <c r="E450" s="3"/>
      <c r="F450" s="3"/>
      <c r="G450" s="3"/>
      <c r="H450" s="4"/>
      <c r="I450" s="4"/>
      <c r="J450" s="3"/>
      <c r="K450" s="8" t="str">
        <f t="shared" si="6"/>
        <v/>
      </c>
      <c r="L450" s="1" t="str">
        <f>IF(COUNTA(A450:J450)=0,"",IF(OR(AND(C450&lt;&gt;"Gasto",C450&lt;&gt;"Pago proveedor",C450&lt;&gt;"Retiro familiar",C450&lt;&gt;"Aportación",C450&lt;&gt;"Pago activo",C450&lt;&gt;"ISR devengado",C450&lt;&gt;"Pago ISR",C450&lt;&gt;"Pago IVA",C450&lt;&gt;"Compensación ISR",C450&lt;&gt;"Compensación IVA"),AND(C450="Gasto",D450&lt;&gt;"Costos clínicos",D450&lt;&gt;"Remuneración familiar",D450&lt;&gt;"Nómina y honorarios",D450&lt;&gt;"Renta",D450&lt;&gt;"Marketing",D450&lt;&gt;"Servicios y software",D450&lt;&gt;"Mantenimiento",D450&lt;&gt;"Otros",D450&lt;&gt;"Intereses")),"Tipo o categoría inválido",IF(COUNTA(A450:J450)=0,"",IF(OR(A450="",B450="",C450="",H450=""),"Faltan datos",IF(COUNTIF($A$7:$A$2006,A450)&gt;1,"ID duplicado",IF(OR(B450&lt;DATE(Configuración!$C$5,1,1),B450&gt;=DATE(Configuración!$C$5+1,1,1)),"Fecha fuera del año",IF(OR(H450&lt;0,I450&lt;0),"Revisar signo",IF(AND(C450&lt;&gt;"Gasto",I450&lt;&gt;0),"IVA solo en Gasto",IF(AND(C450="Gasto",D450=""),"Falta categoría","OK")))))))))</f>
        <v/>
      </c>
    </row>
    <row r="451" spans="1:12" ht="22" customHeight="1">
      <c r="A451" s="3"/>
      <c r="B451" s="7"/>
      <c r="C451" s="3"/>
      <c r="D451" s="3"/>
      <c r="E451" s="3"/>
      <c r="F451" s="3"/>
      <c r="G451" s="3"/>
      <c r="H451" s="4"/>
      <c r="I451" s="4"/>
      <c r="J451" s="3"/>
      <c r="K451" s="8" t="str">
        <f t="shared" si="6"/>
        <v/>
      </c>
      <c r="L451" s="1" t="str">
        <f>IF(COUNTA(A451:J451)=0,"",IF(OR(AND(C451&lt;&gt;"Gasto",C451&lt;&gt;"Pago proveedor",C451&lt;&gt;"Retiro familiar",C451&lt;&gt;"Aportación",C451&lt;&gt;"Pago activo",C451&lt;&gt;"ISR devengado",C451&lt;&gt;"Pago ISR",C451&lt;&gt;"Pago IVA",C451&lt;&gt;"Compensación ISR",C451&lt;&gt;"Compensación IVA"),AND(C451="Gasto",D451&lt;&gt;"Costos clínicos",D451&lt;&gt;"Remuneración familiar",D451&lt;&gt;"Nómina y honorarios",D451&lt;&gt;"Renta",D451&lt;&gt;"Marketing",D451&lt;&gt;"Servicios y software",D451&lt;&gt;"Mantenimiento",D451&lt;&gt;"Otros",D451&lt;&gt;"Intereses")),"Tipo o categoría inválido",IF(COUNTA(A451:J451)=0,"",IF(OR(A451="",B451="",C451="",H451=""),"Faltan datos",IF(COUNTIF($A$7:$A$2006,A451)&gt;1,"ID duplicado",IF(OR(B451&lt;DATE(Configuración!$C$5,1,1),B451&gt;=DATE(Configuración!$C$5+1,1,1)),"Fecha fuera del año",IF(OR(H451&lt;0,I451&lt;0),"Revisar signo",IF(AND(C451&lt;&gt;"Gasto",I451&lt;&gt;0),"IVA solo en Gasto",IF(AND(C451="Gasto",D451=""),"Falta categoría","OK")))))))))</f>
        <v/>
      </c>
    </row>
    <row r="452" spans="1:12" ht="22" customHeight="1">
      <c r="A452" s="3"/>
      <c r="B452" s="7"/>
      <c r="C452" s="3"/>
      <c r="D452" s="3"/>
      <c r="E452" s="3"/>
      <c r="F452" s="3"/>
      <c r="G452" s="3"/>
      <c r="H452" s="4"/>
      <c r="I452" s="4"/>
      <c r="J452" s="3"/>
      <c r="K452" s="8" t="str">
        <f t="shared" si="6"/>
        <v/>
      </c>
      <c r="L452" s="1" t="str">
        <f>IF(COUNTA(A452:J452)=0,"",IF(OR(AND(C452&lt;&gt;"Gasto",C452&lt;&gt;"Pago proveedor",C452&lt;&gt;"Retiro familiar",C452&lt;&gt;"Aportación",C452&lt;&gt;"Pago activo",C452&lt;&gt;"ISR devengado",C452&lt;&gt;"Pago ISR",C452&lt;&gt;"Pago IVA",C452&lt;&gt;"Compensación ISR",C452&lt;&gt;"Compensación IVA"),AND(C452="Gasto",D452&lt;&gt;"Costos clínicos",D452&lt;&gt;"Remuneración familiar",D452&lt;&gt;"Nómina y honorarios",D452&lt;&gt;"Renta",D452&lt;&gt;"Marketing",D452&lt;&gt;"Servicios y software",D452&lt;&gt;"Mantenimiento",D452&lt;&gt;"Otros",D452&lt;&gt;"Intereses")),"Tipo o categoría inválido",IF(COUNTA(A452:J452)=0,"",IF(OR(A452="",B452="",C452="",H452=""),"Faltan datos",IF(COUNTIF($A$7:$A$2006,A452)&gt;1,"ID duplicado",IF(OR(B452&lt;DATE(Configuración!$C$5,1,1),B452&gt;=DATE(Configuración!$C$5+1,1,1)),"Fecha fuera del año",IF(OR(H452&lt;0,I452&lt;0),"Revisar signo",IF(AND(C452&lt;&gt;"Gasto",I452&lt;&gt;0),"IVA solo en Gasto",IF(AND(C452="Gasto",D452=""),"Falta categoría","OK")))))))))</f>
        <v/>
      </c>
    </row>
    <row r="453" spans="1:12" ht="22" customHeight="1">
      <c r="A453" s="3"/>
      <c r="B453" s="7"/>
      <c r="C453" s="3"/>
      <c r="D453" s="3"/>
      <c r="E453" s="3"/>
      <c r="F453" s="3"/>
      <c r="G453" s="3"/>
      <c r="H453" s="4"/>
      <c r="I453" s="4"/>
      <c r="J453" s="3"/>
      <c r="K453" s="8" t="str">
        <f t="shared" si="6"/>
        <v/>
      </c>
      <c r="L453" s="1" t="str">
        <f>IF(COUNTA(A453:J453)=0,"",IF(OR(AND(C453&lt;&gt;"Gasto",C453&lt;&gt;"Pago proveedor",C453&lt;&gt;"Retiro familiar",C453&lt;&gt;"Aportación",C453&lt;&gt;"Pago activo",C453&lt;&gt;"ISR devengado",C453&lt;&gt;"Pago ISR",C453&lt;&gt;"Pago IVA",C453&lt;&gt;"Compensación ISR",C453&lt;&gt;"Compensación IVA"),AND(C453="Gasto",D453&lt;&gt;"Costos clínicos",D453&lt;&gt;"Remuneración familiar",D453&lt;&gt;"Nómina y honorarios",D453&lt;&gt;"Renta",D453&lt;&gt;"Marketing",D453&lt;&gt;"Servicios y software",D453&lt;&gt;"Mantenimiento",D453&lt;&gt;"Otros",D453&lt;&gt;"Intereses")),"Tipo o categoría inválido",IF(COUNTA(A453:J453)=0,"",IF(OR(A453="",B453="",C453="",H453=""),"Faltan datos",IF(COUNTIF($A$7:$A$2006,A453)&gt;1,"ID duplicado",IF(OR(B453&lt;DATE(Configuración!$C$5,1,1),B453&gt;=DATE(Configuración!$C$5+1,1,1)),"Fecha fuera del año",IF(OR(H453&lt;0,I453&lt;0),"Revisar signo",IF(AND(C453&lt;&gt;"Gasto",I453&lt;&gt;0),"IVA solo en Gasto",IF(AND(C453="Gasto",D453=""),"Falta categoría","OK")))))))))</f>
        <v/>
      </c>
    </row>
    <row r="454" spans="1:12" ht="22" customHeight="1">
      <c r="A454" s="3"/>
      <c r="B454" s="7"/>
      <c r="C454" s="3"/>
      <c r="D454" s="3"/>
      <c r="E454" s="3"/>
      <c r="F454" s="3"/>
      <c r="G454" s="3"/>
      <c r="H454" s="4"/>
      <c r="I454" s="4"/>
      <c r="J454" s="3"/>
      <c r="K454" s="8" t="str">
        <f t="shared" si="6"/>
        <v/>
      </c>
      <c r="L454" s="1" t="str">
        <f>IF(COUNTA(A454:J454)=0,"",IF(OR(AND(C454&lt;&gt;"Gasto",C454&lt;&gt;"Pago proveedor",C454&lt;&gt;"Retiro familiar",C454&lt;&gt;"Aportación",C454&lt;&gt;"Pago activo",C454&lt;&gt;"ISR devengado",C454&lt;&gt;"Pago ISR",C454&lt;&gt;"Pago IVA",C454&lt;&gt;"Compensación ISR",C454&lt;&gt;"Compensación IVA"),AND(C454="Gasto",D454&lt;&gt;"Costos clínicos",D454&lt;&gt;"Remuneración familiar",D454&lt;&gt;"Nómina y honorarios",D454&lt;&gt;"Renta",D454&lt;&gt;"Marketing",D454&lt;&gt;"Servicios y software",D454&lt;&gt;"Mantenimiento",D454&lt;&gt;"Otros",D454&lt;&gt;"Intereses")),"Tipo o categoría inválido",IF(COUNTA(A454:J454)=0,"",IF(OR(A454="",B454="",C454="",H454=""),"Faltan datos",IF(COUNTIF($A$7:$A$2006,A454)&gt;1,"ID duplicado",IF(OR(B454&lt;DATE(Configuración!$C$5,1,1),B454&gt;=DATE(Configuración!$C$5+1,1,1)),"Fecha fuera del año",IF(OR(H454&lt;0,I454&lt;0),"Revisar signo",IF(AND(C454&lt;&gt;"Gasto",I454&lt;&gt;0),"IVA solo en Gasto",IF(AND(C454="Gasto",D454=""),"Falta categoría","OK")))))))))</f>
        <v/>
      </c>
    </row>
    <row r="455" spans="1:12" ht="22" customHeight="1">
      <c r="A455" s="3"/>
      <c r="B455" s="7"/>
      <c r="C455" s="3"/>
      <c r="D455" s="3"/>
      <c r="E455" s="3"/>
      <c r="F455" s="3"/>
      <c r="G455" s="3"/>
      <c r="H455" s="4"/>
      <c r="I455" s="4"/>
      <c r="J455" s="3"/>
      <c r="K455" s="8" t="str">
        <f t="shared" ref="K455:K518" si="7">IF(A455="","",H455+I455)</f>
        <v/>
      </c>
      <c r="L455" s="1" t="str">
        <f>IF(COUNTA(A455:J455)=0,"",IF(OR(AND(C455&lt;&gt;"Gasto",C455&lt;&gt;"Pago proveedor",C455&lt;&gt;"Retiro familiar",C455&lt;&gt;"Aportación",C455&lt;&gt;"Pago activo",C455&lt;&gt;"ISR devengado",C455&lt;&gt;"Pago ISR",C455&lt;&gt;"Pago IVA",C455&lt;&gt;"Compensación ISR",C455&lt;&gt;"Compensación IVA"),AND(C455="Gasto",D455&lt;&gt;"Costos clínicos",D455&lt;&gt;"Remuneración familiar",D455&lt;&gt;"Nómina y honorarios",D455&lt;&gt;"Renta",D455&lt;&gt;"Marketing",D455&lt;&gt;"Servicios y software",D455&lt;&gt;"Mantenimiento",D455&lt;&gt;"Otros",D455&lt;&gt;"Intereses")),"Tipo o categoría inválido",IF(COUNTA(A455:J455)=0,"",IF(OR(A455="",B455="",C455="",H455=""),"Faltan datos",IF(COUNTIF($A$7:$A$2006,A455)&gt;1,"ID duplicado",IF(OR(B455&lt;DATE(Configuración!$C$5,1,1),B455&gt;=DATE(Configuración!$C$5+1,1,1)),"Fecha fuera del año",IF(OR(H455&lt;0,I455&lt;0),"Revisar signo",IF(AND(C455&lt;&gt;"Gasto",I455&lt;&gt;0),"IVA solo en Gasto",IF(AND(C455="Gasto",D455=""),"Falta categoría","OK")))))))))</f>
        <v/>
      </c>
    </row>
    <row r="456" spans="1:12" ht="22" customHeight="1">
      <c r="A456" s="3"/>
      <c r="B456" s="7"/>
      <c r="C456" s="3"/>
      <c r="D456" s="3"/>
      <c r="E456" s="3"/>
      <c r="F456" s="3"/>
      <c r="G456" s="3"/>
      <c r="H456" s="4"/>
      <c r="I456" s="4"/>
      <c r="J456" s="3"/>
      <c r="K456" s="8" t="str">
        <f t="shared" si="7"/>
        <v/>
      </c>
      <c r="L456" s="1" t="str">
        <f>IF(COUNTA(A456:J456)=0,"",IF(OR(AND(C456&lt;&gt;"Gasto",C456&lt;&gt;"Pago proveedor",C456&lt;&gt;"Retiro familiar",C456&lt;&gt;"Aportación",C456&lt;&gt;"Pago activo",C456&lt;&gt;"ISR devengado",C456&lt;&gt;"Pago ISR",C456&lt;&gt;"Pago IVA",C456&lt;&gt;"Compensación ISR",C456&lt;&gt;"Compensación IVA"),AND(C456="Gasto",D456&lt;&gt;"Costos clínicos",D456&lt;&gt;"Remuneración familiar",D456&lt;&gt;"Nómina y honorarios",D456&lt;&gt;"Renta",D456&lt;&gt;"Marketing",D456&lt;&gt;"Servicios y software",D456&lt;&gt;"Mantenimiento",D456&lt;&gt;"Otros",D456&lt;&gt;"Intereses")),"Tipo o categoría inválido",IF(COUNTA(A456:J456)=0,"",IF(OR(A456="",B456="",C456="",H456=""),"Faltan datos",IF(COUNTIF($A$7:$A$2006,A456)&gt;1,"ID duplicado",IF(OR(B456&lt;DATE(Configuración!$C$5,1,1),B456&gt;=DATE(Configuración!$C$5+1,1,1)),"Fecha fuera del año",IF(OR(H456&lt;0,I456&lt;0),"Revisar signo",IF(AND(C456&lt;&gt;"Gasto",I456&lt;&gt;0),"IVA solo en Gasto",IF(AND(C456="Gasto",D456=""),"Falta categoría","OK")))))))))</f>
        <v/>
      </c>
    </row>
    <row r="457" spans="1:12" ht="22" customHeight="1">
      <c r="A457" s="3"/>
      <c r="B457" s="7"/>
      <c r="C457" s="3"/>
      <c r="D457" s="3"/>
      <c r="E457" s="3"/>
      <c r="F457" s="3"/>
      <c r="G457" s="3"/>
      <c r="H457" s="4"/>
      <c r="I457" s="4"/>
      <c r="J457" s="3"/>
      <c r="K457" s="8" t="str">
        <f t="shared" si="7"/>
        <v/>
      </c>
      <c r="L457" s="1" t="str">
        <f>IF(COUNTA(A457:J457)=0,"",IF(OR(AND(C457&lt;&gt;"Gasto",C457&lt;&gt;"Pago proveedor",C457&lt;&gt;"Retiro familiar",C457&lt;&gt;"Aportación",C457&lt;&gt;"Pago activo",C457&lt;&gt;"ISR devengado",C457&lt;&gt;"Pago ISR",C457&lt;&gt;"Pago IVA",C457&lt;&gt;"Compensación ISR",C457&lt;&gt;"Compensación IVA"),AND(C457="Gasto",D457&lt;&gt;"Costos clínicos",D457&lt;&gt;"Remuneración familiar",D457&lt;&gt;"Nómina y honorarios",D457&lt;&gt;"Renta",D457&lt;&gt;"Marketing",D457&lt;&gt;"Servicios y software",D457&lt;&gt;"Mantenimiento",D457&lt;&gt;"Otros",D457&lt;&gt;"Intereses")),"Tipo o categoría inválido",IF(COUNTA(A457:J457)=0,"",IF(OR(A457="",B457="",C457="",H457=""),"Faltan datos",IF(COUNTIF($A$7:$A$2006,A457)&gt;1,"ID duplicado",IF(OR(B457&lt;DATE(Configuración!$C$5,1,1),B457&gt;=DATE(Configuración!$C$5+1,1,1)),"Fecha fuera del año",IF(OR(H457&lt;0,I457&lt;0),"Revisar signo",IF(AND(C457&lt;&gt;"Gasto",I457&lt;&gt;0),"IVA solo en Gasto",IF(AND(C457="Gasto",D457=""),"Falta categoría","OK")))))))))</f>
        <v/>
      </c>
    </row>
    <row r="458" spans="1:12" ht="22" customHeight="1">
      <c r="A458" s="3"/>
      <c r="B458" s="7"/>
      <c r="C458" s="3"/>
      <c r="D458" s="3"/>
      <c r="E458" s="3"/>
      <c r="F458" s="3"/>
      <c r="G458" s="3"/>
      <c r="H458" s="4"/>
      <c r="I458" s="4"/>
      <c r="J458" s="3"/>
      <c r="K458" s="8" t="str">
        <f t="shared" si="7"/>
        <v/>
      </c>
      <c r="L458" s="1" t="str">
        <f>IF(COUNTA(A458:J458)=0,"",IF(OR(AND(C458&lt;&gt;"Gasto",C458&lt;&gt;"Pago proveedor",C458&lt;&gt;"Retiro familiar",C458&lt;&gt;"Aportación",C458&lt;&gt;"Pago activo",C458&lt;&gt;"ISR devengado",C458&lt;&gt;"Pago ISR",C458&lt;&gt;"Pago IVA",C458&lt;&gt;"Compensación ISR",C458&lt;&gt;"Compensación IVA"),AND(C458="Gasto",D458&lt;&gt;"Costos clínicos",D458&lt;&gt;"Remuneración familiar",D458&lt;&gt;"Nómina y honorarios",D458&lt;&gt;"Renta",D458&lt;&gt;"Marketing",D458&lt;&gt;"Servicios y software",D458&lt;&gt;"Mantenimiento",D458&lt;&gt;"Otros",D458&lt;&gt;"Intereses")),"Tipo o categoría inválido",IF(COUNTA(A458:J458)=0,"",IF(OR(A458="",B458="",C458="",H458=""),"Faltan datos",IF(COUNTIF($A$7:$A$2006,A458)&gt;1,"ID duplicado",IF(OR(B458&lt;DATE(Configuración!$C$5,1,1),B458&gt;=DATE(Configuración!$C$5+1,1,1)),"Fecha fuera del año",IF(OR(H458&lt;0,I458&lt;0),"Revisar signo",IF(AND(C458&lt;&gt;"Gasto",I458&lt;&gt;0),"IVA solo en Gasto",IF(AND(C458="Gasto",D458=""),"Falta categoría","OK")))))))))</f>
        <v/>
      </c>
    </row>
    <row r="459" spans="1:12" ht="22" customHeight="1">
      <c r="A459" s="3"/>
      <c r="B459" s="7"/>
      <c r="C459" s="3"/>
      <c r="D459" s="3"/>
      <c r="E459" s="3"/>
      <c r="F459" s="3"/>
      <c r="G459" s="3"/>
      <c r="H459" s="4"/>
      <c r="I459" s="4"/>
      <c r="J459" s="3"/>
      <c r="K459" s="8" t="str">
        <f t="shared" si="7"/>
        <v/>
      </c>
      <c r="L459" s="1" t="str">
        <f>IF(COUNTA(A459:J459)=0,"",IF(OR(AND(C459&lt;&gt;"Gasto",C459&lt;&gt;"Pago proveedor",C459&lt;&gt;"Retiro familiar",C459&lt;&gt;"Aportación",C459&lt;&gt;"Pago activo",C459&lt;&gt;"ISR devengado",C459&lt;&gt;"Pago ISR",C459&lt;&gt;"Pago IVA",C459&lt;&gt;"Compensación ISR",C459&lt;&gt;"Compensación IVA"),AND(C459="Gasto",D459&lt;&gt;"Costos clínicos",D459&lt;&gt;"Remuneración familiar",D459&lt;&gt;"Nómina y honorarios",D459&lt;&gt;"Renta",D459&lt;&gt;"Marketing",D459&lt;&gt;"Servicios y software",D459&lt;&gt;"Mantenimiento",D459&lt;&gt;"Otros",D459&lt;&gt;"Intereses")),"Tipo o categoría inválido",IF(COUNTA(A459:J459)=0,"",IF(OR(A459="",B459="",C459="",H459=""),"Faltan datos",IF(COUNTIF($A$7:$A$2006,A459)&gt;1,"ID duplicado",IF(OR(B459&lt;DATE(Configuración!$C$5,1,1),B459&gt;=DATE(Configuración!$C$5+1,1,1)),"Fecha fuera del año",IF(OR(H459&lt;0,I459&lt;0),"Revisar signo",IF(AND(C459&lt;&gt;"Gasto",I459&lt;&gt;0),"IVA solo en Gasto",IF(AND(C459="Gasto",D459=""),"Falta categoría","OK")))))))))</f>
        <v/>
      </c>
    </row>
    <row r="460" spans="1:12" ht="22" customHeight="1">
      <c r="A460" s="3"/>
      <c r="B460" s="7"/>
      <c r="C460" s="3"/>
      <c r="D460" s="3"/>
      <c r="E460" s="3"/>
      <c r="F460" s="3"/>
      <c r="G460" s="3"/>
      <c r="H460" s="4"/>
      <c r="I460" s="4"/>
      <c r="J460" s="3"/>
      <c r="K460" s="8" t="str">
        <f t="shared" si="7"/>
        <v/>
      </c>
      <c r="L460" s="1" t="str">
        <f>IF(COUNTA(A460:J460)=0,"",IF(OR(AND(C460&lt;&gt;"Gasto",C460&lt;&gt;"Pago proveedor",C460&lt;&gt;"Retiro familiar",C460&lt;&gt;"Aportación",C460&lt;&gt;"Pago activo",C460&lt;&gt;"ISR devengado",C460&lt;&gt;"Pago ISR",C460&lt;&gt;"Pago IVA",C460&lt;&gt;"Compensación ISR",C460&lt;&gt;"Compensación IVA"),AND(C460="Gasto",D460&lt;&gt;"Costos clínicos",D460&lt;&gt;"Remuneración familiar",D460&lt;&gt;"Nómina y honorarios",D460&lt;&gt;"Renta",D460&lt;&gt;"Marketing",D460&lt;&gt;"Servicios y software",D460&lt;&gt;"Mantenimiento",D460&lt;&gt;"Otros",D460&lt;&gt;"Intereses")),"Tipo o categoría inválido",IF(COUNTA(A460:J460)=0,"",IF(OR(A460="",B460="",C460="",H460=""),"Faltan datos",IF(COUNTIF($A$7:$A$2006,A460)&gt;1,"ID duplicado",IF(OR(B460&lt;DATE(Configuración!$C$5,1,1),B460&gt;=DATE(Configuración!$C$5+1,1,1)),"Fecha fuera del año",IF(OR(H460&lt;0,I460&lt;0),"Revisar signo",IF(AND(C460&lt;&gt;"Gasto",I460&lt;&gt;0),"IVA solo en Gasto",IF(AND(C460="Gasto",D460=""),"Falta categoría","OK")))))))))</f>
        <v/>
      </c>
    </row>
    <row r="461" spans="1:12" ht="22" customHeight="1">
      <c r="A461" s="3"/>
      <c r="B461" s="7"/>
      <c r="C461" s="3"/>
      <c r="D461" s="3"/>
      <c r="E461" s="3"/>
      <c r="F461" s="3"/>
      <c r="G461" s="3"/>
      <c r="H461" s="4"/>
      <c r="I461" s="4"/>
      <c r="J461" s="3"/>
      <c r="K461" s="8" t="str">
        <f t="shared" si="7"/>
        <v/>
      </c>
      <c r="L461" s="1" t="str">
        <f>IF(COUNTA(A461:J461)=0,"",IF(OR(AND(C461&lt;&gt;"Gasto",C461&lt;&gt;"Pago proveedor",C461&lt;&gt;"Retiro familiar",C461&lt;&gt;"Aportación",C461&lt;&gt;"Pago activo",C461&lt;&gt;"ISR devengado",C461&lt;&gt;"Pago ISR",C461&lt;&gt;"Pago IVA",C461&lt;&gt;"Compensación ISR",C461&lt;&gt;"Compensación IVA"),AND(C461="Gasto",D461&lt;&gt;"Costos clínicos",D461&lt;&gt;"Remuneración familiar",D461&lt;&gt;"Nómina y honorarios",D461&lt;&gt;"Renta",D461&lt;&gt;"Marketing",D461&lt;&gt;"Servicios y software",D461&lt;&gt;"Mantenimiento",D461&lt;&gt;"Otros",D461&lt;&gt;"Intereses")),"Tipo o categoría inválido",IF(COUNTA(A461:J461)=0,"",IF(OR(A461="",B461="",C461="",H461=""),"Faltan datos",IF(COUNTIF($A$7:$A$2006,A461)&gt;1,"ID duplicado",IF(OR(B461&lt;DATE(Configuración!$C$5,1,1),B461&gt;=DATE(Configuración!$C$5+1,1,1)),"Fecha fuera del año",IF(OR(H461&lt;0,I461&lt;0),"Revisar signo",IF(AND(C461&lt;&gt;"Gasto",I461&lt;&gt;0),"IVA solo en Gasto",IF(AND(C461="Gasto",D461=""),"Falta categoría","OK")))))))))</f>
        <v/>
      </c>
    </row>
    <row r="462" spans="1:12" ht="22" customHeight="1">
      <c r="A462" s="3"/>
      <c r="B462" s="7"/>
      <c r="C462" s="3"/>
      <c r="D462" s="3"/>
      <c r="E462" s="3"/>
      <c r="F462" s="3"/>
      <c r="G462" s="3"/>
      <c r="H462" s="4"/>
      <c r="I462" s="4"/>
      <c r="J462" s="3"/>
      <c r="K462" s="8" t="str">
        <f t="shared" si="7"/>
        <v/>
      </c>
      <c r="L462" s="1" t="str">
        <f>IF(COUNTA(A462:J462)=0,"",IF(OR(AND(C462&lt;&gt;"Gasto",C462&lt;&gt;"Pago proveedor",C462&lt;&gt;"Retiro familiar",C462&lt;&gt;"Aportación",C462&lt;&gt;"Pago activo",C462&lt;&gt;"ISR devengado",C462&lt;&gt;"Pago ISR",C462&lt;&gt;"Pago IVA",C462&lt;&gt;"Compensación ISR",C462&lt;&gt;"Compensación IVA"),AND(C462="Gasto",D462&lt;&gt;"Costos clínicos",D462&lt;&gt;"Remuneración familiar",D462&lt;&gt;"Nómina y honorarios",D462&lt;&gt;"Renta",D462&lt;&gt;"Marketing",D462&lt;&gt;"Servicios y software",D462&lt;&gt;"Mantenimiento",D462&lt;&gt;"Otros",D462&lt;&gt;"Intereses")),"Tipo o categoría inválido",IF(COUNTA(A462:J462)=0,"",IF(OR(A462="",B462="",C462="",H462=""),"Faltan datos",IF(COUNTIF($A$7:$A$2006,A462)&gt;1,"ID duplicado",IF(OR(B462&lt;DATE(Configuración!$C$5,1,1),B462&gt;=DATE(Configuración!$C$5+1,1,1)),"Fecha fuera del año",IF(OR(H462&lt;0,I462&lt;0),"Revisar signo",IF(AND(C462&lt;&gt;"Gasto",I462&lt;&gt;0),"IVA solo en Gasto",IF(AND(C462="Gasto",D462=""),"Falta categoría","OK")))))))))</f>
        <v/>
      </c>
    </row>
    <row r="463" spans="1:12" ht="22" customHeight="1">
      <c r="A463" s="3"/>
      <c r="B463" s="7"/>
      <c r="C463" s="3"/>
      <c r="D463" s="3"/>
      <c r="E463" s="3"/>
      <c r="F463" s="3"/>
      <c r="G463" s="3"/>
      <c r="H463" s="4"/>
      <c r="I463" s="4"/>
      <c r="J463" s="3"/>
      <c r="K463" s="8" t="str">
        <f t="shared" si="7"/>
        <v/>
      </c>
      <c r="L463" s="1" t="str">
        <f>IF(COUNTA(A463:J463)=0,"",IF(OR(AND(C463&lt;&gt;"Gasto",C463&lt;&gt;"Pago proveedor",C463&lt;&gt;"Retiro familiar",C463&lt;&gt;"Aportación",C463&lt;&gt;"Pago activo",C463&lt;&gt;"ISR devengado",C463&lt;&gt;"Pago ISR",C463&lt;&gt;"Pago IVA",C463&lt;&gt;"Compensación ISR",C463&lt;&gt;"Compensación IVA"),AND(C463="Gasto",D463&lt;&gt;"Costos clínicos",D463&lt;&gt;"Remuneración familiar",D463&lt;&gt;"Nómina y honorarios",D463&lt;&gt;"Renta",D463&lt;&gt;"Marketing",D463&lt;&gt;"Servicios y software",D463&lt;&gt;"Mantenimiento",D463&lt;&gt;"Otros",D463&lt;&gt;"Intereses")),"Tipo o categoría inválido",IF(COUNTA(A463:J463)=0,"",IF(OR(A463="",B463="",C463="",H463=""),"Faltan datos",IF(COUNTIF($A$7:$A$2006,A463)&gt;1,"ID duplicado",IF(OR(B463&lt;DATE(Configuración!$C$5,1,1),B463&gt;=DATE(Configuración!$C$5+1,1,1)),"Fecha fuera del año",IF(OR(H463&lt;0,I463&lt;0),"Revisar signo",IF(AND(C463&lt;&gt;"Gasto",I463&lt;&gt;0),"IVA solo en Gasto",IF(AND(C463="Gasto",D463=""),"Falta categoría","OK")))))))))</f>
        <v/>
      </c>
    </row>
    <row r="464" spans="1:12" ht="22" customHeight="1">
      <c r="A464" s="3"/>
      <c r="B464" s="7"/>
      <c r="C464" s="3"/>
      <c r="D464" s="3"/>
      <c r="E464" s="3"/>
      <c r="F464" s="3"/>
      <c r="G464" s="3"/>
      <c r="H464" s="4"/>
      <c r="I464" s="4"/>
      <c r="J464" s="3"/>
      <c r="K464" s="8" t="str">
        <f t="shared" si="7"/>
        <v/>
      </c>
      <c r="L464" s="1" t="str">
        <f>IF(COUNTA(A464:J464)=0,"",IF(OR(AND(C464&lt;&gt;"Gasto",C464&lt;&gt;"Pago proveedor",C464&lt;&gt;"Retiro familiar",C464&lt;&gt;"Aportación",C464&lt;&gt;"Pago activo",C464&lt;&gt;"ISR devengado",C464&lt;&gt;"Pago ISR",C464&lt;&gt;"Pago IVA",C464&lt;&gt;"Compensación ISR",C464&lt;&gt;"Compensación IVA"),AND(C464="Gasto",D464&lt;&gt;"Costos clínicos",D464&lt;&gt;"Remuneración familiar",D464&lt;&gt;"Nómina y honorarios",D464&lt;&gt;"Renta",D464&lt;&gt;"Marketing",D464&lt;&gt;"Servicios y software",D464&lt;&gt;"Mantenimiento",D464&lt;&gt;"Otros",D464&lt;&gt;"Intereses")),"Tipo o categoría inválido",IF(COUNTA(A464:J464)=0,"",IF(OR(A464="",B464="",C464="",H464=""),"Faltan datos",IF(COUNTIF($A$7:$A$2006,A464)&gt;1,"ID duplicado",IF(OR(B464&lt;DATE(Configuración!$C$5,1,1),B464&gt;=DATE(Configuración!$C$5+1,1,1)),"Fecha fuera del año",IF(OR(H464&lt;0,I464&lt;0),"Revisar signo",IF(AND(C464&lt;&gt;"Gasto",I464&lt;&gt;0),"IVA solo en Gasto",IF(AND(C464="Gasto",D464=""),"Falta categoría","OK")))))))))</f>
        <v/>
      </c>
    </row>
    <row r="465" spans="1:12" ht="22" customHeight="1">
      <c r="A465" s="3"/>
      <c r="B465" s="7"/>
      <c r="C465" s="3"/>
      <c r="D465" s="3"/>
      <c r="E465" s="3"/>
      <c r="F465" s="3"/>
      <c r="G465" s="3"/>
      <c r="H465" s="4"/>
      <c r="I465" s="4"/>
      <c r="J465" s="3"/>
      <c r="K465" s="8" t="str">
        <f t="shared" si="7"/>
        <v/>
      </c>
      <c r="L465" s="1" t="str">
        <f>IF(COUNTA(A465:J465)=0,"",IF(OR(AND(C465&lt;&gt;"Gasto",C465&lt;&gt;"Pago proveedor",C465&lt;&gt;"Retiro familiar",C465&lt;&gt;"Aportación",C465&lt;&gt;"Pago activo",C465&lt;&gt;"ISR devengado",C465&lt;&gt;"Pago ISR",C465&lt;&gt;"Pago IVA",C465&lt;&gt;"Compensación ISR",C465&lt;&gt;"Compensación IVA"),AND(C465="Gasto",D465&lt;&gt;"Costos clínicos",D465&lt;&gt;"Remuneración familiar",D465&lt;&gt;"Nómina y honorarios",D465&lt;&gt;"Renta",D465&lt;&gt;"Marketing",D465&lt;&gt;"Servicios y software",D465&lt;&gt;"Mantenimiento",D465&lt;&gt;"Otros",D465&lt;&gt;"Intereses")),"Tipo o categoría inválido",IF(COUNTA(A465:J465)=0,"",IF(OR(A465="",B465="",C465="",H465=""),"Faltan datos",IF(COUNTIF($A$7:$A$2006,A465)&gt;1,"ID duplicado",IF(OR(B465&lt;DATE(Configuración!$C$5,1,1),B465&gt;=DATE(Configuración!$C$5+1,1,1)),"Fecha fuera del año",IF(OR(H465&lt;0,I465&lt;0),"Revisar signo",IF(AND(C465&lt;&gt;"Gasto",I465&lt;&gt;0),"IVA solo en Gasto",IF(AND(C465="Gasto",D465=""),"Falta categoría","OK")))))))))</f>
        <v/>
      </c>
    </row>
    <row r="466" spans="1:12" ht="22" customHeight="1">
      <c r="A466" s="3"/>
      <c r="B466" s="7"/>
      <c r="C466" s="3"/>
      <c r="D466" s="3"/>
      <c r="E466" s="3"/>
      <c r="F466" s="3"/>
      <c r="G466" s="3"/>
      <c r="H466" s="4"/>
      <c r="I466" s="4"/>
      <c r="J466" s="3"/>
      <c r="K466" s="8" t="str">
        <f t="shared" si="7"/>
        <v/>
      </c>
      <c r="L466" s="1" t="str">
        <f>IF(COUNTA(A466:J466)=0,"",IF(OR(AND(C466&lt;&gt;"Gasto",C466&lt;&gt;"Pago proveedor",C466&lt;&gt;"Retiro familiar",C466&lt;&gt;"Aportación",C466&lt;&gt;"Pago activo",C466&lt;&gt;"ISR devengado",C466&lt;&gt;"Pago ISR",C466&lt;&gt;"Pago IVA",C466&lt;&gt;"Compensación ISR",C466&lt;&gt;"Compensación IVA"),AND(C466="Gasto",D466&lt;&gt;"Costos clínicos",D466&lt;&gt;"Remuneración familiar",D466&lt;&gt;"Nómina y honorarios",D466&lt;&gt;"Renta",D466&lt;&gt;"Marketing",D466&lt;&gt;"Servicios y software",D466&lt;&gt;"Mantenimiento",D466&lt;&gt;"Otros",D466&lt;&gt;"Intereses")),"Tipo o categoría inválido",IF(COUNTA(A466:J466)=0,"",IF(OR(A466="",B466="",C466="",H466=""),"Faltan datos",IF(COUNTIF($A$7:$A$2006,A466)&gt;1,"ID duplicado",IF(OR(B466&lt;DATE(Configuración!$C$5,1,1),B466&gt;=DATE(Configuración!$C$5+1,1,1)),"Fecha fuera del año",IF(OR(H466&lt;0,I466&lt;0),"Revisar signo",IF(AND(C466&lt;&gt;"Gasto",I466&lt;&gt;0),"IVA solo en Gasto",IF(AND(C466="Gasto",D466=""),"Falta categoría","OK")))))))))</f>
        <v/>
      </c>
    </row>
    <row r="467" spans="1:12" ht="22" customHeight="1">
      <c r="A467" s="3"/>
      <c r="B467" s="7"/>
      <c r="C467" s="3"/>
      <c r="D467" s="3"/>
      <c r="E467" s="3"/>
      <c r="F467" s="3"/>
      <c r="G467" s="3"/>
      <c r="H467" s="4"/>
      <c r="I467" s="4"/>
      <c r="J467" s="3"/>
      <c r="K467" s="8" t="str">
        <f t="shared" si="7"/>
        <v/>
      </c>
      <c r="L467" s="1" t="str">
        <f>IF(COUNTA(A467:J467)=0,"",IF(OR(AND(C467&lt;&gt;"Gasto",C467&lt;&gt;"Pago proveedor",C467&lt;&gt;"Retiro familiar",C467&lt;&gt;"Aportación",C467&lt;&gt;"Pago activo",C467&lt;&gt;"ISR devengado",C467&lt;&gt;"Pago ISR",C467&lt;&gt;"Pago IVA",C467&lt;&gt;"Compensación ISR",C467&lt;&gt;"Compensación IVA"),AND(C467="Gasto",D467&lt;&gt;"Costos clínicos",D467&lt;&gt;"Remuneración familiar",D467&lt;&gt;"Nómina y honorarios",D467&lt;&gt;"Renta",D467&lt;&gt;"Marketing",D467&lt;&gt;"Servicios y software",D467&lt;&gt;"Mantenimiento",D467&lt;&gt;"Otros",D467&lt;&gt;"Intereses")),"Tipo o categoría inválido",IF(COUNTA(A467:J467)=0,"",IF(OR(A467="",B467="",C467="",H467=""),"Faltan datos",IF(COUNTIF($A$7:$A$2006,A467)&gt;1,"ID duplicado",IF(OR(B467&lt;DATE(Configuración!$C$5,1,1),B467&gt;=DATE(Configuración!$C$5+1,1,1)),"Fecha fuera del año",IF(OR(H467&lt;0,I467&lt;0),"Revisar signo",IF(AND(C467&lt;&gt;"Gasto",I467&lt;&gt;0),"IVA solo en Gasto",IF(AND(C467="Gasto",D467=""),"Falta categoría","OK")))))))))</f>
        <v/>
      </c>
    </row>
    <row r="468" spans="1:12" ht="22" customHeight="1">
      <c r="A468" s="3"/>
      <c r="B468" s="7"/>
      <c r="C468" s="3"/>
      <c r="D468" s="3"/>
      <c r="E468" s="3"/>
      <c r="F468" s="3"/>
      <c r="G468" s="3"/>
      <c r="H468" s="4"/>
      <c r="I468" s="4"/>
      <c r="J468" s="3"/>
      <c r="K468" s="8" t="str">
        <f t="shared" si="7"/>
        <v/>
      </c>
      <c r="L468" s="1" t="str">
        <f>IF(COUNTA(A468:J468)=0,"",IF(OR(AND(C468&lt;&gt;"Gasto",C468&lt;&gt;"Pago proveedor",C468&lt;&gt;"Retiro familiar",C468&lt;&gt;"Aportación",C468&lt;&gt;"Pago activo",C468&lt;&gt;"ISR devengado",C468&lt;&gt;"Pago ISR",C468&lt;&gt;"Pago IVA",C468&lt;&gt;"Compensación ISR",C468&lt;&gt;"Compensación IVA"),AND(C468="Gasto",D468&lt;&gt;"Costos clínicos",D468&lt;&gt;"Remuneración familiar",D468&lt;&gt;"Nómina y honorarios",D468&lt;&gt;"Renta",D468&lt;&gt;"Marketing",D468&lt;&gt;"Servicios y software",D468&lt;&gt;"Mantenimiento",D468&lt;&gt;"Otros",D468&lt;&gt;"Intereses")),"Tipo o categoría inválido",IF(COUNTA(A468:J468)=0,"",IF(OR(A468="",B468="",C468="",H468=""),"Faltan datos",IF(COUNTIF($A$7:$A$2006,A468)&gt;1,"ID duplicado",IF(OR(B468&lt;DATE(Configuración!$C$5,1,1),B468&gt;=DATE(Configuración!$C$5+1,1,1)),"Fecha fuera del año",IF(OR(H468&lt;0,I468&lt;0),"Revisar signo",IF(AND(C468&lt;&gt;"Gasto",I468&lt;&gt;0),"IVA solo en Gasto",IF(AND(C468="Gasto",D468=""),"Falta categoría","OK")))))))))</f>
        <v/>
      </c>
    </row>
    <row r="469" spans="1:12" ht="22" customHeight="1">
      <c r="A469" s="3"/>
      <c r="B469" s="7"/>
      <c r="C469" s="3"/>
      <c r="D469" s="3"/>
      <c r="E469" s="3"/>
      <c r="F469" s="3"/>
      <c r="G469" s="3"/>
      <c r="H469" s="4"/>
      <c r="I469" s="4"/>
      <c r="J469" s="3"/>
      <c r="K469" s="8" t="str">
        <f t="shared" si="7"/>
        <v/>
      </c>
      <c r="L469" s="1" t="str">
        <f>IF(COUNTA(A469:J469)=0,"",IF(OR(AND(C469&lt;&gt;"Gasto",C469&lt;&gt;"Pago proveedor",C469&lt;&gt;"Retiro familiar",C469&lt;&gt;"Aportación",C469&lt;&gt;"Pago activo",C469&lt;&gt;"ISR devengado",C469&lt;&gt;"Pago ISR",C469&lt;&gt;"Pago IVA",C469&lt;&gt;"Compensación ISR",C469&lt;&gt;"Compensación IVA"),AND(C469="Gasto",D469&lt;&gt;"Costos clínicos",D469&lt;&gt;"Remuneración familiar",D469&lt;&gt;"Nómina y honorarios",D469&lt;&gt;"Renta",D469&lt;&gt;"Marketing",D469&lt;&gt;"Servicios y software",D469&lt;&gt;"Mantenimiento",D469&lt;&gt;"Otros",D469&lt;&gt;"Intereses")),"Tipo o categoría inválido",IF(COUNTA(A469:J469)=0,"",IF(OR(A469="",B469="",C469="",H469=""),"Faltan datos",IF(COUNTIF($A$7:$A$2006,A469)&gt;1,"ID duplicado",IF(OR(B469&lt;DATE(Configuración!$C$5,1,1),B469&gt;=DATE(Configuración!$C$5+1,1,1)),"Fecha fuera del año",IF(OR(H469&lt;0,I469&lt;0),"Revisar signo",IF(AND(C469&lt;&gt;"Gasto",I469&lt;&gt;0),"IVA solo en Gasto",IF(AND(C469="Gasto",D469=""),"Falta categoría","OK")))))))))</f>
        <v/>
      </c>
    </row>
    <row r="470" spans="1:12" ht="22" customHeight="1">
      <c r="A470" s="3"/>
      <c r="B470" s="7"/>
      <c r="C470" s="3"/>
      <c r="D470" s="3"/>
      <c r="E470" s="3"/>
      <c r="F470" s="3"/>
      <c r="G470" s="3"/>
      <c r="H470" s="4"/>
      <c r="I470" s="4"/>
      <c r="J470" s="3"/>
      <c r="K470" s="8" t="str">
        <f t="shared" si="7"/>
        <v/>
      </c>
      <c r="L470" s="1" t="str">
        <f>IF(COUNTA(A470:J470)=0,"",IF(OR(AND(C470&lt;&gt;"Gasto",C470&lt;&gt;"Pago proveedor",C470&lt;&gt;"Retiro familiar",C470&lt;&gt;"Aportación",C470&lt;&gt;"Pago activo",C470&lt;&gt;"ISR devengado",C470&lt;&gt;"Pago ISR",C470&lt;&gt;"Pago IVA",C470&lt;&gt;"Compensación ISR",C470&lt;&gt;"Compensación IVA"),AND(C470="Gasto",D470&lt;&gt;"Costos clínicos",D470&lt;&gt;"Remuneración familiar",D470&lt;&gt;"Nómina y honorarios",D470&lt;&gt;"Renta",D470&lt;&gt;"Marketing",D470&lt;&gt;"Servicios y software",D470&lt;&gt;"Mantenimiento",D470&lt;&gt;"Otros",D470&lt;&gt;"Intereses")),"Tipo o categoría inválido",IF(COUNTA(A470:J470)=0,"",IF(OR(A470="",B470="",C470="",H470=""),"Faltan datos",IF(COUNTIF($A$7:$A$2006,A470)&gt;1,"ID duplicado",IF(OR(B470&lt;DATE(Configuración!$C$5,1,1),B470&gt;=DATE(Configuración!$C$5+1,1,1)),"Fecha fuera del año",IF(OR(H470&lt;0,I470&lt;0),"Revisar signo",IF(AND(C470&lt;&gt;"Gasto",I470&lt;&gt;0),"IVA solo en Gasto",IF(AND(C470="Gasto",D470=""),"Falta categoría","OK")))))))))</f>
        <v/>
      </c>
    </row>
    <row r="471" spans="1:12" ht="22" customHeight="1">
      <c r="A471" s="3"/>
      <c r="B471" s="7"/>
      <c r="C471" s="3"/>
      <c r="D471" s="3"/>
      <c r="E471" s="3"/>
      <c r="F471" s="3"/>
      <c r="G471" s="3"/>
      <c r="H471" s="4"/>
      <c r="I471" s="4"/>
      <c r="J471" s="3"/>
      <c r="K471" s="8" t="str">
        <f t="shared" si="7"/>
        <v/>
      </c>
      <c r="L471" s="1" t="str">
        <f>IF(COUNTA(A471:J471)=0,"",IF(OR(AND(C471&lt;&gt;"Gasto",C471&lt;&gt;"Pago proveedor",C471&lt;&gt;"Retiro familiar",C471&lt;&gt;"Aportación",C471&lt;&gt;"Pago activo",C471&lt;&gt;"ISR devengado",C471&lt;&gt;"Pago ISR",C471&lt;&gt;"Pago IVA",C471&lt;&gt;"Compensación ISR",C471&lt;&gt;"Compensación IVA"),AND(C471="Gasto",D471&lt;&gt;"Costos clínicos",D471&lt;&gt;"Remuneración familiar",D471&lt;&gt;"Nómina y honorarios",D471&lt;&gt;"Renta",D471&lt;&gt;"Marketing",D471&lt;&gt;"Servicios y software",D471&lt;&gt;"Mantenimiento",D471&lt;&gt;"Otros",D471&lt;&gt;"Intereses")),"Tipo o categoría inválido",IF(COUNTA(A471:J471)=0,"",IF(OR(A471="",B471="",C471="",H471=""),"Faltan datos",IF(COUNTIF($A$7:$A$2006,A471)&gt;1,"ID duplicado",IF(OR(B471&lt;DATE(Configuración!$C$5,1,1),B471&gt;=DATE(Configuración!$C$5+1,1,1)),"Fecha fuera del año",IF(OR(H471&lt;0,I471&lt;0),"Revisar signo",IF(AND(C471&lt;&gt;"Gasto",I471&lt;&gt;0),"IVA solo en Gasto",IF(AND(C471="Gasto",D471=""),"Falta categoría","OK")))))))))</f>
        <v/>
      </c>
    </row>
    <row r="472" spans="1:12" ht="22" customHeight="1">
      <c r="A472" s="3"/>
      <c r="B472" s="7"/>
      <c r="C472" s="3"/>
      <c r="D472" s="3"/>
      <c r="E472" s="3"/>
      <c r="F472" s="3"/>
      <c r="G472" s="3"/>
      <c r="H472" s="4"/>
      <c r="I472" s="4"/>
      <c r="J472" s="3"/>
      <c r="K472" s="8" t="str">
        <f t="shared" si="7"/>
        <v/>
      </c>
      <c r="L472" s="1" t="str">
        <f>IF(COUNTA(A472:J472)=0,"",IF(OR(AND(C472&lt;&gt;"Gasto",C472&lt;&gt;"Pago proveedor",C472&lt;&gt;"Retiro familiar",C472&lt;&gt;"Aportación",C472&lt;&gt;"Pago activo",C472&lt;&gt;"ISR devengado",C472&lt;&gt;"Pago ISR",C472&lt;&gt;"Pago IVA",C472&lt;&gt;"Compensación ISR",C472&lt;&gt;"Compensación IVA"),AND(C472="Gasto",D472&lt;&gt;"Costos clínicos",D472&lt;&gt;"Remuneración familiar",D472&lt;&gt;"Nómina y honorarios",D472&lt;&gt;"Renta",D472&lt;&gt;"Marketing",D472&lt;&gt;"Servicios y software",D472&lt;&gt;"Mantenimiento",D472&lt;&gt;"Otros",D472&lt;&gt;"Intereses")),"Tipo o categoría inválido",IF(COUNTA(A472:J472)=0,"",IF(OR(A472="",B472="",C472="",H472=""),"Faltan datos",IF(COUNTIF($A$7:$A$2006,A472)&gt;1,"ID duplicado",IF(OR(B472&lt;DATE(Configuración!$C$5,1,1),B472&gt;=DATE(Configuración!$C$5+1,1,1)),"Fecha fuera del año",IF(OR(H472&lt;0,I472&lt;0),"Revisar signo",IF(AND(C472&lt;&gt;"Gasto",I472&lt;&gt;0),"IVA solo en Gasto",IF(AND(C472="Gasto",D472=""),"Falta categoría","OK")))))))))</f>
        <v/>
      </c>
    </row>
    <row r="473" spans="1:12" ht="22" customHeight="1">
      <c r="A473" s="3"/>
      <c r="B473" s="7"/>
      <c r="C473" s="3"/>
      <c r="D473" s="3"/>
      <c r="E473" s="3"/>
      <c r="F473" s="3"/>
      <c r="G473" s="3"/>
      <c r="H473" s="4"/>
      <c r="I473" s="4"/>
      <c r="J473" s="3"/>
      <c r="K473" s="8" t="str">
        <f t="shared" si="7"/>
        <v/>
      </c>
      <c r="L473" s="1" t="str">
        <f>IF(COUNTA(A473:J473)=0,"",IF(OR(AND(C473&lt;&gt;"Gasto",C473&lt;&gt;"Pago proveedor",C473&lt;&gt;"Retiro familiar",C473&lt;&gt;"Aportación",C473&lt;&gt;"Pago activo",C473&lt;&gt;"ISR devengado",C473&lt;&gt;"Pago ISR",C473&lt;&gt;"Pago IVA",C473&lt;&gt;"Compensación ISR",C473&lt;&gt;"Compensación IVA"),AND(C473="Gasto",D473&lt;&gt;"Costos clínicos",D473&lt;&gt;"Remuneración familiar",D473&lt;&gt;"Nómina y honorarios",D473&lt;&gt;"Renta",D473&lt;&gt;"Marketing",D473&lt;&gt;"Servicios y software",D473&lt;&gt;"Mantenimiento",D473&lt;&gt;"Otros",D473&lt;&gt;"Intereses")),"Tipo o categoría inválido",IF(COUNTA(A473:J473)=0,"",IF(OR(A473="",B473="",C473="",H473=""),"Faltan datos",IF(COUNTIF($A$7:$A$2006,A473)&gt;1,"ID duplicado",IF(OR(B473&lt;DATE(Configuración!$C$5,1,1),B473&gt;=DATE(Configuración!$C$5+1,1,1)),"Fecha fuera del año",IF(OR(H473&lt;0,I473&lt;0),"Revisar signo",IF(AND(C473&lt;&gt;"Gasto",I473&lt;&gt;0),"IVA solo en Gasto",IF(AND(C473="Gasto",D473=""),"Falta categoría","OK")))))))))</f>
        <v/>
      </c>
    </row>
    <row r="474" spans="1:12" ht="22" customHeight="1">
      <c r="A474" s="3"/>
      <c r="B474" s="7"/>
      <c r="C474" s="3"/>
      <c r="D474" s="3"/>
      <c r="E474" s="3"/>
      <c r="F474" s="3"/>
      <c r="G474" s="3"/>
      <c r="H474" s="4"/>
      <c r="I474" s="4"/>
      <c r="J474" s="3"/>
      <c r="K474" s="8" t="str">
        <f t="shared" si="7"/>
        <v/>
      </c>
      <c r="L474" s="1" t="str">
        <f>IF(COUNTA(A474:J474)=0,"",IF(OR(AND(C474&lt;&gt;"Gasto",C474&lt;&gt;"Pago proveedor",C474&lt;&gt;"Retiro familiar",C474&lt;&gt;"Aportación",C474&lt;&gt;"Pago activo",C474&lt;&gt;"ISR devengado",C474&lt;&gt;"Pago ISR",C474&lt;&gt;"Pago IVA",C474&lt;&gt;"Compensación ISR",C474&lt;&gt;"Compensación IVA"),AND(C474="Gasto",D474&lt;&gt;"Costos clínicos",D474&lt;&gt;"Remuneración familiar",D474&lt;&gt;"Nómina y honorarios",D474&lt;&gt;"Renta",D474&lt;&gt;"Marketing",D474&lt;&gt;"Servicios y software",D474&lt;&gt;"Mantenimiento",D474&lt;&gt;"Otros",D474&lt;&gt;"Intereses")),"Tipo o categoría inválido",IF(COUNTA(A474:J474)=0,"",IF(OR(A474="",B474="",C474="",H474=""),"Faltan datos",IF(COUNTIF($A$7:$A$2006,A474)&gt;1,"ID duplicado",IF(OR(B474&lt;DATE(Configuración!$C$5,1,1),B474&gt;=DATE(Configuración!$C$5+1,1,1)),"Fecha fuera del año",IF(OR(H474&lt;0,I474&lt;0),"Revisar signo",IF(AND(C474&lt;&gt;"Gasto",I474&lt;&gt;0),"IVA solo en Gasto",IF(AND(C474="Gasto",D474=""),"Falta categoría","OK")))))))))</f>
        <v/>
      </c>
    </row>
    <row r="475" spans="1:12" ht="22" customHeight="1">
      <c r="A475" s="3"/>
      <c r="B475" s="7"/>
      <c r="C475" s="3"/>
      <c r="D475" s="3"/>
      <c r="E475" s="3"/>
      <c r="F475" s="3"/>
      <c r="G475" s="3"/>
      <c r="H475" s="4"/>
      <c r="I475" s="4"/>
      <c r="J475" s="3"/>
      <c r="K475" s="8" t="str">
        <f t="shared" si="7"/>
        <v/>
      </c>
      <c r="L475" s="1" t="str">
        <f>IF(COUNTA(A475:J475)=0,"",IF(OR(AND(C475&lt;&gt;"Gasto",C475&lt;&gt;"Pago proveedor",C475&lt;&gt;"Retiro familiar",C475&lt;&gt;"Aportación",C475&lt;&gt;"Pago activo",C475&lt;&gt;"ISR devengado",C475&lt;&gt;"Pago ISR",C475&lt;&gt;"Pago IVA",C475&lt;&gt;"Compensación ISR",C475&lt;&gt;"Compensación IVA"),AND(C475="Gasto",D475&lt;&gt;"Costos clínicos",D475&lt;&gt;"Remuneración familiar",D475&lt;&gt;"Nómina y honorarios",D475&lt;&gt;"Renta",D475&lt;&gt;"Marketing",D475&lt;&gt;"Servicios y software",D475&lt;&gt;"Mantenimiento",D475&lt;&gt;"Otros",D475&lt;&gt;"Intereses")),"Tipo o categoría inválido",IF(COUNTA(A475:J475)=0,"",IF(OR(A475="",B475="",C475="",H475=""),"Faltan datos",IF(COUNTIF($A$7:$A$2006,A475)&gt;1,"ID duplicado",IF(OR(B475&lt;DATE(Configuración!$C$5,1,1),B475&gt;=DATE(Configuración!$C$5+1,1,1)),"Fecha fuera del año",IF(OR(H475&lt;0,I475&lt;0),"Revisar signo",IF(AND(C475&lt;&gt;"Gasto",I475&lt;&gt;0),"IVA solo en Gasto",IF(AND(C475="Gasto",D475=""),"Falta categoría","OK")))))))))</f>
        <v/>
      </c>
    </row>
    <row r="476" spans="1:12" ht="22" customHeight="1">
      <c r="A476" s="3"/>
      <c r="B476" s="7"/>
      <c r="C476" s="3"/>
      <c r="D476" s="3"/>
      <c r="E476" s="3"/>
      <c r="F476" s="3"/>
      <c r="G476" s="3"/>
      <c r="H476" s="4"/>
      <c r="I476" s="4"/>
      <c r="J476" s="3"/>
      <c r="K476" s="8" t="str">
        <f t="shared" si="7"/>
        <v/>
      </c>
      <c r="L476" s="1" t="str">
        <f>IF(COUNTA(A476:J476)=0,"",IF(OR(AND(C476&lt;&gt;"Gasto",C476&lt;&gt;"Pago proveedor",C476&lt;&gt;"Retiro familiar",C476&lt;&gt;"Aportación",C476&lt;&gt;"Pago activo",C476&lt;&gt;"ISR devengado",C476&lt;&gt;"Pago ISR",C476&lt;&gt;"Pago IVA",C476&lt;&gt;"Compensación ISR",C476&lt;&gt;"Compensación IVA"),AND(C476="Gasto",D476&lt;&gt;"Costos clínicos",D476&lt;&gt;"Remuneración familiar",D476&lt;&gt;"Nómina y honorarios",D476&lt;&gt;"Renta",D476&lt;&gt;"Marketing",D476&lt;&gt;"Servicios y software",D476&lt;&gt;"Mantenimiento",D476&lt;&gt;"Otros",D476&lt;&gt;"Intereses")),"Tipo o categoría inválido",IF(COUNTA(A476:J476)=0,"",IF(OR(A476="",B476="",C476="",H476=""),"Faltan datos",IF(COUNTIF($A$7:$A$2006,A476)&gt;1,"ID duplicado",IF(OR(B476&lt;DATE(Configuración!$C$5,1,1),B476&gt;=DATE(Configuración!$C$5+1,1,1)),"Fecha fuera del año",IF(OR(H476&lt;0,I476&lt;0),"Revisar signo",IF(AND(C476&lt;&gt;"Gasto",I476&lt;&gt;0),"IVA solo en Gasto",IF(AND(C476="Gasto",D476=""),"Falta categoría","OK")))))))))</f>
        <v/>
      </c>
    </row>
    <row r="477" spans="1:12" ht="22" customHeight="1">
      <c r="A477" s="3"/>
      <c r="B477" s="7"/>
      <c r="C477" s="3"/>
      <c r="D477" s="3"/>
      <c r="E477" s="3"/>
      <c r="F477" s="3"/>
      <c r="G477" s="3"/>
      <c r="H477" s="4"/>
      <c r="I477" s="4"/>
      <c r="J477" s="3"/>
      <c r="K477" s="8" t="str">
        <f t="shared" si="7"/>
        <v/>
      </c>
      <c r="L477" s="1" t="str">
        <f>IF(COUNTA(A477:J477)=0,"",IF(OR(AND(C477&lt;&gt;"Gasto",C477&lt;&gt;"Pago proveedor",C477&lt;&gt;"Retiro familiar",C477&lt;&gt;"Aportación",C477&lt;&gt;"Pago activo",C477&lt;&gt;"ISR devengado",C477&lt;&gt;"Pago ISR",C477&lt;&gt;"Pago IVA",C477&lt;&gt;"Compensación ISR",C477&lt;&gt;"Compensación IVA"),AND(C477="Gasto",D477&lt;&gt;"Costos clínicos",D477&lt;&gt;"Remuneración familiar",D477&lt;&gt;"Nómina y honorarios",D477&lt;&gt;"Renta",D477&lt;&gt;"Marketing",D477&lt;&gt;"Servicios y software",D477&lt;&gt;"Mantenimiento",D477&lt;&gt;"Otros",D477&lt;&gt;"Intereses")),"Tipo o categoría inválido",IF(COUNTA(A477:J477)=0,"",IF(OR(A477="",B477="",C477="",H477=""),"Faltan datos",IF(COUNTIF($A$7:$A$2006,A477)&gt;1,"ID duplicado",IF(OR(B477&lt;DATE(Configuración!$C$5,1,1),B477&gt;=DATE(Configuración!$C$5+1,1,1)),"Fecha fuera del año",IF(OR(H477&lt;0,I477&lt;0),"Revisar signo",IF(AND(C477&lt;&gt;"Gasto",I477&lt;&gt;0),"IVA solo en Gasto",IF(AND(C477="Gasto",D477=""),"Falta categoría","OK")))))))))</f>
        <v/>
      </c>
    </row>
    <row r="478" spans="1:12" ht="22" customHeight="1">
      <c r="A478" s="3"/>
      <c r="B478" s="7"/>
      <c r="C478" s="3"/>
      <c r="D478" s="3"/>
      <c r="E478" s="3"/>
      <c r="F478" s="3"/>
      <c r="G478" s="3"/>
      <c r="H478" s="4"/>
      <c r="I478" s="4"/>
      <c r="J478" s="3"/>
      <c r="K478" s="8" t="str">
        <f t="shared" si="7"/>
        <v/>
      </c>
      <c r="L478" s="1" t="str">
        <f>IF(COUNTA(A478:J478)=0,"",IF(OR(AND(C478&lt;&gt;"Gasto",C478&lt;&gt;"Pago proveedor",C478&lt;&gt;"Retiro familiar",C478&lt;&gt;"Aportación",C478&lt;&gt;"Pago activo",C478&lt;&gt;"ISR devengado",C478&lt;&gt;"Pago ISR",C478&lt;&gt;"Pago IVA",C478&lt;&gt;"Compensación ISR",C478&lt;&gt;"Compensación IVA"),AND(C478="Gasto",D478&lt;&gt;"Costos clínicos",D478&lt;&gt;"Remuneración familiar",D478&lt;&gt;"Nómina y honorarios",D478&lt;&gt;"Renta",D478&lt;&gt;"Marketing",D478&lt;&gt;"Servicios y software",D478&lt;&gt;"Mantenimiento",D478&lt;&gt;"Otros",D478&lt;&gt;"Intereses")),"Tipo o categoría inválido",IF(COUNTA(A478:J478)=0,"",IF(OR(A478="",B478="",C478="",H478=""),"Faltan datos",IF(COUNTIF($A$7:$A$2006,A478)&gt;1,"ID duplicado",IF(OR(B478&lt;DATE(Configuración!$C$5,1,1),B478&gt;=DATE(Configuración!$C$5+1,1,1)),"Fecha fuera del año",IF(OR(H478&lt;0,I478&lt;0),"Revisar signo",IF(AND(C478&lt;&gt;"Gasto",I478&lt;&gt;0),"IVA solo en Gasto",IF(AND(C478="Gasto",D478=""),"Falta categoría","OK")))))))))</f>
        <v/>
      </c>
    </row>
    <row r="479" spans="1:12" ht="22" customHeight="1">
      <c r="A479" s="3"/>
      <c r="B479" s="7"/>
      <c r="C479" s="3"/>
      <c r="D479" s="3"/>
      <c r="E479" s="3"/>
      <c r="F479" s="3"/>
      <c r="G479" s="3"/>
      <c r="H479" s="4"/>
      <c r="I479" s="4"/>
      <c r="J479" s="3"/>
      <c r="K479" s="8" t="str">
        <f t="shared" si="7"/>
        <v/>
      </c>
      <c r="L479" s="1" t="str">
        <f>IF(COUNTA(A479:J479)=0,"",IF(OR(AND(C479&lt;&gt;"Gasto",C479&lt;&gt;"Pago proveedor",C479&lt;&gt;"Retiro familiar",C479&lt;&gt;"Aportación",C479&lt;&gt;"Pago activo",C479&lt;&gt;"ISR devengado",C479&lt;&gt;"Pago ISR",C479&lt;&gt;"Pago IVA",C479&lt;&gt;"Compensación ISR",C479&lt;&gt;"Compensación IVA"),AND(C479="Gasto",D479&lt;&gt;"Costos clínicos",D479&lt;&gt;"Remuneración familiar",D479&lt;&gt;"Nómina y honorarios",D479&lt;&gt;"Renta",D479&lt;&gt;"Marketing",D479&lt;&gt;"Servicios y software",D479&lt;&gt;"Mantenimiento",D479&lt;&gt;"Otros",D479&lt;&gt;"Intereses")),"Tipo o categoría inválido",IF(COUNTA(A479:J479)=0,"",IF(OR(A479="",B479="",C479="",H479=""),"Faltan datos",IF(COUNTIF($A$7:$A$2006,A479)&gt;1,"ID duplicado",IF(OR(B479&lt;DATE(Configuración!$C$5,1,1),B479&gt;=DATE(Configuración!$C$5+1,1,1)),"Fecha fuera del año",IF(OR(H479&lt;0,I479&lt;0),"Revisar signo",IF(AND(C479&lt;&gt;"Gasto",I479&lt;&gt;0),"IVA solo en Gasto",IF(AND(C479="Gasto",D479=""),"Falta categoría","OK")))))))))</f>
        <v/>
      </c>
    </row>
    <row r="480" spans="1:12" ht="22" customHeight="1">
      <c r="A480" s="3"/>
      <c r="B480" s="7"/>
      <c r="C480" s="3"/>
      <c r="D480" s="3"/>
      <c r="E480" s="3"/>
      <c r="F480" s="3"/>
      <c r="G480" s="3"/>
      <c r="H480" s="4"/>
      <c r="I480" s="4"/>
      <c r="J480" s="3"/>
      <c r="K480" s="8" t="str">
        <f t="shared" si="7"/>
        <v/>
      </c>
      <c r="L480" s="1" t="str">
        <f>IF(COUNTA(A480:J480)=0,"",IF(OR(AND(C480&lt;&gt;"Gasto",C480&lt;&gt;"Pago proveedor",C480&lt;&gt;"Retiro familiar",C480&lt;&gt;"Aportación",C480&lt;&gt;"Pago activo",C480&lt;&gt;"ISR devengado",C480&lt;&gt;"Pago ISR",C480&lt;&gt;"Pago IVA",C480&lt;&gt;"Compensación ISR",C480&lt;&gt;"Compensación IVA"),AND(C480="Gasto",D480&lt;&gt;"Costos clínicos",D480&lt;&gt;"Remuneración familiar",D480&lt;&gt;"Nómina y honorarios",D480&lt;&gt;"Renta",D480&lt;&gt;"Marketing",D480&lt;&gt;"Servicios y software",D480&lt;&gt;"Mantenimiento",D480&lt;&gt;"Otros",D480&lt;&gt;"Intereses")),"Tipo o categoría inválido",IF(COUNTA(A480:J480)=0,"",IF(OR(A480="",B480="",C480="",H480=""),"Faltan datos",IF(COUNTIF($A$7:$A$2006,A480)&gt;1,"ID duplicado",IF(OR(B480&lt;DATE(Configuración!$C$5,1,1),B480&gt;=DATE(Configuración!$C$5+1,1,1)),"Fecha fuera del año",IF(OR(H480&lt;0,I480&lt;0),"Revisar signo",IF(AND(C480&lt;&gt;"Gasto",I480&lt;&gt;0),"IVA solo en Gasto",IF(AND(C480="Gasto",D480=""),"Falta categoría","OK")))))))))</f>
        <v/>
      </c>
    </row>
    <row r="481" spans="1:12" ht="22" customHeight="1">
      <c r="A481" s="3"/>
      <c r="B481" s="7"/>
      <c r="C481" s="3"/>
      <c r="D481" s="3"/>
      <c r="E481" s="3"/>
      <c r="F481" s="3"/>
      <c r="G481" s="3"/>
      <c r="H481" s="4"/>
      <c r="I481" s="4"/>
      <c r="J481" s="3"/>
      <c r="K481" s="8" t="str">
        <f t="shared" si="7"/>
        <v/>
      </c>
      <c r="L481" s="1" t="str">
        <f>IF(COUNTA(A481:J481)=0,"",IF(OR(AND(C481&lt;&gt;"Gasto",C481&lt;&gt;"Pago proveedor",C481&lt;&gt;"Retiro familiar",C481&lt;&gt;"Aportación",C481&lt;&gt;"Pago activo",C481&lt;&gt;"ISR devengado",C481&lt;&gt;"Pago ISR",C481&lt;&gt;"Pago IVA",C481&lt;&gt;"Compensación ISR",C481&lt;&gt;"Compensación IVA"),AND(C481="Gasto",D481&lt;&gt;"Costos clínicos",D481&lt;&gt;"Remuneración familiar",D481&lt;&gt;"Nómina y honorarios",D481&lt;&gt;"Renta",D481&lt;&gt;"Marketing",D481&lt;&gt;"Servicios y software",D481&lt;&gt;"Mantenimiento",D481&lt;&gt;"Otros",D481&lt;&gt;"Intereses")),"Tipo o categoría inválido",IF(COUNTA(A481:J481)=0,"",IF(OR(A481="",B481="",C481="",H481=""),"Faltan datos",IF(COUNTIF($A$7:$A$2006,A481)&gt;1,"ID duplicado",IF(OR(B481&lt;DATE(Configuración!$C$5,1,1),B481&gt;=DATE(Configuración!$C$5+1,1,1)),"Fecha fuera del año",IF(OR(H481&lt;0,I481&lt;0),"Revisar signo",IF(AND(C481&lt;&gt;"Gasto",I481&lt;&gt;0),"IVA solo en Gasto",IF(AND(C481="Gasto",D481=""),"Falta categoría","OK")))))))))</f>
        <v/>
      </c>
    </row>
    <row r="482" spans="1:12" ht="22" customHeight="1">
      <c r="A482" s="3"/>
      <c r="B482" s="7"/>
      <c r="C482" s="3"/>
      <c r="D482" s="3"/>
      <c r="E482" s="3"/>
      <c r="F482" s="3"/>
      <c r="G482" s="3"/>
      <c r="H482" s="4"/>
      <c r="I482" s="4"/>
      <c r="J482" s="3"/>
      <c r="K482" s="8" t="str">
        <f t="shared" si="7"/>
        <v/>
      </c>
      <c r="L482" s="1" t="str">
        <f>IF(COUNTA(A482:J482)=0,"",IF(OR(AND(C482&lt;&gt;"Gasto",C482&lt;&gt;"Pago proveedor",C482&lt;&gt;"Retiro familiar",C482&lt;&gt;"Aportación",C482&lt;&gt;"Pago activo",C482&lt;&gt;"ISR devengado",C482&lt;&gt;"Pago ISR",C482&lt;&gt;"Pago IVA",C482&lt;&gt;"Compensación ISR",C482&lt;&gt;"Compensación IVA"),AND(C482="Gasto",D482&lt;&gt;"Costos clínicos",D482&lt;&gt;"Remuneración familiar",D482&lt;&gt;"Nómina y honorarios",D482&lt;&gt;"Renta",D482&lt;&gt;"Marketing",D482&lt;&gt;"Servicios y software",D482&lt;&gt;"Mantenimiento",D482&lt;&gt;"Otros",D482&lt;&gt;"Intereses")),"Tipo o categoría inválido",IF(COUNTA(A482:J482)=0,"",IF(OR(A482="",B482="",C482="",H482=""),"Faltan datos",IF(COUNTIF($A$7:$A$2006,A482)&gt;1,"ID duplicado",IF(OR(B482&lt;DATE(Configuración!$C$5,1,1),B482&gt;=DATE(Configuración!$C$5+1,1,1)),"Fecha fuera del año",IF(OR(H482&lt;0,I482&lt;0),"Revisar signo",IF(AND(C482&lt;&gt;"Gasto",I482&lt;&gt;0),"IVA solo en Gasto",IF(AND(C482="Gasto",D482=""),"Falta categoría","OK")))))))))</f>
        <v/>
      </c>
    </row>
    <row r="483" spans="1:12" ht="22" customHeight="1">
      <c r="A483" s="3"/>
      <c r="B483" s="7"/>
      <c r="C483" s="3"/>
      <c r="D483" s="3"/>
      <c r="E483" s="3"/>
      <c r="F483" s="3"/>
      <c r="G483" s="3"/>
      <c r="H483" s="4"/>
      <c r="I483" s="4"/>
      <c r="J483" s="3"/>
      <c r="K483" s="8" t="str">
        <f t="shared" si="7"/>
        <v/>
      </c>
      <c r="L483" s="1" t="str">
        <f>IF(COUNTA(A483:J483)=0,"",IF(OR(AND(C483&lt;&gt;"Gasto",C483&lt;&gt;"Pago proveedor",C483&lt;&gt;"Retiro familiar",C483&lt;&gt;"Aportación",C483&lt;&gt;"Pago activo",C483&lt;&gt;"ISR devengado",C483&lt;&gt;"Pago ISR",C483&lt;&gt;"Pago IVA",C483&lt;&gt;"Compensación ISR",C483&lt;&gt;"Compensación IVA"),AND(C483="Gasto",D483&lt;&gt;"Costos clínicos",D483&lt;&gt;"Remuneración familiar",D483&lt;&gt;"Nómina y honorarios",D483&lt;&gt;"Renta",D483&lt;&gt;"Marketing",D483&lt;&gt;"Servicios y software",D483&lt;&gt;"Mantenimiento",D483&lt;&gt;"Otros",D483&lt;&gt;"Intereses")),"Tipo o categoría inválido",IF(COUNTA(A483:J483)=0,"",IF(OR(A483="",B483="",C483="",H483=""),"Faltan datos",IF(COUNTIF($A$7:$A$2006,A483)&gt;1,"ID duplicado",IF(OR(B483&lt;DATE(Configuración!$C$5,1,1),B483&gt;=DATE(Configuración!$C$5+1,1,1)),"Fecha fuera del año",IF(OR(H483&lt;0,I483&lt;0),"Revisar signo",IF(AND(C483&lt;&gt;"Gasto",I483&lt;&gt;0),"IVA solo en Gasto",IF(AND(C483="Gasto",D483=""),"Falta categoría","OK")))))))))</f>
        <v/>
      </c>
    </row>
    <row r="484" spans="1:12" ht="22" customHeight="1">
      <c r="A484" s="3"/>
      <c r="B484" s="7"/>
      <c r="C484" s="3"/>
      <c r="D484" s="3"/>
      <c r="E484" s="3"/>
      <c r="F484" s="3"/>
      <c r="G484" s="3"/>
      <c r="H484" s="4"/>
      <c r="I484" s="4"/>
      <c r="J484" s="3"/>
      <c r="K484" s="8" t="str">
        <f t="shared" si="7"/>
        <v/>
      </c>
      <c r="L484" s="1" t="str">
        <f>IF(COUNTA(A484:J484)=0,"",IF(OR(AND(C484&lt;&gt;"Gasto",C484&lt;&gt;"Pago proveedor",C484&lt;&gt;"Retiro familiar",C484&lt;&gt;"Aportación",C484&lt;&gt;"Pago activo",C484&lt;&gt;"ISR devengado",C484&lt;&gt;"Pago ISR",C484&lt;&gt;"Pago IVA",C484&lt;&gt;"Compensación ISR",C484&lt;&gt;"Compensación IVA"),AND(C484="Gasto",D484&lt;&gt;"Costos clínicos",D484&lt;&gt;"Remuneración familiar",D484&lt;&gt;"Nómina y honorarios",D484&lt;&gt;"Renta",D484&lt;&gt;"Marketing",D484&lt;&gt;"Servicios y software",D484&lt;&gt;"Mantenimiento",D484&lt;&gt;"Otros",D484&lt;&gt;"Intereses")),"Tipo o categoría inválido",IF(COUNTA(A484:J484)=0,"",IF(OR(A484="",B484="",C484="",H484=""),"Faltan datos",IF(COUNTIF($A$7:$A$2006,A484)&gt;1,"ID duplicado",IF(OR(B484&lt;DATE(Configuración!$C$5,1,1),B484&gt;=DATE(Configuración!$C$5+1,1,1)),"Fecha fuera del año",IF(OR(H484&lt;0,I484&lt;0),"Revisar signo",IF(AND(C484&lt;&gt;"Gasto",I484&lt;&gt;0),"IVA solo en Gasto",IF(AND(C484="Gasto",D484=""),"Falta categoría","OK")))))))))</f>
        <v/>
      </c>
    </row>
    <row r="485" spans="1:12" ht="22" customHeight="1">
      <c r="A485" s="3"/>
      <c r="B485" s="7"/>
      <c r="C485" s="3"/>
      <c r="D485" s="3"/>
      <c r="E485" s="3"/>
      <c r="F485" s="3"/>
      <c r="G485" s="3"/>
      <c r="H485" s="4"/>
      <c r="I485" s="4"/>
      <c r="J485" s="3"/>
      <c r="K485" s="8" t="str">
        <f t="shared" si="7"/>
        <v/>
      </c>
      <c r="L485" s="1" t="str">
        <f>IF(COUNTA(A485:J485)=0,"",IF(OR(AND(C485&lt;&gt;"Gasto",C485&lt;&gt;"Pago proveedor",C485&lt;&gt;"Retiro familiar",C485&lt;&gt;"Aportación",C485&lt;&gt;"Pago activo",C485&lt;&gt;"ISR devengado",C485&lt;&gt;"Pago ISR",C485&lt;&gt;"Pago IVA",C485&lt;&gt;"Compensación ISR",C485&lt;&gt;"Compensación IVA"),AND(C485="Gasto",D485&lt;&gt;"Costos clínicos",D485&lt;&gt;"Remuneración familiar",D485&lt;&gt;"Nómina y honorarios",D485&lt;&gt;"Renta",D485&lt;&gt;"Marketing",D485&lt;&gt;"Servicios y software",D485&lt;&gt;"Mantenimiento",D485&lt;&gt;"Otros",D485&lt;&gt;"Intereses")),"Tipo o categoría inválido",IF(COUNTA(A485:J485)=0,"",IF(OR(A485="",B485="",C485="",H485=""),"Faltan datos",IF(COUNTIF($A$7:$A$2006,A485)&gt;1,"ID duplicado",IF(OR(B485&lt;DATE(Configuración!$C$5,1,1),B485&gt;=DATE(Configuración!$C$5+1,1,1)),"Fecha fuera del año",IF(OR(H485&lt;0,I485&lt;0),"Revisar signo",IF(AND(C485&lt;&gt;"Gasto",I485&lt;&gt;0),"IVA solo en Gasto",IF(AND(C485="Gasto",D485=""),"Falta categoría","OK")))))))))</f>
        <v/>
      </c>
    </row>
    <row r="486" spans="1:12" ht="22" customHeight="1">
      <c r="A486" s="3"/>
      <c r="B486" s="7"/>
      <c r="C486" s="3"/>
      <c r="D486" s="3"/>
      <c r="E486" s="3"/>
      <c r="F486" s="3"/>
      <c r="G486" s="3"/>
      <c r="H486" s="4"/>
      <c r="I486" s="4"/>
      <c r="J486" s="3"/>
      <c r="K486" s="8" t="str">
        <f t="shared" si="7"/>
        <v/>
      </c>
      <c r="L486" s="1" t="str">
        <f>IF(COUNTA(A486:J486)=0,"",IF(OR(AND(C486&lt;&gt;"Gasto",C486&lt;&gt;"Pago proveedor",C486&lt;&gt;"Retiro familiar",C486&lt;&gt;"Aportación",C486&lt;&gt;"Pago activo",C486&lt;&gt;"ISR devengado",C486&lt;&gt;"Pago ISR",C486&lt;&gt;"Pago IVA",C486&lt;&gt;"Compensación ISR",C486&lt;&gt;"Compensación IVA"),AND(C486="Gasto",D486&lt;&gt;"Costos clínicos",D486&lt;&gt;"Remuneración familiar",D486&lt;&gt;"Nómina y honorarios",D486&lt;&gt;"Renta",D486&lt;&gt;"Marketing",D486&lt;&gt;"Servicios y software",D486&lt;&gt;"Mantenimiento",D486&lt;&gt;"Otros",D486&lt;&gt;"Intereses")),"Tipo o categoría inválido",IF(COUNTA(A486:J486)=0,"",IF(OR(A486="",B486="",C486="",H486=""),"Faltan datos",IF(COUNTIF($A$7:$A$2006,A486)&gt;1,"ID duplicado",IF(OR(B486&lt;DATE(Configuración!$C$5,1,1),B486&gt;=DATE(Configuración!$C$5+1,1,1)),"Fecha fuera del año",IF(OR(H486&lt;0,I486&lt;0),"Revisar signo",IF(AND(C486&lt;&gt;"Gasto",I486&lt;&gt;0),"IVA solo en Gasto",IF(AND(C486="Gasto",D486=""),"Falta categoría","OK")))))))))</f>
        <v/>
      </c>
    </row>
    <row r="487" spans="1:12" ht="22" customHeight="1">
      <c r="A487" s="3"/>
      <c r="B487" s="7"/>
      <c r="C487" s="3"/>
      <c r="D487" s="3"/>
      <c r="E487" s="3"/>
      <c r="F487" s="3"/>
      <c r="G487" s="3"/>
      <c r="H487" s="4"/>
      <c r="I487" s="4"/>
      <c r="J487" s="3"/>
      <c r="K487" s="8" t="str">
        <f t="shared" si="7"/>
        <v/>
      </c>
      <c r="L487" s="1" t="str">
        <f>IF(COUNTA(A487:J487)=0,"",IF(OR(AND(C487&lt;&gt;"Gasto",C487&lt;&gt;"Pago proveedor",C487&lt;&gt;"Retiro familiar",C487&lt;&gt;"Aportación",C487&lt;&gt;"Pago activo",C487&lt;&gt;"ISR devengado",C487&lt;&gt;"Pago ISR",C487&lt;&gt;"Pago IVA",C487&lt;&gt;"Compensación ISR",C487&lt;&gt;"Compensación IVA"),AND(C487="Gasto",D487&lt;&gt;"Costos clínicos",D487&lt;&gt;"Remuneración familiar",D487&lt;&gt;"Nómina y honorarios",D487&lt;&gt;"Renta",D487&lt;&gt;"Marketing",D487&lt;&gt;"Servicios y software",D487&lt;&gt;"Mantenimiento",D487&lt;&gt;"Otros",D487&lt;&gt;"Intereses")),"Tipo o categoría inválido",IF(COUNTA(A487:J487)=0,"",IF(OR(A487="",B487="",C487="",H487=""),"Faltan datos",IF(COUNTIF($A$7:$A$2006,A487)&gt;1,"ID duplicado",IF(OR(B487&lt;DATE(Configuración!$C$5,1,1),B487&gt;=DATE(Configuración!$C$5+1,1,1)),"Fecha fuera del año",IF(OR(H487&lt;0,I487&lt;0),"Revisar signo",IF(AND(C487&lt;&gt;"Gasto",I487&lt;&gt;0),"IVA solo en Gasto",IF(AND(C487="Gasto",D487=""),"Falta categoría","OK")))))))))</f>
        <v/>
      </c>
    </row>
    <row r="488" spans="1:12" ht="22" customHeight="1">
      <c r="A488" s="3"/>
      <c r="B488" s="7"/>
      <c r="C488" s="3"/>
      <c r="D488" s="3"/>
      <c r="E488" s="3"/>
      <c r="F488" s="3"/>
      <c r="G488" s="3"/>
      <c r="H488" s="4"/>
      <c r="I488" s="4"/>
      <c r="J488" s="3"/>
      <c r="K488" s="8" t="str">
        <f t="shared" si="7"/>
        <v/>
      </c>
      <c r="L488" s="1" t="str">
        <f>IF(COUNTA(A488:J488)=0,"",IF(OR(AND(C488&lt;&gt;"Gasto",C488&lt;&gt;"Pago proveedor",C488&lt;&gt;"Retiro familiar",C488&lt;&gt;"Aportación",C488&lt;&gt;"Pago activo",C488&lt;&gt;"ISR devengado",C488&lt;&gt;"Pago ISR",C488&lt;&gt;"Pago IVA",C488&lt;&gt;"Compensación ISR",C488&lt;&gt;"Compensación IVA"),AND(C488="Gasto",D488&lt;&gt;"Costos clínicos",D488&lt;&gt;"Remuneración familiar",D488&lt;&gt;"Nómina y honorarios",D488&lt;&gt;"Renta",D488&lt;&gt;"Marketing",D488&lt;&gt;"Servicios y software",D488&lt;&gt;"Mantenimiento",D488&lt;&gt;"Otros",D488&lt;&gt;"Intereses")),"Tipo o categoría inválido",IF(COUNTA(A488:J488)=0,"",IF(OR(A488="",B488="",C488="",H488=""),"Faltan datos",IF(COUNTIF($A$7:$A$2006,A488)&gt;1,"ID duplicado",IF(OR(B488&lt;DATE(Configuración!$C$5,1,1),B488&gt;=DATE(Configuración!$C$5+1,1,1)),"Fecha fuera del año",IF(OR(H488&lt;0,I488&lt;0),"Revisar signo",IF(AND(C488&lt;&gt;"Gasto",I488&lt;&gt;0),"IVA solo en Gasto",IF(AND(C488="Gasto",D488=""),"Falta categoría","OK")))))))))</f>
        <v/>
      </c>
    </row>
    <row r="489" spans="1:12" ht="22" customHeight="1">
      <c r="A489" s="3"/>
      <c r="B489" s="7"/>
      <c r="C489" s="3"/>
      <c r="D489" s="3"/>
      <c r="E489" s="3"/>
      <c r="F489" s="3"/>
      <c r="G489" s="3"/>
      <c r="H489" s="4"/>
      <c r="I489" s="4"/>
      <c r="J489" s="3"/>
      <c r="K489" s="8" t="str">
        <f t="shared" si="7"/>
        <v/>
      </c>
      <c r="L489" s="1" t="str">
        <f>IF(COUNTA(A489:J489)=0,"",IF(OR(AND(C489&lt;&gt;"Gasto",C489&lt;&gt;"Pago proveedor",C489&lt;&gt;"Retiro familiar",C489&lt;&gt;"Aportación",C489&lt;&gt;"Pago activo",C489&lt;&gt;"ISR devengado",C489&lt;&gt;"Pago ISR",C489&lt;&gt;"Pago IVA",C489&lt;&gt;"Compensación ISR",C489&lt;&gt;"Compensación IVA"),AND(C489="Gasto",D489&lt;&gt;"Costos clínicos",D489&lt;&gt;"Remuneración familiar",D489&lt;&gt;"Nómina y honorarios",D489&lt;&gt;"Renta",D489&lt;&gt;"Marketing",D489&lt;&gt;"Servicios y software",D489&lt;&gt;"Mantenimiento",D489&lt;&gt;"Otros",D489&lt;&gt;"Intereses")),"Tipo o categoría inválido",IF(COUNTA(A489:J489)=0,"",IF(OR(A489="",B489="",C489="",H489=""),"Faltan datos",IF(COUNTIF($A$7:$A$2006,A489)&gt;1,"ID duplicado",IF(OR(B489&lt;DATE(Configuración!$C$5,1,1),B489&gt;=DATE(Configuración!$C$5+1,1,1)),"Fecha fuera del año",IF(OR(H489&lt;0,I489&lt;0),"Revisar signo",IF(AND(C489&lt;&gt;"Gasto",I489&lt;&gt;0),"IVA solo en Gasto",IF(AND(C489="Gasto",D489=""),"Falta categoría","OK")))))))))</f>
        <v/>
      </c>
    </row>
    <row r="490" spans="1:12" ht="22" customHeight="1">
      <c r="A490" s="3"/>
      <c r="B490" s="7"/>
      <c r="C490" s="3"/>
      <c r="D490" s="3"/>
      <c r="E490" s="3"/>
      <c r="F490" s="3"/>
      <c r="G490" s="3"/>
      <c r="H490" s="4"/>
      <c r="I490" s="4"/>
      <c r="J490" s="3"/>
      <c r="K490" s="8" t="str">
        <f t="shared" si="7"/>
        <v/>
      </c>
      <c r="L490" s="1" t="str">
        <f>IF(COUNTA(A490:J490)=0,"",IF(OR(AND(C490&lt;&gt;"Gasto",C490&lt;&gt;"Pago proveedor",C490&lt;&gt;"Retiro familiar",C490&lt;&gt;"Aportación",C490&lt;&gt;"Pago activo",C490&lt;&gt;"ISR devengado",C490&lt;&gt;"Pago ISR",C490&lt;&gt;"Pago IVA",C490&lt;&gt;"Compensación ISR",C490&lt;&gt;"Compensación IVA"),AND(C490="Gasto",D490&lt;&gt;"Costos clínicos",D490&lt;&gt;"Remuneración familiar",D490&lt;&gt;"Nómina y honorarios",D490&lt;&gt;"Renta",D490&lt;&gt;"Marketing",D490&lt;&gt;"Servicios y software",D490&lt;&gt;"Mantenimiento",D490&lt;&gt;"Otros",D490&lt;&gt;"Intereses")),"Tipo o categoría inválido",IF(COUNTA(A490:J490)=0,"",IF(OR(A490="",B490="",C490="",H490=""),"Faltan datos",IF(COUNTIF($A$7:$A$2006,A490)&gt;1,"ID duplicado",IF(OR(B490&lt;DATE(Configuración!$C$5,1,1),B490&gt;=DATE(Configuración!$C$5+1,1,1)),"Fecha fuera del año",IF(OR(H490&lt;0,I490&lt;0),"Revisar signo",IF(AND(C490&lt;&gt;"Gasto",I490&lt;&gt;0),"IVA solo en Gasto",IF(AND(C490="Gasto",D490=""),"Falta categoría","OK")))))))))</f>
        <v/>
      </c>
    </row>
    <row r="491" spans="1:12" ht="22" customHeight="1">
      <c r="A491" s="3"/>
      <c r="B491" s="7"/>
      <c r="C491" s="3"/>
      <c r="D491" s="3"/>
      <c r="E491" s="3"/>
      <c r="F491" s="3"/>
      <c r="G491" s="3"/>
      <c r="H491" s="4"/>
      <c r="I491" s="4"/>
      <c r="J491" s="3"/>
      <c r="K491" s="8" t="str">
        <f t="shared" si="7"/>
        <v/>
      </c>
      <c r="L491" s="1" t="str">
        <f>IF(COUNTA(A491:J491)=0,"",IF(OR(AND(C491&lt;&gt;"Gasto",C491&lt;&gt;"Pago proveedor",C491&lt;&gt;"Retiro familiar",C491&lt;&gt;"Aportación",C491&lt;&gt;"Pago activo",C491&lt;&gt;"ISR devengado",C491&lt;&gt;"Pago ISR",C491&lt;&gt;"Pago IVA",C491&lt;&gt;"Compensación ISR",C491&lt;&gt;"Compensación IVA"),AND(C491="Gasto",D491&lt;&gt;"Costos clínicos",D491&lt;&gt;"Remuneración familiar",D491&lt;&gt;"Nómina y honorarios",D491&lt;&gt;"Renta",D491&lt;&gt;"Marketing",D491&lt;&gt;"Servicios y software",D491&lt;&gt;"Mantenimiento",D491&lt;&gt;"Otros",D491&lt;&gt;"Intereses")),"Tipo o categoría inválido",IF(COUNTA(A491:J491)=0,"",IF(OR(A491="",B491="",C491="",H491=""),"Faltan datos",IF(COUNTIF($A$7:$A$2006,A491)&gt;1,"ID duplicado",IF(OR(B491&lt;DATE(Configuración!$C$5,1,1),B491&gt;=DATE(Configuración!$C$5+1,1,1)),"Fecha fuera del año",IF(OR(H491&lt;0,I491&lt;0),"Revisar signo",IF(AND(C491&lt;&gt;"Gasto",I491&lt;&gt;0),"IVA solo en Gasto",IF(AND(C491="Gasto",D491=""),"Falta categoría","OK")))))))))</f>
        <v/>
      </c>
    </row>
    <row r="492" spans="1:12" ht="22" customHeight="1">
      <c r="A492" s="3"/>
      <c r="B492" s="7"/>
      <c r="C492" s="3"/>
      <c r="D492" s="3"/>
      <c r="E492" s="3"/>
      <c r="F492" s="3"/>
      <c r="G492" s="3"/>
      <c r="H492" s="4"/>
      <c r="I492" s="4"/>
      <c r="J492" s="3"/>
      <c r="K492" s="8" t="str">
        <f t="shared" si="7"/>
        <v/>
      </c>
      <c r="L492" s="1" t="str">
        <f>IF(COUNTA(A492:J492)=0,"",IF(OR(AND(C492&lt;&gt;"Gasto",C492&lt;&gt;"Pago proveedor",C492&lt;&gt;"Retiro familiar",C492&lt;&gt;"Aportación",C492&lt;&gt;"Pago activo",C492&lt;&gt;"ISR devengado",C492&lt;&gt;"Pago ISR",C492&lt;&gt;"Pago IVA",C492&lt;&gt;"Compensación ISR",C492&lt;&gt;"Compensación IVA"),AND(C492="Gasto",D492&lt;&gt;"Costos clínicos",D492&lt;&gt;"Remuneración familiar",D492&lt;&gt;"Nómina y honorarios",D492&lt;&gt;"Renta",D492&lt;&gt;"Marketing",D492&lt;&gt;"Servicios y software",D492&lt;&gt;"Mantenimiento",D492&lt;&gt;"Otros",D492&lt;&gt;"Intereses")),"Tipo o categoría inválido",IF(COUNTA(A492:J492)=0,"",IF(OR(A492="",B492="",C492="",H492=""),"Faltan datos",IF(COUNTIF($A$7:$A$2006,A492)&gt;1,"ID duplicado",IF(OR(B492&lt;DATE(Configuración!$C$5,1,1),B492&gt;=DATE(Configuración!$C$5+1,1,1)),"Fecha fuera del año",IF(OR(H492&lt;0,I492&lt;0),"Revisar signo",IF(AND(C492&lt;&gt;"Gasto",I492&lt;&gt;0),"IVA solo en Gasto",IF(AND(C492="Gasto",D492=""),"Falta categoría","OK")))))))))</f>
        <v/>
      </c>
    </row>
    <row r="493" spans="1:12" ht="22" customHeight="1">
      <c r="A493" s="3"/>
      <c r="B493" s="7"/>
      <c r="C493" s="3"/>
      <c r="D493" s="3"/>
      <c r="E493" s="3"/>
      <c r="F493" s="3"/>
      <c r="G493" s="3"/>
      <c r="H493" s="4"/>
      <c r="I493" s="4"/>
      <c r="J493" s="3"/>
      <c r="K493" s="8" t="str">
        <f t="shared" si="7"/>
        <v/>
      </c>
      <c r="L493" s="1" t="str">
        <f>IF(COUNTA(A493:J493)=0,"",IF(OR(AND(C493&lt;&gt;"Gasto",C493&lt;&gt;"Pago proveedor",C493&lt;&gt;"Retiro familiar",C493&lt;&gt;"Aportación",C493&lt;&gt;"Pago activo",C493&lt;&gt;"ISR devengado",C493&lt;&gt;"Pago ISR",C493&lt;&gt;"Pago IVA",C493&lt;&gt;"Compensación ISR",C493&lt;&gt;"Compensación IVA"),AND(C493="Gasto",D493&lt;&gt;"Costos clínicos",D493&lt;&gt;"Remuneración familiar",D493&lt;&gt;"Nómina y honorarios",D493&lt;&gt;"Renta",D493&lt;&gt;"Marketing",D493&lt;&gt;"Servicios y software",D493&lt;&gt;"Mantenimiento",D493&lt;&gt;"Otros",D493&lt;&gt;"Intereses")),"Tipo o categoría inválido",IF(COUNTA(A493:J493)=0,"",IF(OR(A493="",B493="",C493="",H493=""),"Faltan datos",IF(COUNTIF($A$7:$A$2006,A493)&gt;1,"ID duplicado",IF(OR(B493&lt;DATE(Configuración!$C$5,1,1),B493&gt;=DATE(Configuración!$C$5+1,1,1)),"Fecha fuera del año",IF(OR(H493&lt;0,I493&lt;0),"Revisar signo",IF(AND(C493&lt;&gt;"Gasto",I493&lt;&gt;0),"IVA solo en Gasto",IF(AND(C493="Gasto",D493=""),"Falta categoría","OK")))))))))</f>
        <v/>
      </c>
    </row>
    <row r="494" spans="1:12" ht="22" customHeight="1">
      <c r="A494" s="3"/>
      <c r="B494" s="7"/>
      <c r="C494" s="3"/>
      <c r="D494" s="3"/>
      <c r="E494" s="3"/>
      <c r="F494" s="3"/>
      <c r="G494" s="3"/>
      <c r="H494" s="4"/>
      <c r="I494" s="4"/>
      <c r="J494" s="3"/>
      <c r="K494" s="8" t="str">
        <f t="shared" si="7"/>
        <v/>
      </c>
      <c r="L494" s="1" t="str">
        <f>IF(COUNTA(A494:J494)=0,"",IF(OR(AND(C494&lt;&gt;"Gasto",C494&lt;&gt;"Pago proveedor",C494&lt;&gt;"Retiro familiar",C494&lt;&gt;"Aportación",C494&lt;&gt;"Pago activo",C494&lt;&gt;"ISR devengado",C494&lt;&gt;"Pago ISR",C494&lt;&gt;"Pago IVA",C494&lt;&gt;"Compensación ISR",C494&lt;&gt;"Compensación IVA"),AND(C494="Gasto",D494&lt;&gt;"Costos clínicos",D494&lt;&gt;"Remuneración familiar",D494&lt;&gt;"Nómina y honorarios",D494&lt;&gt;"Renta",D494&lt;&gt;"Marketing",D494&lt;&gt;"Servicios y software",D494&lt;&gt;"Mantenimiento",D494&lt;&gt;"Otros",D494&lt;&gt;"Intereses")),"Tipo o categoría inválido",IF(COUNTA(A494:J494)=0,"",IF(OR(A494="",B494="",C494="",H494=""),"Faltan datos",IF(COUNTIF($A$7:$A$2006,A494)&gt;1,"ID duplicado",IF(OR(B494&lt;DATE(Configuración!$C$5,1,1),B494&gt;=DATE(Configuración!$C$5+1,1,1)),"Fecha fuera del año",IF(OR(H494&lt;0,I494&lt;0),"Revisar signo",IF(AND(C494&lt;&gt;"Gasto",I494&lt;&gt;0),"IVA solo en Gasto",IF(AND(C494="Gasto",D494=""),"Falta categoría","OK")))))))))</f>
        <v/>
      </c>
    </row>
    <row r="495" spans="1:12" ht="22" customHeight="1">
      <c r="A495" s="3"/>
      <c r="B495" s="7"/>
      <c r="C495" s="3"/>
      <c r="D495" s="3"/>
      <c r="E495" s="3"/>
      <c r="F495" s="3"/>
      <c r="G495" s="3"/>
      <c r="H495" s="4"/>
      <c r="I495" s="4"/>
      <c r="J495" s="3"/>
      <c r="K495" s="8" t="str">
        <f t="shared" si="7"/>
        <v/>
      </c>
      <c r="L495" s="1" t="str">
        <f>IF(COUNTA(A495:J495)=0,"",IF(OR(AND(C495&lt;&gt;"Gasto",C495&lt;&gt;"Pago proveedor",C495&lt;&gt;"Retiro familiar",C495&lt;&gt;"Aportación",C495&lt;&gt;"Pago activo",C495&lt;&gt;"ISR devengado",C495&lt;&gt;"Pago ISR",C495&lt;&gt;"Pago IVA",C495&lt;&gt;"Compensación ISR",C495&lt;&gt;"Compensación IVA"),AND(C495="Gasto",D495&lt;&gt;"Costos clínicos",D495&lt;&gt;"Remuneración familiar",D495&lt;&gt;"Nómina y honorarios",D495&lt;&gt;"Renta",D495&lt;&gt;"Marketing",D495&lt;&gt;"Servicios y software",D495&lt;&gt;"Mantenimiento",D495&lt;&gt;"Otros",D495&lt;&gt;"Intereses")),"Tipo o categoría inválido",IF(COUNTA(A495:J495)=0,"",IF(OR(A495="",B495="",C495="",H495=""),"Faltan datos",IF(COUNTIF($A$7:$A$2006,A495)&gt;1,"ID duplicado",IF(OR(B495&lt;DATE(Configuración!$C$5,1,1),B495&gt;=DATE(Configuración!$C$5+1,1,1)),"Fecha fuera del año",IF(OR(H495&lt;0,I495&lt;0),"Revisar signo",IF(AND(C495&lt;&gt;"Gasto",I495&lt;&gt;0),"IVA solo en Gasto",IF(AND(C495="Gasto",D495=""),"Falta categoría","OK")))))))))</f>
        <v/>
      </c>
    </row>
    <row r="496" spans="1:12" ht="22" customHeight="1">
      <c r="A496" s="3"/>
      <c r="B496" s="7"/>
      <c r="C496" s="3"/>
      <c r="D496" s="3"/>
      <c r="E496" s="3"/>
      <c r="F496" s="3"/>
      <c r="G496" s="3"/>
      <c r="H496" s="4"/>
      <c r="I496" s="4"/>
      <c r="J496" s="3"/>
      <c r="K496" s="8" t="str">
        <f t="shared" si="7"/>
        <v/>
      </c>
      <c r="L496" s="1" t="str">
        <f>IF(COUNTA(A496:J496)=0,"",IF(OR(AND(C496&lt;&gt;"Gasto",C496&lt;&gt;"Pago proveedor",C496&lt;&gt;"Retiro familiar",C496&lt;&gt;"Aportación",C496&lt;&gt;"Pago activo",C496&lt;&gt;"ISR devengado",C496&lt;&gt;"Pago ISR",C496&lt;&gt;"Pago IVA",C496&lt;&gt;"Compensación ISR",C496&lt;&gt;"Compensación IVA"),AND(C496="Gasto",D496&lt;&gt;"Costos clínicos",D496&lt;&gt;"Remuneración familiar",D496&lt;&gt;"Nómina y honorarios",D496&lt;&gt;"Renta",D496&lt;&gt;"Marketing",D496&lt;&gt;"Servicios y software",D496&lt;&gt;"Mantenimiento",D496&lt;&gt;"Otros",D496&lt;&gt;"Intereses")),"Tipo o categoría inválido",IF(COUNTA(A496:J496)=0,"",IF(OR(A496="",B496="",C496="",H496=""),"Faltan datos",IF(COUNTIF($A$7:$A$2006,A496)&gt;1,"ID duplicado",IF(OR(B496&lt;DATE(Configuración!$C$5,1,1),B496&gt;=DATE(Configuración!$C$5+1,1,1)),"Fecha fuera del año",IF(OR(H496&lt;0,I496&lt;0),"Revisar signo",IF(AND(C496&lt;&gt;"Gasto",I496&lt;&gt;0),"IVA solo en Gasto",IF(AND(C496="Gasto",D496=""),"Falta categoría","OK")))))))))</f>
        <v/>
      </c>
    </row>
    <row r="497" spans="1:12" ht="22" customHeight="1">
      <c r="A497" s="3"/>
      <c r="B497" s="7"/>
      <c r="C497" s="3"/>
      <c r="D497" s="3"/>
      <c r="E497" s="3"/>
      <c r="F497" s="3"/>
      <c r="G497" s="3"/>
      <c r="H497" s="4"/>
      <c r="I497" s="4"/>
      <c r="J497" s="3"/>
      <c r="K497" s="8" t="str">
        <f t="shared" si="7"/>
        <v/>
      </c>
      <c r="L497" s="1" t="str">
        <f>IF(COUNTA(A497:J497)=0,"",IF(OR(AND(C497&lt;&gt;"Gasto",C497&lt;&gt;"Pago proveedor",C497&lt;&gt;"Retiro familiar",C497&lt;&gt;"Aportación",C497&lt;&gt;"Pago activo",C497&lt;&gt;"ISR devengado",C497&lt;&gt;"Pago ISR",C497&lt;&gt;"Pago IVA",C497&lt;&gt;"Compensación ISR",C497&lt;&gt;"Compensación IVA"),AND(C497="Gasto",D497&lt;&gt;"Costos clínicos",D497&lt;&gt;"Remuneración familiar",D497&lt;&gt;"Nómina y honorarios",D497&lt;&gt;"Renta",D497&lt;&gt;"Marketing",D497&lt;&gt;"Servicios y software",D497&lt;&gt;"Mantenimiento",D497&lt;&gt;"Otros",D497&lt;&gt;"Intereses")),"Tipo o categoría inválido",IF(COUNTA(A497:J497)=0,"",IF(OR(A497="",B497="",C497="",H497=""),"Faltan datos",IF(COUNTIF($A$7:$A$2006,A497)&gt;1,"ID duplicado",IF(OR(B497&lt;DATE(Configuración!$C$5,1,1),B497&gt;=DATE(Configuración!$C$5+1,1,1)),"Fecha fuera del año",IF(OR(H497&lt;0,I497&lt;0),"Revisar signo",IF(AND(C497&lt;&gt;"Gasto",I497&lt;&gt;0),"IVA solo en Gasto",IF(AND(C497="Gasto",D497=""),"Falta categoría","OK")))))))))</f>
        <v/>
      </c>
    </row>
    <row r="498" spans="1:12" ht="22" customHeight="1">
      <c r="A498" s="3"/>
      <c r="B498" s="7"/>
      <c r="C498" s="3"/>
      <c r="D498" s="3"/>
      <c r="E498" s="3"/>
      <c r="F498" s="3"/>
      <c r="G498" s="3"/>
      <c r="H498" s="4"/>
      <c r="I498" s="4"/>
      <c r="J498" s="3"/>
      <c r="K498" s="8" t="str">
        <f t="shared" si="7"/>
        <v/>
      </c>
      <c r="L498" s="1" t="str">
        <f>IF(COUNTA(A498:J498)=0,"",IF(OR(AND(C498&lt;&gt;"Gasto",C498&lt;&gt;"Pago proveedor",C498&lt;&gt;"Retiro familiar",C498&lt;&gt;"Aportación",C498&lt;&gt;"Pago activo",C498&lt;&gt;"ISR devengado",C498&lt;&gt;"Pago ISR",C498&lt;&gt;"Pago IVA",C498&lt;&gt;"Compensación ISR",C498&lt;&gt;"Compensación IVA"),AND(C498="Gasto",D498&lt;&gt;"Costos clínicos",D498&lt;&gt;"Remuneración familiar",D498&lt;&gt;"Nómina y honorarios",D498&lt;&gt;"Renta",D498&lt;&gt;"Marketing",D498&lt;&gt;"Servicios y software",D498&lt;&gt;"Mantenimiento",D498&lt;&gt;"Otros",D498&lt;&gt;"Intereses")),"Tipo o categoría inválido",IF(COUNTA(A498:J498)=0,"",IF(OR(A498="",B498="",C498="",H498=""),"Faltan datos",IF(COUNTIF($A$7:$A$2006,A498)&gt;1,"ID duplicado",IF(OR(B498&lt;DATE(Configuración!$C$5,1,1),B498&gt;=DATE(Configuración!$C$5+1,1,1)),"Fecha fuera del año",IF(OR(H498&lt;0,I498&lt;0),"Revisar signo",IF(AND(C498&lt;&gt;"Gasto",I498&lt;&gt;0),"IVA solo en Gasto",IF(AND(C498="Gasto",D498=""),"Falta categoría","OK")))))))))</f>
        <v/>
      </c>
    </row>
    <row r="499" spans="1:12" ht="22" customHeight="1">
      <c r="A499" s="3"/>
      <c r="B499" s="7"/>
      <c r="C499" s="3"/>
      <c r="D499" s="3"/>
      <c r="E499" s="3"/>
      <c r="F499" s="3"/>
      <c r="G499" s="3"/>
      <c r="H499" s="4"/>
      <c r="I499" s="4"/>
      <c r="J499" s="3"/>
      <c r="K499" s="8" t="str">
        <f t="shared" si="7"/>
        <v/>
      </c>
      <c r="L499" s="1" t="str">
        <f>IF(COUNTA(A499:J499)=0,"",IF(OR(AND(C499&lt;&gt;"Gasto",C499&lt;&gt;"Pago proveedor",C499&lt;&gt;"Retiro familiar",C499&lt;&gt;"Aportación",C499&lt;&gt;"Pago activo",C499&lt;&gt;"ISR devengado",C499&lt;&gt;"Pago ISR",C499&lt;&gt;"Pago IVA",C499&lt;&gt;"Compensación ISR",C499&lt;&gt;"Compensación IVA"),AND(C499="Gasto",D499&lt;&gt;"Costos clínicos",D499&lt;&gt;"Remuneración familiar",D499&lt;&gt;"Nómina y honorarios",D499&lt;&gt;"Renta",D499&lt;&gt;"Marketing",D499&lt;&gt;"Servicios y software",D499&lt;&gt;"Mantenimiento",D499&lt;&gt;"Otros",D499&lt;&gt;"Intereses")),"Tipo o categoría inválido",IF(COUNTA(A499:J499)=0,"",IF(OR(A499="",B499="",C499="",H499=""),"Faltan datos",IF(COUNTIF($A$7:$A$2006,A499)&gt;1,"ID duplicado",IF(OR(B499&lt;DATE(Configuración!$C$5,1,1),B499&gt;=DATE(Configuración!$C$5+1,1,1)),"Fecha fuera del año",IF(OR(H499&lt;0,I499&lt;0),"Revisar signo",IF(AND(C499&lt;&gt;"Gasto",I499&lt;&gt;0),"IVA solo en Gasto",IF(AND(C499="Gasto",D499=""),"Falta categoría","OK")))))))))</f>
        <v/>
      </c>
    </row>
    <row r="500" spans="1:12" ht="22" customHeight="1">
      <c r="A500" s="3"/>
      <c r="B500" s="7"/>
      <c r="C500" s="3"/>
      <c r="D500" s="3"/>
      <c r="E500" s="3"/>
      <c r="F500" s="3"/>
      <c r="G500" s="3"/>
      <c r="H500" s="4"/>
      <c r="I500" s="4"/>
      <c r="J500" s="3"/>
      <c r="K500" s="8" t="str">
        <f t="shared" si="7"/>
        <v/>
      </c>
      <c r="L500" s="1" t="str">
        <f>IF(COUNTA(A500:J500)=0,"",IF(OR(AND(C500&lt;&gt;"Gasto",C500&lt;&gt;"Pago proveedor",C500&lt;&gt;"Retiro familiar",C500&lt;&gt;"Aportación",C500&lt;&gt;"Pago activo",C500&lt;&gt;"ISR devengado",C500&lt;&gt;"Pago ISR",C500&lt;&gt;"Pago IVA",C500&lt;&gt;"Compensación ISR",C500&lt;&gt;"Compensación IVA"),AND(C500="Gasto",D500&lt;&gt;"Costos clínicos",D500&lt;&gt;"Remuneración familiar",D500&lt;&gt;"Nómina y honorarios",D500&lt;&gt;"Renta",D500&lt;&gt;"Marketing",D500&lt;&gt;"Servicios y software",D500&lt;&gt;"Mantenimiento",D500&lt;&gt;"Otros",D500&lt;&gt;"Intereses")),"Tipo o categoría inválido",IF(COUNTA(A500:J500)=0,"",IF(OR(A500="",B500="",C500="",H500=""),"Faltan datos",IF(COUNTIF($A$7:$A$2006,A500)&gt;1,"ID duplicado",IF(OR(B500&lt;DATE(Configuración!$C$5,1,1),B500&gt;=DATE(Configuración!$C$5+1,1,1)),"Fecha fuera del año",IF(OR(H500&lt;0,I500&lt;0),"Revisar signo",IF(AND(C500&lt;&gt;"Gasto",I500&lt;&gt;0),"IVA solo en Gasto",IF(AND(C500="Gasto",D500=""),"Falta categoría","OK")))))))))</f>
        <v/>
      </c>
    </row>
    <row r="501" spans="1:12" ht="22" customHeight="1">
      <c r="A501" s="3"/>
      <c r="B501" s="7"/>
      <c r="C501" s="3"/>
      <c r="D501" s="3"/>
      <c r="E501" s="3"/>
      <c r="F501" s="3"/>
      <c r="G501" s="3"/>
      <c r="H501" s="4"/>
      <c r="I501" s="4"/>
      <c r="J501" s="3"/>
      <c r="K501" s="8" t="str">
        <f t="shared" si="7"/>
        <v/>
      </c>
      <c r="L501" s="1" t="str">
        <f>IF(COUNTA(A501:J501)=0,"",IF(OR(AND(C501&lt;&gt;"Gasto",C501&lt;&gt;"Pago proveedor",C501&lt;&gt;"Retiro familiar",C501&lt;&gt;"Aportación",C501&lt;&gt;"Pago activo",C501&lt;&gt;"ISR devengado",C501&lt;&gt;"Pago ISR",C501&lt;&gt;"Pago IVA",C501&lt;&gt;"Compensación ISR",C501&lt;&gt;"Compensación IVA"),AND(C501="Gasto",D501&lt;&gt;"Costos clínicos",D501&lt;&gt;"Remuneración familiar",D501&lt;&gt;"Nómina y honorarios",D501&lt;&gt;"Renta",D501&lt;&gt;"Marketing",D501&lt;&gt;"Servicios y software",D501&lt;&gt;"Mantenimiento",D501&lt;&gt;"Otros",D501&lt;&gt;"Intereses")),"Tipo o categoría inválido",IF(COUNTA(A501:J501)=0,"",IF(OR(A501="",B501="",C501="",H501=""),"Faltan datos",IF(COUNTIF($A$7:$A$2006,A501)&gt;1,"ID duplicado",IF(OR(B501&lt;DATE(Configuración!$C$5,1,1),B501&gt;=DATE(Configuración!$C$5+1,1,1)),"Fecha fuera del año",IF(OR(H501&lt;0,I501&lt;0),"Revisar signo",IF(AND(C501&lt;&gt;"Gasto",I501&lt;&gt;0),"IVA solo en Gasto",IF(AND(C501="Gasto",D501=""),"Falta categoría","OK")))))))))</f>
        <v/>
      </c>
    </row>
    <row r="502" spans="1:12" ht="22" customHeight="1">
      <c r="A502" s="3"/>
      <c r="B502" s="7"/>
      <c r="C502" s="3"/>
      <c r="D502" s="3"/>
      <c r="E502" s="3"/>
      <c r="F502" s="3"/>
      <c r="G502" s="3"/>
      <c r="H502" s="4"/>
      <c r="I502" s="4"/>
      <c r="J502" s="3"/>
      <c r="K502" s="8" t="str">
        <f t="shared" si="7"/>
        <v/>
      </c>
      <c r="L502" s="1" t="str">
        <f>IF(COUNTA(A502:J502)=0,"",IF(OR(AND(C502&lt;&gt;"Gasto",C502&lt;&gt;"Pago proveedor",C502&lt;&gt;"Retiro familiar",C502&lt;&gt;"Aportación",C502&lt;&gt;"Pago activo",C502&lt;&gt;"ISR devengado",C502&lt;&gt;"Pago ISR",C502&lt;&gt;"Pago IVA",C502&lt;&gt;"Compensación ISR",C502&lt;&gt;"Compensación IVA"),AND(C502="Gasto",D502&lt;&gt;"Costos clínicos",D502&lt;&gt;"Remuneración familiar",D502&lt;&gt;"Nómina y honorarios",D502&lt;&gt;"Renta",D502&lt;&gt;"Marketing",D502&lt;&gt;"Servicios y software",D502&lt;&gt;"Mantenimiento",D502&lt;&gt;"Otros",D502&lt;&gt;"Intereses")),"Tipo o categoría inválido",IF(COUNTA(A502:J502)=0,"",IF(OR(A502="",B502="",C502="",H502=""),"Faltan datos",IF(COUNTIF($A$7:$A$2006,A502)&gt;1,"ID duplicado",IF(OR(B502&lt;DATE(Configuración!$C$5,1,1),B502&gt;=DATE(Configuración!$C$5+1,1,1)),"Fecha fuera del año",IF(OR(H502&lt;0,I502&lt;0),"Revisar signo",IF(AND(C502&lt;&gt;"Gasto",I502&lt;&gt;0),"IVA solo en Gasto",IF(AND(C502="Gasto",D502=""),"Falta categoría","OK")))))))))</f>
        <v/>
      </c>
    </row>
    <row r="503" spans="1:12" ht="22" customHeight="1">
      <c r="A503" s="3"/>
      <c r="B503" s="7"/>
      <c r="C503" s="3"/>
      <c r="D503" s="3"/>
      <c r="E503" s="3"/>
      <c r="F503" s="3"/>
      <c r="G503" s="3"/>
      <c r="H503" s="4"/>
      <c r="I503" s="4"/>
      <c r="J503" s="3"/>
      <c r="K503" s="8" t="str">
        <f t="shared" si="7"/>
        <v/>
      </c>
      <c r="L503" s="1" t="str">
        <f>IF(COUNTA(A503:J503)=0,"",IF(OR(AND(C503&lt;&gt;"Gasto",C503&lt;&gt;"Pago proveedor",C503&lt;&gt;"Retiro familiar",C503&lt;&gt;"Aportación",C503&lt;&gt;"Pago activo",C503&lt;&gt;"ISR devengado",C503&lt;&gt;"Pago ISR",C503&lt;&gt;"Pago IVA",C503&lt;&gt;"Compensación ISR",C503&lt;&gt;"Compensación IVA"),AND(C503="Gasto",D503&lt;&gt;"Costos clínicos",D503&lt;&gt;"Remuneración familiar",D503&lt;&gt;"Nómina y honorarios",D503&lt;&gt;"Renta",D503&lt;&gt;"Marketing",D503&lt;&gt;"Servicios y software",D503&lt;&gt;"Mantenimiento",D503&lt;&gt;"Otros",D503&lt;&gt;"Intereses")),"Tipo o categoría inválido",IF(COUNTA(A503:J503)=0,"",IF(OR(A503="",B503="",C503="",H503=""),"Faltan datos",IF(COUNTIF($A$7:$A$2006,A503)&gt;1,"ID duplicado",IF(OR(B503&lt;DATE(Configuración!$C$5,1,1),B503&gt;=DATE(Configuración!$C$5+1,1,1)),"Fecha fuera del año",IF(OR(H503&lt;0,I503&lt;0),"Revisar signo",IF(AND(C503&lt;&gt;"Gasto",I503&lt;&gt;0),"IVA solo en Gasto",IF(AND(C503="Gasto",D503=""),"Falta categoría","OK")))))))))</f>
        <v/>
      </c>
    </row>
    <row r="504" spans="1:12" ht="22" customHeight="1">
      <c r="A504" s="3"/>
      <c r="B504" s="7"/>
      <c r="C504" s="3"/>
      <c r="D504" s="3"/>
      <c r="E504" s="3"/>
      <c r="F504" s="3"/>
      <c r="G504" s="3"/>
      <c r="H504" s="4"/>
      <c r="I504" s="4"/>
      <c r="J504" s="3"/>
      <c r="K504" s="8" t="str">
        <f t="shared" si="7"/>
        <v/>
      </c>
      <c r="L504" s="1" t="str">
        <f>IF(COUNTA(A504:J504)=0,"",IF(OR(AND(C504&lt;&gt;"Gasto",C504&lt;&gt;"Pago proveedor",C504&lt;&gt;"Retiro familiar",C504&lt;&gt;"Aportación",C504&lt;&gt;"Pago activo",C504&lt;&gt;"ISR devengado",C504&lt;&gt;"Pago ISR",C504&lt;&gt;"Pago IVA",C504&lt;&gt;"Compensación ISR",C504&lt;&gt;"Compensación IVA"),AND(C504="Gasto",D504&lt;&gt;"Costos clínicos",D504&lt;&gt;"Remuneración familiar",D504&lt;&gt;"Nómina y honorarios",D504&lt;&gt;"Renta",D504&lt;&gt;"Marketing",D504&lt;&gt;"Servicios y software",D504&lt;&gt;"Mantenimiento",D504&lt;&gt;"Otros",D504&lt;&gt;"Intereses")),"Tipo o categoría inválido",IF(COUNTA(A504:J504)=0,"",IF(OR(A504="",B504="",C504="",H504=""),"Faltan datos",IF(COUNTIF($A$7:$A$2006,A504)&gt;1,"ID duplicado",IF(OR(B504&lt;DATE(Configuración!$C$5,1,1),B504&gt;=DATE(Configuración!$C$5+1,1,1)),"Fecha fuera del año",IF(OR(H504&lt;0,I504&lt;0),"Revisar signo",IF(AND(C504&lt;&gt;"Gasto",I504&lt;&gt;0),"IVA solo en Gasto",IF(AND(C504="Gasto",D504=""),"Falta categoría","OK")))))))))</f>
        <v/>
      </c>
    </row>
    <row r="505" spans="1:12" ht="22" customHeight="1">
      <c r="A505" s="3"/>
      <c r="B505" s="7"/>
      <c r="C505" s="3"/>
      <c r="D505" s="3"/>
      <c r="E505" s="3"/>
      <c r="F505" s="3"/>
      <c r="G505" s="3"/>
      <c r="H505" s="4"/>
      <c r="I505" s="4"/>
      <c r="J505" s="3"/>
      <c r="K505" s="8" t="str">
        <f t="shared" si="7"/>
        <v/>
      </c>
      <c r="L505" s="1" t="str">
        <f>IF(COUNTA(A505:J505)=0,"",IF(OR(AND(C505&lt;&gt;"Gasto",C505&lt;&gt;"Pago proveedor",C505&lt;&gt;"Retiro familiar",C505&lt;&gt;"Aportación",C505&lt;&gt;"Pago activo",C505&lt;&gt;"ISR devengado",C505&lt;&gt;"Pago ISR",C505&lt;&gt;"Pago IVA",C505&lt;&gt;"Compensación ISR",C505&lt;&gt;"Compensación IVA"),AND(C505="Gasto",D505&lt;&gt;"Costos clínicos",D505&lt;&gt;"Remuneración familiar",D505&lt;&gt;"Nómina y honorarios",D505&lt;&gt;"Renta",D505&lt;&gt;"Marketing",D505&lt;&gt;"Servicios y software",D505&lt;&gt;"Mantenimiento",D505&lt;&gt;"Otros",D505&lt;&gt;"Intereses")),"Tipo o categoría inválido",IF(COUNTA(A505:J505)=0,"",IF(OR(A505="",B505="",C505="",H505=""),"Faltan datos",IF(COUNTIF($A$7:$A$2006,A505)&gt;1,"ID duplicado",IF(OR(B505&lt;DATE(Configuración!$C$5,1,1),B505&gt;=DATE(Configuración!$C$5+1,1,1)),"Fecha fuera del año",IF(OR(H505&lt;0,I505&lt;0),"Revisar signo",IF(AND(C505&lt;&gt;"Gasto",I505&lt;&gt;0),"IVA solo en Gasto",IF(AND(C505="Gasto",D505=""),"Falta categoría","OK")))))))))</f>
        <v/>
      </c>
    </row>
    <row r="506" spans="1:12" ht="22" customHeight="1">
      <c r="A506" s="3"/>
      <c r="B506" s="7"/>
      <c r="C506" s="3"/>
      <c r="D506" s="3"/>
      <c r="E506" s="3"/>
      <c r="F506" s="3"/>
      <c r="G506" s="3"/>
      <c r="H506" s="4"/>
      <c r="I506" s="4"/>
      <c r="J506" s="3"/>
      <c r="K506" s="8" t="str">
        <f t="shared" si="7"/>
        <v/>
      </c>
      <c r="L506" s="1" t="str">
        <f>IF(COUNTA(A506:J506)=0,"",IF(OR(AND(C506&lt;&gt;"Gasto",C506&lt;&gt;"Pago proveedor",C506&lt;&gt;"Retiro familiar",C506&lt;&gt;"Aportación",C506&lt;&gt;"Pago activo",C506&lt;&gt;"ISR devengado",C506&lt;&gt;"Pago ISR",C506&lt;&gt;"Pago IVA",C506&lt;&gt;"Compensación ISR",C506&lt;&gt;"Compensación IVA"),AND(C506="Gasto",D506&lt;&gt;"Costos clínicos",D506&lt;&gt;"Remuneración familiar",D506&lt;&gt;"Nómina y honorarios",D506&lt;&gt;"Renta",D506&lt;&gt;"Marketing",D506&lt;&gt;"Servicios y software",D506&lt;&gt;"Mantenimiento",D506&lt;&gt;"Otros",D506&lt;&gt;"Intereses")),"Tipo o categoría inválido",IF(COUNTA(A506:J506)=0,"",IF(OR(A506="",B506="",C506="",H506=""),"Faltan datos",IF(COUNTIF($A$7:$A$2006,A506)&gt;1,"ID duplicado",IF(OR(B506&lt;DATE(Configuración!$C$5,1,1),B506&gt;=DATE(Configuración!$C$5+1,1,1)),"Fecha fuera del año",IF(OR(H506&lt;0,I506&lt;0),"Revisar signo",IF(AND(C506&lt;&gt;"Gasto",I506&lt;&gt;0),"IVA solo en Gasto",IF(AND(C506="Gasto",D506=""),"Falta categoría","OK")))))))))</f>
        <v/>
      </c>
    </row>
    <row r="507" spans="1:12" ht="22" customHeight="1">
      <c r="A507" s="3"/>
      <c r="B507" s="7"/>
      <c r="C507" s="3"/>
      <c r="D507" s="3"/>
      <c r="E507" s="3"/>
      <c r="F507" s="3"/>
      <c r="G507" s="3"/>
      <c r="H507" s="4"/>
      <c r="I507" s="4"/>
      <c r="J507" s="3"/>
      <c r="K507" s="8" t="str">
        <f t="shared" si="7"/>
        <v/>
      </c>
      <c r="L507" s="1" t="str">
        <f>IF(COUNTA(A507:J507)=0,"",IF(OR(AND(C507&lt;&gt;"Gasto",C507&lt;&gt;"Pago proveedor",C507&lt;&gt;"Retiro familiar",C507&lt;&gt;"Aportación",C507&lt;&gt;"Pago activo",C507&lt;&gt;"ISR devengado",C507&lt;&gt;"Pago ISR",C507&lt;&gt;"Pago IVA",C507&lt;&gt;"Compensación ISR",C507&lt;&gt;"Compensación IVA"),AND(C507="Gasto",D507&lt;&gt;"Costos clínicos",D507&lt;&gt;"Remuneración familiar",D507&lt;&gt;"Nómina y honorarios",D507&lt;&gt;"Renta",D507&lt;&gt;"Marketing",D507&lt;&gt;"Servicios y software",D507&lt;&gt;"Mantenimiento",D507&lt;&gt;"Otros",D507&lt;&gt;"Intereses")),"Tipo o categoría inválido",IF(COUNTA(A507:J507)=0,"",IF(OR(A507="",B507="",C507="",H507=""),"Faltan datos",IF(COUNTIF($A$7:$A$2006,A507)&gt;1,"ID duplicado",IF(OR(B507&lt;DATE(Configuración!$C$5,1,1),B507&gt;=DATE(Configuración!$C$5+1,1,1)),"Fecha fuera del año",IF(OR(H507&lt;0,I507&lt;0),"Revisar signo",IF(AND(C507&lt;&gt;"Gasto",I507&lt;&gt;0),"IVA solo en Gasto",IF(AND(C507="Gasto",D507=""),"Falta categoría","OK")))))))))</f>
        <v/>
      </c>
    </row>
    <row r="508" spans="1:12" ht="22" customHeight="1">
      <c r="A508" s="3"/>
      <c r="B508" s="7"/>
      <c r="C508" s="3"/>
      <c r="D508" s="3"/>
      <c r="E508" s="3"/>
      <c r="F508" s="3"/>
      <c r="G508" s="3"/>
      <c r="H508" s="4"/>
      <c r="I508" s="4"/>
      <c r="J508" s="3"/>
      <c r="K508" s="8" t="str">
        <f t="shared" si="7"/>
        <v/>
      </c>
      <c r="L508" s="1" t="str">
        <f>IF(COUNTA(A508:J508)=0,"",IF(OR(AND(C508&lt;&gt;"Gasto",C508&lt;&gt;"Pago proveedor",C508&lt;&gt;"Retiro familiar",C508&lt;&gt;"Aportación",C508&lt;&gt;"Pago activo",C508&lt;&gt;"ISR devengado",C508&lt;&gt;"Pago ISR",C508&lt;&gt;"Pago IVA",C508&lt;&gt;"Compensación ISR",C508&lt;&gt;"Compensación IVA"),AND(C508="Gasto",D508&lt;&gt;"Costos clínicos",D508&lt;&gt;"Remuneración familiar",D508&lt;&gt;"Nómina y honorarios",D508&lt;&gt;"Renta",D508&lt;&gt;"Marketing",D508&lt;&gt;"Servicios y software",D508&lt;&gt;"Mantenimiento",D508&lt;&gt;"Otros",D508&lt;&gt;"Intereses")),"Tipo o categoría inválido",IF(COUNTA(A508:J508)=0,"",IF(OR(A508="",B508="",C508="",H508=""),"Faltan datos",IF(COUNTIF($A$7:$A$2006,A508)&gt;1,"ID duplicado",IF(OR(B508&lt;DATE(Configuración!$C$5,1,1),B508&gt;=DATE(Configuración!$C$5+1,1,1)),"Fecha fuera del año",IF(OR(H508&lt;0,I508&lt;0),"Revisar signo",IF(AND(C508&lt;&gt;"Gasto",I508&lt;&gt;0),"IVA solo en Gasto",IF(AND(C508="Gasto",D508=""),"Falta categoría","OK")))))))))</f>
        <v/>
      </c>
    </row>
    <row r="509" spans="1:12" ht="22" customHeight="1">
      <c r="A509" s="3"/>
      <c r="B509" s="7"/>
      <c r="C509" s="3"/>
      <c r="D509" s="3"/>
      <c r="E509" s="3"/>
      <c r="F509" s="3"/>
      <c r="G509" s="3"/>
      <c r="H509" s="4"/>
      <c r="I509" s="4"/>
      <c r="J509" s="3"/>
      <c r="K509" s="8" t="str">
        <f t="shared" si="7"/>
        <v/>
      </c>
      <c r="L509" s="1" t="str">
        <f>IF(COUNTA(A509:J509)=0,"",IF(OR(AND(C509&lt;&gt;"Gasto",C509&lt;&gt;"Pago proveedor",C509&lt;&gt;"Retiro familiar",C509&lt;&gt;"Aportación",C509&lt;&gt;"Pago activo",C509&lt;&gt;"ISR devengado",C509&lt;&gt;"Pago ISR",C509&lt;&gt;"Pago IVA",C509&lt;&gt;"Compensación ISR",C509&lt;&gt;"Compensación IVA"),AND(C509="Gasto",D509&lt;&gt;"Costos clínicos",D509&lt;&gt;"Remuneración familiar",D509&lt;&gt;"Nómina y honorarios",D509&lt;&gt;"Renta",D509&lt;&gt;"Marketing",D509&lt;&gt;"Servicios y software",D509&lt;&gt;"Mantenimiento",D509&lt;&gt;"Otros",D509&lt;&gt;"Intereses")),"Tipo o categoría inválido",IF(COUNTA(A509:J509)=0,"",IF(OR(A509="",B509="",C509="",H509=""),"Faltan datos",IF(COUNTIF($A$7:$A$2006,A509)&gt;1,"ID duplicado",IF(OR(B509&lt;DATE(Configuración!$C$5,1,1),B509&gt;=DATE(Configuración!$C$5+1,1,1)),"Fecha fuera del año",IF(OR(H509&lt;0,I509&lt;0),"Revisar signo",IF(AND(C509&lt;&gt;"Gasto",I509&lt;&gt;0),"IVA solo en Gasto",IF(AND(C509="Gasto",D509=""),"Falta categoría","OK")))))))))</f>
        <v/>
      </c>
    </row>
    <row r="510" spans="1:12" ht="22" customHeight="1">
      <c r="A510" s="3"/>
      <c r="B510" s="7"/>
      <c r="C510" s="3"/>
      <c r="D510" s="3"/>
      <c r="E510" s="3"/>
      <c r="F510" s="3"/>
      <c r="G510" s="3"/>
      <c r="H510" s="4"/>
      <c r="I510" s="4"/>
      <c r="J510" s="3"/>
      <c r="K510" s="8" t="str">
        <f t="shared" si="7"/>
        <v/>
      </c>
      <c r="L510" s="1" t="str">
        <f>IF(COUNTA(A510:J510)=0,"",IF(OR(AND(C510&lt;&gt;"Gasto",C510&lt;&gt;"Pago proveedor",C510&lt;&gt;"Retiro familiar",C510&lt;&gt;"Aportación",C510&lt;&gt;"Pago activo",C510&lt;&gt;"ISR devengado",C510&lt;&gt;"Pago ISR",C510&lt;&gt;"Pago IVA",C510&lt;&gt;"Compensación ISR",C510&lt;&gt;"Compensación IVA"),AND(C510="Gasto",D510&lt;&gt;"Costos clínicos",D510&lt;&gt;"Remuneración familiar",D510&lt;&gt;"Nómina y honorarios",D510&lt;&gt;"Renta",D510&lt;&gt;"Marketing",D510&lt;&gt;"Servicios y software",D510&lt;&gt;"Mantenimiento",D510&lt;&gt;"Otros",D510&lt;&gt;"Intereses")),"Tipo o categoría inválido",IF(COUNTA(A510:J510)=0,"",IF(OR(A510="",B510="",C510="",H510=""),"Faltan datos",IF(COUNTIF($A$7:$A$2006,A510)&gt;1,"ID duplicado",IF(OR(B510&lt;DATE(Configuración!$C$5,1,1),B510&gt;=DATE(Configuración!$C$5+1,1,1)),"Fecha fuera del año",IF(OR(H510&lt;0,I510&lt;0),"Revisar signo",IF(AND(C510&lt;&gt;"Gasto",I510&lt;&gt;0),"IVA solo en Gasto",IF(AND(C510="Gasto",D510=""),"Falta categoría","OK")))))))))</f>
        <v/>
      </c>
    </row>
    <row r="511" spans="1:12" ht="22" customHeight="1">
      <c r="A511" s="3"/>
      <c r="B511" s="7"/>
      <c r="C511" s="3"/>
      <c r="D511" s="3"/>
      <c r="E511" s="3"/>
      <c r="F511" s="3"/>
      <c r="G511" s="3"/>
      <c r="H511" s="4"/>
      <c r="I511" s="4"/>
      <c r="J511" s="3"/>
      <c r="K511" s="8" t="str">
        <f t="shared" si="7"/>
        <v/>
      </c>
      <c r="L511" s="1" t="str">
        <f>IF(COUNTA(A511:J511)=0,"",IF(OR(AND(C511&lt;&gt;"Gasto",C511&lt;&gt;"Pago proveedor",C511&lt;&gt;"Retiro familiar",C511&lt;&gt;"Aportación",C511&lt;&gt;"Pago activo",C511&lt;&gt;"ISR devengado",C511&lt;&gt;"Pago ISR",C511&lt;&gt;"Pago IVA",C511&lt;&gt;"Compensación ISR",C511&lt;&gt;"Compensación IVA"),AND(C511="Gasto",D511&lt;&gt;"Costos clínicos",D511&lt;&gt;"Remuneración familiar",D511&lt;&gt;"Nómina y honorarios",D511&lt;&gt;"Renta",D511&lt;&gt;"Marketing",D511&lt;&gt;"Servicios y software",D511&lt;&gt;"Mantenimiento",D511&lt;&gt;"Otros",D511&lt;&gt;"Intereses")),"Tipo o categoría inválido",IF(COUNTA(A511:J511)=0,"",IF(OR(A511="",B511="",C511="",H511=""),"Faltan datos",IF(COUNTIF($A$7:$A$2006,A511)&gt;1,"ID duplicado",IF(OR(B511&lt;DATE(Configuración!$C$5,1,1),B511&gt;=DATE(Configuración!$C$5+1,1,1)),"Fecha fuera del año",IF(OR(H511&lt;0,I511&lt;0),"Revisar signo",IF(AND(C511&lt;&gt;"Gasto",I511&lt;&gt;0),"IVA solo en Gasto",IF(AND(C511="Gasto",D511=""),"Falta categoría","OK")))))))))</f>
        <v/>
      </c>
    </row>
    <row r="512" spans="1:12" ht="22" customHeight="1">
      <c r="A512" s="3"/>
      <c r="B512" s="7"/>
      <c r="C512" s="3"/>
      <c r="D512" s="3"/>
      <c r="E512" s="3"/>
      <c r="F512" s="3"/>
      <c r="G512" s="3"/>
      <c r="H512" s="4"/>
      <c r="I512" s="4"/>
      <c r="J512" s="3"/>
      <c r="K512" s="8" t="str">
        <f t="shared" si="7"/>
        <v/>
      </c>
      <c r="L512" s="1" t="str">
        <f>IF(COUNTA(A512:J512)=0,"",IF(OR(AND(C512&lt;&gt;"Gasto",C512&lt;&gt;"Pago proveedor",C512&lt;&gt;"Retiro familiar",C512&lt;&gt;"Aportación",C512&lt;&gt;"Pago activo",C512&lt;&gt;"ISR devengado",C512&lt;&gt;"Pago ISR",C512&lt;&gt;"Pago IVA",C512&lt;&gt;"Compensación ISR",C512&lt;&gt;"Compensación IVA"),AND(C512="Gasto",D512&lt;&gt;"Costos clínicos",D512&lt;&gt;"Remuneración familiar",D512&lt;&gt;"Nómina y honorarios",D512&lt;&gt;"Renta",D512&lt;&gt;"Marketing",D512&lt;&gt;"Servicios y software",D512&lt;&gt;"Mantenimiento",D512&lt;&gt;"Otros",D512&lt;&gt;"Intereses")),"Tipo o categoría inválido",IF(COUNTA(A512:J512)=0,"",IF(OR(A512="",B512="",C512="",H512=""),"Faltan datos",IF(COUNTIF($A$7:$A$2006,A512)&gt;1,"ID duplicado",IF(OR(B512&lt;DATE(Configuración!$C$5,1,1),B512&gt;=DATE(Configuración!$C$5+1,1,1)),"Fecha fuera del año",IF(OR(H512&lt;0,I512&lt;0),"Revisar signo",IF(AND(C512&lt;&gt;"Gasto",I512&lt;&gt;0),"IVA solo en Gasto",IF(AND(C512="Gasto",D512=""),"Falta categoría","OK")))))))))</f>
        <v/>
      </c>
    </row>
    <row r="513" spans="1:12" ht="22" customHeight="1">
      <c r="A513" s="3"/>
      <c r="B513" s="7"/>
      <c r="C513" s="3"/>
      <c r="D513" s="3"/>
      <c r="E513" s="3"/>
      <c r="F513" s="3"/>
      <c r="G513" s="3"/>
      <c r="H513" s="4"/>
      <c r="I513" s="4"/>
      <c r="J513" s="3"/>
      <c r="K513" s="8" t="str">
        <f t="shared" si="7"/>
        <v/>
      </c>
      <c r="L513" s="1" t="str">
        <f>IF(COUNTA(A513:J513)=0,"",IF(OR(AND(C513&lt;&gt;"Gasto",C513&lt;&gt;"Pago proveedor",C513&lt;&gt;"Retiro familiar",C513&lt;&gt;"Aportación",C513&lt;&gt;"Pago activo",C513&lt;&gt;"ISR devengado",C513&lt;&gt;"Pago ISR",C513&lt;&gt;"Pago IVA",C513&lt;&gt;"Compensación ISR",C513&lt;&gt;"Compensación IVA"),AND(C513="Gasto",D513&lt;&gt;"Costos clínicos",D513&lt;&gt;"Remuneración familiar",D513&lt;&gt;"Nómina y honorarios",D513&lt;&gt;"Renta",D513&lt;&gt;"Marketing",D513&lt;&gt;"Servicios y software",D513&lt;&gt;"Mantenimiento",D513&lt;&gt;"Otros",D513&lt;&gt;"Intereses")),"Tipo o categoría inválido",IF(COUNTA(A513:J513)=0,"",IF(OR(A513="",B513="",C513="",H513=""),"Faltan datos",IF(COUNTIF($A$7:$A$2006,A513)&gt;1,"ID duplicado",IF(OR(B513&lt;DATE(Configuración!$C$5,1,1),B513&gt;=DATE(Configuración!$C$5+1,1,1)),"Fecha fuera del año",IF(OR(H513&lt;0,I513&lt;0),"Revisar signo",IF(AND(C513&lt;&gt;"Gasto",I513&lt;&gt;0),"IVA solo en Gasto",IF(AND(C513="Gasto",D513=""),"Falta categoría","OK")))))))))</f>
        <v/>
      </c>
    </row>
    <row r="514" spans="1:12" ht="22" customHeight="1">
      <c r="A514" s="3"/>
      <c r="B514" s="7"/>
      <c r="C514" s="3"/>
      <c r="D514" s="3"/>
      <c r="E514" s="3"/>
      <c r="F514" s="3"/>
      <c r="G514" s="3"/>
      <c r="H514" s="4"/>
      <c r="I514" s="4"/>
      <c r="J514" s="3"/>
      <c r="K514" s="8" t="str">
        <f t="shared" si="7"/>
        <v/>
      </c>
      <c r="L514" s="1" t="str">
        <f>IF(COUNTA(A514:J514)=0,"",IF(OR(AND(C514&lt;&gt;"Gasto",C514&lt;&gt;"Pago proveedor",C514&lt;&gt;"Retiro familiar",C514&lt;&gt;"Aportación",C514&lt;&gt;"Pago activo",C514&lt;&gt;"ISR devengado",C514&lt;&gt;"Pago ISR",C514&lt;&gt;"Pago IVA",C514&lt;&gt;"Compensación ISR",C514&lt;&gt;"Compensación IVA"),AND(C514="Gasto",D514&lt;&gt;"Costos clínicos",D514&lt;&gt;"Remuneración familiar",D514&lt;&gt;"Nómina y honorarios",D514&lt;&gt;"Renta",D514&lt;&gt;"Marketing",D514&lt;&gt;"Servicios y software",D514&lt;&gt;"Mantenimiento",D514&lt;&gt;"Otros",D514&lt;&gt;"Intereses")),"Tipo o categoría inválido",IF(COUNTA(A514:J514)=0,"",IF(OR(A514="",B514="",C514="",H514=""),"Faltan datos",IF(COUNTIF($A$7:$A$2006,A514)&gt;1,"ID duplicado",IF(OR(B514&lt;DATE(Configuración!$C$5,1,1),B514&gt;=DATE(Configuración!$C$5+1,1,1)),"Fecha fuera del año",IF(OR(H514&lt;0,I514&lt;0),"Revisar signo",IF(AND(C514&lt;&gt;"Gasto",I514&lt;&gt;0),"IVA solo en Gasto",IF(AND(C514="Gasto",D514=""),"Falta categoría","OK")))))))))</f>
        <v/>
      </c>
    </row>
    <row r="515" spans="1:12" ht="22" customHeight="1">
      <c r="A515" s="3"/>
      <c r="B515" s="7"/>
      <c r="C515" s="3"/>
      <c r="D515" s="3"/>
      <c r="E515" s="3"/>
      <c r="F515" s="3"/>
      <c r="G515" s="3"/>
      <c r="H515" s="4"/>
      <c r="I515" s="4"/>
      <c r="J515" s="3"/>
      <c r="K515" s="8" t="str">
        <f t="shared" si="7"/>
        <v/>
      </c>
      <c r="L515" s="1" t="str">
        <f>IF(COUNTA(A515:J515)=0,"",IF(OR(AND(C515&lt;&gt;"Gasto",C515&lt;&gt;"Pago proveedor",C515&lt;&gt;"Retiro familiar",C515&lt;&gt;"Aportación",C515&lt;&gt;"Pago activo",C515&lt;&gt;"ISR devengado",C515&lt;&gt;"Pago ISR",C515&lt;&gt;"Pago IVA",C515&lt;&gt;"Compensación ISR",C515&lt;&gt;"Compensación IVA"),AND(C515="Gasto",D515&lt;&gt;"Costos clínicos",D515&lt;&gt;"Remuneración familiar",D515&lt;&gt;"Nómina y honorarios",D515&lt;&gt;"Renta",D515&lt;&gt;"Marketing",D515&lt;&gt;"Servicios y software",D515&lt;&gt;"Mantenimiento",D515&lt;&gt;"Otros",D515&lt;&gt;"Intereses")),"Tipo o categoría inválido",IF(COUNTA(A515:J515)=0,"",IF(OR(A515="",B515="",C515="",H515=""),"Faltan datos",IF(COUNTIF($A$7:$A$2006,A515)&gt;1,"ID duplicado",IF(OR(B515&lt;DATE(Configuración!$C$5,1,1),B515&gt;=DATE(Configuración!$C$5+1,1,1)),"Fecha fuera del año",IF(OR(H515&lt;0,I515&lt;0),"Revisar signo",IF(AND(C515&lt;&gt;"Gasto",I515&lt;&gt;0),"IVA solo en Gasto",IF(AND(C515="Gasto",D515=""),"Falta categoría","OK")))))))))</f>
        <v/>
      </c>
    </row>
    <row r="516" spans="1:12" ht="22" customHeight="1">
      <c r="A516" s="3"/>
      <c r="B516" s="7"/>
      <c r="C516" s="3"/>
      <c r="D516" s="3"/>
      <c r="E516" s="3"/>
      <c r="F516" s="3"/>
      <c r="G516" s="3"/>
      <c r="H516" s="4"/>
      <c r="I516" s="4"/>
      <c r="J516" s="3"/>
      <c r="K516" s="8" t="str">
        <f t="shared" si="7"/>
        <v/>
      </c>
      <c r="L516" s="1" t="str">
        <f>IF(COUNTA(A516:J516)=0,"",IF(OR(AND(C516&lt;&gt;"Gasto",C516&lt;&gt;"Pago proveedor",C516&lt;&gt;"Retiro familiar",C516&lt;&gt;"Aportación",C516&lt;&gt;"Pago activo",C516&lt;&gt;"ISR devengado",C516&lt;&gt;"Pago ISR",C516&lt;&gt;"Pago IVA",C516&lt;&gt;"Compensación ISR",C516&lt;&gt;"Compensación IVA"),AND(C516="Gasto",D516&lt;&gt;"Costos clínicos",D516&lt;&gt;"Remuneración familiar",D516&lt;&gt;"Nómina y honorarios",D516&lt;&gt;"Renta",D516&lt;&gt;"Marketing",D516&lt;&gt;"Servicios y software",D516&lt;&gt;"Mantenimiento",D516&lt;&gt;"Otros",D516&lt;&gt;"Intereses")),"Tipo o categoría inválido",IF(COUNTA(A516:J516)=0,"",IF(OR(A516="",B516="",C516="",H516=""),"Faltan datos",IF(COUNTIF($A$7:$A$2006,A516)&gt;1,"ID duplicado",IF(OR(B516&lt;DATE(Configuración!$C$5,1,1),B516&gt;=DATE(Configuración!$C$5+1,1,1)),"Fecha fuera del año",IF(OR(H516&lt;0,I516&lt;0),"Revisar signo",IF(AND(C516&lt;&gt;"Gasto",I516&lt;&gt;0),"IVA solo en Gasto",IF(AND(C516="Gasto",D516=""),"Falta categoría","OK")))))))))</f>
        <v/>
      </c>
    </row>
    <row r="517" spans="1:12" ht="22" customHeight="1">
      <c r="A517" s="3"/>
      <c r="B517" s="7"/>
      <c r="C517" s="3"/>
      <c r="D517" s="3"/>
      <c r="E517" s="3"/>
      <c r="F517" s="3"/>
      <c r="G517" s="3"/>
      <c r="H517" s="4"/>
      <c r="I517" s="4"/>
      <c r="J517" s="3"/>
      <c r="K517" s="8" t="str">
        <f t="shared" si="7"/>
        <v/>
      </c>
      <c r="L517" s="1" t="str">
        <f>IF(COUNTA(A517:J517)=0,"",IF(OR(AND(C517&lt;&gt;"Gasto",C517&lt;&gt;"Pago proveedor",C517&lt;&gt;"Retiro familiar",C517&lt;&gt;"Aportación",C517&lt;&gt;"Pago activo",C517&lt;&gt;"ISR devengado",C517&lt;&gt;"Pago ISR",C517&lt;&gt;"Pago IVA",C517&lt;&gt;"Compensación ISR",C517&lt;&gt;"Compensación IVA"),AND(C517="Gasto",D517&lt;&gt;"Costos clínicos",D517&lt;&gt;"Remuneración familiar",D517&lt;&gt;"Nómina y honorarios",D517&lt;&gt;"Renta",D517&lt;&gt;"Marketing",D517&lt;&gt;"Servicios y software",D517&lt;&gt;"Mantenimiento",D517&lt;&gt;"Otros",D517&lt;&gt;"Intereses")),"Tipo o categoría inválido",IF(COUNTA(A517:J517)=0,"",IF(OR(A517="",B517="",C517="",H517=""),"Faltan datos",IF(COUNTIF($A$7:$A$2006,A517)&gt;1,"ID duplicado",IF(OR(B517&lt;DATE(Configuración!$C$5,1,1),B517&gt;=DATE(Configuración!$C$5+1,1,1)),"Fecha fuera del año",IF(OR(H517&lt;0,I517&lt;0),"Revisar signo",IF(AND(C517&lt;&gt;"Gasto",I517&lt;&gt;0),"IVA solo en Gasto",IF(AND(C517="Gasto",D517=""),"Falta categoría","OK")))))))))</f>
        <v/>
      </c>
    </row>
    <row r="518" spans="1:12" ht="22" customHeight="1">
      <c r="A518" s="3"/>
      <c r="B518" s="7"/>
      <c r="C518" s="3"/>
      <c r="D518" s="3"/>
      <c r="E518" s="3"/>
      <c r="F518" s="3"/>
      <c r="G518" s="3"/>
      <c r="H518" s="4"/>
      <c r="I518" s="4"/>
      <c r="J518" s="3"/>
      <c r="K518" s="8" t="str">
        <f t="shared" si="7"/>
        <v/>
      </c>
      <c r="L518" s="1" t="str">
        <f>IF(COUNTA(A518:J518)=0,"",IF(OR(AND(C518&lt;&gt;"Gasto",C518&lt;&gt;"Pago proveedor",C518&lt;&gt;"Retiro familiar",C518&lt;&gt;"Aportación",C518&lt;&gt;"Pago activo",C518&lt;&gt;"ISR devengado",C518&lt;&gt;"Pago ISR",C518&lt;&gt;"Pago IVA",C518&lt;&gt;"Compensación ISR",C518&lt;&gt;"Compensación IVA"),AND(C518="Gasto",D518&lt;&gt;"Costos clínicos",D518&lt;&gt;"Remuneración familiar",D518&lt;&gt;"Nómina y honorarios",D518&lt;&gt;"Renta",D518&lt;&gt;"Marketing",D518&lt;&gt;"Servicios y software",D518&lt;&gt;"Mantenimiento",D518&lt;&gt;"Otros",D518&lt;&gt;"Intereses")),"Tipo o categoría inválido",IF(COUNTA(A518:J518)=0,"",IF(OR(A518="",B518="",C518="",H518=""),"Faltan datos",IF(COUNTIF($A$7:$A$2006,A518)&gt;1,"ID duplicado",IF(OR(B518&lt;DATE(Configuración!$C$5,1,1),B518&gt;=DATE(Configuración!$C$5+1,1,1)),"Fecha fuera del año",IF(OR(H518&lt;0,I518&lt;0),"Revisar signo",IF(AND(C518&lt;&gt;"Gasto",I518&lt;&gt;0),"IVA solo en Gasto",IF(AND(C518="Gasto",D518=""),"Falta categoría","OK")))))))))</f>
        <v/>
      </c>
    </row>
    <row r="519" spans="1:12" ht="22" customHeight="1">
      <c r="A519" s="3"/>
      <c r="B519" s="7"/>
      <c r="C519" s="3"/>
      <c r="D519" s="3"/>
      <c r="E519" s="3"/>
      <c r="F519" s="3"/>
      <c r="G519" s="3"/>
      <c r="H519" s="4"/>
      <c r="I519" s="4"/>
      <c r="J519" s="3"/>
      <c r="K519" s="8" t="str">
        <f t="shared" ref="K519:K582" si="8">IF(A519="","",H519+I519)</f>
        <v/>
      </c>
      <c r="L519" s="1" t="str">
        <f>IF(COUNTA(A519:J519)=0,"",IF(OR(AND(C519&lt;&gt;"Gasto",C519&lt;&gt;"Pago proveedor",C519&lt;&gt;"Retiro familiar",C519&lt;&gt;"Aportación",C519&lt;&gt;"Pago activo",C519&lt;&gt;"ISR devengado",C519&lt;&gt;"Pago ISR",C519&lt;&gt;"Pago IVA",C519&lt;&gt;"Compensación ISR",C519&lt;&gt;"Compensación IVA"),AND(C519="Gasto",D519&lt;&gt;"Costos clínicos",D519&lt;&gt;"Remuneración familiar",D519&lt;&gt;"Nómina y honorarios",D519&lt;&gt;"Renta",D519&lt;&gt;"Marketing",D519&lt;&gt;"Servicios y software",D519&lt;&gt;"Mantenimiento",D519&lt;&gt;"Otros",D519&lt;&gt;"Intereses")),"Tipo o categoría inválido",IF(COUNTA(A519:J519)=0,"",IF(OR(A519="",B519="",C519="",H519=""),"Faltan datos",IF(COUNTIF($A$7:$A$2006,A519)&gt;1,"ID duplicado",IF(OR(B519&lt;DATE(Configuración!$C$5,1,1),B519&gt;=DATE(Configuración!$C$5+1,1,1)),"Fecha fuera del año",IF(OR(H519&lt;0,I519&lt;0),"Revisar signo",IF(AND(C519&lt;&gt;"Gasto",I519&lt;&gt;0),"IVA solo en Gasto",IF(AND(C519="Gasto",D519=""),"Falta categoría","OK")))))))))</f>
        <v/>
      </c>
    </row>
    <row r="520" spans="1:12" ht="22" customHeight="1">
      <c r="A520" s="3"/>
      <c r="B520" s="7"/>
      <c r="C520" s="3"/>
      <c r="D520" s="3"/>
      <c r="E520" s="3"/>
      <c r="F520" s="3"/>
      <c r="G520" s="3"/>
      <c r="H520" s="4"/>
      <c r="I520" s="4"/>
      <c r="J520" s="3"/>
      <c r="K520" s="8" t="str">
        <f t="shared" si="8"/>
        <v/>
      </c>
      <c r="L520" s="1" t="str">
        <f>IF(COUNTA(A520:J520)=0,"",IF(OR(AND(C520&lt;&gt;"Gasto",C520&lt;&gt;"Pago proveedor",C520&lt;&gt;"Retiro familiar",C520&lt;&gt;"Aportación",C520&lt;&gt;"Pago activo",C520&lt;&gt;"ISR devengado",C520&lt;&gt;"Pago ISR",C520&lt;&gt;"Pago IVA",C520&lt;&gt;"Compensación ISR",C520&lt;&gt;"Compensación IVA"),AND(C520="Gasto",D520&lt;&gt;"Costos clínicos",D520&lt;&gt;"Remuneración familiar",D520&lt;&gt;"Nómina y honorarios",D520&lt;&gt;"Renta",D520&lt;&gt;"Marketing",D520&lt;&gt;"Servicios y software",D520&lt;&gt;"Mantenimiento",D520&lt;&gt;"Otros",D520&lt;&gt;"Intereses")),"Tipo o categoría inválido",IF(COUNTA(A520:J520)=0,"",IF(OR(A520="",B520="",C520="",H520=""),"Faltan datos",IF(COUNTIF($A$7:$A$2006,A520)&gt;1,"ID duplicado",IF(OR(B520&lt;DATE(Configuración!$C$5,1,1),B520&gt;=DATE(Configuración!$C$5+1,1,1)),"Fecha fuera del año",IF(OR(H520&lt;0,I520&lt;0),"Revisar signo",IF(AND(C520&lt;&gt;"Gasto",I520&lt;&gt;0),"IVA solo en Gasto",IF(AND(C520="Gasto",D520=""),"Falta categoría","OK")))))))))</f>
        <v/>
      </c>
    </row>
    <row r="521" spans="1:12" ht="22" customHeight="1">
      <c r="A521" s="3"/>
      <c r="B521" s="7"/>
      <c r="C521" s="3"/>
      <c r="D521" s="3"/>
      <c r="E521" s="3"/>
      <c r="F521" s="3"/>
      <c r="G521" s="3"/>
      <c r="H521" s="4"/>
      <c r="I521" s="4"/>
      <c r="J521" s="3"/>
      <c r="K521" s="8" t="str">
        <f t="shared" si="8"/>
        <v/>
      </c>
      <c r="L521" s="1" t="str">
        <f>IF(COUNTA(A521:J521)=0,"",IF(OR(AND(C521&lt;&gt;"Gasto",C521&lt;&gt;"Pago proveedor",C521&lt;&gt;"Retiro familiar",C521&lt;&gt;"Aportación",C521&lt;&gt;"Pago activo",C521&lt;&gt;"ISR devengado",C521&lt;&gt;"Pago ISR",C521&lt;&gt;"Pago IVA",C521&lt;&gt;"Compensación ISR",C521&lt;&gt;"Compensación IVA"),AND(C521="Gasto",D521&lt;&gt;"Costos clínicos",D521&lt;&gt;"Remuneración familiar",D521&lt;&gt;"Nómina y honorarios",D521&lt;&gt;"Renta",D521&lt;&gt;"Marketing",D521&lt;&gt;"Servicios y software",D521&lt;&gt;"Mantenimiento",D521&lt;&gt;"Otros",D521&lt;&gt;"Intereses")),"Tipo o categoría inválido",IF(COUNTA(A521:J521)=0,"",IF(OR(A521="",B521="",C521="",H521=""),"Faltan datos",IF(COUNTIF($A$7:$A$2006,A521)&gt;1,"ID duplicado",IF(OR(B521&lt;DATE(Configuración!$C$5,1,1),B521&gt;=DATE(Configuración!$C$5+1,1,1)),"Fecha fuera del año",IF(OR(H521&lt;0,I521&lt;0),"Revisar signo",IF(AND(C521&lt;&gt;"Gasto",I521&lt;&gt;0),"IVA solo en Gasto",IF(AND(C521="Gasto",D521=""),"Falta categoría","OK")))))))))</f>
        <v/>
      </c>
    </row>
    <row r="522" spans="1:12" ht="22" customHeight="1">
      <c r="A522" s="3"/>
      <c r="B522" s="7"/>
      <c r="C522" s="3"/>
      <c r="D522" s="3"/>
      <c r="E522" s="3"/>
      <c r="F522" s="3"/>
      <c r="G522" s="3"/>
      <c r="H522" s="4"/>
      <c r="I522" s="4"/>
      <c r="J522" s="3"/>
      <c r="K522" s="8" t="str">
        <f t="shared" si="8"/>
        <v/>
      </c>
      <c r="L522" s="1" t="str">
        <f>IF(COUNTA(A522:J522)=0,"",IF(OR(AND(C522&lt;&gt;"Gasto",C522&lt;&gt;"Pago proveedor",C522&lt;&gt;"Retiro familiar",C522&lt;&gt;"Aportación",C522&lt;&gt;"Pago activo",C522&lt;&gt;"ISR devengado",C522&lt;&gt;"Pago ISR",C522&lt;&gt;"Pago IVA",C522&lt;&gt;"Compensación ISR",C522&lt;&gt;"Compensación IVA"),AND(C522="Gasto",D522&lt;&gt;"Costos clínicos",D522&lt;&gt;"Remuneración familiar",D522&lt;&gt;"Nómina y honorarios",D522&lt;&gt;"Renta",D522&lt;&gt;"Marketing",D522&lt;&gt;"Servicios y software",D522&lt;&gt;"Mantenimiento",D522&lt;&gt;"Otros",D522&lt;&gt;"Intereses")),"Tipo o categoría inválido",IF(COUNTA(A522:J522)=0,"",IF(OR(A522="",B522="",C522="",H522=""),"Faltan datos",IF(COUNTIF($A$7:$A$2006,A522)&gt;1,"ID duplicado",IF(OR(B522&lt;DATE(Configuración!$C$5,1,1),B522&gt;=DATE(Configuración!$C$5+1,1,1)),"Fecha fuera del año",IF(OR(H522&lt;0,I522&lt;0),"Revisar signo",IF(AND(C522&lt;&gt;"Gasto",I522&lt;&gt;0),"IVA solo en Gasto",IF(AND(C522="Gasto",D522=""),"Falta categoría","OK")))))))))</f>
        <v/>
      </c>
    </row>
    <row r="523" spans="1:12" ht="22" customHeight="1">
      <c r="A523" s="3"/>
      <c r="B523" s="7"/>
      <c r="C523" s="3"/>
      <c r="D523" s="3"/>
      <c r="E523" s="3"/>
      <c r="F523" s="3"/>
      <c r="G523" s="3"/>
      <c r="H523" s="4"/>
      <c r="I523" s="4"/>
      <c r="J523" s="3"/>
      <c r="K523" s="8" t="str">
        <f t="shared" si="8"/>
        <v/>
      </c>
      <c r="L523" s="1" t="str">
        <f>IF(COUNTA(A523:J523)=0,"",IF(OR(AND(C523&lt;&gt;"Gasto",C523&lt;&gt;"Pago proveedor",C523&lt;&gt;"Retiro familiar",C523&lt;&gt;"Aportación",C523&lt;&gt;"Pago activo",C523&lt;&gt;"ISR devengado",C523&lt;&gt;"Pago ISR",C523&lt;&gt;"Pago IVA",C523&lt;&gt;"Compensación ISR",C523&lt;&gt;"Compensación IVA"),AND(C523="Gasto",D523&lt;&gt;"Costos clínicos",D523&lt;&gt;"Remuneración familiar",D523&lt;&gt;"Nómina y honorarios",D523&lt;&gt;"Renta",D523&lt;&gt;"Marketing",D523&lt;&gt;"Servicios y software",D523&lt;&gt;"Mantenimiento",D523&lt;&gt;"Otros",D523&lt;&gt;"Intereses")),"Tipo o categoría inválido",IF(COUNTA(A523:J523)=0,"",IF(OR(A523="",B523="",C523="",H523=""),"Faltan datos",IF(COUNTIF($A$7:$A$2006,A523)&gt;1,"ID duplicado",IF(OR(B523&lt;DATE(Configuración!$C$5,1,1),B523&gt;=DATE(Configuración!$C$5+1,1,1)),"Fecha fuera del año",IF(OR(H523&lt;0,I523&lt;0),"Revisar signo",IF(AND(C523&lt;&gt;"Gasto",I523&lt;&gt;0),"IVA solo en Gasto",IF(AND(C523="Gasto",D523=""),"Falta categoría","OK")))))))))</f>
        <v/>
      </c>
    </row>
    <row r="524" spans="1:12" ht="22" customHeight="1">
      <c r="A524" s="3"/>
      <c r="B524" s="7"/>
      <c r="C524" s="3"/>
      <c r="D524" s="3"/>
      <c r="E524" s="3"/>
      <c r="F524" s="3"/>
      <c r="G524" s="3"/>
      <c r="H524" s="4"/>
      <c r="I524" s="4"/>
      <c r="J524" s="3"/>
      <c r="K524" s="8" t="str">
        <f t="shared" si="8"/>
        <v/>
      </c>
      <c r="L524" s="1" t="str">
        <f>IF(COUNTA(A524:J524)=0,"",IF(OR(AND(C524&lt;&gt;"Gasto",C524&lt;&gt;"Pago proveedor",C524&lt;&gt;"Retiro familiar",C524&lt;&gt;"Aportación",C524&lt;&gt;"Pago activo",C524&lt;&gt;"ISR devengado",C524&lt;&gt;"Pago ISR",C524&lt;&gt;"Pago IVA",C524&lt;&gt;"Compensación ISR",C524&lt;&gt;"Compensación IVA"),AND(C524="Gasto",D524&lt;&gt;"Costos clínicos",D524&lt;&gt;"Remuneración familiar",D524&lt;&gt;"Nómina y honorarios",D524&lt;&gt;"Renta",D524&lt;&gt;"Marketing",D524&lt;&gt;"Servicios y software",D524&lt;&gt;"Mantenimiento",D524&lt;&gt;"Otros",D524&lt;&gt;"Intereses")),"Tipo o categoría inválido",IF(COUNTA(A524:J524)=0,"",IF(OR(A524="",B524="",C524="",H524=""),"Faltan datos",IF(COUNTIF($A$7:$A$2006,A524)&gt;1,"ID duplicado",IF(OR(B524&lt;DATE(Configuración!$C$5,1,1),B524&gt;=DATE(Configuración!$C$5+1,1,1)),"Fecha fuera del año",IF(OR(H524&lt;0,I524&lt;0),"Revisar signo",IF(AND(C524&lt;&gt;"Gasto",I524&lt;&gt;0),"IVA solo en Gasto",IF(AND(C524="Gasto",D524=""),"Falta categoría","OK")))))))))</f>
        <v/>
      </c>
    </row>
    <row r="525" spans="1:12" ht="22" customHeight="1">
      <c r="A525" s="3"/>
      <c r="B525" s="7"/>
      <c r="C525" s="3"/>
      <c r="D525" s="3"/>
      <c r="E525" s="3"/>
      <c r="F525" s="3"/>
      <c r="G525" s="3"/>
      <c r="H525" s="4"/>
      <c r="I525" s="4"/>
      <c r="J525" s="3"/>
      <c r="K525" s="8" t="str">
        <f t="shared" si="8"/>
        <v/>
      </c>
      <c r="L525" s="1" t="str">
        <f>IF(COUNTA(A525:J525)=0,"",IF(OR(AND(C525&lt;&gt;"Gasto",C525&lt;&gt;"Pago proveedor",C525&lt;&gt;"Retiro familiar",C525&lt;&gt;"Aportación",C525&lt;&gt;"Pago activo",C525&lt;&gt;"ISR devengado",C525&lt;&gt;"Pago ISR",C525&lt;&gt;"Pago IVA",C525&lt;&gt;"Compensación ISR",C525&lt;&gt;"Compensación IVA"),AND(C525="Gasto",D525&lt;&gt;"Costos clínicos",D525&lt;&gt;"Remuneración familiar",D525&lt;&gt;"Nómina y honorarios",D525&lt;&gt;"Renta",D525&lt;&gt;"Marketing",D525&lt;&gt;"Servicios y software",D525&lt;&gt;"Mantenimiento",D525&lt;&gt;"Otros",D525&lt;&gt;"Intereses")),"Tipo o categoría inválido",IF(COUNTA(A525:J525)=0,"",IF(OR(A525="",B525="",C525="",H525=""),"Faltan datos",IF(COUNTIF($A$7:$A$2006,A525)&gt;1,"ID duplicado",IF(OR(B525&lt;DATE(Configuración!$C$5,1,1),B525&gt;=DATE(Configuración!$C$5+1,1,1)),"Fecha fuera del año",IF(OR(H525&lt;0,I525&lt;0),"Revisar signo",IF(AND(C525&lt;&gt;"Gasto",I525&lt;&gt;0),"IVA solo en Gasto",IF(AND(C525="Gasto",D525=""),"Falta categoría","OK")))))))))</f>
        <v/>
      </c>
    </row>
    <row r="526" spans="1:12" ht="22" customHeight="1">
      <c r="A526" s="3"/>
      <c r="B526" s="7"/>
      <c r="C526" s="3"/>
      <c r="D526" s="3"/>
      <c r="E526" s="3"/>
      <c r="F526" s="3"/>
      <c r="G526" s="3"/>
      <c r="H526" s="4"/>
      <c r="I526" s="4"/>
      <c r="J526" s="3"/>
      <c r="K526" s="8" t="str">
        <f t="shared" si="8"/>
        <v/>
      </c>
      <c r="L526" s="1" t="str">
        <f>IF(COUNTA(A526:J526)=0,"",IF(OR(AND(C526&lt;&gt;"Gasto",C526&lt;&gt;"Pago proveedor",C526&lt;&gt;"Retiro familiar",C526&lt;&gt;"Aportación",C526&lt;&gt;"Pago activo",C526&lt;&gt;"ISR devengado",C526&lt;&gt;"Pago ISR",C526&lt;&gt;"Pago IVA",C526&lt;&gt;"Compensación ISR",C526&lt;&gt;"Compensación IVA"),AND(C526="Gasto",D526&lt;&gt;"Costos clínicos",D526&lt;&gt;"Remuneración familiar",D526&lt;&gt;"Nómina y honorarios",D526&lt;&gt;"Renta",D526&lt;&gt;"Marketing",D526&lt;&gt;"Servicios y software",D526&lt;&gt;"Mantenimiento",D526&lt;&gt;"Otros",D526&lt;&gt;"Intereses")),"Tipo o categoría inválido",IF(COUNTA(A526:J526)=0,"",IF(OR(A526="",B526="",C526="",H526=""),"Faltan datos",IF(COUNTIF($A$7:$A$2006,A526)&gt;1,"ID duplicado",IF(OR(B526&lt;DATE(Configuración!$C$5,1,1),B526&gt;=DATE(Configuración!$C$5+1,1,1)),"Fecha fuera del año",IF(OR(H526&lt;0,I526&lt;0),"Revisar signo",IF(AND(C526&lt;&gt;"Gasto",I526&lt;&gt;0),"IVA solo en Gasto",IF(AND(C526="Gasto",D526=""),"Falta categoría","OK")))))))))</f>
        <v/>
      </c>
    </row>
    <row r="527" spans="1:12" ht="22" customHeight="1">
      <c r="A527" s="3"/>
      <c r="B527" s="7"/>
      <c r="C527" s="3"/>
      <c r="D527" s="3"/>
      <c r="E527" s="3"/>
      <c r="F527" s="3"/>
      <c r="G527" s="3"/>
      <c r="H527" s="4"/>
      <c r="I527" s="4"/>
      <c r="J527" s="3"/>
      <c r="K527" s="8" t="str">
        <f t="shared" si="8"/>
        <v/>
      </c>
      <c r="L527" s="1" t="str">
        <f>IF(COUNTA(A527:J527)=0,"",IF(OR(AND(C527&lt;&gt;"Gasto",C527&lt;&gt;"Pago proveedor",C527&lt;&gt;"Retiro familiar",C527&lt;&gt;"Aportación",C527&lt;&gt;"Pago activo",C527&lt;&gt;"ISR devengado",C527&lt;&gt;"Pago ISR",C527&lt;&gt;"Pago IVA",C527&lt;&gt;"Compensación ISR",C527&lt;&gt;"Compensación IVA"),AND(C527="Gasto",D527&lt;&gt;"Costos clínicos",D527&lt;&gt;"Remuneración familiar",D527&lt;&gt;"Nómina y honorarios",D527&lt;&gt;"Renta",D527&lt;&gt;"Marketing",D527&lt;&gt;"Servicios y software",D527&lt;&gt;"Mantenimiento",D527&lt;&gt;"Otros",D527&lt;&gt;"Intereses")),"Tipo o categoría inválido",IF(COUNTA(A527:J527)=0,"",IF(OR(A527="",B527="",C527="",H527=""),"Faltan datos",IF(COUNTIF($A$7:$A$2006,A527)&gt;1,"ID duplicado",IF(OR(B527&lt;DATE(Configuración!$C$5,1,1),B527&gt;=DATE(Configuración!$C$5+1,1,1)),"Fecha fuera del año",IF(OR(H527&lt;0,I527&lt;0),"Revisar signo",IF(AND(C527&lt;&gt;"Gasto",I527&lt;&gt;0),"IVA solo en Gasto",IF(AND(C527="Gasto",D527=""),"Falta categoría","OK")))))))))</f>
        <v/>
      </c>
    </row>
    <row r="528" spans="1:12" ht="22" customHeight="1">
      <c r="A528" s="3"/>
      <c r="B528" s="7"/>
      <c r="C528" s="3"/>
      <c r="D528" s="3"/>
      <c r="E528" s="3"/>
      <c r="F528" s="3"/>
      <c r="G528" s="3"/>
      <c r="H528" s="4"/>
      <c r="I528" s="4"/>
      <c r="J528" s="3"/>
      <c r="K528" s="8" t="str">
        <f t="shared" si="8"/>
        <v/>
      </c>
      <c r="L528" s="1" t="str">
        <f>IF(COUNTA(A528:J528)=0,"",IF(OR(AND(C528&lt;&gt;"Gasto",C528&lt;&gt;"Pago proveedor",C528&lt;&gt;"Retiro familiar",C528&lt;&gt;"Aportación",C528&lt;&gt;"Pago activo",C528&lt;&gt;"ISR devengado",C528&lt;&gt;"Pago ISR",C528&lt;&gt;"Pago IVA",C528&lt;&gt;"Compensación ISR",C528&lt;&gt;"Compensación IVA"),AND(C528="Gasto",D528&lt;&gt;"Costos clínicos",D528&lt;&gt;"Remuneración familiar",D528&lt;&gt;"Nómina y honorarios",D528&lt;&gt;"Renta",D528&lt;&gt;"Marketing",D528&lt;&gt;"Servicios y software",D528&lt;&gt;"Mantenimiento",D528&lt;&gt;"Otros",D528&lt;&gt;"Intereses")),"Tipo o categoría inválido",IF(COUNTA(A528:J528)=0,"",IF(OR(A528="",B528="",C528="",H528=""),"Faltan datos",IF(COUNTIF($A$7:$A$2006,A528)&gt;1,"ID duplicado",IF(OR(B528&lt;DATE(Configuración!$C$5,1,1),B528&gt;=DATE(Configuración!$C$5+1,1,1)),"Fecha fuera del año",IF(OR(H528&lt;0,I528&lt;0),"Revisar signo",IF(AND(C528&lt;&gt;"Gasto",I528&lt;&gt;0),"IVA solo en Gasto",IF(AND(C528="Gasto",D528=""),"Falta categoría","OK")))))))))</f>
        <v/>
      </c>
    </row>
    <row r="529" spans="1:12" ht="22" customHeight="1">
      <c r="A529" s="3"/>
      <c r="B529" s="7"/>
      <c r="C529" s="3"/>
      <c r="D529" s="3"/>
      <c r="E529" s="3"/>
      <c r="F529" s="3"/>
      <c r="G529" s="3"/>
      <c r="H529" s="4"/>
      <c r="I529" s="4"/>
      <c r="J529" s="3"/>
      <c r="K529" s="8" t="str">
        <f t="shared" si="8"/>
        <v/>
      </c>
      <c r="L529" s="1" t="str">
        <f>IF(COUNTA(A529:J529)=0,"",IF(OR(AND(C529&lt;&gt;"Gasto",C529&lt;&gt;"Pago proveedor",C529&lt;&gt;"Retiro familiar",C529&lt;&gt;"Aportación",C529&lt;&gt;"Pago activo",C529&lt;&gt;"ISR devengado",C529&lt;&gt;"Pago ISR",C529&lt;&gt;"Pago IVA",C529&lt;&gt;"Compensación ISR",C529&lt;&gt;"Compensación IVA"),AND(C529="Gasto",D529&lt;&gt;"Costos clínicos",D529&lt;&gt;"Remuneración familiar",D529&lt;&gt;"Nómina y honorarios",D529&lt;&gt;"Renta",D529&lt;&gt;"Marketing",D529&lt;&gt;"Servicios y software",D529&lt;&gt;"Mantenimiento",D529&lt;&gt;"Otros",D529&lt;&gt;"Intereses")),"Tipo o categoría inválido",IF(COUNTA(A529:J529)=0,"",IF(OR(A529="",B529="",C529="",H529=""),"Faltan datos",IF(COUNTIF($A$7:$A$2006,A529)&gt;1,"ID duplicado",IF(OR(B529&lt;DATE(Configuración!$C$5,1,1),B529&gt;=DATE(Configuración!$C$5+1,1,1)),"Fecha fuera del año",IF(OR(H529&lt;0,I529&lt;0),"Revisar signo",IF(AND(C529&lt;&gt;"Gasto",I529&lt;&gt;0),"IVA solo en Gasto",IF(AND(C529="Gasto",D529=""),"Falta categoría","OK")))))))))</f>
        <v/>
      </c>
    </row>
    <row r="530" spans="1:12" ht="22" customHeight="1">
      <c r="A530" s="3"/>
      <c r="B530" s="7"/>
      <c r="C530" s="3"/>
      <c r="D530" s="3"/>
      <c r="E530" s="3"/>
      <c r="F530" s="3"/>
      <c r="G530" s="3"/>
      <c r="H530" s="4"/>
      <c r="I530" s="4"/>
      <c r="J530" s="3"/>
      <c r="K530" s="8" t="str">
        <f t="shared" si="8"/>
        <v/>
      </c>
      <c r="L530" s="1" t="str">
        <f>IF(COUNTA(A530:J530)=0,"",IF(OR(AND(C530&lt;&gt;"Gasto",C530&lt;&gt;"Pago proveedor",C530&lt;&gt;"Retiro familiar",C530&lt;&gt;"Aportación",C530&lt;&gt;"Pago activo",C530&lt;&gt;"ISR devengado",C530&lt;&gt;"Pago ISR",C530&lt;&gt;"Pago IVA",C530&lt;&gt;"Compensación ISR",C530&lt;&gt;"Compensación IVA"),AND(C530="Gasto",D530&lt;&gt;"Costos clínicos",D530&lt;&gt;"Remuneración familiar",D530&lt;&gt;"Nómina y honorarios",D530&lt;&gt;"Renta",D530&lt;&gt;"Marketing",D530&lt;&gt;"Servicios y software",D530&lt;&gt;"Mantenimiento",D530&lt;&gt;"Otros",D530&lt;&gt;"Intereses")),"Tipo o categoría inválido",IF(COUNTA(A530:J530)=0,"",IF(OR(A530="",B530="",C530="",H530=""),"Faltan datos",IF(COUNTIF($A$7:$A$2006,A530)&gt;1,"ID duplicado",IF(OR(B530&lt;DATE(Configuración!$C$5,1,1),B530&gt;=DATE(Configuración!$C$5+1,1,1)),"Fecha fuera del año",IF(OR(H530&lt;0,I530&lt;0),"Revisar signo",IF(AND(C530&lt;&gt;"Gasto",I530&lt;&gt;0),"IVA solo en Gasto",IF(AND(C530="Gasto",D530=""),"Falta categoría","OK")))))))))</f>
        <v/>
      </c>
    </row>
    <row r="531" spans="1:12" ht="22" customHeight="1">
      <c r="A531" s="3"/>
      <c r="B531" s="7"/>
      <c r="C531" s="3"/>
      <c r="D531" s="3"/>
      <c r="E531" s="3"/>
      <c r="F531" s="3"/>
      <c r="G531" s="3"/>
      <c r="H531" s="4"/>
      <c r="I531" s="4"/>
      <c r="J531" s="3"/>
      <c r="K531" s="8" t="str">
        <f t="shared" si="8"/>
        <v/>
      </c>
      <c r="L531" s="1" t="str">
        <f>IF(COUNTA(A531:J531)=0,"",IF(OR(AND(C531&lt;&gt;"Gasto",C531&lt;&gt;"Pago proveedor",C531&lt;&gt;"Retiro familiar",C531&lt;&gt;"Aportación",C531&lt;&gt;"Pago activo",C531&lt;&gt;"ISR devengado",C531&lt;&gt;"Pago ISR",C531&lt;&gt;"Pago IVA",C531&lt;&gt;"Compensación ISR",C531&lt;&gt;"Compensación IVA"),AND(C531="Gasto",D531&lt;&gt;"Costos clínicos",D531&lt;&gt;"Remuneración familiar",D531&lt;&gt;"Nómina y honorarios",D531&lt;&gt;"Renta",D531&lt;&gt;"Marketing",D531&lt;&gt;"Servicios y software",D531&lt;&gt;"Mantenimiento",D531&lt;&gt;"Otros",D531&lt;&gt;"Intereses")),"Tipo o categoría inválido",IF(COUNTA(A531:J531)=0,"",IF(OR(A531="",B531="",C531="",H531=""),"Faltan datos",IF(COUNTIF($A$7:$A$2006,A531)&gt;1,"ID duplicado",IF(OR(B531&lt;DATE(Configuración!$C$5,1,1),B531&gt;=DATE(Configuración!$C$5+1,1,1)),"Fecha fuera del año",IF(OR(H531&lt;0,I531&lt;0),"Revisar signo",IF(AND(C531&lt;&gt;"Gasto",I531&lt;&gt;0),"IVA solo en Gasto",IF(AND(C531="Gasto",D531=""),"Falta categoría","OK")))))))))</f>
        <v/>
      </c>
    </row>
    <row r="532" spans="1:12" ht="22" customHeight="1">
      <c r="A532" s="3"/>
      <c r="B532" s="7"/>
      <c r="C532" s="3"/>
      <c r="D532" s="3"/>
      <c r="E532" s="3"/>
      <c r="F532" s="3"/>
      <c r="G532" s="3"/>
      <c r="H532" s="4"/>
      <c r="I532" s="4"/>
      <c r="J532" s="3"/>
      <c r="K532" s="8" t="str">
        <f t="shared" si="8"/>
        <v/>
      </c>
      <c r="L532" s="1" t="str">
        <f>IF(COUNTA(A532:J532)=0,"",IF(OR(AND(C532&lt;&gt;"Gasto",C532&lt;&gt;"Pago proveedor",C532&lt;&gt;"Retiro familiar",C532&lt;&gt;"Aportación",C532&lt;&gt;"Pago activo",C532&lt;&gt;"ISR devengado",C532&lt;&gt;"Pago ISR",C532&lt;&gt;"Pago IVA",C532&lt;&gt;"Compensación ISR",C532&lt;&gt;"Compensación IVA"),AND(C532="Gasto",D532&lt;&gt;"Costos clínicos",D532&lt;&gt;"Remuneración familiar",D532&lt;&gt;"Nómina y honorarios",D532&lt;&gt;"Renta",D532&lt;&gt;"Marketing",D532&lt;&gt;"Servicios y software",D532&lt;&gt;"Mantenimiento",D532&lt;&gt;"Otros",D532&lt;&gt;"Intereses")),"Tipo o categoría inválido",IF(COUNTA(A532:J532)=0,"",IF(OR(A532="",B532="",C532="",H532=""),"Faltan datos",IF(COUNTIF($A$7:$A$2006,A532)&gt;1,"ID duplicado",IF(OR(B532&lt;DATE(Configuración!$C$5,1,1),B532&gt;=DATE(Configuración!$C$5+1,1,1)),"Fecha fuera del año",IF(OR(H532&lt;0,I532&lt;0),"Revisar signo",IF(AND(C532&lt;&gt;"Gasto",I532&lt;&gt;0),"IVA solo en Gasto",IF(AND(C532="Gasto",D532=""),"Falta categoría","OK")))))))))</f>
        <v/>
      </c>
    </row>
    <row r="533" spans="1:12" ht="22" customHeight="1">
      <c r="A533" s="3"/>
      <c r="B533" s="7"/>
      <c r="C533" s="3"/>
      <c r="D533" s="3"/>
      <c r="E533" s="3"/>
      <c r="F533" s="3"/>
      <c r="G533" s="3"/>
      <c r="H533" s="4"/>
      <c r="I533" s="4"/>
      <c r="J533" s="3"/>
      <c r="K533" s="8" t="str">
        <f t="shared" si="8"/>
        <v/>
      </c>
      <c r="L533" s="1" t="str">
        <f>IF(COUNTA(A533:J533)=0,"",IF(OR(AND(C533&lt;&gt;"Gasto",C533&lt;&gt;"Pago proveedor",C533&lt;&gt;"Retiro familiar",C533&lt;&gt;"Aportación",C533&lt;&gt;"Pago activo",C533&lt;&gt;"ISR devengado",C533&lt;&gt;"Pago ISR",C533&lt;&gt;"Pago IVA",C533&lt;&gt;"Compensación ISR",C533&lt;&gt;"Compensación IVA"),AND(C533="Gasto",D533&lt;&gt;"Costos clínicos",D533&lt;&gt;"Remuneración familiar",D533&lt;&gt;"Nómina y honorarios",D533&lt;&gt;"Renta",D533&lt;&gt;"Marketing",D533&lt;&gt;"Servicios y software",D533&lt;&gt;"Mantenimiento",D533&lt;&gt;"Otros",D533&lt;&gt;"Intereses")),"Tipo o categoría inválido",IF(COUNTA(A533:J533)=0,"",IF(OR(A533="",B533="",C533="",H533=""),"Faltan datos",IF(COUNTIF($A$7:$A$2006,A533)&gt;1,"ID duplicado",IF(OR(B533&lt;DATE(Configuración!$C$5,1,1),B533&gt;=DATE(Configuración!$C$5+1,1,1)),"Fecha fuera del año",IF(OR(H533&lt;0,I533&lt;0),"Revisar signo",IF(AND(C533&lt;&gt;"Gasto",I533&lt;&gt;0),"IVA solo en Gasto",IF(AND(C533="Gasto",D533=""),"Falta categoría","OK")))))))))</f>
        <v/>
      </c>
    </row>
    <row r="534" spans="1:12" ht="22" customHeight="1">
      <c r="A534" s="3"/>
      <c r="B534" s="7"/>
      <c r="C534" s="3"/>
      <c r="D534" s="3"/>
      <c r="E534" s="3"/>
      <c r="F534" s="3"/>
      <c r="G534" s="3"/>
      <c r="H534" s="4"/>
      <c r="I534" s="4"/>
      <c r="J534" s="3"/>
      <c r="K534" s="8" t="str">
        <f t="shared" si="8"/>
        <v/>
      </c>
      <c r="L534" s="1" t="str">
        <f>IF(COUNTA(A534:J534)=0,"",IF(OR(AND(C534&lt;&gt;"Gasto",C534&lt;&gt;"Pago proveedor",C534&lt;&gt;"Retiro familiar",C534&lt;&gt;"Aportación",C534&lt;&gt;"Pago activo",C534&lt;&gt;"ISR devengado",C534&lt;&gt;"Pago ISR",C534&lt;&gt;"Pago IVA",C534&lt;&gt;"Compensación ISR",C534&lt;&gt;"Compensación IVA"),AND(C534="Gasto",D534&lt;&gt;"Costos clínicos",D534&lt;&gt;"Remuneración familiar",D534&lt;&gt;"Nómina y honorarios",D534&lt;&gt;"Renta",D534&lt;&gt;"Marketing",D534&lt;&gt;"Servicios y software",D534&lt;&gt;"Mantenimiento",D534&lt;&gt;"Otros",D534&lt;&gt;"Intereses")),"Tipo o categoría inválido",IF(COUNTA(A534:J534)=0,"",IF(OR(A534="",B534="",C534="",H534=""),"Faltan datos",IF(COUNTIF($A$7:$A$2006,A534)&gt;1,"ID duplicado",IF(OR(B534&lt;DATE(Configuración!$C$5,1,1),B534&gt;=DATE(Configuración!$C$5+1,1,1)),"Fecha fuera del año",IF(OR(H534&lt;0,I534&lt;0),"Revisar signo",IF(AND(C534&lt;&gt;"Gasto",I534&lt;&gt;0),"IVA solo en Gasto",IF(AND(C534="Gasto",D534=""),"Falta categoría","OK")))))))))</f>
        <v/>
      </c>
    </row>
    <row r="535" spans="1:12" ht="22" customHeight="1">
      <c r="A535" s="3"/>
      <c r="B535" s="7"/>
      <c r="C535" s="3"/>
      <c r="D535" s="3"/>
      <c r="E535" s="3"/>
      <c r="F535" s="3"/>
      <c r="G535" s="3"/>
      <c r="H535" s="4"/>
      <c r="I535" s="4"/>
      <c r="J535" s="3"/>
      <c r="K535" s="8" t="str">
        <f t="shared" si="8"/>
        <v/>
      </c>
      <c r="L535" s="1" t="str">
        <f>IF(COUNTA(A535:J535)=0,"",IF(OR(AND(C535&lt;&gt;"Gasto",C535&lt;&gt;"Pago proveedor",C535&lt;&gt;"Retiro familiar",C535&lt;&gt;"Aportación",C535&lt;&gt;"Pago activo",C535&lt;&gt;"ISR devengado",C535&lt;&gt;"Pago ISR",C535&lt;&gt;"Pago IVA",C535&lt;&gt;"Compensación ISR",C535&lt;&gt;"Compensación IVA"),AND(C535="Gasto",D535&lt;&gt;"Costos clínicos",D535&lt;&gt;"Remuneración familiar",D535&lt;&gt;"Nómina y honorarios",D535&lt;&gt;"Renta",D535&lt;&gt;"Marketing",D535&lt;&gt;"Servicios y software",D535&lt;&gt;"Mantenimiento",D535&lt;&gt;"Otros",D535&lt;&gt;"Intereses")),"Tipo o categoría inválido",IF(COUNTA(A535:J535)=0,"",IF(OR(A535="",B535="",C535="",H535=""),"Faltan datos",IF(COUNTIF($A$7:$A$2006,A535)&gt;1,"ID duplicado",IF(OR(B535&lt;DATE(Configuración!$C$5,1,1),B535&gt;=DATE(Configuración!$C$5+1,1,1)),"Fecha fuera del año",IF(OR(H535&lt;0,I535&lt;0),"Revisar signo",IF(AND(C535&lt;&gt;"Gasto",I535&lt;&gt;0),"IVA solo en Gasto",IF(AND(C535="Gasto",D535=""),"Falta categoría","OK")))))))))</f>
        <v/>
      </c>
    </row>
    <row r="536" spans="1:12" ht="22" customHeight="1">
      <c r="A536" s="3"/>
      <c r="B536" s="7"/>
      <c r="C536" s="3"/>
      <c r="D536" s="3"/>
      <c r="E536" s="3"/>
      <c r="F536" s="3"/>
      <c r="G536" s="3"/>
      <c r="H536" s="4"/>
      <c r="I536" s="4"/>
      <c r="J536" s="3"/>
      <c r="K536" s="8" t="str">
        <f t="shared" si="8"/>
        <v/>
      </c>
      <c r="L536" s="1" t="str">
        <f>IF(COUNTA(A536:J536)=0,"",IF(OR(AND(C536&lt;&gt;"Gasto",C536&lt;&gt;"Pago proveedor",C536&lt;&gt;"Retiro familiar",C536&lt;&gt;"Aportación",C536&lt;&gt;"Pago activo",C536&lt;&gt;"ISR devengado",C536&lt;&gt;"Pago ISR",C536&lt;&gt;"Pago IVA",C536&lt;&gt;"Compensación ISR",C536&lt;&gt;"Compensación IVA"),AND(C536="Gasto",D536&lt;&gt;"Costos clínicos",D536&lt;&gt;"Remuneración familiar",D536&lt;&gt;"Nómina y honorarios",D536&lt;&gt;"Renta",D536&lt;&gt;"Marketing",D536&lt;&gt;"Servicios y software",D536&lt;&gt;"Mantenimiento",D536&lt;&gt;"Otros",D536&lt;&gt;"Intereses")),"Tipo o categoría inválido",IF(COUNTA(A536:J536)=0,"",IF(OR(A536="",B536="",C536="",H536=""),"Faltan datos",IF(COUNTIF($A$7:$A$2006,A536)&gt;1,"ID duplicado",IF(OR(B536&lt;DATE(Configuración!$C$5,1,1),B536&gt;=DATE(Configuración!$C$5+1,1,1)),"Fecha fuera del año",IF(OR(H536&lt;0,I536&lt;0),"Revisar signo",IF(AND(C536&lt;&gt;"Gasto",I536&lt;&gt;0),"IVA solo en Gasto",IF(AND(C536="Gasto",D536=""),"Falta categoría","OK")))))))))</f>
        <v/>
      </c>
    </row>
    <row r="537" spans="1:12" ht="22" customHeight="1">
      <c r="A537" s="3"/>
      <c r="B537" s="7"/>
      <c r="C537" s="3"/>
      <c r="D537" s="3"/>
      <c r="E537" s="3"/>
      <c r="F537" s="3"/>
      <c r="G537" s="3"/>
      <c r="H537" s="4"/>
      <c r="I537" s="4"/>
      <c r="J537" s="3"/>
      <c r="K537" s="8" t="str">
        <f t="shared" si="8"/>
        <v/>
      </c>
      <c r="L537" s="1" t="str">
        <f>IF(COUNTA(A537:J537)=0,"",IF(OR(AND(C537&lt;&gt;"Gasto",C537&lt;&gt;"Pago proveedor",C537&lt;&gt;"Retiro familiar",C537&lt;&gt;"Aportación",C537&lt;&gt;"Pago activo",C537&lt;&gt;"ISR devengado",C537&lt;&gt;"Pago ISR",C537&lt;&gt;"Pago IVA",C537&lt;&gt;"Compensación ISR",C537&lt;&gt;"Compensación IVA"),AND(C537="Gasto",D537&lt;&gt;"Costos clínicos",D537&lt;&gt;"Remuneración familiar",D537&lt;&gt;"Nómina y honorarios",D537&lt;&gt;"Renta",D537&lt;&gt;"Marketing",D537&lt;&gt;"Servicios y software",D537&lt;&gt;"Mantenimiento",D537&lt;&gt;"Otros",D537&lt;&gt;"Intereses")),"Tipo o categoría inválido",IF(COUNTA(A537:J537)=0,"",IF(OR(A537="",B537="",C537="",H537=""),"Faltan datos",IF(COUNTIF($A$7:$A$2006,A537)&gt;1,"ID duplicado",IF(OR(B537&lt;DATE(Configuración!$C$5,1,1),B537&gt;=DATE(Configuración!$C$5+1,1,1)),"Fecha fuera del año",IF(OR(H537&lt;0,I537&lt;0),"Revisar signo",IF(AND(C537&lt;&gt;"Gasto",I537&lt;&gt;0),"IVA solo en Gasto",IF(AND(C537="Gasto",D537=""),"Falta categoría","OK")))))))))</f>
        <v/>
      </c>
    </row>
    <row r="538" spans="1:12" ht="22" customHeight="1">
      <c r="A538" s="3"/>
      <c r="B538" s="7"/>
      <c r="C538" s="3"/>
      <c r="D538" s="3"/>
      <c r="E538" s="3"/>
      <c r="F538" s="3"/>
      <c r="G538" s="3"/>
      <c r="H538" s="4"/>
      <c r="I538" s="4"/>
      <c r="J538" s="3"/>
      <c r="K538" s="8" t="str">
        <f t="shared" si="8"/>
        <v/>
      </c>
      <c r="L538" s="1" t="str">
        <f>IF(COUNTA(A538:J538)=0,"",IF(OR(AND(C538&lt;&gt;"Gasto",C538&lt;&gt;"Pago proveedor",C538&lt;&gt;"Retiro familiar",C538&lt;&gt;"Aportación",C538&lt;&gt;"Pago activo",C538&lt;&gt;"ISR devengado",C538&lt;&gt;"Pago ISR",C538&lt;&gt;"Pago IVA",C538&lt;&gt;"Compensación ISR",C538&lt;&gt;"Compensación IVA"),AND(C538="Gasto",D538&lt;&gt;"Costos clínicos",D538&lt;&gt;"Remuneración familiar",D538&lt;&gt;"Nómina y honorarios",D538&lt;&gt;"Renta",D538&lt;&gt;"Marketing",D538&lt;&gt;"Servicios y software",D538&lt;&gt;"Mantenimiento",D538&lt;&gt;"Otros",D538&lt;&gt;"Intereses")),"Tipo o categoría inválido",IF(COUNTA(A538:J538)=0,"",IF(OR(A538="",B538="",C538="",H538=""),"Faltan datos",IF(COUNTIF($A$7:$A$2006,A538)&gt;1,"ID duplicado",IF(OR(B538&lt;DATE(Configuración!$C$5,1,1),B538&gt;=DATE(Configuración!$C$5+1,1,1)),"Fecha fuera del año",IF(OR(H538&lt;0,I538&lt;0),"Revisar signo",IF(AND(C538&lt;&gt;"Gasto",I538&lt;&gt;0),"IVA solo en Gasto",IF(AND(C538="Gasto",D538=""),"Falta categoría","OK")))))))))</f>
        <v/>
      </c>
    </row>
    <row r="539" spans="1:12" ht="22" customHeight="1">
      <c r="A539" s="3"/>
      <c r="B539" s="7"/>
      <c r="C539" s="3"/>
      <c r="D539" s="3"/>
      <c r="E539" s="3"/>
      <c r="F539" s="3"/>
      <c r="G539" s="3"/>
      <c r="H539" s="4"/>
      <c r="I539" s="4"/>
      <c r="J539" s="3"/>
      <c r="K539" s="8" t="str">
        <f t="shared" si="8"/>
        <v/>
      </c>
      <c r="L539" s="1" t="str">
        <f>IF(COUNTA(A539:J539)=0,"",IF(OR(AND(C539&lt;&gt;"Gasto",C539&lt;&gt;"Pago proveedor",C539&lt;&gt;"Retiro familiar",C539&lt;&gt;"Aportación",C539&lt;&gt;"Pago activo",C539&lt;&gt;"ISR devengado",C539&lt;&gt;"Pago ISR",C539&lt;&gt;"Pago IVA",C539&lt;&gt;"Compensación ISR",C539&lt;&gt;"Compensación IVA"),AND(C539="Gasto",D539&lt;&gt;"Costos clínicos",D539&lt;&gt;"Remuneración familiar",D539&lt;&gt;"Nómina y honorarios",D539&lt;&gt;"Renta",D539&lt;&gt;"Marketing",D539&lt;&gt;"Servicios y software",D539&lt;&gt;"Mantenimiento",D539&lt;&gt;"Otros",D539&lt;&gt;"Intereses")),"Tipo o categoría inválido",IF(COUNTA(A539:J539)=0,"",IF(OR(A539="",B539="",C539="",H539=""),"Faltan datos",IF(COUNTIF($A$7:$A$2006,A539)&gt;1,"ID duplicado",IF(OR(B539&lt;DATE(Configuración!$C$5,1,1),B539&gt;=DATE(Configuración!$C$5+1,1,1)),"Fecha fuera del año",IF(OR(H539&lt;0,I539&lt;0),"Revisar signo",IF(AND(C539&lt;&gt;"Gasto",I539&lt;&gt;0),"IVA solo en Gasto",IF(AND(C539="Gasto",D539=""),"Falta categoría","OK")))))))))</f>
        <v/>
      </c>
    </row>
    <row r="540" spans="1:12" ht="22" customHeight="1">
      <c r="A540" s="3"/>
      <c r="B540" s="7"/>
      <c r="C540" s="3"/>
      <c r="D540" s="3"/>
      <c r="E540" s="3"/>
      <c r="F540" s="3"/>
      <c r="G540" s="3"/>
      <c r="H540" s="4"/>
      <c r="I540" s="4"/>
      <c r="J540" s="3"/>
      <c r="K540" s="8" t="str">
        <f t="shared" si="8"/>
        <v/>
      </c>
      <c r="L540" s="1" t="str">
        <f>IF(COUNTA(A540:J540)=0,"",IF(OR(AND(C540&lt;&gt;"Gasto",C540&lt;&gt;"Pago proveedor",C540&lt;&gt;"Retiro familiar",C540&lt;&gt;"Aportación",C540&lt;&gt;"Pago activo",C540&lt;&gt;"ISR devengado",C540&lt;&gt;"Pago ISR",C540&lt;&gt;"Pago IVA",C540&lt;&gt;"Compensación ISR",C540&lt;&gt;"Compensación IVA"),AND(C540="Gasto",D540&lt;&gt;"Costos clínicos",D540&lt;&gt;"Remuneración familiar",D540&lt;&gt;"Nómina y honorarios",D540&lt;&gt;"Renta",D540&lt;&gt;"Marketing",D540&lt;&gt;"Servicios y software",D540&lt;&gt;"Mantenimiento",D540&lt;&gt;"Otros",D540&lt;&gt;"Intereses")),"Tipo o categoría inválido",IF(COUNTA(A540:J540)=0,"",IF(OR(A540="",B540="",C540="",H540=""),"Faltan datos",IF(COUNTIF($A$7:$A$2006,A540)&gt;1,"ID duplicado",IF(OR(B540&lt;DATE(Configuración!$C$5,1,1),B540&gt;=DATE(Configuración!$C$5+1,1,1)),"Fecha fuera del año",IF(OR(H540&lt;0,I540&lt;0),"Revisar signo",IF(AND(C540&lt;&gt;"Gasto",I540&lt;&gt;0),"IVA solo en Gasto",IF(AND(C540="Gasto",D540=""),"Falta categoría","OK")))))))))</f>
        <v/>
      </c>
    </row>
    <row r="541" spans="1:12" ht="22" customHeight="1">
      <c r="A541" s="3"/>
      <c r="B541" s="7"/>
      <c r="C541" s="3"/>
      <c r="D541" s="3"/>
      <c r="E541" s="3"/>
      <c r="F541" s="3"/>
      <c r="G541" s="3"/>
      <c r="H541" s="4"/>
      <c r="I541" s="4"/>
      <c r="J541" s="3"/>
      <c r="K541" s="8" t="str">
        <f t="shared" si="8"/>
        <v/>
      </c>
      <c r="L541" s="1" t="str">
        <f>IF(COUNTA(A541:J541)=0,"",IF(OR(AND(C541&lt;&gt;"Gasto",C541&lt;&gt;"Pago proveedor",C541&lt;&gt;"Retiro familiar",C541&lt;&gt;"Aportación",C541&lt;&gt;"Pago activo",C541&lt;&gt;"ISR devengado",C541&lt;&gt;"Pago ISR",C541&lt;&gt;"Pago IVA",C541&lt;&gt;"Compensación ISR",C541&lt;&gt;"Compensación IVA"),AND(C541="Gasto",D541&lt;&gt;"Costos clínicos",D541&lt;&gt;"Remuneración familiar",D541&lt;&gt;"Nómina y honorarios",D541&lt;&gt;"Renta",D541&lt;&gt;"Marketing",D541&lt;&gt;"Servicios y software",D541&lt;&gt;"Mantenimiento",D541&lt;&gt;"Otros",D541&lt;&gt;"Intereses")),"Tipo o categoría inválido",IF(COUNTA(A541:J541)=0,"",IF(OR(A541="",B541="",C541="",H541=""),"Faltan datos",IF(COUNTIF($A$7:$A$2006,A541)&gt;1,"ID duplicado",IF(OR(B541&lt;DATE(Configuración!$C$5,1,1),B541&gt;=DATE(Configuración!$C$5+1,1,1)),"Fecha fuera del año",IF(OR(H541&lt;0,I541&lt;0),"Revisar signo",IF(AND(C541&lt;&gt;"Gasto",I541&lt;&gt;0),"IVA solo en Gasto",IF(AND(C541="Gasto",D541=""),"Falta categoría","OK")))))))))</f>
        <v/>
      </c>
    </row>
    <row r="542" spans="1:12" ht="22" customHeight="1">
      <c r="A542" s="3"/>
      <c r="B542" s="7"/>
      <c r="C542" s="3"/>
      <c r="D542" s="3"/>
      <c r="E542" s="3"/>
      <c r="F542" s="3"/>
      <c r="G542" s="3"/>
      <c r="H542" s="4"/>
      <c r="I542" s="4"/>
      <c r="J542" s="3"/>
      <c r="K542" s="8" t="str">
        <f t="shared" si="8"/>
        <v/>
      </c>
      <c r="L542" s="1" t="str">
        <f>IF(COUNTA(A542:J542)=0,"",IF(OR(AND(C542&lt;&gt;"Gasto",C542&lt;&gt;"Pago proveedor",C542&lt;&gt;"Retiro familiar",C542&lt;&gt;"Aportación",C542&lt;&gt;"Pago activo",C542&lt;&gt;"ISR devengado",C542&lt;&gt;"Pago ISR",C542&lt;&gt;"Pago IVA",C542&lt;&gt;"Compensación ISR",C542&lt;&gt;"Compensación IVA"),AND(C542="Gasto",D542&lt;&gt;"Costos clínicos",D542&lt;&gt;"Remuneración familiar",D542&lt;&gt;"Nómina y honorarios",D542&lt;&gt;"Renta",D542&lt;&gt;"Marketing",D542&lt;&gt;"Servicios y software",D542&lt;&gt;"Mantenimiento",D542&lt;&gt;"Otros",D542&lt;&gt;"Intereses")),"Tipo o categoría inválido",IF(COUNTA(A542:J542)=0,"",IF(OR(A542="",B542="",C542="",H542=""),"Faltan datos",IF(COUNTIF($A$7:$A$2006,A542)&gt;1,"ID duplicado",IF(OR(B542&lt;DATE(Configuración!$C$5,1,1),B542&gt;=DATE(Configuración!$C$5+1,1,1)),"Fecha fuera del año",IF(OR(H542&lt;0,I542&lt;0),"Revisar signo",IF(AND(C542&lt;&gt;"Gasto",I542&lt;&gt;0),"IVA solo en Gasto",IF(AND(C542="Gasto",D542=""),"Falta categoría","OK")))))))))</f>
        <v/>
      </c>
    </row>
    <row r="543" spans="1:12" ht="22" customHeight="1">
      <c r="A543" s="3"/>
      <c r="B543" s="7"/>
      <c r="C543" s="3"/>
      <c r="D543" s="3"/>
      <c r="E543" s="3"/>
      <c r="F543" s="3"/>
      <c r="G543" s="3"/>
      <c r="H543" s="4"/>
      <c r="I543" s="4"/>
      <c r="J543" s="3"/>
      <c r="K543" s="8" t="str">
        <f t="shared" si="8"/>
        <v/>
      </c>
      <c r="L543" s="1" t="str">
        <f>IF(COUNTA(A543:J543)=0,"",IF(OR(AND(C543&lt;&gt;"Gasto",C543&lt;&gt;"Pago proveedor",C543&lt;&gt;"Retiro familiar",C543&lt;&gt;"Aportación",C543&lt;&gt;"Pago activo",C543&lt;&gt;"ISR devengado",C543&lt;&gt;"Pago ISR",C543&lt;&gt;"Pago IVA",C543&lt;&gt;"Compensación ISR",C543&lt;&gt;"Compensación IVA"),AND(C543="Gasto",D543&lt;&gt;"Costos clínicos",D543&lt;&gt;"Remuneración familiar",D543&lt;&gt;"Nómina y honorarios",D543&lt;&gt;"Renta",D543&lt;&gt;"Marketing",D543&lt;&gt;"Servicios y software",D543&lt;&gt;"Mantenimiento",D543&lt;&gt;"Otros",D543&lt;&gt;"Intereses")),"Tipo o categoría inválido",IF(COUNTA(A543:J543)=0,"",IF(OR(A543="",B543="",C543="",H543=""),"Faltan datos",IF(COUNTIF($A$7:$A$2006,A543)&gt;1,"ID duplicado",IF(OR(B543&lt;DATE(Configuración!$C$5,1,1),B543&gt;=DATE(Configuración!$C$5+1,1,1)),"Fecha fuera del año",IF(OR(H543&lt;0,I543&lt;0),"Revisar signo",IF(AND(C543&lt;&gt;"Gasto",I543&lt;&gt;0),"IVA solo en Gasto",IF(AND(C543="Gasto",D543=""),"Falta categoría","OK")))))))))</f>
        <v/>
      </c>
    </row>
    <row r="544" spans="1:12" ht="22" customHeight="1">
      <c r="A544" s="3"/>
      <c r="B544" s="7"/>
      <c r="C544" s="3"/>
      <c r="D544" s="3"/>
      <c r="E544" s="3"/>
      <c r="F544" s="3"/>
      <c r="G544" s="3"/>
      <c r="H544" s="4"/>
      <c r="I544" s="4"/>
      <c r="J544" s="3"/>
      <c r="K544" s="8" t="str">
        <f t="shared" si="8"/>
        <v/>
      </c>
      <c r="L544" s="1" t="str">
        <f>IF(COUNTA(A544:J544)=0,"",IF(OR(AND(C544&lt;&gt;"Gasto",C544&lt;&gt;"Pago proveedor",C544&lt;&gt;"Retiro familiar",C544&lt;&gt;"Aportación",C544&lt;&gt;"Pago activo",C544&lt;&gt;"ISR devengado",C544&lt;&gt;"Pago ISR",C544&lt;&gt;"Pago IVA",C544&lt;&gt;"Compensación ISR",C544&lt;&gt;"Compensación IVA"),AND(C544="Gasto",D544&lt;&gt;"Costos clínicos",D544&lt;&gt;"Remuneración familiar",D544&lt;&gt;"Nómina y honorarios",D544&lt;&gt;"Renta",D544&lt;&gt;"Marketing",D544&lt;&gt;"Servicios y software",D544&lt;&gt;"Mantenimiento",D544&lt;&gt;"Otros",D544&lt;&gt;"Intereses")),"Tipo o categoría inválido",IF(COUNTA(A544:J544)=0,"",IF(OR(A544="",B544="",C544="",H544=""),"Faltan datos",IF(COUNTIF($A$7:$A$2006,A544)&gt;1,"ID duplicado",IF(OR(B544&lt;DATE(Configuración!$C$5,1,1),B544&gt;=DATE(Configuración!$C$5+1,1,1)),"Fecha fuera del año",IF(OR(H544&lt;0,I544&lt;0),"Revisar signo",IF(AND(C544&lt;&gt;"Gasto",I544&lt;&gt;0),"IVA solo en Gasto",IF(AND(C544="Gasto",D544=""),"Falta categoría","OK")))))))))</f>
        <v/>
      </c>
    </row>
    <row r="545" spans="1:12" ht="22" customHeight="1">
      <c r="A545" s="3"/>
      <c r="B545" s="7"/>
      <c r="C545" s="3"/>
      <c r="D545" s="3"/>
      <c r="E545" s="3"/>
      <c r="F545" s="3"/>
      <c r="G545" s="3"/>
      <c r="H545" s="4"/>
      <c r="I545" s="4"/>
      <c r="J545" s="3"/>
      <c r="K545" s="8" t="str">
        <f t="shared" si="8"/>
        <v/>
      </c>
      <c r="L545" s="1" t="str">
        <f>IF(COUNTA(A545:J545)=0,"",IF(OR(AND(C545&lt;&gt;"Gasto",C545&lt;&gt;"Pago proveedor",C545&lt;&gt;"Retiro familiar",C545&lt;&gt;"Aportación",C545&lt;&gt;"Pago activo",C545&lt;&gt;"ISR devengado",C545&lt;&gt;"Pago ISR",C545&lt;&gt;"Pago IVA",C545&lt;&gt;"Compensación ISR",C545&lt;&gt;"Compensación IVA"),AND(C545="Gasto",D545&lt;&gt;"Costos clínicos",D545&lt;&gt;"Remuneración familiar",D545&lt;&gt;"Nómina y honorarios",D545&lt;&gt;"Renta",D545&lt;&gt;"Marketing",D545&lt;&gt;"Servicios y software",D545&lt;&gt;"Mantenimiento",D545&lt;&gt;"Otros",D545&lt;&gt;"Intereses")),"Tipo o categoría inválido",IF(COUNTA(A545:J545)=0,"",IF(OR(A545="",B545="",C545="",H545=""),"Faltan datos",IF(COUNTIF($A$7:$A$2006,A545)&gt;1,"ID duplicado",IF(OR(B545&lt;DATE(Configuración!$C$5,1,1),B545&gt;=DATE(Configuración!$C$5+1,1,1)),"Fecha fuera del año",IF(OR(H545&lt;0,I545&lt;0),"Revisar signo",IF(AND(C545&lt;&gt;"Gasto",I545&lt;&gt;0),"IVA solo en Gasto",IF(AND(C545="Gasto",D545=""),"Falta categoría","OK")))))))))</f>
        <v/>
      </c>
    </row>
    <row r="546" spans="1:12" ht="22" customHeight="1">
      <c r="A546" s="3"/>
      <c r="B546" s="7"/>
      <c r="C546" s="3"/>
      <c r="D546" s="3"/>
      <c r="E546" s="3"/>
      <c r="F546" s="3"/>
      <c r="G546" s="3"/>
      <c r="H546" s="4"/>
      <c r="I546" s="4"/>
      <c r="J546" s="3"/>
      <c r="K546" s="8" t="str">
        <f t="shared" si="8"/>
        <v/>
      </c>
      <c r="L546" s="1" t="str">
        <f>IF(COUNTA(A546:J546)=0,"",IF(OR(AND(C546&lt;&gt;"Gasto",C546&lt;&gt;"Pago proveedor",C546&lt;&gt;"Retiro familiar",C546&lt;&gt;"Aportación",C546&lt;&gt;"Pago activo",C546&lt;&gt;"ISR devengado",C546&lt;&gt;"Pago ISR",C546&lt;&gt;"Pago IVA",C546&lt;&gt;"Compensación ISR",C546&lt;&gt;"Compensación IVA"),AND(C546="Gasto",D546&lt;&gt;"Costos clínicos",D546&lt;&gt;"Remuneración familiar",D546&lt;&gt;"Nómina y honorarios",D546&lt;&gt;"Renta",D546&lt;&gt;"Marketing",D546&lt;&gt;"Servicios y software",D546&lt;&gt;"Mantenimiento",D546&lt;&gt;"Otros",D546&lt;&gt;"Intereses")),"Tipo o categoría inválido",IF(COUNTA(A546:J546)=0,"",IF(OR(A546="",B546="",C546="",H546=""),"Faltan datos",IF(COUNTIF($A$7:$A$2006,A546)&gt;1,"ID duplicado",IF(OR(B546&lt;DATE(Configuración!$C$5,1,1),B546&gt;=DATE(Configuración!$C$5+1,1,1)),"Fecha fuera del año",IF(OR(H546&lt;0,I546&lt;0),"Revisar signo",IF(AND(C546&lt;&gt;"Gasto",I546&lt;&gt;0),"IVA solo en Gasto",IF(AND(C546="Gasto",D546=""),"Falta categoría","OK")))))))))</f>
        <v/>
      </c>
    </row>
    <row r="547" spans="1:12" ht="22" customHeight="1">
      <c r="A547" s="3"/>
      <c r="B547" s="7"/>
      <c r="C547" s="3"/>
      <c r="D547" s="3"/>
      <c r="E547" s="3"/>
      <c r="F547" s="3"/>
      <c r="G547" s="3"/>
      <c r="H547" s="4"/>
      <c r="I547" s="4"/>
      <c r="J547" s="3"/>
      <c r="K547" s="8" t="str">
        <f t="shared" si="8"/>
        <v/>
      </c>
      <c r="L547" s="1" t="str">
        <f>IF(COUNTA(A547:J547)=0,"",IF(OR(AND(C547&lt;&gt;"Gasto",C547&lt;&gt;"Pago proveedor",C547&lt;&gt;"Retiro familiar",C547&lt;&gt;"Aportación",C547&lt;&gt;"Pago activo",C547&lt;&gt;"ISR devengado",C547&lt;&gt;"Pago ISR",C547&lt;&gt;"Pago IVA",C547&lt;&gt;"Compensación ISR",C547&lt;&gt;"Compensación IVA"),AND(C547="Gasto",D547&lt;&gt;"Costos clínicos",D547&lt;&gt;"Remuneración familiar",D547&lt;&gt;"Nómina y honorarios",D547&lt;&gt;"Renta",D547&lt;&gt;"Marketing",D547&lt;&gt;"Servicios y software",D547&lt;&gt;"Mantenimiento",D547&lt;&gt;"Otros",D547&lt;&gt;"Intereses")),"Tipo o categoría inválido",IF(COUNTA(A547:J547)=0,"",IF(OR(A547="",B547="",C547="",H547=""),"Faltan datos",IF(COUNTIF($A$7:$A$2006,A547)&gt;1,"ID duplicado",IF(OR(B547&lt;DATE(Configuración!$C$5,1,1),B547&gt;=DATE(Configuración!$C$5+1,1,1)),"Fecha fuera del año",IF(OR(H547&lt;0,I547&lt;0),"Revisar signo",IF(AND(C547&lt;&gt;"Gasto",I547&lt;&gt;0),"IVA solo en Gasto",IF(AND(C547="Gasto",D547=""),"Falta categoría","OK")))))))))</f>
        <v/>
      </c>
    </row>
    <row r="548" spans="1:12" ht="22" customHeight="1">
      <c r="A548" s="3"/>
      <c r="B548" s="7"/>
      <c r="C548" s="3"/>
      <c r="D548" s="3"/>
      <c r="E548" s="3"/>
      <c r="F548" s="3"/>
      <c r="G548" s="3"/>
      <c r="H548" s="4"/>
      <c r="I548" s="4"/>
      <c r="J548" s="3"/>
      <c r="K548" s="8" t="str">
        <f t="shared" si="8"/>
        <v/>
      </c>
      <c r="L548" s="1" t="str">
        <f>IF(COUNTA(A548:J548)=0,"",IF(OR(AND(C548&lt;&gt;"Gasto",C548&lt;&gt;"Pago proveedor",C548&lt;&gt;"Retiro familiar",C548&lt;&gt;"Aportación",C548&lt;&gt;"Pago activo",C548&lt;&gt;"ISR devengado",C548&lt;&gt;"Pago ISR",C548&lt;&gt;"Pago IVA",C548&lt;&gt;"Compensación ISR",C548&lt;&gt;"Compensación IVA"),AND(C548="Gasto",D548&lt;&gt;"Costos clínicos",D548&lt;&gt;"Remuneración familiar",D548&lt;&gt;"Nómina y honorarios",D548&lt;&gt;"Renta",D548&lt;&gt;"Marketing",D548&lt;&gt;"Servicios y software",D548&lt;&gt;"Mantenimiento",D548&lt;&gt;"Otros",D548&lt;&gt;"Intereses")),"Tipo o categoría inválido",IF(COUNTA(A548:J548)=0,"",IF(OR(A548="",B548="",C548="",H548=""),"Faltan datos",IF(COUNTIF($A$7:$A$2006,A548)&gt;1,"ID duplicado",IF(OR(B548&lt;DATE(Configuración!$C$5,1,1),B548&gt;=DATE(Configuración!$C$5+1,1,1)),"Fecha fuera del año",IF(OR(H548&lt;0,I548&lt;0),"Revisar signo",IF(AND(C548&lt;&gt;"Gasto",I548&lt;&gt;0),"IVA solo en Gasto",IF(AND(C548="Gasto",D548=""),"Falta categoría","OK")))))))))</f>
        <v/>
      </c>
    </row>
    <row r="549" spans="1:12" ht="22" customHeight="1">
      <c r="A549" s="3"/>
      <c r="B549" s="7"/>
      <c r="C549" s="3"/>
      <c r="D549" s="3"/>
      <c r="E549" s="3"/>
      <c r="F549" s="3"/>
      <c r="G549" s="3"/>
      <c r="H549" s="4"/>
      <c r="I549" s="4"/>
      <c r="J549" s="3"/>
      <c r="K549" s="8" t="str">
        <f t="shared" si="8"/>
        <v/>
      </c>
      <c r="L549" s="1" t="str">
        <f>IF(COUNTA(A549:J549)=0,"",IF(OR(AND(C549&lt;&gt;"Gasto",C549&lt;&gt;"Pago proveedor",C549&lt;&gt;"Retiro familiar",C549&lt;&gt;"Aportación",C549&lt;&gt;"Pago activo",C549&lt;&gt;"ISR devengado",C549&lt;&gt;"Pago ISR",C549&lt;&gt;"Pago IVA",C549&lt;&gt;"Compensación ISR",C549&lt;&gt;"Compensación IVA"),AND(C549="Gasto",D549&lt;&gt;"Costos clínicos",D549&lt;&gt;"Remuneración familiar",D549&lt;&gt;"Nómina y honorarios",D549&lt;&gt;"Renta",D549&lt;&gt;"Marketing",D549&lt;&gt;"Servicios y software",D549&lt;&gt;"Mantenimiento",D549&lt;&gt;"Otros",D549&lt;&gt;"Intereses")),"Tipo o categoría inválido",IF(COUNTA(A549:J549)=0,"",IF(OR(A549="",B549="",C549="",H549=""),"Faltan datos",IF(COUNTIF($A$7:$A$2006,A549)&gt;1,"ID duplicado",IF(OR(B549&lt;DATE(Configuración!$C$5,1,1),B549&gt;=DATE(Configuración!$C$5+1,1,1)),"Fecha fuera del año",IF(OR(H549&lt;0,I549&lt;0),"Revisar signo",IF(AND(C549&lt;&gt;"Gasto",I549&lt;&gt;0),"IVA solo en Gasto",IF(AND(C549="Gasto",D549=""),"Falta categoría","OK")))))))))</f>
        <v/>
      </c>
    </row>
    <row r="550" spans="1:12" ht="22" customHeight="1">
      <c r="A550" s="3"/>
      <c r="B550" s="7"/>
      <c r="C550" s="3"/>
      <c r="D550" s="3"/>
      <c r="E550" s="3"/>
      <c r="F550" s="3"/>
      <c r="G550" s="3"/>
      <c r="H550" s="4"/>
      <c r="I550" s="4"/>
      <c r="J550" s="3"/>
      <c r="K550" s="8" t="str">
        <f t="shared" si="8"/>
        <v/>
      </c>
      <c r="L550" s="1" t="str">
        <f>IF(COUNTA(A550:J550)=0,"",IF(OR(AND(C550&lt;&gt;"Gasto",C550&lt;&gt;"Pago proveedor",C550&lt;&gt;"Retiro familiar",C550&lt;&gt;"Aportación",C550&lt;&gt;"Pago activo",C550&lt;&gt;"ISR devengado",C550&lt;&gt;"Pago ISR",C550&lt;&gt;"Pago IVA",C550&lt;&gt;"Compensación ISR",C550&lt;&gt;"Compensación IVA"),AND(C550="Gasto",D550&lt;&gt;"Costos clínicos",D550&lt;&gt;"Remuneración familiar",D550&lt;&gt;"Nómina y honorarios",D550&lt;&gt;"Renta",D550&lt;&gt;"Marketing",D550&lt;&gt;"Servicios y software",D550&lt;&gt;"Mantenimiento",D550&lt;&gt;"Otros",D550&lt;&gt;"Intereses")),"Tipo o categoría inválido",IF(COUNTA(A550:J550)=0,"",IF(OR(A550="",B550="",C550="",H550=""),"Faltan datos",IF(COUNTIF($A$7:$A$2006,A550)&gt;1,"ID duplicado",IF(OR(B550&lt;DATE(Configuración!$C$5,1,1),B550&gt;=DATE(Configuración!$C$5+1,1,1)),"Fecha fuera del año",IF(OR(H550&lt;0,I550&lt;0),"Revisar signo",IF(AND(C550&lt;&gt;"Gasto",I550&lt;&gt;0),"IVA solo en Gasto",IF(AND(C550="Gasto",D550=""),"Falta categoría","OK")))))))))</f>
        <v/>
      </c>
    </row>
    <row r="551" spans="1:12" ht="22" customHeight="1">
      <c r="A551" s="3"/>
      <c r="B551" s="7"/>
      <c r="C551" s="3"/>
      <c r="D551" s="3"/>
      <c r="E551" s="3"/>
      <c r="F551" s="3"/>
      <c r="G551" s="3"/>
      <c r="H551" s="4"/>
      <c r="I551" s="4"/>
      <c r="J551" s="3"/>
      <c r="K551" s="8" t="str">
        <f t="shared" si="8"/>
        <v/>
      </c>
      <c r="L551" s="1" t="str">
        <f>IF(COUNTA(A551:J551)=0,"",IF(OR(AND(C551&lt;&gt;"Gasto",C551&lt;&gt;"Pago proveedor",C551&lt;&gt;"Retiro familiar",C551&lt;&gt;"Aportación",C551&lt;&gt;"Pago activo",C551&lt;&gt;"ISR devengado",C551&lt;&gt;"Pago ISR",C551&lt;&gt;"Pago IVA",C551&lt;&gt;"Compensación ISR",C551&lt;&gt;"Compensación IVA"),AND(C551="Gasto",D551&lt;&gt;"Costos clínicos",D551&lt;&gt;"Remuneración familiar",D551&lt;&gt;"Nómina y honorarios",D551&lt;&gt;"Renta",D551&lt;&gt;"Marketing",D551&lt;&gt;"Servicios y software",D551&lt;&gt;"Mantenimiento",D551&lt;&gt;"Otros",D551&lt;&gt;"Intereses")),"Tipo o categoría inválido",IF(COUNTA(A551:J551)=0,"",IF(OR(A551="",B551="",C551="",H551=""),"Faltan datos",IF(COUNTIF($A$7:$A$2006,A551)&gt;1,"ID duplicado",IF(OR(B551&lt;DATE(Configuración!$C$5,1,1),B551&gt;=DATE(Configuración!$C$5+1,1,1)),"Fecha fuera del año",IF(OR(H551&lt;0,I551&lt;0),"Revisar signo",IF(AND(C551&lt;&gt;"Gasto",I551&lt;&gt;0),"IVA solo en Gasto",IF(AND(C551="Gasto",D551=""),"Falta categoría","OK")))))))))</f>
        <v/>
      </c>
    </row>
    <row r="552" spans="1:12" ht="22" customHeight="1">
      <c r="A552" s="3"/>
      <c r="B552" s="7"/>
      <c r="C552" s="3"/>
      <c r="D552" s="3"/>
      <c r="E552" s="3"/>
      <c r="F552" s="3"/>
      <c r="G552" s="3"/>
      <c r="H552" s="4"/>
      <c r="I552" s="4"/>
      <c r="J552" s="3"/>
      <c r="K552" s="8" t="str">
        <f t="shared" si="8"/>
        <v/>
      </c>
      <c r="L552" s="1" t="str">
        <f>IF(COUNTA(A552:J552)=0,"",IF(OR(AND(C552&lt;&gt;"Gasto",C552&lt;&gt;"Pago proveedor",C552&lt;&gt;"Retiro familiar",C552&lt;&gt;"Aportación",C552&lt;&gt;"Pago activo",C552&lt;&gt;"ISR devengado",C552&lt;&gt;"Pago ISR",C552&lt;&gt;"Pago IVA",C552&lt;&gt;"Compensación ISR",C552&lt;&gt;"Compensación IVA"),AND(C552="Gasto",D552&lt;&gt;"Costos clínicos",D552&lt;&gt;"Remuneración familiar",D552&lt;&gt;"Nómina y honorarios",D552&lt;&gt;"Renta",D552&lt;&gt;"Marketing",D552&lt;&gt;"Servicios y software",D552&lt;&gt;"Mantenimiento",D552&lt;&gt;"Otros",D552&lt;&gt;"Intereses")),"Tipo o categoría inválido",IF(COUNTA(A552:J552)=0,"",IF(OR(A552="",B552="",C552="",H552=""),"Faltan datos",IF(COUNTIF($A$7:$A$2006,A552)&gt;1,"ID duplicado",IF(OR(B552&lt;DATE(Configuración!$C$5,1,1),B552&gt;=DATE(Configuración!$C$5+1,1,1)),"Fecha fuera del año",IF(OR(H552&lt;0,I552&lt;0),"Revisar signo",IF(AND(C552&lt;&gt;"Gasto",I552&lt;&gt;0),"IVA solo en Gasto",IF(AND(C552="Gasto",D552=""),"Falta categoría","OK")))))))))</f>
        <v/>
      </c>
    </row>
    <row r="553" spans="1:12" ht="22" customHeight="1">
      <c r="A553" s="3"/>
      <c r="B553" s="7"/>
      <c r="C553" s="3"/>
      <c r="D553" s="3"/>
      <c r="E553" s="3"/>
      <c r="F553" s="3"/>
      <c r="G553" s="3"/>
      <c r="H553" s="4"/>
      <c r="I553" s="4"/>
      <c r="J553" s="3"/>
      <c r="K553" s="8" t="str">
        <f t="shared" si="8"/>
        <v/>
      </c>
      <c r="L553" s="1" t="str">
        <f>IF(COUNTA(A553:J553)=0,"",IF(OR(AND(C553&lt;&gt;"Gasto",C553&lt;&gt;"Pago proveedor",C553&lt;&gt;"Retiro familiar",C553&lt;&gt;"Aportación",C553&lt;&gt;"Pago activo",C553&lt;&gt;"ISR devengado",C553&lt;&gt;"Pago ISR",C553&lt;&gt;"Pago IVA",C553&lt;&gt;"Compensación ISR",C553&lt;&gt;"Compensación IVA"),AND(C553="Gasto",D553&lt;&gt;"Costos clínicos",D553&lt;&gt;"Remuneración familiar",D553&lt;&gt;"Nómina y honorarios",D553&lt;&gt;"Renta",D553&lt;&gt;"Marketing",D553&lt;&gt;"Servicios y software",D553&lt;&gt;"Mantenimiento",D553&lt;&gt;"Otros",D553&lt;&gt;"Intereses")),"Tipo o categoría inválido",IF(COUNTA(A553:J553)=0,"",IF(OR(A553="",B553="",C553="",H553=""),"Faltan datos",IF(COUNTIF($A$7:$A$2006,A553)&gt;1,"ID duplicado",IF(OR(B553&lt;DATE(Configuración!$C$5,1,1),B553&gt;=DATE(Configuración!$C$5+1,1,1)),"Fecha fuera del año",IF(OR(H553&lt;0,I553&lt;0),"Revisar signo",IF(AND(C553&lt;&gt;"Gasto",I553&lt;&gt;0),"IVA solo en Gasto",IF(AND(C553="Gasto",D553=""),"Falta categoría","OK")))))))))</f>
        <v/>
      </c>
    </row>
    <row r="554" spans="1:12" ht="22" customHeight="1">
      <c r="A554" s="3"/>
      <c r="B554" s="7"/>
      <c r="C554" s="3"/>
      <c r="D554" s="3"/>
      <c r="E554" s="3"/>
      <c r="F554" s="3"/>
      <c r="G554" s="3"/>
      <c r="H554" s="4"/>
      <c r="I554" s="4"/>
      <c r="J554" s="3"/>
      <c r="K554" s="8" t="str">
        <f t="shared" si="8"/>
        <v/>
      </c>
      <c r="L554" s="1" t="str">
        <f>IF(COUNTA(A554:J554)=0,"",IF(OR(AND(C554&lt;&gt;"Gasto",C554&lt;&gt;"Pago proveedor",C554&lt;&gt;"Retiro familiar",C554&lt;&gt;"Aportación",C554&lt;&gt;"Pago activo",C554&lt;&gt;"ISR devengado",C554&lt;&gt;"Pago ISR",C554&lt;&gt;"Pago IVA",C554&lt;&gt;"Compensación ISR",C554&lt;&gt;"Compensación IVA"),AND(C554="Gasto",D554&lt;&gt;"Costos clínicos",D554&lt;&gt;"Remuneración familiar",D554&lt;&gt;"Nómina y honorarios",D554&lt;&gt;"Renta",D554&lt;&gt;"Marketing",D554&lt;&gt;"Servicios y software",D554&lt;&gt;"Mantenimiento",D554&lt;&gt;"Otros",D554&lt;&gt;"Intereses")),"Tipo o categoría inválido",IF(COUNTA(A554:J554)=0,"",IF(OR(A554="",B554="",C554="",H554=""),"Faltan datos",IF(COUNTIF($A$7:$A$2006,A554)&gt;1,"ID duplicado",IF(OR(B554&lt;DATE(Configuración!$C$5,1,1),B554&gt;=DATE(Configuración!$C$5+1,1,1)),"Fecha fuera del año",IF(OR(H554&lt;0,I554&lt;0),"Revisar signo",IF(AND(C554&lt;&gt;"Gasto",I554&lt;&gt;0),"IVA solo en Gasto",IF(AND(C554="Gasto",D554=""),"Falta categoría","OK")))))))))</f>
        <v/>
      </c>
    </row>
    <row r="555" spans="1:12" ht="22" customHeight="1">
      <c r="A555" s="3"/>
      <c r="B555" s="7"/>
      <c r="C555" s="3"/>
      <c r="D555" s="3"/>
      <c r="E555" s="3"/>
      <c r="F555" s="3"/>
      <c r="G555" s="3"/>
      <c r="H555" s="4"/>
      <c r="I555" s="4"/>
      <c r="J555" s="3"/>
      <c r="K555" s="8" t="str">
        <f t="shared" si="8"/>
        <v/>
      </c>
      <c r="L555" s="1" t="str">
        <f>IF(COUNTA(A555:J555)=0,"",IF(OR(AND(C555&lt;&gt;"Gasto",C555&lt;&gt;"Pago proveedor",C555&lt;&gt;"Retiro familiar",C555&lt;&gt;"Aportación",C555&lt;&gt;"Pago activo",C555&lt;&gt;"ISR devengado",C555&lt;&gt;"Pago ISR",C555&lt;&gt;"Pago IVA",C555&lt;&gt;"Compensación ISR",C555&lt;&gt;"Compensación IVA"),AND(C555="Gasto",D555&lt;&gt;"Costos clínicos",D555&lt;&gt;"Remuneración familiar",D555&lt;&gt;"Nómina y honorarios",D555&lt;&gt;"Renta",D555&lt;&gt;"Marketing",D555&lt;&gt;"Servicios y software",D555&lt;&gt;"Mantenimiento",D555&lt;&gt;"Otros",D555&lt;&gt;"Intereses")),"Tipo o categoría inválido",IF(COUNTA(A555:J555)=0,"",IF(OR(A555="",B555="",C555="",H555=""),"Faltan datos",IF(COUNTIF($A$7:$A$2006,A555)&gt;1,"ID duplicado",IF(OR(B555&lt;DATE(Configuración!$C$5,1,1),B555&gt;=DATE(Configuración!$C$5+1,1,1)),"Fecha fuera del año",IF(OR(H555&lt;0,I555&lt;0),"Revisar signo",IF(AND(C555&lt;&gt;"Gasto",I555&lt;&gt;0),"IVA solo en Gasto",IF(AND(C555="Gasto",D555=""),"Falta categoría","OK")))))))))</f>
        <v/>
      </c>
    </row>
    <row r="556" spans="1:12" ht="22" customHeight="1">
      <c r="A556" s="3"/>
      <c r="B556" s="7"/>
      <c r="C556" s="3"/>
      <c r="D556" s="3"/>
      <c r="E556" s="3"/>
      <c r="F556" s="3"/>
      <c r="G556" s="3"/>
      <c r="H556" s="4"/>
      <c r="I556" s="4"/>
      <c r="J556" s="3"/>
      <c r="K556" s="8" t="str">
        <f t="shared" si="8"/>
        <v/>
      </c>
      <c r="L556" s="1" t="str">
        <f>IF(COUNTA(A556:J556)=0,"",IF(OR(AND(C556&lt;&gt;"Gasto",C556&lt;&gt;"Pago proveedor",C556&lt;&gt;"Retiro familiar",C556&lt;&gt;"Aportación",C556&lt;&gt;"Pago activo",C556&lt;&gt;"ISR devengado",C556&lt;&gt;"Pago ISR",C556&lt;&gt;"Pago IVA",C556&lt;&gt;"Compensación ISR",C556&lt;&gt;"Compensación IVA"),AND(C556="Gasto",D556&lt;&gt;"Costos clínicos",D556&lt;&gt;"Remuneración familiar",D556&lt;&gt;"Nómina y honorarios",D556&lt;&gt;"Renta",D556&lt;&gt;"Marketing",D556&lt;&gt;"Servicios y software",D556&lt;&gt;"Mantenimiento",D556&lt;&gt;"Otros",D556&lt;&gt;"Intereses")),"Tipo o categoría inválido",IF(COUNTA(A556:J556)=0,"",IF(OR(A556="",B556="",C556="",H556=""),"Faltan datos",IF(COUNTIF($A$7:$A$2006,A556)&gt;1,"ID duplicado",IF(OR(B556&lt;DATE(Configuración!$C$5,1,1),B556&gt;=DATE(Configuración!$C$5+1,1,1)),"Fecha fuera del año",IF(OR(H556&lt;0,I556&lt;0),"Revisar signo",IF(AND(C556&lt;&gt;"Gasto",I556&lt;&gt;0),"IVA solo en Gasto",IF(AND(C556="Gasto",D556=""),"Falta categoría","OK")))))))))</f>
        <v/>
      </c>
    </row>
    <row r="557" spans="1:12" ht="22" customHeight="1">
      <c r="A557" s="3"/>
      <c r="B557" s="7"/>
      <c r="C557" s="3"/>
      <c r="D557" s="3"/>
      <c r="E557" s="3"/>
      <c r="F557" s="3"/>
      <c r="G557" s="3"/>
      <c r="H557" s="4"/>
      <c r="I557" s="4"/>
      <c r="J557" s="3"/>
      <c r="K557" s="8" t="str">
        <f t="shared" si="8"/>
        <v/>
      </c>
      <c r="L557" s="1" t="str">
        <f>IF(COUNTA(A557:J557)=0,"",IF(OR(AND(C557&lt;&gt;"Gasto",C557&lt;&gt;"Pago proveedor",C557&lt;&gt;"Retiro familiar",C557&lt;&gt;"Aportación",C557&lt;&gt;"Pago activo",C557&lt;&gt;"ISR devengado",C557&lt;&gt;"Pago ISR",C557&lt;&gt;"Pago IVA",C557&lt;&gt;"Compensación ISR",C557&lt;&gt;"Compensación IVA"),AND(C557="Gasto",D557&lt;&gt;"Costos clínicos",D557&lt;&gt;"Remuneración familiar",D557&lt;&gt;"Nómina y honorarios",D557&lt;&gt;"Renta",D557&lt;&gt;"Marketing",D557&lt;&gt;"Servicios y software",D557&lt;&gt;"Mantenimiento",D557&lt;&gt;"Otros",D557&lt;&gt;"Intereses")),"Tipo o categoría inválido",IF(COUNTA(A557:J557)=0,"",IF(OR(A557="",B557="",C557="",H557=""),"Faltan datos",IF(COUNTIF($A$7:$A$2006,A557)&gt;1,"ID duplicado",IF(OR(B557&lt;DATE(Configuración!$C$5,1,1),B557&gt;=DATE(Configuración!$C$5+1,1,1)),"Fecha fuera del año",IF(OR(H557&lt;0,I557&lt;0),"Revisar signo",IF(AND(C557&lt;&gt;"Gasto",I557&lt;&gt;0),"IVA solo en Gasto",IF(AND(C557="Gasto",D557=""),"Falta categoría","OK")))))))))</f>
        <v/>
      </c>
    </row>
    <row r="558" spans="1:12" ht="22" customHeight="1">
      <c r="A558" s="3"/>
      <c r="B558" s="7"/>
      <c r="C558" s="3"/>
      <c r="D558" s="3"/>
      <c r="E558" s="3"/>
      <c r="F558" s="3"/>
      <c r="G558" s="3"/>
      <c r="H558" s="4"/>
      <c r="I558" s="4"/>
      <c r="J558" s="3"/>
      <c r="K558" s="8" t="str">
        <f t="shared" si="8"/>
        <v/>
      </c>
      <c r="L558" s="1" t="str">
        <f>IF(COUNTA(A558:J558)=0,"",IF(OR(AND(C558&lt;&gt;"Gasto",C558&lt;&gt;"Pago proveedor",C558&lt;&gt;"Retiro familiar",C558&lt;&gt;"Aportación",C558&lt;&gt;"Pago activo",C558&lt;&gt;"ISR devengado",C558&lt;&gt;"Pago ISR",C558&lt;&gt;"Pago IVA",C558&lt;&gt;"Compensación ISR",C558&lt;&gt;"Compensación IVA"),AND(C558="Gasto",D558&lt;&gt;"Costos clínicos",D558&lt;&gt;"Remuneración familiar",D558&lt;&gt;"Nómina y honorarios",D558&lt;&gt;"Renta",D558&lt;&gt;"Marketing",D558&lt;&gt;"Servicios y software",D558&lt;&gt;"Mantenimiento",D558&lt;&gt;"Otros",D558&lt;&gt;"Intereses")),"Tipo o categoría inválido",IF(COUNTA(A558:J558)=0,"",IF(OR(A558="",B558="",C558="",H558=""),"Faltan datos",IF(COUNTIF($A$7:$A$2006,A558)&gt;1,"ID duplicado",IF(OR(B558&lt;DATE(Configuración!$C$5,1,1),B558&gt;=DATE(Configuración!$C$5+1,1,1)),"Fecha fuera del año",IF(OR(H558&lt;0,I558&lt;0),"Revisar signo",IF(AND(C558&lt;&gt;"Gasto",I558&lt;&gt;0),"IVA solo en Gasto",IF(AND(C558="Gasto",D558=""),"Falta categoría","OK")))))))))</f>
        <v/>
      </c>
    </row>
    <row r="559" spans="1:12" ht="22" customHeight="1">
      <c r="A559" s="3"/>
      <c r="B559" s="7"/>
      <c r="C559" s="3"/>
      <c r="D559" s="3"/>
      <c r="E559" s="3"/>
      <c r="F559" s="3"/>
      <c r="G559" s="3"/>
      <c r="H559" s="4"/>
      <c r="I559" s="4"/>
      <c r="J559" s="3"/>
      <c r="K559" s="8" t="str">
        <f t="shared" si="8"/>
        <v/>
      </c>
      <c r="L559" s="1" t="str">
        <f>IF(COUNTA(A559:J559)=0,"",IF(OR(AND(C559&lt;&gt;"Gasto",C559&lt;&gt;"Pago proveedor",C559&lt;&gt;"Retiro familiar",C559&lt;&gt;"Aportación",C559&lt;&gt;"Pago activo",C559&lt;&gt;"ISR devengado",C559&lt;&gt;"Pago ISR",C559&lt;&gt;"Pago IVA",C559&lt;&gt;"Compensación ISR",C559&lt;&gt;"Compensación IVA"),AND(C559="Gasto",D559&lt;&gt;"Costos clínicos",D559&lt;&gt;"Remuneración familiar",D559&lt;&gt;"Nómina y honorarios",D559&lt;&gt;"Renta",D559&lt;&gt;"Marketing",D559&lt;&gt;"Servicios y software",D559&lt;&gt;"Mantenimiento",D559&lt;&gt;"Otros",D559&lt;&gt;"Intereses")),"Tipo o categoría inválido",IF(COUNTA(A559:J559)=0,"",IF(OR(A559="",B559="",C559="",H559=""),"Faltan datos",IF(COUNTIF($A$7:$A$2006,A559)&gt;1,"ID duplicado",IF(OR(B559&lt;DATE(Configuración!$C$5,1,1),B559&gt;=DATE(Configuración!$C$5+1,1,1)),"Fecha fuera del año",IF(OR(H559&lt;0,I559&lt;0),"Revisar signo",IF(AND(C559&lt;&gt;"Gasto",I559&lt;&gt;0),"IVA solo en Gasto",IF(AND(C559="Gasto",D559=""),"Falta categoría","OK")))))))))</f>
        <v/>
      </c>
    </row>
    <row r="560" spans="1:12" ht="22" customHeight="1">
      <c r="A560" s="3"/>
      <c r="B560" s="7"/>
      <c r="C560" s="3"/>
      <c r="D560" s="3"/>
      <c r="E560" s="3"/>
      <c r="F560" s="3"/>
      <c r="G560" s="3"/>
      <c r="H560" s="4"/>
      <c r="I560" s="4"/>
      <c r="J560" s="3"/>
      <c r="K560" s="8" t="str">
        <f t="shared" si="8"/>
        <v/>
      </c>
      <c r="L560" s="1" t="str">
        <f>IF(COUNTA(A560:J560)=0,"",IF(OR(AND(C560&lt;&gt;"Gasto",C560&lt;&gt;"Pago proveedor",C560&lt;&gt;"Retiro familiar",C560&lt;&gt;"Aportación",C560&lt;&gt;"Pago activo",C560&lt;&gt;"ISR devengado",C560&lt;&gt;"Pago ISR",C560&lt;&gt;"Pago IVA",C560&lt;&gt;"Compensación ISR",C560&lt;&gt;"Compensación IVA"),AND(C560="Gasto",D560&lt;&gt;"Costos clínicos",D560&lt;&gt;"Remuneración familiar",D560&lt;&gt;"Nómina y honorarios",D560&lt;&gt;"Renta",D560&lt;&gt;"Marketing",D560&lt;&gt;"Servicios y software",D560&lt;&gt;"Mantenimiento",D560&lt;&gt;"Otros",D560&lt;&gt;"Intereses")),"Tipo o categoría inválido",IF(COUNTA(A560:J560)=0,"",IF(OR(A560="",B560="",C560="",H560=""),"Faltan datos",IF(COUNTIF($A$7:$A$2006,A560)&gt;1,"ID duplicado",IF(OR(B560&lt;DATE(Configuración!$C$5,1,1),B560&gt;=DATE(Configuración!$C$5+1,1,1)),"Fecha fuera del año",IF(OR(H560&lt;0,I560&lt;0),"Revisar signo",IF(AND(C560&lt;&gt;"Gasto",I560&lt;&gt;0),"IVA solo en Gasto",IF(AND(C560="Gasto",D560=""),"Falta categoría","OK")))))))))</f>
        <v/>
      </c>
    </row>
    <row r="561" spans="1:12" ht="22" customHeight="1">
      <c r="A561" s="3"/>
      <c r="B561" s="7"/>
      <c r="C561" s="3"/>
      <c r="D561" s="3"/>
      <c r="E561" s="3"/>
      <c r="F561" s="3"/>
      <c r="G561" s="3"/>
      <c r="H561" s="4"/>
      <c r="I561" s="4"/>
      <c r="J561" s="3"/>
      <c r="K561" s="8" t="str">
        <f t="shared" si="8"/>
        <v/>
      </c>
      <c r="L561" s="1" t="str">
        <f>IF(COUNTA(A561:J561)=0,"",IF(OR(AND(C561&lt;&gt;"Gasto",C561&lt;&gt;"Pago proveedor",C561&lt;&gt;"Retiro familiar",C561&lt;&gt;"Aportación",C561&lt;&gt;"Pago activo",C561&lt;&gt;"ISR devengado",C561&lt;&gt;"Pago ISR",C561&lt;&gt;"Pago IVA",C561&lt;&gt;"Compensación ISR",C561&lt;&gt;"Compensación IVA"),AND(C561="Gasto",D561&lt;&gt;"Costos clínicos",D561&lt;&gt;"Remuneración familiar",D561&lt;&gt;"Nómina y honorarios",D561&lt;&gt;"Renta",D561&lt;&gt;"Marketing",D561&lt;&gt;"Servicios y software",D561&lt;&gt;"Mantenimiento",D561&lt;&gt;"Otros",D561&lt;&gt;"Intereses")),"Tipo o categoría inválido",IF(COUNTA(A561:J561)=0,"",IF(OR(A561="",B561="",C561="",H561=""),"Faltan datos",IF(COUNTIF($A$7:$A$2006,A561)&gt;1,"ID duplicado",IF(OR(B561&lt;DATE(Configuración!$C$5,1,1),B561&gt;=DATE(Configuración!$C$5+1,1,1)),"Fecha fuera del año",IF(OR(H561&lt;0,I561&lt;0),"Revisar signo",IF(AND(C561&lt;&gt;"Gasto",I561&lt;&gt;0),"IVA solo en Gasto",IF(AND(C561="Gasto",D561=""),"Falta categoría","OK")))))))))</f>
        <v/>
      </c>
    </row>
    <row r="562" spans="1:12" ht="22" customHeight="1">
      <c r="A562" s="3"/>
      <c r="B562" s="7"/>
      <c r="C562" s="3"/>
      <c r="D562" s="3"/>
      <c r="E562" s="3"/>
      <c r="F562" s="3"/>
      <c r="G562" s="3"/>
      <c r="H562" s="4"/>
      <c r="I562" s="4"/>
      <c r="J562" s="3"/>
      <c r="K562" s="8" t="str">
        <f t="shared" si="8"/>
        <v/>
      </c>
      <c r="L562" s="1" t="str">
        <f>IF(COUNTA(A562:J562)=0,"",IF(OR(AND(C562&lt;&gt;"Gasto",C562&lt;&gt;"Pago proveedor",C562&lt;&gt;"Retiro familiar",C562&lt;&gt;"Aportación",C562&lt;&gt;"Pago activo",C562&lt;&gt;"ISR devengado",C562&lt;&gt;"Pago ISR",C562&lt;&gt;"Pago IVA",C562&lt;&gt;"Compensación ISR",C562&lt;&gt;"Compensación IVA"),AND(C562="Gasto",D562&lt;&gt;"Costos clínicos",D562&lt;&gt;"Remuneración familiar",D562&lt;&gt;"Nómina y honorarios",D562&lt;&gt;"Renta",D562&lt;&gt;"Marketing",D562&lt;&gt;"Servicios y software",D562&lt;&gt;"Mantenimiento",D562&lt;&gt;"Otros",D562&lt;&gt;"Intereses")),"Tipo o categoría inválido",IF(COUNTA(A562:J562)=0,"",IF(OR(A562="",B562="",C562="",H562=""),"Faltan datos",IF(COUNTIF($A$7:$A$2006,A562)&gt;1,"ID duplicado",IF(OR(B562&lt;DATE(Configuración!$C$5,1,1),B562&gt;=DATE(Configuración!$C$5+1,1,1)),"Fecha fuera del año",IF(OR(H562&lt;0,I562&lt;0),"Revisar signo",IF(AND(C562&lt;&gt;"Gasto",I562&lt;&gt;0),"IVA solo en Gasto",IF(AND(C562="Gasto",D562=""),"Falta categoría","OK")))))))))</f>
        <v/>
      </c>
    </row>
    <row r="563" spans="1:12" ht="22" customHeight="1">
      <c r="A563" s="3"/>
      <c r="B563" s="7"/>
      <c r="C563" s="3"/>
      <c r="D563" s="3"/>
      <c r="E563" s="3"/>
      <c r="F563" s="3"/>
      <c r="G563" s="3"/>
      <c r="H563" s="4"/>
      <c r="I563" s="4"/>
      <c r="J563" s="3"/>
      <c r="K563" s="8" t="str">
        <f t="shared" si="8"/>
        <v/>
      </c>
      <c r="L563" s="1" t="str">
        <f>IF(COUNTA(A563:J563)=0,"",IF(OR(AND(C563&lt;&gt;"Gasto",C563&lt;&gt;"Pago proveedor",C563&lt;&gt;"Retiro familiar",C563&lt;&gt;"Aportación",C563&lt;&gt;"Pago activo",C563&lt;&gt;"ISR devengado",C563&lt;&gt;"Pago ISR",C563&lt;&gt;"Pago IVA",C563&lt;&gt;"Compensación ISR",C563&lt;&gt;"Compensación IVA"),AND(C563="Gasto",D563&lt;&gt;"Costos clínicos",D563&lt;&gt;"Remuneración familiar",D563&lt;&gt;"Nómina y honorarios",D563&lt;&gt;"Renta",D563&lt;&gt;"Marketing",D563&lt;&gt;"Servicios y software",D563&lt;&gt;"Mantenimiento",D563&lt;&gt;"Otros",D563&lt;&gt;"Intereses")),"Tipo o categoría inválido",IF(COUNTA(A563:J563)=0,"",IF(OR(A563="",B563="",C563="",H563=""),"Faltan datos",IF(COUNTIF($A$7:$A$2006,A563)&gt;1,"ID duplicado",IF(OR(B563&lt;DATE(Configuración!$C$5,1,1),B563&gt;=DATE(Configuración!$C$5+1,1,1)),"Fecha fuera del año",IF(OR(H563&lt;0,I563&lt;0),"Revisar signo",IF(AND(C563&lt;&gt;"Gasto",I563&lt;&gt;0),"IVA solo en Gasto",IF(AND(C563="Gasto",D563=""),"Falta categoría","OK")))))))))</f>
        <v/>
      </c>
    </row>
    <row r="564" spans="1:12" ht="22" customHeight="1">
      <c r="A564" s="3"/>
      <c r="B564" s="7"/>
      <c r="C564" s="3"/>
      <c r="D564" s="3"/>
      <c r="E564" s="3"/>
      <c r="F564" s="3"/>
      <c r="G564" s="3"/>
      <c r="H564" s="4"/>
      <c r="I564" s="4"/>
      <c r="J564" s="3"/>
      <c r="K564" s="8" t="str">
        <f t="shared" si="8"/>
        <v/>
      </c>
      <c r="L564" s="1" t="str">
        <f>IF(COUNTA(A564:J564)=0,"",IF(OR(AND(C564&lt;&gt;"Gasto",C564&lt;&gt;"Pago proveedor",C564&lt;&gt;"Retiro familiar",C564&lt;&gt;"Aportación",C564&lt;&gt;"Pago activo",C564&lt;&gt;"ISR devengado",C564&lt;&gt;"Pago ISR",C564&lt;&gt;"Pago IVA",C564&lt;&gt;"Compensación ISR",C564&lt;&gt;"Compensación IVA"),AND(C564="Gasto",D564&lt;&gt;"Costos clínicos",D564&lt;&gt;"Remuneración familiar",D564&lt;&gt;"Nómina y honorarios",D564&lt;&gt;"Renta",D564&lt;&gt;"Marketing",D564&lt;&gt;"Servicios y software",D564&lt;&gt;"Mantenimiento",D564&lt;&gt;"Otros",D564&lt;&gt;"Intereses")),"Tipo o categoría inválido",IF(COUNTA(A564:J564)=0,"",IF(OR(A564="",B564="",C564="",H564=""),"Faltan datos",IF(COUNTIF($A$7:$A$2006,A564)&gt;1,"ID duplicado",IF(OR(B564&lt;DATE(Configuración!$C$5,1,1),B564&gt;=DATE(Configuración!$C$5+1,1,1)),"Fecha fuera del año",IF(OR(H564&lt;0,I564&lt;0),"Revisar signo",IF(AND(C564&lt;&gt;"Gasto",I564&lt;&gt;0),"IVA solo en Gasto",IF(AND(C564="Gasto",D564=""),"Falta categoría","OK")))))))))</f>
        <v/>
      </c>
    </row>
    <row r="565" spans="1:12" ht="22" customHeight="1">
      <c r="A565" s="3"/>
      <c r="B565" s="7"/>
      <c r="C565" s="3"/>
      <c r="D565" s="3"/>
      <c r="E565" s="3"/>
      <c r="F565" s="3"/>
      <c r="G565" s="3"/>
      <c r="H565" s="4"/>
      <c r="I565" s="4"/>
      <c r="J565" s="3"/>
      <c r="K565" s="8" t="str">
        <f t="shared" si="8"/>
        <v/>
      </c>
      <c r="L565" s="1" t="str">
        <f>IF(COUNTA(A565:J565)=0,"",IF(OR(AND(C565&lt;&gt;"Gasto",C565&lt;&gt;"Pago proveedor",C565&lt;&gt;"Retiro familiar",C565&lt;&gt;"Aportación",C565&lt;&gt;"Pago activo",C565&lt;&gt;"ISR devengado",C565&lt;&gt;"Pago ISR",C565&lt;&gt;"Pago IVA",C565&lt;&gt;"Compensación ISR",C565&lt;&gt;"Compensación IVA"),AND(C565="Gasto",D565&lt;&gt;"Costos clínicos",D565&lt;&gt;"Remuneración familiar",D565&lt;&gt;"Nómina y honorarios",D565&lt;&gt;"Renta",D565&lt;&gt;"Marketing",D565&lt;&gt;"Servicios y software",D565&lt;&gt;"Mantenimiento",D565&lt;&gt;"Otros",D565&lt;&gt;"Intereses")),"Tipo o categoría inválido",IF(COUNTA(A565:J565)=0,"",IF(OR(A565="",B565="",C565="",H565=""),"Faltan datos",IF(COUNTIF($A$7:$A$2006,A565)&gt;1,"ID duplicado",IF(OR(B565&lt;DATE(Configuración!$C$5,1,1),B565&gt;=DATE(Configuración!$C$5+1,1,1)),"Fecha fuera del año",IF(OR(H565&lt;0,I565&lt;0),"Revisar signo",IF(AND(C565&lt;&gt;"Gasto",I565&lt;&gt;0),"IVA solo en Gasto",IF(AND(C565="Gasto",D565=""),"Falta categoría","OK")))))))))</f>
        <v/>
      </c>
    </row>
    <row r="566" spans="1:12" ht="22" customHeight="1">
      <c r="A566" s="3"/>
      <c r="B566" s="7"/>
      <c r="C566" s="3"/>
      <c r="D566" s="3"/>
      <c r="E566" s="3"/>
      <c r="F566" s="3"/>
      <c r="G566" s="3"/>
      <c r="H566" s="4"/>
      <c r="I566" s="4"/>
      <c r="J566" s="3"/>
      <c r="K566" s="8" t="str">
        <f t="shared" si="8"/>
        <v/>
      </c>
      <c r="L566" s="1" t="str">
        <f>IF(COUNTA(A566:J566)=0,"",IF(OR(AND(C566&lt;&gt;"Gasto",C566&lt;&gt;"Pago proveedor",C566&lt;&gt;"Retiro familiar",C566&lt;&gt;"Aportación",C566&lt;&gt;"Pago activo",C566&lt;&gt;"ISR devengado",C566&lt;&gt;"Pago ISR",C566&lt;&gt;"Pago IVA",C566&lt;&gt;"Compensación ISR",C566&lt;&gt;"Compensación IVA"),AND(C566="Gasto",D566&lt;&gt;"Costos clínicos",D566&lt;&gt;"Remuneración familiar",D566&lt;&gt;"Nómina y honorarios",D566&lt;&gt;"Renta",D566&lt;&gt;"Marketing",D566&lt;&gt;"Servicios y software",D566&lt;&gt;"Mantenimiento",D566&lt;&gt;"Otros",D566&lt;&gt;"Intereses")),"Tipo o categoría inválido",IF(COUNTA(A566:J566)=0,"",IF(OR(A566="",B566="",C566="",H566=""),"Faltan datos",IF(COUNTIF($A$7:$A$2006,A566)&gt;1,"ID duplicado",IF(OR(B566&lt;DATE(Configuración!$C$5,1,1),B566&gt;=DATE(Configuración!$C$5+1,1,1)),"Fecha fuera del año",IF(OR(H566&lt;0,I566&lt;0),"Revisar signo",IF(AND(C566&lt;&gt;"Gasto",I566&lt;&gt;0),"IVA solo en Gasto",IF(AND(C566="Gasto",D566=""),"Falta categoría","OK")))))))))</f>
        <v/>
      </c>
    </row>
    <row r="567" spans="1:12" ht="22" customHeight="1">
      <c r="A567" s="3"/>
      <c r="B567" s="7"/>
      <c r="C567" s="3"/>
      <c r="D567" s="3"/>
      <c r="E567" s="3"/>
      <c r="F567" s="3"/>
      <c r="G567" s="3"/>
      <c r="H567" s="4"/>
      <c r="I567" s="4"/>
      <c r="J567" s="3"/>
      <c r="K567" s="8" t="str">
        <f t="shared" si="8"/>
        <v/>
      </c>
      <c r="L567" s="1" t="str">
        <f>IF(COUNTA(A567:J567)=0,"",IF(OR(AND(C567&lt;&gt;"Gasto",C567&lt;&gt;"Pago proveedor",C567&lt;&gt;"Retiro familiar",C567&lt;&gt;"Aportación",C567&lt;&gt;"Pago activo",C567&lt;&gt;"ISR devengado",C567&lt;&gt;"Pago ISR",C567&lt;&gt;"Pago IVA",C567&lt;&gt;"Compensación ISR",C567&lt;&gt;"Compensación IVA"),AND(C567="Gasto",D567&lt;&gt;"Costos clínicos",D567&lt;&gt;"Remuneración familiar",D567&lt;&gt;"Nómina y honorarios",D567&lt;&gt;"Renta",D567&lt;&gt;"Marketing",D567&lt;&gt;"Servicios y software",D567&lt;&gt;"Mantenimiento",D567&lt;&gt;"Otros",D567&lt;&gt;"Intereses")),"Tipo o categoría inválido",IF(COUNTA(A567:J567)=0,"",IF(OR(A567="",B567="",C567="",H567=""),"Faltan datos",IF(COUNTIF($A$7:$A$2006,A567)&gt;1,"ID duplicado",IF(OR(B567&lt;DATE(Configuración!$C$5,1,1),B567&gt;=DATE(Configuración!$C$5+1,1,1)),"Fecha fuera del año",IF(OR(H567&lt;0,I567&lt;0),"Revisar signo",IF(AND(C567&lt;&gt;"Gasto",I567&lt;&gt;0),"IVA solo en Gasto",IF(AND(C567="Gasto",D567=""),"Falta categoría","OK")))))))))</f>
        <v/>
      </c>
    </row>
    <row r="568" spans="1:12" ht="22" customHeight="1">
      <c r="A568" s="3"/>
      <c r="B568" s="7"/>
      <c r="C568" s="3"/>
      <c r="D568" s="3"/>
      <c r="E568" s="3"/>
      <c r="F568" s="3"/>
      <c r="G568" s="3"/>
      <c r="H568" s="4"/>
      <c r="I568" s="4"/>
      <c r="J568" s="3"/>
      <c r="K568" s="8" t="str">
        <f t="shared" si="8"/>
        <v/>
      </c>
      <c r="L568" s="1" t="str">
        <f>IF(COUNTA(A568:J568)=0,"",IF(OR(AND(C568&lt;&gt;"Gasto",C568&lt;&gt;"Pago proveedor",C568&lt;&gt;"Retiro familiar",C568&lt;&gt;"Aportación",C568&lt;&gt;"Pago activo",C568&lt;&gt;"ISR devengado",C568&lt;&gt;"Pago ISR",C568&lt;&gt;"Pago IVA",C568&lt;&gt;"Compensación ISR",C568&lt;&gt;"Compensación IVA"),AND(C568="Gasto",D568&lt;&gt;"Costos clínicos",D568&lt;&gt;"Remuneración familiar",D568&lt;&gt;"Nómina y honorarios",D568&lt;&gt;"Renta",D568&lt;&gt;"Marketing",D568&lt;&gt;"Servicios y software",D568&lt;&gt;"Mantenimiento",D568&lt;&gt;"Otros",D568&lt;&gt;"Intereses")),"Tipo o categoría inválido",IF(COUNTA(A568:J568)=0,"",IF(OR(A568="",B568="",C568="",H568=""),"Faltan datos",IF(COUNTIF($A$7:$A$2006,A568)&gt;1,"ID duplicado",IF(OR(B568&lt;DATE(Configuración!$C$5,1,1),B568&gt;=DATE(Configuración!$C$5+1,1,1)),"Fecha fuera del año",IF(OR(H568&lt;0,I568&lt;0),"Revisar signo",IF(AND(C568&lt;&gt;"Gasto",I568&lt;&gt;0),"IVA solo en Gasto",IF(AND(C568="Gasto",D568=""),"Falta categoría","OK")))))))))</f>
        <v/>
      </c>
    </row>
    <row r="569" spans="1:12" ht="22" customHeight="1">
      <c r="A569" s="3"/>
      <c r="B569" s="7"/>
      <c r="C569" s="3"/>
      <c r="D569" s="3"/>
      <c r="E569" s="3"/>
      <c r="F569" s="3"/>
      <c r="G569" s="3"/>
      <c r="H569" s="4"/>
      <c r="I569" s="4"/>
      <c r="J569" s="3"/>
      <c r="K569" s="8" t="str">
        <f t="shared" si="8"/>
        <v/>
      </c>
      <c r="L569" s="1" t="str">
        <f>IF(COUNTA(A569:J569)=0,"",IF(OR(AND(C569&lt;&gt;"Gasto",C569&lt;&gt;"Pago proveedor",C569&lt;&gt;"Retiro familiar",C569&lt;&gt;"Aportación",C569&lt;&gt;"Pago activo",C569&lt;&gt;"ISR devengado",C569&lt;&gt;"Pago ISR",C569&lt;&gt;"Pago IVA",C569&lt;&gt;"Compensación ISR",C569&lt;&gt;"Compensación IVA"),AND(C569="Gasto",D569&lt;&gt;"Costos clínicos",D569&lt;&gt;"Remuneración familiar",D569&lt;&gt;"Nómina y honorarios",D569&lt;&gt;"Renta",D569&lt;&gt;"Marketing",D569&lt;&gt;"Servicios y software",D569&lt;&gt;"Mantenimiento",D569&lt;&gt;"Otros",D569&lt;&gt;"Intereses")),"Tipo o categoría inválido",IF(COUNTA(A569:J569)=0,"",IF(OR(A569="",B569="",C569="",H569=""),"Faltan datos",IF(COUNTIF($A$7:$A$2006,A569)&gt;1,"ID duplicado",IF(OR(B569&lt;DATE(Configuración!$C$5,1,1),B569&gt;=DATE(Configuración!$C$5+1,1,1)),"Fecha fuera del año",IF(OR(H569&lt;0,I569&lt;0),"Revisar signo",IF(AND(C569&lt;&gt;"Gasto",I569&lt;&gt;0),"IVA solo en Gasto",IF(AND(C569="Gasto",D569=""),"Falta categoría","OK")))))))))</f>
        <v/>
      </c>
    </row>
    <row r="570" spans="1:12" ht="22" customHeight="1">
      <c r="A570" s="3"/>
      <c r="B570" s="7"/>
      <c r="C570" s="3"/>
      <c r="D570" s="3"/>
      <c r="E570" s="3"/>
      <c r="F570" s="3"/>
      <c r="G570" s="3"/>
      <c r="H570" s="4"/>
      <c r="I570" s="4"/>
      <c r="J570" s="3"/>
      <c r="K570" s="8" t="str">
        <f t="shared" si="8"/>
        <v/>
      </c>
      <c r="L570" s="1" t="str">
        <f>IF(COUNTA(A570:J570)=0,"",IF(OR(AND(C570&lt;&gt;"Gasto",C570&lt;&gt;"Pago proveedor",C570&lt;&gt;"Retiro familiar",C570&lt;&gt;"Aportación",C570&lt;&gt;"Pago activo",C570&lt;&gt;"ISR devengado",C570&lt;&gt;"Pago ISR",C570&lt;&gt;"Pago IVA",C570&lt;&gt;"Compensación ISR",C570&lt;&gt;"Compensación IVA"),AND(C570="Gasto",D570&lt;&gt;"Costos clínicos",D570&lt;&gt;"Remuneración familiar",D570&lt;&gt;"Nómina y honorarios",D570&lt;&gt;"Renta",D570&lt;&gt;"Marketing",D570&lt;&gt;"Servicios y software",D570&lt;&gt;"Mantenimiento",D570&lt;&gt;"Otros",D570&lt;&gt;"Intereses")),"Tipo o categoría inválido",IF(COUNTA(A570:J570)=0,"",IF(OR(A570="",B570="",C570="",H570=""),"Faltan datos",IF(COUNTIF($A$7:$A$2006,A570)&gt;1,"ID duplicado",IF(OR(B570&lt;DATE(Configuración!$C$5,1,1),B570&gt;=DATE(Configuración!$C$5+1,1,1)),"Fecha fuera del año",IF(OR(H570&lt;0,I570&lt;0),"Revisar signo",IF(AND(C570&lt;&gt;"Gasto",I570&lt;&gt;0),"IVA solo en Gasto",IF(AND(C570="Gasto",D570=""),"Falta categoría","OK")))))))))</f>
        <v/>
      </c>
    </row>
    <row r="571" spans="1:12" ht="22" customHeight="1">
      <c r="A571" s="3"/>
      <c r="B571" s="7"/>
      <c r="C571" s="3"/>
      <c r="D571" s="3"/>
      <c r="E571" s="3"/>
      <c r="F571" s="3"/>
      <c r="G571" s="3"/>
      <c r="H571" s="4"/>
      <c r="I571" s="4"/>
      <c r="J571" s="3"/>
      <c r="K571" s="8" t="str">
        <f t="shared" si="8"/>
        <v/>
      </c>
      <c r="L571" s="1" t="str">
        <f>IF(COUNTA(A571:J571)=0,"",IF(OR(AND(C571&lt;&gt;"Gasto",C571&lt;&gt;"Pago proveedor",C571&lt;&gt;"Retiro familiar",C571&lt;&gt;"Aportación",C571&lt;&gt;"Pago activo",C571&lt;&gt;"ISR devengado",C571&lt;&gt;"Pago ISR",C571&lt;&gt;"Pago IVA",C571&lt;&gt;"Compensación ISR",C571&lt;&gt;"Compensación IVA"),AND(C571="Gasto",D571&lt;&gt;"Costos clínicos",D571&lt;&gt;"Remuneración familiar",D571&lt;&gt;"Nómina y honorarios",D571&lt;&gt;"Renta",D571&lt;&gt;"Marketing",D571&lt;&gt;"Servicios y software",D571&lt;&gt;"Mantenimiento",D571&lt;&gt;"Otros",D571&lt;&gt;"Intereses")),"Tipo o categoría inválido",IF(COUNTA(A571:J571)=0,"",IF(OR(A571="",B571="",C571="",H571=""),"Faltan datos",IF(COUNTIF($A$7:$A$2006,A571)&gt;1,"ID duplicado",IF(OR(B571&lt;DATE(Configuración!$C$5,1,1),B571&gt;=DATE(Configuración!$C$5+1,1,1)),"Fecha fuera del año",IF(OR(H571&lt;0,I571&lt;0),"Revisar signo",IF(AND(C571&lt;&gt;"Gasto",I571&lt;&gt;0),"IVA solo en Gasto",IF(AND(C571="Gasto",D571=""),"Falta categoría","OK")))))))))</f>
        <v/>
      </c>
    </row>
    <row r="572" spans="1:12" ht="22" customHeight="1">
      <c r="A572" s="3"/>
      <c r="B572" s="7"/>
      <c r="C572" s="3"/>
      <c r="D572" s="3"/>
      <c r="E572" s="3"/>
      <c r="F572" s="3"/>
      <c r="G572" s="3"/>
      <c r="H572" s="4"/>
      <c r="I572" s="4"/>
      <c r="J572" s="3"/>
      <c r="K572" s="8" t="str">
        <f t="shared" si="8"/>
        <v/>
      </c>
      <c r="L572" s="1" t="str">
        <f>IF(COUNTA(A572:J572)=0,"",IF(OR(AND(C572&lt;&gt;"Gasto",C572&lt;&gt;"Pago proveedor",C572&lt;&gt;"Retiro familiar",C572&lt;&gt;"Aportación",C572&lt;&gt;"Pago activo",C572&lt;&gt;"ISR devengado",C572&lt;&gt;"Pago ISR",C572&lt;&gt;"Pago IVA",C572&lt;&gt;"Compensación ISR",C572&lt;&gt;"Compensación IVA"),AND(C572="Gasto",D572&lt;&gt;"Costos clínicos",D572&lt;&gt;"Remuneración familiar",D572&lt;&gt;"Nómina y honorarios",D572&lt;&gt;"Renta",D572&lt;&gt;"Marketing",D572&lt;&gt;"Servicios y software",D572&lt;&gt;"Mantenimiento",D572&lt;&gt;"Otros",D572&lt;&gt;"Intereses")),"Tipo o categoría inválido",IF(COUNTA(A572:J572)=0,"",IF(OR(A572="",B572="",C572="",H572=""),"Faltan datos",IF(COUNTIF($A$7:$A$2006,A572)&gt;1,"ID duplicado",IF(OR(B572&lt;DATE(Configuración!$C$5,1,1),B572&gt;=DATE(Configuración!$C$5+1,1,1)),"Fecha fuera del año",IF(OR(H572&lt;0,I572&lt;0),"Revisar signo",IF(AND(C572&lt;&gt;"Gasto",I572&lt;&gt;0),"IVA solo en Gasto",IF(AND(C572="Gasto",D572=""),"Falta categoría","OK")))))))))</f>
        <v/>
      </c>
    </row>
    <row r="573" spans="1:12" ht="22" customHeight="1">
      <c r="A573" s="3"/>
      <c r="B573" s="7"/>
      <c r="C573" s="3"/>
      <c r="D573" s="3"/>
      <c r="E573" s="3"/>
      <c r="F573" s="3"/>
      <c r="G573" s="3"/>
      <c r="H573" s="4"/>
      <c r="I573" s="4"/>
      <c r="J573" s="3"/>
      <c r="K573" s="8" t="str">
        <f t="shared" si="8"/>
        <v/>
      </c>
      <c r="L573" s="1" t="str">
        <f>IF(COUNTA(A573:J573)=0,"",IF(OR(AND(C573&lt;&gt;"Gasto",C573&lt;&gt;"Pago proveedor",C573&lt;&gt;"Retiro familiar",C573&lt;&gt;"Aportación",C573&lt;&gt;"Pago activo",C573&lt;&gt;"ISR devengado",C573&lt;&gt;"Pago ISR",C573&lt;&gt;"Pago IVA",C573&lt;&gt;"Compensación ISR",C573&lt;&gt;"Compensación IVA"),AND(C573="Gasto",D573&lt;&gt;"Costos clínicos",D573&lt;&gt;"Remuneración familiar",D573&lt;&gt;"Nómina y honorarios",D573&lt;&gt;"Renta",D573&lt;&gt;"Marketing",D573&lt;&gt;"Servicios y software",D573&lt;&gt;"Mantenimiento",D573&lt;&gt;"Otros",D573&lt;&gt;"Intereses")),"Tipo o categoría inválido",IF(COUNTA(A573:J573)=0,"",IF(OR(A573="",B573="",C573="",H573=""),"Faltan datos",IF(COUNTIF($A$7:$A$2006,A573)&gt;1,"ID duplicado",IF(OR(B573&lt;DATE(Configuración!$C$5,1,1),B573&gt;=DATE(Configuración!$C$5+1,1,1)),"Fecha fuera del año",IF(OR(H573&lt;0,I573&lt;0),"Revisar signo",IF(AND(C573&lt;&gt;"Gasto",I573&lt;&gt;0),"IVA solo en Gasto",IF(AND(C573="Gasto",D573=""),"Falta categoría","OK")))))))))</f>
        <v/>
      </c>
    </row>
    <row r="574" spans="1:12" ht="22" customHeight="1">
      <c r="A574" s="3"/>
      <c r="B574" s="7"/>
      <c r="C574" s="3"/>
      <c r="D574" s="3"/>
      <c r="E574" s="3"/>
      <c r="F574" s="3"/>
      <c r="G574" s="3"/>
      <c r="H574" s="4"/>
      <c r="I574" s="4"/>
      <c r="J574" s="3"/>
      <c r="K574" s="8" t="str">
        <f t="shared" si="8"/>
        <v/>
      </c>
      <c r="L574" s="1" t="str">
        <f>IF(COUNTA(A574:J574)=0,"",IF(OR(AND(C574&lt;&gt;"Gasto",C574&lt;&gt;"Pago proveedor",C574&lt;&gt;"Retiro familiar",C574&lt;&gt;"Aportación",C574&lt;&gt;"Pago activo",C574&lt;&gt;"ISR devengado",C574&lt;&gt;"Pago ISR",C574&lt;&gt;"Pago IVA",C574&lt;&gt;"Compensación ISR",C574&lt;&gt;"Compensación IVA"),AND(C574="Gasto",D574&lt;&gt;"Costos clínicos",D574&lt;&gt;"Remuneración familiar",D574&lt;&gt;"Nómina y honorarios",D574&lt;&gt;"Renta",D574&lt;&gt;"Marketing",D574&lt;&gt;"Servicios y software",D574&lt;&gt;"Mantenimiento",D574&lt;&gt;"Otros",D574&lt;&gt;"Intereses")),"Tipo o categoría inválido",IF(COUNTA(A574:J574)=0,"",IF(OR(A574="",B574="",C574="",H574=""),"Faltan datos",IF(COUNTIF($A$7:$A$2006,A574)&gt;1,"ID duplicado",IF(OR(B574&lt;DATE(Configuración!$C$5,1,1),B574&gt;=DATE(Configuración!$C$5+1,1,1)),"Fecha fuera del año",IF(OR(H574&lt;0,I574&lt;0),"Revisar signo",IF(AND(C574&lt;&gt;"Gasto",I574&lt;&gt;0),"IVA solo en Gasto",IF(AND(C574="Gasto",D574=""),"Falta categoría","OK")))))))))</f>
        <v/>
      </c>
    </row>
    <row r="575" spans="1:12" ht="22" customHeight="1">
      <c r="A575" s="3"/>
      <c r="B575" s="7"/>
      <c r="C575" s="3"/>
      <c r="D575" s="3"/>
      <c r="E575" s="3"/>
      <c r="F575" s="3"/>
      <c r="G575" s="3"/>
      <c r="H575" s="4"/>
      <c r="I575" s="4"/>
      <c r="J575" s="3"/>
      <c r="K575" s="8" t="str">
        <f t="shared" si="8"/>
        <v/>
      </c>
      <c r="L575" s="1" t="str">
        <f>IF(COUNTA(A575:J575)=0,"",IF(OR(AND(C575&lt;&gt;"Gasto",C575&lt;&gt;"Pago proveedor",C575&lt;&gt;"Retiro familiar",C575&lt;&gt;"Aportación",C575&lt;&gt;"Pago activo",C575&lt;&gt;"ISR devengado",C575&lt;&gt;"Pago ISR",C575&lt;&gt;"Pago IVA",C575&lt;&gt;"Compensación ISR",C575&lt;&gt;"Compensación IVA"),AND(C575="Gasto",D575&lt;&gt;"Costos clínicos",D575&lt;&gt;"Remuneración familiar",D575&lt;&gt;"Nómina y honorarios",D575&lt;&gt;"Renta",D575&lt;&gt;"Marketing",D575&lt;&gt;"Servicios y software",D575&lt;&gt;"Mantenimiento",D575&lt;&gt;"Otros",D575&lt;&gt;"Intereses")),"Tipo o categoría inválido",IF(COUNTA(A575:J575)=0,"",IF(OR(A575="",B575="",C575="",H575=""),"Faltan datos",IF(COUNTIF($A$7:$A$2006,A575)&gt;1,"ID duplicado",IF(OR(B575&lt;DATE(Configuración!$C$5,1,1),B575&gt;=DATE(Configuración!$C$5+1,1,1)),"Fecha fuera del año",IF(OR(H575&lt;0,I575&lt;0),"Revisar signo",IF(AND(C575&lt;&gt;"Gasto",I575&lt;&gt;0),"IVA solo en Gasto",IF(AND(C575="Gasto",D575=""),"Falta categoría","OK")))))))))</f>
        <v/>
      </c>
    </row>
    <row r="576" spans="1:12" ht="22" customHeight="1">
      <c r="A576" s="3"/>
      <c r="B576" s="7"/>
      <c r="C576" s="3"/>
      <c r="D576" s="3"/>
      <c r="E576" s="3"/>
      <c r="F576" s="3"/>
      <c r="G576" s="3"/>
      <c r="H576" s="4"/>
      <c r="I576" s="4"/>
      <c r="J576" s="3"/>
      <c r="K576" s="8" t="str">
        <f t="shared" si="8"/>
        <v/>
      </c>
      <c r="L576" s="1" t="str">
        <f>IF(COUNTA(A576:J576)=0,"",IF(OR(AND(C576&lt;&gt;"Gasto",C576&lt;&gt;"Pago proveedor",C576&lt;&gt;"Retiro familiar",C576&lt;&gt;"Aportación",C576&lt;&gt;"Pago activo",C576&lt;&gt;"ISR devengado",C576&lt;&gt;"Pago ISR",C576&lt;&gt;"Pago IVA",C576&lt;&gt;"Compensación ISR",C576&lt;&gt;"Compensación IVA"),AND(C576="Gasto",D576&lt;&gt;"Costos clínicos",D576&lt;&gt;"Remuneración familiar",D576&lt;&gt;"Nómina y honorarios",D576&lt;&gt;"Renta",D576&lt;&gt;"Marketing",D576&lt;&gt;"Servicios y software",D576&lt;&gt;"Mantenimiento",D576&lt;&gt;"Otros",D576&lt;&gt;"Intereses")),"Tipo o categoría inválido",IF(COUNTA(A576:J576)=0,"",IF(OR(A576="",B576="",C576="",H576=""),"Faltan datos",IF(COUNTIF($A$7:$A$2006,A576)&gt;1,"ID duplicado",IF(OR(B576&lt;DATE(Configuración!$C$5,1,1),B576&gt;=DATE(Configuración!$C$5+1,1,1)),"Fecha fuera del año",IF(OR(H576&lt;0,I576&lt;0),"Revisar signo",IF(AND(C576&lt;&gt;"Gasto",I576&lt;&gt;0),"IVA solo en Gasto",IF(AND(C576="Gasto",D576=""),"Falta categoría","OK")))))))))</f>
        <v/>
      </c>
    </row>
    <row r="577" spans="1:12" ht="22" customHeight="1">
      <c r="A577" s="3"/>
      <c r="B577" s="7"/>
      <c r="C577" s="3"/>
      <c r="D577" s="3"/>
      <c r="E577" s="3"/>
      <c r="F577" s="3"/>
      <c r="G577" s="3"/>
      <c r="H577" s="4"/>
      <c r="I577" s="4"/>
      <c r="J577" s="3"/>
      <c r="K577" s="8" t="str">
        <f t="shared" si="8"/>
        <v/>
      </c>
      <c r="L577" s="1" t="str">
        <f>IF(COUNTA(A577:J577)=0,"",IF(OR(AND(C577&lt;&gt;"Gasto",C577&lt;&gt;"Pago proveedor",C577&lt;&gt;"Retiro familiar",C577&lt;&gt;"Aportación",C577&lt;&gt;"Pago activo",C577&lt;&gt;"ISR devengado",C577&lt;&gt;"Pago ISR",C577&lt;&gt;"Pago IVA",C577&lt;&gt;"Compensación ISR",C577&lt;&gt;"Compensación IVA"),AND(C577="Gasto",D577&lt;&gt;"Costos clínicos",D577&lt;&gt;"Remuneración familiar",D577&lt;&gt;"Nómina y honorarios",D577&lt;&gt;"Renta",D577&lt;&gt;"Marketing",D577&lt;&gt;"Servicios y software",D577&lt;&gt;"Mantenimiento",D577&lt;&gt;"Otros",D577&lt;&gt;"Intereses")),"Tipo o categoría inválido",IF(COUNTA(A577:J577)=0,"",IF(OR(A577="",B577="",C577="",H577=""),"Faltan datos",IF(COUNTIF($A$7:$A$2006,A577)&gt;1,"ID duplicado",IF(OR(B577&lt;DATE(Configuración!$C$5,1,1),B577&gt;=DATE(Configuración!$C$5+1,1,1)),"Fecha fuera del año",IF(OR(H577&lt;0,I577&lt;0),"Revisar signo",IF(AND(C577&lt;&gt;"Gasto",I577&lt;&gt;0),"IVA solo en Gasto",IF(AND(C577="Gasto",D577=""),"Falta categoría","OK")))))))))</f>
        <v/>
      </c>
    </row>
    <row r="578" spans="1:12" ht="22" customHeight="1">
      <c r="A578" s="3"/>
      <c r="B578" s="7"/>
      <c r="C578" s="3"/>
      <c r="D578" s="3"/>
      <c r="E578" s="3"/>
      <c r="F578" s="3"/>
      <c r="G578" s="3"/>
      <c r="H578" s="4"/>
      <c r="I578" s="4"/>
      <c r="J578" s="3"/>
      <c r="K578" s="8" t="str">
        <f t="shared" si="8"/>
        <v/>
      </c>
      <c r="L578" s="1" t="str">
        <f>IF(COUNTA(A578:J578)=0,"",IF(OR(AND(C578&lt;&gt;"Gasto",C578&lt;&gt;"Pago proveedor",C578&lt;&gt;"Retiro familiar",C578&lt;&gt;"Aportación",C578&lt;&gt;"Pago activo",C578&lt;&gt;"ISR devengado",C578&lt;&gt;"Pago ISR",C578&lt;&gt;"Pago IVA",C578&lt;&gt;"Compensación ISR",C578&lt;&gt;"Compensación IVA"),AND(C578="Gasto",D578&lt;&gt;"Costos clínicos",D578&lt;&gt;"Remuneración familiar",D578&lt;&gt;"Nómina y honorarios",D578&lt;&gt;"Renta",D578&lt;&gt;"Marketing",D578&lt;&gt;"Servicios y software",D578&lt;&gt;"Mantenimiento",D578&lt;&gt;"Otros",D578&lt;&gt;"Intereses")),"Tipo o categoría inválido",IF(COUNTA(A578:J578)=0,"",IF(OR(A578="",B578="",C578="",H578=""),"Faltan datos",IF(COUNTIF($A$7:$A$2006,A578)&gt;1,"ID duplicado",IF(OR(B578&lt;DATE(Configuración!$C$5,1,1),B578&gt;=DATE(Configuración!$C$5+1,1,1)),"Fecha fuera del año",IF(OR(H578&lt;0,I578&lt;0),"Revisar signo",IF(AND(C578&lt;&gt;"Gasto",I578&lt;&gt;0),"IVA solo en Gasto",IF(AND(C578="Gasto",D578=""),"Falta categoría","OK")))))))))</f>
        <v/>
      </c>
    </row>
    <row r="579" spans="1:12" ht="22" customHeight="1">
      <c r="A579" s="3"/>
      <c r="B579" s="7"/>
      <c r="C579" s="3"/>
      <c r="D579" s="3"/>
      <c r="E579" s="3"/>
      <c r="F579" s="3"/>
      <c r="G579" s="3"/>
      <c r="H579" s="4"/>
      <c r="I579" s="4"/>
      <c r="J579" s="3"/>
      <c r="K579" s="8" t="str">
        <f t="shared" si="8"/>
        <v/>
      </c>
      <c r="L579" s="1" t="str">
        <f>IF(COUNTA(A579:J579)=0,"",IF(OR(AND(C579&lt;&gt;"Gasto",C579&lt;&gt;"Pago proveedor",C579&lt;&gt;"Retiro familiar",C579&lt;&gt;"Aportación",C579&lt;&gt;"Pago activo",C579&lt;&gt;"ISR devengado",C579&lt;&gt;"Pago ISR",C579&lt;&gt;"Pago IVA",C579&lt;&gt;"Compensación ISR",C579&lt;&gt;"Compensación IVA"),AND(C579="Gasto",D579&lt;&gt;"Costos clínicos",D579&lt;&gt;"Remuneración familiar",D579&lt;&gt;"Nómina y honorarios",D579&lt;&gt;"Renta",D579&lt;&gt;"Marketing",D579&lt;&gt;"Servicios y software",D579&lt;&gt;"Mantenimiento",D579&lt;&gt;"Otros",D579&lt;&gt;"Intereses")),"Tipo o categoría inválido",IF(COUNTA(A579:J579)=0,"",IF(OR(A579="",B579="",C579="",H579=""),"Faltan datos",IF(COUNTIF($A$7:$A$2006,A579)&gt;1,"ID duplicado",IF(OR(B579&lt;DATE(Configuración!$C$5,1,1),B579&gt;=DATE(Configuración!$C$5+1,1,1)),"Fecha fuera del año",IF(OR(H579&lt;0,I579&lt;0),"Revisar signo",IF(AND(C579&lt;&gt;"Gasto",I579&lt;&gt;0),"IVA solo en Gasto",IF(AND(C579="Gasto",D579=""),"Falta categoría","OK")))))))))</f>
        <v/>
      </c>
    </row>
    <row r="580" spans="1:12" ht="22" customHeight="1">
      <c r="A580" s="3"/>
      <c r="B580" s="7"/>
      <c r="C580" s="3"/>
      <c r="D580" s="3"/>
      <c r="E580" s="3"/>
      <c r="F580" s="3"/>
      <c r="G580" s="3"/>
      <c r="H580" s="4"/>
      <c r="I580" s="4"/>
      <c r="J580" s="3"/>
      <c r="K580" s="8" t="str">
        <f t="shared" si="8"/>
        <v/>
      </c>
      <c r="L580" s="1" t="str">
        <f>IF(COUNTA(A580:J580)=0,"",IF(OR(AND(C580&lt;&gt;"Gasto",C580&lt;&gt;"Pago proveedor",C580&lt;&gt;"Retiro familiar",C580&lt;&gt;"Aportación",C580&lt;&gt;"Pago activo",C580&lt;&gt;"ISR devengado",C580&lt;&gt;"Pago ISR",C580&lt;&gt;"Pago IVA",C580&lt;&gt;"Compensación ISR",C580&lt;&gt;"Compensación IVA"),AND(C580="Gasto",D580&lt;&gt;"Costos clínicos",D580&lt;&gt;"Remuneración familiar",D580&lt;&gt;"Nómina y honorarios",D580&lt;&gt;"Renta",D580&lt;&gt;"Marketing",D580&lt;&gt;"Servicios y software",D580&lt;&gt;"Mantenimiento",D580&lt;&gt;"Otros",D580&lt;&gt;"Intereses")),"Tipo o categoría inválido",IF(COUNTA(A580:J580)=0,"",IF(OR(A580="",B580="",C580="",H580=""),"Faltan datos",IF(COUNTIF($A$7:$A$2006,A580)&gt;1,"ID duplicado",IF(OR(B580&lt;DATE(Configuración!$C$5,1,1),B580&gt;=DATE(Configuración!$C$5+1,1,1)),"Fecha fuera del año",IF(OR(H580&lt;0,I580&lt;0),"Revisar signo",IF(AND(C580&lt;&gt;"Gasto",I580&lt;&gt;0),"IVA solo en Gasto",IF(AND(C580="Gasto",D580=""),"Falta categoría","OK")))))))))</f>
        <v/>
      </c>
    </row>
    <row r="581" spans="1:12" ht="22" customHeight="1">
      <c r="A581" s="3"/>
      <c r="B581" s="7"/>
      <c r="C581" s="3"/>
      <c r="D581" s="3"/>
      <c r="E581" s="3"/>
      <c r="F581" s="3"/>
      <c r="G581" s="3"/>
      <c r="H581" s="4"/>
      <c r="I581" s="4"/>
      <c r="J581" s="3"/>
      <c r="K581" s="8" t="str">
        <f t="shared" si="8"/>
        <v/>
      </c>
      <c r="L581" s="1" t="str">
        <f>IF(COUNTA(A581:J581)=0,"",IF(OR(AND(C581&lt;&gt;"Gasto",C581&lt;&gt;"Pago proveedor",C581&lt;&gt;"Retiro familiar",C581&lt;&gt;"Aportación",C581&lt;&gt;"Pago activo",C581&lt;&gt;"ISR devengado",C581&lt;&gt;"Pago ISR",C581&lt;&gt;"Pago IVA",C581&lt;&gt;"Compensación ISR",C581&lt;&gt;"Compensación IVA"),AND(C581="Gasto",D581&lt;&gt;"Costos clínicos",D581&lt;&gt;"Remuneración familiar",D581&lt;&gt;"Nómina y honorarios",D581&lt;&gt;"Renta",D581&lt;&gt;"Marketing",D581&lt;&gt;"Servicios y software",D581&lt;&gt;"Mantenimiento",D581&lt;&gt;"Otros",D581&lt;&gt;"Intereses")),"Tipo o categoría inválido",IF(COUNTA(A581:J581)=0,"",IF(OR(A581="",B581="",C581="",H581=""),"Faltan datos",IF(COUNTIF($A$7:$A$2006,A581)&gt;1,"ID duplicado",IF(OR(B581&lt;DATE(Configuración!$C$5,1,1),B581&gt;=DATE(Configuración!$C$5+1,1,1)),"Fecha fuera del año",IF(OR(H581&lt;0,I581&lt;0),"Revisar signo",IF(AND(C581&lt;&gt;"Gasto",I581&lt;&gt;0),"IVA solo en Gasto",IF(AND(C581="Gasto",D581=""),"Falta categoría","OK")))))))))</f>
        <v/>
      </c>
    </row>
    <row r="582" spans="1:12" ht="22" customHeight="1">
      <c r="A582" s="3"/>
      <c r="B582" s="7"/>
      <c r="C582" s="3"/>
      <c r="D582" s="3"/>
      <c r="E582" s="3"/>
      <c r="F582" s="3"/>
      <c r="G582" s="3"/>
      <c r="H582" s="4"/>
      <c r="I582" s="4"/>
      <c r="J582" s="3"/>
      <c r="K582" s="8" t="str">
        <f t="shared" si="8"/>
        <v/>
      </c>
      <c r="L582" s="1" t="str">
        <f>IF(COUNTA(A582:J582)=0,"",IF(OR(AND(C582&lt;&gt;"Gasto",C582&lt;&gt;"Pago proveedor",C582&lt;&gt;"Retiro familiar",C582&lt;&gt;"Aportación",C582&lt;&gt;"Pago activo",C582&lt;&gt;"ISR devengado",C582&lt;&gt;"Pago ISR",C582&lt;&gt;"Pago IVA",C582&lt;&gt;"Compensación ISR",C582&lt;&gt;"Compensación IVA"),AND(C582="Gasto",D582&lt;&gt;"Costos clínicos",D582&lt;&gt;"Remuneración familiar",D582&lt;&gt;"Nómina y honorarios",D582&lt;&gt;"Renta",D582&lt;&gt;"Marketing",D582&lt;&gt;"Servicios y software",D582&lt;&gt;"Mantenimiento",D582&lt;&gt;"Otros",D582&lt;&gt;"Intereses")),"Tipo o categoría inválido",IF(COUNTA(A582:J582)=0,"",IF(OR(A582="",B582="",C582="",H582=""),"Faltan datos",IF(COUNTIF($A$7:$A$2006,A582)&gt;1,"ID duplicado",IF(OR(B582&lt;DATE(Configuración!$C$5,1,1),B582&gt;=DATE(Configuración!$C$5+1,1,1)),"Fecha fuera del año",IF(OR(H582&lt;0,I582&lt;0),"Revisar signo",IF(AND(C582&lt;&gt;"Gasto",I582&lt;&gt;0),"IVA solo en Gasto",IF(AND(C582="Gasto",D582=""),"Falta categoría","OK")))))))))</f>
        <v/>
      </c>
    </row>
    <row r="583" spans="1:12" ht="22" customHeight="1">
      <c r="A583" s="3"/>
      <c r="B583" s="7"/>
      <c r="C583" s="3"/>
      <c r="D583" s="3"/>
      <c r="E583" s="3"/>
      <c r="F583" s="3"/>
      <c r="G583" s="3"/>
      <c r="H583" s="4"/>
      <c r="I583" s="4"/>
      <c r="J583" s="3"/>
      <c r="K583" s="8" t="str">
        <f t="shared" ref="K583:K646" si="9">IF(A583="","",H583+I583)</f>
        <v/>
      </c>
      <c r="L583" s="1" t="str">
        <f>IF(COUNTA(A583:J583)=0,"",IF(OR(AND(C583&lt;&gt;"Gasto",C583&lt;&gt;"Pago proveedor",C583&lt;&gt;"Retiro familiar",C583&lt;&gt;"Aportación",C583&lt;&gt;"Pago activo",C583&lt;&gt;"ISR devengado",C583&lt;&gt;"Pago ISR",C583&lt;&gt;"Pago IVA",C583&lt;&gt;"Compensación ISR",C583&lt;&gt;"Compensación IVA"),AND(C583="Gasto",D583&lt;&gt;"Costos clínicos",D583&lt;&gt;"Remuneración familiar",D583&lt;&gt;"Nómina y honorarios",D583&lt;&gt;"Renta",D583&lt;&gt;"Marketing",D583&lt;&gt;"Servicios y software",D583&lt;&gt;"Mantenimiento",D583&lt;&gt;"Otros",D583&lt;&gt;"Intereses")),"Tipo o categoría inválido",IF(COUNTA(A583:J583)=0,"",IF(OR(A583="",B583="",C583="",H583=""),"Faltan datos",IF(COUNTIF($A$7:$A$2006,A583)&gt;1,"ID duplicado",IF(OR(B583&lt;DATE(Configuración!$C$5,1,1),B583&gt;=DATE(Configuración!$C$5+1,1,1)),"Fecha fuera del año",IF(OR(H583&lt;0,I583&lt;0),"Revisar signo",IF(AND(C583&lt;&gt;"Gasto",I583&lt;&gt;0),"IVA solo en Gasto",IF(AND(C583="Gasto",D583=""),"Falta categoría","OK")))))))))</f>
        <v/>
      </c>
    </row>
    <row r="584" spans="1:12" ht="22" customHeight="1">
      <c r="A584" s="3"/>
      <c r="B584" s="7"/>
      <c r="C584" s="3"/>
      <c r="D584" s="3"/>
      <c r="E584" s="3"/>
      <c r="F584" s="3"/>
      <c r="G584" s="3"/>
      <c r="H584" s="4"/>
      <c r="I584" s="4"/>
      <c r="J584" s="3"/>
      <c r="K584" s="8" t="str">
        <f t="shared" si="9"/>
        <v/>
      </c>
      <c r="L584" s="1" t="str">
        <f>IF(COUNTA(A584:J584)=0,"",IF(OR(AND(C584&lt;&gt;"Gasto",C584&lt;&gt;"Pago proveedor",C584&lt;&gt;"Retiro familiar",C584&lt;&gt;"Aportación",C584&lt;&gt;"Pago activo",C584&lt;&gt;"ISR devengado",C584&lt;&gt;"Pago ISR",C584&lt;&gt;"Pago IVA",C584&lt;&gt;"Compensación ISR",C584&lt;&gt;"Compensación IVA"),AND(C584="Gasto",D584&lt;&gt;"Costos clínicos",D584&lt;&gt;"Remuneración familiar",D584&lt;&gt;"Nómina y honorarios",D584&lt;&gt;"Renta",D584&lt;&gt;"Marketing",D584&lt;&gt;"Servicios y software",D584&lt;&gt;"Mantenimiento",D584&lt;&gt;"Otros",D584&lt;&gt;"Intereses")),"Tipo o categoría inválido",IF(COUNTA(A584:J584)=0,"",IF(OR(A584="",B584="",C584="",H584=""),"Faltan datos",IF(COUNTIF($A$7:$A$2006,A584)&gt;1,"ID duplicado",IF(OR(B584&lt;DATE(Configuración!$C$5,1,1),B584&gt;=DATE(Configuración!$C$5+1,1,1)),"Fecha fuera del año",IF(OR(H584&lt;0,I584&lt;0),"Revisar signo",IF(AND(C584&lt;&gt;"Gasto",I584&lt;&gt;0),"IVA solo en Gasto",IF(AND(C584="Gasto",D584=""),"Falta categoría","OK")))))))))</f>
        <v/>
      </c>
    </row>
    <row r="585" spans="1:12" ht="22" customHeight="1">
      <c r="A585" s="3"/>
      <c r="B585" s="7"/>
      <c r="C585" s="3"/>
      <c r="D585" s="3"/>
      <c r="E585" s="3"/>
      <c r="F585" s="3"/>
      <c r="G585" s="3"/>
      <c r="H585" s="4"/>
      <c r="I585" s="4"/>
      <c r="J585" s="3"/>
      <c r="K585" s="8" t="str">
        <f t="shared" si="9"/>
        <v/>
      </c>
      <c r="L585" s="1" t="str">
        <f>IF(COUNTA(A585:J585)=0,"",IF(OR(AND(C585&lt;&gt;"Gasto",C585&lt;&gt;"Pago proveedor",C585&lt;&gt;"Retiro familiar",C585&lt;&gt;"Aportación",C585&lt;&gt;"Pago activo",C585&lt;&gt;"ISR devengado",C585&lt;&gt;"Pago ISR",C585&lt;&gt;"Pago IVA",C585&lt;&gt;"Compensación ISR",C585&lt;&gt;"Compensación IVA"),AND(C585="Gasto",D585&lt;&gt;"Costos clínicos",D585&lt;&gt;"Remuneración familiar",D585&lt;&gt;"Nómina y honorarios",D585&lt;&gt;"Renta",D585&lt;&gt;"Marketing",D585&lt;&gt;"Servicios y software",D585&lt;&gt;"Mantenimiento",D585&lt;&gt;"Otros",D585&lt;&gt;"Intereses")),"Tipo o categoría inválido",IF(COUNTA(A585:J585)=0,"",IF(OR(A585="",B585="",C585="",H585=""),"Faltan datos",IF(COUNTIF($A$7:$A$2006,A585)&gt;1,"ID duplicado",IF(OR(B585&lt;DATE(Configuración!$C$5,1,1),B585&gt;=DATE(Configuración!$C$5+1,1,1)),"Fecha fuera del año",IF(OR(H585&lt;0,I585&lt;0),"Revisar signo",IF(AND(C585&lt;&gt;"Gasto",I585&lt;&gt;0),"IVA solo en Gasto",IF(AND(C585="Gasto",D585=""),"Falta categoría","OK")))))))))</f>
        <v/>
      </c>
    </row>
    <row r="586" spans="1:12" ht="22" customHeight="1">
      <c r="A586" s="3"/>
      <c r="B586" s="7"/>
      <c r="C586" s="3"/>
      <c r="D586" s="3"/>
      <c r="E586" s="3"/>
      <c r="F586" s="3"/>
      <c r="G586" s="3"/>
      <c r="H586" s="4"/>
      <c r="I586" s="4"/>
      <c r="J586" s="3"/>
      <c r="K586" s="8" t="str">
        <f t="shared" si="9"/>
        <v/>
      </c>
      <c r="L586" s="1" t="str">
        <f>IF(COUNTA(A586:J586)=0,"",IF(OR(AND(C586&lt;&gt;"Gasto",C586&lt;&gt;"Pago proveedor",C586&lt;&gt;"Retiro familiar",C586&lt;&gt;"Aportación",C586&lt;&gt;"Pago activo",C586&lt;&gt;"ISR devengado",C586&lt;&gt;"Pago ISR",C586&lt;&gt;"Pago IVA",C586&lt;&gt;"Compensación ISR",C586&lt;&gt;"Compensación IVA"),AND(C586="Gasto",D586&lt;&gt;"Costos clínicos",D586&lt;&gt;"Remuneración familiar",D586&lt;&gt;"Nómina y honorarios",D586&lt;&gt;"Renta",D586&lt;&gt;"Marketing",D586&lt;&gt;"Servicios y software",D586&lt;&gt;"Mantenimiento",D586&lt;&gt;"Otros",D586&lt;&gt;"Intereses")),"Tipo o categoría inválido",IF(COUNTA(A586:J586)=0,"",IF(OR(A586="",B586="",C586="",H586=""),"Faltan datos",IF(COUNTIF($A$7:$A$2006,A586)&gt;1,"ID duplicado",IF(OR(B586&lt;DATE(Configuración!$C$5,1,1),B586&gt;=DATE(Configuración!$C$5+1,1,1)),"Fecha fuera del año",IF(OR(H586&lt;0,I586&lt;0),"Revisar signo",IF(AND(C586&lt;&gt;"Gasto",I586&lt;&gt;0),"IVA solo en Gasto",IF(AND(C586="Gasto",D586=""),"Falta categoría","OK")))))))))</f>
        <v/>
      </c>
    </row>
    <row r="587" spans="1:12" ht="22" customHeight="1">
      <c r="A587" s="3"/>
      <c r="B587" s="7"/>
      <c r="C587" s="3"/>
      <c r="D587" s="3"/>
      <c r="E587" s="3"/>
      <c r="F587" s="3"/>
      <c r="G587" s="3"/>
      <c r="H587" s="4"/>
      <c r="I587" s="4"/>
      <c r="J587" s="3"/>
      <c r="K587" s="8" t="str">
        <f t="shared" si="9"/>
        <v/>
      </c>
      <c r="L587" s="1" t="str">
        <f>IF(COUNTA(A587:J587)=0,"",IF(OR(AND(C587&lt;&gt;"Gasto",C587&lt;&gt;"Pago proveedor",C587&lt;&gt;"Retiro familiar",C587&lt;&gt;"Aportación",C587&lt;&gt;"Pago activo",C587&lt;&gt;"ISR devengado",C587&lt;&gt;"Pago ISR",C587&lt;&gt;"Pago IVA",C587&lt;&gt;"Compensación ISR",C587&lt;&gt;"Compensación IVA"),AND(C587="Gasto",D587&lt;&gt;"Costos clínicos",D587&lt;&gt;"Remuneración familiar",D587&lt;&gt;"Nómina y honorarios",D587&lt;&gt;"Renta",D587&lt;&gt;"Marketing",D587&lt;&gt;"Servicios y software",D587&lt;&gt;"Mantenimiento",D587&lt;&gt;"Otros",D587&lt;&gt;"Intereses")),"Tipo o categoría inválido",IF(COUNTA(A587:J587)=0,"",IF(OR(A587="",B587="",C587="",H587=""),"Faltan datos",IF(COUNTIF($A$7:$A$2006,A587)&gt;1,"ID duplicado",IF(OR(B587&lt;DATE(Configuración!$C$5,1,1),B587&gt;=DATE(Configuración!$C$5+1,1,1)),"Fecha fuera del año",IF(OR(H587&lt;0,I587&lt;0),"Revisar signo",IF(AND(C587&lt;&gt;"Gasto",I587&lt;&gt;0),"IVA solo en Gasto",IF(AND(C587="Gasto",D587=""),"Falta categoría","OK")))))))))</f>
        <v/>
      </c>
    </row>
    <row r="588" spans="1:12" ht="22" customHeight="1">
      <c r="A588" s="3"/>
      <c r="B588" s="7"/>
      <c r="C588" s="3"/>
      <c r="D588" s="3"/>
      <c r="E588" s="3"/>
      <c r="F588" s="3"/>
      <c r="G588" s="3"/>
      <c r="H588" s="4"/>
      <c r="I588" s="4"/>
      <c r="J588" s="3"/>
      <c r="K588" s="8" t="str">
        <f t="shared" si="9"/>
        <v/>
      </c>
      <c r="L588" s="1" t="str">
        <f>IF(COUNTA(A588:J588)=0,"",IF(OR(AND(C588&lt;&gt;"Gasto",C588&lt;&gt;"Pago proveedor",C588&lt;&gt;"Retiro familiar",C588&lt;&gt;"Aportación",C588&lt;&gt;"Pago activo",C588&lt;&gt;"ISR devengado",C588&lt;&gt;"Pago ISR",C588&lt;&gt;"Pago IVA",C588&lt;&gt;"Compensación ISR",C588&lt;&gt;"Compensación IVA"),AND(C588="Gasto",D588&lt;&gt;"Costos clínicos",D588&lt;&gt;"Remuneración familiar",D588&lt;&gt;"Nómina y honorarios",D588&lt;&gt;"Renta",D588&lt;&gt;"Marketing",D588&lt;&gt;"Servicios y software",D588&lt;&gt;"Mantenimiento",D588&lt;&gt;"Otros",D588&lt;&gt;"Intereses")),"Tipo o categoría inválido",IF(COUNTA(A588:J588)=0,"",IF(OR(A588="",B588="",C588="",H588=""),"Faltan datos",IF(COUNTIF($A$7:$A$2006,A588)&gt;1,"ID duplicado",IF(OR(B588&lt;DATE(Configuración!$C$5,1,1),B588&gt;=DATE(Configuración!$C$5+1,1,1)),"Fecha fuera del año",IF(OR(H588&lt;0,I588&lt;0),"Revisar signo",IF(AND(C588&lt;&gt;"Gasto",I588&lt;&gt;0),"IVA solo en Gasto",IF(AND(C588="Gasto",D588=""),"Falta categoría","OK")))))))))</f>
        <v/>
      </c>
    </row>
    <row r="589" spans="1:12" ht="22" customHeight="1">
      <c r="A589" s="3"/>
      <c r="B589" s="7"/>
      <c r="C589" s="3"/>
      <c r="D589" s="3"/>
      <c r="E589" s="3"/>
      <c r="F589" s="3"/>
      <c r="G589" s="3"/>
      <c r="H589" s="4"/>
      <c r="I589" s="4"/>
      <c r="J589" s="3"/>
      <c r="K589" s="8" t="str">
        <f t="shared" si="9"/>
        <v/>
      </c>
      <c r="L589" s="1" t="str">
        <f>IF(COUNTA(A589:J589)=0,"",IF(OR(AND(C589&lt;&gt;"Gasto",C589&lt;&gt;"Pago proveedor",C589&lt;&gt;"Retiro familiar",C589&lt;&gt;"Aportación",C589&lt;&gt;"Pago activo",C589&lt;&gt;"ISR devengado",C589&lt;&gt;"Pago ISR",C589&lt;&gt;"Pago IVA",C589&lt;&gt;"Compensación ISR",C589&lt;&gt;"Compensación IVA"),AND(C589="Gasto",D589&lt;&gt;"Costos clínicos",D589&lt;&gt;"Remuneración familiar",D589&lt;&gt;"Nómina y honorarios",D589&lt;&gt;"Renta",D589&lt;&gt;"Marketing",D589&lt;&gt;"Servicios y software",D589&lt;&gt;"Mantenimiento",D589&lt;&gt;"Otros",D589&lt;&gt;"Intereses")),"Tipo o categoría inválido",IF(COUNTA(A589:J589)=0,"",IF(OR(A589="",B589="",C589="",H589=""),"Faltan datos",IF(COUNTIF($A$7:$A$2006,A589)&gt;1,"ID duplicado",IF(OR(B589&lt;DATE(Configuración!$C$5,1,1),B589&gt;=DATE(Configuración!$C$5+1,1,1)),"Fecha fuera del año",IF(OR(H589&lt;0,I589&lt;0),"Revisar signo",IF(AND(C589&lt;&gt;"Gasto",I589&lt;&gt;0),"IVA solo en Gasto",IF(AND(C589="Gasto",D589=""),"Falta categoría","OK")))))))))</f>
        <v/>
      </c>
    </row>
    <row r="590" spans="1:12" ht="22" customHeight="1">
      <c r="A590" s="3"/>
      <c r="B590" s="7"/>
      <c r="C590" s="3"/>
      <c r="D590" s="3"/>
      <c r="E590" s="3"/>
      <c r="F590" s="3"/>
      <c r="G590" s="3"/>
      <c r="H590" s="4"/>
      <c r="I590" s="4"/>
      <c r="J590" s="3"/>
      <c r="K590" s="8" t="str">
        <f t="shared" si="9"/>
        <v/>
      </c>
      <c r="L590" s="1" t="str">
        <f>IF(COUNTA(A590:J590)=0,"",IF(OR(AND(C590&lt;&gt;"Gasto",C590&lt;&gt;"Pago proveedor",C590&lt;&gt;"Retiro familiar",C590&lt;&gt;"Aportación",C590&lt;&gt;"Pago activo",C590&lt;&gt;"ISR devengado",C590&lt;&gt;"Pago ISR",C590&lt;&gt;"Pago IVA",C590&lt;&gt;"Compensación ISR",C590&lt;&gt;"Compensación IVA"),AND(C590="Gasto",D590&lt;&gt;"Costos clínicos",D590&lt;&gt;"Remuneración familiar",D590&lt;&gt;"Nómina y honorarios",D590&lt;&gt;"Renta",D590&lt;&gt;"Marketing",D590&lt;&gt;"Servicios y software",D590&lt;&gt;"Mantenimiento",D590&lt;&gt;"Otros",D590&lt;&gt;"Intereses")),"Tipo o categoría inválido",IF(COUNTA(A590:J590)=0,"",IF(OR(A590="",B590="",C590="",H590=""),"Faltan datos",IF(COUNTIF($A$7:$A$2006,A590)&gt;1,"ID duplicado",IF(OR(B590&lt;DATE(Configuración!$C$5,1,1),B590&gt;=DATE(Configuración!$C$5+1,1,1)),"Fecha fuera del año",IF(OR(H590&lt;0,I590&lt;0),"Revisar signo",IF(AND(C590&lt;&gt;"Gasto",I590&lt;&gt;0),"IVA solo en Gasto",IF(AND(C590="Gasto",D590=""),"Falta categoría","OK")))))))))</f>
        <v/>
      </c>
    </row>
    <row r="591" spans="1:12" ht="22" customHeight="1">
      <c r="A591" s="3"/>
      <c r="B591" s="7"/>
      <c r="C591" s="3"/>
      <c r="D591" s="3"/>
      <c r="E591" s="3"/>
      <c r="F591" s="3"/>
      <c r="G591" s="3"/>
      <c r="H591" s="4"/>
      <c r="I591" s="4"/>
      <c r="J591" s="3"/>
      <c r="K591" s="8" t="str">
        <f t="shared" si="9"/>
        <v/>
      </c>
      <c r="L591" s="1" t="str">
        <f>IF(COUNTA(A591:J591)=0,"",IF(OR(AND(C591&lt;&gt;"Gasto",C591&lt;&gt;"Pago proveedor",C591&lt;&gt;"Retiro familiar",C591&lt;&gt;"Aportación",C591&lt;&gt;"Pago activo",C591&lt;&gt;"ISR devengado",C591&lt;&gt;"Pago ISR",C591&lt;&gt;"Pago IVA",C591&lt;&gt;"Compensación ISR",C591&lt;&gt;"Compensación IVA"),AND(C591="Gasto",D591&lt;&gt;"Costos clínicos",D591&lt;&gt;"Remuneración familiar",D591&lt;&gt;"Nómina y honorarios",D591&lt;&gt;"Renta",D591&lt;&gt;"Marketing",D591&lt;&gt;"Servicios y software",D591&lt;&gt;"Mantenimiento",D591&lt;&gt;"Otros",D591&lt;&gt;"Intereses")),"Tipo o categoría inválido",IF(COUNTA(A591:J591)=0,"",IF(OR(A591="",B591="",C591="",H591=""),"Faltan datos",IF(COUNTIF($A$7:$A$2006,A591)&gt;1,"ID duplicado",IF(OR(B591&lt;DATE(Configuración!$C$5,1,1),B591&gt;=DATE(Configuración!$C$5+1,1,1)),"Fecha fuera del año",IF(OR(H591&lt;0,I591&lt;0),"Revisar signo",IF(AND(C591&lt;&gt;"Gasto",I591&lt;&gt;0),"IVA solo en Gasto",IF(AND(C591="Gasto",D591=""),"Falta categoría","OK")))))))))</f>
        <v/>
      </c>
    </row>
    <row r="592" spans="1:12" ht="22" customHeight="1">
      <c r="A592" s="3"/>
      <c r="B592" s="7"/>
      <c r="C592" s="3"/>
      <c r="D592" s="3"/>
      <c r="E592" s="3"/>
      <c r="F592" s="3"/>
      <c r="G592" s="3"/>
      <c r="H592" s="4"/>
      <c r="I592" s="4"/>
      <c r="J592" s="3"/>
      <c r="K592" s="8" t="str">
        <f t="shared" si="9"/>
        <v/>
      </c>
      <c r="L592" s="1" t="str">
        <f>IF(COUNTA(A592:J592)=0,"",IF(OR(AND(C592&lt;&gt;"Gasto",C592&lt;&gt;"Pago proveedor",C592&lt;&gt;"Retiro familiar",C592&lt;&gt;"Aportación",C592&lt;&gt;"Pago activo",C592&lt;&gt;"ISR devengado",C592&lt;&gt;"Pago ISR",C592&lt;&gt;"Pago IVA",C592&lt;&gt;"Compensación ISR",C592&lt;&gt;"Compensación IVA"),AND(C592="Gasto",D592&lt;&gt;"Costos clínicos",D592&lt;&gt;"Remuneración familiar",D592&lt;&gt;"Nómina y honorarios",D592&lt;&gt;"Renta",D592&lt;&gt;"Marketing",D592&lt;&gt;"Servicios y software",D592&lt;&gt;"Mantenimiento",D592&lt;&gt;"Otros",D592&lt;&gt;"Intereses")),"Tipo o categoría inválido",IF(COUNTA(A592:J592)=0,"",IF(OR(A592="",B592="",C592="",H592=""),"Faltan datos",IF(COUNTIF($A$7:$A$2006,A592)&gt;1,"ID duplicado",IF(OR(B592&lt;DATE(Configuración!$C$5,1,1),B592&gt;=DATE(Configuración!$C$5+1,1,1)),"Fecha fuera del año",IF(OR(H592&lt;0,I592&lt;0),"Revisar signo",IF(AND(C592&lt;&gt;"Gasto",I592&lt;&gt;0),"IVA solo en Gasto",IF(AND(C592="Gasto",D592=""),"Falta categoría","OK")))))))))</f>
        <v/>
      </c>
    </row>
    <row r="593" spans="1:12" ht="22" customHeight="1">
      <c r="A593" s="3"/>
      <c r="B593" s="7"/>
      <c r="C593" s="3"/>
      <c r="D593" s="3"/>
      <c r="E593" s="3"/>
      <c r="F593" s="3"/>
      <c r="G593" s="3"/>
      <c r="H593" s="4"/>
      <c r="I593" s="4"/>
      <c r="J593" s="3"/>
      <c r="K593" s="8" t="str">
        <f t="shared" si="9"/>
        <v/>
      </c>
      <c r="L593" s="1" t="str">
        <f>IF(COUNTA(A593:J593)=0,"",IF(OR(AND(C593&lt;&gt;"Gasto",C593&lt;&gt;"Pago proveedor",C593&lt;&gt;"Retiro familiar",C593&lt;&gt;"Aportación",C593&lt;&gt;"Pago activo",C593&lt;&gt;"ISR devengado",C593&lt;&gt;"Pago ISR",C593&lt;&gt;"Pago IVA",C593&lt;&gt;"Compensación ISR",C593&lt;&gt;"Compensación IVA"),AND(C593="Gasto",D593&lt;&gt;"Costos clínicos",D593&lt;&gt;"Remuneración familiar",D593&lt;&gt;"Nómina y honorarios",D593&lt;&gt;"Renta",D593&lt;&gt;"Marketing",D593&lt;&gt;"Servicios y software",D593&lt;&gt;"Mantenimiento",D593&lt;&gt;"Otros",D593&lt;&gt;"Intereses")),"Tipo o categoría inválido",IF(COUNTA(A593:J593)=0,"",IF(OR(A593="",B593="",C593="",H593=""),"Faltan datos",IF(COUNTIF($A$7:$A$2006,A593)&gt;1,"ID duplicado",IF(OR(B593&lt;DATE(Configuración!$C$5,1,1),B593&gt;=DATE(Configuración!$C$5+1,1,1)),"Fecha fuera del año",IF(OR(H593&lt;0,I593&lt;0),"Revisar signo",IF(AND(C593&lt;&gt;"Gasto",I593&lt;&gt;0),"IVA solo en Gasto",IF(AND(C593="Gasto",D593=""),"Falta categoría","OK")))))))))</f>
        <v/>
      </c>
    </row>
    <row r="594" spans="1:12" ht="22" customHeight="1">
      <c r="A594" s="3"/>
      <c r="B594" s="7"/>
      <c r="C594" s="3"/>
      <c r="D594" s="3"/>
      <c r="E594" s="3"/>
      <c r="F594" s="3"/>
      <c r="G594" s="3"/>
      <c r="H594" s="4"/>
      <c r="I594" s="4"/>
      <c r="J594" s="3"/>
      <c r="K594" s="8" t="str">
        <f t="shared" si="9"/>
        <v/>
      </c>
      <c r="L594" s="1" t="str">
        <f>IF(COUNTA(A594:J594)=0,"",IF(OR(AND(C594&lt;&gt;"Gasto",C594&lt;&gt;"Pago proveedor",C594&lt;&gt;"Retiro familiar",C594&lt;&gt;"Aportación",C594&lt;&gt;"Pago activo",C594&lt;&gt;"ISR devengado",C594&lt;&gt;"Pago ISR",C594&lt;&gt;"Pago IVA",C594&lt;&gt;"Compensación ISR",C594&lt;&gt;"Compensación IVA"),AND(C594="Gasto",D594&lt;&gt;"Costos clínicos",D594&lt;&gt;"Remuneración familiar",D594&lt;&gt;"Nómina y honorarios",D594&lt;&gt;"Renta",D594&lt;&gt;"Marketing",D594&lt;&gt;"Servicios y software",D594&lt;&gt;"Mantenimiento",D594&lt;&gt;"Otros",D594&lt;&gt;"Intereses")),"Tipo o categoría inválido",IF(COUNTA(A594:J594)=0,"",IF(OR(A594="",B594="",C594="",H594=""),"Faltan datos",IF(COUNTIF($A$7:$A$2006,A594)&gt;1,"ID duplicado",IF(OR(B594&lt;DATE(Configuración!$C$5,1,1),B594&gt;=DATE(Configuración!$C$5+1,1,1)),"Fecha fuera del año",IF(OR(H594&lt;0,I594&lt;0),"Revisar signo",IF(AND(C594&lt;&gt;"Gasto",I594&lt;&gt;0),"IVA solo en Gasto",IF(AND(C594="Gasto",D594=""),"Falta categoría","OK")))))))))</f>
        <v/>
      </c>
    </row>
    <row r="595" spans="1:12" ht="22" customHeight="1">
      <c r="A595" s="3"/>
      <c r="B595" s="7"/>
      <c r="C595" s="3"/>
      <c r="D595" s="3"/>
      <c r="E595" s="3"/>
      <c r="F595" s="3"/>
      <c r="G595" s="3"/>
      <c r="H595" s="4"/>
      <c r="I595" s="4"/>
      <c r="J595" s="3"/>
      <c r="K595" s="8" t="str">
        <f t="shared" si="9"/>
        <v/>
      </c>
      <c r="L595" s="1" t="str">
        <f>IF(COUNTA(A595:J595)=0,"",IF(OR(AND(C595&lt;&gt;"Gasto",C595&lt;&gt;"Pago proveedor",C595&lt;&gt;"Retiro familiar",C595&lt;&gt;"Aportación",C595&lt;&gt;"Pago activo",C595&lt;&gt;"ISR devengado",C595&lt;&gt;"Pago ISR",C595&lt;&gt;"Pago IVA",C595&lt;&gt;"Compensación ISR",C595&lt;&gt;"Compensación IVA"),AND(C595="Gasto",D595&lt;&gt;"Costos clínicos",D595&lt;&gt;"Remuneración familiar",D595&lt;&gt;"Nómina y honorarios",D595&lt;&gt;"Renta",D595&lt;&gt;"Marketing",D595&lt;&gt;"Servicios y software",D595&lt;&gt;"Mantenimiento",D595&lt;&gt;"Otros",D595&lt;&gt;"Intereses")),"Tipo o categoría inválido",IF(COUNTA(A595:J595)=0,"",IF(OR(A595="",B595="",C595="",H595=""),"Faltan datos",IF(COUNTIF($A$7:$A$2006,A595)&gt;1,"ID duplicado",IF(OR(B595&lt;DATE(Configuración!$C$5,1,1),B595&gt;=DATE(Configuración!$C$5+1,1,1)),"Fecha fuera del año",IF(OR(H595&lt;0,I595&lt;0),"Revisar signo",IF(AND(C595&lt;&gt;"Gasto",I595&lt;&gt;0),"IVA solo en Gasto",IF(AND(C595="Gasto",D595=""),"Falta categoría","OK")))))))))</f>
        <v/>
      </c>
    </row>
    <row r="596" spans="1:12" ht="22" customHeight="1">
      <c r="A596" s="3"/>
      <c r="B596" s="7"/>
      <c r="C596" s="3"/>
      <c r="D596" s="3"/>
      <c r="E596" s="3"/>
      <c r="F596" s="3"/>
      <c r="G596" s="3"/>
      <c r="H596" s="4"/>
      <c r="I596" s="4"/>
      <c r="J596" s="3"/>
      <c r="K596" s="8" t="str">
        <f t="shared" si="9"/>
        <v/>
      </c>
      <c r="L596" s="1" t="str">
        <f>IF(COUNTA(A596:J596)=0,"",IF(OR(AND(C596&lt;&gt;"Gasto",C596&lt;&gt;"Pago proveedor",C596&lt;&gt;"Retiro familiar",C596&lt;&gt;"Aportación",C596&lt;&gt;"Pago activo",C596&lt;&gt;"ISR devengado",C596&lt;&gt;"Pago ISR",C596&lt;&gt;"Pago IVA",C596&lt;&gt;"Compensación ISR",C596&lt;&gt;"Compensación IVA"),AND(C596="Gasto",D596&lt;&gt;"Costos clínicos",D596&lt;&gt;"Remuneración familiar",D596&lt;&gt;"Nómina y honorarios",D596&lt;&gt;"Renta",D596&lt;&gt;"Marketing",D596&lt;&gt;"Servicios y software",D596&lt;&gt;"Mantenimiento",D596&lt;&gt;"Otros",D596&lt;&gt;"Intereses")),"Tipo o categoría inválido",IF(COUNTA(A596:J596)=0,"",IF(OR(A596="",B596="",C596="",H596=""),"Faltan datos",IF(COUNTIF($A$7:$A$2006,A596)&gt;1,"ID duplicado",IF(OR(B596&lt;DATE(Configuración!$C$5,1,1),B596&gt;=DATE(Configuración!$C$5+1,1,1)),"Fecha fuera del año",IF(OR(H596&lt;0,I596&lt;0),"Revisar signo",IF(AND(C596&lt;&gt;"Gasto",I596&lt;&gt;0),"IVA solo en Gasto",IF(AND(C596="Gasto",D596=""),"Falta categoría","OK")))))))))</f>
        <v/>
      </c>
    </row>
    <row r="597" spans="1:12" ht="22" customHeight="1">
      <c r="A597" s="3"/>
      <c r="B597" s="7"/>
      <c r="C597" s="3"/>
      <c r="D597" s="3"/>
      <c r="E597" s="3"/>
      <c r="F597" s="3"/>
      <c r="G597" s="3"/>
      <c r="H597" s="4"/>
      <c r="I597" s="4"/>
      <c r="J597" s="3"/>
      <c r="K597" s="8" t="str">
        <f t="shared" si="9"/>
        <v/>
      </c>
      <c r="L597" s="1" t="str">
        <f>IF(COUNTA(A597:J597)=0,"",IF(OR(AND(C597&lt;&gt;"Gasto",C597&lt;&gt;"Pago proveedor",C597&lt;&gt;"Retiro familiar",C597&lt;&gt;"Aportación",C597&lt;&gt;"Pago activo",C597&lt;&gt;"ISR devengado",C597&lt;&gt;"Pago ISR",C597&lt;&gt;"Pago IVA",C597&lt;&gt;"Compensación ISR",C597&lt;&gt;"Compensación IVA"),AND(C597="Gasto",D597&lt;&gt;"Costos clínicos",D597&lt;&gt;"Remuneración familiar",D597&lt;&gt;"Nómina y honorarios",D597&lt;&gt;"Renta",D597&lt;&gt;"Marketing",D597&lt;&gt;"Servicios y software",D597&lt;&gt;"Mantenimiento",D597&lt;&gt;"Otros",D597&lt;&gt;"Intereses")),"Tipo o categoría inválido",IF(COUNTA(A597:J597)=0,"",IF(OR(A597="",B597="",C597="",H597=""),"Faltan datos",IF(COUNTIF($A$7:$A$2006,A597)&gt;1,"ID duplicado",IF(OR(B597&lt;DATE(Configuración!$C$5,1,1),B597&gt;=DATE(Configuración!$C$5+1,1,1)),"Fecha fuera del año",IF(OR(H597&lt;0,I597&lt;0),"Revisar signo",IF(AND(C597&lt;&gt;"Gasto",I597&lt;&gt;0),"IVA solo en Gasto",IF(AND(C597="Gasto",D597=""),"Falta categoría","OK")))))))))</f>
        <v/>
      </c>
    </row>
    <row r="598" spans="1:12" ht="22" customHeight="1">
      <c r="A598" s="3"/>
      <c r="B598" s="7"/>
      <c r="C598" s="3"/>
      <c r="D598" s="3"/>
      <c r="E598" s="3"/>
      <c r="F598" s="3"/>
      <c r="G598" s="3"/>
      <c r="H598" s="4"/>
      <c r="I598" s="4"/>
      <c r="J598" s="3"/>
      <c r="K598" s="8" t="str">
        <f t="shared" si="9"/>
        <v/>
      </c>
      <c r="L598" s="1" t="str">
        <f>IF(COUNTA(A598:J598)=0,"",IF(OR(AND(C598&lt;&gt;"Gasto",C598&lt;&gt;"Pago proveedor",C598&lt;&gt;"Retiro familiar",C598&lt;&gt;"Aportación",C598&lt;&gt;"Pago activo",C598&lt;&gt;"ISR devengado",C598&lt;&gt;"Pago ISR",C598&lt;&gt;"Pago IVA",C598&lt;&gt;"Compensación ISR",C598&lt;&gt;"Compensación IVA"),AND(C598="Gasto",D598&lt;&gt;"Costos clínicos",D598&lt;&gt;"Remuneración familiar",D598&lt;&gt;"Nómina y honorarios",D598&lt;&gt;"Renta",D598&lt;&gt;"Marketing",D598&lt;&gt;"Servicios y software",D598&lt;&gt;"Mantenimiento",D598&lt;&gt;"Otros",D598&lt;&gt;"Intereses")),"Tipo o categoría inválido",IF(COUNTA(A598:J598)=0,"",IF(OR(A598="",B598="",C598="",H598=""),"Faltan datos",IF(COUNTIF($A$7:$A$2006,A598)&gt;1,"ID duplicado",IF(OR(B598&lt;DATE(Configuración!$C$5,1,1),B598&gt;=DATE(Configuración!$C$5+1,1,1)),"Fecha fuera del año",IF(OR(H598&lt;0,I598&lt;0),"Revisar signo",IF(AND(C598&lt;&gt;"Gasto",I598&lt;&gt;0),"IVA solo en Gasto",IF(AND(C598="Gasto",D598=""),"Falta categoría","OK")))))))))</f>
        <v/>
      </c>
    </row>
    <row r="599" spans="1:12" ht="22" customHeight="1">
      <c r="A599" s="3"/>
      <c r="B599" s="7"/>
      <c r="C599" s="3"/>
      <c r="D599" s="3"/>
      <c r="E599" s="3"/>
      <c r="F599" s="3"/>
      <c r="G599" s="3"/>
      <c r="H599" s="4"/>
      <c r="I599" s="4"/>
      <c r="J599" s="3"/>
      <c r="K599" s="8" t="str">
        <f t="shared" si="9"/>
        <v/>
      </c>
      <c r="L599" s="1" t="str">
        <f>IF(COUNTA(A599:J599)=0,"",IF(OR(AND(C599&lt;&gt;"Gasto",C599&lt;&gt;"Pago proveedor",C599&lt;&gt;"Retiro familiar",C599&lt;&gt;"Aportación",C599&lt;&gt;"Pago activo",C599&lt;&gt;"ISR devengado",C599&lt;&gt;"Pago ISR",C599&lt;&gt;"Pago IVA",C599&lt;&gt;"Compensación ISR",C599&lt;&gt;"Compensación IVA"),AND(C599="Gasto",D599&lt;&gt;"Costos clínicos",D599&lt;&gt;"Remuneración familiar",D599&lt;&gt;"Nómina y honorarios",D599&lt;&gt;"Renta",D599&lt;&gt;"Marketing",D599&lt;&gt;"Servicios y software",D599&lt;&gt;"Mantenimiento",D599&lt;&gt;"Otros",D599&lt;&gt;"Intereses")),"Tipo o categoría inválido",IF(COUNTA(A599:J599)=0,"",IF(OR(A599="",B599="",C599="",H599=""),"Faltan datos",IF(COUNTIF($A$7:$A$2006,A599)&gt;1,"ID duplicado",IF(OR(B599&lt;DATE(Configuración!$C$5,1,1),B599&gt;=DATE(Configuración!$C$5+1,1,1)),"Fecha fuera del año",IF(OR(H599&lt;0,I599&lt;0),"Revisar signo",IF(AND(C599&lt;&gt;"Gasto",I599&lt;&gt;0),"IVA solo en Gasto",IF(AND(C599="Gasto",D599=""),"Falta categoría","OK")))))))))</f>
        <v/>
      </c>
    </row>
    <row r="600" spans="1:12" ht="22" customHeight="1">
      <c r="A600" s="3"/>
      <c r="B600" s="7"/>
      <c r="C600" s="3"/>
      <c r="D600" s="3"/>
      <c r="E600" s="3"/>
      <c r="F600" s="3"/>
      <c r="G600" s="3"/>
      <c r="H600" s="4"/>
      <c r="I600" s="4"/>
      <c r="J600" s="3"/>
      <c r="K600" s="8" t="str">
        <f t="shared" si="9"/>
        <v/>
      </c>
      <c r="L600" s="1" t="str">
        <f>IF(COUNTA(A600:J600)=0,"",IF(OR(AND(C600&lt;&gt;"Gasto",C600&lt;&gt;"Pago proveedor",C600&lt;&gt;"Retiro familiar",C600&lt;&gt;"Aportación",C600&lt;&gt;"Pago activo",C600&lt;&gt;"ISR devengado",C600&lt;&gt;"Pago ISR",C600&lt;&gt;"Pago IVA",C600&lt;&gt;"Compensación ISR",C600&lt;&gt;"Compensación IVA"),AND(C600="Gasto",D600&lt;&gt;"Costos clínicos",D600&lt;&gt;"Remuneración familiar",D600&lt;&gt;"Nómina y honorarios",D600&lt;&gt;"Renta",D600&lt;&gt;"Marketing",D600&lt;&gt;"Servicios y software",D600&lt;&gt;"Mantenimiento",D600&lt;&gt;"Otros",D600&lt;&gt;"Intereses")),"Tipo o categoría inválido",IF(COUNTA(A600:J600)=0,"",IF(OR(A600="",B600="",C600="",H600=""),"Faltan datos",IF(COUNTIF($A$7:$A$2006,A600)&gt;1,"ID duplicado",IF(OR(B600&lt;DATE(Configuración!$C$5,1,1),B600&gt;=DATE(Configuración!$C$5+1,1,1)),"Fecha fuera del año",IF(OR(H600&lt;0,I600&lt;0),"Revisar signo",IF(AND(C600&lt;&gt;"Gasto",I600&lt;&gt;0),"IVA solo en Gasto",IF(AND(C600="Gasto",D600=""),"Falta categoría","OK")))))))))</f>
        <v/>
      </c>
    </row>
    <row r="601" spans="1:12" ht="22" customHeight="1">
      <c r="A601" s="3"/>
      <c r="B601" s="7"/>
      <c r="C601" s="3"/>
      <c r="D601" s="3"/>
      <c r="E601" s="3"/>
      <c r="F601" s="3"/>
      <c r="G601" s="3"/>
      <c r="H601" s="4"/>
      <c r="I601" s="4"/>
      <c r="J601" s="3"/>
      <c r="K601" s="8" t="str">
        <f t="shared" si="9"/>
        <v/>
      </c>
      <c r="L601" s="1" t="str">
        <f>IF(COUNTA(A601:J601)=0,"",IF(OR(AND(C601&lt;&gt;"Gasto",C601&lt;&gt;"Pago proveedor",C601&lt;&gt;"Retiro familiar",C601&lt;&gt;"Aportación",C601&lt;&gt;"Pago activo",C601&lt;&gt;"ISR devengado",C601&lt;&gt;"Pago ISR",C601&lt;&gt;"Pago IVA",C601&lt;&gt;"Compensación ISR",C601&lt;&gt;"Compensación IVA"),AND(C601="Gasto",D601&lt;&gt;"Costos clínicos",D601&lt;&gt;"Remuneración familiar",D601&lt;&gt;"Nómina y honorarios",D601&lt;&gt;"Renta",D601&lt;&gt;"Marketing",D601&lt;&gt;"Servicios y software",D601&lt;&gt;"Mantenimiento",D601&lt;&gt;"Otros",D601&lt;&gt;"Intereses")),"Tipo o categoría inválido",IF(COUNTA(A601:J601)=0,"",IF(OR(A601="",B601="",C601="",H601=""),"Faltan datos",IF(COUNTIF($A$7:$A$2006,A601)&gt;1,"ID duplicado",IF(OR(B601&lt;DATE(Configuración!$C$5,1,1),B601&gt;=DATE(Configuración!$C$5+1,1,1)),"Fecha fuera del año",IF(OR(H601&lt;0,I601&lt;0),"Revisar signo",IF(AND(C601&lt;&gt;"Gasto",I601&lt;&gt;0),"IVA solo en Gasto",IF(AND(C601="Gasto",D601=""),"Falta categoría","OK")))))))))</f>
        <v/>
      </c>
    </row>
    <row r="602" spans="1:12" ht="22" customHeight="1">
      <c r="A602" s="3"/>
      <c r="B602" s="7"/>
      <c r="C602" s="3"/>
      <c r="D602" s="3"/>
      <c r="E602" s="3"/>
      <c r="F602" s="3"/>
      <c r="G602" s="3"/>
      <c r="H602" s="4"/>
      <c r="I602" s="4"/>
      <c r="J602" s="3"/>
      <c r="K602" s="8" t="str">
        <f t="shared" si="9"/>
        <v/>
      </c>
      <c r="L602" s="1" t="str">
        <f>IF(COUNTA(A602:J602)=0,"",IF(OR(AND(C602&lt;&gt;"Gasto",C602&lt;&gt;"Pago proveedor",C602&lt;&gt;"Retiro familiar",C602&lt;&gt;"Aportación",C602&lt;&gt;"Pago activo",C602&lt;&gt;"ISR devengado",C602&lt;&gt;"Pago ISR",C602&lt;&gt;"Pago IVA",C602&lt;&gt;"Compensación ISR",C602&lt;&gt;"Compensación IVA"),AND(C602="Gasto",D602&lt;&gt;"Costos clínicos",D602&lt;&gt;"Remuneración familiar",D602&lt;&gt;"Nómina y honorarios",D602&lt;&gt;"Renta",D602&lt;&gt;"Marketing",D602&lt;&gt;"Servicios y software",D602&lt;&gt;"Mantenimiento",D602&lt;&gt;"Otros",D602&lt;&gt;"Intereses")),"Tipo o categoría inválido",IF(COUNTA(A602:J602)=0,"",IF(OR(A602="",B602="",C602="",H602=""),"Faltan datos",IF(COUNTIF($A$7:$A$2006,A602)&gt;1,"ID duplicado",IF(OR(B602&lt;DATE(Configuración!$C$5,1,1),B602&gt;=DATE(Configuración!$C$5+1,1,1)),"Fecha fuera del año",IF(OR(H602&lt;0,I602&lt;0),"Revisar signo",IF(AND(C602&lt;&gt;"Gasto",I602&lt;&gt;0),"IVA solo en Gasto",IF(AND(C602="Gasto",D602=""),"Falta categoría","OK")))))))))</f>
        <v/>
      </c>
    </row>
    <row r="603" spans="1:12" ht="22" customHeight="1">
      <c r="A603" s="3"/>
      <c r="B603" s="7"/>
      <c r="C603" s="3"/>
      <c r="D603" s="3"/>
      <c r="E603" s="3"/>
      <c r="F603" s="3"/>
      <c r="G603" s="3"/>
      <c r="H603" s="4"/>
      <c r="I603" s="4"/>
      <c r="J603" s="3"/>
      <c r="K603" s="8" t="str">
        <f t="shared" si="9"/>
        <v/>
      </c>
      <c r="L603" s="1" t="str">
        <f>IF(COUNTA(A603:J603)=0,"",IF(OR(AND(C603&lt;&gt;"Gasto",C603&lt;&gt;"Pago proveedor",C603&lt;&gt;"Retiro familiar",C603&lt;&gt;"Aportación",C603&lt;&gt;"Pago activo",C603&lt;&gt;"ISR devengado",C603&lt;&gt;"Pago ISR",C603&lt;&gt;"Pago IVA",C603&lt;&gt;"Compensación ISR",C603&lt;&gt;"Compensación IVA"),AND(C603="Gasto",D603&lt;&gt;"Costos clínicos",D603&lt;&gt;"Remuneración familiar",D603&lt;&gt;"Nómina y honorarios",D603&lt;&gt;"Renta",D603&lt;&gt;"Marketing",D603&lt;&gt;"Servicios y software",D603&lt;&gt;"Mantenimiento",D603&lt;&gt;"Otros",D603&lt;&gt;"Intereses")),"Tipo o categoría inválido",IF(COUNTA(A603:J603)=0,"",IF(OR(A603="",B603="",C603="",H603=""),"Faltan datos",IF(COUNTIF($A$7:$A$2006,A603)&gt;1,"ID duplicado",IF(OR(B603&lt;DATE(Configuración!$C$5,1,1),B603&gt;=DATE(Configuración!$C$5+1,1,1)),"Fecha fuera del año",IF(OR(H603&lt;0,I603&lt;0),"Revisar signo",IF(AND(C603&lt;&gt;"Gasto",I603&lt;&gt;0),"IVA solo en Gasto",IF(AND(C603="Gasto",D603=""),"Falta categoría","OK")))))))))</f>
        <v/>
      </c>
    </row>
    <row r="604" spans="1:12" ht="22" customHeight="1">
      <c r="A604" s="3"/>
      <c r="B604" s="7"/>
      <c r="C604" s="3"/>
      <c r="D604" s="3"/>
      <c r="E604" s="3"/>
      <c r="F604" s="3"/>
      <c r="G604" s="3"/>
      <c r="H604" s="4"/>
      <c r="I604" s="4"/>
      <c r="J604" s="3"/>
      <c r="K604" s="8" t="str">
        <f t="shared" si="9"/>
        <v/>
      </c>
      <c r="L604" s="1" t="str">
        <f>IF(COUNTA(A604:J604)=0,"",IF(OR(AND(C604&lt;&gt;"Gasto",C604&lt;&gt;"Pago proveedor",C604&lt;&gt;"Retiro familiar",C604&lt;&gt;"Aportación",C604&lt;&gt;"Pago activo",C604&lt;&gt;"ISR devengado",C604&lt;&gt;"Pago ISR",C604&lt;&gt;"Pago IVA",C604&lt;&gt;"Compensación ISR",C604&lt;&gt;"Compensación IVA"),AND(C604="Gasto",D604&lt;&gt;"Costos clínicos",D604&lt;&gt;"Remuneración familiar",D604&lt;&gt;"Nómina y honorarios",D604&lt;&gt;"Renta",D604&lt;&gt;"Marketing",D604&lt;&gt;"Servicios y software",D604&lt;&gt;"Mantenimiento",D604&lt;&gt;"Otros",D604&lt;&gt;"Intereses")),"Tipo o categoría inválido",IF(COUNTA(A604:J604)=0,"",IF(OR(A604="",B604="",C604="",H604=""),"Faltan datos",IF(COUNTIF($A$7:$A$2006,A604)&gt;1,"ID duplicado",IF(OR(B604&lt;DATE(Configuración!$C$5,1,1),B604&gt;=DATE(Configuración!$C$5+1,1,1)),"Fecha fuera del año",IF(OR(H604&lt;0,I604&lt;0),"Revisar signo",IF(AND(C604&lt;&gt;"Gasto",I604&lt;&gt;0),"IVA solo en Gasto",IF(AND(C604="Gasto",D604=""),"Falta categoría","OK")))))))))</f>
        <v/>
      </c>
    </row>
    <row r="605" spans="1:12" ht="22" customHeight="1">
      <c r="A605" s="3"/>
      <c r="B605" s="7"/>
      <c r="C605" s="3"/>
      <c r="D605" s="3"/>
      <c r="E605" s="3"/>
      <c r="F605" s="3"/>
      <c r="G605" s="3"/>
      <c r="H605" s="4"/>
      <c r="I605" s="4"/>
      <c r="J605" s="3"/>
      <c r="K605" s="8" t="str">
        <f t="shared" si="9"/>
        <v/>
      </c>
      <c r="L605" s="1" t="str">
        <f>IF(COUNTA(A605:J605)=0,"",IF(OR(AND(C605&lt;&gt;"Gasto",C605&lt;&gt;"Pago proveedor",C605&lt;&gt;"Retiro familiar",C605&lt;&gt;"Aportación",C605&lt;&gt;"Pago activo",C605&lt;&gt;"ISR devengado",C605&lt;&gt;"Pago ISR",C605&lt;&gt;"Pago IVA",C605&lt;&gt;"Compensación ISR",C605&lt;&gt;"Compensación IVA"),AND(C605="Gasto",D605&lt;&gt;"Costos clínicos",D605&lt;&gt;"Remuneración familiar",D605&lt;&gt;"Nómina y honorarios",D605&lt;&gt;"Renta",D605&lt;&gt;"Marketing",D605&lt;&gt;"Servicios y software",D605&lt;&gt;"Mantenimiento",D605&lt;&gt;"Otros",D605&lt;&gt;"Intereses")),"Tipo o categoría inválido",IF(COUNTA(A605:J605)=0,"",IF(OR(A605="",B605="",C605="",H605=""),"Faltan datos",IF(COUNTIF($A$7:$A$2006,A605)&gt;1,"ID duplicado",IF(OR(B605&lt;DATE(Configuración!$C$5,1,1),B605&gt;=DATE(Configuración!$C$5+1,1,1)),"Fecha fuera del año",IF(OR(H605&lt;0,I605&lt;0),"Revisar signo",IF(AND(C605&lt;&gt;"Gasto",I605&lt;&gt;0),"IVA solo en Gasto",IF(AND(C605="Gasto",D605=""),"Falta categoría","OK")))))))))</f>
        <v/>
      </c>
    </row>
    <row r="606" spans="1:12" ht="22" customHeight="1">
      <c r="A606" s="3"/>
      <c r="B606" s="7"/>
      <c r="C606" s="3"/>
      <c r="D606" s="3"/>
      <c r="E606" s="3"/>
      <c r="F606" s="3"/>
      <c r="G606" s="3"/>
      <c r="H606" s="4"/>
      <c r="I606" s="4"/>
      <c r="J606" s="3"/>
      <c r="K606" s="8" t="str">
        <f t="shared" si="9"/>
        <v/>
      </c>
      <c r="L606" s="1" t="str">
        <f>IF(COUNTA(A606:J606)=0,"",IF(OR(AND(C606&lt;&gt;"Gasto",C606&lt;&gt;"Pago proveedor",C606&lt;&gt;"Retiro familiar",C606&lt;&gt;"Aportación",C606&lt;&gt;"Pago activo",C606&lt;&gt;"ISR devengado",C606&lt;&gt;"Pago ISR",C606&lt;&gt;"Pago IVA",C606&lt;&gt;"Compensación ISR",C606&lt;&gt;"Compensación IVA"),AND(C606="Gasto",D606&lt;&gt;"Costos clínicos",D606&lt;&gt;"Remuneración familiar",D606&lt;&gt;"Nómina y honorarios",D606&lt;&gt;"Renta",D606&lt;&gt;"Marketing",D606&lt;&gt;"Servicios y software",D606&lt;&gt;"Mantenimiento",D606&lt;&gt;"Otros",D606&lt;&gt;"Intereses")),"Tipo o categoría inválido",IF(COUNTA(A606:J606)=0,"",IF(OR(A606="",B606="",C606="",H606=""),"Faltan datos",IF(COUNTIF($A$7:$A$2006,A606)&gt;1,"ID duplicado",IF(OR(B606&lt;DATE(Configuración!$C$5,1,1),B606&gt;=DATE(Configuración!$C$5+1,1,1)),"Fecha fuera del año",IF(OR(H606&lt;0,I606&lt;0),"Revisar signo",IF(AND(C606&lt;&gt;"Gasto",I606&lt;&gt;0),"IVA solo en Gasto",IF(AND(C606="Gasto",D606=""),"Falta categoría","OK")))))))))</f>
        <v/>
      </c>
    </row>
    <row r="607" spans="1:12" ht="22" customHeight="1">
      <c r="A607" s="3"/>
      <c r="B607" s="7"/>
      <c r="C607" s="3"/>
      <c r="D607" s="3"/>
      <c r="E607" s="3"/>
      <c r="F607" s="3"/>
      <c r="G607" s="3"/>
      <c r="H607" s="4"/>
      <c r="I607" s="4"/>
      <c r="J607" s="3"/>
      <c r="K607" s="8" t="str">
        <f t="shared" si="9"/>
        <v/>
      </c>
      <c r="L607" s="1" t="str">
        <f>IF(COUNTA(A607:J607)=0,"",IF(OR(AND(C607&lt;&gt;"Gasto",C607&lt;&gt;"Pago proveedor",C607&lt;&gt;"Retiro familiar",C607&lt;&gt;"Aportación",C607&lt;&gt;"Pago activo",C607&lt;&gt;"ISR devengado",C607&lt;&gt;"Pago ISR",C607&lt;&gt;"Pago IVA",C607&lt;&gt;"Compensación ISR",C607&lt;&gt;"Compensación IVA"),AND(C607="Gasto",D607&lt;&gt;"Costos clínicos",D607&lt;&gt;"Remuneración familiar",D607&lt;&gt;"Nómina y honorarios",D607&lt;&gt;"Renta",D607&lt;&gt;"Marketing",D607&lt;&gt;"Servicios y software",D607&lt;&gt;"Mantenimiento",D607&lt;&gt;"Otros",D607&lt;&gt;"Intereses")),"Tipo o categoría inválido",IF(COUNTA(A607:J607)=0,"",IF(OR(A607="",B607="",C607="",H607=""),"Faltan datos",IF(COUNTIF($A$7:$A$2006,A607)&gt;1,"ID duplicado",IF(OR(B607&lt;DATE(Configuración!$C$5,1,1),B607&gt;=DATE(Configuración!$C$5+1,1,1)),"Fecha fuera del año",IF(OR(H607&lt;0,I607&lt;0),"Revisar signo",IF(AND(C607&lt;&gt;"Gasto",I607&lt;&gt;0),"IVA solo en Gasto",IF(AND(C607="Gasto",D607=""),"Falta categoría","OK")))))))))</f>
        <v/>
      </c>
    </row>
    <row r="608" spans="1:12" ht="22" customHeight="1">
      <c r="A608" s="3"/>
      <c r="B608" s="7"/>
      <c r="C608" s="3"/>
      <c r="D608" s="3"/>
      <c r="E608" s="3"/>
      <c r="F608" s="3"/>
      <c r="G608" s="3"/>
      <c r="H608" s="4"/>
      <c r="I608" s="4"/>
      <c r="J608" s="3"/>
      <c r="K608" s="8" t="str">
        <f t="shared" si="9"/>
        <v/>
      </c>
      <c r="L608" s="1" t="str">
        <f>IF(COUNTA(A608:J608)=0,"",IF(OR(AND(C608&lt;&gt;"Gasto",C608&lt;&gt;"Pago proveedor",C608&lt;&gt;"Retiro familiar",C608&lt;&gt;"Aportación",C608&lt;&gt;"Pago activo",C608&lt;&gt;"ISR devengado",C608&lt;&gt;"Pago ISR",C608&lt;&gt;"Pago IVA",C608&lt;&gt;"Compensación ISR",C608&lt;&gt;"Compensación IVA"),AND(C608="Gasto",D608&lt;&gt;"Costos clínicos",D608&lt;&gt;"Remuneración familiar",D608&lt;&gt;"Nómina y honorarios",D608&lt;&gt;"Renta",D608&lt;&gt;"Marketing",D608&lt;&gt;"Servicios y software",D608&lt;&gt;"Mantenimiento",D608&lt;&gt;"Otros",D608&lt;&gt;"Intereses")),"Tipo o categoría inválido",IF(COUNTA(A608:J608)=0,"",IF(OR(A608="",B608="",C608="",H608=""),"Faltan datos",IF(COUNTIF($A$7:$A$2006,A608)&gt;1,"ID duplicado",IF(OR(B608&lt;DATE(Configuración!$C$5,1,1),B608&gt;=DATE(Configuración!$C$5+1,1,1)),"Fecha fuera del año",IF(OR(H608&lt;0,I608&lt;0),"Revisar signo",IF(AND(C608&lt;&gt;"Gasto",I608&lt;&gt;0),"IVA solo en Gasto",IF(AND(C608="Gasto",D608=""),"Falta categoría","OK")))))))))</f>
        <v/>
      </c>
    </row>
    <row r="609" spans="1:12" ht="22" customHeight="1">
      <c r="A609" s="3"/>
      <c r="B609" s="7"/>
      <c r="C609" s="3"/>
      <c r="D609" s="3"/>
      <c r="E609" s="3"/>
      <c r="F609" s="3"/>
      <c r="G609" s="3"/>
      <c r="H609" s="4"/>
      <c r="I609" s="4"/>
      <c r="J609" s="3"/>
      <c r="K609" s="8" t="str">
        <f t="shared" si="9"/>
        <v/>
      </c>
      <c r="L609" s="1" t="str">
        <f>IF(COUNTA(A609:J609)=0,"",IF(OR(AND(C609&lt;&gt;"Gasto",C609&lt;&gt;"Pago proveedor",C609&lt;&gt;"Retiro familiar",C609&lt;&gt;"Aportación",C609&lt;&gt;"Pago activo",C609&lt;&gt;"ISR devengado",C609&lt;&gt;"Pago ISR",C609&lt;&gt;"Pago IVA",C609&lt;&gt;"Compensación ISR",C609&lt;&gt;"Compensación IVA"),AND(C609="Gasto",D609&lt;&gt;"Costos clínicos",D609&lt;&gt;"Remuneración familiar",D609&lt;&gt;"Nómina y honorarios",D609&lt;&gt;"Renta",D609&lt;&gt;"Marketing",D609&lt;&gt;"Servicios y software",D609&lt;&gt;"Mantenimiento",D609&lt;&gt;"Otros",D609&lt;&gt;"Intereses")),"Tipo o categoría inválido",IF(COUNTA(A609:J609)=0,"",IF(OR(A609="",B609="",C609="",H609=""),"Faltan datos",IF(COUNTIF($A$7:$A$2006,A609)&gt;1,"ID duplicado",IF(OR(B609&lt;DATE(Configuración!$C$5,1,1),B609&gt;=DATE(Configuración!$C$5+1,1,1)),"Fecha fuera del año",IF(OR(H609&lt;0,I609&lt;0),"Revisar signo",IF(AND(C609&lt;&gt;"Gasto",I609&lt;&gt;0),"IVA solo en Gasto",IF(AND(C609="Gasto",D609=""),"Falta categoría","OK")))))))))</f>
        <v/>
      </c>
    </row>
    <row r="610" spans="1:12" ht="22" customHeight="1">
      <c r="A610" s="3"/>
      <c r="B610" s="7"/>
      <c r="C610" s="3"/>
      <c r="D610" s="3"/>
      <c r="E610" s="3"/>
      <c r="F610" s="3"/>
      <c r="G610" s="3"/>
      <c r="H610" s="4"/>
      <c r="I610" s="4"/>
      <c r="J610" s="3"/>
      <c r="K610" s="8" t="str">
        <f t="shared" si="9"/>
        <v/>
      </c>
      <c r="L610" s="1" t="str">
        <f>IF(COUNTA(A610:J610)=0,"",IF(OR(AND(C610&lt;&gt;"Gasto",C610&lt;&gt;"Pago proveedor",C610&lt;&gt;"Retiro familiar",C610&lt;&gt;"Aportación",C610&lt;&gt;"Pago activo",C610&lt;&gt;"ISR devengado",C610&lt;&gt;"Pago ISR",C610&lt;&gt;"Pago IVA",C610&lt;&gt;"Compensación ISR",C610&lt;&gt;"Compensación IVA"),AND(C610="Gasto",D610&lt;&gt;"Costos clínicos",D610&lt;&gt;"Remuneración familiar",D610&lt;&gt;"Nómina y honorarios",D610&lt;&gt;"Renta",D610&lt;&gt;"Marketing",D610&lt;&gt;"Servicios y software",D610&lt;&gt;"Mantenimiento",D610&lt;&gt;"Otros",D610&lt;&gt;"Intereses")),"Tipo o categoría inválido",IF(COUNTA(A610:J610)=0,"",IF(OR(A610="",B610="",C610="",H610=""),"Faltan datos",IF(COUNTIF($A$7:$A$2006,A610)&gt;1,"ID duplicado",IF(OR(B610&lt;DATE(Configuración!$C$5,1,1),B610&gt;=DATE(Configuración!$C$5+1,1,1)),"Fecha fuera del año",IF(OR(H610&lt;0,I610&lt;0),"Revisar signo",IF(AND(C610&lt;&gt;"Gasto",I610&lt;&gt;0),"IVA solo en Gasto",IF(AND(C610="Gasto",D610=""),"Falta categoría","OK")))))))))</f>
        <v/>
      </c>
    </row>
    <row r="611" spans="1:12" ht="22" customHeight="1">
      <c r="A611" s="3"/>
      <c r="B611" s="7"/>
      <c r="C611" s="3"/>
      <c r="D611" s="3"/>
      <c r="E611" s="3"/>
      <c r="F611" s="3"/>
      <c r="G611" s="3"/>
      <c r="H611" s="4"/>
      <c r="I611" s="4"/>
      <c r="J611" s="3"/>
      <c r="K611" s="8" t="str">
        <f t="shared" si="9"/>
        <v/>
      </c>
      <c r="L611" s="1" t="str">
        <f>IF(COUNTA(A611:J611)=0,"",IF(OR(AND(C611&lt;&gt;"Gasto",C611&lt;&gt;"Pago proveedor",C611&lt;&gt;"Retiro familiar",C611&lt;&gt;"Aportación",C611&lt;&gt;"Pago activo",C611&lt;&gt;"ISR devengado",C611&lt;&gt;"Pago ISR",C611&lt;&gt;"Pago IVA",C611&lt;&gt;"Compensación ISR",C611&lt;&gt;"Compensación IVA"),AND(C611="Gasto",D611&lt;&gt;"Costos clínicos",D611&lt;&gt;"Remuneración familiar",D611&lt;&gt;"Nómina y honorarios",D611&lt;&gt;"Renta",D611&lt;&gt;"Marketing",D611&lt;&gt;"Servicios y software",D611&lt;&gt;"Mantenimiento",D611&lt;&gt;"Otros",D611&lt;&gt;"Intereses")),"Tipo o categoría inválido",IF(COUNTA(A611:J611)=0,"",IF(OR(A611="",B611="",C611="",H611=""),"Faltan datos",IF(COUNTIF($A$7:$A$2006,A611)&gt;1,"ID duplicado",IF(OR(B611&lt;DATE(Configuración!$C$5,1,1),B611&gt;=DATE(Configuración!$C$5+1,1,1)),"Fecha fuera del año",IF(OR(H611&lt;0,I611&lt;0),"Revisar signo",IF(AND(C611&lt;&gt;"Gasto",I611&lt;&gt;0),"IVA solo en Gasto",IF(AND(C611="Gasto",D611=""),"Falta categoría","OK")))))))))</f>
        <v/>
      </c>
    </row>
    <row r="612" spans="1:12" ht="22" customHeight="1">
      <c r="A612" s="3"/>
      <c r="B612" s="7"/>
      <c r="C612" s="3"/>
      <c r="D612" s="3"/>
      <c r="E612" s="3"/>
      <c r="F612" s="3"/>
      <c r="G612" s="3"/>
      <c r="H612" s="4"/>
      <c r="I612" s="4"/>
      <c r="J612" s="3"/>
      <c r="K612" s="8" t="str">
        <f t="shared" si="9"/>
        <v/>
      </c>
      <c r="L612" s="1" t="str">
        <f>IF(COUNTA(A612:J612)=0,"",IF(OR(AND(C612&lt;&gt;"Gasto",C612&lt;&gt;"Pago proveedor",C612&lt;&gt;"Retiro familiar",C612&lt;&gt;"Aportación",C612&lt;&gt;"Pago activo",C612&lt;&gt;"ISR devengado",C612&lt;&gt;"Pago ISR",C612&lt;&gt;"Pago IVA",C612&lt;&gt;"Compensación ISR",C612&lt;&gt;"Compensación IVA"),AND(C612="Gasto",D612&lt;&gt;"Costos clínicos",D612&lt;&gt;"Remuneración familiar",D612&lt;&gt;"Nómina y honorarios",D612&lt;&gt;"Renta",D612&lt;&gt;"Marketing",D612&lt;&gt;"Servicios y software",D612&lt;&gt;"Mantenimiento",D612&lt;&gt;"Otros",D612&lt;&gt;"Intereses")),"Tipo o categoría inválido",IF(COUNTA(A612:J612)=0,"",IF(OR(A612="",B612="",C612="",H612=""),"Faltan datos",IF(COUNTIF($A$7:$A$2006,A612)&gt;1,"ID duplicado",IF(OR(B612&lt;DATE(Configuración!$C$5,1,1),B612&gt;=DATE(Configuración!$C$5+1,1,1)),"Fecha fuera del año",IF(OR(H612&lt;0,I612&lt;0),"Revisar signo",IF(AND(C612&lt;&gt;"Gasto",I612&lt;&gt;0),"IVA solo en Gasto",IF(AND(C612="Gasto",D612=""),"Falta categoría","OK")))))))))</f>
        <v/>
      </c>
    </row>
    <row r="613" spans="1:12" ht="22" customHeight="1">
      <c r="A613" s="3"/>
      <c r="B613" s="7"/>
      <c r="C613" s="3"/>
      <c r="D613" s="3"/>
      <c r="E613" s="3"/>
      <c r="F613" s="3"/>
      <c r="G613" s="3"/>
      <c r="H613" s="4"/>
      <c r="I613" s="4"/>
      <c r="J613" s="3"/>
      <c r="K613" s="8" t="str">
        <f t="shared" si="9"/>
        <v/>
      </c>
      <c r="L613" s="1" t="str">
        <f>IF(COUNTA(A613:J613)=0,"",IF(OR(AND(C613&lt;&gt;"Gasto",C613&lt;&gt;"Pago proveedor",C613&lt;&gt;"Retiro familiar",C613&lt;&gt;"Aportación",C613&lt;&gt;"Pago activo",C613&lt;&gt;"ISR devengado",C613&lt;&gt;"Pago ISR",C613&lt;&gt;"Pago IVA",C613&lt;&gt;"Compensación ISR",C613&lt;&gt;"Compensación IVA"),AND(C613="Gasto",D613&lt;&gt;"Costos clínicos",D613&lt;&gt;"Remuneración familiar",D613&lt;&gt;"Nómina y honorarios",D613&lt;&gt;"Renta",D613&lt;&gt;"Marketing",D613&lt;&gt;"Servicios y software",D613&lt;&gt;"Mantenimiento",D613&lt;&gt;"Otros",D613&lt;&gt;"Intereses")),"Tipo o categoría inválido",IF(COUNTA(A613:J613)=0,"",IF(OR(A613="",B613="",C613="",H613=""),"Faltan datos",IF(COUNTIF($A$7:$A$2006,A613)&gt;1,"ID duplicado",IF(OR(B613&lt;DATE(Configuración!$C$5,1,1),B613&gt;=DATE(Configuración!$C$5+1,1,1)),"Fecha fuera del año",IF(OR(H613&lt;0,I613&lt;0),"Revisar signo",IF(AND(C613&lt;&gt;"Gasto",I613&lt;&gt;0),"IVA solo en Gasto",IF(AND(C613="Gasto",D613=""),"Falta categoría","OK")))))))))</f>
        <v/>
      </c>
    </row>
    <row r="614" spans="1:12" ht="22" customHeight="1">
      <c r="A614" s="3"/>
      <c r="B614" s="7"/>
      <c r="C614" s="3"/>
      <c r="D614" s="3"/>
      <c r="E614" s="3"/>
      <c r="F614" s="3"/>
      <c r="G614" s="3"/>
      <c r="H614" s="4"/>
      <c r="I614" s="4"/>
      <c r="J614" s="3"/>
      <c r="K614" s="8" t="str">
        <f t="shared" si="9"/>
        <v/>
      </c>
      <c r="L614" s="1" t="str">
        <f>IF(COUNTA(A614:J614)=0,"",IF(OR(AND(C614&lt;&gt;"Gasto",C614&lt;&gt;"Pago proveedor",C614&lt;&gt;"Retiro familiar",C614&lt;&gt;"Aportación",C614&lt;&gt;"Pago activo",C614&lt;&gt;"ISR devengado",C614&lt;&gt;"Pago ISR",C614&lt;&gt;"Pago IVA",C614&lt;&gt;"Compensación ISR",C614&lt;&gt;"Compensación IVA"),AND(C614="Gasto",D614&lt;&gt;"Costos clínicos",D614&lt;&gt;"Remuneración familiar",D614&lt;&gt;"Nómina y honorarios",D614&lt;&gt;"Renta",D614&lt;&gt;"Marketing",D614&lt;&gt;"Servicios y software",D614&lt;&gt;"Mantenimiento",D614&lt;&gt;"Otros",D614&lt;&gt;"Intereses")),"Tipo o categoría inválido",IF(COUNTA(A614:J614)=0,"",IF(OR(A614="",B614="",C614="",H614=""),"Faltan datos",IF(COUNTIF($A$7:$A$2006,A614)&gt;1,"ID duplicado",IF(OR(B614&lt;DATE(Configuración!$C$5,1,1),B614&gt;=DATE(Configuración!$C$5+1,1,1)),"Fecha fuera del año",IF(OR(H614&lt;0,I614&lt;0),"Revisar signo",IF(AND(C614&lt;&gt;"Gasto",I614&lt;&gt;0),"IVA solo en Gasto",IF(AND(C614="Gasto",D614=""),"Falta categoría","OK")))))))))</f>
        <v/>
      </c>
    </row>
    <row r="615" spans="1:12" ht="22" customHeight="1">
      <c r="A615" s="3"/>
      <c r="B615" s="7"/>
      <c r="C615" s="3"/>
      <c r="D615" s="3"/>
      <c r="E615" s="3"/>
      <c r="F615" s="3"/>
      <c r="G615" s="3"/>
      <c r="H615" s="4"/>
      <c r="I615" s="4"/>
      <c r="J615" s="3"/>
      <c r="K615" s="8" t="str">
        <f t="shared" si="9"/>
        <v/>
      </c>
      <c r="L615" s="1" t="str">
        <f>IF(COUNTA(A615:J615)=0,"",IF(OR(AND(C615&lt;&gt;"Gasto",C615&lt;&gt;"Pago proveedor",C615&lt;&gt;"Retiro familiar",C615&lt;&gt;"Aportación",C615&lt;&gt;"Pago activo",C615&lt;&gt;"ISR devengado",C615&lt;&gt;"Pago ISR",C615&lt;&gt;"Pago IVA",C615&lt;&gt;"Compensación ISR",C615&lt;&gt;"Compensación IVA"),AND(C615="Gasto",D615&lt;&gt;"Costos clínicos",D615&lt;&gt;"Remuneración familiar",D615&lt;&gt;"Nómina y honorarios",D615&lt;&gt;"Renta",D615&lt;&gt;"Marketing",D615&lt;&gt;"Servicios y software",D615&lt;&gt;"Mantenimiento",D615&lt;&gt;"Otros",D615&lt;&gt;"Intereses")),"Tipo o categoría inválido",IF(COUNTA(A615:J615)=0,"",IF(OR(A615="",B615="",C615="",H615=""),"Faltan datos",IF(COUNTIF($A$7:$A$2006,A615)&gt;1,"ID duplicado",IF(OR(B615&lt;DATE(Configuración!$C$5,1,1),B615&gt;=DATE(Configuración!$C$5+1,1,1)),"Fecha fuera del año",IF(OR(H615&lt;0,I615&lt;0),"Revisar signo",IF(AND(C615&lt;&gt;"Gasto",I615&lt;&gt;0),"IVA solo en Gasto",IF(AND(C615="Gasto",D615=""),"Falta categoría","OK")))))))))</f>
        <v/>
      </c>
    </row>
    <row r="616" spans="1:12" ht="22" customHeight="1">
      <c r="A616" s="3"/>
      <c r="B616" s="7"/>
      <c r="C616" s="3"/>
      <c r="D616" s="3"/>
      <c r="E616" s="3"/>
      <c r="F616" s="3"/>
      <c r="G616" s="3"/>
      <c r="H616" s="4"/>
      <c r="I616" s="4"/>
      <c r="J616" s="3"/>
      <c r="K616" s="8" t="str">
        <f t="shared" si="9"/>
        <v/>
      </c>
      <c r="L616" s="1" t="str">
        <f>IF(COUNTA(A616:J616)=0,"",IF(OR(AND(C616&lt;&gt;"Gasto",C616&lt;&gt;"Pago proveedor",C616&lt;&gt;"Retiro familiar",C616&lt;&gt;"Aportación",C616&lt;&gt;"Pago activo",C616&lt;&gt;"ISR devengado",C616&lt;&gt;"Pago ISR",C616&lt;&gt;"Pago IVA",C616&lt;&gt;"Compensación ISR",C616&lt;&gt;"Compensación IVA"),AND(C616="Gasto",D616&lt;&gt;"Costos clínicos",D616&lt;&gt;"Remuneración familiar",D616&lt;&gt;"Nómina y honorarios",D616&lt;&gt;"Renta",D616&lt;&gt;"Marketing",D616&lt;&gt;"Servicios y software",D616&lt;&gt;"Mantenimiento",D616&lt;&gt;"Otros",D616&lt;&gt;"Intereses")),"Tipo o categoría inválido",IF(COUNTA(A616:J616)=0,"",IF(OR(A616="",B616="",C616="",H616=""),"Faltan datos",IF(COUNTIF($A$7:$A$2006,A616)&gt;1,"ID duplicado",IF(OR(B616&lt;DATE(Configuración!$C$5,1,1),B616&gt;=DATE(Configuración!$C$5+1,1,1)),"Fecha fuera del año",IF(OR(H616&lt;0,I616&lt;0),"Revisar signo",IF(AND(C616&lt;&gt;"Gasto",I616&lt;&gt;0),"IVA solo en Gasto",IF(AND(C616="Gasto",D616=""),"Falta categoría","OK")))))))))</f>
        <v/>
      </c>
    </row>
    <row r="617" spans="1:12" ht="22" customHeight="1">
      <c r="A617" s="3"/>
      <c r="B617" s="7"/>
      <c r="C617" s="3"/>
      <c r="D617" s="3"/>
      <c r="E617" s="3"/>
      <c r="F617" s="3"/>
      <c r="G617" s="3"/>
      <c r="H617" s="4"/>
      <c r="I617" s="4"/>
      <c r="J617" s="3"/>
      <c r="K617" s="8" t="str">
        <f t="shared" si="9"/>
        <v/>
      </c>
      <c r="L617" s="1" t="str">
        <f>IF(COUNTA(A617:J617)=0,"",IF(OR(AND(C617&lt;&gt;"Gasto",C617&lt;&gt;"Pago proveedor",C617&lt;&gt;"Retiro familiar",C617&lt;&gt;"Aportación",C617&lt;&gt;"Pago activo",C617&lt;&gt;"ISR devengado",C617&lt;&gt;"Pago ISR",C617&lt;&gt;"Pago IVA",C617&lt;&gt;"Compensación ISR",C617&lt;&gt;"Compensación IVA"),AND(C617="Gasto",D617&lt;&gt;"Costos clínicos",D617&lt;&gt;"Remuneración familiar",D617&lt;&gt;"Nómina y honorarios",D617&lt;&gt;"Renta",D617&lt;&gt;"Marketing",D617&lt;&gt;"Servicios y software",D617&lt;&gt;"Mantenimiento",D617&lt;&gt;"Otros",D617&lt;&gt;"Intereses")),"Tipo o categoría inválido",IF(COUNTA(A617:J617)=0,"",IF(OR(A617="",B617="",C617="",H617=""),"Faltan datos",IF(COUNTIF($A$7:$A$2006,A617)&gt;1,"ID duplicado",IF(OR(B617&lt;DATE(Configuración!$C$5,1,1),B617&gt;=DATE(Configuración!$C$5+1,1,1)),"Fecha fuera del año",IF(OR(H617&lt;0,I617&lt;0),"Revisar signo",IF(AND(C617&lt;&gt;"Gasto",I617&lt;&gt;0),"IVA solo en Gasto",IF(AND(C617="Gasto",D617=""),"Falta categoría","OK")))))))))</f>
        <v/>
      </c>
    </row>
    <row r="618" spans="1:12" ht="22" customHeight="1">
      <c r="A618" s="3"/>
      <c r="B618" s="7"/>
      <c r="C618" s="3"/>
      <c r="D618" s="3"/>
      <c r="E618" s="3"/>
      <c r="F618" s="3"/>
      <c r="G618" s="3"/>
      <c r="H618" s="4"/>
      <c r="I618" s="4"/>
      <c r="J618" s="3"/>
      <c r="K618" s="8" t="str">
        <f t="shared" si="9"/>
        <v/>
      </c>
      <c r="L618" s="1" t="str">
        <f>IF(COUNTA(A618:J618)=0,"",IF(OR(AND(C618&lt;&gt;"Gasto",C618&lt;&gt;"Pago proveedor",C618&lt;&gt;"Retiro familiar",C618&lt;&gt;"Aportación",C618&lt;&gt;"Pago activo",C618&lt;&gt;"ISR devengado",C618&lt;&gt;"Pago ISR",C618&lt;&gt;"Pago IVA",C618&lt;&gt;"Compensación ISR",C618&lt;&gt;"Compensación IVA"),AND(C618="Gasto",D618&lt;&gt;"Costos clínicos",D618&lt;&gt;"Remuneración familiar",D618&lt;&gt;"Nómina y honorarios",D618&lt;&gt;"Renta",D618&lt;&gt;"Marketing",D618&lt;&gt;"Servicios y software",D618&lt;&gt;"Mantenimiento",D618&lt;&gt;"Otros",D618&lt;&gt;"Intereses")),"Tipo o categoría inválido",IF(COUNTA(A618:J618)=0,"",IF(OR(A618="",B618="",C618="",H618=""),"Faltan datos",IF(COUNTIF($A$7:$A$2006,A618)&gt;1,"ID duplicado",IF(OR(B618&lt;DATE(Configuración!$C$5,1,1),B618&gt;=DATE(Configuración!$C$5+1,1,1)),"Fecha fuera del año",IF(OR(H618&lt;0,I618&lt;0),"Revisar signo",IF(AND(C618&lt;&gt;"Gasto",I618&lt;&gt;0),"IVA solo en Gasto",IF(AND(C618="Gasto",D618=""),"Falta categoría","OK")))))))))</f>
        <v/>
      </c>
    </row>
    <row r="619" spans="1:12" ht="22" customHeight="1">
      <c r="A619" s="3"/>
      <c r="B619" s="7"/>
      <c r="C619" s="3"/>
      <c r="D619" s="3"/>
      <c r="E619" s="3"/>
      <c r="F619" s="3"/>
      <c r="G619" s="3"/>
      <c r="H619" s="4"/>
      <c r="I619" s="4"/>
      <c r="J619" s="3"/>
      <c r="K619" s="8" t="str">
        <f t="shared" si="9"/>
        <v/>
      </c>
      <c r="L619" s="1" t="str">
        <f>IF(COUNTA(A619:J619)=0,"",IF(OR(AND(C619&lt;&gt;"Gasto",C619&lt;&gt;"Pago proveedor",C619&lt;&gt;"Retiro familiar",C619&lt;&gt;"Aportación",C619&lt;&gt;"Pago activo",C619&lt;&gt;"ISR devengado",C619&lt;&gt;"Pago ISR",C619&lt;&gt;"Pago IVA",C619&lt;&gt;"Compensación ISR",C619&lt;&gt;"Compensación IVA"),AND(C619="Gasto",D619&lt;&gt;"Costos clínicos",D619&lt;&gt;"Remuneración familiar",D619&lt;&gt;"Nómina y honorarios",D619&lt;&gt;"Renta",D619&lt;&gt;"Marketing",D619&lt;&gt;"Servicios y software",D619&lt;&gt;"Mantenimiento",D619&lt;&gt;"Otros",D619&lt;&gt;"Intereses")),"Tipo o categoría inválido",IF(COUNTA(A619:J619)=0,"",IF(OR(A619="",B619="",C619="",H619=""),"Faltan datos",IF(COUNTIF($A$7:$A$2006,A619)&gt;1,"ID duplicado",IF(OR(B619&lt;DATE(Configuración!$C$5,1,1),B619&gt;=DATE(Configuración!$C$5+1,1,1)),"Fecha fuera del año",IF(OR(H619&lt;0,I619&lt;0),"Revisar signo",IF(AND(C619&lt;&gt;"Gasto",I619&lt;&gt;0),"IVA solo en Gasto",IF(AND(C619="Gasto",D619=""),"Falta categoría","OK")))))))))</f>
        <v/>
      </c>
    </row>
    <row r="620" spans="1:12" ht="22" customHeight="1">
      <c r="A620" s="3"/>
      <c r="B620" s="7"/>
      <c r="C620" s="3"/>
      <c r="D620" s="3"/>
      <c r="E620" s="3"/>
      <c r="F620" s="3"/>
      <c r="G620" s="3"/>
      <c r="H620" s="4"/>
      <c r="I620" s="4"/>
      <c r="J620" s="3"/>
      <c r="K620" s="8" t="str">
        <f t="shared" si="9"/>
        <v/>
      </c>
      <c r="L620" s="1" t="str">
        <f>IF(COUNTA(A620:J620)=0,"",IF(OR(AND(C620&lt;&gt;"Gasto",C620&lt;&gt;"Pago proveedor",C620&lt;&gt;"Retiro familiar",C620&lt;&gt;"Aportación",C620&lt;&gt;"Pago activo",C620&lt;&gt;"ISR devengado",C620&lt;&gt;"Pago ISR",C620&lt;&gt;"Pago IVA",C620&lt;&gt;"Compensación ISR",C620&lt;&gt;"Compensación IVA"),AND(C620="Gasto",D620&lt;&gt;"Costos clínicos",D620&lt;&gt;"Remuneración familiar",D620&lt;&gt;"Nómina y honorarios",D620&lt;&gt;"Renta",D620&lt;&gt;"Marketing",D620&lt;&gt;"Servicios y software",D620&lt;&gt;"Mantenimiento",D620&lt;&gt;"Otros",D620&lt;&gt;"Intereses")),"Tipo o categoría inválido",IF(COUNTA(A620:J620)=0,"",IF(OR(A620="",B620="",C620="",H620=""),"Faltan datos",IF(COUNTIF($A$7:$A$2006,A620)&gt;1,"ID duplicado",IF(OR(B620&lt;DATE(Configuración!$C$5,1,1),B620&gt;=DATE(Configuración!$C$5+1,1,1)),"Fecha fuera del año",IF(OR(H620&lt;0,I620&lt;0),"Revisar signo",IF(AND(C620&lt;&gt;"Gasto",I620&lt;&gt;0),"IVA solo en Gasto",IF(AND(C620="Gasto",D620=""),"Falta categoría","OK")))))))))</f>
        <v/>
      </c>
    </row>
    <row r="621" spans="1:12" ht="22" customHeight="1">
      <c r="A621" s="3"/>
      <c r="B621" s="7"/>
      <c r="C621" s="3"/>
      <c r="D621" s="3"/>
      <c r="E621" s="3"/>
      <c r="F621" s="3"/>
      <c r="G621" s="3"/>
      <c r="H621" s="4"/>
      <c r="I621" s="4"/>
      <c r="J621" s="3"/>
      <c r="K621" s="8" t="str">
        <f t="shared" si="9"/>
        <v/>
      </c>
      <c r="L621" s="1" t="str">
        <f>IF(COUNTA(A621:J621)=0,"",IF(OR(AND(C621&lt;&gt;"Gasto",C621&lt;&gt;"Pago proveedor",C621&lt;&gt;"Retiro familiar",C621&lt;&gt;"Aportación",C621&lt;&gt;"Pago activo",C621&lt;&gt;"ISR devengado",C621&lt;&gt;"Pago ISR",C621&lt;&gt;"Pago IVA",C621&lt;&gt;"Compensación ISR",C621&lt;&gt;"Compensación IVA"),AND(C621="Gasto",D621&lt;&gt;"Costos clínicos",D621&lt;&gt;"Remuneración familiar",D621&lt;&gt;"Nómina y honorarios",D621&lt;&gt;"Renta",D621&lt;&gt;"Marketing",D621&lt;&gt;"Servicios y software",D621&lt;&gt;"Mantenimiento",D621&lt;&gt;"Otros",D621&lt;&gt;"Intereses")),"Tipo o categoría inválido",IF(COUNTA(A621:J621)=0,"",IF(OR(A621="",B621="",C621="",H621=""),"Faltan datos",IF(COUNTIF($A$7:$A$2006,A621)&gt;1,"ID duplicado",IF(OR(B621&lt;DATE(Configuración!$C$5,1,1),B621&gt;=DATE(Configuración!$C$5+1,1,1)),"Fecha fuera del año",IF(OR(H621&lt;0,I621&lt;0),"Revisar signo",IF(AND(C621&lt;&gt;"Gasto",I621&lt;&gt;0),"IVA solo en Gasto",IF(AND(C621="Gasto",D621=""),"Falta categoría","OK")))))))))</f>
        <v/>
      </c>
    </row>
    <row r="622" spans="1:12" ht="22" customHeight="1">
      <c r="A622" s="3"/>
      <c r="B622" s="7"/>
      <c r="C622" s="3"/>
      <c r="D622" s="3"/>
      <c r="E622" s="3"/>
      <c r="F622" s="3"/>
      <c r="G622" s="3"/>
      <c r="H622" s="4"/>
      <c r="I622" s="4"/>
      <c r="J622" s="3"/>
      <c r="K622" s="8" t="str">
        <f t="shared" si="9"/>
        <v/>
      </c>
      <c r="L622" s="1" t="str">
        <f>IF(COUNTA(A622:J622)=0,"",IF(OR(AND(C622&lt;&gt;"Gasto",C622&lt;&gt;"Pago proveedor",C622&lt;&gt;"Retiro familiar",C622&lt;&gt;"Aportación",C622&lt;&gt;"Pago activo",C622&lt;&gt;"ISR devengado",C622&lt;&gt;"Pago ISR",C622&lt;&gt;"Pago IVA",C622&lt;&gt;"Compensación ISR",C622&lt;&gt;"Compensación IVA"),AND(C622="Gasto",D622&lt;&gt;"Costos clínicos",D622&lt;&gt;"Remuneración familiar",D622&lt;&gt;"Nómina y honorarios",D622&lt;&gt;"Renta",D622&lt;&gt;"Marketing",D622&lt;&gt;"Servicios y software",D622&lt;&gt;"Mantenimiento",D622&lt;&gt;"Otros",D622&lt;&gt;"Intereses")),"Tipo o categoría inválido",IF(COUNTA(A622:J622)=0,"",IF(OR(A622="",B622="",C622="",H622=""),"Faltan datos",IF(COUNTIF($A$7:$A$2006,A622)&gt;1,"ID duplicado",IF(OR(B622&lt;DATE(Configuración!$C$5,1,1),B622&gt;=DATE(Configuración!$C$5+1,1,1)),"Fecha fuera del año",IF(OR(H622&lt;0,I622&lt;0),"Revisar signo",IF(AND(C622&lt;&gt;"Gasto",I622&lt;&gt;0),"IVA solo en Gasto",IF(AND(C622="Gasto",D622=""),"Falta categoría","OK")))))))))</f>
        <v/>
      </c>
    </row>
    <row r="623" spans="1:12" ht="22" customHeight="1">
      <c r="A623" s="3"/>
      <c r="B623" s="7"/>
      <c r="C623" s="3"/>
      <c r="D623" s="3"/>
      <c r="E623" s="3"/>
      <c r="F623" s="3"/>
      <c r="G623" s="3"/>
      <c r="H623" s="4"/>
      <c r="I623" s="4"/>
      <c r="J623" s="3"/>
      <c r="K623" s="8" t="str">
        <f t="shared" si="9"/>
        <v/>
      </c>
      <c r="L623" s="1" t="str">
        <f>IF(COUNTA(A623:J623)=0,"",IF(OR(AND(C623&lt;&gt;"Gasto",C623&lt;&gt;"Pago proveedor",C623&lt;&gt;"Retiro familiar",C623&lt;&gt;"Aportación",C623&lt;&gt;"Pago activo",C623&lt;&gt;"ISR devengado",C623&lt;&gt;"Pago ISR",C623&lt;&gt;"Pago IVA",C623&lt;&gt;"Compensación ISR",C623&lt;&gt;"Compensación IVA"),AND(C623="Gasto",D623&lt;&gt;"Costos clínicos",D623&lt;&gt;"Remuneración familiar",D623&lt;&gt;"Nómina y honorarios",D623&lt;&gt;"Renta",D623&lt;&gt;"Marketing",D623&lt;&gt;"Servicios y software",D623&lt;&gt;"Mantenimiento",D623&lt;&gt;"Otros",D623&lt;&gt;"Intereses")),"Tipo o categoría inválido",IF(COUNTA(A623:J623)=0,"",IF(OR(A623="",B623="",C623="",H623=""),"Faltan datos",IF(COUNTIF($A$7:$A$2006,A623)&gt;1,"ID duplicado",IF(OR(B623&lt;DATE(Configuración!$C$5,1,1),B623&gt;=DATE(Configuración!$C$5+1,1,1)),"Fecha fuera del año",IF(OR(H623&lt;0,I623&lt;0),"Revisar signo",IF(AND(C623&lt;&gt;"Gasto",I623&lt;&gt;0),"IVA solo en Gasto",IF(AND(C623="Gasto",D623=""),"Falta categoría","OK")))))))))</f>
        <v/>
      </c>
    </row>
    <row r="624" spans="1:12" ht="22" customHeight="1">
      <c r="A624" s="3"/>
      <c r="B624" s="7"/>
      <c r="C624" s="3"/>
      <c r="D624" s="3"/>
      <c r="E624" s="3"/>
      <c r="F624" s="3"/>
      <c r="G624" s="3"/>
      <c r="H624" s="4"/>
      <c r="I624" s="4"/>
      <c r="J624" s="3"/>
      <c r="K624" s="8" t="str">
        <f t="shared" si="9"/>
        <v/>
      </c>
      <c r="L624" s="1" t="str">
        <f>IF(COUNTA(A624:J624)=0,"",IF(OR(AND(C624&lt;&gt;"Gasto",C624&lt;&gt;"Pago proveedor",C624&lt;&gt;"Retiro familiar",C624&lt;&gt;"Aportación",C624&lt;&gt;"Pago activo",C624&lt;&gt;"ISR devengado",C624&lt;&gt;"Pago ISR",C624&lt;&gt;"Pago IVA",C624&lt;&gt;"Compensación ISR",C624&lt;&gt;"Compensación IVA"),AND(C624="Gasto",D624&lt;&gt;"Costos clínicos",D624&lt;&gt;"Remuneración familiar",D624&lt;&gt;"Nómina y honorarios",D624&lt;&gt;"Renta",D624&lt;&gt;"Marketing",D624&lt;&gt;"Servicios y software",D624&lt;&gt;"Mantenimiento",D624&lt;&gt;"Otros",D624&lt;&gt;"Intereses")),"Tipo o categoría inválido",IF(COUNTA(A624:J624)=0,"",IF(OR(A624="",B624="",C624="",H624=""),"Faltan datos",IF(COUNTIF($A$7:$A$2006,A624)&gt;1,"ID duplicado",IF(OR(B624&lt;DATE(Configuración!$C$5,1,1),B624&gt;=DATE(Configuración!$C$5+1,1,1)),"Fecha fuera del año",IF(OR(H624&lt;0,I624&lt;0),"Revisar signo",IF(AND(C624&lt;&gt;"Gasto",I624&lt;&gt;0),"IVA solo en Gasto",IF(AND(C624="Gasto",D624=""),"Falta categoría","OK")))))))))</f>
        <v/>
      </c>
    </row>
    <row r="625" spans="1:12" ht="22" customHeight="1">
      <c r="A625" s="3"/>
      <c r="B625" s="7"/>
      <c r="C625" s="3"/>
      <c r="D625" s="3"/>
      <c r="E625" s="3"/>
      <c r="F625" s="3"/>
      <c r="G625" s="3"/>
      <c r="H625" s="4"/>
      <c r="I625" s="4"/>
      <c r="J625" s="3"/>
      <c r="K625" s="8" t="str">
        <f t="shared" si="9"/>
        <v/>
      </c>
      <c r="L625" s="1" t="str">
        <f>IF(COUNTA(A625:J625)=0,"",IF(OR(AND(C625&lt;&gt;"Gasto",C625&lt;&gt;"Pago proveedor",C625&lt;&gt;"Retiro familiar",C625&lt;&gt;"Aportación",C625&lt;&gt;"Pago activo",C625&lt;&gt;"ISR devengado",C625&lt;&gt;"Pago ISR",C625&lt;&gt;"Pago IVA",C625&lt;&gt;"Compensación ISR",C625&lt;&gt;"Compensación IVA"),AND(C625="Gasto",D625&lt;&gt;"Costos clínicos",D625&lt;&gt;"Remuneración familiar",D625&lt;&gt;"Nómina y honorarios",D625&lt;&gt;"Renta",D625&lt;&gt;"Marketing",D625&lt;&gt;"Servicios y software",D625&lt;&gt;"Mantenimiento",D625&lt;&gt;"Otros",D625&lt;&gt;"Intereses")),"Tipo o categoría inválido",IF(COUNTA(A625:J625)=0,"",IF(OR(A625="",B625="",C625="",H625=""),"Faltan datos",IF(COUNTIF($A$7:$A$2006,A625)&gt;1,"ID duplicado",IF(OR(B625&lt;DATE(Configuración!$C$5,1,1),B625&gt;=DATE(Configuración!$C$5+1,1,1)),"Fecha fuera del año",IF(OR(H625&lt;0,I625&lt;0),"Revisar signo",IF(AND(C625&lt;&gt;"Gasto",I625&lt;&gt;0),"IVA solo en Gasto",IF(AND(C625="Gasto",D625=""),"Falta categoría","OK")))))))))</f>
        <v/>
      </c>
    </row>
    <row r="626" spans="1:12" ht="22" customHeight="1">
      <c r="A626" s="3"/>
      <c r="B626" s="7"/>
      <c r="C626" s="3"/>
      <c r="D626" s="3"/>
      <c r="E626" s="3"/>
      <c r="F626" s="3"/>
      <c r="G626" s="3"/>
      <c r="H626" s="4"/>
      <c r="I626" s="4"/>
      <c r="J626" s="3"/>
      <c r="K626" s="8" t="str">
        <f t="shared" si="9"/>
        <v/>
      </c>
      <c r="L626" s="1" t="str">
        <f>IF(COUNTA(A626:J626)=0,"",IF(OR(AND(C626&lt;&gt;"Gasto",C626&lt;&gt;"Pago proveedor",C626&lt;&gt;"Retiro familiar",C626&lt;&gt;"Aportación",C626&lt;&gt;"Pago activo",C626&lt;&gt;"ISR devengado",C626&lt;&gt;"Pago ISR",C626&lt;&gt;"Pago IVA",C626&lt;&gt;"Compensación ISR",C626&lt;&gt;"Compensación IVA"),AND(C626="Gasto",D626&lt;&gt;"Costos clínicos",D626&lt;&gt;"Remuneración familiar",D626&lt;&gt;"Nómina y honorarios",D626&lt;&gt;"Renta",D626&lt;&gt;"Marketing",D626&lt;&gt;"Servicios y software",D626&lt;&gt;"Mantenimiento",D626&lt;&gt;"Otros",D626&lt;&gt;"Intereses")),"Tipo o categoría inválido",IF(COUNTA(A626:J626)=0,"",IF(OR(A626="",B626="",C626="",H626=""),"Faltan datos",IF(COUNTIF($A$7:$A$2006,A626)&gt;1,"ID duplicado",IF(OR(B626&lt;DATE(Configuración!$C$5,1,1),B626&gt;=DATE(Configuración!$C$5+1,1,1)),"Fecha fuera del año",IF(OR(H626&lt;0,I626&lt;0),"Revisar signo",IF(AND(C626&lt;&gt;"Gasto",I626&lt;&gt;0),"IVA solo en Gasto",IF(AND(C626="Gasto",D626=""),"Falta categoría","OK")))))))))</f>
        <v/>
      </c>
    </row>
    <row r="627" spans="1:12" ht="22" customHeight="1">
      <c r="A627" s="3"/>
      <c r="B627" s="7"/>
      <c r="C627" s="3"/>
      <c r="D627" s="3"/>
      <c r="E627" s="3"/>
      <c r="F627" s="3"/>
      <c r="G627" s="3"/>
      <c r="H627" s="4"/>
      <c r="I627" s="4"/>
      <c r="J627" s="3"/>
      <c r="K627" s="8" t="str">
        <f t="shared" si="9"/>
        <v/>
      </c>
      <c r="L627" s="1" t="str">
        <f>IF(COUNTA(A627:J627)=0,"",IF(OR(AND(C627&lt;&gt;"Gasto",C627&lt;&gt;"Pago proveedor",C627&lt;&gt;"Retiro familiar",C627&lt;&gt;"Aportación",C627&lt;&gt;"Pago activo",C627&lt;&gt;"ISR devengado",C627&lt;&gt;"Pago ISR",C627&lt;&gt;"Pago IVA",C627&lt;&gt;"Compensación ISR",C627&lt;&gt;"Compensación IVA"),AND(C627="Gasto",D627&lt;&gt;"Costos clínicos",D627&lt;&gt;"Remuneración familiar",D627&lt;&gt;"Nómina y honorarios",D627&lt;&gt;"Renta",D627&lt;&gt;"Marketing",D627&lt;&gt;"Servicios y software",D627&lt;&gt;"Mantenimiento",D627&lt;&gt;"Otros",D627&lt;&gt;"Intereses")),"Tipo o categoría inválido",IF(COUNTA(A627:J627)=0,"",IF(OR(A627="",B627="",C627="",H627=""),"Faltan datos",IF(COUNTIF($A$7:$A$2006,A627)&gt;1,"ID duplicado",IF(OR(B627&lt;DATE(Configuración!$C$5,1,1),B627&gt;=DATE(Configuración!$C$5+1,1,1)),"Fecha fuera del año",IF(OR(H627&lt;0,I627&lt;0),"Revisar signo",IF(AND(C627&lt;&gt;"Gasto",I627&lt;&gt;0),"IVA solo en Gasto",IF(AND(C627="Gasto",D627=""),"Falta categoría","OK")))))))))</f>
        <v/>
      </c>
    </row>
    <row r="628" spans="1:12" ht="22" customHeight="1">
      <c r="A628" s="3"/>
      <c r="B628" s="7"/>
      <c r="C628" s="3"/>
      <c r="D628" s="3"/>
      <c r="E628" s="3"/>
      <c r="F628" s="3"/>
      <c r="G628" s="3"/>
      <c r="H628" s="4"/>
      <c r="I628" s="4"/>
      <c r="J628" s="3"/>
      <c r="K628" s="8" t="str">
        <f t="shared" si="9"/>
        <v/>
      </c>
      <c r="L628" s="1" t="str">
        <f>IF(COUNTA(A628:J628)=0,"",IF(OR(AND(C628&lt;&gt;"Gasto",C628&lt;&gt;"Pago proveedor",C628&lt;&gt;"Retiro familiar",C628&lt;&gt;"Aportación",C628&lt;&gt;"Pago activo",C628&lt;&gt;"ISR devengado",C628&lt;&gt;"Pago ISR",C628&lt;&gt;"Pago IVA",C628&lt;&gt;"Compensación ISR",C628&lt;&gt;"Compensación IVA"),AND(C628="Gasto",D628&lt;&gt;"Costos clínicos",D628&lt;&gt;"Remuneración familiar",D628&lt;&gt;"Nómina y honorarios",D628&lt;&gt;"Renta",D628&lt;&gt;"Marketing",D628&lt;&gt;"Servicios y software",D628&lt;&gt;"Mantenimiento",D628&lt;&gt;"Otros",D628&lt;&gt;"Intereses")),"Tipo o categoría inválido",IF(COUNTA(A628:J628)=0,"",IF(OR(A628="",B628="",C628="",H628=""),"Faltan datos",IF(COUNTIF($A$7:$A$2006,A628)&gt;1,"ID duplicado",IF(OR(B628&lt;DATE(Configuración!$C$5,1,1),B628&gt;=DATE(Configuración!$C$5+1,1,1)),"Fecha fuera del año",IF(OR(H628&lt;0,I628&lt;0),"Revisar signo",IF(AND(C628&lt;&gt;"Gasto",I628&lt;&gt;0),"IVA solo en Gasto",IF(AND(C628="Gasto",D628=""),"Falta categoría","OK")))))))))</f>
        <v/>
      </c>
    </row>
    <row r="629" spans="1:12" ht="22" customHeight="1">
      <c r="A629" s="3"/>
      <c r="B629" s="7"/>
      <c r="C629" s="3"/>
      <c r="D629" s="3"/>
      <c r="E629" s="3"/>
      <c r="F629" s="3"/>
      <c r="G629" s="3"/>
      <c r="H629" s="4"/>
      <c r="I629" s="4"/>
      <c r="J629" s="3"/>
      <c r="K629" s="8" t="str">
        <f t="shared" si="9"/>
        <v/>
      </c>
      <c r="L629" s="1" t="str">
        <f>IF(COUNTA(A629:J629)=0,"",IF(OR(AND(C629&lt;&gt;"Gasto",C629&lt;&gt;"Pago proveedor",C629&lt;&gt;"Retiro familiar",C629&lt;&gt;"Aportación",C629&lt;&gt;"Pago activo",C629&lt;&gt;"ISR devengado",C629&lt;&gt;"Pago ISR",C629&lt;&gt;"Pago IVA",C629&lt;&gt;"Compensación ISR",C629&lt;&gt;"Compensación IVA"),AND(C629="Gasto",D629&lt;&gt;"Costos clínicos",D629&lt;&gt;"Remuneración familiar",D629&lt;&gt;"Nómina y honorarios",D629&lt;&gt;"Renta",D629&lt;&gt;"Marketing",D629&lt;&gt;"Servicios y software",D629&lt;&gt;"Mantenimiento",D629&lt;&gt;"Otros",D629&lt;&gt;"Intereses")),"Tipo o categoría inválido",IF(COUNTA(A629:J629)=0,"",IF(OR(A629="",B629="",C629="",H629=""),"Faltan datos",IF(COUNTIF($A$7:$A$2006,A629)&gt;1,"ID duplicado",IF(OR(B629&lt;DATE(Configuración!$C$5,1,1),B629&gt;=DATE(Configuración!$C$5+1,1,1)),"Fecha fuera del año",IF(OR(H629&lt;0,I629&lt;0),"Revisar signo",IF(AND(C629&lt;&gt;"Gasto",I629&lt;&gt;0),"IVA solo en Gasto",IF(AND(C629="Gasto",D629=""),"Falta categoría","OK")))))))))</f>
        <v/>
      </c>
    </row>
    <row r="630" spans="1:12" ht="22" customHeight="1">
      <c r="A630" s="3"/>
      <c r="B630" s="7"/>
      <c r="C630" s="3"/>
      <c r="D630" s="3"/>
      <c r="E630" s="3"/>
      <c r="F630" s="3"/>
      <c r="G630" s="3"/>
      <c r="H630" s="4"/>
      <c r="I630" s="4"/>
      <c r="J630" s="3"/>
      <c r="K630" s="8" t="str">
        <f t="shared" si="9"/>
        <v/>
      </c>
      <c r="L630" s="1" t="str">
        <f>IF(COUNTA(A630:J630)=0,"",IF(OR(AND(C630&lt;&gt;"Gasto",C630&lt;&gt;"Pago proveedor",C630&lt;&gt;"Retiro familiar",C630&lt;&gt;"Aportación",C630&lt;&gt;"Pago activo",C630&lt;&gt;"ISR devengado",C630&lt;&gt;"Pago ISR",C630&lt;&gt;"Pago IVA",C630&lt;&gt;"Compensación ISR",C630&lt;&gt;"Compensación IVA"),AND(C630="Gasto",D630&lt;&gt;"Costos clínicos",D630&lt;&gt;"Remuneración familiar",D630&lt;&gt;"Nómina y honorarios",D630&lt;&gt;"Renta",D630&lt;&gt;"Marketing",D630&lt;&gt;"Servicios y software",D630&lt;&gt;"Mantenimiento",D630&lt;&gt;"Otros",D630&lt;&gt;"Intereses")),"Tipo o categoría inválido",IF(COUNTA(A630:J630)=0,"",IF(OR(A630="",B630="",C630="",H630=""),"Faltan datos",IF(COUNTIF($A$7:$A$2006,A630)&gt;1,"ID duplicado",IF(OR(B630&lt;DATE(Configuración!$C$5,1,1),B630&gt;=DATE(Configuración!$C$5+1,1,1)),"Fecha fuera del año",IF(OR(H630&lt;0,I630&lt;0),"Revisar signo",IF(AND(C630&lt;&gt;"Gasto",I630&lt;&gt;0),"IVA solo en Gasto",IF(AND(C630="Gasto",D630=""),"Falta categoría","OK")))))))))</f>
        <v/>
      </c>
    </row>
    <row r="631" spans="1:12" ht="22" customHeight="1">
      <c r="A631" s="3"/>
      <c r="B631" s="7"/>
      <c r="C631" s="3"/>
      <c r="D631" s="3"/>
      <c r="E631" s="3"/>
      <c r="F631" s="3"/>
      <c r="G631" s="3"/>
      <c r="H631" s="4"/>
      <c r="I631" s="4"/>
      <c r="J631" s="3"/>
      <c r="K631" s="8" t="str">
        <f t="shared" si="9"/>
        <v/>
      </c>
      <c r="L631" s="1" t="str">
        <f>IF(COUNTA(A631:J631)=0,"",IF(OR(AND(C631&lt;&gt;"Gasto",C631&lt;&gt;"Pago proveedor",C631&lt;&gt;"Retiro familiar",C631&lt;&gt;"Aportación",C631&lt;&gt;"Pago activo",C631&lt;&gt;"ISR devengado",C631&lt;&gt;"Pago ISR",C631&lt;&gt;"Pago IVA",C631&lt;&gt;"Compensación ISR",C631&lt;&gt;"Compensación IVA"),AND(C631="Gasto",D631&lt;&gt;"Costos clínicos",D631&lt;&gt;"Remuneración familiar",D631&lt;&gt;"Nómina y honorarios",D631&lt;&gt;"Renta",D631&lt;&gt;"Marketing",D631&lt;&gt;"Servicios y software",D631&lt;&gt;"Mantenimiento",D631&lt;&gt;"Otros",D631&lt;&gt;"Intereses")),"Tipo o categoría inválido",IF(COUNTA(A631:J631)=0,"",IF(OR(A631="",B631="",C631="",H631=""),"Faltan datos",IF(COUNTIF($A$7:$A$2006,A631)&gt;1,"ID duplicado",IF(OR(B631&lt;DATE(Configuración!$C$5,1,1),B631&gt;=DATE(Configuración!$C$5+1,1,1)),"Fecha fuera del año",IF(OR(H631&lt;0,I631&lt;0),"Revisar signo",IF(AND(C631&lt;&gt;"Gasto",I631&lt;&gt;0),"IVA solo en Gasto",IF(AND(C631="Gasto",D631=""),"Falta categoría","OK")))))))))</f>
        <v/>
      </c>
    </row>
    <row r="632" spans="1:12" ht="22" customHeight="1">
      <c r="A632" s="3"/>
      <c r="B632" s="7"/>
      <c r="C632" s="3"/>
      <c r="D632" s="3"/>
      <c r="E632" s="3"/>
      <c r="F632" s="3"/>
      <c r="G632" s="3"/>
      <c r="H632" s="4"/>
      <c r="I632" s="4"/>
      <c r="J632" s="3"/>
      <c r="K632" s="8" t="str">
        <f t="shared" si="9"/>
        <v/>
      </c>
      <c r="L632" s="1" t="str">
        <f>IF(COUNTA(A632:J632)=0,"",IF(OR(AND(C632&lt;&gt;"Gasto",C632&lt;&gt;"Pago proveedor",C632&lt;&gt;"Retiro familiar",C632&lt;&gt;"Aportación",C632&lt;&gt;"Pago activo",C632&lt;&gt;"ISR devengado",C632&lt;&gt;"Pago ISR",C632&lt;&gt;"Pago IVA",C632&lt;&gt;"Compensación ISR",C632&lt;&gt;"Compensación IVA"),AND(C632="Gasto",D632&lt;&gt;"Costos clínicos",D632&lt;&gt;"Remuneración familiar",D632&lt;&gt;"Nómina y honorarios",D632&lt;&gt;"Renta",D632&lt;&gt;"Marketing",D632&lt;&gt;"Servicios y software",D632&lt;&gt;"Mantenimiento",D632&lt;&gt;"Otros",D632&lt;&gt;"Intereses")),"Tipo o categoría inválido",IF(COUNTA(A632:J632)=0,"",IF(OR(A632="",B632="",C632="",H632=""),"Faltan datos",IF(COUNTIF($A$7:$A$2006,A632)&gt;1,"ID duplicado",IF(OR(B632&lt;DATE(Configuración!$C$5,1,1),B632&gt;=DATE(Configuración!$C$5+1,1,1)),"Fecha fuera del año",IF(OR(H632&lt;0,I632&lt;0),"Revisar signo",IF(AND(C632&lt;&gt;"Gasto",I632&lt;&gt;0),"IVA solo en Gasto",IF(AND(C632="Gasto",D632=""),"Falta categoría","OK")))))))))</f>
        <v/>
      </c>
    </row>
    <row r="633" spans="1:12" ht="22" customHeight="1">
      <c r="A633" s="3"/>
      <c r="B633" s="7"/>
      <c r="C633" s="3"/>
      <c r="D633" s="3"/>
      <c r="E633" s="3"/>
      <c r="F633" s="3"/>
      <c r="G633" s="3"/>
      <c r="H633" s="4"/>
      <c r="I633" s="4"/>
      <c r="J633" s="3"/>
      <c r="K633" s="8" t="str">
        <f t="shared" si="9"/>
        <v/>
      </c>
      <c r="L633" s="1" t="str">
        <f>IF(COUNTA(A633:J633)=0,"",IF(OR(AND(C633&lt;&gt;"Gasto",C633&lt;&gt;"Pago proveedor",C633&lt;&gt;"Retiro familiar",C633&lt;&gt;"Aportación",C633&lt;&gt;"Pago activo",C633&lt;&gt;"ISR devengado",C633&lt;&gt;"Pago ISR",C633&lt;&gt;"Pago IVA",C633&lt;&gt;"Compensación ISR",C633&lt;&gt;"Compensación IVA"),AND(C633="Gasto",D633&lt;&gt;"Costos clínicos",D633&lt;&gt;"Remuneración familiar",D633&lt;&gt;"Nómina y honorarios",D633&lt;&gt;"Renta",D633&lt;&gt;"Marketing",D633&lt;&gt;"Servicios y software",D633&lt;&gt;"Mantenimiento",D633&lt;&gt;"Otros",D633&lt;&gt;"Intereses")),"Tipo o categoría inválido",IF(COUNTA(A633:J633)=0,"",IF(OR(A633="",B633="",C633="",H633=""),"Faltan datos",IF(COUNTIF($A$7:$A$2006,A633)&gt;1,"ID duplicado",IF(OR(B633&lt;DATE(Configuración!$C$5,1,1),B633&gt;=DATE(Configuración!$C$5+1,1,1)),"Fecha fuera del año",IF(OR(H633&lt;0,I633&lt;0),"Revisar signo",IF(AND(C633&lt;&gt;"Gasto",I633&lt;&gt;0),"IVA solo en Gasto",IF(AND(C633="Gasto",D633=""),"Falta categoría","OK")))))))))</f>
        <v/>
      </c>
    </row>
    <row r="634" spans="1:12" ht="22" customHeight="1">
      <c r="A634" s="3"/>
      <c r="B634" s="7"/>
      <c r="C634" s="3"/>
      <c r="D634" s="3"/>
      <c r="E634" s="3"/>
      <c r="F634" s="3"/>
      <c r="G634" s="3"/>
      <c r="H634" s="4"/>
      <c r="I634" s="4"/>
      <c r="J634" s="3"/>
      <c r="K634" s="8" t="str">
        <f t="shared" si="9"/>
        <v/>
      </c>
      <c r="L634" s="1" t="str">
        <f>IF(COUNTA(A634:J634)=0,"",IF(OR(AND(C634&lt;&gt;"Gasto",C634&lt;&gt;"Pago proveedor",C634&lt;&gt;"Retiro familiar",C634&lt;&gt;"Aportación",C634&lt;&gt;"Pago activo",C634&lt;&gt;"ISR devengado",C634&lt;&gt;"Pago ISR",C634&lt;&gt;"Pago IVA",C634&lt;&gt;"Compensación ISR",C634&lt;&gt;"Compensación IVA"),AND(C634="Gasto",D634&lt;&gt;"Costos clínicos",D634&lt;&gt;"Remuneración familiar",D634&lt;&gt;"Nómina y honorarios",D634&lt;&gt;"Renta",D634&lt;&gt;"Marketing",D634&lt;&gt;"Servicios y software",D634&lt;&gt;"Mantenimiento",D634&lt;&gt;"Otros",D634&lt;&gt;"Intereses")),"Tipo o categoría inválido",IF(COUNTA(A634:J634)=0,"",IF(OR(A634="",B634="",C634="",H634=""),"Faltan datos",IF(COUNTIF($A$7:$A$2006,A634)&gt;1,"ID duplicado",IF(OR(B634&lt;DATE(Configuración!$C$5,1,1),B634&gt;=DATE(Configuración!$C$5+1,1,1)),"Fecha fuera del año",IF(OR(H634&lt;0,I634&lt;0),"Revisar signo",IF(AND(C634&lt;&gt;"Gasto",I634&lt;&gt;0),"IVA solo en Gasto",IF(AND(C634="Gasto",D634=""),"Falta categoría","OK")))))))))</f>
        <v/>
      </c>
    </row>
    <row r="635" spans="1:12" ht="22" customHeight="1">
      <c r="A635" s="3"/>
      <c r="B635" s="7"/>
      <c r="C635" s="3"/>
      <c r="D635" s="3"/>
      <c r="E635" s="3"/>
      <c r="F635" s="3"/>
      <c r="G635" s="3"/>
      <c r="H635" s="4"/>
      <c r="I635" s="4"/>
      <c r="J635" s="3"/>
      <c r="K635" s="8" t="str">
        <f t="shared" si="9"/>
        <v/>
      </c>
      <c r="L635" s="1" t="str">
        <f>IF(COUNTA(A635:J635)=0,"",IF(OR(AND(C635&lt;&gt;"Gasto",C635&lt;&gt;"Pago proveedor",C635&lt;&gt;"Retiro familiar",C635&lt;&gt;"Aportación",C635&lt;&gt;"Pago activo",C635&lt;&gt;"ISR devengado",C635&lt;&gt;"Pago ISR",C635&lt;&gt;"Pago IVA",C635&lt;&gt;"Compensación ISR",C635&lt;&gt;"Compensación IVA"),AND(C635="Gasto",D635&lt;&gt;"Costos clínicos",D635&lt;&gt;"Remuneración familiar",D635&lt;&gt;"Nómina y honorarios",D635&lt;&gt;"Renta",D635&lt;&gt;"Marketing",D635&lt;&gt;"Servicios y software",D635&lt;&gt;"Mantenimiento",D635&lt;&gt;"Otros",D635&lt;&gt;"Intereses")),"Tipo o categoría inválido",IF(COUNTA(A635:J635)=0,"",IF(OR(A635="",B635="",C635="",H635=""),"Faltan datos",IF(COUNTIF($A$7:$A$2006,A635)&gt;1,"ID duplicado",IF(OR(B635&lt;DATE(Configuración!$C$5,1,1),B635&gt;=DATE(Configuración!$C$5+1,1,1)),"Fecha fuera del año",IF(OR(H635&lt;0,I635&lt;0),"Revisar signo",IF(AND(C635&lt;&gt;"Gasto",I635&lt;&gt;0),"IVA solo en Gasto",IF(AND(C635="Gasto",D635=""),"Falta categoría","OK")))))))))</f>
        <v/>
      </c>
    </row>
    <row r="636" spans="1:12" ht="22" customHeight="1">
      <c r="A636" s="3"/>
      <c r="B636" s="7"/>
      <c r="C636" s="3"/>
      <c r="D636" s="3"/>
      <c r="E636" s="3"/>
      <c r="F636" s="3"/>
      <c r="G636" s="3"/>
      <c r="H636" s="4"/>
      <c r="I636" s="4"/>
      <c r="J636" s="3"/>
      <c r="K636" s="8" t="str">
        <f t="shared" si="9"/>
        <v/>
      </c>
      <c r="L636" s="1" t="str">
        <f>IF(COUNTA(A636:J636)=0,"",IF(OR(AND(C636&lt;&gt;"Gasto",C636&lt;&gt;"Pago proveedor",C636&lt;&gt;"Retiro familiar",C636&lt;&gt;"Aportación",C636&lt;&gt;"Pago activo",C636&lt;&gt;"ISR devengado",C636&lt;&gt;"Pago ISR",C636&lt;&gt;"Pago IVA",C636&lt;&gt;"Compensación ISR",C636&lt;&gt;"Compensación IVA"),AND(C636="Gasto",D636&lt;&gt;"Costos clínicos",D636&lt;&gt;"Remuneración familiar",D636&lt;&gt;"Nómina y honorarios",D636&lt;&gt;"Renta",D636&lt;&gt;"Marketing",D636&lt;&gt;"Servicios y software",D636&lt;&gt;"Mantenimiento",D636&lt;&gt;"Otros",D636&lt;&gt;"Intereses")),"Tipo o categoría inválido",IF(COUNTA(A636:J636)=0,"",IF(OR(A636="",B636="",C636="",H636=""),"Faltan datos",IF(COUNTIF($A$7:$A$2006,A636)&gt;1,"ID duplicado",IF(OR(B636&lt;DATE(Configuración!$C$5,1,1),B636&gt;=DATE(Configuración!$C$5+1,1,1)),"Fecha fuera del año",IF(OR(H636&lt;0,I636&lt;0),"Revisar signo",IF(AND(C636&lt;&gt;"Gasto",I636&lt;&gt;0),"IVA solo en Gasto",IF(AND(C636="Gasto",D636=""),"Falta categoría","OK")))))))))</f>
        <v/>
      </c>
    </row>
    <row r="637" spans="1:12" ht="22" customHeight="1">
      <c r="A637" s="3"/>
      <c r="B637" s="7"/>
      <c r="C637" s="3"/>
      <c r="D637" s="3"/>
      <c r="E637" s="3"/>
      <c r="F637" s="3"/>
      <c r="G637" s="3"/>
      <c r="H637" s="4"/>
      <c r="I637" s="4"/>
      <c r="J637" s="3"/>
      <c r="K637" s="8" t="str">
        <f t="shared" si="9"/>
        <v/>
      </c>
      <c r="L637" s="1" t="str">
        <f>IF(COUNTA(A637:J637)=0,"",IF(OR(AND(C637&lt;&gt;"Gasto",C637&lt;&gt;"Pago proveedor",C637&lt;&gt;"Retiro familiar",C637&lt;&gt;"Aportación",C637&lt;&gt;"Pago activo",C637&lt;&gt;"ISR devengado",C637&lt;&gt;"Pago ISR",C637&lt;&gt;"Pago IVA",C637&lt;&gt;"Compensación ISR",C637&lt;&gt;"Compensación IVA"),AND(C637="Gasto",D637&lt;&gt;"Costos clínicos",D637&lt;&gt;"Remuneración familiar",D637&lt;&gt;"Nómina y honorarios",D637&lt;&gt;"Renta",D637&lt;&gt;"Marketing",D637&lt;&gt;"Servicios y software",D637&lt;&gt;"Mantenimiento",D637&lt;&gt;"Otros",D637&lt;&gt;"Intereses")),"Tipo o categoría inválido",IF(COUNTA(A637:J637)=0,"",IF(OR(A637="",B637="",C637="",H637=""),"Faltan datos",IF(COUNTIF($A$7:$A$2006,A637)&gt;1,"ID duplicado",IF(OR(B637&lt;DATE(Configuración!$C$5,1,1),B637&gt;=DATE(Configuración!$C$5+1,1,1)),"Fecha fuera del año",IF(OR(H637&lt;0,I637&lt;0),"Revisar signo",IF(AND(C637&lt;&gt;"Gasto",I637&lt;&gt;0),"IVA solo en Gasto",IF(AND(C637="Gasto",D637=""),"Falta categoría","OK")))))))))</f>
        <v/>
      </c>
    </row>
    <row r="638" spans="1:12" ht="22" customHeight="1">
      <c r="A638" s="3"/>
      <c r="B638" s="7"/>
      <c r="C638" s="3"/>
      <c r="D638" s="3"/>
      <c r="E638" s="3"/>
      <c r="F638" s="3"/>
      <c r="G638" s="3"/>
      <c r="H638" s="4"/>
      <c r="I638" s="4"/>
      <c r="J638" s="3"/>
      <c r="K638" s="8" t="str">
        <f t="shared" si="9"/>
        <v/>
      </c>
      <c r="L638" s="1" t="str">
        <f>IF(COUNTA(A638:J638)=0,"",IF(OR(AND(C638&lt;&gt;"Gasto",C638&lt;&gt;"Pago proveedor",C638&lt;&gt;"Retiro familiar",C638&lt;&gt;"Aportación",C638&lt;&gt;"Pago activo",C638&lt;&gt;"ISR devengado",C638&lt;&gt;"Pago ISR",C638&lt;&gt;"Pago IVA",C638&lt;&gt;"Compensación ISR",C638&lt;&gt;"Compensación IVA"),AND(C638="Gasto",D638&lt;&gt;"Costos clínicos",D638&lt;&gt;"Remuneración familiar",D638&lt;&gt;"Nómina y honorarios",D638&lt;&gt;"Renta",D638&lt;&gt;"Marketing",D638&lt;&gt;"Servicios y software",D638&lt;&gt;"Mantenimiento",D638&lt;&gt;"Otros",D638&lt;&gt;"Intereses")),"Tipo o categoría inválido",IF(COUNTA(A638:J638)=0,"",IF(OR(A638="",B638="",C638="",H638=""),"Faltan datos",IF(COUNTIF($A$7:$A$2006,A638)&gt;1,"ID duplicado",IF(OR(B638&lt;DATE(Configuración!$C$5,1,1),B638&gt;=DATE(Configuración!$C$5+1,1,1)),"Fecha fuera del año",IF(OR(H638&lt;0,I638&lt;0),"Revisar signo",IF(AND(C638&lt;&gt;"Gasto",I638&lt;&gt;0),"IVA solo en Gasto",IF(AND(C638="Gasto",D638=""),"Falta categoría","OK")))))))))</f>
        <v/>
      </c>
    </row>
    <row r="639" spans="1:12" ht="22" customHeight="1">
      <c r="A639" s="3"/>
      <c r="B639" s="7"/>
      <c r="C639" s="3"/>
      <c r="D639" s="3"/>
      <c r="E639" s="3"/>
      <c r="F639" s="3"/>
      <c r="G639" s="3"/>
      <c r="H639" s="4"/>
      <c r="I639" s="4"/>
      <c r="J639" s="3"/>
      <c r="K639" s="8" t="str">
        <f t="shared" si="9"/>
        <v/>
      </c>
      <c r="L639" s="1" t="str">
        <f>IF(COUNTA(A639:J639)=0,"",IF(OR(AND(C639&lt;&gt;"Gasto",C639&lt;&gt;"Pago proveedor",C639&lt;&gt;"Retiro familiar",C639&lt;&gt;"Aportación",C639&lt;&gt;"Pago activo",C639&lt;&gt;"ISR devengado",C639&lt;&gt;"Pago ISR",C639&lt;&gt;"Pago IVA",C639&lt;&gt;"Compensación ISR",C639&lt;&gt;"Compensación IVA"),AND(C639="Gasto",D639&lt;&gt;"Costos clínicos",D639&lt;&gt;"Remuneración familiar",D639&lt;&gt;"Nómina y honorarios",D639&lt;&gt;"Renta",D639&lt;&gt;"Marketing",D639&lt;&gt;"Servicios y software",D639&lt;&gt;"Mantenimiento",D639&lt;&gt;"Otros",D639&lt;&gt;"Intereses")),"Tipo o categoría inválido",IF(COUNTA(A639:J639)=0,"",IF(OR(A639="",B639="",C639="",H639=""),"Faltan datos",IF(COUNTIF($A$7:$A$2006,A639)&gt;1,"ID duplicado",IF(OR(B639&lt;DATE(Configuración!$C$5,1,1),B639&gt;=DATE(Configuración!$C$5+1,1,1)),"Fecha fuera del año",IF(OR(H639&lt;0,I639&lt;0),"Revisar signo",IF(AND(C639&lt;&gt;"Gasto",I639&lt;&gt;0),"IVA solo en Gasto",IF(AND(C639="Gasto",D639=""),"Falta categoría","OK")))))))))</f>
        <v/>
      </c>
    </row>
    <row r="640" spans="1:12" ht="22" customHeight="1">
      <c r="A640" s="3"/>
      <c r="B640" s="7"/>
      <c r="C640" s="3"/>
      <c r="D640" s="3"/>
      <c r="E640" s="3"/>
      <c r="F640" s="3"/>
      <c r="G640" s="3"/>
      <c r="H640" s="4"/>
      <c r="I640" s="4"/>
      <c r="J640" s="3"/>
      <c r="K640" s="8" t="str">
        <f t="shared" si="9"/>
        <v/>
      </c>
      <c r="L640" s="1" t="str">
        <f>IF(COUNTA(A640:J640)=0,"",IF(OR(AND(C640&lt;&gt;"Gasto",C640&lt;&gt;"Pago proveedor",C640&lt;&gt;"Retiro familiar",C640&lt;&gt;"Aportación",C640&lt;&gt;"Pago activo",C640&lt;&gt;"ISR devengado",C640&lt;&gt;"Pago ISR",C640&lt;&gt;"Pago IVA",C640&lt;&gt;"Compensación ISR",C640&lt;&gt;"Compensación IVA"),AND(C640="Gasto",D640&lt;&gt;"Costos clínicos",D640&lt;&gt;"Remuneración familiar",D640&lt;&gt;"Nómina y honorarios",D640&lt;&gt;"Renta",D640&lt;&gt;"Marketing",D640&lt;&gt;"Servicios y software",D640&lt;&gt;"Mantenimiento",D640&lt;&gt;"Otros",D640&lt;&gt;"Intereses")),"Tipo o categoría inválido",IF(COUNTA(A640:J640)=0,"",IF(OR(A640="",B640="",C640="",H640=""),"Faltan datos",IF(COUNTIF($A$7:$A$2006,A640)&gt;1,"ID duplicado",IF(OR(B640&lt;DATE(Configuración!$C$5,1,1),B640&gt;=DATE(Configuración!$C$5+1,1,1)),"Fecha fuera del año",IF(OR(H640&lt;0,I640&lt;0),"Revisar signo",IF(AND(C640&lt;&gt;"Gasto",I640&lt;&gt;0),"IVA solo en Gasto",IF(AND(C640="Gasto",D640=""),"Falta categoría","OK")))))))))</f>
        <v/>
      </c>
    </row>
    <row r="641" spans="1:12" ht="22" customHeight="1">
      <c r="A641" s="3"/>
      <c r="B641" s="7"/>
      <c r="C641" s="3"/>
      <c r="D641" s="3"/>
      <c r="E641" s="3"/>
      <c r="F641" s="3"/>
      <c r="G641" s="3"/>
      <c r="H641" s="4"/>
      <c r="I641" s="4"/>
      <c r="J641" s="3"/>
      <c r="K641" s="8" t="str">
        <f t="shared" si="9"/>
        <v/>
      </c>
      <c r="L641" s="1" t="str">
        <f>IF(COUNTA(A641:J641)=0,"",IF(OR(AND(C641&lt;&gt;"Gasto",C641&lt;&gt;"Pago proveedor",C641&lt;&gt;"Retiro familiar",C641&lt;&gt;"Aportación",C641&lt;&gt;"Pago activo",C641&lt;&gt;"ISR devengado",C641&lt;&gt;"Pago ISR",C641&lt;&gt;"Pago IVA",C641&lt;&gt;"Compensación ISR",C641&lt;&gt;"Compensación IVA"),AND(C641="Gasto",D641&lt;&gt;"Costos clínicos",D641&lt;&gt;"Remuneración familiar",D641&lt;&gt;"Nómina y honorarios",D641&lt;&gt;"Renta",D641&lt;&gt;"Marketing",D641&lt;&gt;"Servicios y software",D641&lt;&gt;"Mantenimiento",D641&lt;&gt;"Otros",D641&lt;&gt;"Intereses")),"Tipo o categoría inválido",IF(COUNTA(A641:J641)=0,"",IF(OR(A641="",B641="",C641="",H641=""),"Faltan datos",IF(COUNTIF($A$7:$A$2006,A641)&gt;1,"ID duplicado",IF(OR(B641&lt;DATE(Configuración!$C$5,1,1),B641&gt;=DATE(Configuración!$C$5+1,1,1)),"Fecha fuera del año",IF(OR(H641&lt;0,I641&lt;0),"Revisar signo",IF(AND(C641&lt;&gt;"Gasto",I641&lt;&gt;0),"IVA solo en Gasto",IF(AND(C641="Gasto",D641=""),"Falta categoría","OK")))))))))</f>
        <v/>
      </c>
    </row>
    <row r="642" spans="1:12" ht="22" customHeight="1">
      <c r="A642" s="3"/>
      <c r="B642" s="7"/>
      <c r="C642" s="3"/>
      <c r="D642" s="3"/>
      <c r="E642" s="3"/>
      <c r="F642" s="3"/>
      <c r="G642" s="3"/>
      <c r="H642" s="4"/>
      <c r="I642" s="4"/>
      <c r="J642" s="3"/>
      <c r="K642" s="8" t="str">
        <f t="shared" si="9"/>
        <v/>
      </c>
      <c r="L642" s="1" t="str">
        <f>IF(COUNTA(A642:J642)=0,"",IF(OR(AND(C642&lt;&gt;"Gasto",C642&lt;&gt;"Pago proveedor",C642&lt;&gt;"Retiro familiar",C642&lt;&gt;"Aportación",C642&lt;&gt;"Pago activo",C642&lt;&gt;"ISR devengado",C642&lt;&gt;"Pago ISR",C642&lt;&gt;"Pago IVA",C642&lt;&gt;"Compensación ISR",C642&lt;&gt;"Compensación IVA"),AND(C642="Gasto",D642&lt;&gt;"Costos clínicos",D642&lt;&gt;"Remuneración familiar",D642&lt;&gt;"Nómina y honorarios",D642&lt;&gt;"Renta",D642&lt;&gt;"Marketing",D642&lt;&gt;"Servicios y software",D642&lt;&gt;"Mantenimiento",D642&lt;&gt;"Otros",D642&lt;&gt;"Intereses")),"Tipo o categoría inválido",IF(COUNTA(A642:J642)=0,"",IF(OR(A642="",B642="",C642="",H642=""),"Faltan datos",IF(COUNTIF($A$7:$A$2006,A642)&gt;1,"ID duplicado",IF(OR(B642&lt;DATE(Configuración!$C$5,1,1),B642&gt;=DATE(Configuración!$C$5+1,1,1)),"Fecha fuera del año",IF(OR(H642&lt;0,I642&lt;0),"Revisar signo",IF(AND(C642&lt;&gt;"Gasto",I642&lt;&gt;0),"IVA solo en Gasto",IF(AND(C642="Gasto",D642=""),"Falta categoría","OK")))))))))</f>
        <v/>
      </c>
    </row>
    <row r="643" spans="1:12" ht="22" customHeight="1">
      <c r="A643" s="3"/>
      <c r="B643" s="7"/>
      <c r="C643" s="3"/>
      <c r="D643" s="3"/>
      <c r="E643" s="3"/>
      <c r="F643" s="3"/>
      <c r="G643" s="3"/>
      <c r="H643" s="4"/>
      <c r="I643" s="4"/>
      <c r="J643" s="3"/>
      <c r="K643" s="8" t="str">
        <f t="shared" si="9"/>
        <v/>
      </c>
      <c r="L643" s="1" t="str">
        <f>IF(COUNTA(A643:J643)=0,"",IF(OR(AND(C643&lt;&gt;"Gasto",C643&lt;&gt;"Pago proveedor",C643&lt;&gt;"Retiro familiar",C643&lt;&gt;"Aportación",C643&lt;&gt;"Pago activo",C643&lt;&gt;"ISR devengado",C643&lt;&gt;"Pago ISR",C643&lt;&gt;"Pago IVA",C643&lt;&gt;"Compensación ISR",C643&lt;&gt;"Compensación IVA"),AND(C643="Gasto",D643&lt;&gt;"Costos clínicos",D643&lt;&gt;"Remuneración familiar",D643&lt;&gt;"Nómina y honorarios",D643&lt;&gt;"Renta",D643&lt;&gt;"Marketing",D643&lt;&gt;"Servicios y software",D643&lt;&gt;"Mantenimiento",D643&lt;&gt;"Otros",D643&lt;&gt;"Intereses")),"Tipo o categoría inválido",IF(COUNTA(A643:J643)=0,"",IF(OR(A643="",B643="",C643="",H643=""),"Faltan datos",IF(COUNTIF($A$7:$A$2006,A643)&gt;1,"ID duplicado",IF(OR(B643&lt;DATE(Configuración!$C$5,1,1),B643&gt;=DATE(Configuración!$C$5+1,1,1)),"Fecha fuera del año",IF(OR(H643&lt;0,I643&lt;0),"Revisar signo",IF(AND(C643&lt;&gt;"Gasto",I643&lt;&gt;0),"IVA solo en Gasto",IF(AND(C643="Gasto",D643=""),"Falta categoría","OK")))))))))</f>
        <v/>
      </c>
    </row>
    <row r="644" spans="1:12" ht="22" customHeight="1">
      <c r="A644" s="3"/>
      <c r="B644" s="7"/>
      <c r="C644" s="3"/>
      <c r="D644" s="3"/>
      <c r="E644" s="3"/>
      <c r="F644" s="3"/>
      <c r="G644" s="3"/>
      <c r="H644" s="4"/>
      <c r="I644" s="4"/>
      <c r="J644" s="3"/>
      <c r="K644" s="8" t="str">
        <f t="shared" si="9"/>
        <v/>
      </c>
      <c r="L644" s="1" t="str">
        <f>IF(COUNTA(A644:J644)=0,"",IF(OR(AND(C644&lt;&gt;"Gasto",C644&lt;&gt;"Pago proveedor",C644&lt;&gt;"Retiro familiar",C644&lt;&gt;"Aportación",C644&lt;&gt;"Pago activo",C644&lt;&gt;"ISR devengado",C644&lt;&gt;"Pago ISR",C644&lt;&gt;"Pago IVA",C644&lt;&gt;"Compensación ISR",C644&lt;&gt;"Compensación IVA"),AND(C644="Gasto",D644&lt;&gt;"Costos clínicos",D644&lt;&gt;"Remuneración familiar",D644&lt;&gt;"Nómina y honorarios",D644&lt;&gt;"Renta",D644&lt;&gt;"Marketing",D644&lt;&gt;"Servicios y software",D644&lt;&gt;"Mantenimiento",D644&lt;&gt;"Otros",D644&lt;&gt;"Intereses")),"Tipo o categoría inválido",IF(COUNTA(A644:J644)=0,"",IF(OR(A644="",B644="",C644="",H644=""),"Faltan datos",IF(COUNTIF($A$7:$A$2006,A644)&gt;1,"ID duplicado",IF(OR(B644&lt;DATE(Configuración!$C$5,1,1),B644&gt;=DATE(Configuración!$C$5+1,1,1)),"Fecha fuera del año",IF(OR(H644&lt;0,I644&lt;0),"Revisar signo",IF(AND(C644&lt;&gt;"Gasto",I644&lt;&gt;0),"IVA solo en Gasto",IF(AND(C644="Gasto",D644=""),"Falta categoría","OK")))))))))</f>
        <v/>
      </c>
    </row>
    <row r="645" spans="1:12" ht="22" customHeight="1">
      <c r="A645" s="3"/>
      <c r="B645" s="7"/>
      <c r="C645" s="3"/>
      <c r="D645" s="3"/>
      <c r="E645" s="3"/>
      <c r="F645" s="3"/>
      <c r="G645" s="3"/>
      <c r="H645" s="4"/>
      <c r="I645" s="4"/>
      <c r="J645" s="3"/>
      <c r="K645" s="8" t="str">
        <f t="shared" si="9"/>
        <v/>
      </c>
      <c r="L645" s="1" t="str">
        <f>IF(COUNTA(A645:J645)=0,"",IF(OR(AND(C645&lt;&gt;"Gasto",C645&lt;&gt;"Pago proveedor",C645&lt;&gt;"Retiro familiar",C645&lt;&gt;"Aportación",C645&lt;&gt;"Pago activo",C645&lt;&gt;"ISR devengado",C645&lt;&gt;"Pago ISR",C645&lt;&gt;"Pago IVA",C645&lt;&gt;"Compensación ISR",C645&lt;&gt;"Compensación IVA"),AND(C645="Gasto",D645&lt;&gt;"Costos clínicos",D645&lt;&gt;"Remuneración familiar",D645&lt;&gt;"Nómina y honorarios",D645&lt;&gt;"Renta",D645&lt;&gt;"Marketing",D645&lt;&gt;"Servicios y software",D645&lt;&gt;"Mantenimiento",D645&lt;&gt;"Otros",D645&lt;&gt;"Intereses")),"Tipo o categoría inválido",IF(COUNTA(A645:J645)=0,"",IF(OR(A645="",B645="",C645="",H645=""),"Faltan datos",IF(COUNTIF($A$7:$A$2006,A645)&gt;1,"ID duplicado",IF(OR(B645&lt;DATE(Configuración!$C$5,1,1),B645&gt;=DATE(Configuración!$C$5+1,1,1)),"Fecha fuera del año",IF(OR(H645&lt;0,I645&lt;0),"Revisar signo",IF(AND(C645&lt;&gt;"Gasto",I645&lt;&gt;0),"IVA solo en Gasto",IF(AND(C645="Gasto",D645=""),"Falta categoría","OK")))))))))</f>
        <v/>
      </c>
    </row>
    <row r="646" spans="1:12" ht="22" customHeight="1">
      <c r="A646" s="3"/>
      <c r="B646" s="7"/>
      <c r="C646" s="3"/>
      <c r="D646" s="3"/>
      <c r="E646" s="3"/>
      <c r="F646" s="3"/>
      <c r="G646" s="3"/>
      <c r="H646" s="4"/>
      <c r="I646" s="4"/>
      <c r="J646" s="3"/>
      <c r="K646" s="8" t="str">
        <f t="shared" si="9"/>
        <v/>
      </c>
      <c r="L646" s="1" t="str">
        <f>IF(COUNTA(A646:J646)=0,"",IF(OR(AND(C646&lt;&gt;"Gasto",C646&lt;&gt;"Pago proveedor",C646&lt;&gt;"Retiro familiar",C646&lt;&gt;"Aportación",C646&lt;&gt;"Pago activo",C646&lt;&gt;"ISR devengado",C646&lt;&gt;"Pago ISR",C646&lt;&gt;"Pago IVA",C646&lt;&gt;"Compensación ISR",C646&lt;&gt;"Compensación IVA"),AND(C646="Gasto",D646&lt;&gt;"Costos clínicos",D646&lt;&gt;"Remuneración familiar",D646&lt;&gt;"Nómina y honorarios",D646&lt;&gt;"Renta",D646&lt;&gt;"Marketing",D646&lt;&gt;"Servicios y software",D646&lt;&gt;"Mantenimiento",D646&lt;&gt;"Otros",D646&lt;&gt;"Intereses")),"Tipo o categoría inválido",IF(COUNTA(A646:J646)=0,"",IF(OR(A646="",B646="",C646="",H646=""),"Faltan datos",IF(COUNTIF($A$7:$A$2006,A646)&gt;1,"ID duplicado",IF(OR(B646&lt;DATE(Configuración!$C$5,1,1),B646&gt;=DATE(Configuración!$C$5+1,1,1)),"Fecha fuera del año",IF(OR(H646&lt;0,I646&lt;0),"Revisar signo",IF(AND(C646&lt;&gt;"Gasto",I646&lt;&gt;0),"IVA solo en Gasto",IF(AND(C646="Gasto",D646=""),"Falta categoría","OK")))))))))</f>
        <v/>
      </c>
    </row>
    <row r="647" spans="1:12" ht="22" customHeight="1">
      <c r="A647" s="3"/>
      <c r="B647" s="7"/>
      <c r="C647" s="3"/>
      <c r="D647" s="3"/>
      <c r="E647" s="3"/>
      <c r="F647" s="3"/>
      <c r="G647" s="3"/>
      <c r="H647" s="4"/>
      <c r="I647" s="4"/>
      <c r="J647" s="3"/>
      <c r="K647" s="8" t="str">
        <f t="shared" ref="K647:K710" si="10">IF(A647="","",H647+I647)</f>
        <v/>
      </c>
      <c r="L647" s="1" t="str">
        <f>IF(COUNTA(A647:J647)=0,"",IF(OR(AND(C647&lt;&gt;"Gasto",C647&lt;&gt;"Pago proveedor",C647&lt;&gt;"Retiro familiar",C647&lt;&gt;"Aportación",C647&lt;&gt;"Pago activo",C647&lt;&gt;"ISR devengado",C647&lt;&gt;"Pago ISR",C647&lt;&gt;"Pago IVA",C647&lt;&gt;"Compensación ISR",C647&lt;&gt;"Compensación IVA"),AND(C647="Gasto",D647&lt;&gt;"Costos clínicos",D647&lt;&gt;"Remuneración familiar",D647&lt;&gt;"Nómina y honorarios",D647&lt;&gt;"Renta",D647&lt;&gt;"Marketing",D647&lt;&gt;"Servicios y software",D647&lt;&gt;"Mantenimiento",D647&lt;&gt;"Otros",D647&lt;&gt;"Intereses")),"Tipo o categoría inválido",IF(COUNTA(A647:J647)=0,"",IF(OR(A647="",B647="",C647="",H647=""),"Faltan datos",IF(COUNTIF($A$7:$A$2006,A647)&gt;1,"ID duplicado",IF(OR(B647&lt;DATE(Configuración!$C$5,1,1),B647&gt;=DATE(Configuración!$C$5+1,1,1)),"Fecha fuera del año",IF(OR(H647&lt;0,I647&lt;0),"Revisar signo",IF(AND(C647&lt;&gt;"Gasto",I647&lt;&gt;0),"IVA solo en Gasto",IF(AND(C647="Gasto",D647=""),"Falta categoría","OK")))))))))</f>
        <v/>
      </c>
    </row>
    <row r="648" spans="1:12" ht="22" customHeight="1">
      <c r="A648" s="3"/>
      <c r="B648" s="7"/>
      <c r="C648" s="3"/>
      <c r="D648" s="3"/>
      <c r="E648" s="3"/>
      <c r="F648" s="3"/>
      <c r="G648" s="3"/>
      <c r="H648" s="4"/>
      <c r="I648" s="4"/>
      <c r="J648" s="3"/>
      <c r="K648" s="8" t="str">
        <f t="shared" si="10"/>
        <v/>
      </c>
      <c r="L648" s="1" t="str">
        <f>IF(COUNTA(A648:J648)=0,"",IF(OR(AND(C648&lt;&gt;"Gasto",C648&lt;&gt;"Pago proveedor",C648&lt;&gt;"Retiro familiar",C648&lt;&gt;"Aportación",C648&lt;&gt;"Pago activo",C648&lt;&gt;"ISR devengado",C648&lt;&gt;"Pago ISR",C648&lt;&gt;"Pago IVA",C648&lt;&gt;"Compensación ISR",C648&lt;&gt;"Compensación IVA"),AND(C648="Gasto",D648&lt;&gt;"Costos clínicos",D648&lt;&gt;"Remuneración familiar",D648&lt;&gt;"Nómina y honorarios",D648&lt;&gt;"Renta",D648&lt;&gt;"Marketing",D648&lt;&gt;"Servicios y software",D648&lt;&gt;"Mantenimiento",D648&lt;&gt;"Otros",D648&lt;&gt;"Intereses")),"Tipo o categoría inválido",IF(COUNTA(A648:J648)=0,"",IF(OR(A648="",B648="",C648="",H648=""),"Faltan datos",IF(COUNTIF($A$7:$A$2006,A648)&gt;1,"ID duplicado",IF(OR(B648&lt;DATE(Configuración!$C$5,1,1),B648&gt;=DATE(Configuración!$C$5+1,1,1)),"Fecha fuera del año",IF(OR(H648&lt;0,I648&lt;0),"Revisar signo",IF(AND(C648&lt;&gt;"Gasto",I648&lt;&gt;0),"IVA solo en Gasto",IF(AND(C648="Gasto",D648=""),"Falta categoría","OK")))))))))</f>
        <v/>
      </c>
    </row>
    <row r="649" spans="1:12" ht="22" customHeight="1">
      <c r="A649" s="3"/>
      <c r="B649" s="7"/>
      <c r="C649" s="3"/>
      <c r="D649" s="3"/>
      <c r="E649" s="3"/>
      <c r="F649" s="3"/>
      <c r="G649" s="3"/>
      <c r="H649" s="4"/>
      <c r="I649" s="4"/>
      <c r="J649" s="3"/>
      <c r="K649" s="8" t="str">
        <f t="shared" si="10"/>
        <v/>
      </c>
      <c r="L649" s="1" t="str">
        <f>IF(COUNTA(A649:J649)=0,"",IF(OR(AND(C649&lt;&gt;"Gasto",C649&lt;&gt;"Pago proveedor",C649&lt;&gt;"Retiro familiar",C649&lt;&gt;"Aportación",C649&lt;&gt;"Pago activo",C649&lt;&gt;"ISR devengado",C649&lt;&gt;"Pago ISR",C649&lt;&gt;"Pago IVA",C649&lt;&gt;"Compensación ISR",C649&lt;&gt;"Compensación IVA"),AND(C649="Gasto",D649&lt;&gt;"Costos clínicos",D649&lt;&gt;"Remuneración familiar",D649&lt;&gt;"Nómina y honorarios",D649&lt;&gt;"Renta",D649&lt;&gt;"Marketing",D649&lt;&gt;"Servicios y software",D649&lt;&gt;"Mantenimiento",D649&lt;&gt;"Otros",D649&lt;&gt;"Intereses")),"Tipo o categoría inválido",IF(COUNTA(A649:J649)=0,"",IF(OR(A649="",B649="",C649="",H649=""),"Faltan datos",IF(COUNTIF($A$7:$A$2006,A649)&gt;1,"ID duplicado",IF(OR(B649&lt;DATE(Configuración!$C$5,1,1),B649&gt;=DATE(Configuración!$C$5+1,1,1)),"Fecha fuera del año",IF(OR(H649&lt;0,I649&lt;0),"Revisar signo",IF(AND(C649&lt;&gt;"Gasto",I649&lt;&gt;0),"IVA solo en Gasto",IF(AND(C649="Gasto",D649=""),"Falta categoría","OK")))))))))</f>
        <v/>
      </c>
    </row>
    <row r="650" spans="1:12" ht="22" customHeight="1">
      <c r="A650" s="3"/>
      <c r="B650" s="7"/>
      <c r="C650" s="3"/>
      <c r="D650" s="3"/>
      <c r="E650" s="3"/>
      <c r="F650" s="3"/>
      <c r="G650" s="3"/>
      <c r="H650" s="4"/>
      <c r="I650" s="4"/>
      <c r="J650" s="3"/>
      <c r="K650" s="8" t="str">
        <f t="shared" si="10"/>
        <v/>
      </c>
      <c r="L650" s="1" t="str">
        <f>IF(COUNTA(A650:J650)=0,"",IF(OR(AND(C650&lt;&gt;"Gasto",C650&lt;&gt;"Pago proveedor",C650&lt;&gt;"Retiro familiar",C650&lt;&gt;"Aportación",C650&lt;&gt;"Pago activo",C650&lt;&gt;"ISR devengado",C650&lt;&gt;"Pago ISR",C650&lt;&gt;"Pago IVA",C650&lt;&gt;"Compensación ISR",C650&lt;&gt;"Compensación IVA"),AND(C650="Gasto",D650&lt;&gt;"Costos clínicos",D650&lt;&gt;"Remuneración familiar",D650&lt;&gt;"Nómina y honorarios",D650&lt;&gt;"Renta",D650&lt;&gt;"Marketing",D650&lt;&gt;"Servicios y software",D650&lt;&gt;"Mantenimiento",D650&lt;&gt;"Otros",D650&lt;&gt;"Intereses")),"Tipo o categoría inválido",IF(COUNTA(A650:J650)=0,"",IF(OR(A650="",B650="",C650="",H650=""),"Faltan datos",IF(COUNTIF($A$7:$A$2006,A650)&gt;1,"ID duplicado",IF(OR(B650&lt;DATE(Configuración!$C$5,1,1),B650&gt;=DATE(Configuración!$C$5+1,1,1)),"Fecha fuera del año",IF(OR(H650&lt;0,I650&lt;0),"Revisar signo",IF(AND(C650&lt;&gt;"Gasto",I650&lt;&gt;0),"IVA solo en Gasto",IF(AND(C650="Gasto",D650=""),"Falta categoría","OK")))))))))</f>
        <v/>
      </c>
    </row>
    <row r="651" spans="1:12" ht="22" customHeight="1">
      <c r="A651" s="3"/>
      <c r="B651" s="7"/>
      <c r="C651" s="3"/>
      <c r="D651" s="3"/>
      <c r="E651" s="3"/>
      <c r="F651" s="3"/>
      <c r="G651" s="3"/>
      <c r="H651" s="4"/>
      <c r="I651" s="4"/>
      <c r="J651" s="3"/>
      <c r="K651" s="8" t="str">
        <f t="shared" si="10"/>
        <v/>
      </c>
      <c r="L651" s="1" t="str">
        <f>IF(COUNTA(A651:J651)=0,"",IF(OR(AND(C651&lt;&gt;"Gasto",C651&lt;&gt;"Pago proveedor",C651&lt;&gt;"Retiro familiar",C651&lt;&gt;"Aportación",C651&lt;&gt;"Pago activo",C651&lt;&gt;"ISR devengado",C651&lt;&gt;"Pago ISR",C651&lt;&gt;"Pago IVA",C651&lt;&gt;"Compensación ISR",C651&lt;&gt;"Compensación IVA"),AND(C651="Gasto",D651&lt;&gt;"Costos clínicos",D651&lt;&gt;"Remuneración familiar",D651&lt;&gt;"Nómina y honorarios",D651&lt;&gt;"Renta",D651&lt;&gt;"Marketing",D651&lt;&gt;"Servicios y software",D651&lt;&gt;"Mantenimiento",D651&lt;&gt;"Otros",D651&lt;&gt;"Intereses")),"Tipo o categoría inválido",IF(COUNTA(A651:J651)=0,"",IF(OR(A651="",B651="",C651="",H651=""),"Faltan datos",IF(COUNTIF($A$7:$A$2006,A651)&gt;1,"ID duplicado",IF(OR(B651&lt;DATE(Configuración!$C$5,1,1),B651&gt;=DATE(Configuración!$C$5+1,1,1)),"Fecha fuera del año",IF(OR(H651&lt;0,I651&lt;0),"Revisar signo",IF(AND(C651&lt;&gt;"Gasto",I651&lt;&gt;0),"IVA solo en Gasto",IF(AND(C651="Gasto",D651=""),"Falta categoría","OK")))))))))</f>
        <v/>
      </c>
    </row>
    <row r="652" spans="1:12" ht="22" customHeight="1">
      <c r="A652" s="3"/>
      <c r="B652" s="7"/>
      <c r="C652" s="3"/>
      <c r="D652" s="3"/>
      <c r="E652" s="3"/>
      <c r="F652" s="3"/>
      <c r="G652" s="3"/>
      <c r="H652" s="4"/>
      <c r="I652" s="4"/>
      <c r="J652" s="3"/>
      <c r="K652" s="8" t="str">
        <f t="shared" si="10"/>
        <v/>
      </c>
      <c r="L652" s="1" t="str">
        <f>IF(COUNTA(A652:J652)=0,"",IF(OR(AND(C652&lt;&gt;"Gasto",C652&lt;&gt;"Pago proveedor",C652&lt;&gt;"Retiro familiar",C652&lt;&gt;"Aportación",C652&lt;&gt;"Pago activo",C652&lt;&gt;"ISR devengado",C652&lt;&gt;"Pago ISR",C652&lt;&gt;"Pago IVA",C652&lt;&gt;"Compensación ISR",C652&lt;&gt;"Compensación IVA"),AND(C652="Gasto",D652&lt;&gt;"Costos clínicos",D652&lt;&gt;"Remuneración familiar",D652&lt;&gt;"Nómina y honorarios",D652&lt;&gt;"Renta",D652&lt;&gt;"Marketing",D652&lt;&gt;"Servicios y software",D652&lt;&gt;"Mantenimiento",D652&lt;&gt;"Otros",D652&lt;&gt;"Intereses")),"Tipo o categoría inválido",IF(COUNTA(A652:J652)=0,"",IF(OR(A652="",B652="",C652="",H652=""),"Faltan datos",IF(COUNTIF($A$7:$A$2006,A652)&gt;1,"ID duplicado",IF(OR(B652&lt;DATE(Configuración!$C$5,1,1),B652&gt;=DATE(Configuración!$C$5+1,1,1)),"Fecha fuera del año",IF(OR(H652&lt;0,I652&lt;0),"Revisar signo",IF(AND(C652&lt;&gt;"Gasto",I652&lt;&gt;0),"IVA solo en Gasto",IF(AND(C652="Gasto",D652=""),"Falta categoría","OK")))))))))</f>
        <v/>
      </c>
    </row>
    <row r="653" spans="1:12" ht="22" customHeight="1">
      <c r="A653" s="3"/>
      <c r="B653" s="7"/>
      <c r="C653" s="3"/>
      <c r="D653" s="3"/>
      <c r="E653" s="3"/>
      <c r="F653" s="3"/>
      <c r="G653" s="3"/>
      <c r="H653" s="4"/>
      <c r="I653" s="4"/>
      <c r="J653" s="3"/>
      <c r="K653" s="8" t="str">
        <f t="shared" si="10"/>
        <v/>
      </c>
      <c r="L653" s="1" t="str">
        <f>IF(COUNTA(A653:J653)=0,"",IF(OR(AND(C653&lt;&gt;"Gasto",C653&lt;&gt;"Pago proveedor",C653&lt;&gt;"Retiro familiar",C653&lt;&gt;"Aportación",C653&lt;&gt;"Pago activo",C653&lt;&gt;"ISR devengado",C653&lt;&gt;"Pago ISR",C653&lt;&gt;"Pago IVA",C653&lt;&gt;"Compensación ISR",C653&lt;&gt;"Compensación IVA"),AND(C653="Gasto",D653&lt;&gt;"Costos clínicos",D653&lt;&gt;"Remuneración familiar",D653&lt;&gt;"Nómina y honorarios",D653&lt;&gt;"Renta",D653&lt;&gt;"Marketing",D653&lt;&gt;"Servicios y software",D653&lt;&gt;"Mantenimiento",D653&lt;&gt;"Otros",D653&lt;&gt;"Intereses")),"Tipo o categoría inválido",IF(COUNTA(A653:J653)=0,"",IF(OR(A653="",B653="",C653="",H653=""),"Faltan datos",IF(COUNTIF($A$7:$A$2006,A653)&gt;1,"ID duplicado",IF(OR(B653&lt;DATE(Configuración!$C$5,1,1),B653&gt;=DATE(Configuración!$C$5+1,1,1)),"Fecha fuera del año",IF(OR(H653&lt;0,I653&lt;0),"Revisar signo",IF(AND(C653&lt;&gt;"Gasto",I653&lt;&gt;0),"IVA solo en Gasto",IF(AND(C653="Gasto",D653=""),"Falta categoría","OK")))))))))</f>
        <v/>
      </c>
    </row>
    <row r="654" spans="1:12" ht="22" customHeight="1">
      <c r="A654" s="3"/>
      <c r="B654" s="7"/>
      <c r="C654" s="3"/>
      <c r="D654" s="3"/>
      <c r="E654" s="3"/>
      <c r="F654" s="3"/>
      <c r="G654" s="3"/>
      <c r="H654" s="4"/>
      <c r="I654" s="4"/>
      <c r="J654" s="3"/>
      <c r="K654" s="8" t="str">
        <f t="shared" si="10"/>
        <v/>
      </c>
      <c r="L654" s="1" t="str">
        <f>IF(COUNTA(A654:J654)=0,"",IF(OR(AND(C654&lt;&gt;"Gasto",C654&lt;&gt;"Pago proveedor",C654&lt;&gt;"Retiro familiar",C654&lt;&gt;"Aportación",C654&lt;&gt;"Pago activo",C654&lt;&gt;"ISR devengado",C654&lt;&gt;"Pago ISR",C654&lt;&gt;"Pago IVA",C654&lt;&gt;"Compensación ISR",C654&lt;&gt;"Compensación IVA"),AND(C654="Gasto",D654&lt;&gt;"Costos clínicos",D654&lt;&gt;"Remuneración familiar",D654&lt;&gt;"Nómina y honorarios",D654&lt;&gt;"Renta",D654&lt;&gt;"Marketing",D654&lt;&gt;"Servicios y software",D654&lt;&gt;"Mantenimiento",D654&lt;&gt;"Otros",D654&lt;&gt;"Intereses")),"Tipo o categoría inválido",IF(COUNTA(A654:J654)=0,"",IF(OR(A654="",B654="",C654="",H654=""),"Faltan datos",IF(COUNTIF($A$7:$A$2006,A654)&gt;1,"ID duplicado",IF(OR(B654&lt;DATE(Configuración!$C$5,1,1),B654&gt;=DATE(Configuración!$C$5+1,1,1)),"Fecha fuera del año",IF(OR(H654&lt;0,I654&lt;0),"Revisar signo",IF(AND(C654&lt;&gt;"Gasto",I654&lt;&gt;0),"IVA solo en Gasto",IF(AND(C654="Gasto",D654=""),"Falta categoría","OK")))))))))</f>
        <v/>
      </c>
    </row>
    <row r="655" spans="1:12" ht="22" customHeight="1">
      <c r="A655" s="3"/>
      <c r="B655" s="7"/>
      <c r="C655" s="3"/>
      <c r="D655" s="3"/>
      <c r="E655" s="3"/>
      <c r="F655" s="3"/>
      <c r="G655" s="3"/>
      <c r="H655" s="4"/>
      <c r="I655" s="4"/>
      <c r="J655" s="3"/>
      <c r="K655" s="8" t="str">
        <f t="shared" si="10"/>
        <v/>
      </c>
      <c r="L655" s="1" t="str">
        <f>IF(COUNTA(A655:J655)=0,"",IF(OR(AND(C655&lt;&gt;"Gasto",C655&lt;&gt;"Pago proveedor",C655&lt;&gt;"Retiro familiar",C655&lt;&gt;"Aportación",C655&lt;&gt;"Pago activo",C655&lt;&gt;"ISR devengado",C655&lt;&gt;"Pago ISR",C655&lt;&gt;"Pago IVA",C655&lt;&gt;"Compensación ISR",C655&lt;&gt;"Compensación IVA"),AND(C655="Gasto",D655&lt;&gt;"Costos clínicos",D655&lt;&gt;"Remuneración familiar",D655&lt;&gt;"Nómina y honorarios",D655&lt;&gt;"Renta",D655&lt;&gt;"Marketing",D655&lt;&gt;"Servicios y software",D655&lt;&gt;"Mantenimiento",D655&lt;&gt;"Otros",D655&lt;&gt;"Intereses")),"Tipo o categoría inválido",IF(COUNTA(A655:J655)=0,"",IF(OR(A655="",B655="",C655="",H655=""),"Faltan datos",IF(COUNTIF($A$7:$A$2006,A655)&gt;1,"ID duplicado",IF(OR(B655&lt;DATE(Configuración!$C$5,1,1),B655&gt;=DATE(Configuración!$C$5+1,1,1)),"Fecha fuera del año",IF(OR(H655&lt;0,I655&lt;0),"Revisar signo",IF(AND(C655&lt;&gt;"Gasto",I655&lt;&gt;0),"IVA solo en Gasto",IF(AND(C655="Gasto",D655=""),"Falta categoría","OK")))))))))</f>
        <v/>
      </c>
    </row>
    <row r="656" spans="1:12" ht="22" customHeight="1">
      <c r="A656" s="3"/>
      <c r="B656" s="7"/>
      <c r="C656" s="3"/>
      <c r="D656" s="3"/>
      <c r="E656" s="3"/>
      <c r="F656" s="3"/>
      <c r="G656" s="3"/>
      <c r="H656" s="4"/>
      <c r="I656" s="4"/>
      <c r="J656" s="3"/>
      <c r="K656" s="8" t="str">
        <f t="shared" si="10"/>
        <v/>
      </c>
      <c r="L656" s="1" t="str">
        <f>IF(COUNTA(A656:J656)=0,"",IF(OR(AND(C656&lt;&gt;"Gasto",C656&lt;&gt;"Pago proveedor",C656&lt;&gt;"Retiro familiar",C656&lt;&gt;"Aportación",C656&lt;&gt;"Pago activo",C656&lt;&gt;"ISR devengado",C656&lt;&gt;"Pago ISR",C656&lt;&gt;"Pago IVA",C656&lt;&gt;"Compensación ISR",C656&lt;&gt;"Compensación IVA"),AND(C656="Gasto",D656&lt;&gt;"Costos clínicos",D656&lt;&gt;"Remuneración familiar",D656&lt;&gt;"Nómina y honorarios",D656&lt;&gt;"Renta",D656&lt;&gt;"Marketing",D656&lt;&gt;"Servicios y software",D656&lt;&gt;"Mantenimiento",D656&lt;&gt;"Otros",D656&lt;&gt;"Intereses")),"Tipo o categoría inválido",IF(COUNTA(A656:J656)=0,"",IF(OR(A656="",B656="",C656="",H656=""),"Faltan datos",IF(COUNTIF($A$7:$A$2006,A656)&gt;1,"ID duplicado",IF(OR(B656&lt;DATE(Configuración!$C$5,1,1),B656&gt;=DATE(Configuración!$C$5+1,1,1)),"Fecha fuera del año",IF(OR(H656&lt;0,I656&lt;0),"Revisar signo",IF(AND(C656&lt;&gt;"Gasto",I656&lt;&gt;0),"IVA solo en Gasto",IF(AND(C656="Gasto",D656=""),"Falta categoría","OK")))))))))</f>
        <v/>
      </c>
    </row>
    <row r="657" spans="1:12" ht="22" customHeight="1">
      <c r="A657" s="3"/>
      <c r="B657" s="7"/>
      <c r="C657" s="3"/>
      <c r="D657" s="3"/>
      <c r="E657" s="3"/>
      <c r="F657" s="3"/>
      <c r="G657" s="3"/>
      <c r="H657" s="4"/>
      <c r="I657" s="4"/>
      <c r="J657" s="3"/>
      <c r="K657" s="8" t="str">
        <f t="shared" si="10"/>
        <v/>
      </c>
      <c r="L657" s="1" t="str">
        <f>IF(COUNTA(A657:J657)=0,"",IF(OR(AND(C657&lt;&gt;"Gasto",C657&lt;&gt;"Pago proveedor",C657&lt;&gt;"Retiro familiar",C657&lt;&gt;"Aportación",C657&lt;&gt;"Pago activo",C657&lt;&gt;"ISR devengado",C657&lt;&gt;"Pago ISR",C657&lt;&gt;"Pago IVA",C657&lt;&gt;"Compensación ISR",C657&lt;&gt;"Compensación IVA"),AND(C657="Gasto",D657&lt;&gt;"Costos clínicos",D657&lt;&gt;"Remuneración familiar",D657&lt;&gt;"Nómina y honorarios",D657&lt;&gt;"Renta",D657&lt;&gt;"Marketing",D657&lt;&gt;"Servicios y software",D657&lt;&gt;"Mantenimiento",D657&lt;&gt;"Otros",D657&lt;&gt;"Intereses")),"Tipo o categoría inválido",IF(COUNTA(A657:J657)=0,"",IF(OR(A657="",B657="",C657="",H657=""),"Faltan datos",IF(COUNTIF($A$7:$A$2006,A657)&gt;1,"ID duplicado",IF(OR(B657&lt;DATE(Configuración!$C$5,1,1),B657&gt;=DATE(Configuración!$C$5+1,1,1)),"Fecha fuera del año",IF(OR(H657&lt;0,I657&lt;0),"Revisar signo",IF(AND(C657&lt;&gt;"Gasto",I657&lt;&gt;0),"IVA solo en Gasto",IF(AND(C657="Gasto",D657=""),"Falta categoría","OK")))))))))</f>
        <v/>
      </c>
    </row>
    <row r="658" spans="1:12" ht="22" customHeight="1">
      <c r="A658" s="3"/>
      <c r="B658" s="7"/>
      <c r="C658" s="3"/>
      <c r="D658" s="3"/>
      <c r="E658" s="3"/>
      <c r="F658" s="3"/>
      <c r="G658" s="3"/>
      <c r="H658" s="4"/>
      <c r="I658" s="4"/>
      <c r="J658" s="3"/>
      <c r="K658" s="8" t="str">
        <f t="shared" si="10"/>
        <v/>
      </c>
      <c r="L658" s="1" t="str">
        <f>IF(COUNTA(A658:J658)=0,"",IF(OR(AND(C658&lt;&gt;"Gasto",C658&lt;&gt;"Pago proveedor",C658&lt;&gt;"Retiro familiar",C658&lt;&gt;"Aportación",C658&lt;&gt;"Pago activo",C658&lt;&gt;"ISR devengado",C658&lt;&gt;"Pago ISR",C658&lt;&gt;"Pago IVA",C658&lt;&gt;"Compensación ISR",C658&lt;&gt;"Compensación IVA"),AND(C658="Gasto",D658&lt;&gt;"Costos clínicos",D658&lt;&gt;"Remuneración familiar",D658&lt;&gt;"Nómina y honorarios",D658&lt;&gt;"Renta",D658&lt;&gt;"Marketing",D658&lt;&gt;"Servicios y software",D658&lt;&gt;"Mantenimiento",D658&lt;&gt;"Otros",D658&lt;&gt;"Intereses")),"Tipo o categoría inválido",IF(COUNTA(A658:J658)=0,"",IF(OR(A658="",B658="",C658="",H658=""),"Faltan datos",IF(COUNTIF($A$7:$A$2006,A658)&gt;1,"ID duplicado",IF(OR(B658&lt;DATE(Configuración!$C$5,1,1),B658&gt;=DATE(Configuración!$C$5+1,1,1)),"Fecha fuera del año",IF(OR(H658&lt;0,I658&lt;0),"Revisar signo",IF(AND(C658&lt;&gt;"Gasto",I658&lt;&gt;0),"IVA solo en Gasto",IF(AND(C658="Gasto",D658=""),"Falta categoría","OK")))))))))</f>
        <v/>
      </c>
    </row>
    <row r="659" spans="1:12" ht="22" customHeight="1">
      <c r="A659" s="3"/>
      <c r="B659" s="7"/>
      <c r="C659" s="3"/>
      <c r="D659" s="3"/>
      <c r="E659" s="3"/>
      <c r="F659" s="3"/>
      <c r="G659" s="3"/>
      <c r="H659" s="4"/>
      <c r="I659" s="4"/>
      <c r="J659" s="3"/>
      <c r="K659" s="8" t="str">
        <f t="shared" si="10"/>
        <v/>
      </c>
      <c r="L659" s="1" t="str">
        <f>IF(COUNTA(A659:J659)=0,"",IF(OR(AND(C659&lt;&gt;"Gasto",C659&lt;&gt;"Pago proveedor",C659&lt;&gt;"Retiro familiar",C659&lt;&gt;"Aportación",C659&lt;&gt;"Pago activo",C659&lt;&gt;"ISR devengado",C659&lt;&gt;"Pago ISR",C659&lt;&gt;"Pago IVA",C659&lt;&gt;"Compensación ISR",C659&lt;&gt;"Compensación IVA"),AND(C659="Gasto",D659&lt;&gt;"Costos clínicos",D659&lt;&gt;"Remuneración familiar",D659&lt;&gt;"Nómina y honorarios",D659&lt;&gt;"Renta",D659&lt;&gt;"Marketing",D659&lt;&gt;"Servicios y software",D659&lt;&gt;"Mantenimiento",D659&lt;&gt;"Otros",D659&lt;&gt;"Intereses")),"Tipo o categoría inválido",IF(COUNTA(A659:J659)=0,"",IF(OR(A659="",B659="",C659="",H659=""),"Faltan datos",IF(COUNTIF($A$7:$A$2006,A659)&gt;1,"ID duplicado",IF(OR(B659&lt;DATE(Configuración!$C$5,1,1),B659&gt;=DATE(Configuración!$C$5+1,1,1)),"Fecha fuera del año",IF(OR(H659&lt;0,I659&lt;0),"Revisar signo",IF(AND(C659&lt;&gt;"Gasto",I659&lt;&gt;0),"IVA solo en Gasto",IF(AND(C659="Gasto",D659=""),"Falta categoría","OK")))))))))</f>
        <v/>
      </c>
    </row>
    <row r="660" spans="1:12" ht="22" customHeight="1">
      <c r="A660" s="3"/>
      <c r="B660" s="7"/>
      <c r="C660" s="3"/>
      <c r="D660" s="3"/>
      <c r="E660" s="3"/>
      <c r="F660" s="3"/>
      <c r="G660" s="3"/>
      <c r="H660" s="4"/>
      <c r="I660" s="4"/>
      <c r="J660" s="3"/>
      <c r="K660" s="8" t="str">
        <f t="shared" si="10"/>
        <v/>
      </c>
      <c r="L660" s="1" t="str">
        <f>IF(COUNTA(A660:J660)=0,"",IF(OR(AND(C660&lt;&gt;"Gasto",C660&lt;&gt;"Pago proveedor",C660&lt;&gt;"Retiro familiar",C660&lt;&gt;"Aportación",C660&lt;&gt;"Pago activo",C660&lt;&gt;"ISR devengado",C660&lt;&gt;"Pago ISR",C660&lt;&gt;"Pago IVA",C660&lt;&gt;"Compensación ISR",C660&lt;&gt;"Compensación IVA"),AND(C660="Gasto",D660&lt;&gt;"Costos clínicos",D660&lt;&gt;"Remuneración familiar",D660&lt;&gt;"Nómina y honorarios",D660&lt;&gt;"Renta",D660&lt;&gt;"Marketing",D660&lt;&gt;"Servicios y software",D660&lt;&gt;"Mantenimiento",D660&lt;&gt;"Otros",D660&lt;&gt;"Intereses")),"Tipo o categoría inválido",IF(COUNTA(A660:J660)=0,"",IF(OR(A660="",B660="",C660="",H660=""),"Faltan datos",IF(COUNTIF($A$7:$A$2006,A660)&gt;1,"ID duplicado",IF(OR(B660&lt;DATE(Configuración!$C$5,1,1),B660&gt;=DATE(Configuración!$C$5+1,1,1)),"Fecha fuera del año",IF(OR(H660&lt;0,I660&lt;0),"Revisar signo",IF(AND(C660&lt;&gt;"Gasto",I660&lt;&gt;0),"IVA solo en Gasto",IF(AND(C660="Gasto",D660=""),"Falta categoría","OK")))))))))</f>
        <v/>
      </c>
    </row>
    <row r="661" spans="1:12" ht="22" customHeight="1">
      <c r="A661" s="3"/>
      <c r="B661" s="7"/>
      <c r="C661" s="3"/>
      <c r="D661" s="3"/>
      <c r="E661" s="3"/>
      <c r="F661" s="3"/>
      <c r="G661" s="3"/>
      <c r="H661" s="4"/>
      <c r="I661" s="4"/>
      <c r="J661" s="3"/>
      <c r="K661" s="8" t="str">
        <f t="shared" si="10"/>
        <v/>
      </c>
      <c r="L661" s="1" t="str">
        <f>IF(COUNTA(A661:J661)=0,"",IF(OR(AND(C661&lt;&gt;"Gasto",C661&lt;&gt;"Pago proveedor",C661&lt;&gt;"Retiro familiar",C661&lt;&gt;"Aportación",C661&lt;&gt;"Pago activo",C661&lt;&gt;"ISR devengado",C661&lt;&gt;"Pago ISR",C661&lt;&gt;"Pago IVA",C661&lt;&gt;"Compensación ISR",C661&lt;&gt;"Compensación IVA"),AND(C661="Gasto",D661&lt;&gt;"Costos clínicos",D661&lt;&gt;"Remuneración familiar",D661&lt;&gt;"Nómina y honorarios",D661&lt;&gt;"Renta",D661&lt;&gt;"Marketing",D661&lt;&gt;"Servicios y software",D661&lt;&gt;"Mantenimiento",D661&lt;&gt;"Otros",D661&lt;&gt;"Intereses")),"Tipo o categoría inválido",IF(COUNTA(A661:J661)=0,"",IF(OR(A661="",B661="",C661="",H661=""),"Faltan datos",IF(COUNTIF($A$7:$A$2006,A661)&gt;1,"ID duplicado",IF(OR(B661&lt;DATE(Configuración!$C$5,1,1),B661&gt;=DATE(Configuración!$C$5+1,1,1)),"Fecha fuera del año",IF(OR(H661&lt;0,I661&lt;0),"Revisar signo",IF(AND(C661&lt;&gt;"Gasto",I661&lt;&gt;0),"IVA solo en Gasto",IF(AND(C661="Gasto",D661=""),"Falta categoría","OK")))))))))</f>
        <v/>
      </c>
    </row>
    <row r="662" spans="1:12" ht="22" customHeight="1">
      <c r="A662" s="3"/>
      <c r="B662" s="7"/>
      <c r="C662" s="3"/>
      <c r="D662" s="3"/>
      <c r="E662" s="3"/>
      <c r="F662" s="3"/>
      <c r="G662" s="3"/>
      <c r="H662" s="4"/>
      <c r="I662" s="4"/>
      <c r="J662" s="3"/>
      <c r="K662" s="8" t="str">
        <f t="shared" si="10"/>
        <v/>
      </c>
      <c r="L662" s="1" t="str">
        <f>IF(COUNTA(A662:J662)=0,"",IF(OR(AND(C662&lt;&gt;"Gasto",C662&lt;&gt;"Pago proveedor",C662&lt;&gt;"Retiro familiar",C662&lt;&gt;"Aportación",C662&lt;&gt;"Pago activo",C662&lt;&gt;"ISR devengado",C662&lt;&gt;"Pago ISR",C662&lt;&gt;"Pago IVA",C662&lt;&gt;"Compensación ISR",C662&lt;&gt;"Compensación IVA"),AND(C662="Gasto",D662&lt;&gt;"Costos clínicos",D662&lt;&gt;"Remuneración familiar",D662&lt;&gt;"Nómina y honorarios",D662&lt;&gt;"Renta",D662&lt;&gt;"Marketing",D662&lt;&gt;"Servicios y software",D662&lt;&gt;"Mantenimiento",D662&lt;&gt;"Otros",D662&lt;&gt;"Intereses")),"Tipo o categoría inválido",IF(COUNTA(A662:J662)=0,"",IF(OR(A662="",B662="",C662="",H662=""),"Faltan datos",IF(COUNTIF($A$7:$A$2006,A662)&gt;1,"ID duplicado",IF(OR(B662&lt;DATE(Configuración!$C$5,1,1),B662&gt;=DATE(Configuración!$C$5+1,1,1)),"Fecha fuera del año",IF(OR(H662&lt;0,I662&lt;0),"Revisar signo",IF(AND(C662&lt;&gt;"Gasto",I662&lt;&gt;0),"IVA solo en Gasto",IF(AND(C662="Gasto",D662=""),"Falta categoría","OK")))))))))</f>
        <v/>
      </c>
    </row>
    <row r="663" spans="1:12" ht="22" customHeight="1">
      <c r="A663" s="3"/>
      <c r="B663" s="7"/>
      <c r="C663" s="3"/>
      <c r="D663" s="3"/>
      <c r="E663" s="3"/>
      <c r="F663" s="3"/>
      <c r="G663" s="3"/>
      <c r="H663" s="4"/>
      <c r="I663" s="4"/>
      <c r="J663" s="3"/>
      <c r="K663" s="8" t="str">
        <f t="shared" si="10"/>
        <v/>
      </c>
      <c r="L663" s="1" t="str">
        <f>IF(COUNTA(A663:J663)=0,"",IF(OR(AND(C663&lt;&gt;"Gasto",C663&lt;&gt;"Pago proveedor",C663&lt;&gt;"Retiro familiar",C663&lt;&gt;"Aportación",C663&lt;&gt;"Pago activo",C663&lt;&gt;"ISR devengado",C663&lt;&gt;"Pago ISR",C663&lt;&gt;"Pago IVA",C663&lt;&gt;"Compensación ISR",C663&lt;&gt;"Compensación IVA"),AND(C663="Gasto",D663&lt;&gt;"Costos clínicos",D663&lt;&gt;"Remuneración familiar",D663&lt;&gt;"Nómina y honorarios",D663&lt;&gt;"Renta",D663&lt;&gt;"Marketing",D663&lt;&gt;"Servicios y software",D663&lt;&gt;"Mantenimiento",D663&lt;&gt;"Otros",D663&lt;&gt;"Intereses")),"Tipo o categoría inválido",IF(COUNTA(A663:J663)=0,"",IF(OR(A663="",B663="",C663="",H663=""),"Faltan datos",IF(COUNTIF($A$7:$A$2006,A663)&gt;1,"ID duplicado",IF(OR(B663&lt;DATE(Configuración!$C$5,1,1),B663&gt;=DATE(Configuración!$C$5+1,1,1)),"Fecha fuera del año",IF(OR(H663&lt;0,I663&lt;0),"Revisar signo",IF(AND(C663&lt;&gt;"Gasto",I663&lt;&gt;0),"IVA solo en Gasto",IF(AND(C663="Gasto",D663=""),"Falta categoría","OK")))))))))</f>
        <v/>
      </c>
    </row>
    <row r="664" spans="1:12" ht="22" customHeight="1">
      <c r="A664" s="3"/>
      <c r="B664" s="7"/>
      <c r="C664" s="3"/>
      <c r="D664" s="3"/>
      <c r="E664" s="3"/>
      <c r="F664" s="3"/>
      <c r="G664" s="3"/>
      <c r="H664" s="4"/>
      <c r="I664" s="4"/>
      <c r="J664" s="3"/>
      <c r="K664" s="8" t="str">
        <f t="shared" si="10"/>
        <v/>
      </c>
      <c r="L664" s="1" t="str">
        <f>IF(COUNTA(A664:J664)=0,"",IF(OR(AND(C664&lt;&gt;"Gasto",C664&lt;&gt;"Pago proveedor",C664&lt;&gt;"Retiro familiar",C664&lt;&gt;"Aportación",C664&lt;&gt;"Pago activo",C664&lt;&gt;"ISR devengado",C664&lt;&gt;"Pago ISR",C664&lt;&gt;"Pago IVA",C664&lt;&gt;"Compensación ISR",C664&lt;&gt;"Compensación IVA"),AND(C664="Gasto",D664&lt;&gt;"Costos clínicos",D664&lt;&gt;"Remuneración familiar",D664&lt;&gt;"Nómina y honorarios",D664&lt;&gt;"Renta",D664&lt;&gt;"Marketing",D664&lt;&gt;"Servicios y software",D664&lt;&gt;"Mantenimiento",D664&lt;&gt;"Otros",D664&lt;&gt;"Intereses")),"Tipo o categoría inválido",IF(COUNTA(A664:J664)=0,"",IF(OR(A664="",B664="",C664="",H664=""),"Faltan datos",IF(COUNTIF($A$7:$A$2006,A664)&gt;1,"ID duplicado",IF(OR(B664&lt;DATE(Configuración!$C$5,1,1),B664&gt;=DATE(Configuración!$C$5+1,1,1)),"Fecha fuera del año",IF(OR(H664&lt;0,I664&lt;0),"Revisar signo",IF(AND(C664&lt;&gt;"Gasto",I664&lt;&gt;0),"IVA solo en Gasto",IF(AND(C664="Gasto",D664=""),"Falta categoría","OK")))))))))</f>
        <v/>
      </c>
    </row>
    <row r="665" spans="1:12" ht="22" customHeight="1">
      <c r="A665" s="3"/>
      <c r="B665" s="7"/>
      <c r="C665" s="3"/>
      <c r="D665" s="3"/>
      <c r="E665" s="3"/>
      <c r="F665" s="3"/>
      <c r="G665" s="3"/>
      <c r="H665" s="4"/>
      <c r="I665" s="4"/>
      <c r="J665" s="3"/>
      <c r="K665" s="8" t="str">
        <f t="shared" si="10"/>
        <v/>
      </c>
      <c r="L665" s="1" t="str">
        <f>IF(COUNTA(A665:J665)=0,"",IF(OR(AND(C665&lt;&gt;"Gasto",C665&lt;&gt;"Pago proveedor",C665&lt;&gt;"Retiro familiar",C665&lt;&gt;"Aportación",C665&lt;&gt;"Pago activo",C665&lt;&gt;"ISR devengado",C665&lt;&gt;"Pago ISR",C665&lt;&gt;"Pago IVA",C665&lt;&gt;"Compensación ISR",C665&lt;&gt;"Compensación IVA"),AND(C665="Gasto",D665&lt;&gt;"Costos clínicos",D665&lt;&gt;"Remuneración familiar",D665&lt;&gt;"Nómina y honorarios",D665&lt;&gt;"Renta",D665&lt;&gt;"Marketing",D665&lt;&gt;"Servicios y software",D665&lt;&gt;"Mantenimiento",D665&lt;&gt;"Otros",D665&lt;&gt;"Intereses")),"Tipo o categoría inválido",IF(COUNTA(A665:J665)=0,"",IF(OR(A665="",B665="",C665="",H665=""),"Faltan datos",IF(COUNTIF($A$7:$A$2006,A665)&gt;1,"ID duplicado",IF(OR(B665&lt;DATE(Configuración!$C$5,1,1),B665&gt;=DATE(Configuración!$C$5+1,1,1)),"Fecha fuera del año",IF(OR(H665&lt;0,I665&lt;0),"Revisar signo",IF(AND(C665&lt;&gt;"Gasto",I665&lt;&gt;0),"IVA solo en Gasto",IF(AND(C665="Gasto",D665=""),"Falta categoría","OK")))))))))</f>
        <v/>
      </c>
    </row>
    <row r="666" spans="1:12" ht="22" customHeight="1">
      <c r="A666" s="3"/>
      <c r="B666" s="7"/>
      <c r="C666" s="3"/>
      <c r="D666" s="3"/>
      <c r="E666" s="3"/>
      <c r="F666" s="3"/>
      <c r="G666" s="3"/>
      <c r="H666" s="4"/>
      <c r="I666" s="4"/>
      <c r="J666" s="3"/>
      <c r="K666" s="8" t="str">
        <f t="shared" si="10"/>
        <v/>
      </c>
      <c r="L666" s="1" t="str">
        <f>IF(COUNTA(A666:J666)=0,"",IF(OR(AND(C666&lt;&gt;"Gasto",C666&lt;&gt;"Pago proveedor",C666&lt;&gt;"Retiro familiar",C666&lt;&gt;"Aportación",C666&lt;&gt;"Pago activo",C666&lt;&gt;"ISR devengado",C666&lt;&gt;"Pago ISR",C666&lt;&gt;"Pago IVA",C666&lt;&gt;"Compensación ISR",C666&lt;&gt;"Compensación IVA"),AND(C666="Gasto",D666&lt;&gt;"Costos clínicos",D666&lt;&gt;"Remuneración familiar",D666&lt;&gt;"Nómina y honorarios",D666&lt;&gt;"Renta",D666&lt;&gt;"Marketing",D666&lt;&gt;"Servicios y software",D666&lt;&gt;"Mantenimiento",D666&lt;&gt;"Otros",D666&lt;&gt;"Intereses")),"Tipo o categoría inválido",IF(COUNTA(A666:J666)=0,"",IF(OR(A666="",B666="",C666="",H666=""),"Faltan datos",IF(COUNTIF($A$7:$A$2006,A666)&gt;1,"ID duplicado",IF(OR(B666&lt;DATE(Configuración!$C$5,1,1),B666&gt;=DATE(Configuración!$C$5+1,1,1)),"Fecha fuera del año",IF(OR(H666&lt;0,I666&lt;0),"Revisar signo",IF(AND(C666&lt;&gt;"Gasto",I666&lt;&gt;0),"IVA solo en Gasto",IF(AND(C666="Gasto",D666=""),"Falta categoría","OK")))))))))</f>
        <v/>
      </c>
    </row>
    <row r="667" spans="1:12" ht="22" customHeight="1">
      <c r="A667" s="3"/>
      <c r="B667" s="7"/>
      <c r="C667" s="3"/>
      <c r="D667" s="3"/>
      <c r="E667" s="3"/>
      <c r="F667" s="3"/>
      <c r="G667" s="3"/>
      <c r="H667" s="4"/>
      <c r="I667" s="4"/>
      <c r="J667" s="3"/>
      <c r="K667" s="8" t="str">
        <f t="shared" si="10"/>
        <v/>
      </c>
      <c r="L667" s="1" t="str">
        <f>IF(COUNTA(A667:J667)=0,"",IF(OR(AND(C667&lt;&gt;"Gasto",C667&lt;&gt;"Pago proveedor",C667&lt;&gt;"Retiro familiar",C667&lt;&gt;"Aportación",C667&lt;&gt;"Pago activo",C667&lt;&gt;"ISR devengado",C667&lt;&gt;"Pago ISR",C667&lt;&gt;"Pago IVA",C667&lt;&gt;"Compensación ISR",C667&lt;&gt;"Compensación IVA"),AND(C667="Gasto",D667&lt;&gt;"Costos clínicos",D667&lt;&gt;"Remuneración familiar",D667&lt;&gt;"Nómina y honorarios",D667&lt;&gt;"Renta",D667&lt;&gt;"Marketing",D667&lt;&gt;"Servicios y software",D667&lt;&gt;"Mantenimiento",D667&lt;&gt;"Otros",D667&lt;&gt;"Intereses")),"Tipo o categoría inválido",IF(COUNTA(A667:J667)=0,"",IF(OR(A667="",B667="",C667="",H667=""),"Faltan datos",IF(COUNTIF($A$7:$A$2006,A667)&gt;1,"ID duplicado",IF(OR(B667&lt;DATE(Configuración!$C$5,1,1),B667&gt;=DATE(Configuración!$C$5+1,1,1)),"Fecha fuera del año",IF(OR(H667&lt;0,I667&lt;0),"Revisar signo",IF(AND(C667&lt;&gt;"Gasto",I667&lt;&gt;0),"IVA solo en Gasto",IF(AND(C667="Gasto",D667=""),"Falta categoría","OK")))))))))</f>
        <v/>
      </c>
    </row>
    <row r="668" spans="1:12" ht="22" customHeight="1">
      <c r="A668" s="3"/>
      <c r="B668" s="7"/>
      <c r="C668" s="3"/>
      <c r="D668" s="3"/>
      <c r="E668" s="3"/>
      <c r="F668" s="3"/>
      <c r="G668" s="3"/>
      <c r="H668" s="4"/>
      <c r="I668" s="4"/>
      <c r="J668" s="3"/>
      <c r="K668" s="8" t="str">
        <f t="shared" si="10"/>
        <v/>
      </c>
      <c r="L668" s="1" t="str">
        <f>IF(COUNTA(A668:J668)=0,"",IF(OR(AND(C668&lt;&gt;"Gasto",C668&lt;&gt;"Pago proveedor",C668&lt;&gt;"Retiro familiar",C668&lt;&gt;"Aportación",C668&lt;&gt;"Pago activo",C668&lt;&gt;"ISR devengado",C668&lt;&gt;"Pago ISR",C668&lt;&gt;"Pago IVA",C668&lt;&gt;"Compensación ISR",C668&lt;&gt;"Compensación IVA"),AND(C668="Gasto",D668&lt;&gt;"Costos clínicos",D668&lt;&gt;"Remuneración familiar",D668&lt;&gt;"Nómina y honorarios",D668&lt;&gt;"Renta",D668&lt;&gt;"Marketing",D668&lt;&gt;"Servicios y software",D668&lt;&gt;"Mantenimiento",D668&lt;&gt;"Otros",D668&lt;&gt;"Intereses")),"Tipo o categoría inválido",IF(COUNTA(A668:J668)=0,"",IF(OR(A668="",B668="",C668="",H668=""),"Faltan datos",IF(COUNTIF($A$7:$A$2006,A668)&gt;1,"ID duplicado",IF(OR(B668&lt;DATE(Configuración!$C$5,1,1),B668&gt;=DATE(Configuración!$C$5+1,1,1)),"Fecha fuera del año",IF(OR(H668&lt;0,I668&lt;0),"Revisar signo",IF(AND(C668&lt;&gt;"Gasto",I668&lt;&gt;0),"IVA solo en Gasto",IF(AND(C668="Gasto",D668=""),"Falta categoría","OK")))))))))</f>
        <v/>
      </c>
    </row>
    <row r="669" spans="1:12" ht="22" customHeight="1">
      <c r="A669" s="3"/>
      <c r="B669" s="7"/>
      <c r="C669" s="3"/>
      <c r="D669" s="3"/>
      <c r="E669" s="3"/>
      <c r="F669" s="3"/>
      <c r="G669" s="3"/>
      <c r="H669" s="4"/>
      <c r="I669" s="4"/>
      <c r="J669" s="3"/>
      <c r="K669" s="8" t="str">
        <f t="shared" si="10"/>
        <v/>
      </c>
      <c r="L669" s="1" t="str">
        <f>IF(COUNTA(A669:J669)=0,"",IF(OR(AND(C669&lt;&gt;"Gasto",C669&lt;&gt;"Pago proveedor",C669&lt;&gt;"Retiro familiar",C669&lt;&gt;"Aportación",C669&lt;&gt;"Pago activo",C669&lt;&gt;"ISR devengado",C669&lt;&gt;"Pago ISR",C669&lt;&gt;"Pago IVA",C669&lt;&gt;"Compensación ISR",C669&lt;&gt;"Compensación IVA"),AND(C669="Gasto",D669&lt;&gt;"Costos clínicos",D669&lt;&gt;"Remuneración familiar",D669&lt;&gt;"Nómina y honorarios",D669&lt;&gt;"Renta",D669&lt;&gt;"Marketing",D669&lt;&gt;"Servicios y software",D669&lt;&gt;"Mantenimiento",D669&lt;&gt;"Otros",D669&lt;&gt;"Intereses")),"Tipo o categoría inválido",IF(COUNTA(A669:J669)=0,"",IF(OR(A669="",B669="",C669="",H669=""),"Faltan datos",IF(COUNTIF($A$7:$A$2006,A669)&gt;1,"ID duplicado",IF(OR(B669&lt;DATE(Configuración!$C$5,1,1),B669&gt;=DATE(Configuración!$C$5+1,1,1)),"Fecha fuera del año",IF(OR(H669&lt;0,I669&lt;0),"Revisar signo",IF(AND(C669&lt;&gt;"Gasto",I669&lt;&gt;0),"IVA solo en Gasto",IF(AND(C669="Gasto",D669=""),"Falta categoría","OK")))))))))</f>
        <v/>
      </c>
    </row>
    <row r="670" spans="1:12" ht="22" customHeight="1">
      <c r="A670" s="3"/>
      <c r="B670" s="7"/>
      <c r="C670" s="3"/>
      <c r="D670" s="3"/>
      <c r="E670" s="3"/>
      <c r="F670" s="3"/>
      <c r="G670" s="3"/>
      <c r="H670" s="4"/>
      <c r="I670" s="4"/>
      <c r="J670" s="3"/>
      <c r="K670" s="8" t="str">
        <f t="shared" si="10"/>
        <v/>
      </c>
      <c r="L670" s="1" t="str">
        <f>IF(COUNTA(A670:J670)=0,"",IF(OR(AND(C670&lt;&gt;"Gasto",C670&lt;&gt;"Pago proveedor",C670&lt;&gt;"Retiro familiar",C670&lt;&gt;"Aportación",C670&lt;&gt;"Pago activo",C670&lt;&gt;"ISR devengado",C670&lt;&gt;"Pago ISR",C670&lt;&gt;"Pago IVA",C670&lt;&gt;"Compensación ISR",C670&lt;&gt;"Compensación IVA"),AND(C670="Gasto",D670&lt;&gt;"Costos clínicos",D670&lt;&gt;"Remuneración familiar",D670&lt;&gt;"Nómina y honorarios",D670&lt;&gt;"Renta",D670&lt;&gt;"Marketing",D670&lt;&gt;"Servicios y software",D670&lt;&gt;"Mantenimiento",D670&lt;&gt;"Otros",D670&lt;&gt;"Intereses")),"Tipo o categoría inválido",IF(COUNTA(A670:J670)=0,"",IF(OR(A670="",B670="",C670="",H670=""),"Faltan datos",IF(COUNTIF($A$7:$A$2006,A670)&gt;1,"ID duplicado",IF(OR(B670&lt;DATE(Configuración!$C$5,1,1),B670&gt;=DATE(Configuración!$C$5+1,1,1)),"Fecha fuera del año",IF(OR(H670&lt;0,I670&lt;0),"Revisar signo",IF(AND(C670&lt;&gt;"Gasto",I670&lt;&gt;0),"IVA solo en Gasto",IF(AND(C670="Gasto",D670=""),"Falta categoría","OK")))))))))</f>
        <v/>
      </c>
    </row>
    <row r="671" spans="1:12" ht="22" customHeight="1">
      <c r="A671" s="3"/>
      <c r="B671" s="7"/>
      <c r="C671" s="3"/>
      <c r="D671" s="3"/>
      <c r="E671" s="3"/>
      <c r="F671" s="3"/>
      <c r="G671" s="3"/>
      <c r="H671" s="4"/>
      <c r="I671" s="4"/>
      <c r="J671" s="3"/>
      <c r="K671" s="8" t="str">
        <f t="shared" si="10"/>
        <v/>
      </c>
      <c r="L671" s="1" t="str">
        <f>IF(COUNTA(A671:J671)=0,"",IF(OR(AND(C671&lt;&gt;"Gasto",C671&lt;&gt;"Pago proveedor",C671&lt;&gt;"Retiro familiar",C671&lt;&gt;"Aportación",C671&lt;&gt;"Pago activo",C671&lt;&gt;"ISR devengado",C671&lt;&gt;"Pago ISR",C671&lt;&gt;"Pago IVA",C671&lt;&gt;"Compensación ISR",C671&lt;&gt;"Compensación IVA"),AND(C671="Gasto",D671&lt;&gt;"Costos clínicos",D671&lt;&gt;"Remuneración familiar",D671&lt;&gt;"Nómina y honorarios",D671&lt;&gt;"Renta",D671&lt;&gt;"Marketing",D671&lt;&gt;"Servicios y software",D671&lt;&gt;"Mantenimiento",D671&lt;&gt;"Otros",D671&lt;&gt;"Intereses")),"Tipo o categoría inválido",IF(COUNTA(A671:J671)=0,"",IF(OR(A671="",B671="",C671="",H671=""),"Faltan datos",IF(COUNTIF($A$7:$A$2006,A671)&gt;1,"ID duplicado",IF(OR(B671&lt;DATE(Configuración!$C$5,1,1),B671&gt;=DATE(Configuración!$C$5+1,1,1)),"Fecha fuera del año",IF(OR(H671&lt;0,I671&lt;0),"Revisar signo",IF(AND(C671&lt;&gt;"Gasto",I671&lt;&gt;0),"IVA solo en Gasto",IF(AND(C671="Gasto",D671=""),"Falta categoría","OK")))))))))</f>
        <v/>
      </c>
    </row>
    <row r="672" spans="1:12" ht="22" customHeight="1">
      <c r="A672" s="3"/>
      <c r="B672" s="7"/>
      <c r="C672" s="3"/>
      <c r="D672" s="3"/>
      <c r="E672" s="3"/>
      <c r="F672" s="3"/>
      <c r="G672" s="3"/>
      <c r="H672" s="4"/>
      <c r="I672" s="4"/>
      <c r="J672" s="3"/>
      <c r="K672" s="8" t="str">
        <f t="shared" si="10"/>
        <v/>
      </c>
      <c r="L672" s="1" t="str">
        <f>IF(COUNTA(A672:J672)=0,"",IF(OR(AND(C672&lt;&gt;"Gasto",C672&lt;&gt;"Pago proveedor",C672&lt;&gt;"Retiro familiar",C672&lt;&gt;"Aportación",C672&lt;&gt;"Pago activo",C672&lt;&gt;"ISR devengado",C672&lt;&gt;"Pago ISR",C672&lt;&gt;"Pago IVA",C672&lt;&gt;"Compensación ISR",C672&lt;&gt;"Compensación IVA"),AND(C672="Gasto",D672&lt;&gt;"Costos clínicos",D672&lt;&gt;"Remuneración familiar",D672&lt;&gt;"Nómina y honorarios",D672&lt;&gt;"Renta",D672&lt;&gt;"Marketing",D672&lt;&gt;"Servicios y software",D672&lt;&gt;"Mantenimiento",D672&lt;&gt;"Otros",D672&lt;&gt;"Intereses")),"Tipo o categoría inválido",IF(COUNTA(A672:J672)=0,"",IF(OR(A672="",B672="",C672="",H672=""),"Faltan datos",IF(COUNTIF($A$7:$A$2006,A672)&gt;1,"ID duplicado",IF(OR(B672&lt;DATE(Configuración!$C$5,1,1),B672&gt;=DATE(Configuración!$C$5+1,1,1)),"Fecha fuera del año",IF(OR(H672&lt;0,I672&lt;0),"Revisar signo",IF(AND(C672&lt;&gt;"Gasto",I672&lt;&gt;0),"IVA solo en Gasto",IF(AND(C672="Gasto",D672=""),"Falta categoría","OK")))))))))</f>
        <v/>
      </c>
    </row>
    <row r="673" spans="1:12" ht="22" customHeight="1">
      <c r="A673" s="3"/>
      <c r="B673" s="7"/>
      <c r="C673" s="3"/>
      <c r="D673" s="3"/>
      <c r="E673" s="3"/>
      <c r="F673" s="3"/>
      <c r="G673" s="3"/>
      <c r="H673" s="4"/>
      <c r="I673" s="4"/>
      <c r="J673" s="3"/>
      <c r="K673" s="8" t="str">
        <f t="shared" si="10"/>
        <v/>
      </c>
      <c r="L673" s="1" t="str">
        <f>IF(COUNTA(A673:J673)=0,"",IF(OR(AND(C673&lt;&gt;"Gasto",C673&lt;&gt;"Pago proveedor",C673&lt;&gt;"Retiro familiar",C673&lt;&gt;"Aportación",C673&lt;&gt;"Pago activo",C673&lt;&gt;"ISR devengado",C673&lt;&gt;"Pago ISR",C673&lt;&gt;"Pago IVA",C673&lt;&gt;"Compensación ISR",C673&lt;&gt;"Compensación IVA"),AND(C673="Gasto",D673&lt;&gt;"Costos clínicos",D673&lt;&gt;"Remuneración familiar",D673&lt;&gt;"Nómina y honorarios",D673&lt;&gt;"Renta",D673&lt;&gt;"Marketing",D673&lt;&gt;"Servicios y software",D673&lt;&gt;"Mantenimiento",D673&lt;&gt;"Otros",D673&lt;&gt;"Intereses")),"Tipo o categoría inválido",IF(COUNTA(A673:J673)=0,"",IF(OR(A673="",B673="",C673="",H673=""),"Faltan datos",IF(COUNTIF($A$7:$A$2006,A673)&gt;1,"ID duplicado",IF(OR(B673&lt;DATE(Configuración!$C$5,1,1),B673&gt;=DATE(Configuración!$C$5+1,1,1)),"Fecha fuera del año",IF(OR(H673&lt;0,I673&lt;0),"Revisar signo",IF(AND(C673&lt;&gt;"Gasto",I673&lt;&gt;0),"IVA solo en Gasto",IF(AND(C673="Gasto",D673=""),"Falta categoría","OK")))))))))</f>
        <v/>
      </c>
    </row>
    <row r="674" spans="1:12" ht="22" customHeight="1">
      <c r="A674" s="3"/>
      <c r="B674" s="7"/>
      <c r="C674" s="3"/>
      <c r="D674" s="3"/>
      <c r="E674" s="3"/>
      <c r="F674" s="3"/>
      <c r="G674" s="3"/>
      <c r="H674" s="4"/>
      <c r="I674" s="4"/>
      <c r="J674" s="3"/>
      <c r="K674" s="8" t="str">
        <f t="shared" si="10"/>
        <v/>
      </c>
      <c r="L674" s="1" t="str">
        <f>IF(COUNTA(A674:J674)=0,"",IF(OR(AND(C674&lt;&gt;"Gasto",C674&lt;&gt;"Pago proveedor",C674&lt;&gt;"Retiro familiar",C674&lt;&gt;"Aportación",C674&lt;&gt;"Pago activo",C674&lt;&gt;"ISR devengado",C674&lt;&gt;"Pago ISR",C674&lt;&gt;"Pago IVA",C674&lt;&gt;"Compensación ISR",C674&lt;&gt;"Compensación IVA"),AND(C674="Gasto",D674&lt;&gt;"Costos clínicos",D674&lt;&gt;"Remuneración familiar",D674&lt;&gt;"Nómina y honorarios",D674&lt;&gt;"Renta",D674&lt;&gt;"Marketing",D674&lt;&gt;"Servicios y software",D674&lt;&gt;"Mantenimiento",D674&lt;&gt;"Otros",D674&lt;&gt;"Intereses")),"Tipo o categoría inválido",IF(COUNTA(A674:J674)=0,"",IF(OR(A674="",B674="",C674="",H674=""),"Faltan datos",IF(COUNTIF($A$7:$A$2006,A674)&gt;1,"ID duplicado",IF(OR(B674&lt;DATE(Configuración!$C$5,1,1),B674&gt;=DATE(Configuración!$C$5+1,1,1)),"Fecha fuera del año",IF(OR(H674&lt;0,I674&lt;0),"Revisar signo",IF(AND(C674&lt;&gt;"Gasto",I674&lt;&gt;0),"IVA solo en Gasto",IF(AND(C674="Gasto",D674=""),"Falta categoría","OK")))))))))</f>
        <v/>
      </c>
    </row>
    <row r="675" spans="1:12" ht="22" customHeight="1">
      <c r="A675" s="3"/>
      <c r="B675" s="7"/>
      <c r="C675" s="3"/>
      <c r="D675" s="3"/>
      <c r="E675" s="3"/>
      <c r="F675" s="3"/>
      <c r="G675" s="3"/>
      <c r="H675" s="4"/>
      <c r="I675" s="4"/>
      <c r="J675" s="3"/>
      <c r="K675" s="8" t="str">
        <f t="shared" si="10"/>
        <v/>
      </c>
      <c r="L675" s="1" t="str">
        <f>IF(COUNTA(A675:J675)=0,"",IF(OR(AND(C675&lt;&gt;"Gasto",C675&lt;&gt;"Pago proveedor",C675&lt;&gt;"Retiro familiar",C675&lt;&gt;"Aportación",C675&lt;&gt;"Pago activo",C675&lt;&gt;"ISR devengado",C675&lt;&gt;"Pago ISR",C675&lt;&gt;"Pago IVA",C675&lt;&gt;"Compensación ISR",C675&lt;&gt;"Compensación IVA"),AND(C675="Gasto",D675&lt;&gt;"Costos clínicos",D675&lt;&gt;"Remuneración familiar",D675&lt;&gt;"Nómina y honorarios",D675&lt;&gt;"Renta",D675&lt;&gt;"Marketing",D675&lt;&gt;"Servicios y software",D675&lt;&gt;"Mantenimiento",D675&lt;&gt;"Otros",D675&lt;&gt;"Intereses")),"Tipo o categoría inválido",IF(COUNTA(A675:J675)=0,"",IF(OR(A675="",B675="",C675="",H675=""),"Faltan datos",IF(COUNTIF($A$7:$A$2006,A675)&gt;1,"ID duplicado",IF(OR(B675&lt;DATE(Configuración!$C$5,1,1),B675&gt;=DATE(Configuración!$C$5+1,1,1)),"Fecha fuera del año",IF(OR(H675&lt;0,I675&lt;0),"Revisar signo",IF(AND(C675&lt;&gt;"Gasto",I675&lt;&gt;0),"IVA solo en Gasto",IF(AND(C675="Gasto",D675=""),"Falta categoría","OK")))))))))</f>
        <v/>
      </c>
    </row>
    <row r="676" spans="1:12" ht="22" customHeight="1">
      <c r="A676" s="3"/>
      <c r="B676" s="7"/>
      <c r="C676" s="3"/>
      <c r="D676" s="3"/>
      <c r="E676" s="3"/>
      <c r="F676" s="3"/>
      <c r="G676" s="3"/>
      <c r="H676" s="4"/>
      <c r="I676" s="4"/>
      <c r="J676" s="3"/>
      <c r="K676" s="8" t="str">
        <f t="shared" si="10"/>
        <v/>
      </c>
      <c r="L676" s="1" t="str">
        <f>IF(COUNTA(A676:J676)=0,"",IF(OR(AND(C676&lt;&gt;"Gasto",C676&lt;&gt;"Pago proveedor",C676&lt;&gt;"Retiro familiar",C676&lt;&gt;"Aportación",C676&lt;&gt;"Pago activo",C676&lt;&gt;"ISR devengado",C676&lt;&gt;"Pago ISR",C676&lt;&gt;"Pago IVA",C676&lt;&gt;"Compensación ISR",C676&lt;&gt;"Compensación IVA"),AND(C676="Gasto",D676&lt;&gt;"Costos clínicos",D676&lt;&gt;"Remuneración familiar",D676&lt;&gt;"Nómina y honorarios",D676&lt;&gt;"Renta",D676&lt;&gt;"Marketing",D676&lt;&gt;"Servicios y software",D676&lt;&gt;"Mantenimiento",D676&lt;&gt;"Otros",D676&lt;&gt;"Intereses")),"Tipo o categoría inválido",IF(COUNTA(A676:J676)=0,"",IF(OR(A676="",B676="",C676="",H676=""),"Faltan datos",IF(COUNTIF($A$7:$A$2006,A676)&gt;1,"ID duplicado",IF(OR(B676&lt;DATE(Configuración!$C$5,1,1),B676&gt;=DATE(Configuración!$C$5+1,1,1)),"Fecha fuera del año",IF(OR(H676&lt;0,I676&lt;0),"Revisar signo",IF(AND(C676&lt;&gt;"Gasto",I676&lt;&gt;0),"IVA solo en Gasto",IF(AND(C676="Gasto",D676=""),"Falta categoría","OK")))))))))</f>
        <v/>
      </c>
    </row>
    <row r="677" spans="1:12" ht="22" customHeight="1">
      <c r="A677" s="3"/>
      <c r="B677" s="7"/>
      <c r="C677" s="3"/>
      <c r="D677" s="3"/>
      <c r="E677" s="3"/>
      <c r="F677" s="3"/>
      <c r="G677" s="3"/>
      <c r="H677" s="4"/>
      <c r="I677" s="4"/>
      <c r="J677" s="3"/>
      <c r="K677" s="8" t="str">
        <f t="shared" si="10"/>
        <v/>
      </c>
      <c r="L677" s="1" t="str">
        <f>IF(COUNTA(A677:J677)=0,"",IF(OR(AND(C677&lt;&gt;"Gasto",C677&lt;&gt;"Pago proveedor",C677&lt;&gt;"Retiro familiar",C677&lt;&gt;"Aportación",C677&lt;&gt;"Pago activo",C677&lt;&gt;"ISR devengado",C677&lt;&gt;"Pago ISR",C677&lt;&gt;"Pago IVA",C677&lt;&gt;"Compensación ISR",C677&lt;&gt;"Compensación IVA"),AND(C677="Gasto",D677&lt;&gt;"Costos clínicos",D677&lt;&gt;"Remuneración familiar",D677&lt;&gt;"Nómina y honorarios",D677&lt;&gt;"Renta",D677&lt;&gt;"Marketing",D677&lt;&gt;"Servicios y software",D677&lt;&gt;"Mantenimiento",D677&lt;&gt;"Otros",D677&lt;&gt;"Intereses")),"Tipo o categoría inválido",IF(COUNTA(A677:J677)=0,"",IF(OR(A677="",B677="",C677="",H677=""),"Faltan datos",IF(COUNTIF($A$7:$A$2006,A677)&gt;1,"ID duplicado",IF(OR(B677&lt;DATE(Configuración!$C$5,1,1),B677&gt;=DATE(Configuración!$C$5+1,1,1)),"Fecha fuera del año",IF(OR(H677&lt;0,I677&lt;0),"Revisar signo",IF(AND(C677&lt;&gt;"Gasto",I677&lt;&gt;0),"IVA solo en Gasto",IF(AND(C677="Gasto",D677=""),"Falta categoría","OK")))))))))</f>
        <v/>
      </c>
    </row>
    <row r="678" spans="1:12" ht="22" customHeight="1">
      <c r="A678" s="3"/>
      <c r="B678" s="7"/>
      <c r="C678" s="3"/>
      <c r="D678" s="3"/>
      <c r="E678" s="3"/>
      <c r="F678" s="3"/>
      <c r="G678" s="3"/>
      <c r="H678" s="4"/>
      <c r="I678" s="4"/>
      <c r="J678" s="3"/>
      <c r="K678" s="8" t="str">
        <f t="shared" si="10"/>
        <v/>
      </c>
      <c r="L678" s="1" t="str">
        <f>IF(COUNTA(A678:J678)=0,"",IF(OR(AND(C678&lt;&gt;"Gasto",C678&lt;&gt;"Pago proveedor",C678&lt;&gt;"Retiro familiar",C678&lt;&gt;"Aportación",C678&lt;&gt;"Pago activo",C678&lt;&gt;"ISR devengado",C678&lt;&gt;"Pago ISR",C678&lt;&gt;"Pago IVA",C678&lt;&gt;"Compensación ISR",C678&lt;&gt;"Compensación IVA"),AND(C678="Gasto",D678&lt;&gt;"Costos clínicos",D678&lt;&gt;"Remuneración familiar",D678&lt;&gt;"Nómina y honorarios",D678&lt;&gt;"Renta",D678&lt;&gt;"Marketing",D678&lt;&gt;"Servicios y software",D678&lt;&gt;"Mantenimiento",D678&lt;&gt;"Otros",D678&lt;&gt;"Intereses")),"Tipo o categoría inválido",IF(COUNTA(A678:J678)=0,"",IF(OR(A678="",B678="",C678="",H678=""),"Faltan datos",IF(COUNTIF($A$7:$A$2006,A678)&gt;1,"ID duplicado",IF(OR(B678&lt;DATE(Configuración!$C$5,1,1),B678&gt;=DATE(Configuración!$C$5+1,1,1)),"Fecha fuera del año",IF(OR(H678&lt;0,I678&lt;0),"Revisar signo",IF(AND(C678&lt;&gt;"Gasto",I678&lt;&gt;0),"IVA solo en Gasto",IF(AND(C678="Gasto",D678=""),"Falta categoría","OK")))))))))</f>
        <v/>
      </c>
    </row>
    <row r="679" spans="1:12" ht="22" customHeight="1">
      <c r="A679" s="3"/>
      <c r="B679" s="7"/>
      <c r="C679" s="3"/>
      <c r="D679" s="3"/>
      <c r="E679" s="3"/>
      <c r="F679" s="3"/>
      <c r="G679" s="3"/>
      <c r="H679" s="4"/>
      <c r="I679" s="4"/>
      <c r="J679" s="3"/>
      <c r="K679" s="8" t="str">
        <f t="shared" si="10"/>
        <v/>
      </c>
      <c r="L679" s="1" t="str">
        <f>IF(COUNTA(A679:J679)=0,"",IF(OR(AND(C679&lt;&gt;"Gasto",C679&lt;&gt;"Pago proveedor",C679&lt;&gt;"Retiro familiar",C679&lt;&gt;"Aportación",C679&lt;&gt;"Pago activo",C679&lt;&gt;"ISR devengado",C679&lt;&gt;"Pago ISR",C679&lt;&gt;"Pago IVA",C679&lt;&gt;"Compensación ISR",C679&lt;&gt;"Compensación IVA"),AND(C679="Gasto",D679&lt;&gt;"Costos clínicos",D679&lt;&gt;"Remuneración familiar",D679&lt;&gt;"Nómina y honorarios",D679&lt;&gt;"Renta",D679&lt;&gt;"Marketing",D679&lt;&gt;"Servicios y software",D679&lt;&gt;"Mantenimiento",D679&lt;&gt;"Otros",D679&lt;&gt;"Intereses")),"Tipo o categoría inválido",IF(COUNTA(A679:J679)=0,"",IF(OR(A679="",B679="",C679="",H679=""),"Faltan datos",IF(COUNTIF($A$7:$A$2006,A679)&gt;1,"ID duplicado",IF(OR(B679&lt;DATE(Configuración!$C$5,1,1),B679&gt;=DATE(Configuración!$C$5+1,1,1)),"Fecha fuera del año",IF(OR(H679&lt;0,I679&lt;0),"Revisar signo",IF(AND(C679&lt;&gt;"Gasto",I679&lt;&gt;0),"IVA solo en Gasto",IF(AND(C679="Gasto",D679=""),"Falta categoría","OK")))))))))</f>
        <v/>
      </c>
    </row>
    <row r="680" spans="1:12" ht="22" customHeight="1">
      <c r="A680" s="3"/>
      <c r="B680" s="7"/>
      <c r="C680" s="3"/>
      <c r="D680" s="3"/>
      <c r="E680" s="3"/>
      <c r="F680" s="3"/>
      <c r="G680" s="3"/>
      <c r="H680" s="4"/>
      <c r="I680" s="4"/>
      <c r="J680" s="3"/>
      <c r="K680" s="8" t="str">
        <f t="shared" si="10"/>
        <v/>
      </c>
      <c r="L680" s="1" t="str">
        <f>IF(COUNTA(A680:J680)=0,"",IF(OR(AND(C680&lt;&gt;"Gasto",C680&lt;&gt;"Pago proveedor",C680&lt;&gt;"Retiro familiar",C680&lt;&gt;"Aportación",C680&lt;&gt;"Pago activo",C680&lt;&gt;"ISR devengado",C680&lt;&gt;"Pago ISR",C680&lt;&gt;"Pago IVA",C680&lt;&gt;"Compensación ISR",C680&lt;&gt;"Compensación IVA"),AND(C680="Gasto",D680&lt;&gt;"Costos clínicos",D680&lt;&gt;"Remuneración familiar",D680&lt;&gt;"Nómina y honorarios",D680&lt;&gt;"Renta",D680&lt;&gt;"Marketing",D680&lt;&gt;"Servicios y software",D680&lt;&gt;"Mantenimiento",D680&lt;&gt;"Otros",D680&lt;&gt;"Intereses")),"Tipo o categoría inválido",IF(COUNTA(A680:J680)=0,"",IF(OR(A680="",B680="",C680="",H680=""),"Faltan datos",IF(COUNTIF($A$7:$A$2006,A680)&gt;1,"ID duplicado",IF(OR(B680&lt;DATE(Configuración!$C$5,1,1),B680&gt;=DATE(Configuración!$C$5+1,1,1)),"Fecha fuera del año",IF(OR(H680&lt;0,I680&lt;0),"Revisar signo",IF(AND(C680&lt;&gt;"Gasto",I680&lt;&gt;0),"IVA solo en Gasto",IF(AND(C680="Gasto",D680=""),"Falta categoría","OK")))))))))</f>
        <v/>
      </c>
    </row>
    <row r="681" spans="1:12" ht="22" customHeight="1">
      <c r="A681" s="3"/>
      <c r="B681" s="7"/>
      <c r="C681" s="3"/>
      <c r="D681" s="3"/>
      <c r="E681" s="3"/>
      <c r="F681" s="3"/>
      <c r="G681" s="3"/>
      <c r="H681" s="4"/>
      <c r="I681" s="4"/>
      <c r="J681" s="3"/>
      <c r="K681" s="8" t="str">
        <f t="shared" si="10"/>
        <v/>
      </c>
      <c r="L681" s="1" t="str">
        <f>IF(COUNTA(A681:J681)=0,"",IF(OR(AND(C681&lt;&gt;"Gasto",C681&lt;&gt;"Pago proveedor",C681&lt;&gt;"Retiro familiar",C681&lt;&gt;"Aportación",C681&lt;&gt;"Pago activo",C681&lt;&gt;"ISR devengado",C681&lt;&gt;"Pago ISR",C681&lt;&gt;"Pago IVA",C681&lt;&gt;"Compensación ISR",C681&lt;&gt;"Compensación IVA"),AND(C681="Gasto",D681&lt;&gt;"Costos clínicos",D681&lt;&gt;"Remuneración familiar",D681&lt;&gt;"Nómina y honorarios",D681&lt;&gt;"Renta",D681&lt;&gt;"Marketing",D681&lt;&gt;"Servicios y software",D681&lt;&gt;"Mantenimiento",D681&lt;&gt;"Otros",D681&lt;&gt;"Intereses")),"Tipo o categoría inválido",IF(COUNTA(A681:J681)=0,"",IF(OR(A681="",B681="",C681="",H681=""),"Faltan datos",IF(COUNTIF($A$7:$A$2006,A681)&gt;1,"ID duplicado",IF(OR(B681&lt;DATE(Configuración!$C$5,1,1),B681&gt;=DATE(Configuración!$C$5+1,1,1)),"Fecha fuera del año",IF(OR(H681&lt;0,I681&lt;0),"Revisar signo",IF(AND(C681&lt;&gt;"Gasto",I681&lt;&gt;0),"IVA solo en Gasto",IF(AND(C681="Gasto",D681=""),"Falta categoría","OK")))))))))</f>
        <v/>
      </c>
    </row>
    <row r="682" spans="1:12" ht="22" customHeight="1">
      <c r="A682" s="3"/>
      <c r="B682" s="7"/>
      <c r="C682" s="3"/>
      <c r="D682" s="3"/>
      <c r="E682" s="3"/>
      <c r="F682" s="3"/>
      <c r="G682" s="3"/>
      <c r="H682" s="4"/>
      <c r="I682" s="4"/>
      <c r="J682" s="3"/>
      <c r="K682" s="8" t="str">
        <f t="shared" si="10"/>
        <v/>
      </c>
      <c r="L682" s="1" t="str">
        <f>IF(COUNTA(A682:J682)=0,"",IF(OR(AND(C682&lt;&gt;"Gasto",C682&lt;&gt;"Pago proveedor",C682&lt;&gt;"Retiro familiar",C682&lt;&gt;"Aportación",C682&lt;&gt;"Pago activo",C682&lt;&gt;"ISR devengado",C682&lt;&gt;"Pago ISR",C682&lt;&gt;"Pago IVA",C682&lt;&gt;"Compensación ISR",C682&lt;&gt;"Compensación IVA"),AND(C682="Gasto",D682&lt;&gt;"Costos clínicos",D682&lt;&gt;"Remuneración familiar",D682&lt;&gt;"Nómina y honorarios",D682&lt;&gt;"Renta",D682&lt;&gt;"Marketing",D682&lt;&gt;"Servicios y software",D682&lt;&gt;"Mantenimiento",D682&lt;&gt;"Otros",D682&lt;&gt;"Intereses")),"Tipo o categoría inválido",IF(COUNTA(A682:J682)=0,"",IF(OR(A682="",B682="",C682="",H682=""),"Faltan datos",IF(COUNTIF($A$7:$A$2006,A682)&gt;1,"ID duplicado",IF(OR(B682&lt;DATE(Configuración!$C$5,1,1),B682&gt;=DATE(Configuración!$C$5+1,1,1)),"Fecha fuera del año",IF(OR(H682&lt;0,I682&lt;0),"Revisar signo",IF(AND(C682&lt;&gt;"Gasto",I682&lt;&gt;0),"IVA solo en Gasto",IF(AND(C682="Gasto",D682=""),"Falta categoría","OK")))))))))</f>
        <v/>
      </c>
    </row>
    <row r="683" spans="1:12" ht="22" customHeight="1">
      <c r="A683" s="3"/>
      <c r="B683" s="7"/>
      <c r="C683" s="3"/>
      <c r="D683" s="3"/>
      <c r="E683" s="3"/>
      <c r="F683" s="3"/>
      <c r="G683" s="3"/>
      <c r="H683" s="4"/>
      <c r="I683" s="4"/>
      <c r="J683" s="3"/>
      <c r="K683" s="8" t="str">
        <f t="shared" si="10"/>
        <v/>
      </c>
      <c r="L683" s="1" t="str">
        <f>IF(COUNTA(A683:J683)=0,"",IF(OR(AND(C683&lt;&gt;"Gasto",C683&lt;&gt;"Pago proveedor",C683&lt;&gt;"Retiro familiar",C683&lt;&gt;"Aportación",C683&lt;&gt;"Pago activo",C683&lt;&gt;"ISR devengado",C683&lt;&gt;"Pago ISR",C683&lt;&gt;"Pago IVA",C683&lt;&gt;"Compensación ISR",C683&lt;&gt;"Compensación IVA"),AND(C683="Gasto",D683&lt;&gt;"Costos clínicos",D683&lt;&gt;"Remuneración familiar",D683&lt;&gt;"Nómina y honorarios",D683&lt;&gt;"Renta",D683&lt;&gt;"Marketing",D683&lt;&gt;"Servicios y software",D683&lt;&gt;"Mantenimiento",D683&lt;&gt;"Otros",D683&lt;&gt;"Intereses")),"Tipo o categoría inválido",IF(COUNTA(A683:J683)=0,"",IF(OR(A683="",B683="",C683="",H683=""),"Faltan datos",IF(COUNTIF($A$7:$A$2006,A683)&gt;1,"ID duplicado",IF(OR(B683&lt;DATE(Configuración!$C$5,1,1),B683&gt;=DATE(Configuración!$C$5+1,1,1)),"Fecha fuera del año",IF(OR(H683&lt;0,I683&lt;0),"Revisar signo",IF(AND(C683&lt;&gt;"Gasto",I683&lt;&gt;0),"IVA solo en Gasto",IF(AND(C683="Gasto",D683=""),"Falta categoría","OK")))))))))</f>
        <v/>
      </c>
    </row>
    <row r="684" spans="1:12" ht="22" customHeight="1">
      <c r="A684" s="3"/>
      <c r="B684" s="7"/>
      <c r="C684" s="3"/>
      <c r="D684" s="3"/>
      <c r="E684" s="3"/>
      <c r="F684" s="3"/>
      <c r="G684" s="3"/>
      <c r="H684" s="4"/>
      <c r="I684" s="4"/>
      <c r="J684" s="3"/>
      <c r="K684" s="8" t="str">
        <f t="shared" si="10"/>
        <v/>
      </c>
      <c r="L684" s="1" t="str">
        <f>IF(COUNTA(A684:J684)=0,"",IF(OR(AND(C684&lt;&gt;"Gasto",C684&lt;&gt;"Pago proveedor",C684&lt;&gt;"Retiro familiar",C684&lt;&gt;"Aportación",C684&lt;&gt;"Pago activo",C684&lt;&gt;"ISR devengado",C684&lt;&gt;"Pago ISR",C684&lt;&gt;"Pago IVA",C684&lt;&gt;"Compensación ISR",C684&lt;&gt;"Compensación IVA"),AND(C684="Gasto",D684&lt;&gt;"Costos clínicos",D684&lt;&gt;"Remuneración familiar",D684&lt;&gt;"Nómina y honorarios",D684&lt;&gt;"Renta",D684&lt;&gt;"Marketing",D684&lt;&gt;"Servicios y software",D684&lt;&gt;"Mantenimiento",D684&lt;&gt;"Otros",D684&lt;&gt;"Intereses")),"Tipo o categoría inválido",IF(COUNTA(A684:J684)=0,"",IF(OR(A684="",B684="",C684="",H684=""),"Faltan datos",IF(COUNTIF($A$7:$A$2006,A684)&gt;1,"ID duplicado",IF(OR(B684&lt;DATE(Configuración!$C$5,1,1),B684&gt;=DATE(Configuración!$C$5+1,1,1)),"Fecha fuera del año",IF(OR(H684&lt;0,I684&lt;0),"Revisar signo",IF(AND(C684&lt;&gt;"Gasto",I684&lt;&gt;0),"IVA solo en Gasto",IF(AND(C684="Gasto",D684=""),"Falta categoría","OK")))))))))</f>
        <v/>
      </c>
    </row>
    <row r="685" spans="1:12" ht="22" customHeight="1">
      <c r="A685" s="3"/>
      <c r="B685" s="7"/>
      <c r="C685" s="3"/>
      <c r="D685" s="3"/>
      <c r="E685" s="3"/>
      <c r="F685" s="3"/>
      <c r="G685" s="3"/>
      <c r="H685" s="4"/>
      <c r="I685" s="4"/>
      <c r="J685" s="3"/>
      <c r="K685" s="8" t="str">
        <f t="shared" si="10"/>
        <v/>
      </c>
      <c r="L685" s="1" t="str">
        <f>IF(COUNTA(A685:J685)=0,"",IF(OR(AND(C685&lt;&gt;"Gasto",C685&lt;&gt;"Pago proveedor",C685&lt;&gt;"Retiro familiar",C685&lt;&gt;"Aportación",C685&lt;&gt;"Pago activo",C685&lt;&gt;"ISR devengado",C685&lt;&gt;"Pago ISR",C685&lt;&gt;"Pago IVA",C685&lt;&gt;"Compensación ISR",C685&lt;&gt;"Compensación IVA"),AND(C685="Gasto",D685&lt;&gt;"Costos clínicos",D685&lt;&gt;"Remuneración familiar",D685&lt;&gt;"Nómina y honorarios",D685&lt;&gt;"Renta",D685&lt;&gt;"Marketing",D685&lt;&gt;"Servicios y software",D685&lt;&gt;"Mantenimiento",D685&lt;&gt;"Otros",D685&lt;&gt;"Intereses")),"Tipo o categoría inválido",IF(COUNTA(A685:J685)=0,"",IF(OR(A685="",B685="",C685="",H685=""),"Faltan datos",IF(COUNTIF($A$7:$A$2006,A685)&gt;1,"ID duplicado",IF(OR(B685&lt;DATE(Configuración!$C$5,1,1),B685&gt;=DATE(Configuración!$C$5+1,1,1)),"Fecha fuera del año",IF(OR(H685&lt;0,I685&lt;0),"Revisar signo",IF(AND(C685&lt;&gt;"Gasto",I685&lt;&gt;0),"IVA solo en Gasto",IF(AND(C685="Gasto",D685=""),"Falta categoría","OK")))))))))</f>
        <v/>
      </c>
    </row>
    <row r="686" spans="1:12" ht="22" customHeight="1">
      <c r="A686" s="3"/>
      <c r="B686" s="7"/>
      <c r="C686" s="3"/>
      <c r="D686" s="3"/>
      <c r="E686" s="3"/>
      <c r="F686" s="3"/>
      <c r="G686" s="3"/>
      <c r="H686" s="4"/>
      <c r="I686" s="4"/>
      <c r="J686" s="3"/>
      <c r="K686" s="8" t="str">
        <f t="shared" si="10"/>
        <v/>
      </c>
      <c r="L686" s="1" t="str">
        <f>IF(COUNTA(A686:J686)=0,"",IF(OR(AND(C686&lt;&gt;"Gasto",C686&lt;&gt;"Pago proveedor",C686&lt;&gt;"Retiro familiar",C686&lt;&gt;"Aportación",C686&lt;&gt;"Pago activo",C686&lt;&gt;"ISR devengado",C686&lt;&gt;"Pago ISR",C686&lt;&gt;"Pago IVA",C686&lt;&gt;"Compensación ISR",C686&lt;&gt;"Compensación IVA"),AND(C686="Gasto",D686&lt;&gt;"Costos clínicos",D686&lt;&gt;"Remuneración familiar",D686&lt;&gt;"Nómina y honorarios",D686&lt;&gt;"Renta",D686&lt;&gt;"Marketing",D686&lt;&gt;"Servicios y software",D686&lt;&gt;"Mantenimiento",D686&lt;&gt;"Otros",D686&lt;&gt;"Intereses")),"Tipo o categoría inválido",IF(COUNTA(A686:J686)=0,"",IF(OR(A686="",B686="",C686="",H686=""),"Faltan datos",IF(COUNTIF($A$7:$A$2006,A686)&gt;1,"ID duplicado",IF(OR(B686&lt;DATE(Configuración!$C$5,1,1),B686&gt;=DATE(Configuración!$C$5+1,1,1)),"Fecha fuera del año",IF(OR(H686&lt;0,I686&lt;0),"Revisar signo",IF(AND(C686&lt;&gt;"Gasto",I686&lt;&gt;0),"IVA solo en Gasto",IF(AND(C686="Gasto",D686=""),"Falta categoría","OK")))))))))</f>
        <v/>
      </c>
    </row>
    <row r="687" spans="1:12" ht="22" customHeight="1">
      <c r="A687" s="3"/>
      <c r="B687" s="7"/>
      <c r="C687" s="3"/>
      <c r="D687" s="3"/>
      <c r="E687" s="3"/>
      <c r="F687" s="3"/>
      <c r="G687" s="3"/>
      <c r="H687" s="4"/>
      <c r="I687" s="4"/>
      <c r="J687" s="3"/>
      <c r="K687" s="8" t="str">
        <f t="shared" si="10"/>
        <v/>
      </c>
      <c r="L687" s="1" t="str">
        <f>IF(COUNTA(A687:J687)=0,"",IF(OR(AND(C687&lt;&gt;"Gasto",C687&lt;&gt;"Pago proveedor",C687&lt;&gt;"Retiro familiar",C687&lt;&gt;"Aportación",C687&lt;&gt;"Pago activo",C687&lt;&gt;"ISR devengado",C687&lt;&gt;"Pago ISR",C687&lt;&gt;"Pago IVA",C687&lt;&gt;"Compensación ISR",C687&lt;&gt;"Compensación IVA"),AND(C687="Gasto",D687&lt;&gt;"Costos clínicos",D687&lt;&gt;"Remuneración familiar",D687&lt;&gt;"Nómina y honorarios",D687&lt;&gt;"Renta",D687&lt;&gt;"Marketing",D687&lt;&gt;"Servicios y software",D687&lt;&gt;"Mantenimiento",D687&lt;&gt;"Otros",D687&lt;&gt;"Intereses")),"Tipo o categoría inválido",IF(COUNTA(A687:J687)=0,"",IF(OR(A687="",B687="",C687="",H687=""),"Faltan datos",IF(COUNTIF($A$7:$A$2006,A687)&gt;1,"ID duplicado",IF(OR(B687&lt;DATE(Configuración!$C$5,1,1),B687&gt;=DATE(Configuración!$C$5+1,1,1)),"Fecha fuera del año",IF(OR(H687&lt;0,I687&lt;0),"Revisar signo",IF(AND(C687&lt;&gt;"Gasto",I687&lt;&gt;0),"IVA solo en Gasto",IF(AND(C687="Gasto",D687=""),"Falta categoría","OK")))))))))</f>
        <v/>
      </c>
    </row>
    <row r="688" spans="1:12" ht="22" customHeight="1">
      <c r="A688" s="3"/>
      <c r="B688" s="7"/>
      <c r="C688" s="3"/>
      <c r="D688" s="3"/>
      <c r="E688" s="3"/>
      <c r="F688" s="3"/>
      <c r="G688" s="3"/>
      <c r="H688" s="4"/>
      <c r="I688" s="4"/>
      <c r="J688" s="3"/>
      <c r="K688" s="8" t="str">
        <f t="shared" si="10"/>
        <v/>
      </c>
      <c r="L688" s="1" t="str">
        <f>IF(COUNTA(A688:J688)=0,"",IF(OR(AND(C688&lt;&gt;"Gasto",C688&lt;&gt;"Pago proveedor",C688&lt;&gt;"Retiro familiar",C688&lt;&gt;"Aportación",C688&lt;&gt;"Pago activo",C688&lt;&gt;"ISR devengado",C688&lt;&gt;"Pago ISR",C688&lt;&gt;"Pago IVA",C688&lt;&gt;"Compensación ISR",C688&lt;&gt;"Compensación IVA"),AND(C688="Gasto",D688&lt;&gt;"Costos clínicos",D688&lt;&gt;"Remuneración familiar",D688&lt;&gt;"Nómina y honorarios",D688&lt;&gt;"Renta",D688&lt;&gt;"Marketing",D688&lt;&gt;"Servicios y software",D688&lt;&gt;"Mantenimiento",D688&lt;&gt;"Otros",D688&lt;&gt;"Intereses")),"Tipo o categoría inválido",IF(COUNTA(A688:J688)=0,"",IF(OR(A688="",B688="",C688="",H688=""),"Faltan datos",IF(COUNTIF($A$7:$A$2006,A688)&gt;1,"ID duplicado",IF(OR(B688&lt;DATE(Configuración!$C$5,1,1),B688&gt;=DATE(Configuración!$C$5+1,1,1)),"Fecha fuera del año",IF(OR(H688&lt;0,I688&lt;0),"Revisar signo",IF(AND(C688&lt;&gt;"Gasto",I688&lt;&gt;0),"IVA solo en Gasto",IF(AND(C688="Gasto",D688=""),"Falta categoría","OK")))))))))</f>
        <v/>
      </c>
    </row>
    <row r="689" spans="1:12" ht="22" customHeight="1">
      <c r="A689" s="3"/>
      <c r="B689" s="7"/>
      <c r="C689" s="3"/>
      <c r="D689" s="3"/>
      <c r="E689" s="3"/>
      <c r="F689" s="3"/>
      <c r="G689" s="3"/>
      <c r="H689" s="4"/>
      <c r="I689" s="4"/>
      <c r="J689" s="3"/>
      <c r="K689" s="8" t="str">
        <f t="shared" si="10"/>
        <v/>
      </c>
      <c r="L689" s="1" t="str">
        <f>IF(COUNTA(A689:J689)=0,"",IF(OR(AND(C689&lt;&gt;"Gasto",C689&lt;&gt;"Pago proveedor",C689&lt;&gt;"Retiro familiar",C689&lt;&gt;"Aportación",C689&lt;&gt;"Pago activo",C689&lt;&gt;"ISR devengado",C689&lt;&gt;"Pago ISR",C689&lt;&gt;"Pago IVA",C689&lt;&gt;"Compensación ISR",C689&lt;&gt;"Compensación IVA"),AND(C689="Gasto",D689&lt;&gt;"Costos clínicos",D689&lt;&gt;"Remuneración familiar",D689&lt;&gt;"Nómina y honorarios",D689&lt;&gt;"Renta",D689&lt;&gt;"Marketing",D689&lt;&gt;"Servicios y software",D689&lt;&gt;"Mantenimiento",D689&lt;&gt;"Otros",D689&lt;&gt;"Intereses")),"Tipo o categoría inválido",IF(COUNTA(A689:J689)=0,"",IF(OR(A689="",B689="",C689="",H689=""),"Faltan datos",IF(COUNTIF($A$7:$A$2006,A689)&gt;1,"ID duplicado",IF(OR(B689&lt;DATE(Configuración!$C$5,1,1),B689&gt;=DATE(Configuración!$C$5+1,1,1)),"Fecha fuera del año",IF(OR(H689&lt;0,I689&lt;0),"Revisar signo",IF(AND(C689&lt;&gt;"Gasto",I689&lt;&gt;0),"IVA solo en Gasto",IF(AND(C689="Gasto",D689=""),"Falta categoría","OK")))))))))</f>
        <v/>
      </c>
    </row>
    <row r="690" spans="1:12" ht="22" customHeight="1">
      <c r="A690" s="3"/>
      <c r="B690" s="7"/>
      <c r="C690" s="3"/>
      <c r="D690" s="3"/>
      <c r="E690" s="3"/>
      <c r="F690" s="3"/>
      <c r="G690" s="3"/>
      <c r="H690" s="4"/>
      <c r="I690" s="4"/>
      <c r="J690" s="3"/>
      <c r="K690" s="8" t="str">
        <f t="shared" si="10"/>
        <v/>
      </c>
      <c r="L690" s="1" t="str">
        <f>IF(COUNTA(A690:J690)=0,"",IF(OR(AND(C690&lt;&gt;"Gasto",C690&lt;&gt;"Pago proveedor",C690&lt;&gt;"Retiro familiar",C690&lt;&gt;"Aportación",C690&lt;&gt;"Pago activo",C690&lt;&gt;"ISR devengado",C690&lt;&gt;"Pago ISR",C690&lt;&gt;"Pago IVA",C690&lt;&gt;"Compensación ISR",C690&lt;&gt;"Compensación IVA"),AND(C690="Gasto",D690&lt;&gt;"Costos clínicos",D690&lt;&gt;"Remuneración familiar",D690&lt;&gt;"Nómina y honorarios",D690&lt;&gt;"Renta",D690&lt;&gt;"Marketing",D690&lt;&gt;"Servicios y software",D690&lt;&gt;"Mantenimiento",D690&lt;&gt;"Otros",D690&lt;&gt;"Intereses")),"Tipo o categoría inválido",IF(COUNTA(A690:J690)=0,"",IF(OR(A690="",B690="",C690="",H690=""),"Faltan datos",IF(COUNTIF($A$7:$A$2006,A690)&gt;1,"ID duplicado",IF(OR(B690&lt;DATE(Configuración!$C$5,1,1),B690&gt;=DATE(Configuración!$C$5+1,1,1)),"Fecha fuera del año",IF(OR(H690&lt;0,I690&lt;0),"Revisar signo",IF(AND(C690&lt;&gt;"Gasto",I690&lt;&gt;0),"IVA solo en Gasto",IF(AND(C690="Gasto",D690=""),"Falta categoría","OK")))))))))</f>
        <v/>
      </c>
    </row>
    <row r="691" spans="1:12" ht="22" customHeight="1">
      <c r="A691" s="3"/>
      <c r="B691" s="7"/>
      <c r="C691" s="3"/>
      <c r="D691" s="3"/>
      <c r="E691" s="3"/>
      <c r="F691" s="3"/>
      <c r="G691" s="3"/>
      <c r="H691" s="4"/>
      <c r="I691" s="4"/>
      <c r="J691" s="3"/>
      <c r="K691" s="8" t="str">
        <f t="shared" si="10"/>
        <v/>
      </c>
      <c r="L691" s="1" t="str">
        <f>IF(COUNTA(A691:J691)=0,"",IF(OR(AND(C691&lt;&gt;"Gasto",C691&lt;&gt;"Pago proveedor",C691&lt;&gt;"Retiro familiar",C691&lt;&gt;"Aportación",C691&lt;&gt;"Pago activo",C691&lt;&gt;"ISR devengado",C691&lt;&gt;"Pago ISR",C691&lt;&gt;"Pago IVA",C691&lt;&gt;"Compensación ISR",C691&lt;&gt;"Compensación IVA"),AND(C691="Gasto",D691&lt;&gt;"Costos clínicos",D691&lt;&gt;"Remuneración familiar",D691&lt;&gt;"Nómina y honorarios",D691&lt;&gt;"Renta",D691&lt;&gt;"Marketing",D691&lt;&gt;"Servicios y software",D691&lt;&gt;"Mantenimiento",D691&lt;&gt;"Otros",D691&lt;&gt;"Intereses")),"Tipo o categoría inválido",IF(COUNTA(A691:J691)=0,"",IF(OR(A691="",B691="",C691="",H691=""),"Faltan datos",IF(COUNTIF($A$7:$A$2006,A691)&gt;1,"ID duplicado",IF(OR(B691&lt;DATE(Configuración!$C$5,1,1),B691&gt;=DATE(Configuración!$C$5+1,1,1)),"Fecha fuera del año",IF(OR(H691&lt;0,I691&lt;0),"Revisar signo",IF(AND(C691&lt;&gt;"Gasto",I691&lt;&gt;0),"IVA solo en Gasto",IF(AND(C691="Gasto",D691=""),"Falta categoría","OK")))))))))</f>
        <v/>
      </c>
    </row>
    <row r="692" spans="1:12" ht="22" customHeight="1">
      <c r="A692" s="3"/>
      <c r="B692" s="7"/>
      <c r="C692" s="3"/>
      <c r="D692" s="3"/>
      <c r="E692" s="3"/>
      <c r="F692" s="3"/>
      <c r="G692" s="3"/>
      <c r="H692" s="4"/>
      <c r="I692" s="4"/>
      <c r="J692" s="3"/>
      <c r="K692" s="8" t="str">
        <f t="shared" si="10"/>
        <v/>
      </c>
      <c r="L692" s="1" t="str">
        <f>IF(COUNTA(A692:J692)=0,"",IF(OR(AND(C692&lt;&gt;"Gasto",C692&lt;&gt;"Pago proveedor",C692&lt;&gt;"Retiro familiar",C692&lt;&gt;"Aportación",C692&lt;&gt;"Pago activo",C692&lt;&gt;"ISR devengado",C692&lt;&gt;"Pago ISR",C692&lt;&gt;"Pago IVA",C692&lt;&gt;"Compensación ISR",C692&lt;&gt;"Compensación IVA"),AND(C692="Gasto",D692&lt;&gt;"Costos clínicos",D692&lt;&gt;"Remuneración familiar",D692&lt;&gt;"Nómina y honorarios",D692&lt;&gt;"Renta",D692&lt;&gt;"Marketing",D692&lt;&gt;"Servicios y software",D692&lt;&gt;"Mantenimiento",D692&lt;&gt;"Otros",D692&lt;&gt;"Intereses")),"Tipo o categoría inválido",IF(COUNTA(A692:J692)=0,"",IF(OR(A692="",B692="",C692="",H692=""),"Faltan datos",IF(COUNTIF($A$7:$A$2006,A692)&gt;1,"ID duplicado",IF(OR(B692&lt;DATE(Configuración!$C$5,1,1),B692&gt;=DATE(Configuración!$C$5+1,1,1)),"Fecha fuera del año",IF(OR(H692&lt;0,I692&lt;0),"Revisar signo",IF(AND(C692&lt;&gt;"Gasto",I692&lt;&gt;0),"IVA solo en Gasto",IF(AND(C692="Gasto",D692=""),"Falta categoría","OK")))))))))</f>
        <v/>
      </c>
    </row>
    <row r="693" spans="1:12" ht="22" customHeight="1">
      <c r="A693" s="3"/>
      <c r="B693" s="7"/>
      <c r="C693" s="3"/>
      <c r="D693" s="3"/>
      <c r="E693" s="3"/>
      <c r="F693" s="3"/>
      <c r="G693" s="3"/>
      <c r="H693" s="4"/>
      <c r="I693" s="4"/>
      <c r="J693" s="3"/>
      <c r="K693" s="8" t="str">
        <f t="shared" si="10"/>
        <v/>
      </c>
      <c r="L693" s="1" t="str">
        <f>IF(COUNTA(A693:J693)=0,"",IF(OR(AND(C693&lt;&gt;"Gasto",C693&lt;&gt;"Pago proveedor",C693&lt;&gt;"Retiro familiar",C693&lt;&gt;"Aportación",C693&lt;&gt;"Pago activo",C693&lt;&gt;"ISR devengado",C693&lt;&gt;"Pago ISR",C693&lt;&gt;"Pago IVA",C693&lt;&gt;"Compensación ISR",C693&lt;&gt;"Compensación IVA"),AND(C693="Gasto",D693&lt;&gt;"Costos clínicos",D693&lt;&gt;"Remuneración familiar",D693&lt;&gt;"Nómina y honorarios",D693&lt;&gt;"Renta",D693&lt;&gt;"Marketing",D693&lt;&gt;"Servicios y software",D693&lt;&gt;"Mantenimiento",D693&lt;&gt;"Otros",D693&lt;&gt;"Intereses")),"Tipo o categoría inválido",IF(COUNTA(A693:J693)=0,"",IF(OR(A693="",B693="",C693="",H693=""),"Faltan datos",IF(COUNTIF($A$7:$A$2006,A693)&gt;1,"ID duplicado",IF(OR(B693&lt;DATE(Configuración!$C$5,1,1),B693&gt;=DATE(Configuración!$C$5+1,1,1)),"Fecha fuera del año",IF(OR(H693&lt;0,I693&lt;0),"Revisar signo",IF(AND(C693&lt;&gt;"Gasto",I693&lt;&gt;0),"IVA solo en Gasto",IF(AND(C693="Gasto",D693=""),"Falta categoría","OK")))))))))</f>
        <v/>
      </c>
    </row>
    <row r="694" spans="1:12" ht="22" customHeight="1">
      <c r="A694" s="3"/>
      <c r="B694" s="7"/>
      <c r="C694" s="3"/>
      <c r="D694" s="3"/>
      <c r="E694" s="3"/>
      <c r="F694" s="3"/>
      <c r="G694" s="3"/>
      <c r="H694" s="4"/>
      <c r="I694" s="4"/>
      <c r="J694" s="3"/>
      <c r="K694" s="8" t="str">
        <f t="shared" si="10"/>
        <v/>
      </c>
      <c r="L694" s="1" t="str">
        <f>IF(COUNTA(A694:J694)=0,"",IF(OR(AND(C694&lt;&gt;"Gasto",C694&lt;&gt;"Pago proveedor",C694&lt;&gt;"Retiro familiar",C694&lt;&gt;"Aportación",C694&lt;&gt;"Pago activo",C694&lt;&gt;"ISR devengado",C694&lt;&gt;"Pago ISR",C694&lt;&gt;"Pago IVA",C694&lt;&gt;"Compensación ISR",C694&lt;&gt;"Compensación IVA"),AND(C694="Gasto",D694&lt;&gt;"Costos clínicos",D694&lt;&gt;"Remuneración familiar",D694&lt;&gt;"Nómina y honorarios",D694&lt;&gt;"Renta",D694&lt;&gt;"Marketing",D694&lt;&gt;"Servicios y software",D694&lt;&gt;"Mantenimiento",D694&lt;&gt;"Otros",D694&lt;&gt;"Intereses")),"Tipo o categoría inválido",IF(COUNTA(A694:J694)=0,"",IF(OR(A694="",B694="",C694="",H694=""),"Faltan datos",IF(COUNTIF($A$7:$A$2006,A694)&gt;1,"ID duplicado",IF(OR(B694&lt;DATE(Configuración!$C$5,1,1),B694&gt;=DATE(Configuración!$C$5+1,1,1)),"Fecha fuera del año",IF(OR(H694&lt;0,I694&lt;0),"Revisar signo",IF(AND(C694&lt;&gt;"Gasto",I694&lt;&gt;0),"IVA solo en Gasto",IF(AND(C694="Gasto",D694=""),"Falta categoría","OK")))))))))</f>
        <v/>
      </c>
    </row>
    <row r="695" spans="1:12" ht="22" customHeight="1">
      <c r="A695" s="3"/>
      <c r="B695" s="7"/>
      <c r="C695" s="3"/>
      <c r="D695" s="3"/>
      <c r="E695" s="3"/>
      <c r="F695" s="3"/>
      <c r="G695" s="3"/>
      <c r="H695" s="4"/>
      <c r="I695" s="4"/>
      <c r="J695" s="3"/>
      <c r="K695" s="8" t="str">
        <f t="shared" si="10"/>
        <v/>
      </c>
      <c r="L695" s="1" t="str">
        <f>IF(COUNTA(A695:J695)=0,"",IF(OR(AND(C695&lt;&gt;"Gasto",C695&lt;&gt;"Pago proveedor",C695&lt;&gt;"Retiro familiar",C695&lt;&gt;"Aportación",C695&lt;&gt;"Pago activo",C695&lt;&gt;"ISR devengado",C695&lt;&gt;"Pago ISR",C695&lt;&gt;"Pago IVA",C695&lt;&gt;"Compensación ISR",C695&lt;&gt;"Compensación IVA"),AND(C695="Gasto",D695&lt;&gt;"Costos clínicos",D695&lt;&gt;"Remuneración familiar",D695&lt;&gt;"Nómina y honorarios",D695&lt;&gt;"Renta",D695&lt;&gt;"Marketing",D695&lt;&gt;"Servicios y software",D695&lt;&gt;"Mantenimiento",D695&lt;&gt;"Otros",D695&lt;&gt;"Intereses")),"Tipo o categoría inválido",IF(COUNTA(A695:J695)=0,"",IF(OR(A695="",B695="",C695="",H695=""),"Faltan datos",IF(COUNTIF($A$7:$A$2006,A695)&gt;1,"ID duplicado",IF(OR(B695&lt;DATE(Configuración!$C$5,1,1),B695&gt;=DATE(Configuración!$C$5+1,1,1)),"Fecha fuera del año",IF(OR(H695&lt;0,I695&lt;0),"Revisar signo",IF(AND(C695&lt;&gt;"Gasto",I695&lt;&gt;0),"IVA solo en Gasto",IF(AND(C695="Gasto",D695=""),"Falta categoría","OK")))))))))</f>
        <v/>
      </c>
    </row>
    <row r="696" spans="1:12" ht="22" customHeight="1">
      <c r="A696" s="3"/>
      <c r="B696" s="7"/>
      <c r="C696" s="3"/>
      <c r="D696" s="3"/>
      <c r="E696" s="3"/>
      <c r="F696" s="3"/>
      <c r="G696" s="3"/>
      <c r="H696" s="4"/>
      <c r="I696" s="4"/>
      <c r="J696" s="3"/>
      <c r="K696" s="8" t="str">
        <f t="shared" si="10"/>
        <v/>
      </c>
      <c r="L696" s="1" t="str">
        <f>IF(COUNTA(A696:J696)=0,"",IF(OR(AND(C696&lt;&gt;"Gasto",C696&lt;&gt;"Pago proveedor",C696&lt;&gt;"Retiro familiar",C696&lt;&gt;"Aportación",C696&lt;&gt;"Pago activo",C696&lt;&gt;"ISR devengado",C696&lt;&gt;"Pago ISR",C696&lt;&gt;"Pago IVA",C696&lt;&gt;"Compensación ISR",C696&lt;&gt;"Compensación IVA"),AND(C696="Gasto",D696&lt;&gt;"Costos clínicos",D696&lt;&gt;"Remuneración familiar",D696&lt;&gt;"Nómina y honorarios",D696&lt;&gt;"Renta",D696&lt;&gt;"Marketing",D696&lt;&gt;"Servicios y software",D696&lt;&gt;"Mantenimiento",D696&lt;&gt;"Otros",D696&lt;&gt;"Intereses")),"Tipo o categoría inválido",IF(COUNTA(A696:J696)=0,"",IF(OR(A696="",B696="",C696="",H696=""),"Faltan datos",IF(COUNTIF($A$7:$A$2006,A696)&gt;1,"ID duplicado",IF(OR(B696&lt;DATE(Configuración!$C$5,1,1),B696&gt;=DATE(Configuración!$C$5+1,1,1)),"Fecha fuera del año",IF(OR(H696&lt;0,I696&lt;0),"Revisar signo",IF(AND(C696&lt;&gt;"Gasto",I696&lt;&gt;0),"IVA solo en Gasto",IF(AND(C696="Gasto",D696=""),"Falta categoría","OK")))))))))</f>
        <v/>
      </c>
    </row>
    <row r="697" spans="1:12" ht="22" customHeight="1">
      <c r="A697" s="3"/>
      <c r="B697" s="7"/>
      <c r="C697" s="3"/>
      <c r="D697" s="3"/>
      <c r="E697" s="3"/>
      <c r="F697" s="3"/>
      <c r="G697" s="3"/>
      <c r="H697" s="4"/>
      <c r="I697" s="4"/>
      <c r="J697" s="3"/>
      <c r="K697" s="8" t="str">
        <f t="shared" si="10"/>
        <v/>
      </c>
      <c r="L697" s="1" t="str">
        <f>IF(COUNTA(A697:J697)=0,"",IF(OR(AND(C697&lt;&gt;"Gasto",C697&lt;&gt;"Pago proveedor",C697&lt;&gt;"Retiro familiar",C697&lt;&gt;"Aportación",C697&lt;&gt;"Pago activo",C697&lt;&gt;"ISR devengado",C697&lt;&gt;"Pago ISR",C697&lt;&gt;"Pago IVA",C697&lt;&gt;"Compensación ISR",C697&lt;&gt;"Compensación IVA"),AND(C697="Gasto",D697&lt;&gt;"Costos clínicos",D697&lt;&gt;"Remuneración familiar",D697&lt;&gt;"Nómina y honorarios",D697&lt;&gt;"Renta",D697&lt;&gt;"Marketing",D697&lt;&gt;"Servicios y software",D697&lt;&gt;"Mantenimiento",D697&lt;&gt;"Otros",D697&lt;&gt;"Intereses")),"Tipo o categoría inválido",IF(COUNTA(A697:J697)=0,"",IF(OR(A697="",B697="",C697="",H697=""),"Faltan datos",IF(COUNTIF($A$7:$A$2006,A697)&gt;1,"ID duplicado",IF(OR(B697&lt;DATE(Configuración!$C$5,1,1),B697&gt;=DATE(Configuración!$C$5+1,1,1)),"Fecha fuera del año",IF(OR(H697&lt;0,I697&lt;0),"Revisar signo",IF(AND(C697&lt;&gt;"Gasto",I697&lt;&gt;0),"IVA solo en Gasto",IF(AND(C697="Gasto",D697=""),"Falta categoría","OK")))))))))</f>
        <v/>
      </c>
    </row>
    <row r="698" spans="1:12" ht="22" customHeight="1">
      <c r="A698" s="3"/>
      <c r="B698" s="7"/>
      <c r="C698" s="3"/>
      <c r="D698" s="3"/>
      <c r="E698" s="3"/>
      <c r="F698" s="3"/>
      <c r="G698" s="3"/>
      <c r="H698" s="4"/>
      <c r="I698" s="4"/>
      <c r="J698" s="3"/>
      <c r="K698" s="8" t="str">
        <f t="shared" si="10"/>
        <v/>
      </c>
      <c r="L698" s="1" t="str">
        <f>IF(COUNTA(A698:J698)=0,"",IF(OR(AND(C698&lt;&gt;"Gasto",C698&lt;&gt;"Pago proveedor",C698&lt;&gt;"Retiro familiar",C698&lt;&gt;"Aportación",C698&lt;&gt;"Pago activo",C698&lt;&gt;"ISR devengado",C698&lt;&gt;"Pago ISR",C698&lt;&gt;"Pago IVA",C698&lt;&gt;"Compensación ISR",C698&lt;&gt;"Compensación IVA"),AND(C698="Gasto",D698&lt;&gt;"Costos clínicos",D698&lt;&gt;"Remuneración familiar",D698&lt;&gt;"Nómina y honorarios",D698&lt;&gt;"Renta",D698&lt;&gt;"Marketing",D698&lt;&gt;"Servicios y software",D698&lt;&gt;"Mantenimiento",D698&lt;&gt;"Otros",D698&lt;&gt;"Intereses")),"Tipo o categoría inválido",IF(COUNTA(A698:J698)=0,"",IF(OR(A698="",B698="",C698="",H698=""),"Faltan datos",IF(COUNTIF($A$7:$A$2006,A698)&gt;1,"ID duplicado",IF(OR(B698&lt;DATE(Configuración!$C$5,1,1),B698&gt;=DATE(Configuración!$C$5+1,1,1)),"Fecha fuera del año",IF(OR(H698&lt;0,I698&lt;0),"Revisar signo",IF(AND(C698&lt;&gt;"Gasto",I698&lt;&gt;0),"IVA solo en Gasto",IF(AND(C698="Gasto",D698=""),"Falta categoría","OK")))))))))</f>
        <v/>
      </c>
    </row>
    <row r="699" spans="1:12" ht="22" customHeight="1">
      <c r="A699" s="3"/>
      <c r="B699" s="7"/>
      <c r="C699" s="3"/>
      <c r="D699" s="3"/>
      <c r="E699" s="3"/>
      <c r="F699" s="3"/>
      <c r="G699" s="3"/>
      <c r="H699" s="4"/>
      <c r="I699" s="4"/>
      <c r="J699" s="3"/>
      <c r="K699" s="8" t="str">
        <f t="shared" si="10"/>
        <v/>
      </c>
      <c r="L699" s="1" t="str">
        <f>IF(COUNTA(A699:J699)=0,"",IF(OR(AND(C699&lt;&gt;"Gasto",C699&lt;&gt;"Pago proveedor",C699&lt;&gt;"Retiro familiar",C699&lt;&gt;"Aportación",C699&lt;&gt;"Pago activo",C699&lt;&gt;"ISR devengado",C699&lt;&gt;"Pago ISR",C699&lt;&gt;"Pago IVA",C699&lt;&gt;"Compensación ISR",C699&lt;&gt;"Compensación IVA"),AND(C699="Gasto",D699&lt;&gt;"Costos clínicos",D699&lt;&gt;"Remuneración familiar",D699&lt;&gt;"Nómina y honorarios",D699&lt;&gt;"Renta",D699&lt;&gt;"Marketing",D699&lt;&gt;"Servicios y software",D699&lt;&gt;"Mantenimiento",D699&lt;&gt;"Otros",D699&lt;&gt;"Intereses")),"Tipo o categoría inválido",IF(COUNTA(A699:J699)=0,"",IF(OR(A699="",B699="",C699="",H699=""),"Faltan datos",IF(COUNTIF($A$7:$A$2006,A699)&gt;1,"ID duplicado",IF(OR(B699&lt;DATE(Configuración!$C$5,1,1),B699&gt;=DATE(Configuración!$C$5+1,1,1)),"Fecha fuera del año",IF(OR(H699&lt;0,I699&lt;0),"Revisar signo",IF(AND(C699&lt;&gt;"Gasto",I699&lt;&gt;0),"IVA solo en Gasto",IF(AND(C699="Gasto",D699=""),"Falta categoría","OK")))))))))</f>
        <v/>
      </c>
    </row>
    <row r="700" spans="1:12" ht="22" customHeight="1">
      <c r="A700" s="3"/>
      <c r="B700" s="7"/>
      <c r="C700" s="3"/>
      <c r="D700" s="3"/>
      <c r="E700" s="3"/>
      <c r="F700" s="3"/>
      <c r="G700" s="3"/>
      <c r="H700" s="4"/>
      <c r="I700" s="4"/>
      <c r="J700" s="3"/>
      <c r="K700" s="8" t="str">
        <f t="shared" si="10"/>
        <v/>
      </c>
      <c r="L700" s="1" t="str">
        <f>IF(COUNTA(A700:J700)=0,"",IF(OR(AND(C700&lt;&gt;"Gasto",C700&lt;&gt;"Pago proveedor",C700&lt;&gt;"Retiro familiar",C700&lt;&gt;"Aportación",C700&lt;&gt;"Pago activo",C700&lt;&gt;"ISR devengado",C700&lt;&gt;"Pago ISR",C700&lt;&gt;"Pago IVA",C700&lt;&gt;"Compensación ISR",C700&lt;&gt;"Compensación IVA"),AND(C700="Gasto",D700&lt;&gt;"Costos clínicos",D700&lt;&gt;"Remuneración familiar",D700&lt;&gt;"Nómina y honorarios",D700&lt;&gt;"Renta",D700&lt;&gt;"Marketing",D700&lt;&gt;"Servicios y software",D700&lt;&gt;"Mantenimiento",D700&lt;&gt;"Otros",D700&lt;&gt;"Intereses")),"Tipo o categoría inválido",IF(COUNTA(A700:J700)=0,"",IF(OR(A700="",B700="",C700="",H700=""),"Faltan datos",IF(COUNTIF($A$7:$A$2006,A700)&gt;1,"ID duplicado",IF(OR(B700&lt;DATE(Configuración!$C$5,1,1),B700&gt;=DATE(Configuración!$C$5+1,1,1)),"Fecha fuera del año",IF(OR(H700&lt;0,I700&lt;0),"Revisar signo",IF(AND(C700&lt;&gt;"Gasto",I700&lt;&gt;0),"IVA solo en Gasto",IF(AND(C700="Gasto",D700=""),"Falta categoría","OK")))))))))</f>
        <v/>
      </c>
    </row>
    <row r="701" spans="1:12" ht="22" customHeight="1">
      <c r="A701" s="3"/>
      <c r="B701" s="7"/>
      <c r="C701" s="3"/>
      <c r="D701" s="3"/>
      <c r="E701" s="3"/>
      <c r="F701" s="3"/>
      <c r="G701" s="3"/>
      <c r="H701" s="4"/>
      <c r="I701" s="4"/>
      <c r="J701" s="3"/>
      <c r="K701" s="8" t="str">
        <f t="shared" si="10"/>
        <v/>
      </c>
      <c r="L701" s="1" t="str">
        <f>IF(COUNTA(A701:J701)=0,"",IF(OR(AND(C701&lt;&gt;"Gasto",C701&lt;&gt;"Pago proveedor",C701&lt;&gt;"Retiro familiar",C701&lt;&gt;"Aportación",C701&lt;&gt;"Pago activo",C701&lt;&gt;"ISR devengado",C701&lt;&gt;"Pago ISR",C701&lt;&gt;"Pago IVA",C701&lt;&gt;"Compensación ISR",C701&lt;&gt;"Compensación IVA"),AND(C701="Gasto",D701&lt;&gt;"Costos clínicos",D701&lt;&gt;"Remuneración familiar",D701&lt;&gt;"Nómina y honorarios",D701&lt;&gt;"Renta",D701&lt;&gt;"Marketing",D701&lt;&gt;"Servicios y software",D701&lt;&gt;"Mantenimiento",D701&lt;&gt;"Otros",D701&lt;&gt;"Intereses")),"Tipo o categoría inválido",IF(COUNTA(A701:J701)=0,"",IF(OR(A701="",B701="",C701="",H701=""),"Faltan datos",IF(COUNTIF($A$7:$A$2006,A701)&gt;1,"ID duplicado",IF(OR(B701&lt;DATE(Configuración!$C$5,1,1),B701&gt;=DATE(Configuración!$C$5+1,1,1)),"Fecha fuera del año",IF(OR(H701&lt;0,I701&lt;0),"Revisar signo",IF(AND(C701&lt;&gt;"Gasto",I701&lt;&gt;0),"IVA solo en Gasto",IF(AND(C701="Gasto",D701=""),"Falta categoría","OK")))))))))</f>
        <v/>
      </c>
    </row>
    <row r="702" spans="1:12" ht="22" customHeight="1">
      <c r="A702" s="3"/>
      <c r="B702" s="7"/>
      <c r="C702" s="3"/>
      <c r="D702" s="3"/>
      <c r="E702" s="3"/>
      <c r="F702" s="3"/>
      <c r="G702" s="3"/>
      <c r="H702" s="4"/>
      <c r="I702" s="4"/>
      <c r="J702" s="3"/>
      <c r="K702" s="8" t="str">
        <f t="shared" si="10"/>
        <v/>
      </c>
      <c r="L702" s="1" t="str">
        <f>IF(COUNTA(A702:J702)=0,"",IF(OR(AND(C702&lt;&gt;"Gasto",C702&lt;&gt;"Pago proveedor",C702&lt;&gt;"Retiro familiar",C702&lt;&gt;"Aportación",C702&lt;&gt;"Pago activo",C702&lt;&gt;"ISR devengado",C702&lt;&gt;"Pago ISR",C702&lt;&gt;"Pago IVA",C702&lt;&gt;"Compensación ISR",C702&lt;&gt;"Compensación IVA"),AND(C702="Gasto",D702&lt;&gt;"Costos clínicos",D702&lt;&gt;"Remuneración familiar",D702&lt;&gt;"Nómina y honorarios",D702&lt;&gt;"Renta",D702&lt;&gt;"Marketing",D702&lt;&gt;"Servicios y software",D702&lt;&gt;"Mantenimiento",D702&lt;&gt;"Otros",D702&lt;&gt;"Intereses")),"Tipo o categoría inválido",IF(COUNTA(A702:J702)=0,"",IF(OR(A702="",B702="",C702="",H702=""),"Faltan datos",IF(COUNTIF($A$7:$A$2006,A702)&gt;1,"ID duplicado",IF(OR(B702&lt;DATE(Configuración!$C$5,1,1),B702&gt;=DATE(Configuración!$C$5+1,1,1)),"Fecha fuera del año",IF(OR(H702&lt;0,I702&lt;0),"Revisar signo",IF(AND(C702&lt;&gt;"Gasto",I702&lt;&gt;0),"IVA solo en Gasto",IF(AND(C702="Gasto",D702=""),"Falta categoría","OK")))))))))</f>
        <v/>
      </c>
    </row>
    <row r="703" spans="1:12" ht="22" customHeight="1">
      <c r="A703" s="3"/>
      <c r="B703" s="7"/>
      <c r="C703" s="3"/>
      <c r="D703" s="3"/>
      <c r="E703" s="3"/>
      <c r="F703" s="3"/>
      <c r="G703" s="3"/>
      <c r="H703" s="4"/>
      <c r="I703" s="4"/>
      <c r="J703" s="3"/>
      <c r="K703" s="8" t="str">
        <f t="shared" si="10"/>
        <v/>
      </c>
      <c r="L703" s="1" t="str">
        <f>IF(COUNTA(A703:J703)=0,"",IF(OR(AND(C703&lt;&gt;"Gasto",C703&lt;&gt;"Pago proveedor",C703&lt;&gt;"Retiro familiar",C703&lt;&gt;"Aportación",C703&lt;&gt;"Pago activo",C703&lt;&gt;"ISR devengado",C703&lt;&gt;"Pago ISR",C703&lt;&gt;"Pago IVA",C703&lt;&gt;"Compensación ISR",C703&lt;&gt;"Compensación IVA"),AND(C703="Gasto",D703&lt;&gt;"Costos clínicos",D703&lt;&gt;"Remuneración familiar",D703&lt;&gt;"Nómina y honorarios",D703&lt;&gt;"Renta",D703&lt;&gt;"Marketing",D703&lt;&gt;"Servicios y software",D703&lt;&gt;"Mantenimiento",D703&lt;&gt;"Otros",D703&lt;&gt;"Intereses")),"Tipo o categoría inválido",IF(COUNTA(A703:J703)=0,"",IF(OR(A703="",B703="",C703="",H703=""),"Faltan datos",IF(COUNTIF($A$7:$A$2006,A703)&gt;1,"ID duplicado",IF(OR(B703&lt;DATE(Configuración!$C$5,1,1),B703&gt;=DATE(Configuración!$C$5+1,1,1)),"Fecha fuera del año",IF(OR(H703&lt;0,I703&lt;0),"Revisar signo",IF(AND(C703&lt;&gt;"Gasto",I703&lt;&gt;0),"IVA solo en Gasto",IF(AND(C703="Gasto",D703=""),"Falta categoría","OK")))))))))</f>
        <v/>
      </c>
    </row>
    <row r="704" spans="1:12" ht="22" customHeight="1">
      <c r="A704" s="3"/>
      <c r="B704" s="7"/>
      <c r="C704" s="3"/>
      <c r="D704" s="3"/>
      <c r="E704" s="3"/>
      <c r="F704" s="3"/>
      <c r="G704" s="3"/>
      <c r="H704" s="4"/>
      <c r="I704" s="4"/>
      <c r="J704" s="3"/>
      <c r="K704" s="8" t="str">
        <f t="shared" si="10"/>
        <v/>
      </c>
      <c r="L704" s="1" t="str">
        <f>IF(COUNTA(A704:J704)=0,"",IF(OR(AND(C704&lt;&gt;"Gasto",C704&lt;&gt;"Pago proveedor",C704&lt;&gt;"Retiro familiar",C704&lt;&gt;"Aportación",C704&lt;&gt;"Pago activo",C704&lt;&gt;"ISR devengado",C704&lt;&gt;"Pago ISR",C704&lt;&gt;"Pago IVA",C704&lt;&gt;"Compensación ISR",C704&lt;&gt;"Compensación IVA"),AND(C704="Gasto",D704&lt;&gt;"Costos clínicos",D704&lt;&gt;"Remuneración familiar",D704&lt;&gt;"Nómina y honorarios",D704&lt;&gt;"Renta",D704&lt;&gt;"Marketing",D704&lt;&gt;"Servicios y software",D704&lt;&gt;"Mantenimiento",D704&lt;&gt;"Otros",D704&lt;&gt;"Intereses")),"Tipo o categoría inválido",IF(COUNTA(A704:J704)=0,"",IF(OR(A704="",B704="",C704="",H704=""),"Faltan datos",IF(COUNTIF($A$7:$A$2006,A704)&gt;1,"ID duplicado",IF(OR(B704&lt;DATE(Configuración!$C$5,1,1),B704&gt;=DATE(Configuración!$C$5+1,1,1)),"Fecha fuera del año",IF(OR(H704&lt;0,I704&lt;0),"Revisar signo",IF(AND(C704&lt;&gt;"Gasto",I704&lt;&gt;0),"IVA solo en Gasto",IF(AND(C704="Gasto",D704=""),"Falta categoría","OK")))))))))</f>
        <v/>
      </c>
    </row>
    <row r="705" spans="1:12" ht="22" customHeight="1">
      <c r="A705" s="3"/>
      <c r="B705" s="7"/>
      <c r="C705" s="3"/>
      <c r="D705" s="3"/>
      <c r="E705" s="3"/>
      <c r="F705" s="3"/>
      <c r="G705" s="3"/>
      <c r="H705" s="4"/>
      <c r="I705" s="4"/>
      <c r="J705" s="3"/>
      <c r="K705" s="8" t="str">
        <f t="shared" si="10"/>
        <v/>
      </c>
      <c r="L705" s="1" t="str">
        <f>IF(COUNTA(A705:J705)=0,"",IF(OR(AND(C705&lt;&gt;"Gasto",C705&lt;&gt;"Pago proveedor",C705&lt;&gt;"Retiro familiar",C705&lt;&gt;"Aportación",C705&lt;&gt;"Pago activo",C705&lt;&gt;"ISR devengado",C705&lt;&gt;"Pago ISR",C705&lt;&gt;"Pago IVA",C705&lt;&gt;"Compensación ISR",C705&lt;&gt;"Compensación IVA"),AND(C705="Gasto",D705&lt;&gt;"Costos clínicos",D705&lt;&gt;"Remuneración familiar",D705&lt;&gt;"Nómina y honorarios",D705&lt;&gt;"Renta",D705&lt;&gt;"Marketing",D705&lt;&gt;"Servicios y software",D705&lt;&gt;"Mantenimiento",D705&lt;&gt;"Otros",D705&lt;&gt;"Intereses")),"Tipo o categoría inválido",IF(COUNTA(A705:J705)=0,"",IF(OR(A705="",B705="",C705="",H705=""),"Faltan datos",IF(COUNTIF($A$7:$A$2006,A705)&gt;1,"ID duplicado",IF(OR(B705&lt;DATE(Configuración!$C$5,1,1),B705&gt;=DATE(Configuración!$C$5+1,1,1)),"Fecha fuera del año",IF(OR(H705&lt;0,I705&lt;0),"Revisar signo",IF(AND(C705&lt;&gt;"Gasto",I705&lt;&gt;0),"IVA solo en Gasto",IF(AND(C705="Gasto",D705=""),"Falta categoría","OK")))))))))</f>
        <v/>
      </c>
    </row>
    <row r="706" spans="1:12" ht="22" customHeight="1">
      <c r="A706" s="3"/>
      <c r="B706" s="7"/>
      <c r="C706" s="3"/>
      <c r="D706" s="3"/>
      <c r="E706" s="3"/>
      <c r="F706" s="3"/>
      <c r="G706" s="3"/>
      <c r="H706" s="4"/>
      <c r="I706" s="4"/>
      <c r="J706" s="3"/>
      <c r="K706" s="8" t="str">
        <f t="shared" si="10"/>
        <v/>
      </c>
      <c r="L706" s="1" t="str">
        <f>IF(COUNTA(A706:J706)=0,"",IF(OR(AND(C706&lt;&gt;"Gasto",C706&lt;&gt;"Pago proveedor",C706&lt;&gt;"Retiro familiar",C706&lt;&gt;"Aportación",C706&lt;&gt;"Pago activo",C706&lt;&gt;"ISR devengado",C706&lt;&gt;"Pago ISR",C706&lt;&gt;"Pago IVA",C706&lt;&gt;"Compensación ISR",C706&lt;&gt;"Compensación IVA"),AND(C706="Gasto",D706&lt;&gt;"Costos clínicos",D706&lt;&gt;"Remuneración familiar",D706&lt;&gt;"Nómina y honorarios",D706&lt;&gt;"Renta",D706&lt;&gt;"Marketing",D706&lt;&gt;"Servicios y software",D706&lt;&gt;"Mantenimiento",D706&lt;&gt;"Otros",D706&lt;&gt;"Intereses")),"Tipo o categoría inválido",IF(COUNTA(A706:J706)=0,"",IF(OR(A706="",B706="",C706="",H706=""),"Faltan datos",IF(COUNTIF($A$7:$A$2006,A706)&gt;1,"ID duplicado",IF(OR(B706&lt;DATE(Configuración!$C$5,1,1),B706&gt;=DATE(Configuración!$C$5+1,1,1)),"Fecha fuera del año",IF(OR(H706&lt;0,I706&lt;0),"Revisar signo",IF(AND(C706&lt;&gt;"Gasto",I706&lt;&gt;0),"IVA solo en Gasto",IF(AND(C706="Gasto",D706=""),"Falta categoría","OK")))))))))</f>
        <v/>
      </c>
    </row>
    <row r="707" spans="1:12" ht="22" customHeight="1">
      <c r="A707" s="3"/>
      <c r="B707" s="7"/>
      <c r="C707" s="3"/>
      <c r="D707" s="3"/>
      <c r="E707" s="3"/>
      <c r="F707" s="3"/>
      <c r="G707" s="3"/>
      <c r="H707" s="4"/>
      <c r="I707" s="4"/>
      <c r="J707" s="3"/>
      <c r="K707" s="8" t="str">
        <f t="shared" si="10"/>
        <v/>
      </c>
      <c r="L707" s="1" t="str">
        <f>IF(COUNTA(A707:J707)=0,"",IF(OR(AND(C707&lt;&gt;"Gasto",C707&lt;&gt;"Pago proveedor",C707&lt;&gt;"Retiro familiar",C707&lt;&gt;"Aportación",C707&lt;&gt;"Pago activo",C707&lt;&gt;"ISR devengado",C707&lt;&gt;"Pago ISR",C707&lt;&gt;"Pago IVA",C707&lt;&gt;"Compensación ISR",C707&lt;&gt;"Compensación IVA"),AND(C707="Gasto",D707&lt;&gt;"Costos clínicos",D707&lt;&gt;"Remuneración familiar",D707&lt;&gt;"Nómina y honorarios",D707&lt;&gt;"Renta",D707&lt;&gt;"Marketing",D707&lt;&gt;"Servicios y software",D707&lt;&gt;"Mantenimiento",D707&lt;&gt;"Otros",D707&lt;&gt;"Intereses")),"Tipo o categoría inválido",IF(COUNTA(A707:J707)=0,"",IF(OR(A707="",B707="",C707="",H707=""),"Faltan datos",IF(COUNTIF($A$7:$A$2006,A707)&gt;1,"ID duplicado",IF(OR(B707&lt;DATE(Configuración!$C$5,1,1),B707&gt;=DATE(Configuración!$C$5+1,1,1)),"Fecha fuera del año",IF(OR(H707&lt;0,I707&lt;0),"Revisar signo",IF(AND(C707&lt;&gt;"Gasto",I707&lt;&gt;0),"IVA solo en Gasto",IF(AND(C707="Gasto",D707=""),"Falta categoría","OK")))))))))</f>
        <v/>
      </c>
    </row>
    <row r="708" spans="1:12" ht="22" customHeight="1">
      <c r="A708" s="3"/>
      <c r="B708" s="7"/>
      <c r="C708" s="3"/>
      <c r="D708" s="3"/>
      <c r="E708" s="3"/>
      <c r="F708" s="3"/>
      <c r="G708" s="3"/>
      <c r="H708" s="4"/>
      <c r="I708" s="4"/>
      <c r="J708" s="3"/>
      <c r="K708" s="8" t="str">
        <f t="shared" si="10"/>
        <v/>
      </c>
      <c r="L708" s="1" t="str">
        <f>IF(COUNTA(A708:J708)=0,"",IF(OR(AND(C708&lt;&gt;"Gasto",C708&lt;&gt;"Pago proveedor",C708&lt;&gt;"Retiro familiar",C708&lt;&gt;"Aportación",C708&lt;&gt;"Pago activo",C708&lt;&gt;"ISR devengado",C708&lt;&gt;"Pago ISR",C708&lt;&gt;"Pago IVA",C708&lt;&gt;"Compensación ISR",C708&lt;&gt;"Compensación IVA"),AND(C708="Gasto",D708&lt;&gt;"Costos clínicos",D708&lt;&gt;"Remuneración familiar",D708&lt;&gt;"Nómina y honorarios",D708&lt;&gt;"Renta",D708&lt;&gt;"Marketing",D708&lt;&gt;"Servicios y software",D708&lt;&gt;"Mantenimiento",D708&lt;&gt;"Otros",D708&lt;&gt;"Intereses")),"Tipo o categoría inválido",IF(COUNTA(A708:J708)=0,"",IF(OR(A708="",B708="",C708="",H708=""),"Faltan datos",IF(COUNTIF($A$7:$A$2006,A708)&gt;1,"ID duplicado",IF(OR(B708&lt;DATE(Configuración!$C$5,1,1),B708&gt;=DATE(Configuración!$C$5+1,1,1)),"Fecha fuera del año",IF(OR(H708&lt;0,I708&lt;0),"Revisar signo",IF(AND(C708&lt;&gt;"Gasto",I708&lt;&gt;0),"IVA solo en Gasto",IF(AND(C708="Gasto",D708=""),"Falta categoría","OK")))))))))</f>
        <v/>
      </c>
    </row>
    <row r="709" spans="1:12" ht="22" customHeight="1">
      <c r="A709" s="3"/>
      <c r="B709" s="7"/>
      <c r="C709" s="3"/>
      <c r="D709" s="3"/>
      <c r="E709" s="3"/>
      <c r="F709" s="3"/>
      <c r="G709" s="3"/>
      <c r="H709" s="4"/>
      <c r="I709" s="4"/>
      <c r="J709" s="3"/>
      <c r="K709" s="8" t="str">
        <f t="shared" si="10"/>
        <v/>
      </c>
      <c r="L709" s="1" t="str">
        <f>IF(COUNTA(A709:J709)=0,"",IF(OR(AND(C709&lt;&gt;"Gasto",C709&lt;&gt;"Pago proveedor",C709&lt;&gt;"Retiro familiar",C709&lt;&gt;"Aportación",C709&lt;&gt;"Pago activo",C709&lt;&gt;"ISR devengado",C709&lt;&gt;"Pago ISR",C709&lt;&gt;"Pago IVA",C709&lt;&gt;"Compensación ISR",C709&lt;&gt;"Compensación IVA"),AND(C709="Gasto",D709&lt;&gt;"Costos clínicos",D709&lt;&gt;"Remuneración familiar",D709&lt;&gt;"Nómina y honorarios",D709&lt;&gt;"Renta",D709&lt;&gt;"Marketing",D709&lt;&gt;"Servicios y software",D709&lt;&gt;"Mantenimiento",D709&lt;&gt;"Otros",D709&lt;&gt;"Intereses")),"Tipo o categoría inválido",IF(COUNTA(A709:J709)=0,"",IF(OR(A709="",B709="",C709="",H709=""),"Faltan datos",IF(COUNTIF($A$7:$A$2006,A709)&gt;1,"ID duplicado",IF(OR(B709&lt;DATE(Configuración!$C$5,1,1),B709&gt;=DATE(Configuración!$C$5+1,1,1)),"Fecha fuera del año",IF(OR(H709&lt;0,I709&lt;0),"Revisar signo",IF(AND(C709&lt;&gt;"Gasto",I709&lt;&gt;0),"IVA solo en Gasto",IF(AND(C709="Gasto",D709=""),"Falta categoría","OK")))))))))</f>
        <v/>
      </c>
    </row>
    <row r="710" spans="1:12" ht="22" customHeight="1">
      <c r="A710" s="3"/>
      <c r="B710" s="7"/>
      <c r="C710" s="3"/>
      <c r="D710" s="3"/>
      <c r="E710" s="3"/>
      <c r="F710" s="3"/>
      <c r="G710" s="3"/>
      <c r="H710" s="4"/>
      <c r="I710" s="4"/>
      <c r="J710" s="3"/>
      <c r="K710" s="8" t="str">
        <f t="shared" si="10"/>
        <v/>
      </c>
      <c r="L710" s="1" t="str">
        <f>IF(COUNTA(A710:J710)=0,"",IF(OR(AND(C710&lt;&gt;"Gasto",C710&lt;&gt;"Pago proveedor",C710&lt;&gt;"Retiro familiar",C710&lt;&gt;"Aportación",C710&lt;&gt;"Pago activo",C710&lt;&gt;"ISR devengado",C710&lt;&gt;"Pago ISR",C710&lt;&gt;"Pago IVA",C710&lt;&gt;"Compensación ISR",C710&lt;&gt;"Compensación IVA"),AND(C710="Gasto",D710&lt;&gt;"Costos clínicos",D710&lt;&gt;"Remuneración familiar",D710&lt;&gt;"Nómina y honorarios",D710&lt;&gt;"Renta",D710&lt;&gt;"Marketing",D710&lt;&gt;"Servicios y software",D710&lt;&gt;"Mantenimiento",D710&lt;&gt;"Otros",D710&lt;&gt;"Intereses")),"Tipo o categoría inválido",IF(COUNTA(A710:J710)=0,"",IF(OR(A710="",B710="",C710="",H710=""),"Faltan datos",IF(COUNTIF($A$7:$A$2006,A710)&gt;1,"ID duplicado",IF(OR(B710&lt;DATE(Configuración!$C$5,1,1),B710&gt;=DATE(Configuración!$C$5+1,1,1)),"Fecha fuera del año",IF(OR(H710&lt;0,I710&lt;0),"Revisar signo",IF(AND(C710&lt;&gt;"Gasto",I710&lt;&gt;0),"IVA solo en Gasto",IF(AND(C710="Gasto",D710=""),"Falta categoría","OK")))))))))</f>
        <v/>
      </c>
    </row>
    <row r="711" spans="1:12" ht="22" customHeight="1">
      <c r="A711" s="3"/>
      <c r="B711" s="7"/>
      <c r="C711" s="3"/>
      <c r="D711" s="3"/>
      <c r="E711" s="3"/>
      <c r="F711" s="3"/>
      <c r="G711" s="3"/>
      <c r="H711" s="4"/>
      <c r="I711" s="4"/>
      <c r="J711" s="3"/>
      <c r="K711" s="8" t="str">
        <f t="shared" ref="K711:K774" si="11">IF(A711="","",H711+I711)</f>
        <v/>
      </c>
      <c r="L711" s="1" t="str">
        <f>IF(COUNTA(A711:J711)=0,"",IF(OR(AND(C711&lt;&gt;"Gasto",C711&lt;&gt;"Pago proveedor",C711&lt;&gt;"Retiro familiar",C711&lt;&gt;"Aportación",C711&lt;&gt;"Pago activo",C711&lt;&gt;"ISR devengado",C711&lt;&gt;"Pago ISR",C711&lt;&gt;"Pago IVA",C711&lt;&gt;"Compensación ISR",C711&lt;&gt;"Compensación IVA"),AND(C711="Gasto",D711&lt;&gt;"Costos clínicos",D711&lt;&gt;"Remuneración familiar",D711&lt;&gt;"Nómina y honorarios",D711&lt;&gt;"Renta",D711&lt;&gt;"Marketing",D711&lt;&gt;"Servicios y software",D711&lt;&gt;"Mantenimiento",D711&lt;&gt;"Otros",D711&lt;&gt;"Intereses")),"Tipo o categoría inválido",IF(COUNTA(A711:J711)=0,"",IF(OR(A711="",B711="",C711="",H711=""),"Faltan datos",IF(COUNTIF($A$7:$A$2006,A711)&gt;1,"ID duplicado",IF(OR(B711&lt;DATE(Configuración!$C$5,1,1),B711&gt;=DATE(Configuración!$C$5+1,1,1)),"Fecha fuera del año",IF(OR(H711&lt;0,I711&lt;0),"Revisar signo",IF(AND(C711&lt;&gt;"Gasto",I711&lt;&gt;0),"IVA solo en Gasto",IF(AND(C711="Gasto",D711=""),"Falta categoría","OK")))))))))</f>
        <v/>
      </c>
    </row>
    <row r="712" spans="1:12" ht="22" customHeight="1">
      <c r="A712" s="3"/>
      <c r="B712" s="7"/>
      <c r="C712" s="3"/>
      <c r="D712" s="3"/>
      <c r="E712" s="3"/>
      <c r="F712" s="3"/>
      <c r="G712" s="3"/>
      <c r="H712" s="4"/>
      <c r="I712" s="4"/>
      <c r="J712" s="3"/>
      <c r="K712" s="8" t="str">
        <f t="shared" si="11"/>
        <v/>
      </c>
      <c r="L712" s="1" t="str">
        <f>IF(COUNTA(A712:J712)=0,"",IF(OR(AND(C712&lt;&gt;"Gasto",C712&lt;&gt;"Pago proveedor",C712&lt;&gt;"Retiro familiar",C712&lt;&gt;"Aportación",C712&lt;&gt;"Pago activo",C712&lt;&gt;"ISR devengado",C712&lt;&gt;"Pago ISR",C712&lt;&gt;"Pago IVA",C712&lt;&gt;"Compensación ISR",C712&lt;&gt;"Compensación IVA"),AND(C712="Gasto",D712&lt;&gt;"Costos clínicos",D712&lt;&gt;"Remuneración familiar",D712&lt;&gt;"Nómina y honorarios",D712&lt;&gt;"Renta",D712&lt;&gt;"Marketing",D712&lt;&gt;"Servicios y software",D712&lt;&gt;"Mantenimiento",D712&lt;&gt;"Otros",D712&lt;&gt;"Intereses")),"Tipo o categoría inválido",IF(COUNTA(A712:J712)=0,"",IF(OR(A712="",B712="",C712="",H712=""),"Faltan datos",IF(COUNTIF($A$7:$A$2006,A712)&gt;1,"ID duplicado",IF(OR(B712&lt;DATE(Configuración!$C$5,1,1),B712&gt;=DATE(Configuración!$C$5+1,1,1)),"Fecha fuera del año",IF(OR(H712&lt;0,I712&lt;0),"Revisar signo",IF(AND(C712&lt;&gt;"Gasto",I712&lt;&gt;0),"IVA solo en Gasto",IF(AND(C712="Gasto",D712=""),"Falta categoría","OK")))))))))</f>
        <v/>
      </c>
    </row>
    <row r="713" spans="1:12" ht="22" customHeight="1">
      <c r="A713" s="3"/>
      <c r="B713" s="7"/>
      <c r="C713" s="3"/>
      <c r="D713" s="3"/>
      <c r="E713" s="3"/>
      <c r="F713" s="3"/>
      <c r="G713" s="3"/>
      <c r="H713" s="4"/>
      <c r="I713" s="4"/>
      <c r="J713" s="3"/>
      <c r="K713" s="8" t="str">
        <f t="shared" si="11"/>
        <v/>
      </c>
      <c r="L713" s="1" t="str">
        <f>IF(COUNTA(A713:J713)=0,"",IF(OR(AND(C713&lt;&gt;"Gasto",C713&lt;&gt;"Pago proveedor",C713&lt;&gt;"Retiro familiar",C713&lt;&gt;"Aportación",C713&lt;&gt;"Pago activo",C713&lt;&gt;"ISR devengado",C713&lt;&gt;"Pago ISR",C713&lt;&gt;"Pago IVA",C713&lt;&gt;"Compensación ISR",C713&lt;&gt;"Compensación IVA"),AND(C713="Gasto",D713&lt;&gt;"Costos clínicos",D713&lt;&gt;"Remuneración familiar",D713&lt;&gt;"Nómina y honorarios",D713&lt;&gt;"Renta",D713&lt;&gt;"Marketing",D713&lt;&gt;"Servicios y software",D713&lt;&gt;"Mantenimiento",D713&lt;&gt;"Otros",D713&lt;&gt;"Intereses")),"Tipo o categoría inválido",IF(COUNTA(A713:J713)=0,"",IF(OR(A713="",B713="",C713="",H713=""),"Faltan datos",IF(COUNTIF($A$7:$A$2006,A713)&gt;1,"ID duplicado",IF(OR(B713&lt;DATE(Configuración!$C$5,1,1),B713&gt;=DATE(Configuración!$C$5+1,1,1)),"Fecha fuera del año",IF(OR(H713&lt;0,I713&lt;0),"Revisar signo",IF(AND(C713&lt;&gt;"Gasto",I713&lt;&gt;0),"IVA solo en Gasto",IF(AND(C713="Gasto",D713=""),"Falta categoría","OK")))))))))</f>
        <v/>
      </c>
    </row>
    <row r="714" spans="1:12" ht="22" customHeight="1">
      <c r="A714" s="3"/>
      <c r="B714" s="7"/>
      <c r="C714" s="3"/>
      <c r="D714" s="3"/>
      <c r="E714" s="3"/>
      <c r="F714" s="3"/>
      <c r="G714" s="3"/>
      <c r="H714" s="4"/>
      <c r="I714" s="4"/>
      <c r="J714" s="3"/>
      <c r="K714" s="8" t="str">
        <f t="shared" si="11"/>
        <v/>
      </c>
      <c r="L714" s="1" t="str">
        <f>IF(COUNTA(A714:J714)=0,"",IF(OR(AND(C714&lt;&gt;"Gasto",C714&lt;&gt;"Pago proveedor",C714&lt;&gt;"Retiro familiar",C714&lt;&gt;"Aportación",C714&lt;&gt;"Pago activo",C714&lt;&gt;"ISR devengado",C714&lt;&gt;"Pago ISR",C714&lt;&gt;"Pago IVA",C714&lt;&gt;"Compensación ISR",C714&lt;&gt;"Compensación IVA"),AND(C714="Gasto",D714&lt;&gt;"Costos clínicos",D714&lt;&gt;"Remuneración familiar",D714&lt;&gt;"Nómina y honorarios",D714&lt;&gt;"Renta",D714&lt;&gt;"Marketing",D714&lt;&gt;"Servicios y software",D714&lt;&gt;"Mantenimiento",D714&lt;&gt;"Otros",D714&lt;&gt;"Intereses")),"Tipo o categoría inválido",IF(COUNTA(A714:J714)=0,"",IF(OR(A714="",B714="",C714="",H714=""),"Faltan datos",IF(COUNTIF($A$7:$A$2006,A714)&gt;1,"ID duplicado",IF(OR(B714&lt;DATE(Configuración!$C$5,1,1),B714&gt;=DATE(Configuración!$C$5+1,1,1)),"Fecha fuera del año",IF(OR(H714&lt;0,I714&lt;0),"Revisar signo",IF(AND(C714&lt;&gt;"Gasto",I714&lt;&gt;0),"IVA solo en Gasto",IF(AND(C714="Gasto",D714=""),"Falta categoría","OK")))))))))</f>
        <v/>
      </c>
    </row>
    <row r="715" spans="1:12" ht="22" customHeight="1">
      <c r="A715" s="3"/>
      <c r="B715" s="7"/>
      <c r="C715" s="3"/>
      <c r="D715" s="3"/>
      <c r="E715" s="3"/>
      <c r="F715" s="3"/>
      <c r="G715" s="3"/>
      <c r="H715" s="4"/>
      <c r="I715" s="4"/>
      <c r="J715" s="3"/>
      <c r="K715" s="8" t="str">
        <f t="shared" si="11"/>
        <v/>
      </c>
      <c r="L715" s="1" t="str">
        <f>IF(COUNTA(A715:J715)=0,"",IF(OR(AND(C715&lt;&gt;"Gasto",C715&lt;&gt;"Pago proveedor",C715&lt;&gt;"Retiro familiar",C715&lt;&gt;"Aportación",C715&lt;&gt;"Pago activo",C715&lt;&gt;"ISR devengado",C715&lt;&gt;"Pago ISR",C715&lt;&gt;"Pago IVA",C715&lt;&gt;"Compensación ISR",C715&lt;&gt;"Compensación IVA"),AND(C715="Gasto",D715&lt;&gt;"Costos clínicos",D715&lt;&gt;"Remuneración familiar",D715&lt;&gt;"Nómina y honorarios",D715&lt;&gt;"Renta",D715&lt;&gt;"Marketing",D715&lt;&gt;"Servicios y software",D715&lt;&gt;"Mantenimiento",D715&lt;&gt;"Otros",D715&lt;&gt;"Intereses")),"Tipo o categoría inválido",IF(COUNTA(A715:J715)=0,"",IF(OR(A715="",B715="",C715="",H715=""),"Faltan datos",IF(COUNTIF($A$7:$A$2006,A715)&gt;1,"ID duplicado",IF(OR(B715&lt;DATE(Configuración!$C$5,1,1),B715&gt;=DATE(Configuración!$C$5+1,1,1)),"Fecha fuera del año",IF(OR(H715&lt;0,I715&lt;0),"Revisar signo",IF(AND(C715&lt;&gt;"Gasto",I715&lt;&gt;0),"IVA solo en Gasto",IF(AND(C715="Gasto",D715=""),"Falta categoría","OK")))))))))</f>
        <v/>
      </c>
    </row>
    <row r="716" spans="1:12" ht="22" customHeight="1">
      <c r="A716" s="3"/>
      <c r="B716" s="7"/>
      <c r="C716" s="3"/>
      <c r="D716" s="3"/>
      <c r="E716" s="3"/>
      <c r="F716" s="3"/>
      <c r="G716" s="3"/>
      <c r="H716" s="4"/>
      <c r="I716" s="4"/>
      <c r="J716" s="3"/>
      <c r="K716" s="8" t="str">
        <f t="shared" si="11"/>
        <v/>
      </c>
      <c r="L716" s="1" t="str">
        <f>IF(COUNTA(A716:J716)=0,"",IF(OR(AND(C716&lt;&gt;"Gasto",C716&lt;&gt;"Pago proveedor",C716&lt;&gt;"Retiro familiar",C716&lt;&gt;"Aportación",C716&lt;&gt;"Pago activo",C716&lt;&gt;"ISR devengado",C716&lt;&gt;"Pago ISR",C716&lt;&gt;"Pago IVA",C716&lt;&gt;"Compensación ISR",C716&lt;&gt;"Compensación IVA"),AND(C716="Gasto",D716&lt;&gt;"Costos clínicos",D716&lt;&gt;"Remuneración familiar",D716&lt;&gt;"Nómina y honorarios",D716&lt;&gt;"Renta",D716&lt;&gt;"Marketing",D716&lt;&gt;"Servicios y software",D716&lt;&gt;"Mantenimiento",D716&lt;&gt;"Otros",D716&lt;&gt;"Intereses")),"Tipo o categoría inválido",IF(COUNTA(A716:J716)=0,"",IF(OR(A716="",B716="",C716="",H716=""),"Faltan datos",IF(COUNTIF($A$7:$A$2006,A716)&gt;1,"ID duplicado",IF(OR(B716&lt;DATE(Configuración!$C$5,1,1),B716&gt;=DATE(Configuración!$C$5+1,1,1)),"Fecha fuera del año",IF(OR(H716&lt;0,I716&lt;0),"Revisar signo",IF(AND(C716&lt;&gt;"Gasto",I716&lt;&gt;0),"IVA solo en Gasto",IF(AND(C716="Gasto",D716=""),"Falta categoría","OK")))))))))</f>
        <v/>
      </c>
    </row>
    <row r="717" spans="1:12" ht="22" customHeight="1">
      <c r="A717" s="3"/>
      <c r="B717" s="7"/>
      <c r="C717" s="3"/>
      <c r="D717" s="3"/>
      <c r="E717" s="3"/>
      <c r="F717" s="3"/>
      <c r="G717" s="3"/>
      <c r="H717" s="4"/>
      <c r="I717" s="4"/>
      <c r="J717" s="3"/>
      <c r="K717" s="8" t="str">
        <f t="shared" si="11"/>
        <v/>
      </c>
      <c r="L717" s="1" t="str">
        <f>IF(COUNTA(A717:J717)=0,"",IF(OR(AND(C717&lt;&gt;"Gasto",C717&lt;&gt;"Pago proveedor",C717&lt;&gt;"Retiro familiar",C717&lt;&gt;"Aportación",C717&lt;&gt;"Pago activo",C717&lt;&gt;"ISR devengado",C717&lt;&gt;"Pago ISR",C717&lt;&gt;"Pago IVA",C717&lt;&gt;"Compensación ISR",C717&lt;&gt;"Compensación IVA"),AND(C717="Gasto",D717&lt;&gt;"Costos clínicos",D717&lt;&gt;"Remuneración familiar",D717&lt;&gt;"Nómina y honorarios",D717&lt;&gt;"Renta",D717&lt;&gt;"Marketing",D717&lt;&gt;"Servicios y software",D717&lt;&gt;"Mantenimiento",D717&lt;&gt;"Otros",D717&lt;&gt;"Intereses")),"Tipo o categoría inválido",IF(COUNTA(A717:J717)=0,"",IF(OR(A717="",B717="",C717="",H717=""),"Faltan datos",IF(COUNTIF($A$7:$A$2006,A717)&gt;1,"ID duplicado",IF(OR(B717&lt;DATE(Configuración!$C$5,1,1),B717&gt;=DATE(Configuración!$C$5+1,1,1)),"Fecha fuera del año",IF(OR(H717&lt;0,I717&lt;0),"Revisar signo",IF(AND(C717&lt;&gt;"Gasto",I717&lt;&gt;0),"IVA solo en Gasto",IF(AND(C717="Gasto",D717=""),"Falta categoría","OK")))))))))</f>
        <v/>
      </c>
    </row>
    <row r="718" spans="1:12" ht="22" customHeight="1">
      <c r="A718" s="3"/>
      <c r="B718" s="7"/>
      <c r="C718" s="3"/>
      <c r="D718" s="3"/>
      <c r="E718" s="3"/>
      <c r="F718" s="3"/>
      <c r="G718" s="3"/>
      <c r="H718" s="4"/>
      <c r="I718" s="4"/>
      <c r="J718" s="3"/>
      <c r="K718" s="8" t="str">
        <f t="shared" si="11"/>
        <v/>
      </c>
      <c r="L718" s="1" t="str">
        <f>IF(COUNTA(A718:J718)=0,"",IF(OR(AND(C718&lt;&gt;"Gasto",C718&lt;&gt;"Pago proveedor",C718&lt;&gt;"Retiro familiar",C718&lt;&gt;"Aportación",C718&lt;&gt;"Pago activo",C718&lt;&gt;"ISR devengado",C718&lt;&gt;"Pago ISR",C718&lt;&gt;"Pago IVA",C718&lt;&gt;"Compensación ISR",C718&lt;&gt;"Compensación IVA"),AND(C718="Gasto",D718&lt;&gt;"Costos clínicos",D718&lt;&gt;"Remuneración familiar",D718&lt;&gt;"Nómina y honorarios",D718&lt;&gt;"Renta",D718&lt;&gt;"Marketing",D718&lt;&gt;"Servicios y software",D718&lt;&gt;"Mantenimiento",D718&lt;&gt;"Otros",D718&lt;&gt;"Intereses")),"Tipo o categoría inválido",IF(COUNTA(A718:J718)=0,"",IF(OR(A718="",B718="",C718="",H718=""),"Faltan datos",IF(COUNTIF($A$7:$A$2006,A718)&gt;1,"ID duplicado",IF(OR(B718&lt;DATE(Configuración!$C$5,1,1),B718&gt;=DATE(Configuración!$C$5+1,1,1)),"Fecha fuera del año",IF(OR(H718&lt;0,I718&lt;0),"Revisar signo",IF(AND(C718&lt;&gt;"Gasto",I718&lt;&gt;0),"IVA solo en Gasto",IF(AND(C718="Gasto",D718=""),"Falta categoría","OK")))))))))</f>
        <v/>
      </c>
    </row>
    <row r="719" spans="1:12" ht="22" customHeight="1">
      <c r="A719" s="3"/>
      <c r="B719" s="7"/>
      <c r="C719" s="3"/>
      <c r="D719" s="3"/>
      <c r="E719" s="3"/>
      <c r="F719" s="3"/>
      <c r="G719" s="3"/>
      <c r="H719" s="4"/>
      <c r="I719" s="4"/>
      <c r="J719" s="3"/>
      <c r="K719" s="8" t="str">
        <f t="shared" si="11"/>
        <v/>
      </c>
      <c r="L719" s="1" t="str">
        <f>IF(COUNTA(A719:J719)=0,"",IF(OR(AND(C719&lt;&gt;"Gasto",C719&lt;&gt;"Pago proveedor",C719&lt;&gt;"Retiro familiar",C719&lt;&gt;"Aportación",C719&lt;&gt;"Pago activo",C719&lt;&gt;"ISR devengado",C719&lt;&gt;"Pago ISR",C719&lt;&gt;"Pago IVA",C719&lt;&gt;"Compensación ISR",C719&lt;&gt;"Compensación IVA"),AND(C719="Gasto",D719&lt;&gt;"Costos clínicos",D719&lt;&gt;"Remuneración familiar",D719&lt;&gt;"Nómina y honorarios",D719&lt;&gt;"Renta",D719&lt;&gt;"Marketing",D719&lt;&gt;"Servicios y software",D719&lt;&gt;"Mantenimiento",D719&lt;&gt;"Otros",D719&lt;&gt;"Intereses")),"Tipo o categoría inválido",IF(COUNTA(A719:J719)=0,"",IF(OR(A719="",B719="",C719="",H719=""),"Faltan datos",IF(COUNTIF($A$7:$A$2006,A719)&gt;1,"ID duplicado",IF(OR(B719&lt;DATE(Configuración!$C$5,1,1),B719&gt;=DATE(Configuración!$C$5+1,1,1)),"Fecha fuera del año",IF(OR(H719&lt;0,I719&lt;0),"Revisar signo",IF(AND(C719&lt;&gt;"Gasto",I719&lt;&gt;0),"IVA solo en Gasto",IF(AND(C719="Gasto",D719=""),"Falta categoría","OK")))))))))</f>
        <v/>
      </c>
    </row>
    <row r="720" spans="1:12" ht="22" customHeight="1">
      <c r="A720" s="3"/>
      <c r="B720" s="7"/>
      <c r="C720" s="3"/>
      <c r="D720" s="3"/>
      <c r="E720" s="3"/>
      <c r="F720" s="3"/>
      <c r="G720" s="3"/>
      <c r="H720" s="4"/>
      <c r="I720" s="4"/>
      <c r="J720" s="3"/>
      <c r="K720" s="8" t="str">
        <f t="shared" si="11"/>
        <v/>
      </c>
      <c r="L720" s="1" t="str">
        <f>IF(COUNTA(A720:J720)=0,"",IF(OR(AND(C720&lt;&gt;"Gasto",C720&lt;&gt;"Pago proveedor",C720&lt;&gt;"Retiro familiar",C720&lt;&gt;"Aportación",C720&lt;&gt;"Pago activo",C720&lt;&gt;"ISR devengado",C720&lt;&gt;"Pago ISR",C720&lt;&gt;"Pago IVA",C720&lt;&gt;"Compensación ISR",C720&lt;&gt;"Compensación IVA"),AND(C720="Gasto",D720&lt;&gt;"Costos clínicos",D720&lt;&gt;"Remuneración familiar",D720&lt;&gt;"Nómina y honorarios",D720&lt;&gt;"Renta",D720&lt;&gt;"Marketing",D720&lt;&gt;"Servicios y software",D720&lt;&gt;"Mantenimiento",D720&lt;&gt;"Otros",D720&lt;&gt;"Intereses")),"Tipo o categoría inválido",IF(COUNTA(A720:J720)=0,"",IF(OR(A720="",B720="",C720="",H720=""),"Faltan datos",IF(COUNTIF($A$7:$A$2006,A720)&gt;1,"ID duplicado",IF(OR(B720&lt;DATE(Configuración!$C$5,1,1),B720&gt;=DATE(Configuración!$C$5+1,1,1)),"Fecha fuera del año",IF(OR(H720&lt;0,I720&lt;0),"Revisar signo",IF(AND(C720&lt;&gt;"Gasto",I720&lt;&gt;0),"IVA solo en Gasto",IF(AND(C720="Gasto",D720=""),"Falta categoría","OK")))))))))</f>
        <v/>
      </c>
    </row>
    <row r="721" spans="1:12" ht="22" customHeight="1">
      <c r="A721" s="3"/>
      <c r="B721" s="7"/>
      <c r="C721" s="3"/>
      <c r="D721" s="3"/>
      <c r="E721" s="3"/>
      <c r="F721" s="3"/>
      <c r="G721" s="3"/>
      <c r="H721" s="4"/>
      <c r="I721" s="4"/>
      <c r="J721" s="3"/>
      <c r="K721" s="8" t="str">
        <f t="shared" si="11"/>
        <v/>
      </c>
      <c r="L721" s="1" t="str">
        <f>IF(COUNTA(A721:J721)=0,"",IF(OR(AND(C721&lt;&gt;"Gasto",C721&lt;&gt;"Pago proveedor",C721&lt;&gt;"Retiro familiar",C721&lt;&gt;"Aportación",C721&lt;&gt;"Pago activo",C721&lt;&gt;"ISR devengado",C721&lt;&gt;"Pago ISR",C721&lt;&gt;"Pago IVA",C721&lt;&gt;"Compensación ISR",C721&lt;&gt;"Compensación IVA"),AND(C721="Gasto",D721&lt;&gt;"Costos clínicos",D721&lt;&gt;"Remuneración familiar",D721&lt;&gt;"Nómina y honorarios",D721&lt;&gt;"Renta",D721&lt;&gt;"Marketing",D721&lt;&gt;"Servicios y software",D721&lt;&gt;"Mantenimiento",D721&lt;&gt;"Otros",D721&lt;&gt;"Intereses")),"Tipo o categoría inválido",IF(COUNTA(A721:J721)=0,"",IF(OR(A721="",B721="",C721="",H721=""),"Faltan datos",IF(COUNTIF($A$7:$A$2006,A721)&gt;1,"ID duplicado",IF(OR(B721&lt;DATE(Configuración!$C$5,1,1),B721&gt;=DATE(Configuración!$C$5+1,1,1)),"Fecha fuera del año",IF(OR(H721&lt;0,I721&lt;0),"Revisar signo",IF(AND(C721&lt;&gt;"Gasto",I721&lt;&gt;0),"IVA solo en Gasto",IF(AND(C721="Gasto",D721=""),"Falta categoría","OK")))))))))</f>
        <v/>
      </c>
    </row>
    <row r="722" spans="1:12" ht="22" customHeight="1">
      <c r="A722" s="3"/>
      <c r="B722" s="7"/>
      <c r="C722" s="3"/>
      <c r="D722" s="3"/>
      <c r="E722" s="3"/>
      <c r="F722" s="3"/>
      <c r="G722" s="3"/>
      <c r="H722" s="4"/>
      <c r="I722" s="4"/>
      <c r="J722" s="3"/>
      <c r="K722" s="8" t="str">
        <f t="shared" si="11"/>
        <v/>
      </c>
      <c r="L722" s="1" t="str">
        <f>IF(COUNTA(A722:J722)=0,"",IF(OR(AND(C722&lt;&gt;"Gasto",C722&lt;&gt;"Pago proveedor",C722&lt;&gt;"Retiro familiar",C722&lt;&gt;"Aportación",C722&lt;&gt;"Pago activo",C722&lt;&gt;"ISR devengado",C722&lt;&gt;"Pago ISR",C722&lt;&gt;"Pago IVA",C722&lt;&gt;"Compensación ISR",C722&lt;&gt;"Compensación IVA"),AND(C722="Gasto",D722&lt;&gt;"Costos clínicos",D722&lt;&gt;"Remuneración familiar",D722&lt;&gt;"Nómina y honorarios",D722&lt;&gt;"Renta",D722&lt;&gt;"Marketing",D722&lt;&gt;"Servicios y software",D722&lt;&gt;"Mantenimiento",D722&lt;&gt;"Otros",D722&lt;&gt;"Intereses")),"Tipo o categoría inválido",IF(COUNTA(A722:J722)=0,"",IF(OR(A722="",B722="",C722="",H722=""),"Faltan datos",IF(COUNTIF($A$7:$A$2006,A722)&gt;1,"ID duplicado",IF(OR(B722&lt;DATE(Configuración!$C$5,1,1),B722&gt;=DATE(Configuración!$C$5+1,1,1)),"Fecha fuera del año",IF(OR(H722&lt;0,I722&lt;0),"Revisar signo",IF(AND(C722&lt;&gt;"Gasto",I722&lt;&gt;0),"IVA solo en Gasto",IF(AND(C722="Gasto",D722=""),"Falta categoría","OK")))))))))</f>
        <v/>
      </c>
    </row>
    <row r="723" spans="1:12" ht="22" customHeight="1">
      <c r="A723" s="3"/>
      <c r="B723" s="7"/>
      <c r="C723" s="3"/>
      <c r="D723" s="3"/>
      <c r="E723" s="3"/>
      <c r="F723" s="3"/>
      <c r="G723" s="3"/>
      <c r="H723" s="4"/>
      <c r="I723" s="4"/>
      <c r="J723" s="3"/>
      <c r="K723" s="8" t="str">
        <f t="shared" si="11"/>
        <v/>
      </c>
      <c r="L723" s="1" t="str">
        <f>IF(COUNTA(A723:J723)=0,"",IF(OR(AND(C723&lt;&gt;"Gasto",C723&lt;&gt;"Pago proveedor",C723&lt;&gt;"Retiro familiar",C723&lt;&gt;"Aportación",C723&lt;&gt;"Pago activo",C723&lt;&gt;"ISR devengado",C723&lt;&gt;"Pago ISR",C723&lt;&gt;"Pago IVA",C723&lt;&gt;"Compensación ISR",C723&lt;&gt;"Compensación IVA"),AND(C723="Gasto",D723&lt;&gt;"Costos clínicos",D723&lt;&gt;"Remuneración familiar",D723&lt;&gt;"Nómina y honorarios",D723&lt;&gt;"Renta",D723&lt;&gt;"Marketing",D723&lt;&gt;"Servicios y software",D723&lt;&gt;"Mantenimiento",D723&lt;&gt;"Otros",D723&lt;&gt;"Intereses")),"Tipo o categoría inválido",IF(COUNTA(A723:J723)=0,"",IF(OR(A723="",B723="",C723="",H723=""),"Faltan datos",IF(COUNTIF($A$7:$A$2006,A723)&gt;1,"ID duplicado",IF(OR(B723&lt;DATE(Configuración!$C$5,1,1),B723&gt;=DATE(Configuración!$C$5+1,1,1)),"Fecha fuera del año",IF(OR(H723&lt;0,I723&lt;0),"Revisar signo",IF(AND(C723&lt;&gt;"Gasto",I723&lt;&gt;0),"IVA solo en Gasto",IF(AND(C723="Gasto",D723=""),"Falta categoría","OK")))))))))</f>
        <v/>
      </c>
    </row>
    <row r="724" spans="1:12" ht="22" customHeight="1">
      <c r="A724" s="3"/>
      <c r="B724" s="7"/>
      <c r="C724" s="3"/>
      <c r="D724" s="3"/>
      <c r="E724" s="3"/>
      <c r="F724" s="3"/>
      <c r="G724" s="3"/>
      <c r="H724" s="4"/>
      <c r="I724" s="4"/>
      <c r="J724" s="3"/>
      <c r="K724" s="8" t="str">
        <f t="shared" si="11"/>
        <v/>
      </c>
      <c r="L724" s="1" t="str">
        <f>IF(COUNTA(A724:J724)=0,"",IF(OR(AND(C724&lt;&gt;"Gasto",C724&lt;&gt;"Pago proveedor",C724&lt;&gt;"Retiro familiar",C724&lt;&gt;"Aportación",C724&lt;&gt;"Pago activo",C724&lt;&gt;"ISR devengado",C724&lt;&gt;"Pago ISR",C724&lt;&gt;"Pago IVA",C724&lt;&gt;"Compensación ISR",C724&lt;&gt;"Compensación IVA"),AND(C724="Gasto",D724&lt;&gt;"Costos clínicos",D724&lt;&gt;"Remuneración familiar",D724&lt;&gt;"Nómina y honorarios",D724&lt;&gt;"Renta",D724&lt;&gt;"Marketing",D724&lt;&gt;"Servicios y software",D724&lt;&gt;"Mantenimiento",D724&lt;&gt;"Otros",D724&lt;&gt;"Intereses")),"Tipo o categoría inválido",IF(COUNTA(A724:J724)=0,"",IF(OR(A724="",B724="",C724="",H724=""),"Faltan datos",IF(COUNTIF($A$7:$A$2006,A724)&gt;1,"ID duplicado",IF(OR(B724&lt;DATE(Configuración!$C$5,1,1),B724&gt;=DATE(Configuración!$C$5+1,1,1)),"Fecha fuera del año",IF(OR(H724&lt;0,I724&lt;0),"Revisar signo",IF(AND(C724&lt;&gt;"Gasto",I724&lt;&gt;0),"IVA solo en Gasto",IF(AND(C724="Gasto",D724=""),"Falta categoría","OK")))))))))</f>
        <v/>
      </c>
    </row>
    <row r="725" spans="1:12" ht="22" customHeight="1">
      <c r="A725" s="3"/>
      <c r="B725" s="7"/>
      <c r="C725" s="3"/>
      <c r="D725" s="3"/>
      <c r="E725" s="3"/>
      <c r="F725" s="3"/>
      <c r="G725" s="3"/>
      <c r="H725" s="4"/>
      <c r="I725" s="4"/>
      <c r="J725" s="3"/>
      <c r="K725" s="8" t="str">
        <f t="shared" si="11"/>
        <v/>
      </c>
      <c r="L725" s="1" t="str">
        <f>IF(COUNTA(A725:J725)=0,"",IF(OR(AND(C725&lt;&gt;"Gasto",C725&lt;&gt;"Pago proveedor",C725&lt;&gt;"Retiro familiar",C725&lt;&gt;"Aportación",C725&lt;&gt;"Pago activo",C725&lt;&gt;"ISR devengado",C725&lt;&gt;"Pago ISR",C725&lt;&gt;"Pago IVA",C725&lt;&gt;"Compensación ISR",C725&lt;&gt;"Compensación IVA"),AND(C725="Gasto",D725&lt;&gt;"Costos clínicos",D725&lt;&gt;"Remuneración familiar",D725&lt;&gt;"Nómina y honorarios",D725&lt;&gt;"Renta",D725&lt;&gt;"Marketing",D725&lt;&gt;"Servicios y software",D725&lt;&gt;"Mantenimiento",D725&lt;&gt;"Otros",D725&lt;&gt;"Intereses")),"Tipo o categoría inválido",IF(COUNTA(A725:J725)=0,"",IF(OR(A725="",B725="",C725="",H725=""),"Faltan datos",IF(COUNTIF($A$7:$A$2006,A725)&gt;1,"ID duplicado",IF(OR(B725&lt;DATE(Configuración!$C$5,1,1),B725&gt;=DATE(Configuración!$C$5+1,1,1)),"Fecha fuera del año",IF(OR(H725&lt;0,I725&lt;0),"Revisar signo",IF(AND(C725&lt;&gt;"Gasto",I725&lt;&gt;0),"IVA solo en Gasto",IF(AND(C725="Gasto",D725=""),"Falta categoría","OK")))))))))</f>
        <v/>
      </c>
    </row>
    <row r="726" spans="1:12" ht="22" customHeight="1">
      <c r="A726" s="3"/>
      <c r="B726" s="7"/>
      <c r="C726" s="3"/>
      <c r="D726" s="3"/>
      <c r="E726" s="3"/>
      <c r="F726" s="3"/>
      <c r="G726" s="3"/>
      <c r="H726" s="4"/>
      <c r="I726" s="4"/>
      <c r="J726" s="3"/>
      <c r="K726" s="8" t="str">
        <f t="shared" si="11"/>
        <v/>
      </c>
      <c r="L726" s="1" t="str">
        <f>IF(COUNTA(A726:J726)=0,"",IF(OR(AND(C726&lt;&gt;"Gasto",C726&lt;&gt;"Pago proveedor",C726&lt;&gt;"Retiro familiar",C726&lt;&gt;"Aportación",C726&lt;&gt;"Pago activo",C726&lt;&gt;"ISR devengado",C726&lt;&gt;"Pago ISR",C726&lt;&gt;"Pago IVA",C726&lt;&gt;"Compensación ISR",C726&lt;&gt;"Compensación IVA"),AND(C726="Gasto",D726&lt;&gt;"Costos clínicos",D726&lt;&gt;"Remuneración familiar",D726&lt;&gt;"Nómina y honorarios",D726&lt;&gt;"Renta",D726&lt;&gt;"Marketing",D726&lt;&gt;"Servicios y software",D726&lt;&gt;"Mantenimiento",D726&lt;&gt;"Otros",D726&lt;&gt;"Intereses")),"Tipo o categoría inválido",IF(COUNTA(A726:J726)=0,"",IF(OR(A726="",B726="",C726="",H726=""),"Faltan datos",IF(COUNTIF($A$7:$A$2006,A726)&gt;1,"ID duplicado",IF(OR(B726&lt;DATE(Configuración!$C$5,1,1),B726&gt;=DATE(Configuración!$C$5+1,1,1)),"Fecha fuera del año",IF(OR(H726&lt;0,I726&lt;0),"Revisar signo",IF(AND(C726&lt;&gt;"Gasto",I726&lt;&gt;0),"IVA solo en Gasto",IF(AND(C726="Gasto",D726=""),"Falta categoría","OK")))))))))</f>
        <v/>
      </c>
    </row>
    <row r="727" spans="1:12" ht="22" customHeight="1">
      <c r="A727" s="3"/>
      <c r="B727" s="7"/>
      <c r="C727" s="3"/>
      <c r="D727" s="3"/>
      <c r="E727" s="3"/>
      <c r="F727" s="3"/>
      <c r="G727" s="3"/>
      <c r="H727" s="4"/>
      <c r="I727" s="4"/>
      <c r="J727" s="3"/>
      <c r="K727" s="8" t="str">
        <f t="shared" si="11"/>
        <v/>
      </c>
      <c r="L727" s="1" t="str">
        <f>IF(COUNTA(A727:J727)=0,"",IF(OR(AND(C727&lt;&gt;"Gasto",C727&lt;&gt;"Pago proveedor",C727&lt;&gt;"Retiro familiar",C727&lt;&gt;"Aportación",C727&lt;&gt;"Pago activo",C727&lt;&gt;"ISR devengado",C727&lt;&gt;"Pago ISR",C727&lt;&gt;"Pago IVA",C727&lt;&gt;"Compensación ISR",C727&lt;&gt;"Compensación IVA"),AND(C727="Gasto",D727&lt;&gt;"Costos clínicos",D727&lt;&gt;"Remuneración familiar",D727&lt;&gt;"Nómina y honorarios",D727&lt;&gt;"Renta",D727&lt;&gt;"Marketing",D727&lt;&gt;"Servicios y software",D727&lt;&gt;"Mantenimiento",D727&lt;&gt;"Otros",D727&lt;&gt;"Intereses")),"Tipo o categoría inválido",IF(COUNTA(A727:J727)=0,"",IF(OR(A727="",B727="",C727="",H727=""),"Faltan datos",IF(COUNTIF($A$7:$A$2006,A727)&gt;1,"ID duplicado",IF(OR(B727&lt;DATE(Configuración!$C$5,1,1),B727&gt;=DATE(Configuración!$C$5+1,1,1)),"Fecha fuera del año",IF(OR(H727&lt;0,I727&lt;0),"Revisar signo",IF(AND(C727&lt;&gt;"Gasto",I727&lt;&gt;0),"IVA solo en Gasto",IF(AND(C727="Gasto",D727=""),"Falta categoría","OK")))))))))</f>
        <v/>
      </c>
    </row>
    <row r="728" spans="1:12" ht="22" customHeight="1">
      <c r="A728" s="3"/>
      <c r="B728" s="7"/>
      <c r="C728" s="3"/>
      <c r="D728" s="3"/>
      <c r="E728" s="3"/>
      <c r="F728" s="3"/>
      <c r="G728" s="3"/>
      <c r="H728" s="4"/>
      <c r="I728" s="4"/>
      <c r="J728" s="3"/>
      <c r="K728" s="8" t="str">
        <f t="shared" si="11"/>
        <v/>
      </c>
      <c r="L728" s="1" t="str">
        <f>IF(COUNTA(A728:J728)=0,"",IF(OR(AND(C728&lt;&gt;"Gasto",C728&lt;&gt;"Pago proveedor",C728&lt;&gt;"Retiro familiar",C728&lt;&gt;"Aportación",C728&lt;&gt;"Pago activo",C728&lt;&gt;"ISR devengado",C728&lt;&gt;"Pago ISR",C728&lt;&gt;"Pago IVA",C728&lt;&gt;"Compensación ISR",C728&lt;&gt;"Compensación IVA"),AND(C728="Gasto",D728&lt;&gt;"Costos clínicos",D728&lt;&gt;"Remuneración familiar",D728&lt;&gt;"Nómina y honorarios",D728&lt;&gt;"Renta",D728&lt;&gt;"Marketing",D728&lt;&gt;"Servicios y software",D728&lt;&gt;"Mantenimiento",D728&lt;&gt;"Otros",D728&lt;&gt;"Intereses")),"Tipo o categoría inválido",IF(COUNTA(A728:J728)=0,"",IF(OR(A728="",B728="",C728="",H728=""),"Faltan datos",IF(COUNTIF($A$7:$A$2006,A728)&gt;1,"ID duplicado",IF(OR(B728&lt;DATE(Configuración!$C$5,1,1),B728&gt;=DATE(Configuración!$C$5+1,1,1)),"Fecha fuera del año",IF(OR(H728&lt;0,I728&lt;0),"Revisar signo",IF(AND(C728&lt;&gt;"Gasto",I728&lt;&gt;0),"IVA solo en Gasto",IF(AND(C728="Gasto",D728=""),"Falta categoría","OK")))))))))</f>
        <v/>
      </c>
    </row>
    <row r="729" spans="1:12" ht="22" customHeight="1">
      <c r="A729" s="3"/>
      <c r="B729" s="7"/>
      <c r="C729" s="3"/>
      <c r="D729" s="3"/>
      <c r="E729" s="3"/>
      <c r="F729" s="3"/>
      <c r="G729" s="3"/>
      <c r="H729" s="4"/>
      <c r="I729" s="4"/>
      <c r="J729" s="3"/>
      <c r="K729" s="8" t="str">
        <f t="shared" si="11"/>
        <v/>
      </c>
      <c r="L729" s="1" t="str">
        <f>IF(COUNTA(A729:J729)=0,"",IF(OR(AND(C729&lt;&gt;"Gasto",C729&lt;&gt;"Pago proveedor",C729&lt;&gt;"Retiro familiar",C729&lt;&gt;"Aportación",C729&lt;&gt;"Pago activo",C729&lt;&gt;"ISR devengado",C729&lt;&gt;"Pago ISR",C729&lt;&gt;"Pago IVA",C729&lt;&gt;"Compensación ISR",C729&lt;&gt;"Compensación IVA"),AND(C729="Gasto",D729&lt;&gt;"Costos clínicos",D729&lt;&gt;"Remuneración familiar",D729&lt;&gt;"Nómina y honorarios",D729&lt;&gt;"Renta",D729&lt;&gt;"Marketing",D729&lt;&gt;"Servicios y software",D729&lt;&gt;"Mantenimiento",D729&lt;&gt;"Otros",D729&lt;&gt;"Intereses")),"Tipo o categoría inválido",IF(COUNTA(A729:J729)=0,"",IF(OR(A729="",B729="",C729="",H729=""),"Faltan datos",IF(COUNTIF($A$7:$A$2006,A729)&gt;1,"ID duplicado",IF(OR(B729&lt;DATE(Configuración!$C$5,1,1),B729&gt;=DATE(Configuración!$C$5+1,1,1)),"Fecha fuera del año",IF(OR(H729&lt;0,I729&lt;0),"Revisar signo",IF(AND(C729&lt;&gt;"Gasto",I729&lt;&gt;0),"IVA solo en Gasto",IF(AND(C729="Gasto",D729=""),"Falta categoría","OK")))))))))</f>
        <v/>
      </c>
    </row>
    <row r="730" spans="1:12" ht="22" customHeight="1">
      <c r="A730" s="3"/>
      <c r="B730" s="7"/>
      <c r="C730" s="3"/>
      <c r="D730" s="3"/>
      <c r="E730" s="3"/>
      <c r="F730" s="3"/>
      <c r="G730" s="3"/>
      <c r="H730" s="4"/>
      <c r="I730" s="4"/>
      <c r="J730" s="3"/>
      <c r="K730" s="8" t="str">
        <f t="shared" si="11"/>
        <v/>
      </c>
      <c r="L730" s="1" t="str">
        <f>IF(COUNTA(A730:J730)=0,"",IF(OR(AND(C730&lt;&gt;"Gasto",C730&lt;&gt;"Pago proveedor",C730&lt;&gt;"Retiro familiar",C730&lt;&gt;"Aportación",C730&lt;&gt;"Pago activo",C730&lt;&gt;"ISR devengado",C730&lt;&gt;"Pago ISR",C730&lt;&gt;"Pago IVA",C730&lt;&gt;"Compensación ISR",C730&lt;&gt;"Compensación IVA"),AND(C730="Gasto",D730&lt;&gt;"Costos clínicos",D730&lt;&gt;"Remuneración familiar",D730&lt;&gt;"Nómina y honorarios",D730&lt;&gt;"Renta",D730&lt;&gt;"Marketing",D730&lt;&gt;"Servicios y software",D730&lt;&gt;"Mantenimiento",D730&lt;&gt;"Otros",D730&lt;&gt;"Intereses")),"Tipo o categoría inválido",IF(COUNTA(A730:J730)=0,"",IF(OR(A730="",B730="",C730="",H730=""),"Faltan datos",IF(COUNTIF($A$7:$A$2006,A730)&gt;1,"ID duplicado",IF(OR(B730&lt;DATE(Configuración!$C$5,1,1),B730&gt;=DATE(Configuración!$C$5+1,1,1)),"Fecha fuera del año",IF(OR(H730&lt;0,I730&lt;0),"Revisar signo",IF(AND(C730&lt;&gt;"Gasto",I730&lt;&gt;0),"IVA solo en Gasto",IF(AND(C730="Gasto",D730=""),"Falta categoría","OK")))))))))</f>
        <v/>
      </c>
    </row>
    <row r="731" spans="1:12" ht="22" customHeight="1">
      <c r="A731" s="3"/>
      <c r="B731" s="7"/>
      <c r="C731" s="3"/>
      <c r="D731" s="3"/>
      <c r="E731" s="3"/>
      <c r="F731" s="3"/>
      <c r="G731" s="3"/>
      <c r="H731" s="4"/>
      <c r="I731" s="4"/>
      <c r="J731" s="3"/>
      <c r="K731" s="8" t="str">
        <f t="shared" si="11"/>
        <v/>
      </c>
      <c r="L731" s="1" t="str">
        <f>IF(COUNTA(A731:J731)=0,"",IF(OR(AND(C731&lt;&gt;"Gasto",C731&lt;&gt;"Pago proveedor",C731&lt;&gt;"Retiro familiar",C731&lt;&gt;"Aportación",C731&lt;&gt;"Pago activo",C731&lt;&gt;"ISR devengado",C731&lt;&gt;"Pago ISR",C731&lt;&gt;"Pago IVA",C731&lt;&gt;"Compensación ISR",C731&lt;&gt;"Compensación IVA"),AND(C731="Gasto",D731&lt;&gt;"Costos clínicos",D731&lt;&gt;"Remuneración familiar",D731&lt;&gt;"Nómina y honorarios",D731&lt;&gt;"Renta",D731&lt;&gt;"Marketing",D731&lt;&gt;"Servicios y software",D731&lt;&gt;"Mantenimiento",D731&lt;&gt;"Otros",D731&lt;&gt;"Intereses")),"Tipo o categoría inválido",IF(COUNTA(A731:J731)=0,"",IF(OR(A731="",B731="",C731="",H731=""),"Faltan datos",IF(COUNTIF($A$7:$A$2006,A731)&gt;1,"ID duplicado",IF(OR(B731&lt;DATE(Configuración!$C$5,1,1),B731&gt;=DATE(Configuración!$C$5+1,1,1)),"Fecha fuera del año",IF(OR(H731&lt;0,I731&lt;0),"Revisar signo",IF(AND(C731&lt;&gt;"Gasto",I731&lt;&gt;0),"IVA solo en Gasto",IF(AND(C731="Gasto",D731=""),"Falta categoría","OK")))))))))</f>
        <v/>
      </c>
    </row>
    <row r="732" spans="1:12" ht="22" customHeight="1">
      <c r="A732" s="3"/>
      <c r="B732" s="7"/>
      <c r="C732" s="3"/>
      <c r="D732" s="3"/>
      <c r="E732" s="3"/>
      <c r="F732" s="3"/>
      <c r="G732" s="3"/>
      <c r="H732" s="4"/>
      <c r="I732" s="4"/>
      <c r="J732" s="3"/>
      <c r="K732" s="8" t="str">
        <f t="shared" si="11"/>
        <v/>
      </c>
      <c r="L732" s="1" t="str">
        <f>IF(COUNTA(A732:J732)=0,"",IF(OR(AND(C732&lt;&gt;"Gasto",C732&lt;&gt;"Pago proveedor",C732&lt;&gt;"Retiro familiar",C732&lt;&gt;"Aportación",C732&lt;&gt;"Pago activo",C732&lt;&gt;"ISR devengado",C732&lt;&gt;"Pago ISR",C732&lt;&gt;"Pago IVA",C732&lt;&gt;"Compensación ISR",C732&lt;&gt;"Compensación IVA"),AND(C732="Gasto",D732&lt;&gt;"Costos clínicos",D732&lt;&gt;"Remuneración familiar",D732&lt;&gt;"Nómina y honorarios",D732&lt;&gt;"Renta",D732&lt;&gt;"Marketing",D732&lt;&gt;"Servicios y software",D732&lt;&gt;"Mantenimiento",D732&lt;&gt;"Otros",D732&lt;&gt;"Intereses")),"Tipo o categoría inválido",IF(COUNTA(A732:J732)=0,"",IF(OR(A732="",B732="",C732="",H732=""),"Faltan datos",IF(COUNTIF($A$7:$A$2006,A732)&gt;1,"ID duplicado",IF(OR(B732&lt;DATE(Configuración!$C$5,1,1),B732&gt;=DATE(Configuración!$C$5+1,1,1)),"Fecha fuera del año",IF(OR(H732&lt;0,I732&lt;0),"Revisar signo",IF(AND(C732&lt;&gt;"Gasto",I732&lt;&gt;0),"IVA solo en Gasto",IF(AND(C732="Gasto",D732=""),"Falta categoría","OK")))))))))</f>
        <v/>
      </c>
    </row>
    <row r="733" spans="1:12" ht="22" customHeight="1">
      <c r="A733" s="3"/>
      <c r="B733" s="7"/>
      <c r="C733" s="3"/>
      <c r="D733" s="3"/>
      <c r="E733" s="3"/>
      <c r="F733" s="3"/>
      <c r="G733" s="3"/>
      <c r="H733" s="4"/>
      <c r="I733" s="4"/>
      <c r="J733" s="3"/>
      <c r="K733" s="8" t="str">
        <f t="shared" si="11"/>
        <v/>
      </c>
      <c r="L733" s="1" t="str">
        <f>IF(COUNTA(A733:J733)=0,"",IF(OR(AND(C733&lt;&gt;"Gasto",C733&lt;&gt;"Pago proveedor",C733&lt;&gt;"Retiro familiar",C733&lt;&gt;"Aportación",C733&lt;&gt;"Pago activo",C733&lt;&gt;"ISR devengado",C733&lt;&gt;"Pago ISR",C733&lt;&gt;"Pago IVA",C733&lt;&gt;"Compensación ISR",C733&lt;&gt;"Compensación IVA"),AND(C733="Gasto",D733&lt;&gt;"Costos clínicos",D733&lt;&gt;"Remuneración familiar",D733&lt;&gt;"Nómina y honorarios",D733&lt;&gt;"Renta",D733&lt;&gt;"Marketing",D733&lt;&gt;"Servicios y software",D733&lt;&gt;"Mantenimiento",D733&lt;&gt;"Otros",D733&lt;&gt;"Intereses")),"Tipo o categoría inválido",IF(COUNTA(A733:J733)=0,"",IF(OR(A733="",B733="",C733="",H733=""),"Faltan datos",IF(COUNTIF($A$7:$A$2006,A733)&gt;1,"ID duplicado",IF(OR(B733&lt;DATE(Configuración!$C$5,1,1),B733&gt;=DATE(Configuración!$C$5+1,1,1)),"Fecha fuera del año",IF(OR(H733&lt;0,I733&lt;0),"Revisar signo",IF(AND(C733&lt;&gt;"Gasto",I733&lt;&gt;0),"IVA solo en Gasto",IF(AND(C733="Gasto",D733=""),"Falta categoría","OK")))))))))</f>
        <v/>
      </c>
    </row>
    <row r="734" spans="1:12" ht="22" customHeight="1">
      <c r="A734" s="3"/>
      <c r="B734" s="7"/>
      <c r="C734" s="3"/>
      <c r="D734" s="3"/>
      <c r="E734" s="3"/>
      <c r="F734" s="3"/>
      <c r="G734" s="3"/>
      <c r="H734" s="4"/>
      <c r="I734" s="4"/>
      <c r="J734" s="3"/>
      <c r="K734" s="8" t="str">
        <f t="shared" si="11"/>
        <v/>
      </c>
      <c r="L734" s="1" t="str">
        <f>IF(COUNTA(A734:J734)=0,"",IF(OR(AND(C734&lt;&gt;"Gasto",C734&lt;&gt;"Pago proveedor",C734&lt;&gt;"Retiro familiar",C734&lt;&gt;"Aportación",C734&lt;&gt;"Pago activo",C734&lt;&gt;"ISR devengado",C734&lt;&gt;"Pago ISR",C734&lt;&gt;"Pago IVA",C734&lt;&gt;"Compensación ISR",C734&lt;&gt;"Compensación IVA"),AND(C734="Gasto",D734&lt;&gt;"Costos clínicos",D734&lt;&gt;"Remuneración familiar",D734&lt;&gt;"Nómina y honorarios",D734&lt;&gt;"Renta",D734&lt;&gt;"Marketing",D734&lt;&gt;"Servicios y software",D734&lt;&gt;"Mantenimiento",D734&lt;&gt;"Otros",D734&lt;&gt;"Intereses")),"Tipo o categoría inválido",IF(COUNTA(A734:J734)=0,"",IF(OR(A734="",B734="",C734="",H734=""),"Faltan datos",IF(COUNTIF($A$7:$A$2006,A734)&gt;1,"ID duplicado",IF(OR(B734&lt;DATE(Configuración!$C$5,1,1),B734&gt;=DATE(Configuración!$C$5+1,1,1)),"Fecha fuera del año",IF(OR(H734&lt;0,I734&lt;0),"Revisar signo",IF(AND(C734&lt;&gt;"Gasto",I734&lt;&gt;0),"IVA solo en Gasto",IF(AND(C734="Gasto",D734=""),"Falta categoría","OK")))))))))</f>
        <v/>
      </c>
    </row>
    <row r="735" spans="1:12" ht="22" customHeight="1">
      <c r="A735" s="3"/>
      <c r="B735" s="7"/>
      <c r="C735" s="3"/>
      <c r="D735" s="3"/>
      <c r="E735" s="3"/>
      <c r="F735" s="3"/>
      <c r="G735" s="3"/>
      <c r="H735" s="4"/>
      <c r="I735" s="4"/>
      <c r="J735" s="3"/>
      <c r="K735" s="8" t="str">
        <f t="shared" si="11"/>
        <v/>
      </c>
      <c r="L735" s="1" t="str">
        <f>IF(COUNTA(A735:J735)=0,"",IF(OR(AND(C735&lt;&gt;"Gasto",C735&lt;&gt;"Pago proveedor",C735&lt;&gt;"Retiro familiar",C735&lt;&gt;"Aportación",C735&lt;&gt;"Pago activo",C735&lt;&gt;"ISR devengado",C735&lt;&gt;"Pago ISR",C735&lt;&gt;"Pago IVA",C735&lt;&gt;"Compensación ISR",C735&lt;&gt;"Compensación IVA"),AND(C735="Gasto",D735&lt;&gt;"Costos clínicos",D735&lt;&gt;"Remuneración familiar",D735&lt;&gt;"Nómina y honorarios",D735&lt;&gt;"Renta",D735&lt;&gt;"Marketing",D735&lt;&gt;"Servicios y software",D735&lt;&gt;"Mantenimiento",D735&lt;&gt;"Otros",D735&lt;&gt;"Intereses")),"Tipo o categoría inválido",IF(COUNTA(A735:J735)=0,"",IF(OR(A735="",B735="",C735="",H735=""),"Faltan datos",IF(COUNTIF($A$7:$A$2006,A735)&gt;1,"ID duplicado",IF(OR(B735&lt;DATE(Configuración!$C$5,1,1),B735&gt;=DATE(Configuración!$C$5+1,1,1)),"Fecha fuera del año",IF(OR(H735&lt;0,I735&lt;0),"Revisar signo",IF(AND(C735&lt;&gt;"Gasto",I735&lt;&gt;0),"IVA solo en Gasto",IF(AND(C735="Gasto",D735=""),"Falta categoría","OK")))))))))</f>
        <v/>
      </c>
    </row>
    <row r="736" spans="1:12" ht="22" customHeight="1">
      <c r="A736" s="3"/>
      <c r="B736" s="7"/>
      <c r="C736" s="3"/>
      <c r="D736" s="3"/>
      <c r="E736" s="3"/>
      <c r="F736" s="3"/>
      <c r="G736" s="3"/>
      <c r="H736" s="4"/>
      <c r="I736" s="4"/>
      <c r="J736" s="3"/>
      <c r="K736" s="8" t="str">
        <f t="shared" si="11"/>
        <v/>
      </c>
      <c r="L736" s="1" t="str">
        <f>IF(COUNTA(A736:J736)=0,"",IF(OR(AND(C736&lt;&gt;"Gasto",C736&lt;&gt;"Pago proveedor",C736&lt;&gt;"Retiro familiar",C736&lt;&gt;"Aportación",C736&lt;&gt;"Pago activo",C736&lt;&gt;"ISR devengado",C736&lt;&gt;"Pago ISR",C736&lt;&gt;"Pago IVA",C736&lt;&gt;"Compensación ISR",C736&lt;&gt;"Compensación IVA"),AND(C736="Gasto",D736&lt;&gt;"Costos clínicos",D736&lt;&gt;"Remuneración familiar",D736&lt;&gt;"Nómina y honorarios",D736&lt;&gt;"Renta",D736&lt;&gt;"Marketing",D736&lt;&gt;"Servicios y software",D736&lt;&gt;"Mantenimiento",D736&lt;&gt;"Otros",D736&lt;&gt;"Intereses")),"Tipo o categoría inválido",IF(COUNTA(A736:J736)=0,"",IF(OR(A736="",B736="",C736="",H736=""),"Faltan datos",IF(COUNTIF($A$7:$A$2006,A736)&gt;1,"ID duplicado",IF(OR(B736&lt;DATE(Configuración!$C$5,1,1),B736&gt;=DATE(Configuración!$C$5+1,1,1)),"Fecha fuera del año",IF(OR(H736&lt;0,I736&lt;0),"Revisar signo",IF(AND(C736&lt;&gt;"Gasto",I736&lt;&gt;0),"IVA solo en Gasto",IF(AND(C736="Gasto",D736=""),"Falta categoría","OK")))))))))</f>
        <v/>
      </c>
    </row>
    <row r="737" spans="1:12" ht="22" customHeight="1">
      <c r="A737" s="3"/>
      <c r="B737" s="7"/>
      <c r="C737" s="3"/>
      <c r="D737" s="3"/>
      <c r="E737" s="3"/>
      <c r="F737" s="3"/>
      <c r="G737" s="3"/>
      <c r="H737" s="4"/>
      <c r="I737" s="4"/>
      <c r="J737" s="3"/>
      <c r="K737" s="8" t="str">
        <f t="shared" si="11"/>
        <v/>
      </c>
      <c r="L737" s="1" t="str">
        <f>IF(COUNTA(A737:J737)=0,"",IF(OR(AND(C737&lt;&gt;"Gasto",C737&lt;&gt;"Pago proveedor",C737&lt;&gt;"Retiro familiar",C737&lt;&gt;"Aportación",C737&lt;&gt;"Pago activo",C737&lt;&gt;"ISR devengado",C737&lt;&gt;"Pago ISR",C737&lt;&gt;"Pago IVA",C737&lt;&gt;"Compensación ISR",C737&lt;&gt;"Compensación IVA"),AND(C737="Gasto",D737&lt;&gt;"Costos clínicos",D737&lt;&gt;"Remuneración familiar",D737&lt;&gt;"Nómina y honorarios",D737&lt;&gt;"Renta",D737&lt;&gt;"Marketing",D737&lt;&gt;"Servicios y software",D737&lt;&gt;"Mantenimiento",D737&lt;&gt;"Otros",D737&lt;&gt;"Intereses")),"Tipo o categoría inválido",IF(COUNTA(A737:J737)=0,"",IF(OR(A737="",B737="",C737="",H737=""),"Faltan datos",IF(COUNTIF($A$7:$A$2006,A737)&gt;1,"ID duplicado",IF(OR(B737&lt;DATE(Configuración!$C$5,1,1),B737&gt;=DATE(Configuración!$C$5+1,1,1)),"Fecha fuera del año",IF(OR(H737&lt;0,I737&lt;0),"Revisar signo",IF(AND(C737&lt;&gt;"Gasto",I737&lt;&gt;0),"IVA solo en Gasto",IF(AND(C737="Gasto",D737=""),"Falta categoría","OK")))))))))</f>
        <v/>
      </c>
    </row>
    <row r="738" spans="1:12" ht="22" customHeight="1">
      <c r="A738" s="3"/>
      <c r="B738" s="7"/>
      <c r="C738" s="3"/>
      <c r="D738" s="3"/>
      <c r="E738" s="3"/>
      <c r="F738" s="3"/>
      <c r="G738" s="3"/>
      <c r="H738" s="4"/>
      <c r="I738" s="4"/>
      <c r="J738" s="3"/>
      <c r="K738" s="8" t="str">
        <f t="shared" si="11"/>
        <v/>
      </c>
      <c r="L738" s="1" t="str">
        <f>IF(COUNTA(A738:J738)=0,"",IF(OR(AND(C738&lt;&gt;"Gasto",C738&lt;&gt;"Pago proveedor",C738&lt;&gt;"Retiro familiar",C738&lt;&gt;"Aportación",C738&lt;&gt;"Pago activo",C738&lt;&gt;"ISR devengado",C738&lt;&gt;"Pago ISR",C738&lt;&gt;"Pago IVA",C738&lt;&gt;"Compensación ISR",C738&lt;&gt;"Compensación IVA"),AND(C738="Gasto",D738&lt;&gt;"Costos clínicos",D738&lt;&gt;"Remuneración familiar",D738&lt;&gt;"Nómina y honorarios",D738&lt;&gt;"Renta",D738&lt;&gt;"Marketing",D738&lt;&gt;"Servicios y software",D738&lt;&gt;"Mantenimiento",D738&lt;&gt;"Otros",D738&lt;&gt;"Intereses")),"Tipo o categoría inválido",IF(COUNTA(A738:J738)=0,"",IF(OR(A738="",B738="",C738="",H738=""),"Faltan datos",IF(COUNTIF($A$7:$A$2006,A738)&gt;1,"ID duplicado",IF(OR(B738&lt;DATE(Configuración!$C$5,1,1),B738&gt;=DATE(Configuración!$C$5+1,1,1)),"Fecha fuera del año",IF(OR(H738&lt;0,I738&lt;0),"Revisar signo",IF(AND(C738&lt;&gt;"Gasto",I738&lt;&gt;0),"IVA solo en Gasto",IF(AND(C738="Gasto",D738=""),"Falta categoría","OK")))))))))</f>
        <v/>
      </c>
    </row>
    <row r="739" spans="1:12" ht="22" customHeight="1">
      <c r="A739" s="3"/>
      <c r="B739" s="7"/>
      <c r="C739" s="3"/>
      <c r="D739" s="3"/>
      <c r="E739" s="3"/>
      <c r="F739" s="3"/>
      <c r="G739" s="3"/>
      <c r="H739" s="4"/>
      <c r="I739" s="4"/>
      <c r="J739" s="3"/>
      <c r="K739" s="8" t="str">
        <f t="shared" si="11"/>
        <v/>
      </c>
      <c r="L739" s="1" t="str">
        <f>IF(COUNTA(A739:J739)=0,"",IF(OR(AND(C739&lt;&gt;"Gasto",C739&lt;&gt;"Pago proveedor",C739&lt;&gt;"Retiro familiar",C739&lt;&gt;"Aportación",C739&lt;&gt;"Pago activo",C739&lt;&gt;"ISR devengado",C739&lt;&gt;"Pago ISR",C739&lt;&gt;"Pago IVA",C739&lt;&gt;"Compensación ISR",C739&lt;&gt;"Compensación IVA"),AND(C739="Gasto",D739&lt;&gt;"Costos clínicos",D739&lt;&gt;"Remuneración familiar",D739&lt;&gt;"Nómina y honorarios",D739&lt;&gt;"Renta",D739&lt;&gt;"Marketing",D739&lt;&gt;"Servicios y software",D739&lt;&gt;"Mantenimiento",D739&lt;&gt;"Otros",D739&lt;&gt;"Intereses")),"Tipo o categoría inválido",IF(COUNTA(A739:J739)=0,"",IF(OR(A739="",B739="",C739="",H739=""),"Faltan datos",IF(COUNTIF($A$7:$A$2006,A739)&gt;1,"ID duplicado",IF(OR(B739&lt;DATE(Configuración!$C$5,1,1),B739&gt;=DATE(Configuración!$C$5+1,1,1)),"Fecha fuera del año",IF(OR(H739&lt;0,I739&lt;0),"Revisar signo",IF(AND(C739&lt;&gt;"Gasto",I739&lt;&gt;0),"IVA solo en Gasto",IF(AND(C739="Gasto",D739=""),"Falta categoría","OK")))))))))</f>
        <v/>
      </c>
    </row>
    <row r="740" spans="1:12" ht="22" customHeight="1">
      <c r="A740" s="3"/>
      <c r="B740" s="7"/>
      <c r="C740" s="3"/>
      <c r="D740" s="3"/>
      <c r="E740" s="3"/>
      <c r="F740" s="3"/>
      <c r="G740" s="3"/>
      <c r="H740" s="4"/>
      <c r="I740" s="4"/>
      <c r="J740" s="3"/>
      <c r="K740" s="8" t="str">
        <f t="shared" si="11"/>
        <v/>
      </c>
      <c r="L740" s="1" t="str">
        <f>IF(COUNTA(A740:J740)=0,"",IF(OR(AND(C740&lt;&gt;"Gasto",C740&lt;&gt;"Pago proveedor",C740&lt;&gt;"Retiro familiar",C740&lt;&gt;"Aportación",C740&lt;&gt;"Pago activo",C740&lt;&gt;"ISR devengado",C740&lt;&gt;"Pago ISR",C740&lt;&gt;"Pago IVA",C740&lt;&gt;"Compensación ISR",C740&lt;&gt;"Compensación IVA"),AND(C740="Gasto",D740&lt;&gt;"Costos clínicos",D740&lt;&gt;"Remuneración familiar",D740&lt;&gt;"Nómina y honorarios",D740&lt;&gt;"Renta",D740&lt;&gt;"Marketing",D740&lt;&gt;"Servicios y software",D740&lt;&gt;"Mantenimiento",D740&lt;&gt;"Otros",D740&lt;&gt;"Intereses")),"Tipo o categoría inválido",IF(COUNTA(A740:J740)=0,"",IF(OR(A740="",B740="",C740="",H740=""),"Faltan datos",IF(COUNTIF($A$7:$A$2006,A740)&gt;1,"ID duplicado",IF(OR(B740&lt;DATE(Configuración!$C$5,1,1),B740&gt;=DATE(Configuración!$C$5+1,1,1)),"Fecha fuera del año",IF(OR(H740&lt;0,I740&lt;0),"Revisar signo",IF(AND(C740&lt;&gt;"Gasto",I740&lt;&gt;0),"IVA solo en Gasto",IF(AND(C740="Gasto",D740=""),"Falta categoría","OK")))))))))</f>
        <v/>
      </c>
    </row>
    <row r="741" spans="1:12" ht="22" customHeight="1">
      <c r="A741" s="3"/>
      <c r="B741" s="7"/>
      <c r="C741" s="3"/>
      <c r="D741" s="3"/>
      <c r="E741" s="3"/>
      <c r="F741" s="3"/>
      <c r="G741" s="3"/>
      <c r="H741" s="4"/>
      <c r="I741" s="4"/>
      <c r="J741" s="3"/>
      <c r="K741" s="8" t="str">
        <f t="shared" si="11"/>
        <v/>
      </c>
      <c r="L741" s="1" t="str">
        <f>IF(COUNTA(A741:J741)=0,"",IF(OR(AND(C741&lt;&gt;"Gasto",C741&lt;&gt;"Pago proveedor",C741&lt;&gt;"Retiro familiar",C741&lt;&gt;"Aportación",C741&lt;&gt;"Pago activo",C741&lt;&gt;"ISR devengado",C741&lt;&gt;"Pago ISR",C741&lt;&gt;"Pago IVA",C741&lt;&gt;"Compensación ISR",C741&lt;&gt;"Compensación IVA"),AND(C741="Gasto",D741&lt;&gt;"Costos clínicos",D741&lt;&gt;"Remuneración familiar",D741&lt;&gt;"Nómina y honorarios",D741&lt;&gt;"Renta",D741&lt;&gt;"Marketing",D741&lt;&gt;"Servicios y software",D741&lt;&gt;"Mantenimiento",D741&lt;&gt;"Otros",D741&lt;&gt;"Intereses")),"Tipo o categoría inválido",IF(COUNTA(A741:J741)=0,"",IF(OR(A741="",B741="",C741="",H741=""),"Faltan datos",IF(COUNTIF($A$7:$A$2006,A741)&gt;1,"ID duplicado",IF(OR(B741&lt;DATE(Configuración!$C$5,1,1),B741&gt;=DATE(Configuración!$C$5+1,1,1)),"Fecha fuera del año",IF(OR(H741&lt;0,I741&lt;0),"Revisar signo",IF(AND(C741&lt;&gt;"Gasto",I741&lt;&gt;0),"IVA solo en Gasto",IF(AND(C741="Gasto",D741=""),"Falta categoría","OK")))))))))</f>
        <v/>
      </c>
    </row>
    <row r="742" spans="1:12" ht="22" customHeight="1">
      <c r="A742" s="3"/>
      <c r="B742" s="7"/>
      <c r="C742" s="3"/>
      <c r="D742" s="3"/>
      <c r="E742" s="3"/>
      <c r="F742" s="3"/>
      <c r="G742" s="3"/>
      <c r="H742" s="4"/>
      <c r="I742" s="4"/>
      <c r="J742" s="3"/>
      <c r="K742" s="8" t="str">
        <f t="shared" si="11"/>
        <v/>
      </c>
      <c r="L742" s="1" t="str">
        <f>IF(COUNTA(A742:J742)=0,"",IF(OR(AND(C742&lt;&gt;"Gasto",C742&lt;&gt;"Pago proveedor",C742&lt;&gt;"Retiro familiar",C742&lt;&gt;"Aportación",C742&lt;&gt;"Pago activo",C742&lt;&gt;"ISR devengado",C742&lt;&gt;"Pago ISR",C742&lt;&gt;"Pago IVA",C742&lt;&gt;"Compensación ISR",C742&lt;&gt;"Compensación IVA"),AND(C742="Gasto",D742&lt;&gt;"Costos clínicos",D742&lt;&gt;"Remuneración familiar",D742&lt;&gt;"Nómina y honorarios",D742&lt;&gt;"Renta",D742&lt;&gt;"Marketing",D742&lt;&gt;"Servicios y software",D742&lt;&gt;"Mantenimiento",D742&lt;&gt;"Otros",D742&lt;&gt;"Intereses")),"Tipo o categoría inválido",IF(COUNTA(A742:J742)=0,"",IF(OR(A742="",B742="",C742="",H742=""),"Faltan datos",IF(COUNTIF($A$7:$A$2006,A742)&gt;1,"ID duplicado",IF(OR(B742&lt;DATE(Configuración!$C$5,1,1),B742&gt;=DATE(Configuración!$C$5+1,1,1)),"Fecha fuera del año",IF(OR(H742&lt;0,I742&lt;0),"Revisar signo",IF(AND(C742&lt;&gt;"Gasto",I742&lt;&gt;0),"IVA solo en Gasto",IF(AND(C742="Gasto",D742=""),"Falta categoría","OK")))))))))</f>
        <v/>
      </c>
    </row>
    <row r="743" spans="1:12" ht="22" customHeight="1">
      <c r="A743" s="3"/>
      <c r="B743" s="7"/>
      <c r="C743" s="3"/>
      <c r="D743" s="3"/>
      <c r="E743" s="3"/>
      <c r="F743" s="3"/>
      <c r="G743" s="3"/>
      <c r="H743" s="4"/>
      <c r="I743" s="4"/>
      <c r="J743" s="3"/>
      <c r="K743" s="8" t="str">
        <f t="shared" si="11"/>
        <v/>
      </c>
      <c r="L743" s="1" t="str">
        <f>IF(COUNTA(A743:J743)=0,"",IF(OR(AND(C743&lt;&gt;"Gasto",C743&lt;&gt;"Pago proveedor",C743&lt;&gt;"Retiro familiar",C743&lt;&gt;"Aportación",C743&lt;&gt;"Pago activo",C743&lt;&gt;"ISR devengado",C743&lt;&gt;"Pago ISR",C743&lt;&gt;"Pago IVA",C743&lt;&gt;"Compensación ISR",C743&lt;&gt;"Compensación IVA"),AND(C743="Gasto",D743&lt;&gt;"Costos clínicos",D743&lt;&gt;"Remuneración familiar",D743&lt;&gt;"Nómina y honorarios",D743&lt;&gt;"Renta",D743&lt;&gt;"Marketing",D743&lt;&gt;"Servicios y software",D743&lt;&gt;"Mantenimiento",D743&lt;&gt;"Otros",D743&lt;&gt;"Intereses")),"Tipo o categoría inválido",IF(COUNTA(A743:J743)=0,"",IF(OR(A743="",B743="",C743="",H743=""),"Faltan datos",IF(COUNTIF($A$7:$A$2006,A743)&gt;1,"ID duplicado",IF(OR(B743&lt;DATE(Configuración!$C$5,1,1),B743&gt;=DATE(Configuración!$C$5+1,1,1)),"Fecha fuera del año",IF(OR(H743&lt;0,I743&lt;0),"Revisar signo",IF(AND(C743&lt;&gt;"Gasto",I743&lt;&gt;0),"IVA solo en Gasto",IF(AND(C743="Gasto",D743=""),"Falta categoría","OK")))))))))</f>
        <v/>
      </c>
    </row>
    <row r="744" spans="1:12" ht="22" customHeight="1">
      <c r="A744" s="3"/>
      <c r="B744" s="7"/>
      <c r="C744" s="3"/>
      <c r="D744" s="3"/>
      <c r="E744" s="3"/>
      <c r="F744" s="3"/>
      <c r="G744" s="3"/>
      <c r="H744" s="4"/>
      <c r="I744" s="4"/>
      <c r="J744" s="3"/>
      <c r="K744" s="8" t="str">
        <f t="shared" si="11"/>
        <v/>
      </c>
      <c r="L744" s="1" t="str">
        <f>IF(COUNTA(A744:J744)=0,"",IF(OR(AND(C744&lt;&gt;"Gasto",C744&lt;&gt;"Pago proveedor",C744&lt;&gt;"Retiro familiar",C744&lt;&gt;"Aportación",C744&lt;&gt;"Pago activo",C744&lt;&gt;"ISR devengado",C744&lt;&gt;"Pago ISR",C744&lt;&gt;"Pago IVA",C744&lt;&gt;"Compensación ISR",C744&lt;&gt;"Compensación IVA"),AND(C744="Gasto",D744&lt;&gt;"Costos clínicos",D744&lt;&gt;"Remuneración familiar",D744&lt;&gt;"Nómina y honorarios",D744&lt;&gt;"Renta",D744&lt;&gt;"Marketing",D744&lt;&gt;"Servicios y software",D744&lt;&gt;"Mantenimiento",D744&lt;&gt;"Otros",D744&lt;&gt;"Intereses")),"Tipo o categoría inválido",IF(COUNTA(A744:J744)=0,"",IF(OR(A744="",B744="",C744="",H744=""),"Faltan datos",IF(COUNTIF($A$7:$A$2006,A744)&gt;1,"ID duplicado",IF(OR(B744&lt;DATE(Configuración!$C$5,1,1),B744&gt;=DATE(Configuración!$C$5+1,1,1)),"Fecha fuera del año",IF(OR(H744&lt;0,I744&lt;0),"Revisar signo",IF(AND(C744&lt;&gt;"Gasto",I744&lt;&gt;0),"IVA solo en Gasto",IF(AND(C744="Gasto",D744=""),"Falta categoría","OK")))))))))</f>
        <v/>
      </c>
    </row>
    <row r="745" spans="1:12" ht="22" customHeight="1">
      <c r="A745" s="3"/>
      <c r="B745" s="7"/>
      <c r="C745" s="3"/>
      <c r="D745" s="3"/>
      <c r="E745" s="3"/>
      <c r="F745" s="3"/>
      <c r="G745" s="3"/>
      <c r="H745" s="4"/>
      <c r="I745" s="4"/>
      <c r="J745" s="3"/>
      <c r="K745" s="8" t="str">
        <f t="shared" si="11"/>
        <v/>
      </c>
      <c r="L745" s="1" t="str">
        <f>IF(COUNTA(A745:J745)=0,"",IF(OR(AND(C745&lt;&gt;"Gasto",C745&lt;&gt;"Pago proveedor",C745&lt;&gt;"Retiro familiar",C745&lt;&gt;"Aportación",C745&lt;&gt;"Pago activo",C745&lt;&gt;"ISR devengado",C745&lt;&gt;"Pago ISR",C745&lt;&gt;"Pago IVA",C745&lt;&gt;"Compensación ISR",C745&lt;&gt;"Compensación IVA"),AND(C745="Gasto",D745&lt;&gt;"Costos clínicos",D745&lt;&gt;"Remuneración familiar",D745&lt;&gt;"Nómina y honorarios",D745&lt;&gt;"Renta",D745&lt;&gt;"Marketing",D745&lt;&gt;"Servicios y software",D745&lt;&gt;"Mantenimiento",D745&lt;&gt;"Otros",D745&lt;&gt;"Intereses")),"Tipo o categoría inválido",IF(COUNTA(A745:J745)=0,"",IF(OR(A745="",B745="",C745="",H745=""),"Faltan datos",IF(COUNTIF($A$7:$A$2006,A745)&gt;1,"ID duplicado",IF(OR(B745&lt;DATE(Configuración!$C$5,1,1),B745&gt;=DATE(Configuración!$C$5+1,1,1)),"Fecha fuera del año",IF(OR(H745&lt;0,I745&lt;0),"Revisar signo",IF(AND(C745&lt;&gt;"Gasto",I745&lt;&gt;0),"IVA solo en Gasto",IF(AND(C745="Gasto",D745=""),"Falta categoría","OK")))))))))</f>
        <v/>
      </c>
    </row>
    <row r="746" spans="1:12" ht="22" customHeight="1">
      <c r="A746" s="3"/>
      <c r="B746" s="7"/>
      <c r="C746" s="3"/>
      <c r="D746" s="3"/>
      <c r="E746" s="3"/>
      <c r="F746" s="3"/>
      <c r="G746" s="3"/>
      <c r="H746" s="4"/>
      <c r="I746" s="4"/>
      <c r="J746" s="3"/>
      <c r="K746" s="8" t="str">
        <f t="shared" si="11"/>
        <v/>
      </c>
      <c r="L746" s="1" t="str">
        <f>IF(COUNTA(A746:J746)=0,"",IF(OR(AND(C746&lt;&gt;"Gasto",C746&lt;&gt;"Pago proveedor",C746&lt;&gt;"Retiro familiar",C746&lt;&gt;"Aportación",C746&lt;&gt;"Pago activo",C746&lt;&gt;"ISR devengado",C746&lt;&gt;"Pago ISR",C746&lt;&gt;"Pago IVA",C746&lt;&gt;"Compensación ISR",C746&lt;&gt;"Compensación IVA"),AND(C746="Gasto",D746&lt;&gt;"Costos clínicos",D746&lt;&gt;"Remuneración familiar",D746&lt;&gt;"Nómina y honorarios",D746&lt;&gt;"Renta",D746&lt;&gt;"Marketing",D746&lt;&gt;"Servicios y software",D746&lt;&gt;"Mantenimiento",D746&lt;&gt;"Otros",D746&lt;&gt;"Intereses")),"Tipo o categoría inválido",IF(COUNTA(A746:J746)=0,"",IF(OR(A746="",B746="",C746="",H746=""),"Faltan datos",IF(COUNTIF($A$7:$A$2006,A746)&gt;1,"ID duplicado",IF(OR(B746&lt;DATE(Configuración!$C$5,1,1),B746&gt;=DATE(Configuración!$C$5+1,1,1)),"Fecha fuera del año",IF(OR(H746&lt;0,I746&lt;0),"Revisar signo",IF(AND(C746&lt;&gt;"Gasto",I746&lt;&gt;0),"IVA solo en Gasto",IF(AND(C746="Gasto",D746=""),"Falta categoría","OK")))))))))</f>
        <v/>
      </c>
    </row>
    <row r="747" spans="1:12" ht="22" customHeight="1">
      <c r="A747" s="3"/>
      <c r="B747" s="7"/>
      <c r="C747" s="3"/>
      <c r="D747" s="3"/>
      <c r="E747" s="3"/>
      <c r="F747" s="3"/>
      <c r="G747" s="3"/>
      <c r="H747" s="4"/>
      <c r="I747" s="4"/>
      <c r="J747" s="3"/>
      <c r="K747" s="8" t="str">
        <f t="shared" si="11"/>
        <v/>
      </c>
      <c r="L747" s="1" t="str">
        <f>IF(COUNTA(A747:J747)=0,"",IF(OR(AND(C747&lt;&gt;"Gasto",C747&lt;&gt;"Pago proveedor",C747&lt;&gt;"Retiro familiar",C747&lt;&gt;"Aportación",C747&lt;&gt;"Pago activo",C747&lt;&gt;"ISR devengado",C747&lt;&gt;"Pago ISR",C747&lt;&gt;"Pago IVA",C747&lt;&gt;"Compensación ISR",C747&lt;&gt;"Compensación IVA"),AND(C747="Gasto",D747&lt;&gt;"Costos clínicos",D747&lt;&gt;"Remuneración familiar",D747&lt;&gt;"Nómina y honorarios",D747&lt;&gt;"Renta",D747&lt;&gt;"Marketing",D747&lt;&gt;"Servicios y software",D747&lt;&gt;"Mantenimiento",D747&lt;&gt;"Otros",D747&lt;&gt;"Intereses")),"Tipo o categoría inválido",IF(COUNTA(A747:J747)=0,"",IF(OR(A747="",B747="",C747="",H747=""),"Faltan datos",IF(COUNTIF($A$7:$A$2006,A747)&gt;1,"ID duplicado",IF(OR(B747&lt;DATE(Configuración!$C$5,1,1),B747&gt;=DATE(Configuración!$C$5+1,1,1)),"Fecha fuera del año",IF(OR(H747&lt;0,I747&lt;0),"Revisar signo",IF(AND(C747&lt;&gt;"Gasto",I747&lt;&gt;0),"IVA solo en Gasto",IF(AND(C747="Gasto",D747=""),"Falta categoría","OK")))))))))</f>
        <v/>
      </c>
    </row>
    <row r="748" spans="1:12" ht="22" customHeight="1">
      <c r="A748" s="3"/>
      <c r="B748" s="7"/>
      <c r="C748" s="3"/>
      <c r="D748" s="3"/>
      <c r="E748" s="3"/>
      <c r="F748" s="3"/>
      <c r="G748" s="3"/>
      <c r="H748" s="4"/>
      <c r="I748" s="4"/>
      <c r="J748" s="3"/>
      <c r="K748" s="8" t="str">
        <f t="shared" si="11"/>
        <v/>
      </c>
      <c r="L748" s="1" t="str">
        <f>IF(COUNTA(A748:J748)=0,"",IF(OR(AND(C748&lt;&gt;"Gasto",C748&lt;&gt;"Pago proveedor",C748&lt;&gt;"Retiro familiar",C748&lt;&gt;"Aportación",C748&lt;&gt;"Pago activo",C748&lt;&gt;"ISR devengado",C748&lt;&gt;"Pago ISR",C748&lt;&gt;"Pago IVA",C748&lt;&gt;"Compensación ISR",C748&lt;&gt;"Compensación IVA"),AND(C748="Gasto",D748&lt;&gt;"Costos clínicos",D748&lt;&gt;"Remuneración familiar",D748&lt;&gt;"Nómina y honorarios",D748&lt;&gt;"Renta",D748&lt;&gt;"Marketing",D748&lt;&gt;"Servicios y software",D748&lt;&gt;"Mantenimiento",D748&lt;&gt;"Otros",D748&lt;&gt;"Intereses")),"Tipo o categoría inválido",IF(COUNTA(A748:J748)=0,"",IF(OR(A748="",B748="",C748="",H748=""),"Faltan datos",IF(COUNTIF($A$7:$A$2006,A748)&gt;1,"ID duplicado",IF(OR(B748&lt;DATE(Configuración!$C$5,1,1),B748&gt;=DATE(Configuración!$C$5+1,1,1)),"Fecha fuera del año",IF(OR(H748&lt;0,I748&lt;0),"Revisar signo",IF(AND(C748&lt;&gt;"Gasto",I748&lt;&gt;0),"IVA solo en Gasto",IF(AND(C748="Gasto",D748=""),"Falta categoría","OK")))))))))</f>
        <v/>
      </c>
    </row>
    <row r="749" spans="1:12" ht="22" customHeight="1">
      <c r="A749" s="3"/>
      <c r="B749" s="7"/>
      <c r="C749" s="3"/>
      <c r="D749" s="3"/>
      <c r="E749" s="3"/>
      <c r="F749" s="3"/>
      <c r="G749" s="3"/>
      <c r="H749" s="4"/>
      <c r="I749" s="4"/>
      <c r="J749" s="3"/>
      <c r="K749" s="8" t="str">
        <f t="shared" si="11"/>
        <v/>
      </c>
      <c r="L749" s="1" t="str">
        <f>IF(COUNTA(A749:J749)=0,"",IF(OR(AND(C749&lt;&gt;"Gasto",C749&lt;&gt;"Pago proveedor",C749&lt;&gt;"Retiro familiar",C749&lt;&gt;"Aportación",C749&lt;&gt;"Pago activo",C749&lt;&gt;"ISR devengado",C749&lt;&gt;"Pago ISR",C749&lt;&gt;"Pago IVA",C749&lt;&gt;"Compensación ISR",C749&lt;&gt;"Compensación IVA"),AND(C749="Gasto",D749&lt;&gt;"Costos clínicos",D749&lt;&gt;"Remuneración familiar",D749&lt;&gt;"Nómina y honorarios",D749&lt;&gt;"Renta",D749&lt;&gt;"Marketing",D749&lt;&gt;"Servicios y software",D749&lt;&gt;"Mantenimiento",D749&lt;&gt;"Otros",D749&lt;&gt;"Intereses")),"Tipo o categoría inválido",IF(COUNTA(A749:J749)=0,"",IF(OR(A749="",B749="",C749="",H749=""),"Faltan datos",IF(COUNTIF($A$7:$A$2006,A749)&gt;1,"ID duplicado",IF(OR(B749&lt;DATE(Configuración!$C$5,1,1),B749&gt;=DATE(Configuración!$C$5+1,1,1)),"Fecha fuera del año",IF(OR(H749&lt;0,I749&lt;0),"Revisar signo",IF(AND(C749&lt;&gt;"Gasto",I749&lt;&gt;0),"IVA solo en Gasto",IF(AND(C749="Gasto",D749=""),"Falta categoría","OK")))))))))</f>
        <v/>
      </c>
    </row>
    <row r="750" spans="1:12" ht="22" customHeight="1">
      <c r="A750" s="3"/>
      <c r="B750" s="7"/>
      <c r="C750" s="3"/>
      <c r="D750" s="3"/>
      <c r="E750" s="3"/>
      <c r="F750" s="3"/>
      <c r="G750" s="3"/>
      <c r="H750" s="4"/>
      <c r="I750" s="4"/>
      <c r="J750" s="3"/>
      <c r="K750" s="8" t="str">
        <f t="shared" si="11"/>
        <v/>
      </c>
      <c r="L750" s="1" t="str">
        <f>IF(COUNTA(A750:J750)=0,"",IF(OR(AND(C750&lt;&gt;"Gasto",C750&lt;&gt;"Pago proveedor",C750&lt;&gt;"Retiro familiar",C750&lt;&gt;"Aportación",C750&lt;&gt;"Pago activo",C750&lt;&gt;"ISR devengado",C750&lt;&gt;"Pago ISR",C750&lt;&gt;"Pago IVA",C750&lt;&gt;"Compensación ISR",C750&lt;&gt;"Compensación IVA"),AND(C750="Gasto",D750&lt;&gt;"Costos clínicos",D750&lt;&gt;"Remuneración familiar",D750&lt;&gt;"Nómina y honorarios",D750&lt;&gt;"Renta",D750&lt;&gt;"Marketing",D750&lt;&gt;"Servicios y software",D750&lt;&gt;"Mantenimiento",D750&lt;&gt;"Otros",D750&lt;&gt;"Intereses")),"Tipo o categoría inválido",IF(COUNTA(A750:J750)=0,"",IF(OR(A750="",B750="",C750="",H750=""),"Faltan datos",IF(COUNTIF($A$7:$A$2006,A750)&gt;1,"ID duplicado",IF(OR(B750&lt;DATE(Configuración!$C$5,1,1),B750&gt;=DATE(Configuración!$C$5+1,1,1)),"Fecha fuera del año",IF(OR(H750&lt;0,I750&lt;0),"Revisar signo",IF(AND(C750&lt;&gt;"Gasto",I750&lt;&gt;0),"IVA solo en Gasto",IF(AND(C750="Gasto",D750=""),"Falta categoría","OK")))))))))</f>
        <v/>
      </c>
    </row>
    <row r="751" spans="1:12" ht="22" customHeight="1">
      <c r="A751" s="3"/>
      <c r="B751" s="7"/>
      <c r="C751" s="3"/>
      <c r="D751" s="3"/>
      <c r="E751" s="3"/>
      <c r="F751" s="3"/>
      <c r="G751" s="3"/>
      <c r="H751" s="4"/>
      <c r="I751" s="4"/>
      <c r="J751" s="3"/>
      <c r="K751" s="8" t="str">
        <f t="shared" si="11"/>
        <v/>
      </c>
      <c r="L751" s="1" t="str">
        <f>IF(COUNTA(A751:J751)=0,"",IF(OR(AND(C751&lt;&gt;"Gasto",C751&lt;&gt;"Pago proveedor",C751&lt;&gt;"Retiro familiar",C751&lt;&gt;"Aportación",C751&lt;&gt;"Pago activo",C751&lt;&gt;"ISR devengado",C751&lt;&gt;"Pago ISR",C751&lt;&gt;"Pago IVA",C751&lt;&gt;"Compensación ISR",C751&lt;&gt;"Compensación IVA"),AND(C751="Gasto",D751&lt;&gt;"Costos clínicos",D751&lt;&gt;"Remuneración familiar",D751&lt;&gt;"Nómina y honorarios",D751&lt;&gt;"Renta",D751&lt;&gt;"Marketing",D751&lt;&gt;"Servicios y software",D751&lt;&gt;"Mantenimiento",D751&lt;&gt;"Otros",D751&lt;&gt;"Intereses")),"Tipo o categoría inválido",IF(COUNTA(A751:J751)=0,"",IF(OR(A751="",B751="",C751="",H751=""),"Faltan datos",IF(COUNTIF($A$7:$A$2006,A751)&gt;1,"ID duplicado",IF(OR(B751&lt;DATE(Configuración!$C$5,1,1),B751&gt;=DATE(Configuración!$C$5+1,1,1)),"Fecha fuera del año",IF(OR(H751&lt;0,I751&lt;0),"Revisar signo",IF(AND(C751&lt;&gt;"Gasto",I751&lt;&gt;0),"IVA solo en Gasto",IF(AND(C751="Gasto",D751=""),"Falta categoría","OK")))))))))</f>
        <v/>
      </c>
    </row>
    <row r="752" spans="1:12" ht="22" customHeight="1">
      <c r="A752" s="3"/>
      <c r="B752" s="7"/>
      <c r="C752" s="3"/>
      <c r="D752" s="3"/>
      <c r="E752" s="3"/>
      <c r="F752" s="3"/>
      <c r="G752" s="3"/>
      <c r="H752" s="4"/>
      <c r="I752" s="4"/>
      <c r="J752" s="3"/>
      <c r="K752" s="8" t="str">
        <f t="shared" si="11"/>
        <v/>
      </c>
      <c r="L752" s="1" t="str">
        <f>IF(COUNTA(A752:J752)=0,"",IF(OR(AND(C752&lt;&gt;"Gasto",C752&lt;&gt;"Pago proveedor",C752&lt;&gt;"Retiro familiar",C752&lt;&gt;"Aportación",C752&lt;&gt;"Pago activo",C752&lt;&gt;"ISR devengado",C752&lt;&gt;"Pago ISR",C752&lt;&gt;"Pago IVA",C752&lt;&gt;"Compensación ISR",C752&lt;&gt;"Compensación IVA"),AND(C752="Gasto",D752&lt;&gt;"Costos clínicos",D752&lt;&gt;"Remuneración familiar",D752&lt;&gt;"Nómina y honorarios",D752&lt;&gt;"Renta",D752&lt;&gt;"Marketing",D752&lt;&gt;"Servicios y software",D752&lt;&gt;"Mantenimiento",D752&lt;&gt;"Otros",D752&lt;&gt;"Intereses")),"Tipo o categoría inválido",IF(COUNTA(A752:J752)=0,"",IF(OR(A752="",B752="",C752="",H752=""),"Faltan datos",IF(COUNTIF($A$7:$A$2006,A752)&gt;1,"ID duplicado",IF(OR(B752&lt;DATE(Configuración!$C$5,1,1),B752&gt;=DATE(Configuración!$C$5+1,1,1)),"Fecha fuera del año",IF(OR(H752&lt;0,I752&lt;0),"Revisar signo",IF(AND(C752&lt;&gt;"Gasto",I752&lt;&gt;0),"IVA solo en Gasto",IF(AND(C752="Gasto",D752=""),"Falta categoría","OK")))))))))</f>
        <v/>
      </c>
    </row>
    <row r="753" spans="1:12" ht="22" customHeight="1">
      <c r="A753" s="3"/>
      <c r="B753" s="7"/>
      <c r="C753" s="3"/>
      <c r="D753" s="3"/>
      <c r="E753" s="3"/>
      <c r="F753" s="3"/>
      <c r="G753" s="3"/>
      <c r="H753" s="4"/>
      <c r="I753" s="4"/>
      <c r="J753" s="3"/>
      <c r="K753" s="8" t="str">
        <f t="shared" si="11"/>
        <v/>
      </c>
      <c r="L753" s="1" t="str">
        <f>IF(COUNTA(A753:J753)=0,"",IF(OR(AND(C753&lt;&gt;"Gasto",C753&lt;&gt;"Pago proveedor",C753&lt;&gt;"Retiro familiar",C753&lt;&gt;"Aportación",C753&lt;&gt;"Pago activo",C753&lt;&gt;"ISR devengado",C753&lt;&gt;"Pago ISR",C753&lt;&gt;"Pago IVA",C753&lt;&gt;"Compensación ISR",C753&lt;&gt;"Compensación IVA"),AND(C753="Gasto",D753&lt;&gt;"Costos clínicos",D753&lt;&gt;"Remuneración familiar",D753&lt;&gt;"Nómina y honorarios",D753&lt;&gt;"Renta",D753&lt;&gt;"Marketing",D753&lt;&gt;"Servicios y software",D753&lt;&gt;"Mantenimiento",D753&lt;&gt;"Otros",D753&lt;&gt;"Intereses")),"Tipo o categoría inválido",IF(COUNTA(A753:J753)=0,"",IF(OR(A753="",B753="",C753="",H753=""),"Faltan datos",IF(COUNTIF($A$7:$A$2006,A753)&gt;1,"ID duplicado",IF(OR(B753&lt;DATE(Configuración!$C$5,1,1),B753&gt;=DATE(Configuración!$C$5+1,1,1)),"Fecha fuera del año",IF(OR(H753&lt;0,I753&lt;0),"Revisar signo",IF(AND(C753&lt;&gt;"Gasto",I753&lt;&gt;0),"IVA solo en Gasto",IF(AND(C753="Gasto",D753=""),"Falta categoría","OK")))))))))</f>
        <v/>
      </c>
    </row>
    <row r="754" spans="1:12" ht="22" customHeight="1">
      <c r="A754" s="3"/>
      <c r="B754" s="7"/>
      <c r="C754" s="3"/>
      <c r="D754" s="3"/>
      <c r="E754" s="3"/>
      <c r="F754" s="3"/>
      <c r="G754" s="3"/>
      <c r="H754" s="4"/>
      <c r="I754" s="4"/>
      <c r="J754" s="3"/>
      <c r="K754" s="8" t="str">
        <f t="shared" si="11"/>
        <v/>
      </c>
      <c r="L754" s="1" t="str">
        <f>IF(COUNTA(A754:J754)=0,"",IF(OR(AND(C754&lt;&gt;"Gasto",C754&lt;&gt;"Pago proveedor",C754&lt;&gt;"Retiro familiar",C754&lt;&gt;"Aportación",C754&lt;&gt;"Pago activo",C754&lt;&gt;"ISR devengado",C754&lt;&gt;"Pago ISR",C754&lt;&gt;"Pago IVA",C754&lt;&gt;"Compensación ISR",C754&lt;&gt;"Compensación IVA"),AND(C754="Gasto",D754&lt;&gt;"Costos clínicos",D754&lt;&gt;"Remuneración familiar",D754&lt;&gt;"Nómina y honorarios",D754&lt;&gt;"Renta",D754&lt;&gt;"Marketing",D754&lt;&gt;"Servicios y software",D754&lt;&gt;"Mantenimiento",D754&lt;&gt;"Otros",D754&lt;&gt;"Intereses")),"Tipo o categoría inválido",IF(COUNTA(A754:J754)=0,"",IF(OR(A754="",B754="",C754="",H754=""),"Faltan datos",IF(COUNTIF($A$7:$A$2006,A754)&gt;1,"ID duplicado",IF(OR(B754&lt;DATE(Configuración!$C$5,1,1),B754&gt;=DATE(Configuración!$C$5+1,1,1)),"Fecha fuera del año",IF(OR(H754&lt;0,I754&lt;0),"Revisar signo",IF(AND(C754&lt;&gt;"Gasto",I754&lt;&gt;0),"IVA solo en Gasto",IF(AND(C754="Gasto",D754=""),"Falta categoría","OK")))))))))</f>
        <v/>
      </c>
    </row>
    <row r="755" spans="1:12" ht="22" customHeight="1">
      <c r="A755" s="3"/>
      <c r="B755" s="7"/>
      <c r="C755" s="3"/>
      <c r="D755" s="3"/>
      <c r="E755" s="3"/>
      <c r="F755" s="3"/>
      <c r="G755" s="3"/>
      <c r="H755" s="4"/>
      <c r="I755" s="4"/>
      <c r="J755" s="3"/>
      <c r="K755" s="8" t="str">
        <f t="shared" si="11"/>
        <v/>
      </c>
      <c r="L755" s="1" t="str">
        <f>IF(COUNTA(A755:J755)=0,"",IF(OR(AND(C755&lt;&gt;"Gasto",C755&lt;&gt;"Pago proveedor",C755&lt;&gt;"Retiro familiar",C755&lt;&gt;"Aportación",C755&lt;&gt;"Pago activo",C755&lt;&gt;"ISR devengado",C755&lt;&gt;"Pago ISR",C755&lt;&gt;"Pago IVA",C755&lt;&gt;"Compensación ISR",C755&lt;&gt;"Compensación IVA"),AND(C755="Gasto",D755&lt;&gt;"Costos clínicos",D755&lt;&gt;"Remuneración familiar",D755&lt;&gt;"Nómina y honorarios",D755&lt;&gt;"Renta",D755&lt;&gt;"Marketing",D755&lt;&gt;"Servicios y software",D755&lt;&gt;"Mantenimiento",D755&lt;&gt;"Otros",D755&lt;&gt;"Intereses")),"Tipo o categoría inválido",IF(COUNTA(A755:J755)=0,"",IF(OR(A755="",B755="",C755="",H755=""),"Faltan datos",IF(COUNTIF($A$7:$A$2006,A755)&gt;1,"ID duplicado",IF(OR(B755&lt;DATE(Configuración!$C$5,1,1),B755&gt;=DATE(Configuración!$C$5+1,1,1)),"Fecha fuera del año",IF(OR(H755&lt;0,I755&lt;0),"Revisar signo",IF(AND(C755&lt;&gt;"Gasto",I755&lt;&gt;0),"IVA solo en Gasto",IF(AND(C755="Gasto",D755=""),"Falta categoría","OK")))))))))</f>
        <v/>
      </c>
    </row>
    <row r="756" spans="1:12" ht="22" customHeight="1">
      <c r="A756" s="3"/>
      <c r="B756" s="7"/>
      <c r="C756" s="3"/>
      <c r="D756" s="3"/>
      <c r="E756" s="3"/>
      <c r="F756" s="3"/>
      <c r="G756" s="3"/>
      <c r="H756" s="4"/>
      <c r="I756" s="4"/>
      <c r="J756" s="3"/>
      <c r="K756" s="8" t="str">
        <f t="shared" si="11"/>
        <v/>
      </c>
      <c r="L756" s="1" t="str">
        <f>IF(COUNTA(A756:J756)=0,"",IF(OR(AND(C756&lt;&gt;"Gasto",C756&lt;&gt;"Pago proveedor",C756&lt;&gt;"Retiro familiar",C756&lt;&gt;"Aportación",C756&lt;&gt;"Pago activo",C756&lt;&gt;"ISR devengado",C756&lt;&gt;"Pago ISR",C756&lt;&gt;"Pago IVA",C756&lt;&gt;"Compensación ISR",C756&lt;&gt;"Compensación IVA"),AND(C756="Gasto",D756&lt;&gt;"Costos clínicos",D756&lt;&gt;"Remuneración familiar",D756&lt;&gt;"Nómina y honorarios",D756&lt;&gt;"Renta",D756&lt;&gt;"Marketing",D756&lt;&gt;"Servicios y software",D756&lt;&gt;"Mantenimiento",D756&lt;&gt;"Otros",D756&lt;&gt;"Intereses")),"Tipo o categoría inválido",IF(COUNTA(A756:J756)=0,"",IF(OR(A756="",B756="",C756="",H756=""),"Faltan datos",IF(COUNTIF($A$7:$A$2006,A756)&gt;1,"ID duplicado",IF(OR(B756&lt;DATE(Configuración!$C$5,1,1),B756&gt;=DATE(Configuración!$C$5+1,1,1)),"Fecha fuera del año",IF(OR(H756&lt;0,I756&lt;0),"Revisar signo",IF(AND(C756&lt;&gt;"Gasto",I756&lt;&gt;0),"IVA solo en Gasto",IF(AND(C756="Gasto",D756=""),"Falta categoría","OK")))))))))</f>
        <v/>
      </c>
    </row>
    <row r="757" spans="1:12" ht="22" customHeight="1">
      <c r="A757" s="3"/>
      <c r="B757" s="7"/>
      <c r="C757" s="3"/>
      <c r="D757" s="3"/>
      <c r="E757" s="3"/>
      <c r="F757" s="3"/>
      <c r="G757" s="3"/>
      <c r="H757" s="4"/>
      <c r="I757" s="4"/>
      <c r="J757" s="3"/>
      <c r="K757" s="8" t="str">
        <f t="shared" si="11"/>
        <v/>
      </c>
      <c r="L757" s="1" t="str">
        <f>IF(COUNTA(A757:J757)=0,"",IF(OR(AND(C757&lt;&gt;"Gasto",C757&lt;&gt;"Pago proveedor",C757&lt;&gt;"Retiro familiar",C757&lt;&gt;"Aportación",C757&lt;&gt;"Pago activo",C757&lt;&gt;"ISR devengado",C757&lt;&gt;"Pago ISR",C757&lt;&gt;"Pago IVA",C757&lt;&gt;"Compensación ISR",C757&lt;&gt;"Compensación IVA"),AND(C757="Gasto",D757&lt;&gt;"Costos clínicos",D757&lt;&gt;"Remuneración familiar",D757&lt;&gt;"Nómina y honorarios",D757&lt;&gt;"Renta",D757&lt;&gt;"Marketing",D757&lt;&gt;"Servicios y software",D757&lt;&gt;"Mantenimiento",D757&lt;&gt;"Otros",D757&lt;&gt;"Intereses")),"Tipo o categoría inválido",IF(COUNTA(A757:J757)=0,"",IF(OR(A757="",B757="",C757="",H757=""),"Faltan datos",IF(COUNTIF($A$7:$A$2006,A757)&gt;1,"ID duplicado",IF(OR(B757&lt;DATE(Configuración!$C$5,1,1),B757&gt;=DATE(Configuración!$C$5+1,1,1)),"Fecha fuera del año",IF(OR(H757&lt;0,I757&lt;0),"Revisar signo",IF(AND(C757&lt;&gt;"Gasto",I757&lt;&gt;0),"IVA solo en Gasto",IF(AND(C757="Gasto",D757=""),"Falta categoría","OK")))))))))</f>
        <v/>
      </c>
    </row>
    <row r="758" spans="1:12" ht="22" customHeight="1">
      <c r="A758" s="3"/>
      <c r="B758" s="7"/>
      <c r="C758" s="3"/>
      <c r="D758" s="3"/>
      <c r="E758" s="3"/>
      <c r="F758" s="3"/>
      <c r="G758" s="3"/>
      <c r="H758" s="4"/>
      <c r="I758" s="4"/>
      <c r="J758" s="3"/>
      <c r="K758" s="8" t="str">
        <f t="shared" si="11"/>
        <v/>
      </c>
      <c r="L758" s="1" t="str">
        <f>IF(COUNTA(A758:J758)=0,"",IF(OR(AND(C758&lt;&gt;"Gasto",C758&lt;&gt;"Pago proveedor",C758&lt;&gt;"Retiro familiar",C758&lt;&gt;"Aportación",C758&lt;&gt;"Pago activo",C758&lt;&gt;"ISR devengado",C758&lt;&gt;"Pago ISR",C758&lt;&gt;"Pago IVA",C758&lt;&gt;"Compensación ISR",C758&lt;&gt;"Compensación IVA"),AND(C758="Gasto",D758&lt;&gt;"Costos clínicos",D758&lt;&gt;"Remuneración familiar",D758&lt;&gt;"Nómina y honorarios",D758&lt;&gt;"Renta",D758&lt;&gt;"Marketing",D758&lt;&gt;"Servicios y software",D758&lt;&gt;"Mantenimiento",D758&lt;&gt;"Otros",D758&lt;&gt;"Intereses")),"Tipo o categoría inválido",IF(COUNTA(A758:J758)=0,"",IF(OR(A758="",B758="",C758="",H758=""),"Faltan datos",IF(COUNTIF($A$7:$A$2006,A758)&gt;1,"ID duplicado",IF(OR(B758&lt;DATE(Configuración!$C$5,1,1),B758&gt;=DATE(Configuración!$C$5+1,1,1)),"Fecha fuera del año",IF(OR(H758&lt;0,I758&lt;0),"Revisar signo",IF(AND(C758&lt;&gt;"Gasto",I758&lt;&gt;0),"IVA solo en Gasto",IF(AND(C758="Gasto",D758=""),"Falta categoría","OK")))))))))</f>
        <v/>
      </c>
    </row>
    <row r="759" spans="1:12" ht="22" customHeight="1">
      <c r="A759" s="3"/>
      <c r="B759" s="7"/>
      <c r="C759" s="3"/>
      <c r="D759" s="3"/>
      <c r="E759" s="3"/>
      <c r="F759" s="3"/>
      <c r="G759" s="3"/>
      <c r="H759" s="4"/>
      <c r="I759" s="4"/>
      <c r="J759" s="3"/>
      <c r="K759" s="8" t="str">
        <f t="shared" si="11"/>
        <v/>
      </c>
      <c r="L759" s="1" t="str">
        <f>IF(COUNTA(A759:J759)=0,"",IF(OR(AND(C759&lt;&gt;"Gasto",C759&lt;&gt;"Pago proveedor",C759&lt;&gt;"Retiro familiar",C759&lt;&gt;"Aportación",C759&lt;&gt;"Pago activo",C759&lt;&gt;"ISR devengado",C759&lt;&gt;"Pago ISR",C759&lt;&gt;"Pago IVA",C759&lt;&gt;"Compensación ISR",C759&lt;&gt;"Compensación IVA"),AND(C759="Gasto",D759&lt;&gt;"Costos clínicos",D759&lt;&gt;"Remuneración familiar",D759&lt;&gt;"Nómina y honorarios",D759&lt;&gt;"Renta",D759&lt;&gt;"Marketing",D759&lt;&gt;"Servicios y software",D759&lt;&gt;"Mantenimiento",D759&lt;&gt;"Otros",D759&lt;&gt;"Intereses")),"Tipo o categoría inválido",IF(COUNTA(A759:J759)=0,"",IF(OR(A759="",B759="",C759="",H759=""),"Faltan datos",IF(COUNTIF($A$7:$A$2006,A759)&gt;1,"ID duplicado",IF(OR(B759&lt;DATE(Configuración!$C$5,1,1),B759&gt;=DATE(Configuración!$C$5+1,1,1)),"Fecha fuera del año",IF(OR(H759&lt;0,I759&lt;0),"Revisar signo",IF(AND(C759&lt;&gt;"Gasto",I759&lt;&gt;0),"IVA solo en Gasto",IF(AND(C759="Gasto",D759=""),"Falta categoría","OK")))))))))</f>
        <v/>
      </c>
    </row>
    <row r="760" spans="1:12" ht="22" customHeight="1">
      <c r="A760" s="3"/>
      <c r="B760" s="7"/>
      <c r="C760" s="3"/>
      <c r="D760" s="3"/>
      <c r="E760" s="3"/>
      <c r="F760" s="3"/>
      <c r="G760" s="3"/>
      <c r="H760" s="4"/>
      <c r="I760" s="4"/>
      <c r="J760" s="3"/>
      <c r="K760" s="8" t="str">
        <f t="shared" si="11"/>
        <v/>
      </c>
      <c r="L760" s="1" t="str">
        <f>IF(COUNTA(A760:J760)=0,"",IF(OR(AND(C760&lt;&gt;"Gasto",C760&lt;&gt;"Pago proveedor",C760&lt;&gt;"Retiro familiar",C760&lt;&gt;"Aportación",C760&lt;&gt;"Pago activo",C760&lt;&gt;"ISR devengado",C760&lt;&gt;"Pago ISR",C760&lt;&gt;"Pago IVA",C760&lt;&gt;"Compensación ISR",C760&lt;&gt;"Compensación IVA"),AND(C760="Gasto",D760&lt;&gt;"Costos clínicos",D760&lt;&gt;"Remuneración familiar",D760&lt;&gt;"Nómina y honorarios",D760&lt;&gt;"Renta",D760&lt;&gt;"Marketing",D760&lt;&gt;"Servicios y software",D760&lt;&gt;"Mantenimiento",D760&lt;&gt;"Otros",D760&lt;&gt;"Intereses")),"Tipo o categoría inválido",IF(COUNTA(A760:J760)=0,"",IF(OR(A760="",B760="",C760="",H760=""),"Faltan datos",IF(COUNTIF($A$7:$A$2006,A760)&gt;1,"ID duplicado",IF(OR(B760&lt;DATE(Configuración!$C$5,1,1),B760&gt;=DATE(Configuración!$C$5+1,1,1)),"Fecha fuera del año",IF(OR(H760&lt;0,I760&lt;0),"Revisar signo",IF(AND(C760&lt;&gt;"Gasto",I760&lt;&gt;0),"IVA solo en Gasto",IF(AND(C760="Gasto",D760=""),"Falta categoría","OK")))))))))</f>
        <v/>
      </c>
    </row>
    <row r="761" spans="1:12" ht="22" customHeight="1">
      <c r="A761" s="3"/>
      <c r="B761" s="7"/>
      <c r="C761" s="3"/>
      <c r="D761" s="3"/>
      <c r="E761" s="3"/>
      <c r="F761" s="3"/>
      <c r="G761" s="3"/>
      <c r="H761" s="4"/>
      <c r="I761" s="4"/>
      <c r="J761" s="3"/>
      <c r="K761" s="8" t="str">
        <f t="shared" si="11"/>
        <v/>
      </c>
      <c r="L761" s="1" t="str">
        <f>IF(COUNTA(A761:J761)=0,"",IF(OR(AND(C761&lt;&gt;"Gasto",C761&lt;&gt;"Pago proveedor",C761&lt;&gt;"Retiro familiar",C761&lt;&gt;"Aportación",C761&lt;&gt;"Pago activo",C761&lt;&gt;"ISR devengado",C761&lt;&gt;"Pago ISR",C761&lt;&gt;"Pago IVA",C761&lt;&gt;"Compensación ISR",C761&lt;&gt;"Compensación IVA"),AND(C761="Gasto",D761&lt;&gt;"Costos clínicos",D761&lt;&gt;"Remuneración familiar",D761&lt;&gt;"Nómina y honorarios",D761&lt;&gt;"Renta",D761&lt;&gt;"Marketing",D761&lt;&gt;"Servicios y software",D761&lt;&gt;"Mantenimiento",D761&lt;&gt;"Otros",D761&lt;&gt;"Intereses")),"Tipo o categoría inválido",IF(COUNTA(A761:J761)=0,"",IF(OR(A761="",B761="",C761="",H761=""),"Faltan datos",IF(COUNTIF($A$7:$A$2006,A761)&gt;1,"ID duplicado",IF(OR(B761&lt;DATE(Configuración!$C$5,1,1),B761&gt;=DATE(Configuración!$C$5+1,1,1)),"Fecha fuera del año",IF(OR(H761&lt;0,I761&lt;0),"Revisar signo",IF(AND(C761&lt;&gt;"Gasto",I761&lt;&gt;0),"IVA solo en Gasto",IF(AND(C761="Gasto",D761=""),"Falta categoría","OK")))))))))</f>
        <v/>
      </c>
    </row>
    <row r="762" spans="1:12" ht="22" customHeight="1">
      <c r="A762" s="3"/>
      <c r="B762" s="7"/>
      <c r="C762" s="3"/>
      <c r="D762" s="3"/>
      <c r="E762" s="3"/>
      <c r="F762" s="3"/>
      <c r="G762" s="3"/>
      <c r="H762" s="4"/>
      <c r="I762" s="4"/>
      <c r="J762" s="3"/>
      <c r="K762" s="8" t="str">
        <f t="shared" si="11"/>
        <v/>
      </c>
      <c r="L762" s="1" t="str">
        <f>IF(COUNTA(A762:J762)=0,"",IF(OR(AND(C762&lt;&gt;"Gasto",C762&lt;&gt;"Pago proveedor",C762&lt;&gt;"Retiro familiar",C762&lt;&gt;"Aportación",C762&lt;&gt;"Pago activo",C762&lt;&gt;"ISR devengado",C762&lt;&gt;"Pago ISR",C762&lt;&gt;"Pago IVA",C762&lt;&gt;"Compensación ISR",C762&lt;&gt;"Compensación IVA"),AND(C762="Gasto",D762&lt;&gt;"Costos clínicos",D762&lt;&gt;"Remuneración familiar",D762&lt;&gt;"Nómina y honorarios",D762&lt;&gt;"Renta",D762&lt;&gt;"Marketing",D762&lt;&gt;"Servicios y software",D762&lt;&gt;"Mantenimiento",D762&lt;&gt;"Otros",D762&lt;&gt;"Intereses")),"Tipo o categoría inválido",IF(COUNTA(A762:J762)=0,"",IF(OR(A762="",B762="",C762="",H762=""),"Faltan datos",IF(COUNTIF($A$7:$A$2006,A762)&gt;1,"ID duplicado",IF(OR(B762&lt;DATE(Configuración!$C$5,1,1),B762&gt;=DATE(Configuración!$C$5+1,1,1)),"Fecha fuera del año",IF(OR(H762&lt;0,I762&lt;0),"Revisar signo",IF(AND(C762&lt;&gt;"Gasto",I762&lt;&gt;0),"IVA solo en Gasto",IF(AND(C762="Gasto",D762=""),"Falta categoría","OK")))))))))</f>
        <v/>
      </c>
    </row>
    <row r="763" spans="1:12" ht="22" customHeight="1">
      <c r="A763" s="3"/>
      <c r="B763" s="7"/>
      <c r="C763" s="3"/>
      <c r="D763" s="3"/>
      <c r="E763" s="3"/>
      <c r="F763" s="3"/>
      <c r="G763" s="3"/>
      <c r="H763" s="4"/>
      <c r="I763" s="4"/>
      <c r="J763" s="3"/>
      <c r="K763" s="8" t="str">
        <f t="shared" si="11"/>
        <v/>
      </c>
      <c r="L763" s="1" t="str">
        <f>IF(COUNTA(A763:J763)=0,"",IF(OR(AND(C763&lt;&gt;"Gasto",C763&lt;&gt;"Pago proveedor",C763&lt;&gt;"Retiro familiar",C763&lt;&gt;"Aportación",C763&lt;&gt;"Pago activo",C763&lt;&gt;"ISR devengado",C763&lt;&gt;"Pago ISR",C763&lt;&gt;"Pago IVA",C763&lt;&gt;"Compensación ISR",C763&lt;&gt;"Compensación IVA"),AND(C763="Gasto",D763&lt;&gt;"Costos clínicos",D763&lt;&gt;"Remuneración familiar",D763&lt;&gt;"Nómina y honorarios",D763&lt;&gt;"Renta",D763&lt;&gt;"Marketing",D763&lt;&gt;"Servicios y software",D763&lt;&gt;"Mantenimiento",D763&lt;&gt;"Otros",D763&lt;&gt;"Intereses")),"Tipo o categoría inválido",IF(COUNTA(A763:J763)=0,"",IF(OR(A763="",B763="",C763="",H763=""),"Faltan datos",IF(COUNTIF($A$7:$A$2006,A763)&gt;1,"ID duplicado",IF(OR(B763&lt;DATE(Configuración!$C$5,1,1),B763&gt;=DATE(Configuración!$C$5+1,1,1)),"Fecha fuera del año",IF(OR(H763&lt;0,I763&lt;0),"Revisar signo",IF(AND(C763&lt;&gt;"Gasto",I763&lt;&gt;0),"IVA solo en Gasto",IF(AND(C763="Gasto",D763=""),"Falta categoría","OK")))))))))</f>
        <v/>
      </c>
    </row>
    <row r="764" spans="1:12" ht="22" customHeight="1">
      <c r="A764" s="3"/>
      <c r="B764" s="7"/>
      <c r="C764" s="3"/>
      <c r="D764" s="3"/>
      <c r="E764" s="3"/>
      <c r="F764" s="3"/>
      <c r="G764" s="3"/>
      <c r="H764" s="4"/>
      <c r="I764" s="4"/>
      <c r="J764" s="3"/>
      <c r="K764" s="8" t="str">
        <f t="shared" si="11"/>
        <v/>
      </c>
      <c r="L764" s="1" t="str">
        <f>IF(COUNTA(A764:J764)=0,"",IF(OR(AND(C764&lt;&gt;"Gasto",C764&lt;&gt;"Pago proveedor",C764&lt;&gt;"Retiro familiar",C764&lt;&gt;"Aportación",C764&lt;&gt;"Pago activo",C764&lt;&gt;"ISR devengado",C764&lt;&gt;"Pago ISR",C764&lt;&gt;"Pago IVA",C764&lt;&gt;"Compensación ISR",C764&lt;&gt;"Compensación IVA"),AND(C764="Gasto",D764&lt;&gt;"Costos clínicos",D764&lt;&gt;"Remuneración familiar",D764&lt;&gt;"Nómina y honorarios",D764&lt;&gt;"Renta",D764&lt;&gt;"Marketing",D764&lt;&gt;"Servicios y software",D764&lt;&gt;"Mantenimiento",D764&lt;&gt;"Otros",D764&lt;&gt;"Intereses")),"Tipo o categoría inválido",IF(COUNTA(A764:J764)=0,"",IF(OR(A764="",B764="",C764="",H764=""),"Faltan datos",IF(COUNTIF($A$7:$A$2006,A764)&gt;1,"ID duplicado",IF(OR(B764&lt;DATE(Configuración!$C$5,1,1),B764&gt;=DATE(Configuración!$C$5+1,1,1)),"Fecha fuera del año",IF(OR(H764&lt;0,I764&lt;0),"Revisar signo",IF(AND(C764&lt;&gt;"Gasto",I764&lt;&gt;0),"IVA solo en Gasto",IF(AND(C764="Gasto",D764=""),"Falta categoría","OK")))))))))</f>
        <v/>
      </c>
    </row>
    <row r="765" spans="1:12" ht="22" customHeight="1">
      <c r="A765" s="3"/>
      <c r="B765" s="7"/>
      <c r="C765" s="3"/>
      <c r="D765" s="3"/>
      <c r="E765" s="3"/>
      <c r="F765" s="3"/>
      <c r="G765" s="3"/>
      <c r="H765" s="4"/>
      <c r="I765" s="4"/>
      <c r="J765" s="3"/>
      <c r="K765" s="8" t="str">
        <f t="shared" si="11"/>
        <v/>
      </c>
      <c r="L765" s="1" t="str">
        <f>IF(COUNTA(A765:J765)=0,"",IF(OR(AND(C765&lt;&gt;"Gasto",C765&lt;&gt;"Pago proveedor",C765&lt;&gt;"Retiro familiar",C765&lt;&gt;"Aportación",C765&lt;&gt;"Pago activo",C765&lt;&gt;"ISR devengado",C765&lt;&gt;"Pago ISR",C765&lt;&gt;"Pago IVA",C765&lt;&gt;"Compensación ISR",C765&lt;&gt;"Compensación IVA"),AND(C765="Gasto",D765&lt;&gt;"Costos clínicos",D765&lt;&gt;"Remuneración familiar",D765&lt;&gt;"Nómina y honorarios",D765&lt;&gt;"Renta",D765&lt;&gt;"Marketing",D765&lt;&gt;"Servicios y software",D765&lt;&gt;"Mantenimiento",D765&lt;&gt;"Otros",D765&lt;&gt;"Intereses")),"Tipo o categoría inválido",IF(COUNTA(A765:J765)=0,"",IF(OR(A765="",B765="",C765="",H765=""),"Faltan datos",IF(COUNTIF($A$7:$A$2006,A765)&gt;1,"ID duplicado",IF(OR(B765&lt;DATE(Configuración!$C$5,1,1),B765&gt;=DATE(Configuración!$C$5+1,1,1)),"Fecha fuera del año",IF(OR(H765&lt;0,I765&lt;0),"Revisar signo",IF(AND(C765&lt;&gt;"Gasto",I765&lt;&gt;0),"IVA solo en Gasto",IF(AND(C765="Gasto",D765=""),"Falta categoría","OK")))))))))</f>
        <v/>
      </c>
    </row>
    <row r="766" spans="1:12" ht="22" customHeight="1">
      <c r="A766" s="3"/>
      <c r="B766" s="7"/>
      <c r="C766" s="3"/>
      <c r="D766" s="3"/>
      <c r="E766" s="3"/>
      <c r="F766" s="3"/>
      <c r="G766" s="3"/>
      <c r="H766" s="4"/>
      <c r="I766" s="4"/>
      <c r="J766" s="3"/>
      <c r="K766" s="8" t="str">
        <f t="shared" si="11"/>
        <v/>
      </c>
      <c r="L766" s="1" t="str">
        <f>IF(COUNTA(A766:J766)=0,"",IF(OR(AND(C766&lt;&gt;"Gasto",C766&lt;&gt;"Pago proveedor",C766&lt;&gt;"Retiro familiar",C766&lt;&gt;"Aportación",C766&lt;&gt;"Pago activo",C766&lt;&gt;"ISR devengado",C766&lt;&gt;"Pago ISR",C766&lt;&gt;"Pago IVA",C766&lt;&gt;"Compensación ISR",C766&lt;&gt;"Compensación IVA"),AND(C766="Gasto",D766&lt;&gt;"Costos clínicos",D766&lt;&gt;"Remuneración familiar",D766&lt;&gt;"Nómina y honorarios",D766&lt;&gt;"Renta",D766&lt;&gt;"Marketing",D766&lt;&gt;"Servicios y software",D766&lt;&gt;"Mantenimiento",D766&lt;&gt;"Otros",D766&lt;&gt;"Intereses")),"Tipo o categoría inválido",IF(COUNTA(A766:J766)=0,"",IF(OR(A766="",B766="",C766="",H766=""),"Faltan datos",IF(COUNTIF($A$7:$A$2006,A766)&gt;1,"ID duplicado",IF(OR(B766&lt;DATE(Configuración!$C$5,1,1),B766&gt;=DATE(Configuración!$C$5+1,1,1)),"Fecha fuera del año",IF(OR(H766&lt;0,I766&lt;0),"Revisar signo",IF(AND(C766&lt;&gt;"Gasto",I766&lt;&gt;0),"IVA solo en Gasto",IF(AND(C766="Gasto",D766=""),"Falta categoría","OK")))))))))</f>
        <v/>
      </c>
    </row>
    <row r="767" spans="1:12" ht="22" customHeight="1">
      <c r="A767" s="3"/>
      <c r="B767" s="7"/>
      <c r="C767" s="3"/>
      <c r="D767" s="3"/>
      <c r="E767" s="3"/>
      <c r="F767" s="3"/>
      <c r="G767" s="3"/>
      <c r="H767" s="4"/>
      <c r="I767" s="4"/>
      <c r="J767" s="3"/>
      <c r="K767" s="8" t="str">
        <f t="shared" si="11"/>
        <v/>
      </c>
      <c r="L767" s="1" t="str">
        <f>IF(COUNTA(A767:J767)=0,"",IF(OR(AND(C767&lt;&gt;"Gasto",C767&lt;&gt;"Pago proveedor",C767&lt;&gt;"Retiro familiar",C767&lt;&gt;"Aportación",C767&lt;&gt;"Pago activo",C767&lt;&gt;"ISR devengado",C767&lt;&gt;"Pago ISR",C767&lt;&gt;"Pago IVA",C767&lt;&gt;"Compensación ISR",C767&lt;&gt;"Compensación IVA"),AND(C767="Gasto",D767&lt;&gt;"Costos clínicos",D767&lt;&gt;"Remuneración familiar",D767&lt;&gt;"Nómina y honorarios",D767&lt;&gt;"Renta",D767&lt;&gt;"Marketing",D767&lt;&gt;"Servicios y software",D767&lt;&gt;"Mantenimiento",D767&lt;&gt;"Otros",D767&lt;&gt;"Intereses")),"Tipo o categoría inválido",IF(COUNTA(A767:J767)=0,"",IF(OR(A767="",B767="",C767="",H767=""),"Faltan datos",IF(COUNTIF($A$7:$A$2006,A767)&gt;1,"ID duplicado",IF(OR(B767&lt;DATE(Configuración!$C$5,1,1),B767&gt;=DATE(Configuración!$C$5+1,1,1)),"Fecha fuera del año",IF(OR(H767&lt;0,I767&lt;0),"Revisar signo",IF(AND(C767&lt;&gt;"Gasto",I767&lt;&gt;0),"IVA solo en Gasto",IF(AND(C767="Gasto",D767=""),"Falta categoría","OK")))))))))</f>
        <v/>
      </c>
    </row>
    <row r="768" spans="1:12" ht="22" customHeight="1">
      <c r="A768" s="3"/>
      <c r="B768" s="7"/>
      <c r="C768" s="3"/>
      <c r="D768" s="3"/>
      <c r="E768" s="3"/>
      <c r="F768" s="3"/>
      <c r="G768" s="3"/>
      <c r="H768" s="4"/>
      <c r="I768" s="4"/>
      <c r="J768" s="3"/>
      <c r="K768" s="8" t="str">
        <f t="shared" si="11"/>
        <v/>
      </c>
      <c r="L768" s="1" t="str">
        <f>IF(COUNTA(A768:J768)=0,"",IF(OR(AND(C768&lt;&gt;"Gasto",C768&lt;&gt;"Pago proveedor",C768&lt;&gt;"Retiro familiar",C768&lt;&gt;"Aportación",C768&lt;&gt;"Pago activo",C768&lt;&gt;"ISR devengado",C768&lt;&gt;"Pago ISR",C768&lt;&gt;"Pago IVA",C768&lt;&gt;"Compensación ISR",C768&lt;&gt;"Compensación IVA"),AND(C768="Gasto",D768&lt;&gt;"Costos clínicos",D768&lt;&gt;"Remuneración familiar",D768&lt;&gt;"Nómina y honorarios",D768&lt;&gt;"Renta",D768&lt;&gt;"Marketing",D768&lt;&gt;"Servicios y software",D768&lt;&gt;"Mantenimiento",D768&lt;&gt;"Otros",D768&lt;&gt;"Intereses")),"Tipo o categoría inválido",IF(COUNTA(A768:J768)=0,"",IF(OR(A768="",B768="",C768="",H768=""),"Faltan datos",IF(COUNTIF($A$7:$A$2006,A768)&gt;1,"ID duplicado",IF(OR(B768&lt;DATE(Configuración!$C$5,1,1),B768&gt;=DATE(Configuración!$C$5+1,1,1)),"Fecha fuera del año",IF(OR(H768&lt;0,I768&lt;0),"Revisar signo",IF(AND(C768&lt;&gt;"Gasto",I768&lt;&gt;0),"IVA solo en Gasto",IF(AND(C768="Gasto",D768=""),"Falta categoría","OK")))))))))</f>
        <v/>
      </c>
    </row>
    <row r="769" spans="1:12" ht="22" customHeight="1">
      <c r="A769" s="3"/>
      <c r="B769" s="7"/>
      <c r="C769" s="3"/>
      <c r="D769" s="3"/>
      <c r="E769" s="3"/>
      <c r="F769" s="3"/>
      <c r="G769" s="3"/>
      <c r="H769" s="4"/>
      <c r="I769" s="4"/>
      <c r="J769" s="3"/>
      <c r="K769" s="8" t="str">
        <f t="shared" si="11"/>
        <v/>
      </c>
      <c r="L769" s="1" t="str">
        <f>IF(COUNTA(A769:J769)=0,"",IF(OR(AND(C769&lt;&gt;"Gasto",C769&lt;&gt;"Pago proveedor",C769&lt;&gt;"Retiro familiar",C769&lt;&gt;"Aportación",C769&lt;&gt;"Pago activo",C769&lt;&gt;"ISR devengado",C769&lt;&gt;"Pago ISR",C769&lt;&gt;"Pago IVA",C769&lt;&gt;"Compensación ISR",C769&lt;&gt;"Compensación IVA"),AND(C769="Gasto",D769&lt;&gt;"Costos clínicos",D769&lt;&gt;"Remuneración familiar",D769&lt;&gt;"Nómina y honorarios",D769&lt;&gt;"Renta",D769&lt;&gt;"Marketing",D769&lt;&gt;"Servicios y software",D769&lt;&gt;"Mantenimiento",D769&lt;&gt;"Otros",D769&lt;&gt;"Intereses")),"Tipo o categoría inválido",IF(COUNTA(A769:J769)=0,"",IF(OR(A769="",B769="",C769="",H769=""),"Faltan datos",IF(COUNTIF($A$7:$A$2006,A769)&gt;1,"ID duplicado",IF(OR(B769&lt;DATE(Configuración!$C$5,1,1),B769&gt;=DATE(Configuración!$C$5+1,1,1)),"Fecha fuera del año",IF(OR(H769&lt;0,I769&lt;0),"Revisar signo",IF(AND(C769&lt;&gt;"Gasto",I769&lt;&gt;0),"IVA solo en Gasto",IF(AND(C769="Gasto",D769=""),"Falta categoría","OK")))))))))</f>
        <v/>
      </c>
    </row>
    <row r="770" spans="1:12" ht="22" customHeight="1">
      <c r="A770" s="3"/>
      <c r="B770" s="7"/>
      <c r="C770" s="3"/>
      <c r="D770" s="3"/>
      <c r="E770" s="3"/>
      <c r="F770" s="3"/>
      <c r="G770" s="3"/>
      <c r="H770" s="4"/>
      <c r="I770" s="4"/>
      <c r="J770" s="3"/>
      <c r="K770" s="8" t="str">
        <f t="shared" si="11"/>
        <v/>
      </c>
      <c r="L770" s="1" t="str">
        <f>IF(COUNTA(A770:J770)=0,"",IF(OR(AND(C770&lt;&gt;"Gasto",C770&lt;&gt;"Pago proveedor",C770&lt;&gt;"Retiro familiar",C770&lt;&gt;"Aportación",C770&lt;&gt;"Pago activo",C770&lt;&gt;"ISR devengado",C770&lt;&gt;"Pago ISR",C770&lt;&gt;"Pago IVA",C770&lt;&gt;"Compensación ISR",C770&lt;&gt;"Compensación IVA"),AND(C770="Gasto",D770&lt;&gt;"Costos clínicos",D770&lt;&gt;"Remuneración familiar",D770&lt;&gt;"Nómina y honorarios",D770&lt;&gt;"Renta",D770&lt;&gt;"Marketing",D770&lt;&gt;"Servicios y software",D770&lt;&gt;"Mantenimiento",D770&lt;&gt;"Otros",D770&lt;&gt;"Intereses")),"Tipo o categoría inválido",IF(COUNTA(A770:J770)=0,"",IF(OR(A770="",B770="",C770="",H770=""),"Faltan datos",IF(COUNTIF($A$7:$A$2006,A770)&gt;1,"ID duplicado",IF(OR(B770&lt;DATE(Configuración!$C$5,1,1),B770&gt;=DATE(Configuración!$C$5+1,1,1)),"Fecha fuera del año",IF(OR(H770&lt;0,I770&lt;0),"Revisar signo",IF(AND(C770&lt;&gt;"Gasto",I770&lt;&gt;0),"IVA solo en Gasto",IF(AND(C770="Gasto",D770=""),"Falta categoría","OK")))))))))</f>
        <v/>
      </c>
    </row>
    <row r="771" spans="1:12" ht="22" customHeight="1">
      <c r="A771" s="3"/>
      <c r="B771" s="7"/>
      <c r="C771" s="3"/>
      <c r="D771" s="3"/>
      <c r="E771" s="3"/>
      <c r="F771" s="3"/>
      <c r="G771" s="3"/>
      <c r="H771" s="4"/>
      <c r="I771" s="4"/>
      <c r="J771" s="3"/>
      <c r="K771" s="8" t="str">
        <f t="shared" si="11"/>
        <v/>
      </c>
      <c r="L771" s="1" t="str">
        <f>IF(COUNTA(A771:J771)=0,"",IF(OR(AND(C771&lt;&gt;"Gasto",C771&lt;&gt;"Pago proveedor",C771&lt;&gt;"Retiro familiar",C771&lt;&gt;"Aportación",C771&lt;&gt;"Pago activo",C771&lt;&gt;"ISR devengado",C771&lt;&gt;"Pago ISR",C771&lt;&gt;"Pago IVA",C771&lt;&gt;"Compensación ISR",C771&lt;&gt;"Compensación IVA"),AND(C771="Gasto",D771&lt;&gt;"Costos clínicos",D771&lt;&gt;"Remuneración familiar",D771&lt;&gt;"Nómina y honorarios",D771&lt;&gt;"Renta",D771&lt;&gt;"Marketing",D771&lt;&gt;"Servicios y software",D771&lt;&gt;"Mantenimiento",D771&lt;&gt;"Otros",D771&lt;&gt;"Intereses")),"Tipo o categoría inválido",IF(COUNTA(A771:J771)=0,"",IF(OR(A771="",B771="",C771="",H771=""),"Faltan datos",IF(COUNTIF($A$7:$A$2006,A771)&gt;1,"ID duplicado",IF(OR(B771&lt;DATE(Configuración!$C$5,1,1),B771&gt;=DATE(Configuración!$C$5+1,1,1)),"Fecha fuera del año",IF(OR(H771&lt;0,I771&lt;0),"Revisar signo",IF(AND(C771&lt;&gt;"Gasto",I771&lt;&gt;0),"IVA solo en Gasto",IF(AND(C771="Gasto",D771=""),"Falta categoría","OK")))))))))</f>
        <v/>
      </c>
    </row>
    <row r="772" spans="1:12" ht="22" customHeight="1">
      <c r="A772" s="3"/>
      <c r="B772" s="7"/>
      <c r="C772" s="3"/>
      <c r="D772" s="3"/>
      <c r="E772" s="3"/>
      <c r="F772" s="3"/>
      <c r="G772" s="3"/>
      <c r="H772" s="4"/>
      <c r="I772" s="4"/>
      <c r="J772" s="3"/>
      <c r="K772" s="8" t="str">
        <f t="shared" si="11"/>
        <v/>
      </c>
      <c r="L772" s="1" t="str">
        <f>IF(COUNTA(A772:J772)=0,"",IF(OR(AND(C772&lt;&gt;"Gasto",C772&lt;&gt;"Pago proveedor",C772&lt;&gt;"Retiro familiar",C772&lt;&gt;"Aportación",C772&lt;&gt;"Pago activo",C772&lt;&gt;"ISR devengado",C772&lt;&gt;"Pago ISR",C772&lt;&gt;"Pago IVA",C772&lt;&gt;"Compensación ISR",C772&lt;&gt;"Compensación IVA"),AND(C772="Gasto",D772&lt;&gt;"Costos clínicos",D772&lt;&gt;"Remuneración familiar",D772&lt;&gt;"Nómina y honorarios",D772&lt;&gt;"Renta",D772&lt;&gt;"Marketing",D772&lt;&gt;"Servicios y software",D772&lt;&gt;"Mantenimiento",D772&lt;&gt;"Otros",D772&lt;&gt;"Intereses")),"Tipo o categoría inválido",IF(COUNTA(A772:J772)=0,"",IF(OR(A772="",B772="",C772="",H772=""),"Faltan datos",IF(COUNTIF($A$7:$A$2006,A772)&gt;1,"ID duplicado",IF(OR(B772&lt;DATE(Configuración!$C$5,1,1),B772&gt;=DATE(Configuración!$C$5+1,1,1)),"Fecha fuera del año",IF(OR(H772&lt;0,I772&lt;0),"Revisar signo",IF(AND(C772&lt;&gt;"Gasto",I772&lt;&gt;0),"IVA solo en Gasto",IF(AND(C772="Gasto",D772=""),"Falta categoría","OK")))))))))</f>
        <v/>
      </c>
    </row>
    <row r="773" spans="1:12" ht="22" customHeight="1">
      <c r="A773" s="3"/>
      <c r="B773" s="7"/>
      <c r="C773" s="3"/>
      <c r="D773" s="3"/>
      <c r="E773" s="3"/>
      <c r="F773" s="3"/>
      <c r="G773" s="3"/>
      <c r="H773" s="4"/>
      <c r="I773" s="4"/>
      <c r="J773" s="3"/>
      <c r="K773" s="8" t="str">
        <f t="shared" si="11"/>
        <v/>
      </c>
      <c r="L773" s="1" t="str">
        <f>IF(COUNTA(A773:J773)=0,"",IF(OR(AND(C773&lt;&gt;"Gasto",C773&lt;&gt;"Pago proveedor",C773&lt;&gt;"Retiro familiar",C773&lt;&gt;"Aportación",C773&lt;&gt;"Pago activo",C773&lt;&gt;"ISR devengado",C773&lt;&gt;"Pago ISR",C773&lt;&gt;"Pago IVA",C773&lt;&gt;"Compensación ISR",C773&lt;&gt;"Compensación IVA"),AND(C773="Gasto",D773&lt;&gt;"Costos clínicos",D773&lt;&gt;"Remuneración familiar",D773&lt;&gt;"Nómina y honorarios",D773&lt;&gt;"Renta",D773&lt;&gt;"Marketing",D773&lt;&gt;"Servicios y software",D773&lt;&gt;"Mantenimiento",D773&lt;&gt;"Otros",D773&lt;&gt;"Intereses")),"Tipo o categoría inválido",IF(COUNTA(A773:J773)=0,"",IF(OR(A773="",B773="",C773="",H773=""),"Faltan datos",IF(COUNTIF($A$7:$A$2006,A773)&gt;1,"ID duplicado",IF(OR(B773&lt;DATE(Configuración!$C$5,1,1),B773&gt;=DATE(Configuración!$C$5+1,1,1)),"Fecha fuera del año",IF(OR(H773&lt;0,I773&lt;0),"Revisar signo",IF(AND(C773&lt;&gt;"Gasto",I773&lt;&gt;0),"IVA solo en Gasto",IF(AND(C773="Gasto",D773=""),"Falta categoría","OK")))))))))</f>
        <v/>
      </c>
    </row>
    <row r="774" spans="1:12" ht="22" customHeight="1">
      <c r="A774" s="3"/>
      <c r="B774" s="7"/>
      <c r="C774" s="3"/>
      <c r="D774" s="3"/>
      <c r="E774" s="3"/>
      <c r="F774" s="3"/>
      <c r="G774" s="3"/>
      <c r="H774" s="4"/>
      <c r="I774" s="4"/>
      <c r="J774" s="3"/>
      <c r="K774" s="8" t="str">
        <f t="shared" si="11"/>
        <v/>
      </c>
      <c r="L774" s="1" t="str">
        <f>IF(COUNTA(A774:J774)=0,"",IF(OR(AND(C774&lt;&gt;"Gasto",C774&lt;&gt;"Pago proveedor",C774&lt;&gt;"Retiro familiar",C774&lt;&gt;"Aportación",C774&lt;&gt;"Pago activo",C774&lt;&gt;"ISR devengado",C774&lt;&gt;"Pago ISR",C774&lt;&gt;"Pago IVA",C774&lt;&gt;"Compensación ISR",C774&lt;&gt;"Compensación IVA"),AND(C774="Gasto",D774&lt;&gt;"Costos clínicos",D774&lt;&gt;"Remuneración familiar",D774&lt;&gt;"Nómina y honorarios",D774&lt;&gt;"Renta",D774&lt;&gt;"Marketing",D774&lt;&gt;"Servicios y software",D774&lt;&gt;"Mantenimiento",D774&lt;&gt;"Otros",D774&lt;&gt;"Intereses")),"Tipo o categoría inválido",IF(COUNTA(A774:J774)=0,"",IF(OR(A774="",B774="",C774="",H774=""),"Faltan datos",IF(COUNTIF($A$7:$A$2006,A774)&gt;1,"ID duplicado",IF(OR(B774&lt;DATE(Configuración!$C$5,1,1),B774&gt;=DATE(Configuración!$C$5+1,1,1)),"Fecha fuera del año",IF(OR(H774&lt;0,I774&lt;0),"Revisar signo",IF(AND(C774&lt;&gt;"Gasto",I774&lt;&gt;0),"IVA solo en Gasto",IF(AND(C774="Gasto",D774=""),"Falta categoría","OK")))))))))</f>
        <v/>
      </c>
    </row>
    <row r="775" spans="1:12" ht="22" customHeight="1">
      <c r="A775" s="3"/>
      <c r="B775" s="7"/>
      <c r="C775" s="3"/>
      <c r="D775" s="3"/>
      <c r="E775" s="3"/>
      <c r="F775" s="3"/>
      <c r="G775" s="3"/>
      <c r="H775" s="4"/>
      <c r="I775" s="4"/>
      <c r="J775" s="3"/>
      <c r="K775" s="8" t="str">
        <f t="shared" ref="K775:K838" si="12">IF(A775="","",H775+I775)</f>
        <v/>
      </c>
      <c r="L775" s="1" t="str">
        <f>IF(COUNTA(A775:J775)=0,"",IF(OR(AND(C775&lt;&gt;"Gasto",C775&lt;&gt;"Pago proveedor",C775&lt;&gt;"Retiro familiar",C775&lt;&gt;"Aportación",C775&lt;&gt;"Pago activo",C775&lt;&gt;"ISR devengado",C775&lt;&gt;"Pago ISR",C775&lt;&gt;"Pago IVA",C775&lt;&gt;"Compensación ISR",C775&lt;&gt;"Compensación IVA"),AND(C775="Gasto",D775&lt;&gt;"Costos clínicos",D775&lt;&gt;"Remuneración familiar",D775&lt;&gt;"Nómina y honorarios",D775&lt;&gt;"Renta",D775&lt;&gt;"Marketing",D775&lt;&gt;"Servicios y software",D775&lt;&gt;"Mantenimiento",D775&lt;&gt;"Otros",D775&lt;&gt;"Intereses")),"Tipo o categoría inválido",IF(COUNTA(A775:J775)=0,"",IF(OR(A775="",B775="",C775="",H775=""),"Faltan datos",IF(COUNTIF($A$7:$A$2006,A775)&gt;1,"ID duplicado",IF(OR(B775&lt;DATE(Configuración!$C$5,1,1),B775&gt;=DATE(Configuración!$C$5+1,1,1)),"Fecha fuera del año",IF(OR(H775&lt;0,I775&lt;0),"Revisar signo",IF(AND(C775&lt;&gt;"Gasto",I775&lt;&gt;0),"IVA solo en Gasto",IF(AND(C775="Gasto",D775=""),"Falta categoría","OK")))))))))</f>
        <v/>
      </c>
    </row>
    <row r="776" spans="1:12" ht="22" customHeight="1">
      <c r="A776" s="3"/>
      <c r="B776" s="7"/>
      <c r="C776" s="3"/>
      <c r="D776" s="3"/>
      <c r="E776" s="3"/>
      <c r="F776" s="3"/>
      <c r="G776" s="3"/>
      <c r="H776" s="4"/>
      <c r="I776" s="4"/>
      <c r="J776" s="3"/>
      <c r="K776" s="8" t="str">
        <f t="shared" si="12"/>
        <v/>
      </c>
      <c r="L776" s="1" t="str">
        <f>IF(COUNTA(A776:J776)=0,"",IF(OR(AND(C776&lt;&gt;"Gasto",C776&lt;&gt;"Pago proveedor",C776&lt;&gt;"Retiro familiar",C776&lt;&gt;"Aportación",C776&lt;&gt;"Pago activo",C776&lt;&gt;"ISR devengado",C776&lt;&gt;"Pago ISR",C776&lt;&gt;"Pago IVA",C776&lt;&gt;"Compensación ISR",C776&lt;&gt;"Compensación IVA"),AND(C776="Gasto",D776&lt;&gt;"Costos clínicos",D776&lt;&gt;"Remuneración familiar",D776&lt;&gt;"Nómina y honorarios",D776&lt;&gt;"Renta",D776&lt;&gt;"Marketing",D776&lt;&gt;"Servicios y software",D776&lt;&gt;"Mantenimiento",D776&lt;&gt;"Otros",D776&lt;&gt;"Intereses")),"Tipo o categoría inválido",IF(COUNTA(A776:J776)=0,"",IF(OR(A776="",B776="",C776="",H776=""),"Faltan datos",IF(COUNTIF($A$7:$A$2006,A776)&gt;1,"ID duplicado",IF(OR(B776&lt;DATE(Configuración!$C$5,1,1),B776&gt;=DATE(Configuración!$C$5+1,1,1)),"Fecha fuera del año",IF(OR(H776&lt;0,I776&lt;0),"Revisar signo",IF(AND(C776&lt;&gt;"Gasto",I776&lt;&gt;0),"IVA solo en Gasto",IF(AND(C776="Gasto",D776=""),"Falta categoría","OK")))))))))</f>
        <v/>
      </c>
    </row>
    <row r="777" spans="1:12" ht="22" customHeight="1">
      <c r="A777" s="3"/>
      <c r="B777" s="7"/>
      <c r="C777" s="3"/>
      <c r="D777" s="3"/>
      <c r="E777" s="3"/>
      <c r="F777" s="3"/>
      <c r="G777" s="3"/>
      <c r="H777" s="4"/>
      <c r="I777" s="4"/>
      <c r="J777" s="3"/>
      <c r="K777" s="8" t="str">
        <f t="shared" si="12"/>
        <v/>
      </c>
      <c r="L777" s="1" t="str">
        <f>IF(COUNTA(A777:J777)=0,"",IF(OR(AND(C777&lt;&gt;"Gasto",C777&lt;&gt;"Pago proveedor",C777&lt;&gt;"Retiro familiar",C777&lt;&gt;"Aportación",C777&lt;&gt;"Pago activo",C777&lt;&gt;"ISR devengado",C777&lt;&gt;"Pago ISR",C777&lt;&gt;"Pago IVA",C777&lt;&gt;"Compensación ISR",C777&lt;&gt;"Compensación IVA"),AND(C777="Gasto",D777&lt;&gt;"Costos clínicos",D777&lt;&gt;"Remuneración familiar",D777&lt;&gt;"Nómina y honorarios",D777&lt;&gt;"Renta",D777&lt;&gt;"Marketing",D777&lt;&gt;"Servicios y software",D777&lt;&gt;"Mantenimiento",D777&lt;&gt;"Otros",D777&lt;&gt;"Intereses")),"Tipo o categoría inválido",IF(COUNTA(A777:J777)=0,"",IF(OR(A777="",B777="",C777="",H777=""),"Faltan datos",IF(COUNTIF($A$7:$A$2006,A777)&gt;1,"ID duplicado",IF(OR(B777&lt;DATE(Configuración!$C$5,1,1),B777&gt;=DATE(Configuración!$C$5+1,1,1)),"Fecha fuera del año",IF(OR(H777&lt;0,I777&lt;0),"Revisar signo",IF(AND(C777&lt;&gt;"Gasto",I777&lt;&gt;0),"IVA solo en Gasto",IF(AND(C777="Gasto",D777=""),"Falta categoría","OK")))))))))</f>
        <v/>
      </c>
    </row>
    <row r="778" spans="1:12" ht="22" customHeight="1">
      <c r="A778" s="3"/>
      <c r="B778" s="7"/>
      <c r="C778" s="3"/>
      <c r="D778" s="3"/>
      <c r="E778" s="3"/>
      <c r="F778" s="3"/>
      <c r="G778" s="3"/>
      <c r="H778" s="4"/>
      <c r="I778" s="4"/>
      <c r="J778" s="3"/>
      <c r="K778" s="8" t="str">
        <f t="shared" si="12"/>
        <v/>
      </c>
      <c r="L778" s="1" t="str">
        <f>IF(COUNTA(A778:J778)=0,"",IF(OR(AND(C778&lt;&gt;"Gasto",C778&lt;&gt;"Pago proveedor",C778&lt;&gt;"Retiro familiar",C778&lt;&gt;"Aportación",C778&lt;&gt;"Pago activo",C778&lt;&gt;"ISR devengado",C778&lt;&gt;"Pago ISR",C778&lt;&gt;"Pago IVA",C778&lt;&gt;"Compensación ISR",C778&lt;&gt;"Compensación IVA"),AND(C778="Gasto",D778&lt;&gt;"Costos clínicos",D778&lt;&gt;"Remuneración familiar",D778&lt;&gt;"Nómina y honorarios",D778&lt;&gt;"Renta",D778&lt;&gt;"Marketing",D778&lt;&gt;"Servicios y software",D778&lt;&gt;"Mantenimiento",D778&lt;&gt;"Otros",D778&lt;&gt;"Intereses")),"Tipo o categoría inválido",IF(COUNTA(A778:J778)=0,"",IF(OR(A778="",B778="",C778="",H778=""),"Faltan datos",IF(COUNTIF($A$7:$A$2006,A778)&gt;1,"ID duplicado",IF(OR(B778&lt;DATE(Configuración!$C$5,1,1),B778&gt;=DATE(Configuración!$C$5+1,1,1)),"Fecha fuera del año",IF(OR(H778&lt;0,I778&lt;0),"Revisar signo",IF(AND(C778&lt;&gt;"Gasto",I778&lt;&gt;0),"IVA solo en Gasto",IF(AND(C778="Gasto",D778=""),"Falta categoría","OK")))))))))</f>
        <v/>
      </c>
    </row>
    <row r="779" spans="1:12" ht="22" customHeight="1">
      <c r="A779" s="3"/>
      <c r="B779" s="7"/>
      <c r="C779" s="3"/>
      <c r="D779" s="3"/>
      <c r="E779" s="3"/>
      <c r="F779" s="3"/>
      <c r="G779" s="3"/>
      <c r="H779" s="4"/>
      <c r="I779" s="4"/>
      <c r="J779" s="3"/>
      <c r="K779" s="8" t="str">
        <f t="shared" si="12"/>
        <v/>
      </c>
      <c r="L779" s="1" t="str">
        <f>IF(COUNTA(A779:J779)=0,"",IF(OR(AND(C779&lt;&gt;"Gasto",C779&lt;&gt;"Pago proveedor",C779&lt;&gt;"Retiro familiar",C779&lt;&gt;"Aportación",C779&lt;&gt;"Pago activo",C779&lt;&gt;"ISR devengado",C779&lt;&gt;"Pago ISR",C779&lt;&gt;"Pago IVA",C779&lt;&gt;"Compensación ISR",C779&lt;&gt;"Compensación IVA"),AND(C779="Gasto",D779&lt;&gt;"Costos clínicos",D779&lt;&gt;"Remuneración familiar",D779&lt;&gt;"Nómina y honorarios",D779&lt;&gt;"Renta",D779&lt;&gt;"Marketing",D779&lt;&gt;"Servicios y software",D779&lt;&gt;"Mantenimiento",D779&lt;&gt;"Otros",D779&lt;&gt;"Intereses")),"Tipo o categoría inválido",IF(COUNTA(A779:J779)=0,"",IF(OR(A779="",B779="",C779="",H779=""),"Faltan datos",IF(COUNTIF($A$7:$A$2006,A779)&gt;1,"ID duplicado",IF(OR(B779&lt;DATE(Configuración!$C$5,1,1),B779&gt;=DATE(Configuración!$C$5+1,1,1)),"Fecha fuera del año",IF(OR(H779&lt;0,I779&lt;0),"Revisar signo",IF(AND(C779&lt;&gt;"Gasto",I779&lt;&gt;0),"IVA solo en Gasto",IF(AND(C779="Gasto",D779=""),"Falta categoría","OK")))))))))</f>
        <v/>
      </c>
    </row>
    <row r="780" spans="1:12" ht="22" customHeight="1">
      <c r="A780" s="3"/>
      <c r="B780" s="7"/>
      <c r="C780" s="3"/>
      <c r="D780" s="3"/>
      <c r="E780" s="3"/>
      <c r="F780" s="3"/>
      <c r="G780" s="3"/>
      <c r="H780" s="4"/>
      <c r="I780" s="4"/>
      <c r="J780" s="3"/>
      <c r="K780" s="8" t="str">
        <f t="shared" si="12"/>
        <v/>
      </c>
      <c r="L780" s="1" t="str">
        <f>IF(COUNTA(A780:J780)=0,"",IF(OR(AND(C780&lt;&gt;"Gasto",C780&lt;&gt;"Pago proveedor",C780&lt;&gt;"Retiro familiar",C780&lt;&gt;"Aportación",C780&lt;&gt;"Pago activo",C780&lt;&gt;"ISR devengado",C780&lt;&gt;"Pago ISR",C780&lt;&gt;"Pago IVA",C780&lt;&gt;"Compensación ISR",C780&lt;&gt;"Compensación IVA"),AND(C780="Gasto",D780&lt;&gt;"Costos clínicos",D780&lt;&gt;"Remuneración familiar",D780&lt;&gt;"Nómina y honorarios",D780&lt;&gt;"Renta",D780&lt;&gt;"Marketing",D780&lt;&gt;"Servicios y software",D780&lt;&gt;"Mantenimiento",D780&lt;&gt;"Otros",D780&lt;&gt;"Intereses")),"Tipo o categoría inválido",IF(COUNTA(A780:J780)=0,"",IF(OR(A780="",B780="",C780="",H780=""),"Faltan datos",IF(COUNTIF($A$7:$A$2006,A780)&gt;1,"ID duplicado",IF(OR(B780&lt;DATE(Configuración!$C$5,1,1),B780&gt;=DATE(Configuración!$C$5+1,1,1)),"Fecha fuera del año",IF(OR(H780&lt;0,I780&lt;0),"Revisar signo",IF(AND(C780&lt;&gt;"Gasto",I780&lt;&gt;0),"IVA solo en Gasto",IF(AND(C780="Gasto",D780=""),"Falta categoría","OK")))))))))</f>
        <v/>
      </c>
    </row>
    <row r="781" spans="1:12" ht="22" customHeight="1">
      <c r="A781" s="3"/>
      <c r="B781" s="7"/>
      <c r="C781" s="3"/>
      <c r="D781" s="3"/>
      <c r="E781" s="3"/>
      <c r="F781" s="3"/>
      <c r="G781" s="3"/>
      <c r="H781" s="4"/>
      <c r="I781" s="4"/>
      <c r="J781" s="3"/>
      <c r="K781" s="8" t="str">
        <f t="shared" si="12"/>
        <v/>
      </c>
      <c r="L781" s="1" t="str">
        <f>IF(COUNTA(A781:J781)=0,"",IF(OR(AND(C781&lt;&gt;"Gasto",C781&lt;&gt;"Pago proveedor",C781&lt;&gt;"Retiro familiar",C781&lt;&gt;"Aportación",C781&lt;&gt;"Pago activo",C781&lt;&gt;"ISR devengado",C781&lt;&gt;"Pago ISR",C781&lt;&gt;"Pago IVA",C781&lt;&gt;"Compensación ISR",C781&lt;&gt;"Compensación IVA"),AND(C781="Gasto",D781&lt;&gt;"Costos clínicos",D781&lt;&gt;"Remuneración familiar",D781&lt;&gt;"Nómina y honorarios",D781&lt;&gt;"Renta",D781&lt;&gt;"Marketing",D781&lt;&gt;"Servicios y software",D781&lt;&gt;"Mantenimiento",D781&lt;&gt;"Otros",D781&lt;&gt;"Intereses")),"Tipo o categoría inválido",IF(COUNTA(A781:J781)=0,"",IF(OR(A781="",B781="",C781="",H781=""),"Faltan datos",IF(COUNTIF($A$7:$A$2006,A781)&gt;1,"ID duplicado",IF(OR(B781&lt;DATE(Configuración!$C$5,1,1),B781&gt;=DATE(Configuración!$C$5+1,1,1)),"Fecha fuera del año",IF(OR(H781&lt;0,I781&lt;0),"Revisar signo",IF(AND(C781&lt;&gt;"Gasto",I781&lt;&gt;0),"IVA solo en Gasto",IF(AND(C781="Gasto",D781=""),"Falta categoría","OK")))))))))</f>
        <v/>
      </c>
    </row>
    <row r="782" spans="1:12" ht="22" customHeight="1">
      <c r="A782" s="3"/>
      <c r="B782" s="7"/>
      <c r="C782" s="3"/>
      <c r="D782" s="3"/>
      <c r="E782" s="3"/>
      <c r="F782" s="3"/>
      <c r="G782" s="3"/>
      <c r="H782" s="4"/>
      <c r="I782" s="4"/>
      <c r="J782" s="3"/>
      <c r="K782" s="8" t="str">
        <f t="shared" si="12"/>
        <v/>
      </c>
      <c r="L782" s="1" t="str">
        <f>IF(COUNTA(A782:J782)=0,"",IF(OR(AND(C782&lt;&gt;"Gasto",C782&lt;&gt;"Pago proveedor",C782&lt;&gt;"Retiro familiar",C782&lt;&gt;"Aportación",C782&lt;&gt;"Pago activo",C782&lt;&gt;"ISR devengado",C782&lt;&gt;"Pago ISR",C782&lt;&gt;"Pago IVA",C782&lt;&gt;"Compensación ISR",C782&lt;&gt;"Compensación IVA"),AND(C782="Gasto",D782&lt;&gt;"Costos clínicos",D782&lt;&gt;"Remuneración familiar",D782&lt;&gt;"Nómina y honorarios",D782&lt;&gt;"Renta",D782&lt;&gt;"Marketing",D782&lt;&gt;"Servicios y software",D782&lt;&gt;"Mantenimiento",D782&lt;&gt;"Otros",D782&lt;&gt;"Intereses")),"Tipo o categoría inválido",IF(COUNTA(A782:J782)=0,"",IF(OR(A782="",B782="",C782="",H782=""),"Faltan datos",IF(COUNTIF($A$7:$A$2006,A782)&gt;1,"ID duplicado",IF(OR(B782&lt;DATE(Configuración!$C$5,1,1),B782&gt;=DATE(Configuración!$C$5+1,1,1)),"Fecha fuera del año",IF(OR(H782&lt;0,I782&lt;0),"Revisar signo",IF(AND(C782&lt;&gt;"Gasto",I782&lt;&gt;0),"IVA solo en Gasto",IF(AND(C782="Gasto",D782=""),"Falta categoría","OK")))))))))</f>
        <v/>
      </c>
    </row>
    <row r="783" spans="1:12" ht="22" customHeight="1">
      <c r="A783" s="3"/>
      <c r="B783" s="7"/>
      <c r="C783" s="3"/>
      <c r="D783" s="3"/>
      <c r="E783" s="3"/>
      <c r="F783" s="3"/>
      <c r="G783" s="3"/>
      <c r="H783" s="4"/>
      <c r="I783" s="4"/>
      <c r="J783" s="3"/>
      <c r="K783" s="8" t="str">
        <f t="shared" si="12"/>
        <v/>
      </c>
      <c r="L783" s="1" t="str">
        <f>IF(COUNTA(A783:J783)=0,"",IF(OR(AND(C783&lt;&gt;"Gasto",C783&lt;&gt;"Pago proveedor",C783&lt;&gt;"Retiro familiar",C783&lt;&gt;"Aportación",C783&lt;&gt;"Pago activo",C783&lt;&gt;"ISR devengado",C783&lt;&gt;"Pago ISR",C783&lt;&gt;"Pago IVA",C783&lt;&gt;"Compensación ISR",C783&lt;&gt;"Compensación IVA"),AND(C783="Gasto",D783&lt;&gt;"Costos clínicos",D783&lt;&gt;"Remuneración familiar",D783&lt;&gt;"Nómina y honorarios",D783&lt;&gt;"Renta",D783&lt;&gt;"Marketing",D783&lt;&gt;"Servicios y software",D783&lt;&gt;"Mantenimiento",D783&lt;&gt;"Otros",D783&lt;&gt;"Intereses")),"Tipo o categoría inválido",IF(COUNTA(A783:J783)=0,"",IF(OR(A783="",B783="",C783="",H783=""),"Faltan datos",IF(COUNTIF($A$7:$A$2006,A783)&gt;1,"ID duplicado",IF(OR(B783&lt;DATE(Configuración!$C$5,1,1),B783&gt;=DATE(Configuración!$C$5+1,1,1)),"Fecha fuera del año",IF(OR(H783&lt;0,I783&lt;0),"Revisar signo",IF(AND(C783&lt;&gt;"Gasto",I783&lt;&gt;0),"IVA solo en Gasto",IF(AND(C783="Gasto",D783=""),"Falta categoría","OK")))))))))</f>
        <v/>
      </c>
    </row>
    <row r="784" spans="1:12" ht="22" customHeight="1">
      <c r="A784" s="3"/>
      <c r="B784" s="7"/>
      <c r="C784" s="3"/>
      <c r="D784" s="3"/>
      <c r="E784" s="3"/>
      <c r="F784" s="3"/>
      <c r="G784" s="3"/>
      <c r="H784" s="4"/>
      <c r="I784" s="4"/>
      <c r="J784" s="3"/>
      <c r="K784" s="8" t="str">
        <f t="shared" si="12"/>
        <v/>
      </c>
      <c r="L784" s="1" t="str">
        <f>IF(COUNTA(A784:J784)=0,"",IF(OR(AND(C784&lt;&gt;"Gasto",C784&lt;&gt;"Pago proveedor",C784&lt;&gt;"Retiro familiar",C784&lt;&gt;"Aportación",C784&lt;&gt;"Pago activo",C784&lt;&gt;"ISR devengado",C784&lt;&gt;"Pago ISR",C784&lt;&gt;"Pago IVA",C784&lt;&gt;"Compensación ISR",C784&lt;&gt;"Compensación IVA"),AND(C784="Gasto",D784&lt;&gt;"Costos clínicos",D784&lt;&gt;"Remuneración familiar",D784&lt;&gt;"Nómina y honorarios",D784&lt;&gt;"Renta",D784&lt;&gt;"Marketing",D784&lt;&gt;"Servicios y software",D784&lt;&gt;"Mantenimiento",D784&lt;&gt;"Otros",D784&lt;&gt;"Intereses")),"Tipo o categoría inválido",IF(COUNTA(A784:J784)=0,"",IF(OR(A784="",B784="",C784="",H784=""),"Faltan datos",IF(COUNTIF($A$7:$A$2006,A784)&gt;1,"ID duplicado",IF(OR(B784&lt;DATE(Configuración!$C$5,1,1),B784&gt;=DATE(Configuración!$C$5+1,1,1)),"Fecha fuera del año",IF(OR(H784&lt;0,I784&lt;0),"Revisar signo",IF(AND(C784&lt;&gt;"Gasto",I784&lt;&gt;0),"IVA solo en Gasto",IF(AND(C784="Gasto",D784=""),"Falta categoría","OK")))))))))</f>
        <v/>
      </c>
    </row>
    <row r="785" spans="1:12" ht="22" customHeight="1">
      <c r="A785" s="3"/>
      <c r="B785" s="7"/>
      <c r="C785" s="3"/>
      <c r="D785" s="3"/>
      <c r="E785" s="3"/>
      <c r="F785" s="3"/>
      <c r="G785" s="3"/>
      <c r="H785" s="4"/>
      <c r="I785" s="4"/>
      <c r="J785" s="3"/>
      <c r="K785" s="8" t="str">
        <f t="shared" si="12"/>
        <v/>
      </c>
      <c r="L785" s="1" t="str">
        <f>IF(COUNTA(A785:J785)=0,"",IF(OR(AND(C785&lt;&gt;"Gasto",C785&lt;&gt;"Pago proveedor",C785&lt;&gt;"Retiro familiar",C785&lt;&gt;"Aportación",C785&lt;&gt;"Pago activo",C785&lt;&gt;"ISR devengado",C785&lt;&gt;"Pago ISR",C785&lt;&gt;"Pago IVA",C785&lt;&gt;"Compensación ISR",C785&lt;&gt;"Compensación IVA"),AND(C785="Gasto",D785&lt;&gt;"Costos clínicos",D785&lt;&gt;"Remuneración familiar",D785&lt;&gt;"Nómina y honorarios",D785&lt;&gt;"Renta",D785&lt;&gt;"Marketing",D785&lt;&gt;"Servicios y software",D785&lt;&gt;"Mantenimiento",D785&lt;&gt;"Otros",D785&lt;&gt;"Intereses")),"Tipo o categoría inválido",IF(COUNTA(A785:J785)=0,"",IF(OR(A785="",B785="",C785="",H785=""),"Faltan datos",IF(COUNTIF($A$7:$A$2006,A785)&gt;1,"ID duplicado",IF(OR(B785&lt;DATE(Configuración!$C$5,1,1),B785&gt;=DATE(Configuración!$C$5+1,1,1)),"Fecha fuera del año",IF(OR(H785&lt;0,I785&lt;0),"Revisar signo",IF(AND(C785&lt;&gt;"Gasto",I785&lt;&gt;0),"IVA solo en Gasto",IF(AND(C785="Gasto",D785=""),"Falta categoría","OK")))))))))</f>
        <v/>
      </c>
    </row>
    <row r="786" spans="1:12" ht="22" customHeight="1">
      <c r="A786" s="3"/>
      <c r="B786" s="7"/>
      <c r="C786" s="3"/>
      <c r="D786" s="3"/>
      <c r="E786" s="3"/>
      <c r="F786" s="3"/>
      <c r="G786" s="3"/>
      <c r="H786" s="4"/>
      <c r="I786" s="4"/>
      <c r="J786" s="3"/>
      <c r="K786" s="8" t="str">
        <f t="shared" si="12"/>
        <v/>
      </c>
      <c r="L786" s="1" t="str">
        <f>IF(COUNTA(A786:J786)=0,"",IF(OR(AND(C786&lt;&gt;"Gasto",C786&lt;&gt;"Pago proveedor",C786&lt;&gt;"Retiro familiar",C786&lt;&gt;"Aportación",C786&lt;&gt;"Pago activo",C786&lt;&gt;"ISR devengado",C786&lt;&gt;"Pago ISR",C786&lt;&gt;"Pago IVA",C786&lt;&gt;"Compensación ISR",C786&lt;&gt;"Compensación IVA"),AND(C786="Gasto",D786&lt;&gt;"Costos clínicos",D786&lt;&gt;"Remuneración familiar",D786&lt;&gt;"Nómina y honorarios",D786&lt;&gt;"Renta",D786&lt;&gt;"Marketing",D786&lt;&gt;"Servicios y software",D786&lt;&gt;"Mantenimiento",D786&lt;&gt;"Otros",D786&lt;&gt;"Intereses")),"Tipo o categoría inválido",IF(COUNTA(A786:J786)=0,"",IF(OR(A786="",B786="",C786="",H786=""),"Faltan datos",IF(COUNTIF($A$7:$A$2006,A786)&gt;1,"ID duplicado",IF(OR(B786&lt;DATE(Configuración!$C$5,1,1),B786&gt;=DATE(Configuración!$C$5+1,1,1)),"Fecha fuera del año",IF(OR(H786&lt;0,I786&lt;0),"Revisar signo",IF(AND(C786&lt;&gt;"Gasto",I786&lt;&gt;0),"IVA solo en Gasto",IF(AND(C786="Gasto",D786=""),"Falta categoría","OK")))))))))</f>
        <v/>
      </c>
    </row>
    <row r="787" spans="1:12" ht="22" customHeight="1">
      <c r="A787" s="3"/>
      <c r="B787" s="7"/>
      <c r="C787" s="3"/>
      <c r="D787" s="3"/>
      <c r="E787" s="3"/>
      <c r="F787" s="3"/>
      <c r="G787" s="3"/>
      <c r="H787" s="4"/>
      <c r="I787" s="4"/>
      <c r="J787" s="3"/>
      <c r="K787" s="8" t="str">
        <f t="shared" si="12"/>
        <v/>
      </c>
      <c r="L787" s="1" t="str">
        <f>IF(COUNTA(A787:J787)=0,"",IF(OR(AND(C787&lt;&gt;"Gasto",C787&lt;&gt;"Pago proveedor",C787&lt;&gt;"Retiro familiar",C787&lt;&gt;"Aportación",C787&lt;&gt;"Pago activo",C787&lt;&gt;"ISR devengado",C787&lt;&gt;"Pago ISR",C787&lt;&gt;"Pago IVA",C787&lt;&gt;"Compensación ISR",C787&lt;&gt;"Compensación IVA"),AND(C787="Gasto",D787&lt;&gt;"Costos clínicos",D787&lt;&gt;"Remuneración familiar",D787&lt;&gt;"Nómina y honorarios",D787&lt;&gt;"Renta",D787&lt;&gt;"Marketing",D787&lt;&gt;"Servicios y software",D787&lt;&gt;"Mantenimiento",D787&lt;&gt;"Otros",D787&lt;&gt;"Intereses")),"Tipo o categoría inválido",IF(COUNTA(A787:J787)=0,"",IF(OR(A787="",B787="",C787="",H787=""),"Faltan datos",IF(COUNTIF($A$7:$A$2006,A787)&gt;1,"ID duplicado",IF(OR(B787&lt;DATE(Configuración!$C$5,1,1),B787&gt;=DATE(Configuración!$C$5+1,1,1)),"Fecha fuera del año",IF(OR(H787&lt;0,I787&lt;0),"Revisar signo",IF(AND(C787&lt;&gt;"Gasto",I787&lt;&gt;0),"IVA solo en Gasto",IF(AND(C787="Gasto",D787=""),"Falta categoría","OK")))))))))</f>
        <v/>
      </c>
    </row>
    <row r="788" spans="1:12" ht="22" customHeight="1">
      <c r="A788" s="3"/>
      <c r="B788" s="7"/>
      <c r="C788" s="3"/>
      <c r="D788" s="3"/>
      <c r="E788" s="3"/>
      <c r="F788" s="3"/>
      <c r="G788" s="3"/>
      <c r="H788" s="4"/>
      <c r="I788" s="4"/>
      <c r="J788" s="3"/>
      <c r="K788" s="8" t="str">
        <f t="shared" si="12"/>
        <v/>
      </c>
      <c r="L788" s="1" t="str">
        <f>IF(COUNTA(A788:J788)=0,"",IF(OR(AND(C788&lt;&gt;"Gasto",C788&lt;&gt;"Pago proveedor",C788&lt;&gt;"Retiro familiar",C788&lt;&gt;"Aportación",C788&lt;&gt;"Pago activo",C788&lt;&gt;"ISR devengado",C788&lt;&gt;"Pago ISR",C788&lt;&gt;"Pago IVA",C788&lt;&gt;"Compensación ISR",C788&lt;&gt;"Compensación IVA"),AND(C788="Gasto",D788&lt;&gt;"Costos clínicos",D788&lt;&gt;"Remuneración familiar",D788&lt;&gt;"Nómina y honorarios",D788&lt;&gt;"Renta",D788&lt;&gt;"Marketing",D788&lt;&gt;"Servicios y software",D788&lt;&gt;"Mantenimiento",D788&lt;&gt;"Otros",D788&lt;&gt;"Intereses")),"Tipo o categoría inválido",IF(COUNTA(A788:J788)=0,"",IF(OR(A788="",B788="",C788="",H788=""),"Faltan datos",IF(COUNTIF($A$7:$A$2006,A788)&gt;1,"ID duplicado",IF(OR(B788&lt;DATE(Configuración!$C$5,1,1),B788&gt;=DATE(Configuración!$C$5+1,1,1)),"Fecha fuera del año",IF(OR(H788&lt;0,I788&lt;0),"Revisar signo",IF(AND(C788&lt;&gt;"Gasto",I788&lt;&gt;0),"IVA solo en Gasto",IF(AND(C788="Gasto",D788=""),"Falta categoría","OK")))))))))</f>
        <v/>
      </c>
    </row>
    <row r="789" spans="1:12" ht="22" customHeight="1">
      <c r="A789" s="3"/>
      <c r="B789" s="7"/>
      <c r="C789" s="3"/>
      <c r="D789" s="3"/>
      <c r="E789" s="3"/>
      <c r="F789" s="3"/>
      <c r="G789" s="3"/>
      <c r="H789" s="4"/>
      <c r="I789" s="4"/>
      <c r="J789" s="3"/>
      <c r="K789" s="8" t="str">
        <f t="shared" si="12"/>
        <v/>
      </c>
      <c r="L789" s="1" t="str">
        <f>IF(COUNTA(A789:J789)=0,"",IF(OR(AND(C789&lt;&gt;"Gasto",C789&lt;&gt;"Pago proveedor",C789&lt;&gt;"Retiro familiar",C789&lt;&gt;"Aportación",C789&lt;&gt;"Pago activo",C789&lt;&gt;"ISR devengado",C789&lt;&gt;"Pago ISR",C789&lt;&gt;"Pago IVA",C789&lt;&gt;"Compensación ISR",C789&lt;&gt;"Compensación IVA"),AND(C789="Gasto",D789&lt;&gt;"Costos clínicos",D789&lt;&gt;"Remuneración familiar",D789&lt;&gt;"Nómina y honorarios",D789&lt;&gt;"Renta",D789&lt;&gt;"Marketing",D789&lt;&gt;"Servicios y software",D789&lt;&gt;"Mantenimiento",D789&lt;&gt;"Otros",D789&lt;&gt;"Intereses")),"Tipo o categoría inválido",IF(COUNTA(A789:J789)=0,"",IF(OR(A789="",B789="",C789="",H789=""),"Faltan datos",IF(COUNTIF($A$7:$A$2006,A789)&gt;1,"ID duplicado",IF(OR(B789&lt;DATE(Configuración!$C$5,1,1),B789&gt;=DATE(Configuración!$C$5+1,1,1)),"Fecha fuera del año",IF(OR(H789&lt;0,I789&lt;0),"Revisar signo",IF(AND(C789&lt;&gt;"Gasto",I789&lt;&gt;0),"IVA solo en Gasto",IF(AND(C789="Gasto",D789=""),"Falta categoría","OK")))))))))</f>
        <v/>
      </c>
    </row>
    <row r="790" spans="1:12" ht="22" customHeight="1">
      <c r="A790" s="3"/>
      <c r="B790" s="7"/>
      <c r="C790" s="3"/>
      <c r="D790" s="3"/>
      <c r="E790" s="3"/>
      <c r="F790" s="3"/>
      <c r="G790" s="3"/>
      <c r="H790" s="4"/>
      <c r="I790" s="4"/>
      <c r="J790" s="3"/>
      <c r="K790" s="8" t="str">
        <f t="shared" si="12"/>
        <v/>
      </c>
      <c r="L790" s="1" t="str">
        <f>IF(COUNTA(A790:J790)=0,"",IF(OR(AND(C790&lt;&gt;"Gasto",C790&lt;&gt;"Pago proveedor",C790&lt;&gt;"Retiro familiar",C790&lt;&gt;"Aportación",C790&lt;&gt;"Pago activo",C790&lt;&gt;"ISR devengado",C790&lt;&gt;"Pago ISR",C790&lt;&gt;"Pago IVA",C790&lt;&gt;"Compensación ISR",C790&lt;&gt;"Compensación IVA"),AND(C790="Gasto",D790&lt;&gt;"Costos clínicos",D790&lt;&gt;"Remuneración familiar",D790&lt;&gt;"Nómina y honorarios",D790&lt;&gt;"Renta",D790&lt;&gt;"Marketing",D790&lt;&gt;"Servicios y software",D790&lt;&gt;"Mantenimiento",D790&lt;&gt;"Otros",D790&lt;&gt;"Intereses")),"Tipo o categoría inválido",IF(COUNTA(A790:J790)=0,"",IF(OR(A790="",B790="",C790="",H790=""),"Faltan datos",IF(COUNTIF($A$7:$A$2006,A790)&gt;1,"ID duplicado",IF(OR(B790&lt;DATE(Configuración!$C$5,1,1),B790&gt;=DATE(Configuración!$C$5+1,1,1)),"Fecha fuera del año",IF(OR(H790&lt;0,I790&lt;0),"Revisar signo",IF(AND(C790&lt;&gt;"Gasto",I790&lt;&gt;0),"IVA solo en Gasto",IF(AND(C790="Gasto",D790=""),"Falta categoría","OK")))))))))</f>
        <v/>
      </c>
    </row>
    <row r="791" spans="1:12" ht="22" customHeight="1">
      <c r="A791" s="3"/>
      <c r="B791" s="7"/>
      <c r="C791" s="3"/>
      <c r="D791" s="3"/>
      <c r="E791" s="3"/>
      <c r="F791" s="3"/>
      <c r="G791" s="3"/>
      <c r="H791" s="4"/>
      <c r="I791" s="4"/>
      <c r="J791" s="3"/>
      <c r="K791" s="8" t="str">
        <f t="shared" si="12"/>
        <v/>
      </c>
      <c r="L791" s="1" t="str">
        <f>IF(COUNTA(A791:J791)=0,"",IF(OR(AND(C791&lt;&gt;"Gasto",C791&lt;&gt;"Pago proveedor",C791&lt;&gt;"Retiro familiar",C791&lt;&gt;"Aportación",C791&lt;&gt;"Pago activo",C791&lt;&gt;"ISR devengado",C791&lt;&gt;"Pago ISR",C791&lt;&gt;"Pago IVA",C791&lt;&gt;"Compensación ISR",C791&lt;&gt;"Compensación IVA"),AND(C791="Gasto",D791&lt;&gt;"Costos clínicos",D791&lt;&gt;"Remuneración familiar",D791&lt;&gt;"Nómina y honorarios",D791&lt;&gt;"Renta",D791&lt;&gt;"Marketing",D791&lt;&gt;"Servicios y software",D791&lt;&gt;"Mantenimiento",D791&lt;&gt;"Otros",D791&lt;&gt;"Intereses")),"Tipo o categoría inválido",IF(COUNTA(A791:J791)=0,"",IF(OR(A791="",B791="",C791="",H791=""),"Faltan datos",IF(COUNTIF($A$7:$A$2006,A791)&gt;1,"ID duplicado",IF(OR(B791&lt;DATE(Configuración!$C$5,1,1),B791&gt;=DATE(Configuración!$C$5+1,1,1)),"Fecha fuera del año",IF(OR(H791&lt;0,I791&lt;0),"Revisar signo",IF(AND(C791&lt;&gt;"Gasto",I791&lt;&gt;0),"IVA solo en Gasto",IF(AND(C791="Gasto",D791=""),"Falta categoría","OK")))))))))</f>
        <v/>
      </c>
    </row>
    <row r="792" spans="1:12" ht="22" customHeight="1">
      <c r="A792" s="3"/>
      <c r="B792" s="7"/>
      <c r="C792" s="3"/>
      <c r="D792" s="3"/>
      <c r="E792" s="3"/>
      <c r="F792" s="3"/>
      <c r="G792" s="3"/>
      <c r="H792" s="4"/>
      <c r="I792" s="4"/>
      <c r="J792" s="3"/>
      <c r="K792" s="8" t="str">
        <f t="shared" si="12"/>
        <v/>
      </c>
      <c r="L792" s="1" t="str">
        <f>IF(COUNTA(A792:J792)=0,"",IF(OR(AND(C792&lt;&gt;"Gasto",C792&lt;&gt;"Pago proveedor",C792&lt;&gt;"Retiro familiar",C792&lt;&gt;"Aportación",C792&lt;&gt;"Pago activo",C792&lt;&gt;"ISR devengado",C792&lt;&gt;"Pago ISR",C792&lt;&gt;"Pago IVA",C792&lt;&gt;"Compensación ISR",C792&lt;&gt;"Compensación IVA"),AND(C792="Gasto",D792&lt;&gt;"Costos clínicos",D792&lt;&gt;"Remuneración familiar",D792&lt;&gt;"Nómina y honorarios",D792&lt;&gt;"Renta",D792&lt;&gt;"Marketing",D792&lt;&gt;"Servicios y software",D792&lt;&gt;"Mantenimiento",D792&lt;&gt;"Otros",D792&lt;&gt;"Intereses")),"Tipo o categoría inválido",IF(COUNTA(A792:J792)=0,"",IF(OR(A792="",B792="",C792="",H792=""),"Faltan datos",IF(COUNTIF($A$7:$A$2006,A792)&gt;1,"ID duplicado",IF(OR(B792&lt;DATE(Configuración!$C$5,1,1),B792&gt;=DATE(Configuración!$C$5+1,1,1)),"Fecha fuera del año",IF(OR(H792&lt;0,I792&lt;0),"Revisar signo",IF(AND(C792&lt;&gt;"Gasto",I792&lt;&gt;0),"IVA solo en Gasto",IF(AND(C792="Gasto",D792=""),"Falta categoría","OK")))))))))</f>
        <v/>
      </c>
    </row>
    <row r="793" spans="1:12" ht="22" customHeight="1">
      <c r="A793" s="3"/>
      <c r="B793" s="7"/>
      <c r="C793" s="3"/>
      <c r="D793" s="3"/>
      <c r="E793" s="3"/>
      <c r="F793" s="3"/>
      <c r="G793" s="3"/>
      <c r="H793" s="4"/>
      <c r="I793" s="4"/>
      <c r="J793" s="3"/>
      <c r="K793" s="8" t="str">
        <f t="shared" si="12"/>
        <v/>
      </c>
      <c r="L793" s="1" t="str">
        <f>IF(COUNTA(A793:J793)=0,"",IF(OR(AND(C793&lt;&gt;"Gasto",C793&lt;&gt;"Pago proveedor",C793&lt;&gt;"Retiro familiar",C793&lt;&gt;"Aportación",C793&lt;&gt;"Pago activo",C793&lt;&gt;"ISR devengado",C793&lt;&gt;"Pago ISR",C793&lt;&gt;"Pago IVA",C793&lt;&gt;"Compensación ISR",C793&lt;&gt;"Compensación IVA"),AND(C793="Gasto",D793&lt;&gt;"Costos clínicos",D793&lt;&gt;"Remuneración familiar",D793&lt;&gt;"Nómina y honorarios",D793&lt;&gt;"Renta",D793&lt;&gt;"Marketing",D793&lt;&gt;"Servicios y software",D793&lt;&gt;"Mantenimiento",D793&lt;&gt;"Otros",D793&lt;&gt;"Intereses")),"Tipo o categoría inválido",IF(COUNTA(A793:J793)=0,"",IF(OR(A793="",B793="",C793="",H793=""),"Faltan datos",IF(COUNTIF($A$7:$A$2006,A793)&gt;1,"ID duplicado",IF(OR(B793&lt;DATE(Configuración!$C$5,1,1),B793&gt;=DATE(Configuración!$C$5+1,1,1)),"Fecha fuera del año",IF(OR(H793&lt;0,I793&lt;0),"Revisar signo",IF(AND(C793&lt;&gt;"Gasto",I793&lt;&gt;0),"IVA solo en Gasto",IF(AND(C793="Gasto",D793=""),"Falta categoría","OK")))))))))</f>
        <v/>
      </c>
    </row>
    <row r="794" spans="1:12" ht="22" customHeight="1">
      <c r="A794" s="3"/>
      <c r="B794" s="7"/>
      <c r="C794" s="3"/>
      <c r="D794" s="3"/>
      <c r="E794" s="3"/>
      <c r="F794" s="3"/>
      <c r="G794" s="3"/>
      <c r="H794" s="4"/>
      <c r="I794" s="4"/>
      <c r="J794" s="3"/>
      <c r="K794" s="8" t="str">
        <f t="shared" si="12"/>
        <v/>
      </c>
      <c r="L794" s="1" t="str">
        <f>IF(COUNTA(A794:J794)=0,"",IF(OR(AND(C794&lt;&gt;"Gasto",C794&lt;&gt;"Pago proveedor",C794&lt;&gt;"Retiro familiar",C794&lt;&gt;"Aportación",C794&lt;&gt;"Pago activo",C794&lt;&gt;"ISR devengado",C794&lt;&gt;"Pago ISR",C794&lt;&gt;"Pago IVA",C794&lt;&gt;"Compensación ISR",C794&lt;&gt;"Compensación IVA"),AND(C794="Gasto",D794&lt;&gt;"Costos clínicos",D794&lt;&gt;"Remuneración familiar",D794&lt;&gt;"Nómina y honorarios",D794&lt;&gt;"Renta",D794&lt;&gt;"Marketing",D794&lt;&gt;"Servicios y software",D794&lt;&gt;"Mantenimiento",D794&lt;&gt;"Otros",D794&lt;&gt;"Intereses")),"Tipo o categoría inválido",IF(COUNTA(A794:J794)=0,"",IF(OR(A794="",B794="",C794="",H794=""),"Faltan datos",IF(COUNTIF($A$7:$A$2006,A794)&gt;1,"ID duplicado",IF(OR(B794&lt;DATE(Configuración!$C$5,1,1),B794&gt;=DATE(Configuración!$C$5+1,1,1)),"Fecha fuera del año",IF(OR(H794&lt;0,I794&lt;0),"Revisar signo",IF(AND(C794&lt;&gt;"Gasto",I794&lt;&gt;0),"IVA solo en Gasto",IF(AND(C794="Gasto",D794=""),"Falta categoría","OK")))))))))</f>
        <v/>
      </c>
    </row>
    <row r="795" spans="1:12" ht="22" customHeight="1">
      <c r="A795" s="3"/>
      <c r="B795" s="7"/>
      <c r="C795" s="3"/>
      <c r="D795" s="3"/>
      <c r="E795" s="3"/>
      <c r="F795" s="3"/>
      <c r="G795" s="3"/>
      <c r="H795" s="4"/>
      <c r="I795" s="4"/>
      <c r="J795" s="3"/>
      <c r="K795" s="8" t="str">
        <f t="shared" si="12"/>
        <v/>
      </c>
      <c r="L795" s="1" t="str">
        <f>IF(COUNTA(A795:J795)=0,"",IF(OR(AND(C795&lt;&gt;"Gasto",C795&lt;&gt;"Pago proveedor",C795&lt;&gt;"Retiro familiar",C795&lt;&gt;"Aportación",C795&lt;&gt;"Pago activo",C795&lt;&gt;"ISR devengado",C795&lt;&gt;"Pago ISR",C795&lt;&gt;"Pago IVA",C795&lt;&gt;"Compensación ISR",C795&lt;&gt;"Compensación IVA"),AND(C795="Gasto",D795&lt;&gt;"Costos clínicos",D795&lt;&gt;"Remuneración familiar",D795&lt;&gt;"Nómina y honorarios",D795&lt;&gt;"Renta",D795&lt;&gt;"Marketing",D795&lt;&gt;"Servicios y software",D795&lt;&gt;"Mantenimiento",D795&lt;&gt;"Otros",D795&lt;&gt;"Intereses")),"Tipo o categoría inválido",IF(COUNTA(A795:J795)=0,"",IF(OR(A795="",B795="",C795="",H795=""),"Faltan datos",IF(COUNTIF($A$7:$A$2006,A795)&gt;1,"ID duplicado",IF(OR(B795&lt;DATE(Configuración!$C$5,1,1),B795&gt;=DATE(Configuración!$C$5+1,1,1)),"Fecha fuera del año",IF(OR(H795&lt;0,I795&lt;0),"Revisar signo",IF(AND(C795&lt;&gt;"Gasto",I795&lt;&gt;0),"IVA solo en Gasto",IF(AND(C795="Gasto",D795=""),"Falta categoría","OK")))))))))</f>
        <v/>
      </c>
    </row>
    <row r="796" spans="1:12" ht="22" customHeight="1">
      <c r="A796" s="3"/>
      <c r="B796" s="7"/>
      <c r="C796" s="3"/>
      <c r="D796" s="3"/>
      <c r="E796" s="3"/>
      <c r="F796" s="3"/>
      <c r="G796" s="3"/>
      <c r="H796" s="4"/>
      <c r="I796" s="4"/>
      <c r="J796" s="3"/>
      <c r="K796" s="8" t="str">
        <f t="shared" si="12"/>
        <v/>
      </c>
      <c r="L796" s="1" t="str">
        <f>IF(COUNTA(A796:J796)=0,"",IF(OR(AND(C796&lt;&gt;"Gasto",C796&lt;&gt;"Pago proveedor",C796&lt;&gt;"Retiro familiar",C796&lt;&gt;"Aportación",C796&lt;&gt;"Pago activo",C796&lt;&gt;"ISR devengado",C796&lt;&gt;"Pago ISR",C796&lt;&gt;"Pago IVA",C796&lt;&gt;"Compensación ISR",C796&lt;&gt;"Compensación IVA"),AND(C796="Gasto",D796&lt;&gt;"Costos clínicos",D796&lt;&gt;"Remuneración familiar",D796&lt;&gt;"Nómina y honorarios",D796&lt;&gt;"Renta",D796&lt;&gt;"Marketing",D796&lt;&gt;"Servicios y software",D796&lt;&gt;"Mantenimiento",D796&lt;&gt;"Otros",D796&lt;&gt;"Intereses")),"Tipo o categoría inválido",IF(COUNTA(A796:J796)=0,"",IF(OR(A796="",B796="",C796="",H796=""),"Faltan datos",IF(COUNTIF($A$7:$A$2006,A796)&gt;1,"ID duplicado",IF(OR(B796&lt;DATE(Configuración!$C$5,1,1),B796&gt;=DATE(Configuración!$C$5+1,1,1)),"Fecha fuera del año",IF(OR(H796&lt;0,I796&lt;0),"Revisar signo",IF(AND(C796&lt;&gt;"Gasto",I796&lt;&gt;0),"IVA solo en Gasto",IF(AND(C796="Gasto",D796=""),"Falta categoría","OK")))))))))</f>
        <v/>
      </c>
    </row>
    <row r="797" spans="1:12" ht="22" customHeight="1">
      <c r="A797" s="3"/>
      <c r="B797" s="7"/>
      <c r="C797" s="3"/>
      <c r="D797" s="3"/>
      <c r="E797" s="3"/>
      <c r="F797" s="3"/>
      <c r="G797" s="3"/>
      <c r="H797" s="4"/>
      <c r="I797" s="4"/>
      <c r="J797" s="3"/>
      <c r="K797" s="8" t="str">
        <f t="shared" si="12"/>
        <v/>
      </c>
      <c r="L797" s="1" t="str">
        <f>IF(COUNTA(A797:J797)=0,"",IF(OR(AND(C797&lt;&gt;"Gasto",C797&lt;&gt;"Pago proveedor",C797&lt;&gt;"Retiro familiar",C797&lt;&gt;"Aportación",C797&lt;&gt;"Pago activo",C797&lt;&gt;"ISR devengado",C797&lt;&gt;"Pago ISR",C797&lt;&gt;"Pago IVA",C797&lt;&gt;"Compensación ISR",C797&lt;&gt;"Compensación IVA"),AND(C797="Gasto",D797&lt;&gt;"Costos clínicos",D797&lt;&gt;"Remuneración familiar",D797&lt;&gt;"Nómina y honorarios",D797&lt;&gt;"Renta",D797&lt;&gt;"Marketing",D797&lt;&gt;"Servicios y software",D797&lt;&gt;"Mantenimiento",D797&lt;&gt;"Otros",D797&lt;&gt;"Intereses")),"Tipo o categoría inválido",IF(COUNTA(A797:J797)=0,"",IF(OR(A797="",B797="",C797="",H797=""),"Faltan datos",IF(COUNTIF($A$7:$A$2006,A797)&gt;1,"ID duplicado",IF(OR(B797&lt;DATE(Configuración!$C$5,1,1),B797&gt;=DATE(Configuración!$C$5+1,1,1)),"Fecha fuera del año",IF(OR(H797&lt;0,I797&lt;0),"Revisar signo",IF(AND(C797&lt;&gt;"Gasto",I797&lt;&gt;0),"IVA solo en Gasto",IF(AND(C797="Gasto",D797=""),"Falta categoría","OK")))))))))</f>
        <v/>
      </c>
    </row>
    <row r="798" spans="1:12" ht="22" customHeight="1">
      <c r="A798" s="3"/>
      <c r="B798" s="7"/>
      <c r="C798" s="3"/>
      <c r="D798" s="3"/>
      <c r="E798" s="3"/>
      <c r="F798" s="3"/>
      <c r="G798" s="3"/>
      <c r="H798" s="4"/>
      <c r="I798" s="4"/>
      <c r="J798" s="3"/>
      <c r="K798" s="8" t="str">
        <f t="shared" si="12"/>
        <v/>
      </c>
      <c r="L798" s="1" t="str">
        <f>IF(COUNTA(A798:J798)=0,"",IF(OR(AND(C798&lt;&gt;"Gasto",C798&lt;&gt;"Pago proveedor",C798&lt;&gt;"Retiro familiar",C798&lt;&gt;"Aportación",C798&lt;&gt;"Pago activo",C798&lt;&gt;"ISR devengado",C798&lt;&gt;"Pago ISR",C798&lt;&gt;"Pago IVA",C798&lt;&gt;"Compensación ISR",C798&lt;&gt;"Compensación IVA"),AND(C798="Gasto",D798&lt;&gt;"Costos clínicos",D798&lt;&gt;"Remuneración familiar",D798&lt;&gt;"Nómina y honorarios",D798&lt;&gt;"Renta",D798&lt;&gt;"Marketing",D798&lt;&gt;"Servicios y software",D798&lt;&gt;"Mantenimiento",D798&lt;&gt;"Otros",D798&lt;&gt;"Intereses")),"Tipo o categoría inválido",IF(COUNTA(A798:J798)=0,"",IF(OR(A798="",B798="",C798="",H798=""),"Faltan datos",IF(COUNTIF($A$7:$A$2006,A798)&gt;1,"ID duplicado",IF(OR(B798&lt;DATE(Configuración!$C$5,1,1),B798&gt;=DATE(Configuración!$C$5+1,1,1)),"Fecha fuera del año",IF(OR(H798&lt;0,I798&lt;0),"Revisar signo",IF(AND(C798&lt;&gt;"Gasto",I798&lt;&gt;0),"IVA solo en Gasto",IF(AND(C798="Gasto",D798=""),"Falta categoría","OK")))))))))</f>
        <v/>
      </c>
    </row>
    <row r="799" spans="1:12" ht="22" customHeight="1">
      <c r="A799" s="3"/>
      <c r="B799" s="7"/>
      <c r="C799" s="3"/>
      <c r="D799" s="3"/>
      <c r="E799" s="3"/>
      <c r="F799" s="3"/>
      <c r="G799" s="3"/>
      <c r="H799" s="4"/>
      <c r="I799" s="4"/>
      <c r="J799" s="3"/>
      <c r="K799" s="8" t="str">
        <f t="shared" si="12"/>
        <v/>
      </c>
      <c r="L799" s="1" t="str">
        <f>IF(COUNTA(A799:J799)=0,"",IF(OR(AND(C799&lt;&gt;"Gasto",C799&lt;&gt;"Pago proveedor",C799&lt;&gt;"Retiro familiar",C799&lt;&gt;"Aportación",C799&lt;&gt;"Pago activo",C799&lt;&gt;"ISR devengado",C799&lt;&gt;"Pago ISR",C799&lt;&gt;"Pago IVA",C799&lt;&gt;"Compensación ISR",C799&lt;&gt;"Compensación IVA"),AND(C799="Gasto",D799&lt;&gt;"Costos clínicos",D799&lt;&gt;"Remuneración familiar",D799&lt;&gt;"Nómina y honorarios",D799&lt;&gt;"Renta",D799&lt;&gt;"Marketing",D799&lt;&gt;"Servicios y software",D799&lt;&gt;"Mantenimiento",D799&lt;&gt;"Otros",D799&lt;&gt;"Intereses")),"Tipo o categoría inválido",IF(COUNTA(A799:J799)=0,"",IF(OR(A799="",B799="",C799="",H799=""),"Faltan datos",IF(COUNTIF($A$7:$A$2006,A799)&gt;1,"ID duplicado",IF(OR(B799&lt;DATE(Configuración!$C$5,1,1),B799&gt;=DATE(Configuración!$C$5+1,1,1)),"Fecha fuera del año",IF(OR(H799&lt;0,I799&lt;0),"Revisar signo",IF(AND(C799&lt;&gt;"Gasto",I799&lt;&gt;0),"IVA solo en Gasto",IF(AND(C799="Gasto",D799=""),"Falta categoría","OK")))))))))</f>
        <v/>
      </c>
    </row>
    <row r="800" spans="1:12" ht="22" customHeight="1">
      <c r="A800" s="3"/>
      <c r="B800" s="7"/>
      <c r="C800" s="3"/>
      <c r="D800" s="3"/>
      <c r="E800" s="3"/>
      <c r="F800" s="3"/>
      <c r="G800" s="3"/>
      <c r="H800" s="4"/>
      <c r="I800" s="4"/>
      <c r="J800" s="3"/>
      <c r="K800" s="8" t="str">
        <f t="shared" si="12"/>
        <v/>
      </c>
      <c r="L800" s="1" t="str">
        <f>IF(COUNTA(A800:J800)=0,"",IF(OR(AND(C800&lt;&gt;"Gasto",C800&lt;&gt;"Pago proveedor",C800&lt;&gt;"Retiro familiar",C800&lt;&gt;"Aportación",C800&lt;&gt;"Pago activo",C800&lt;&gt;"ISR devengado",C800&lt;&gt;"Pago ISR",C800&lt;&gt;"Pago IVA",C800&lt;&gt;"Compensación ISR",C800&lt;&gt;"Compensación IVA"),AND(C800="Gasto",D800&lt;&gt;"Costos clínicos",D800&lt;&gt;"Remuneración familiar",D800&lt;&gt;"Nómina y honorarios",D800&lt;&gt;"Renta",D800&lt;&gt;"Marketing",D800&lt;&gt;"Servicios y software",D800&lt;&gt;"Mantenimiento",D800&lt;&gt;"Otros",D800&lt;&gt;"Intereses")),"Tipo o categoría inválido",IF(COUNTA(A800:J800)=0,"",IF(OR(A800="",B800="",C800="",H800=""),"Faltan datos",IF(COUNTIF($A$7:$A$2006,A800)&gt;1,"ID duplicado",IF(OR(B800&lt;DATE(Configuración!$C$5,1,1),B800&gt;=DATE(Configuración!$C$5+1,1,1)),"Fecha fuera del año",IF(OR(H800&lt;0,I800&lt;0),"Revisar signo",IF(AND(C800&lt;&gt;"Gasto",I800&lt;&gt;0),"IVA solo en Gasto",IF(AND(C800="Gasto",D800=""),"Falta categoría","OK")))))))))</f>
        <v/>
      </c>
    </row>
    <row r="801" spans="1:12" ht="22" customHeight="1">
      <c r="A801" s="3"/>
      <c r="B801" s="7"/>
      <c r="C801" s="3"/>
      <c r="D801" s="3"/>
      <c r="E801" s="3"/>
      <c r="F801" s="3"/>
      <c r="G801" s="3"/>
      <c r="H801" s="4"/>
      <c r="I801" s="4"/>
      <c r="J801" s="3"/>
      <c r="K801" s="8" t="str">
        <f t="shared" si="12"/>
        <v/>
      </c>
      <c r="L801" s="1" t="str">
        <f>IF(COUNTA(A801:J801)=0,"",IF(OR(AND(C801&lt;&gt;"Gasto",C801&lt;&gt;"Pago proveedor",C801&lt;&gt;"Retiro familiar",C801&lt;&gt;"Aportación",C801&lt;&gt;"Pago activo",C801&lt;&gt;"ISR devengado",C801&lt;&gt;"Pago ISR",C801&lt;&gt;"Pago IVA",C801&lt;&gt;"Compensación ISR",C801&lt;&gt;"Compensación IVA"),AND(C801="Gasto",D801&lt;&gt;"Costos clínicos",D801&lt;&gt;"Remuneración familiar",D801&lt;&gt;"Nómina y honorarios",D801&lt;&gt;"Renta",D801&lt;&gt;"Marketing",D801&lt;&gt;"Servicios y software",D801&lt;&gt;"Mantenimiento",D801&lt;&gt;"Otros",D801&lt;&gt;"Intereses")),"Tipo o categoría inválido",IF(COUNTA(A801:J801)=0,"",IF(OR(A801="",B801="",C801="",H801=""),"Faltan datos",IF(COUNTIF($A$7:$A$2006,A801)&gt;1,"ID duplicado",IF(OR(B801&lt;DATE(Configuración!$C$5,1,1),B801&gt;=DATE(Configuración!$C$5+1,1,1)),"Fecha fuera del año",IF(OR(H801&lt;0,I801&lt;0),"Revisar signo",IF(AND(C801&lt;&gt;"Gasto",I801&lt;&gt;0),"IVA solo en Gasto",IF(AND(C801="Gasto",D801=""),"Falta categoría","OK")))))))))</f>
        <v/>
      </c>
    </row>
    <row r="802" spans="1:12" ht="22" customHeight="1">
      <c r="A802" s="3"/>
      <c r="B802" s="7"/>
      <c r="C802" s="3"/>
      <c r="D802" s="3"/>
      <c r="E802" s="3"/>
      <c r="F802" s="3"/>
      <c r="G802" s="3"/>
      <c r="H802" s="4"/>
      <c r="I802" s="4"/>
      <c r="J802" s="3"/>
      <c r="K802" s="8" t="str">
        <f t="shared" si="12"/>
        <v/>
      </c>
      <c r="L802" s="1" t="str">
        <f>IF(COUNTA(A802:J802)=0,"",IF(OR(AND(C802&lt;&gt;"Gasto",C802&lt;&gt;"Pago proveedor",C802&lt;&gt;"Retiro familiar",C802&lt;&gt;"Aportación",C802&lt;&gt;"Pago activo",C802&lt;&gt;"ISR devengado",C802&lt;&gt;"Pago ISR",C802&lt;&gt;"Pago IVA",C802&lt;&gt;"Compensación ISR",C802&lt;&gt;"Compensación IVA"),AND(C802="Gasto",D802&lt;&gt;"Costos clínicos",D802&lt;&gt;"Remuneración familiar",D802&lt;&gt;"Nómina y honorarios",D802&lt;&gt;"Renta",D802&lt;&gt;"Marketing",D802&lt;&gt;"Servicios y software",D802&lt;&gt;"Mantenimiento",D802&lt;&gt;"Otros",D802&lt;&gt;"Intereses")),"Tipo o categoría inválido",IF(COUNTA(A802:J802)=0,"",IF(OR(A802="",B802="",C802="",H802=""),"Faltan datos",IF(COUNTIF($A$7:$A$2006,A802)&gt;1,"ID duplicado",IF(OR(B802&lt;DATE(Configuración!$C$5,1,1),B802&gt;=DATE(Configuración!$C$5+1,1,1)),"Fecha fuera del año",IF(OR(H802&lt;0,I802&lt;0),"Revisar signo",IF(AND(C802&lt;&gt;"Gasto",I802&lt;&gt;0),"IVA solo en Gasto",IF(AND(C802="Gasto",D802=""),"Falta categoría","OK")))))))))</f>
        <v/>
      </c>
    </row>
    <row r="803" spans="1:12" ht="22" customHeight="1">
      <c r="A803" s="3"/>
      <c r="B803" s="7"/>
      <c r="C803" s="3"/>
      <c r="D803" s="3"/>
      <c r="E803" s="3"/>
      <c r="F803" s="3"/>
      <c r="G803" s="3"/>
      <c r="H803" s="4"/>
      <c r="I803" s="4"/>
      <c r="J803" s="3"/>
      <c r="K803" s="8" t="str">
        <f t="shared" si="12"/>
        <v/>
      </c>
      <c r="L803" s="1" t="str">
        <f>IF(COUNTA(A803:J803)=0,"",IF(OR(AND(C803&lt;&gt;"Gasto",C803&lt;&gt;"Pago proveedor",C803&lt;&gt;"Retiro familiar",C803&lt;&gt;"Aportación",C803&lt;&gt;"Pago activo",C803&lt;&gt;"ISR devengado",C803&lt;&gt;"Pago ISR",C803&lt;&gt;"Pago IVA",C803&lt;&gt;"Compensación ISR",C803&lt;&gt;"Compensación IVA"),AND(C803="Gasto",D803&lt;&gt;"Costos clínicos",D803&lt;&gt;"Remuneración familiar",D803&lt;&gt;"Nómina y honorarios",D803&lt;&gt;"Renta",D803&lt;&gt;"Marketing",D803&lt;&gt;"Servicios y software",D803&lt;&gt;"Mantenimiento",D803&lt;&gt;"Otros",D803&lt;&gt;"Intereses")),"Tipo o categoría inválido",IF(COUNTA(A803:J803)=0,"",IF(OR(A803="",B803="",C803="",H803=""),"Faltan datos",IF(COUNTIF($A$7:$A$2006,A803)&gt;1,"ID duplicado",IF(OR(B803&lt;DATE(Configuración!$C$5,1,1),B803&gt;=DATE(Configuración!$C$5+1,1,1)),"Fecha fuera del año",IF(OR(H803&lt;0,I803&lt;0),"Revisar signo",IF(AND(C803&lt;&gt;"Gasto",I803&lt;&gt;0),"IVA solo en Gasto",IF(AND(C803="Gasto",D803=""),"Falta categoría","OK")))))))))</f>
        <v/>
      </c>
    </row>
    <row r="804" spans="1:12" ht="22" customHeight="1">
      <c r="A804" s="3"/>
      <c r="B804" s="7"/>
      <c r="C804" s="3"/>
      <c r="D804" s="3"/>
      <c r="E804" s="3"/>
      <c r="F804" s="3"/>
      <c r="G804" s="3"/>
      <c r="H804" s="4"/>
      <c r="I804" s="4"/>
      <c r="J804" s="3"/>
      <c r="K804" s="8" t="str">
        <f t="shared" si="12"/>
        <v/>
      </c>
      <c r="L804" s="1" t="str">
        <f>IF(COUNTA(A804:J804)=0,"",IF(OR(AND(C804&lt;&gt;"Gasto",C804&lt;&gt;"Pago proveedor",C804&lt;&gt;"Retiro familiar",C804&lt;&gt;"Aportación",C804&lt;&gt;"Pago activo",C804&lt;&gt;"ISR devengado",C804&lt;&gt;"Pago ISR",C804&lt;&gt;"Pago IVA",C804&lt;&gt;"Compensación ISR",C804&lt;&gt;"Compensación IVA"),AND(C804="Gasto",D804&lt;&gt;"Costos clínicos",D804&lt;&gt;"Remuneración familiar",D804&lt;&gt;"Nómina y honorarios",D804&lt;&gt;"Renta",D804&lt;&gt;"Marketing",D804&lt;&gt;"Servicios y software",D804&lt;&gt;"Mantenimiento",D804&lt;&gt;"Otros",D804&lt;&gt;"Intereses")),"Tipo o categoría inválido",IF(COUNTA(A804:J804)=0,"",IF(OR(A804="",B804="",C804="",H804=""),"Faltan datos",IF(COUNTIF($A$7:$A$2006,A804)&gt;1,"ID duplicado",IF(OR(B804&lt;DATE(Configuración!$C$5,1,1),B804&gt;=DATE(Configuración!$C$5+1,1,1)),"Fecha fuera del año",IF(OR(H804&lt;0,I804&lt;0),"Revisar signo",IF(AND(C804&lt;&gt;"Gasto",I804&lt;&gt;0),"IVA solo en Gasto",IF(AND(C804="Gasto",D804=""),"Falta categoría","OK")))))))))</f>
        <v/>
      </c>
    </row>
    <row r="805" spans="1:12" ht="22" customHeight="1">
      <c r="A805" s="3"/>
      <c r="B805" s="7"/>
      <c r="C805" s="3"/>
      <c r="D805" s="3"/>
      <c r="E805" s="3"/>
      <c r="F805" s="3"/>
      <c r="G805" s="3"/>
      <c r="H805" s="4"/>
      <c r="I805" s="4"/>
      <c r="J805" s="3"/>
      <c r="K805" s="8" t="str">
        <f t="shared" si="12"/>
        <v/>
      </c>
      <c r="L805" s="1" t="str">
        <f>IF(COUNTA(A805:J805)=0,"",IF(OR(AND(C805&lt;&gt;"Gasto",C805&lt;&gt;"Pago proveedor",C805&lt;&gt;"Retiro familiar",C805&lt;&gt;"Aportación",C805&lt;&gt;"Pago activo",C805&lt;&gt;"ISR devengado",C805&lt;&gt;"Pago ISR",C805&lt;&gt;"Pago IVA",C805&lt;&gt;"Compensación ISR",C805&lt;&gt;"Compensación IVA"),AND(C805="Gasto",D805&lt;&gt;"Costos clínicos",D805&lt;&gt;"Remuneración familiar",D805&lt;&gt;"Nómina y honorarios",D805&lt;&gt;"Renta",D805&lt;&gt;"Marketing",D805&lt;&gt;"Servicios y software",D805&lt;&gt;"Mantenimiento",D805&lt;&gt;"Otros",D805&lt;&gt;"Intereses")),"Tipo o categoría inválido",IF(COUNTA(A805:J805)=0,"",IF(OR(A805="",B805="",C805="",H805=""),"Faltan datos",IF(COUNTIF($A$7:$A$2006,A805)&gt;1,"ID duplicado",IF(OR(B805&lt;DATE(Configuración!$C$5,1,1),B805&gt;=DATE(Configuración!$C$5+1,1,1)),"Fecha fuera del año",IF(OR(H805&lt;0,I805&lt;0),"Revisar signo",IF(AND(C805&lt;&gt;"Gasto",I805&lt;&gt;0),"IVA solo en Gasto",IF(AND(C805="Gasto",D805=""),"Falta categoría","OK")))))))))</f>
        <v/>
      </c>
    </row>
    <row r="806" spans="1:12" ht="22" customHeight="1">
      <c r="A806" s="3"/>
      <c r="B806" s="7"/>
      <c r="C806" s="3"/>
      <c r="D806" s="3"/>
      <c r="E806" s="3"/>
      <c r="F806" s="3"/>
      <c r="G806" s="3"/>
      <c r="H806" s="4"/>
      <c r="I806" s="4"/>
      <c r="J806" s="3"/>
      <c r="K806" s="8" t="str">
        <f t="shared" si="12"/>
        <v/>
      </c>
      <c r="L806" s="1" t="str">
        <f>IF(COUNTA(A806:J806)=0,"",IF(OR(AND(C806&lt;&gt;"Gasto",C806&lt;&gt;"Pago proveedor",C806&lt;&gt;"Retiro familiar",C806&lt;&gt;"Aportación",C806&lt;&gt;"Pago activo",C806&lt;&gt;"ISR devengado",C806&lt;&gt;"Pago ISR",C806&lt;&gt;"Pago IVA",C806&lt;&gt;"Compensación ISR",C806&lt;&gt;"Compensación IVA"),AND(C806="Gasto",D806&lt;&gt;"Costos clínicos",D806&lt;&gt;"Remuneración familiar",D806&lt;&gt;"Nómina y honorarios",D806&lt;&gt;"Renta",D806&lt;&gt;"Marketing",D806&lt;&gt;"Servicios y software",D806&lt;&gt;"Mantenimiento",D806&lt;&gt;"Otros",D806&lt;&gt;"Intereses")),"Tipo o categoría inválido",IF(COUNTA(A806:J806)=0,"",IF(OR(A806="",B806="",C806="",H806=""),"Faltan datos",IF(COUNTIF($A$7:$A$2006,A806)&gt;1,"ID duplicado",IF(OR(B806&lt;DATE(Configuración!$C$5,1,1),B806&gt;=DATE(Configuración!$C$5+1,1,1)),"Fecha fuera del año",IF(OR(H806&lt;0,I806&lt;0),"Revisar signo",IF(AND(C806&lt;&gt;"Gasto",I806&lt;&gt;0),"IVA solo en Gasto",IF(AND(C806="Gasto",D806=""),"Falta categoría","OK")))))))))</f>
        <v/>
      </c>
    </row>
    <row r="807" spans="1:12" ht="22" customHeight="1">
      <c r="A807" s="3"/>
      <c r="B807" s="7"/>
      <c r="C807" s="3"/>
      <c r="D807" s="3"/>
      <c r="E807" s="3"/>
      <c r="F807" s="3"/>
      <c r="G807" s="3"/>
      <c r="H807" s="4"/>
      <c r="I807" s="4"/>
      <c r="J807" s="3"/>
      <c r="K807" s="8" t="str">
        <f t="shared" si="12"/>
        <v/>
      </c>
      <c r="L807" s="1" t="str">
        <f>IF(COUNTA(A807:J807)=0,"",IF(OR(AND(C807&lt;&gt;"Gasto",C807&lt;&gt;"Pago proveedor",C807&lt;&gt;"Retiro familiar",C807&lt;&gt;"Aportación",C807&lt;&gt;"Pago activo",C807&lt;&gt;"ISR devengado",C807&lt;&gt;"Pago ISR",C807&lt;&gt;"Pago IVA",C807&lt;&gt;"Compensación ISR",C807&lt;&gt;"Compensación IVA"),AND(C807="Gasto",D807&lt;&gt;"Costos clínicos",D807&lt;&gt;"Remuneración familiar",D807&lt;&gt;"Nómina y honorarios",D807&lt;&gt;"Renta",D807&lt;&gt;"Marketing",D807&lt;&gt;"Servicios y software",D807&lt;&gt;"Mantenimiento",D807&lt;&gt;"Otros",D807&lt;&gt;"Intereses")),"Tipo o categoría inválido",IF(COUNTA(A807:J807)=0,"",IF(OR(A807="",B807="",C807="",H807=""),"Faltan datos",IF(COUNTIF($A$7:$A$2006,A807)&gt;1,"ID duplicado",IF(OR(B807&lt;DATE(Configuración!$C$5,1,1),B807&gt;=DATE(Configuración!$C$5+1,1,1)),"Fecha fuera del año",IF(OR(H807&lt;0,I807&lt;0),"Revisar signo",IF(AND(C807&lt;&gt;"Gasto",I807&lt;&gt;0),"IVA solo en Gasto",IF(AND(C807="Gasto",D807=""),"Falta categoría","OK")))))))))</f>
        <v/>
      </c>
    </row>
    <row r="808" spans="1:12" ht="22" customHeight="1">
      <c r="A808" s="3"/>
      <c r="B808" s="7"/>
      <c r="C808" s="3"/>
      <c r="D808" s="3"/>
      <c r="E808" s="3"/>
      <c r="F808" s="3"/>
      <c r="G808" s="3"/>
      <c r="H808" s="4"/>
      <c r="I808" s="4"/>
      <c r="J808" s="3"/>
      <c r="K808" s="8" t="str">
        <f t="shared" si="12"/>
        <v/>
      </c>
      <c r="L808" s="1" t="str">
        <f>IF(COUNTA(A808:J808)=0,"",IF(OR(AND(C808&lt;&gt;"Gasto",C808&lt;&gt;"Pago proveedor",C808&lt;&gt;"Retiro familiar",C808&lt;&gt;"Aportación",C808&lt;&gt;"Pago activo",C808&lt;&gt;"ISR devengado",C808&lt;&gt;"Pago ISR",C808&lt;&gt;"Pago IVA",C808&lt;&gt;"Compensación ISR",C808&lt;&gt;"Compensación IVA"),AND(C808="Gasto",D808&lt;&gt;"Costos clínicos",D808&lt;&gt;"Remuneración familiar",D808&lt;&gt;"Nómina y honorarios",D808&lt;&gt;"Renta",D808&lt;&gt;"Marketing",D808&lt;&gt;"Servicios y software",D808&lt;&gt;"Mantenimiento",D808&lt;&gt;"Otros",D808&lt;&gt;"Intereses")),"Tipo o categoría inválido",IF(COUNTA(A808:J808)=0,"",IF(OR(A808="",B808="",C808="",H808=""),"Faltan datos",IF(COUNTIF($A$7:$A$2006,A808)&gt;1,"ID duplicado",IF(OR(B808&lt;DATE(Configuración!$C$5,1,1),B808&gt;=DATE(Configuración!$C$5+1,1,1)),"Fecha fuera del año",IF(OR(H808&lt;0,I808&lt;0),"Revisar signo",IF(AND(C808&lt;&gt;"Gasto",I808&lt;&gt;0),"IVA solo en Gasto",IF(AND(C808="Gasto",D808=""),"Falta categoría","OK")))))))))</f>
        <v/>
      </c>
    </row>
    <row r="809" spans="1:12" ht="22" customHeight="1">
      <c r="A809" s="3"/>
      <c r="B809" s="7"/>
      <c r="C809" s="3"/>
      <c r="D809" s="3"/>
      <c r="E809" s="3"/>
      <c r="F809" s="3"/>
      <c r="G809" s="3"/>
      <c r="H809" s="4"/>
      <c r="I809" s="4"/>
      <c r="J809" s="3"/>
      <c r="K809" s="8" t="str">
        <f t="shared" si="12"/>
        <v/>
      </c>
      <c r="L809" s="1" t="str">
        <f>IF(COUNTA(A809:J809)=0,"",IF(OR(AND(C809&lt;&gt;"Gasto",C809&lt;&gt;"Pago proveedor",C809&lt;&gt;"Retiro familiar",C809&lt;&gt;"Aportación",C809&lt;&gt;"Pago activo",C809&lt;&gt;"ISR devengado",C809&lt;&gt;"Pago ISR",C809&lt;&gt;"Pago IVA",C809&lt;&gt;"Compensación ISR",C809&lt;&gt;"Compensación IVA"),AND(C809="Gasto",D809&lt;&gt;"Costos clínicos",D809&lt;&gt;"Remuneración familiar",D809&lt;&gt;"Nómina y honorarios",D809&lt;&gt;"Renta",D809&lt;&gt;"Marketing",D809&lt;&gt;"Servicios y software",D809&lt;&gt;"Mantenimiento",D809&lt;&gt;"Otros",D809&lt;&gt;"Intereses")),"Tipo o categoría inválido",IF(COUNTA(A809:J809)=0,"",IF(OR(A809="",B809="",C809="",H809=""),"Faltan datos",IF(COUNTIF($A$7:$A$2006,A809)&gt;1,"ID duplicado",IF(OR(B809&lt;DATE(Configuración!$C$5,1,1),B809&gt;=DATE(Configuración!$C$5+1,1,1)),"Fecha fuera del año",IF(OR(H809&lt;0,I809&lt;0),"Revisar signo",IF(AND(C809&lt;&gt;"Gasto",I809&lt;&gt;0),"IVA solo en Gasto",IF(AND(C809="Gasto",D809=""),"Falta categoría","OK")))))))))</f>
        <v/>
      </c>
    </row>
    <row r="810" spans="1:12" ht="22" customHeight="1">
      <c r="A810" s="3"/>
      <c r="B810" s="7"/>
      <c r="C810" s="3"/>
      <c r="D810" s="3"/>
      <c r="E810" s="3"/>
      <c r="F810" s="3"/>
      <c r="G810" s="3"/>
      <c r="H810" s="4"/>
      <c r="I810" s="4"/>
      <c r="J810" s="3"/>
      <c r="K810" s="8" t="str">
        <f t="shared" si="12"/>
        <v/>
      </c>
      <c r="L810" s="1" t="str">
        <f>IF(COUNTA(A810:J810)=0,"",IF(OR(AND(C810&lt;&gt;"Gasto",C810&lt;&gt;"Pago proveedor",C810&lt;&gt;"Retiro familiar",C810&lt;&gt;"Aportación",C810&lt;&gt;"Pago activo",C810&lt;&gt;"ISR devengado",C810&lt;&gt;"Pago ISR",C810&lt;&gt;"Pago IVA",C810&lt;&gt;"Compensación ISR",C810&lt;&gt;"Compensación IVA"),AND(C810="Gasto",D810&lt;&gt;"Costos clínicos",D810&lt;&gt;"Remuneración familiar",D810&lt;&gt;"Nómina y honorarios",D810&lt;&gt;"Renta",D810&lt;&gt;"Marketing",D810&lt;&gt;"Servicios y software",D810&lt;&gt;"Mantenimiento",D810&lt;&gt;"Otros",D810&lt;&gt;"Intereses")),"Tipo o categoría inválido",IF(COUNTA(A810:J810)=0,"",IF(OR(A810="",B810="",C810="",H810=""),"Faltan datos",IF(COUNTIF($A$7:$A$2006,A810)&gt;1,"ID duplicado",IF(OR(B810&lt;DATE(Configuración!$C$5,1,1),B810&gt;=DATE(Configuración!$C$5+1,1,1)),"Fecha fuera del año",IF(OR(H810&lt;0,I810&lt;0),"Revisar signo",IF(AND(C810&lt;&gt;"Gasto",I810&lt;&gt;0),"IVA solo en Gasto",IF(AND(C810="Gasto",D810=""),"Falta categoría","OK")))))))))</f>
        <v/>
      </c>
    </row>
    <row r="811" spans="1:12" ht="22" customHeight="1">
      <c r="A811" s="3"/>
      <c r="B811" s="7"/>
      <c r="C811" s="3"/>
      <c r="D811" s="3"/>
      <c r="E811" s="3"/>
      <c r="F811" s="3"/>
      <c r="G811" s="3"/>
      <c r="H811" s="4"/>
      <c r="I811" s="4"/>
      <c r="J811" s="3"/>
      <c r="K811" s="8" t="str">
        <f t="shared" si="12"/>
        <v/>
      </c>
      <c r="L811" s="1" t="str">
        <f>IF(COUNTA(A811:J811)=0,"",IF(OR(AND(C811&lt;&gt;"Gasto",C811&lt;&gt;"Pago proveedor",C811&lt;&gt;"Retiro familiar",C811&lt;&gt;"Aportación",C811&lt;&gt;"Pago activo",C811&lt;&gt;"ISR devengado",C811&lt;&gt;"Pago ISR",C811&lt;&gt;"Pago IVA",C811&lt;&gt;"Compensación ISR",C811&lt;&gt;"Compensación IVA"),AND(C811="Gasto",D811&lt;&gt;"Costos clínicos",D811&lt;&gt;"Remuneración familiar",D811&lt;&gt;"Nómina y honorarios",D811&lt;&gt;"Renta",D811&lt;&gt;"Marketing",D811&lt;&gt;"Servicios y software",D811&lt;&gt;"Mantenimiento",D811&lt;&gt;"Otros",D811&lt;&gt;"Intereses")),"Tipo o categoría inválido",IF(COUNTA(A811:J811)=0,"",IF(OR(A811="",B811="",C811="",H811=""),"Faltan datos",IF(COUNTIF($A$7:$A$2006,A811)&gt;1,"ID duplicado",IF(OR(B811&lt;DATE(Configuración!$C$5,1,1),B811&gt;=DATE(Configuración!$C$5+1,1,1)),"Fecha fuera del año",IF(OR(H811&lt;0,I811&lt;0),"Revisar signo",IF(AND(C811&lt;&gt;"Gasto",I811&lt;&gt;0),"IVA solo en Gasto",IF(AND(C811="Gasto",D811=""),"Falta categoría","OK")))))))))</f>
        <v/>
      </c>
    </row>
    <row r="812" spans="1:12" ht="22" customHeight="1">
      <c r="A812" s="3"/>
      <c r="B812" s="7"/>
      <c r="C812" s="3"/>
      <c r="D812" s="3"/>
      <c r="E812" s="3"/>
      <c r="F812" s="3"/>
      <c r="G812" s="3"/>
      <c r="H812" s="4"/>
      <c r="I812" s="4"/>
      <c r="J812" s="3"/>
      <c r="K812" s="8" t="str">
        <f t="shared" si="12"/>
        <v/>
      </c>
      <c r="L812" s="1" t="str">
        <f>IF(COUNTA(A812:J812)=0,"",IF(OR(AND(C812&lt;&gt;"Gasto",C812&lt;&gt;"Pago proveedor",C812&lt;&gt;"Retiro familiar",C812&lt;&gt;"Aportación",C812&lt;&gt;"Pago activo",C812&lt;&gt;"ISR devengado",C812&lt;&gt;"Pago ISR",C812&lt;&gt;"Pago IVA",C812&lt;&gt;"Compensación ISR",C812&lt;&gt;"Compensación IVA"),AND(C812="Gasto",D812&lt;&gt;"Costos clínicos",D812&lt;&gt;"Remuneración familiar",D812&lt;&gt;"Nómina y honorarios",D812&lt;&gt;"Renta",D812&lt;&gt;"Marketing",D812&lt;&gt;"Servicios y software",D812&lt;&gt;"Mantenimiento",D812&lt;&gt;"Otros",D812&lt;&gt;"Intereses")),"Tipo o categoría inválido",IF(COUNTA(A812:J812)=0,"",IF(OR(A812="",B812="",C812="",H812=""),"Faltan datos",IF(COUNTIF($A$7:$A$2006,A812)&gt;1,"ID duplicado",IF(OR(B812&lt;DATE(Configuración!$C$5,1,1),B812&gt;=DATE(Configuración!$C$5+1,1,1)),"Fecha fuera del año",IF(OR(H812&lt;0,I812&lt;0),"Revisar signo",IF(AND(C812&lt;&gt;"Gasto",I812&lt;&gt;0),"IVA solo en Gasto",IF(AND(C812="Gasto",D812=""),"Falta categoría","OK")))))))))</f>
        <v/>
      </c>
    </row>
    <row r="813" spans="1:12" ht="22" customHeight="1">
      <c r="A813" s="3"/>
      <c r="B813" s="7"/>
      <c r="C813" s="3"/>
      <c r="D813" s="3"/>
      <c r="E813" s="3"/>
      <c r="F813" s="3"/>
      <c r="G813" s="3"/>
      <c r="H813" s="4"/>
      <c r="I813" s="4"/>
      <c r="J813" s="3"/>
      <c r="K813" s="8" t="str">
        <f t="shared" si="12"/>
        <v/>
      </c>
      <c r="L813" s="1" t="str">
        <f>IF(COUNTA(A813:J813)=0,"",IF(OR(AND(C813&lt;&gt;"Gasto",C813&lt;&gt;"Pago proveedor",C813&lt;&gt;"Retiro familiar",C813&lt;&gt;"Aportación",C813&lt;&gt;"Pago activo",C813&lt;&gt;"ISR devengado",C813&lt;&gt;"Pago ISR",C813&lt;&gt;"Pago IVA",C813&lt;&gt;"Compensación ISR",C813&lt;&gt;"Compensación IVA"),AND(C813="Gasto",D813&lt;&gt;"Costos clínicos",D813&lt;&gt;"Remuneración familiar",D813&lt;&gt;"Nómina y honorarios",D813&lt;&gt;"Renta",D813&lt;&gt;"Marketing",D813&lt;&gt;"Servicios y software",D813&lt;&gt;"Mantenimiento",D813&lt;&gt;"Otros",D813&lt;&gt;"Intereses")),"Tipo o categoría inválido",IF(COUNTA(A813:J813)=0,"",IF(OR(A813="",B813="",C813="",H813=""),"Faltan datos",IF(COUNTIF($A$7:$A$2006,A813)&gt;1,"ID duplicado",IF(OR(B813&lt;DATE(Configuración!$C$5,1,1),B813&gt;=DATE(Configuración!$C$5+1,1,1)),"Fecha fuera del año",IF(OR(H813&lt;0,I813&lt;0),"Revisar signo",IF(AND(C813&lt;&gt;"Gasto",I813&lt;&gt;0),"IVA solo en Gasto",IF(AND(C813="Gasto",D813=""),"Falta categoría","OK")))))))))</f>
        <v/>
      </c>
    </row>
    <row r="814" spans="1:12" ht="22" customHeight="1">
      <c r="A814" s="3"/>
      <c r="B814" s="7"/>
      <c r="C814" s="3"/>
      <c r="D814" s="3"/>
      <c r="E814" s="3"/>
      <c r="F814" s="3"/>
      <c r="G814" s="3"/>
      <c r="H814" s="4"/>
      <c r="I814" s="4"/>
      <c r="J814" s="3"/>
      <c r="K814" s="8" t="str">
        <f t="shared" si="12"/>
        <v/>
      </c>
      <c r="L814" s="1" t="str">
        <f>IF(COUNTA(A814:J814)=0,"",IF(OR(AND(C814&lt;&gt;"Gasto",C814&lt;&gt;"Pago proveedor",C814&lt;&gt;"Retiro familiar",C814&lt;&gt;"Aportación",C814&lt;&gt;"Pago activo",C814&lt;&gt;"ISR devengado",C814&lt;&gt;"Pago ISR",C814&lt;&gt;"Pago IVA",C814&lt;&gt;"Compensación ISR",C814&lt;&gt;"Compensación IVA"),AND(C814="Gasto",D814&lt;&gt;"Costos clínicos",D814&lt;&gt;"Remuneración familiar",D814&lt;&gt;"Nómina y honorarios",D814&lt;&gt;"Renta",D814&lt;&gt;"Marketing",D814&lt;&gt;"Servicios y software",D814&lt;&gt;"Mantenimiento",D814&lt;&gt;"Otros",D814&lt;&gt;"Intereses")),"Tipo o categoría inválido",IF(COUNTA(A814:J814)=0,"",IF(OR(A814="",B814="",C814="",H814=""),"Faltan datos",IF(COUNTIF($A$7:$A$2006,A814)&gt;1,"ID duplicado",IF(OR(B814&lt;DATE(Configuración!$C$5,1,1),B814&gt;=DATE(Configuración!$C$5+1,1,1)),"Fecha fuera del año",IF(OR(H814&lt;0,I814&lt;0),"Revisar signo",IF(AND(C814&lt;&gt;"Gasto",I814&lt;&gt;0),"IVA solo en Gasto",IF(AND(C814="Gasto",D814=""),"Falta categoría","OK")))))))))</f>
        <v/>
      </c>
    </row>
    <row r="815" spans="1:12" ht="22" customHeight="1">
      <c r="A815" s="3"/>
      <c r="B815" s="7"/>
      <c r="C815" s="3"/>
      <c r="D815" s="3"/>
      <c r="E815" s="3"/>
      <c r="F815" s="3"/>
      <c r="G815" s="3"/>
      <c r="H815" s="4"/>
      <c r="I815" s="4"/>
      <c r="J815" s="3"/>
      <c r="K815" s="8" t="str">
        <f t="shared" si="12"/>
        <v/>
      </c>
      <c r="L815" s="1" t="str">
        <f>IF(COUNTA(A815:J815)=0,"",IF(OR(AND(C815&lt;&gt;"Gasto",C815&lt;&gt;"Pago proveedor",C815&lt;&gt;"Retiro familiar",C815&lt;&gt;"Aportación",C815&lt;&gt;"Pago activo",C815&lt;&gt;"ISR devengado",C815&lt;&gt;"Pago ISR",C815&lt;&gt;"Pago IVA",C815&lt;&gt;"Compensación ISR",C815&lt;&gt;"Compensación IVA"),AND(C815="Gasto",D815&lt;&gt;"Costos clínicos",D815&lt;&gt;"Remuneración familiar",D815&lt;&gt;"Nómina y honorarios",D815&lt;&gt;"Renta",D815&lt;&gt;"Marketing",D815&lt;&gt;"Servicios y software",D815&lt;&gt;"Mantenimiento",D815&lt;&gt;"Otros",D815&lt;&gt;"Intereses")),"Tipo o categoría inválido",IF(COUNTA(A815:J815)=0,"",IF(OR(A815="",B815="",C815="",H815=""),"Faltan datos",IF(COUNTIF($A$7:$A$2006,A815)&gt;1,"ID duplicado",IF(OR(B815&lt;DATE(Configuración!$C$5,1,1),B815&gt;=DATE(Configuración!$C$5+1,1,1)),"Fecha fuera del año",IF(OR(H815&lt;0,I815&lt;0),"Revisar signo",IF(AND(C815&lt;&gt;"Gasto",I815&lt;&gt;0),"IVA solo en Gasto",IF(AND(C815="Gasto",D815=""),"Falta categoría","OK")))))))))</f>
        <v/>
      </c>
    </row>
    <row r="816" spans="1:12" ht="22" customHeight="1">
      <c r="A816" s="3"/>
      <c r="B816" s="7"/>
      <c r="C816" s="3"/>
      <c r="D816" s="3"/>
      <c r="E816" s="3"/>
      <c r="F816" s="3"/>
      <c r="G816" s="3"/>
      <c r="H816" s="4"/>
      <c r="I816" s="4"/>
      <c r="J816" s="3"/>
      <c r="K816" s="8" t="str">
        <f t="shared" si="12"/>
        <v/>
      </c>
      <c r="L816" s="1" t="str">
        <f>IF(COUNTA(A816:J816)=0,"",IF(OR(AND(C816&lt;&gt;"Gasto",C816&lt;&gt;"Pago proveedor",C816&lt;&gt;"Retiro familiar",C816&lt;&gt;"Aportación",C816&lt;&gt;"Pago activo",C816&lt;&gt;"ISR devengado",C816&lt;&gt;"Pago ISR",C816&lt;&gt;"Pago IVA",C816&lt;&gt;"Compensación ISR",C816&lt;&gt;"Compensación IVA"),AND(C816="Gasto",D816&lt;&gt;"Costos clínicos",D816&lt;&gt;"Remuneración familiar",D816&lt;&gt;"Nómina y honorarios",D816&lt;&gt;"Renta",D816&lt;&gt;"Marketing",D816&lt;&gt;"Servicios y software",D816&lt;&gt;"Mantenimiento",D816&lt;&gt;"Otros",D816&lt;&gt;"Intereses")),"Tipo o categoría inválido",IF(COUNTA(A816:J816)=0,"",IF(OR(A816="",B816="",C816="",H816=""),"Faltan datos",IF(COUNTIF($A$7:$A$2006,A816)&gt;1,"ID duplicado",IF(OR(B816&lt;DATE(Configuración!$C$5,1,1),B816&gt;=DATE(Configuración!$C$5+1,1,1)),"Fecha fuera del año",IF(OR(H816&lt;0,I816&lt;0),"Revisar signo",IF(AND(C816&lt;&gt;"Gasto",I816&lt;&gt;0),"IVA solo en Gasto",IF(AND(C816="Gasto",D816=""),"Falta categoría","OK")))))))))</f>
        <v/>
      </c>
    </row>
    <row r="817" spans="1:12" ht="22" customHeight="1">
      <c r="A817" s="3"/>
      <c r="B817" s="7"/>
      <c r="C817" s="3"/>
      <c r="D817" s="3"/>
      <c r="E817" s="3"/>
      <c r="F817" s="3"/>
      <c r="G817" s="3"/>
      <c r="H817" s="4"/>
      <c r="I817" s="4"/>
      <c r="J817" s="3"/>
      <c r="K817" s="8" t="str">
        <f t="shared" si="12"/>
        <v/>
      </c>
      <c r="L817" s="1" t="str">
        <f>IF(COUNTA(A817:J817)=0,"",IF(OR(AND(C817&lt;&gt;"Gasto",C817&lt;&gt;"Pago proveedor",C817&lt;&gt;"Retiro familiar",C817&lt;&gt;"Aportación",C817&lt;&gt;"Pago activo",C817&lt;&gt;"ISR devengado",C817&lt;&gt;"Pago ISR",C817&lt;&gt;"Pago IVA",C817&lt;&gt;"Compensación ISR",C817&lt;&gt;"Compensación IVA"),AND(C817="Gasto",D817&lt;&gt;"Costos clínicos",D817&lt;&gt;"Remuneración familiar",D817&lt;&gt;"Nómina y honorarios",D817&lt;&gt;"Renta",D817&lt;&gt;"Marketing",D817&lt;&gt;"Servicios y software",D817&lt;&gt;"Mantenimiento",D817&lt;&gt;"Otros",D817&lt;&gt;"Intereses")),"Tipo o categoría inválido",IF(COUNTA(A817:J817)=0,"",IF(OR(A817="",B817="",C817="",H817=""),"Faltan datos",IF(COUNTIF($A$7:$A$2006,A817)&gt;1,"ID duplicado",IF(OR(B817&lt;DATE(Configuración!$C$5,1,1),B817&gt;=DATE(Configuración!$C$5+1,1,1)),"Fecha fuera del año",IF(OR(H817&lt;0,I817&lt;0),"Revisar signo",IF(AND(C817&lt;&gt;"Gasto",I817&lt;&gt;0),"IVA solo en Gasto",IF(AND(C817="Gasto",D817=""),"Falta categoría","OK")))))))))</f>
        <v/>
      </c>
    </row>
    <row r="818" spans="1:12" ht="22" customHeight="1">
      <c r="A818" s="3"/>
      <c r="B818" s="7"/>
      <c r="C818" s="3"/>
      <c r="D818" s="3"/>
      <c r="E818" s="3"/>
      <c r="F818" s="3"/>
      <c r="G818" s="3"/>
      <c r="H818" s="4"/>
      <c r="I818" s="4"/>
      <c r="J818" s="3"/>
      <c r="K818" s="8" t="str">
        <f t="shared" si="12"/>
        <v/>
      </c>
      <c r="L818" s="1" t="str">
        <f>IF(COUNTA(A818:J818)=0,"",IF(OR(AND(C818&lt;&gt;"Gasto",C818&lt;&gt;"Pago proveedor",C818&lt;&gt;"Retiro familiar",C818&lt;&gt;"Aportación",C818&lt;&gt;"Pago activo",C818&lt;&gt;"ISR devengado",C818&lt;&gt;"Pago ISR",C818&lt;&gt;"Pago IVA",C818&lt;&gt;"Compensación ISR",C818&lt;&gt;"Compensación IVA"),AND(C818="Gasto",D818&lt;&gt;"Costos clínicos",D818&lt;&gt;"Remuneración familiar",D818&lt;&gt;"Nómina y honorarios",D818&lt;&gt;"Renta",D818&lt;&gt;"Marketing",D818&lt;&gt;"Servicios y software",D818&lt;&gt;"Mantenimiento",D818&lt;&gt;"Otros",D818&lt;&gt;"Intereses")),"Tipo o categoría inválido",IF(COUNTA(A818:J818)=0,"",IF(OR(A818="",B818="",C818="",H818=""),"Faltan datos",IF(COUNTIF($A$7:$A$2006,A818)&gt;1,"ID duplicado",IF(OR(B818&lt;DATE(Configuración!$C$5,1,1),B818&gt;=DATE(Configuración!$C$5+1,1,1)),"Fecha fuera del año",IF(OR(H818&lt;0,I818&lt;0),"Revisar signo",IF(AND(C818&lt;&gt;"Gasto",I818&lt;&gt;0),"IVA solo en Gasto",IF(AND(C818="Gasto",D818=""),"Falta categoría","OK")))))))))</f>
        <v/>
      </c>
    </row>
    <row r="819" spans="1:12" ht="22" customHeight="1">
      <c r="A819" s="3"/>
      <c r="B819" s="7"/>
      <c r="C819" s="3"/>
      <c r="D819" s="3"/>
      <c r="E819" s="3"/>
      <c r="F819" s="3"/>
      <c r="G819" s="3"/>
      <c r="H819" s="4"/>
      <c r="I819" s="4"/>
      <c r="J819" s="3"/>
      <c r="K819" s="8" t="str">
        <f t="shared" si="12"/>
        <v/>
      </c>
      <c r="L819" s="1" t="str">
        <f>IF(COUNTA(A819:J819)=0,"",IF(OR(AND(C819&lt;&gt;"Gasto",C819&lt;&gt;"Pago proveedor",C819&lt;&gt;"Retiro familiar",C819&lt;&gt;"Aportación",C819&lt;&gt;"Pago activo",C819&lt;&gt;"ISR devengado",C819&lt;&gt;"Pago ISR",C819&lt;&gt;"Pago IVA",C819&lt;&gt;"Compensación ISR",C819&lt;&gt;"Compensación IVA"),AND(C819="Gasto",D819&lt;&gt;"Costos clínicos",D819&lt;&gt;"Remuneración familiar",D819&lt;&gt;"Nómina y honorarios",D819&lt;&gt;"Renta",D819&lt;&gt;"Marketing",D819&lt;&gt;"Servicios y software",D819&lt;&gt;"Mantenimiento",D819&lt;&gt;"Otros",D819&lt;&gt;"Intereses")),"Tipo o categoría inválido",IF(COUNTA(A819:J819)=0,"",IF(OR(A819="",B819="",C819="",H819=""),"Faltan datos",IF(COUNTIF($A$7:$A$2006,A819)&gt;1,"ID duplicado",IF(OR(B819&lt;DATE(Configuración!$C$5,1,1),B819&gt;=DATE(Configuración!$C$5+1,1,1)),"Fecha fuera del año",IF(OR(H819&lt;0,I819&lt;0),"Revisar signo",IF(AND(C819&lt;&gt;"Gasto",I819&lt;&gt;0),"IVA solo en Gasto",IF(AND(C819="Gasto",D819=""),"Falta categoría","OK")))))))))</f>
        <v/>
      </c>
    </row>
    <row r="820" spans="1:12" ht="22" customHeight="1">
      <c r="A820" s="3"/>
      <c r="B820" s="7"/>
      <c r="C820" s="3"/>
      <c r="D820" s="3"/>
      <c r="E820" s="3"/>
      <c r="F820" s="3"/>
      <c r="G820" s="3"/>
      <c r="H820" s="4"/>
      <c r="I820" s="4"/>
      <c r="J820" s="3"/>
      <c r="K820" s="8" t="str">
        <f t="shared" si="12"/>
        <v/>
      </c>
      <c r="L820" s="1" t="str">
        <f>IF(COUNTA(A820:J820)=0,"",IF(OR(AND(C820&lt;&gt;"Gasto",C820&lt;&gt;"Pago proveedor",C820&lt;&gt;"Retiro familiar",C820&lt;&gt;"Aportación",C820&lt;&gt;"Pago activo",C820&lt;&gt;"ISR devengado",C820&lt;&gt;"Pago ISR",C820&lt;&gt;"Pago IVA",C820&lt;&gt;"Compensación ISR",C820&lt;&gt;"Compensación IVA"),AND(C820="Gasto",D820&lt;&gt;"Costos clínicos",D820&lt;&gt;"Remuneración familiar",D820&lt;&gt;"Nómina y honorarios",D820&lt;&gt;"Renta",D820&lt;&gt;"Marketing",D820&lt;&gt;"Servicios y software",D820&lt;&gt;"Mantenimiento",D820&lt;&gt;"Otros",D820&lt;&gt;"Intereses")),"Tipo o categoría inválido",IF(COUNTA(A820:J820)=0,"",IF(OR(A820="",B820="",C820="",H820=""),"Faltan datos",IF(COUNTIF($A$7:$A$2006,A820)&gt;1,"ID duplicado",IF(OR(B820&lt;DATE(Configuración!$C$5,1,1),B820&gt;=DATE(Configuración!$C$5+1,1,1)),"Fecha fuera del año",IF(OR(H820&lt;0,I820&lt;0),"Revisar signo",IF(AND(C820&lt;&gt;"Gasto",I820&lt;&gt;0),"IVA solo en Gasto",IF(AND(C820="Gasto",D820=""),"Falta categoría","OK")))))))))</f>
        <v/>
      </c>
    </row>
    <row r="821" spans="1:12" ht="22" customHeight="1">
      <c r="A821" s="3"/>
      <c r="B821" s="7"/>
      <c r="C821" s="3"/>
      <c r="D821" s="3"/>
      <c r="E821" s="3"/>
      <c r="F821" s="3"/>
      <c r="G821" s="3"/>
      <c r="H821" s="4"/>
      <c r="I821" s="4"/>
      <c r="J821" s="3"/>
      <c r="K821" s="8" t="str">
        <f t="shared" si="12"/>
        <v/>
      </c>
      <c r="L821" s="1" t="str">
        <f>IF(COUNTA(A821:J821)=0,"",IF(OR(AND(C821&lt;&gt;"Gasto",C821&lt;&gt;"Pago proveedor",C821&lt;&gt;"Retiro familiar",C821&lt;&gt;"Aportación",C821&lt;&gt;"Pago activo",C821&lt;&gt;"ISR devengado",C821&lt;&gt;"Pago ISR",C821&lt;&gt;"Pago IVA",C821&lt;&gt;"Compensación ISR",C821&lt;&gt;"Compensación IVA"),AND(C821="Gasto",D821&lt;&gt;"Costos clínicos",D821&lt;&gt;"Remuneración familiar",D821&lt;&gt;"Nómina y honorarios",D821&lt;&gt;"Renta",D821&lt;&gt;"Marketing",D821&lt;&gt;"Servicios y software",D821&lt;&gt;"Mantenimiento",D821&lt;&gt;"Otros",D821&lt;&gt;"Intereses")),"Tipo o categoría inválido",IF(COUNTA(A821:J821)=0,"",IF(OR(A821="",B821="",C821="",H821=""),"Faltan datos",IF(COUNTIF($A$7:$A$2006,A821)&gt;1,"ID duplicado",IF(OR(B821&lt;DATE(Configuración!$C$5,1,1),B821&gt;=DATE(Configuración!$C$5+1,1,1)),"Fecha fuera del año",IF(OR(H821&lt;0,I821&lt;0),"Revisar signo",IF(AND(C821&lt;&gt;"Gasto",I821&lt;&gt;0),"IVA solo en Gasto",IF(AND(C821="Gasto",D821=""),"Falta categoría","OK")))))))))</f>
        <v/>
      </c>
    </row>
    <row r="822" spans="1:12" ht="22" customHeight="1">
      <c r="A822" s="3"/>
      <c r="B822" s="7"/>
      <c r="C822" s="3"/>
      <c r="D822" s="3"/>
      <c r="E822" s="3"/>
      <c r="F822" s="3"/>
      <c r="G822" s="3"/>
      <c r="H822" s="4"/>
      <c r="I822" s="4"/>
      <c r="J822" s="3"/>
      <c r="K822" s="8" t="str">
        <f t="shared" si="12"/>
        <v/>
      </c>
      <c r="L822" s="1" t="str">
        <f>IF(COUNTA(A822:J822)=0,"",IF(OR(AND(C822&lt;&gt;"Gasto",C822&lt;&gt;"Pago proveedor",C822&lt;&gt;"Retiro familiar",C822&lt;&gt;"Aportación",C822&lt;&gt;"Pago activo",C822&lt;&gt;"ISR devengado",C822&lt;&gt;"Pago ISR",C822&lt;&gt;"Pago IVA",C822&lt;&gt;"Compensación ISR",C822&lt;&gt;"Compensación IVA"),AND(C822="Gasto",D822&lt;&gt;"Costos clínicos",D822&lt;&gt;"Remuneración familiar",D822&lt;&gt;"Nómina y honorarios",D822&lt;&gt;"Renta",D822&lt;&gt;"Marketing",D822&lt;&gt;"Servicios y software",D822&lt;&gt;"Mantenimiento",D822&lt;&gt;"Otros",D822&lt;&gt;"Intereses")),"Tipo o categoría inválido",IF(COUNTA(A822:J822)=0,"",IF(OR(A822="",B822="",C822="",H822=""),"Faltan datos",IF(COUNTIF($A$7:$A$2006,A822)&gt;1,"ID duplicado",IF(OR(B822&lt;DATE(Configuración!$C$5,1,1),B822&gt;=DATE(Configuración!$C$5+1,1,1)),"Fecha fuera del año",IF(OR(H822&lt;0,I822&lt;0),"Revisar signo",IF(AND(C822&lt;&gt;"Gasto",I822&lt;&gt;0),"IVA solo en Gasto",IF(AND(C822="Gasto",D822=""),"Falta categoría","OK")))))))))</f>
        <v/>
      </c>
    </row>
    <row r="823" spans="1:12" ht="22" customHeight="1">
      <c r="A823" s="3"/>
      <c r="B823" s="7"/>
      <c r="C823" s="3"/>
      <c r="D823" s="3"/>
      <c r="E823" s="3"/>
      <c r="F823" s="3"/>
      <c r="G823" s="3"/>
      <c r="H823" s="4"/>
      <c r="I823" s="4"/>
      <c r="J823" s="3"/>
      <c r="K823" s="8" t="str">
        <f t="shared" si="12"/>
        <v/>
      </c>
      <c r="L823" s="1" t="str">
        <f>IF(COUNTA(A823:J823)=0,"",IF(OR(AND(C823&lt;&gt;"Gasto",C823&lt;&gt;"Pago proveedor",C823&lt;&gt;"Retiro familiar",C823&lt;&gt;"Aportación",C823&lt;&gt;"Pago activo",C823&lt;&gt;"ISR devengado",C823&lt;&gt;"Pago ISR",C823&lt;&gt;"Pago IVA",C823&lt;&gt;"Compensación ISR",C823&lt;&gt;"Compensación IVA"),AND(C823="Gasto",D823&lt;&gt;"Costos clínicos",D823&lt;&gt;"Remuneración familiar",D823&lt;&gt;"Nómina y honorarios",D823&lt;&gt;"Renta",D823&lt;&gt;"Marketing",D823&lt;&gt;"Servicios y software",D823&lt;&gt;"Mantenimiento",D823&lt;&gt;"Otros",D823&lt;&gt;"Intereses")),"Tipo o categoría inválido",IF(COUNTA(A823:J823)=0,"",IF(OR(A823="",B823="",C823="",H823=""),"Faltan datos",IF(COUNTIF($A$7:$A$2006,A823)&gt;1,"ID duplicado",IF(OR(B823&lt;DATE(Configuración!$C$5,1,1),B823&gt;=DATE(Configuración!$C$5+1,1,1)),"Fecha fuera del año",IF(OR(H823&lt;0,I823&lt;0),"Revisar signo",IF(AND(C823&lt;&gt;"Gasto",I823&lt;&gt;0),"IVA solo en Gasto",IF(AND(C823="Gasto",D823=""),"Falta categoría","OK")))))))))</f>
        <v/>
      </c>
    </row>
    <row r="824" spans="1:12" ht="22" customHeight="1">
      <c r="A824" s="3"/>
      <c r="B824" s="7"/>
      <c r="C824" s="3"/>
      <c r="D824" s="3"/>
      <c r="E824" s="3"/>
      <c r="F824" s="3"/>
      <c r="G824" s="3"/>
      <c r="H824" s="4"/>
      <c r="I824" s="4"/>
      <c r="J824" s="3"/>
      <c r="K824" s="8" t="str">
        <f t="shared" si="12"/>
        <v/>
      </c>
      <c r="L824" s="1" t="str">
        <f>IF(COUNTA(A824:J824)=0,"",IF(OR(AND(C824&lt;&gt;"Gasto",C824&lt;&gt;"Pago proveedor",C824&lt;&gt;"Retiro familiar",C824&lt;&gt;"Aportación",C824&lt;&gt;"Pago activo",C824&lt;&gt;"ISR devengado",C824&lt;&gt;"Pago ISR",C824&lt;&gt;"Pago IVA",C824&lt;&gt;"Compensación ISR",C824&lt;&gt;"Compensación IVA"),AND(C824="Gasto",D824&lt;&gt;"Costos clínicos",D824&lt;&gt;"Remuneración familiar",D824&lt;&gt;"Nómina y honorarios",D824&lt;&gt;"Renta",D824&lt;&gt;"Marketing",D824&lt;&gt;"Servicios y software",D824&lt;&gt;"Mantenimiento",D824&lt;&gt;"Otros",D824&lt;&gt;"Intereses")),"Tipo o categoría inválido",IF(COUNTA(A824:J824)=0,"",IF(OR(A824="",B824="",C824="",H824=""),"Faltan datos",IF(COUNTIF($A$7:$A$2006,A824)&gt;1,"ID duplicado",IF(OR(B824&lt;DATE(Configuración!$C$5,1,1),B824&gt;=DATE(Configuración!$C$5+1,1,1)),"Fecha fuera del año",IF(OR(H824&lt;0,I824&lt;0),"Revisar signo",IF(AND(C824&lt;&gt;"Gasto",I824&lt;&gt;0),"IVA solo en Gasto",IF(AND(C824="Gasto",D824=""),"Falta categoría","OK")))))))))</f>
        <v/>
      </c>
    </row>
    <row r="825" spans="1:12" ht="22" customHeight="1">
      <c r="A825" s="3"/>
      <c r="B825" s="7"/>
      <c r="C825" s="3"/>
      <c r="D825" s="3"/>
      <c r="E825" s="3"/>
      <c r="F825" s="3"/>
      <c r="G825" s="3"/>
      <c r="H825" s="4"/>
      <c r="I825" s="4"/>
      <c r="J825" s="3"/>
      <c r="K825" s="8" t="str">
        <f t="shared" si="12"/>
        <v/>
      </c>
      <c r="L825" s="1" t="str">
        <f>IF(COUNTA(A825:J825)=0,"",IF(OR(AND(C825&lt;&gt;"Gasto",C825&lt;&gt;"Pago proveedor",C825&lt;&gt;"Retiro familiar",C825&lt;&gt;"Aportación",C825&lt;&gt;"Pago activo",C825&lt;&gt;"ISR devengado",C825&lt;&gt;"Pago ISR",C825&lt;&gt;"Pago IVA",C825&lt;&gt;"Compensación ISR",C825&lt;&gt;"Compensación IVA"),AND(C825="Gasto",D825&lt;&gt;"Costos clínicos",D825&lt;&gt;"Remuneración familiar",D825&lt;&gt;"Nómina y honorarios",D825&lt;&gt;"Renta",D825&lt;&gt;"Marketing",D825&lt;&gt;"Servicios y software",D825&lt;&gt;"Mantenimiento",D825&lt;&gt;"Otros",D825&lt;&gt;"Intereses")),"Tipo o categoría inválido",IF(COUNTA(A825:J825)=0,"",IF(OR(A825="",B825="",C825="",H825=""),"Faltan datos",IF(COUNTIF($A$7:$A$2006,A825)&gt;1,"ID duplicado",IF(OR(B825&lt;DATE(Configuración!$C$5,1,1),B825&gt;=DATE(Configuración!$C$5+1,1,1)),"Fecha fuera del año",IF(OR(H825&lt;0,I825&lt;0),"Revisar signo",IF(AND(C825&lt;&gt;"Gasto",I825&lt;&gt;0),"IVA solo en Gasto",IF(AND(C825="Gasto",D825=""),"Falta categoría","OK")))))))))</f>
        <v/>
      </c>
    </row>
    <row r="826" spans="1:12" ht="22" customHeight="1">
      <c r="A826" s="3"/>
      <c r="B826" s="7"/>
      <c r="C826" s="3"/>
      <c r="D826" s="3"/>
      <c r="E826" s="3"/>
      <c r="F826" s="3"/>
      <c r="G826" s="3"/>
      <c r="H826" s="4"/>
      <c r="I826" s="4"/>
      <c r="J826" s="3"/>
      <c r="K826" s="8" t="str">
        <f t="shared" si="12"/>
        <v/>
      </c>
      <c r="L826" s="1" t="str">
        <f>IF(COUNTA(A826:J826)=0,"",IF(OR(AND(C826&lt;&gt;"Gasto",C826&lt;&gt;"Pago proveedor",C826&lt;&gt;"Retiro familiar",C826&lt;&gt;"Aportación",C826&lt;&gt;"Pago activo",C826&lt;&gt;"ISR devengado",C826&lt;&gt;"Pago ISR",C826&lt;&gt;"Pago IVA",C826&lt;&gt;"Compensación ISR",C826&lt;&gt;"Compensación IVA"),AND(C826="Gasto",D826&lt;&gt;"Costos clínicos",D826&lt;&gt;"Remuneración familiar",D826&lt;&gt;"Nómina y honorarios",D826&lt;&gt;"Renta",D826&lt;&gt;"Marketing",D826&lt;&gt;"Servicios y software",D826&lt;&gt;"Mantenimiento",D826&lt;&gt;"Otros",D826&lt;&gt;"Intereses")),"Tipo o categoría inválido",IF(COUNTA(A826:J826)=0,"",IF(OR(A826="",B826="",C826="",H826=""),"Faltan datos",IF(COUNTIF($A$7:$A$2006,A826)&gt;1,"ID duplicado",IF(OR(B826&lt;DATE(Configuración!$C$5,1,1),B826&gt;=DATE(Configuración!$C$5+1,1,1)),"Fecha fuera del año",IF(OR(H826&lt;0,I826&lt;0),"Revisar signo",IF(AND(C826&lt;&gt;"Gasto",I826&lt;&gt;0),"IVA solo en Gasto",IF(AND(C826="Gasto",D826=""),"Falta categoría","OK")))))))))</f>
        <v/>
      </c>
    </row>
    <row r="827" spans="1:12" ht="22" customHeight="1">
      <c r="A827" s="3"/>
      <c r="B827" s="7"/>
      <c r="C827" s="3"/>
      <c r="D827" s="3"/>
      <c r="E827" s="3"/>
      <c r="F827" s="3"/>
      <c r="G827" s="3"/>
      <c r="H827" s="4"/>
      <c r="I827" s="4"/>
      <c r="J827" s="3"/>
      <c r="K827" s="8" t="str">
        <f t="shared" si="12"/>
        <v/>
      </c>
      <c r="L827" s="1" t="str">
        <f>IF(COUNTA(A827:J827)=0,"",IF(OR(AND(C827&lt;&gt;"Gasto",C827&lt;&gt;"Pago proveedor",C827&lt;&gt;"Retiro familiar",C827&lt;&gt;"Aportación",C827&lt;&gt;"Pago activo",C827&lt;&gt;"ISR devengado",C827&lt;&gt;"Pago ISR",C827&lt;&gt;"Pago IVA",C827&lt;&gt;"Compensación ISR",C827&lt;&gt;"Compensación IVA"),AND(C827="Gasto",D827&lt;&gt;"Costos clínicos",D827&lt;&gt;"Remuneración familiar",D827&lt;&gt;"Nómina y honorarios",D827&lt;&gt;"Renta",D827&lt;&gt;"Marketing",D827&lt;&gt;"Servicios y software",D827&lt;&gt;"Mantenimiento",D827&lt;&gt;"Otros",D827&lt;&gt;"Intereses")),"Tipo o categoría inválido",IF(COUNTA(A827:J827)=0,"",IF(OR(A827="",B827="",C827="",H827=""),"Faltan datos",IF(COUNTIF($A$7:$A$2006,A827)&gt;1,"ID duplicado",IF(OR(B827&lt;DATE(Configuración!$C$5,1,1),B827&gt;=DATE(Configuración!$C$5+1,1,1)),"Fecha fuera del año",IF(OR(H827&lt;0,I827&lt;0),"Revisar signo",IF(AND(C827&lt;&gt;"Gasto",I827&lt;&gt;0),"IVA solo en Gasto",IF(AND(C827="Gasto",D827=""),"Falta categoría","OK")))))))))</f>
        <v/>
      </c>
    </row>
    <row r="828" spans="1:12" ht="22" customHeight="1">
      <c r="A828" s="3"/>
      <c r="B828" s="7"/>
      <c r="C828" s="3"/>
      <c r="D828" s="3"/>
      <c r="E828" s="3"/>
      <c r="F828" s="3"/>
      <c r="G828" s="3"/>
      <c r="H828" s="4"/>
      <c r="I828" s="4"/>
      <c r="J828" s="3"/>
      <c r="K828" s="8" t="str">
        <f t="shared" si="12"/>
        <v/>
      </c>
      <c r="L828" s="1" t="str">
        <f>IF(COUNTA(A828:J828)=0,"",IF(OR(AND(C828&lt;&gt;"Gasto",C828&lt;&gt;"Pago proveedor",C828&lt;&gt;"Retiro familiar",C828&lt;&gt;"Aportación",C828&lt;&gt;"Pago activo",C828&lt;&gt;"ISR devengado",C828&lt;&gt;"Pago ISR",C828&lt;&gt;"Pago IVA",C828&lt;&gt;"Compensación ISR",C828&lt;&gt;"Compensación IVA"),AND(C828="Gasto",D828&lt;&gt;"Costos clínicos",D828&lt;&gt;"Remuneración familiar",D828&lt;&gt;"Nómina y honorarios",D828&lt;&gt;"Renta",D828&lt;&gt;"Marketing",D828&lt;&gt;"Servicios y software",D828&lt;&gt;"Mantenimiento",D828&lt;&gt;"Otros",D828&lt;&gt;"Intereses")),"Tipo o categoría inválido",IF(COUNTA(A828:J828)=0,"",IF(OR(A828="",B828="",C828="",H828=""),"Faltan datos",IF(COUNTIF($A$7:$A$2006,A828)&gt;1,"ID duplicado",IF(OR(B828&lt;DATE(Configuración!$C$5,1,1),B828&gt;=DATE(Configuración!$C$5+1,1,1)),"Fecha fuera del año",IF(OR(H828&lt;0,I828&lt;0),"Revisar signo",IF(AND(C828&lt;&gt;"Gasto",I828&lt;&gt;0),"IVA solo en Gasto",IF(AND(C828="Gasto",D828=""),"Falta categoría","OK")))))))))</f>
        <v/>
      </c>
    </row>
    <row r="829" spans="1:12" ht="22" customHeight="1">
      <c r="A829" s="3"/>
      <c r="B829" s="7"/>
      <c r="C829" s="3"/>
      <c r="D829" s="3"/>
      <c r="E829" s="3"/>
      <c r="F829" s="3"/>
      <c r="G829" s="3"/>
      <c r="H829" s="4"/>
      <c r="I829" s="4"/>
      <c r="J829" s="3"/>
      <c r="K829" s="8" t="str">
        <f t="shared" si="12"/>
        <v/>
      </c>
      <c r="L829" s="1" t="str">
        <f>IF(COUNTA(A829:J829)=0,"",IF(OR(AND(C829&lt;&gt;"Gasto",C829&lt;&gt;"Pago proveedor",C829&lt;&gt;"Retiro familiar",C829&lt;&gt;"Aportación",C829&lt;&gt;"Pago activo",C829&lt;&gt;"ISR devengado",C829&lt;&gt;"Pago ISR",C829&lt;&gt;"Pago IVA",C829&lt;&gt;"Compensación ISR",C829&lt;&gt;"Compensación IVA"),AND(C829="Gasto",D829&lt;&gt;"Costos clínicos",D829&lt;&gt;"Remuneración familiar",D829&lt;&gt;"Nómina y honorarios",D829&lt;&gt;"Renta",D829&lt;&gt;"Marketing",D829&lt;&gt;"Servicios y software",D829&lt;&gt;"Mantenimiento",D829&lt;&gt;"Otros",D829&lt;&gt;"Intereses")),"Tipo o categoría inválido",IF(COUNTA(A829:J829)=0,"",IF(OR(A829="",B829="",C829="",H829=""),"Faltan datos",IF(COUNTIF($A$7:$A$2006,A829)&gt;1,"ID duplicado",IF(OR(B829&lt;DATE(Configuración!$C$5,1,1),B829&gt;=DATE(Configuración!$C$5+1,1,1)),"Fecha fuera del año",IF(OR(H829&lt;0,I829&lt;0),"Revisar signo",IF(AND(C829&lt;&gt;"Gasto",I829&lt;&gt;0),"IVA solo en Gasto",IF(AND(C829="Gasto",D829=""),"Falta categoría","OK")))))))))</f>
        <v/>
      </c>
    </row>
    <row r="830" spans="1:12" ht="22" customHeight="1">
      <c r="A830" s="3"/>
      <c r="B830" s="7"/>
      <c r="C830" s="3"/>
      <c r="D830" s="3"/>
      <c r="E830" s="3"/>
      <c r="F830" s="3"/>
      <c r="G830" s="3"/>
      <c r="H830" s="4"/>
      <c r="I830" s="4"/>
      <c r="J830" s="3"/>
      <c r="K830" s="8" t="str">
        <f t="shared" si="12"/>
        <v/>
      </c>
      <c r="L830" s="1" t="str">
        <f>IF(COUNTA(A830:J830)=0,"",IF(OR(AND(C830&lt;&gt;"Gasto",C830&lt;&gt;"Pago proveedor",C830&lt;&gt;"Retiro familiar",C830&lt;&gt;"Aportación",C830&lt;&gt;"Pago activo",C830&lt;&gt;"ISR devengado",C830&lt;&gt;"Pago ISR",C830&lt;&gt;"Pago IVA",C830&lt;&gt;"Compensación ISR",C830&lt;&gt;"Compensación IVA"),AND(C830="Gasto",D830&lt;&gt;"Costos clínicos",D830&lt;&gt;"Remuneración familiar",D830&lt;&gt;"Nómina y honorarios",D830&lt;&gt;"Renta",D830&lt;&gt;"Marketing",D830&lt;&gt;"Servicios y software",D830&lt;&gt;"Mantenimiento",D830&lt;&gt;"Otros",D830&lt;&gt;"Intereses")),"Tipo o categoría inválido",IF(COUNTA(A830:J830)=0,"",IF(OR(A830="",B830="",C830="",H830=""),"Faltan datos",IF(COUNTIF($A$7:$A$2006,A830)&gt;1,"ID duplicado",IF(OR(B830&lt;DATE(Configuración!$C$5,1,1),B830&gt;=DATE(Configuración!$C$5+1,1,1)),"Fecha fuera del año",IF(OR(H830&lt;0,I830&lt;0),"Revisar signo",IF(AND(C830&lt;&gt;"Gasto",I830&lt;&gt;0),"IVA solo en Gasto",IF(AND(C830="Gasto",D830=""),"Falta categoría","OK")))))))))</f>
        <v/>
      </c>
    </row>
    <row r="831" spans="1:12" ht="22" customHeight="1">
      <c r="A831" s="3"/>
      <c r="B831" s="7"/>
      <c r="C831" s="3"/>
      <c r="D831" s="3"/>
      <c r="E831" s="3"/>
      <c r="F831" s="3"/>
      <c r="G831" s="3"/>
      <c r="H831" s="4"/>
      <c r="I831" s="4"/>
      <c r="J831" s="3"/>
      <c r="K831" s="8" t="str">
        <f t="shared" si="12"/>
        <v/>
      </c>
      <c r="L831" s="1" t="str">
        <f>IF(COUNTA(A831:J831)=0,"",IF(OR(AND(C831&lt;&gt;"Gasto",C831&lt;&gt;"Pago proveedor",C831&lt;&gt;"Retiro familiar",C831&lt;&gt;"Aportación",C831&lt;&gt;"Pago activo",C831&lt;&gt;"ISR devengado",C831&lt;&gt;"Pago ISR",C831&lt;&gt;"Pago IVA",C831&lt;&gt;"Compensación ISR",C831&lt;&gt;"Compensación IVA"),AND(C831="Gasto",D831&lt;&gt;"Costos clínicos",D831&lt;&gt;"Remuneración familiar",D831&lt;&gt;"Nómina y honorarios",D831&lt;&gt;"Renta",D831&lt;&gt;"Marketing",D831&lt;&gt;"Servicios y software",D831&lt;&gt;"Mantenimiento",D831&lt;&gt;"Otros",D831&lt;&gt;"Intereses")),"Tipo o categoría inválido",IF(COUNTA(A831:J831)=0,"",IF(OR(A831="",B831="",C831="",H831=""),"Faltan datos",IF(COUNTIF($A$7:$A$2006,A831)&gt;1,"ID duplicado",IF(OR(B831&lt;DATE(Configuración!$C$5,1,1),B831&gt;=DATE(Configuración!$C$5+1,1,1)),"Fecha fuera del año",IF(OR(H831&lt;0,I831&lt;0),"Revisar signo",IF(AND(C831&lt;&gt;"Gasto",I831&lt;&gt;0),"IVA solo en Gasto",IF(AND(C831="Gasto",D831=""),"Falta categoría","OK")))))))))</f>
        <v/>
      </c>
    </row>
    <row r="832" spans="1:12" ht="22" customHeight="1">
      <c r="A832" s="3"/>
      <c r="B832" s="7"/>
      <c r="C832" s="3"/>
      <c r="D832" s="3"/>
      <c r="E832" s="3"/>
      <c r="F832" s="3"/>
      <c r="G832" s="3"/>
      <c r="H832" s="4"/>
      <c r="I832" s="4"/>
      <c r="J832" s="3"/>
      <c r="K832" s="8" t="str">
        <f t="shared" si="12"/>
        <v/>
      </c>
      <c r="L832" s="1" t="str">
        <f>IF(COUNTA(A832:J832)=0,"",IF(OR(AND(C832&lt;&gt;"Gasto",C832&lt;&gt;"Pago proveedor",C832&lt;&gt;"Retiro familiar",C832&lt;&gt;"Aportación",C832&lt;&gt;"Pago activo",C832&lt;&gt;"ISR devengado",C832&lt;&gt;"Pago ISR",C832&lt;&gt;"Pago IVA",C832&lt;&gt;"Compensación ISR",C832&lt;&gt;"Compensación IVA"),AND(C832="Gasto",D832&lt;&gt;"Costos clínicos",D832&lt;&gt;"Remuneración familiar",D832&lt;&gt;"Nómina y honorarios",D832&lt;&gt;"Renta",D832&lt;&gt;"Marketing",D832&lt;&gt;"Servicios y software",D832&lt;&gt;"Mantenimiento",D832&lt;&gt;"Otros",D832&lt;&gt;"Intereses")),"Tipo o categoría inválido",IF(COUNTA(A832:J832)=0,"",IF(OR(A832="",B832="",C832="",H832=""),"Faltan datos",IF(COUNTIF($A$7:$A$2006,A832)&gt;1,"ID duplicado",IF(OR(B832&lt;DATE(Configuración!$C$5,1,1),B832&gt;=DATE(Configuración!$C$5+1,1,1)),"Fecha fuera del año",IF(OR(H832&lt;0,I832&lt;0),"Revisar signo",IF(AND(C832&lt;&gt;"Gasto",I832&lt;&gt;0),"IVA solo en Gasto",IF(AND(C832="Gasto",D832=""),"Falta categoría","OK")))))))))</f>
        <v/>
      </c>
    </row>
    <row r="833" spans="1:12" ht="22" customHeight="1">
      <c r="A833" s="3"/>
      <c r="B833" s="7"/>
      <c r="C833" s="3"/>
      <c r="D833" s="3"/>
      <c r="E833" s="3"/>
      <c r="F833" s="3"/>
      <c r="G833" s="3"/>
      <c r="H833" s="4"/>
      <c r="I833" s="4"/>
      <c r="J833" s="3"/>
      <c r="K833" s="8" t="str">
        <f t="shared" si="12"/>
        <v/>
      </c>
      <c r="L833" s="1" t="str">
        <f>IF(COUNTA(A833:J833)=0,"",IF(OR(AND(C833&lt;&gt;"Gasto",C833&lt;&gt;"Pago proveedor",C833&lt;&gt;"Retiro familiar",C833&lt;&gt;"Aportación",C833&lt;&gt;"Pago activo",C833&lt;&gt;"ISR devengado",C833&lt;&gt;"Pago ISR",C833&lt;&gt;"Pago IVA",C833&lt;&gt;"Compensación ISR",C833&lt;&gt;"Compensación IVA"),AND(C833="Gasto",D833&lt;&gt;"Costos clínicos",D833&lt;&gt;"Remuneración familiar",D833&lt;&gt;"Nómina y honorarios",D833&lt;&gt;"Renta",D833&lt;&gt;"Marketing",D833&lt;&gt;"Servicios y software",D833&lt;&gt;"Mantenimiento",D833&lt;&gt;"Otros",D833&lt;&gt;"Intereses")),"Tipo o categoría inválido",IF(COUNTA(A833:J833)=0,"",IF(OR(A833="",B833="",C833="",H833=""),"Faltan datos",IF(COUNTIF($A$7:$A$2006,A833)&gt;1,"ID duplicado",IF(OR(B833&lt;DATE(Configuración!$C$5,1,1),B833&gt;=DATE(Configuración!$C$5+1,1,1)),"Fecha fuera del año",IF(OR(H833&lt;0,I833&lt;0),"Revisar signo",IF(AND(C833&lt;&gt;"Gasto",I833&lt;&gt;0),"IVA solo en Gasto",IF(AND(C833="Gasto",D833=""),"Falta categoría","OK")))))))))</f>
        <v/>
      </c>
    </row>
    <row r="834" spans="1:12" ht="22" customHeight="1">
      <c r="A834" s="3"/>
      <c r="B834" s="7"/>
      <c r="C834" s="3"/>
      <c r="D834" s="3"/>
      <c r="E834" s="3"/>
      <c r="F834" s="3"/>
      <c r="G834" s="3"/>
      <c r="H834" s="4"/>
      <c r="I834" s="4"/>
      <c r="J834" s="3"/>
      <c r="K834" s="8" t="str">
        <f t="shared" si="12"/>
        <v/>
      </c>
      <c r="L834" s="1" t="str">
        <f>IF(COUNTA(A834:J834)=0,"",IF(OR(AND(C834&lt;&gt;"Gasto",C834&lt;&gt;"Pago proveedor",C834&lt;&gt;"Retiro familiar",C834&lt;&gt;"Aportación",C834&lt;&gt;"Pago activo",C834&lt;&gt;"ISR devengado",C834&lt;&gt;"Pago ISR",C834&lt;&gt;"Pago IVA",C834&lt;&gt;"Compensación ISR",C834&lt;&gt;"Compensación IVA"),AND(C834="Gasto",D834&lt;&gt;"Costos clínicos",D834&lt;&gt;"Remuneración familiar",D834&lt;&gt;"Nómina y honorarios",D834&lt;&gt;"Renta",D834&lt;&gt;"Marketing",D834&lt;&gt;"Servicios y software",D834&lt;&gt;"Mantenimiento",D834&lt;&gt;"Otros",D834&lt;&gt;"Intereses")),"Tipo o categoría inválido",IF(COUNTA(A834:J834)=0,"",IF(OR(A834="",B834="",C834="",H834=""),"Faltan datos",IF(COUNTIF($A$7:$A$2006,A834)&gt;1,"ID duplicado",IF(OR(B834&lt;DATE(Configuración!$C$5,1,1),B834&gt;=DATE(Configuración!$C$5+1,1,1)),"Fecha fuera del año",IF(OR(H834&lt;0,I834&lt;0),"Revisar signo",IF(AND(C834&lt;&gt;"Gasto",I834&lt;&gt;0),"IVA solo en Gasto",IF(AND(C834="Gasto",D834=""),"Falta categoría","OK")))))))))</f>
        <v/>
      </c>
    </row>
    <row r="835" spans="1:12" ht="22" customHeight="1">
      <c r="A835" s="3"/>
      <c r="B835" s="7"/>
      <c r="C835" s="3"/>
      <c r="D835" s="3"/>
      <c r="E835" s="3"/>
      <c r="F835" s="3"/>
      <c r="G835" s="3"/>
      <c r="H835" s="4"/>
      <c r="I835" s="4"/>
      <c r="J835" s="3"/>
      <c r="K835" s="8" t="str">
        <f t="shared" si="12"/>
        <v/>
      </c>
      <c r="L835" s="1" t="str">
        <f>IF(COUNTA(A835:J835)=0,"",IF(OR(AND(C835&lt;&gt;"Gasto",C835&lt;&gt;"Pago proveedor",C835&lt;&gt;"Retiro familiar",C835&lt;&gt;"Aportación",C835&lt;&gt;"Pago activo",C835&lt;&gt;"ISR devengado",C835&lt;&gt;"Pago ISR",C835&lt;&gt;"Pago IVA",C835&lt;&gt;"Compensación ISR",C835&lt;&gt;"Compensación IVA"),AND(C835="Gasto",D835&lt;&gt;"Costos clínicos",D835&lt;&gt;"Remuneración familiar",D835&lt;&gt;"Nómina y honorarios",D835&lt;&gt;"Renta",D835&lt;&gt;"Marketing",D835&lt;&gt;"Servicios y software",D835&lt;&gt;"Mantenimiento",D835&lt;&gt;"Otros",D835&lt;&gt;"Intereses")),"Tipo o categoría inválido",IF(COUNTA(A835:J835)=0,"",IF(OR(A835="",B835="",C835="",H835=""),"Faltan datos",IF(COUNTIF($A$7:$A$2006,A835)&gt;1,"ID duplicado",IF(OR(B835&lt;DATE(Configuración!$C$5,1,1),B835&gt;=DATE(Configuración!$C$5+1,1,1)),"Fecha fuera del año",IF(OR(H835&lt;0,I835&lt;0),"Revisar signo",IF(AND(C835&lt;&gt;"Gasto",I835&lt;&gt;0),"IVA solo en Gasto",IF(AND(C835="Gasto",D835=""),"Falta categoría","OK")))))))))</f>
        <v/>
      </c>
    </row>
    <row r="836" spans="1:12" ht="22" customHeight="1">
      <c r="A836" s="3"/>
      <c r="B836" s="7"/>
      <c r="C836" s="3"/>
      <c r="D836" s="3"/>
      <c r="E836" s="3"/>
      <c r="F836" s="3"/>
      <c r="G836" s="3"/>
      <c r="H836" s="4"/>
      <c r="I836" s="4"/>
      <c r="J836" s="3"/>
      <c r="K836" s="8" t="str">
        <f t="shared" si="12"/>
        <v/>
      </c>
      <c r="L836" s="1" t="str">
        <f>IF(COUNTA(A836:J836)=0,"",IF(OR(AND(C836&lt;&gt;"Gasto",C836&lt;&gt;"Pago proveedor",C836&lt;&gt;"Retiro familiar",C836&lt;&gt;"Aportación",C836&lt;&gt;"Pago activo",C836&lt;&gt;"ISR devengado",C836&lt;&gt;"Pago ISR",C836&lt;&gt;"Pago IVA",C836&lt;&gt;"Compensación ISR",C836&lt;&gt;"Compensación IVA"),AND(C836="Gasto",D836&lt;&gt;"Costos clínicos",D836&lt;&gt;"Remuneración familiar",D836&lt;&gt;"Nómina y honorarios",D836&lt;&gt;"Renta",D836&lt;&gt;"Marketing",D836&lt;&gt;"Servicios y software",D836&lt;&gt;"Mantenimiento",D836&lt;&gt;"Otros",D836&lt;&gt;"Intereses")),"Tipo o categoría inválido",IF(COUNTA(A836:J836)=0,"",IF(OR(A836="",B836="",C836="",H836=""),"Faltan datos",IF(COUNTIF($A$7:$A$2006,A836)&gt;1,"ID duplicado",IF(OR(B836&lt;DATE(Configuración!$C$5,1,1),B836&gt;=DATE(Configuración!$C$5+1,1,1)),"Fecha fuera del año",IF(OR(H836&lt;0,I836&lt;0),"Revisar signo",IF(AND(C836&lt;&gt;"Gasto",I836&lt;&gt;0),"IVA solo en Gasto",IF(AND(C836="Gasto",D836=""),"Falta categoría","OK")))))))))</f>
        <v/>
      </c>
    </row>
    <row r="837" spans="1:12" ht="22" customHeight="1">
      <c r="A837" s="3"/>
      <c r="B837" s="7"/>
      <c r="C837" s="3"/>
      <c r="D837" s="3"/>
      <c r="E837" s="3"/>
      <c r="F837" s="3"/>
      <c r="G837" s="3"/>
      <c r="H837" s="4"/>
      <c r="I837" s="4"/>
      <c r="J837" s="3"/>
      <c r="K837" s="8" t="str">
        <f t="shared" si="12"/>
        <v/>
      </c>
      <c r="L837" s="1" t="str">
        <f>IF(COUNTA(A837:J837)=0,"",IF(OR(AND(C837&lt;&gt;"Gasto",C837&lt;&gt;"Pago proveedor",C837&lt;&gt;"Retiro familiar",C837&lt;&gt;"Aportación",C837&lt;&gt;"Pago activo",C837&lt;&gt;"ISR devengado",C837&lt;&gt;"Pago ISR",C837&lt;&gt;"Pago IVA",C837&lt;&gt;"Compensación ISR",C837&lt;&gt;"Compensación IVA"),AND(C837="Gasto",D837&lt;&gt;"Costos clínicos",D837&lt;&gt;"Remuneración familiar",D837&lt;&gt;"Nómina y honorarios",D837&lt;&gt;"Renta",D837&lt;&gt;"Marketing",D837&lt;&gt;"Servicios y software",D837&lt;&gt;"Mantenimiento",D837&lt;&gt;"Otros",D837&lt;&gt;"Intereses")),"Tipo o categoría inválido",IF(COUNTA(A837:J837)=0,"",IF(OR(A837="",B837="",C837="",H837=""),"Faltan datos",IF(COUNTIF($A$7:$A$2006,A837)&gt;1,"ID duplicado",IF(OR(B837&lt;DATE(Configuración!$C$5,1,1),B837&gt;=DATE(Configuración!$C$5+1,1,1)),"Fecha fuera del año",IF(OR(H837&lt;0,I837&lt;0),"Revisar signo",IF(AND(C837&lt;&gt;"Gasto",I837&lt;&gt;0),"IVA solo en Gasto",IF(AND(C837="Gasto",D837=""),"Falta categoría","OK")))))))))</f>
        <v/>
      </c>
    </row>
    <row r="838" spans="1:12" ht="22" customHeight="1">
      <c r="A838" s="3"/>
      <c r="B838" s="7"/>
      <c r="C838" s="3"/>
      <c r="D838" s="3"/>
      <c r="E838" s="3"/>
      <c r="F838" s="3"/>
      <c r="G838" s="3"/>
      <c r="H838" s="4"/>
      <c r="I838" s="4"/>
      <c r="J838" s="3"/>
      <c r="K838" s="8" t="str">
        <f t="shared" si="12"/>
        <v/>
      </c>
      <c r="L838" s="1" t="str">
        <f>IF(COUNTA(A838:J838)=0,"",IF(OR(AND(C838&lt;&gt;"Gasto",C838&lt;&gt;"Pago proveedor",C838&lt;&gt;"Retiro familiar",C838&lt;&gt;"Aportación",C838&lt;&gt;"Pago activo",C838&lt;&gt;"ISR devengado",C838&lt;&gt;"Pago ISR",C838&lt;&gt;"Pago IVA",C838&lt;&gt;"Compensación ISR",C838&lt;&gt;"Compensación IVA"),AND(C838="Gasto",D838&lt;&gt;"Costos clínicos",D838&lt;&gt;"Remuneración familiar",D838&lt;&gt;"Nómina y honorarios",D838&lt;&gt;"Renta",D838&lt;&gt;"Marketing",D838&lt;&gt;"Servicios y software",D838&lt;&gt;"Mantenimiento",D838&lt;&gt;"Otros",D838&lt;&gt;"Intereses")),"Tipo o categoría inválido",IF(COUNTA(A838:J838)=0,"",IF(OR(A838="",B838="",C838="",H838=""),"Faltan datos",IF(COUNTIF($A$7:$A$2006,A838)&gt;1,"ID duplicado",IF(OR(B838&lt;DATE(Configuración!$C$5,1,1),B838&gt;=DATE(Configuración!$C$5+1,1,1)),"Fecha fuera del año",IF(OR(H838&lt;0,I838&lt;0),"Revisar signo",IF(AND(C838&lt;&gt;"Gasto",I838&lt;&gt;0),"IVA solo en Gasto",IF(AND(C838="Gasto",D838=""),"Falta categoría","OK")))))))))</f>
        <v/>
      </c>
    </row>
    <row r="839" spans="1:12" ht="22" customHeight="1">
      <c r="A839" s="3"/>
      <c r="B839" s="7"/>
      <c r="C839" s="3"/>
      <c r="D839" s="3"/>
      <c r="E839" s="3"/>
      <c r="F839" s="3"/>
      <c r="G839" s="3"/>
      <c r="H839" s="4"/>
      <c r="I839" s="4"/>
      <c r="J839" s="3"/>
      <c r="K839" s="8" t="str">
        <f t="shared" ref="K839:K902" si="13">IF(A839="","",H839+I839)</f>
        <v/>
      </c>
      <c r="L839" s="1" t="str">
        <f>IF(COUNTA(A839:J839)=0,"",IF(OR(AND(C839&lt;&gt;"Gasto",C839&lt;&gt;"Pago proveedor",C839&lt;&gt;"Retiro familiar",C839&lt;&gt;"Aportación",C839&lt;&gt;"Pago activo",C839&lt;&gt;"ISR devengado",C839&lt;&gt;"Pago ISR",C839&lt;&gt;"Pago IVA",C839&lt;&gt;"Compensación ISR",C839&lt;&gt;"Compensación IVA"),AND(C839="Gasto",D839&lt;&gt;"Costos clínicos",D839&lt;&gt;"Remuneración familiar",D839&lt;&gt;"Nómina y honorarios",D839&lt;&gt;"Renta",D839&lt;&gt;"Marketing",D839&lt;&gt;"Servicios y software",D839&lt;&gt;"Mantenimiento",D839&lt;&gt;"Otros",D839&lt;&gt;"Intereses")),"Tipo o categoría inválido",IF(COUNTA(A839:J839)=0,"",IF(OR(A839="",B839="",C839="",H839=""),"Faltan datos",IF(COUNTIF($A$7:$A$2006,A839)&gt;1,"ID duplicado",IF(OR(B839&lt;DATE(Configuración!$C$5,1,1),B839&gt;=DATE(Configuración!$C$5+1,1,1)),"Fecha fuera del año",IF(OR(H839&lt;0,I839&lt;0),"Revisar signo",IF(AND(C839&lt;&gt;"Gasto",I839&lt;&gt;0),"IVA solo en Gasto",IF(AND(C839="Gasto",D839=""),"Falta categoría","OK")))))))))</f>
        <v/>
      </c>
    </row>
    <row r="840" spans="1:12" ht="22" customHeight="1">
      <c r="A840" s="3"/>
      <c r="B840" s="7"/>
      <c r="C840" s="3"/>
      <c r="D840" s="3"/>
      <c r="E840" s="3"/>
      <c r="F840" s="3"/>
      <c r="G840" s="3"/>
      <c r="H840" s="4"/>
      <c r="I840" s="4"/>
      <c r="J840" s="3"/>
      <c r="K840" s="8" t="str">
        <f t="shared" si="13"/>
        <v/>
      </c>
      <c r="L840" s="1" t="str">
        <f>IF(COUNTA(A840:J840)=0,"",IF(OR(AND(C840&lt;&gt;"Gasto",C840&lt;&gt;"Pago proveedor",C840&lt;&gt;"Retiro familiar",C840&lt;&gt;"Aportación",C840&lt;&gt;"Pago activo",C840&lt;&gt;"ISR devengado",C840&lt;&gt;"Pago ISR",C840&lt;&gt;"Pago IVA",C840&lt;&gt;"Compensación ISR",C840&lt;&gt;"Compensación IVA"),AND(C840="Gasto",D840&lt;&gt;"Costos clínicos",D840&lt;&gt;"Remuneración familiar",D840&lt;&gt;"Nómina y honorarios",D840&lt;&gt;"Renta",D840&lt;&gt;"Marketing",D840&lt;&gt;"Servicios y software",D840&lt;&gt;"Mantenimiento",D840&lt;&gt;"Otros",D840&lt;&gt;"Intereses")),"Tipo o categoría inválido",IF(COUNTA(A840:J840)=0,"",IF(OR(A840="",B840="",C840="",H840=""),"Faltan datos",IF(COUNTIF($A$7:$A$2006,A840)&gt;1,"ID duplicado",IF(OR(B840&lt;DATE(Configuración!$C$5,1,1),B840&gt;=DATE(Configuración!$C$5+1,1,1)),"Fecha fuera del año",IF(OR(H840&lt;0,I840&lt;0),"Revisar signo",IF(AND(C840&lt;&gt;"Gasto",I840&lt;&gt;0),"IVA solo en Gasto",IF(AND(C840="Gasto",D840=""),"Falta categoría","OK")))))))))</f>
        <v/>
      </c>
    </row>
    <row r="841" spans="1:12" ht="22" customHeight="1">
      <c r="A841" s="3"/>
      <c r="B841" s="7"/>
      <c r="C841" s="3"/>
      <c r="D841" s="3"/>
      <c r="E841" s="3"/>
      <c r="F841" s="3"/>
      <c r="G841" s="3"/>
      <c r="H841" s="4"/>
      <c r="I841" s="4"/>
      <c r="J841" s="3"/>
      <c r="K841" s="8" t="str">
        <f t="shared" si="13"/>
        <v/>
      </c>
      <c r="L841" s="1" t="str">
        <f>IF(COUNTA(A841:J841)=0,"",IF(OR(AND(C841&lt;&gt;"Gasto",C841&lt;&gt;"Pago proveedor",C841&lt;&gt;"Retiro familiar",C841&lt;&gt;"Aportación",C841&lt;&gt;"Pago activo",C841&lt;&gt;"ISR devengado",C841&lt;&gt;"Pago ISR",C841&lt;&gt;"Pago IVA",C841&lt;&gt;"Compensación ISR",C841&lt;&gt;"Compensación IVA"),AND(C841="Gasto",D841&lt;&gt;"Costos clínicos",D841&lt;&gt;"Remuneración familiar",D841&lt;&gt;"Nómina y honorarios",D841&lt;&gt;"Renta",D841&lt;&gt;"Marketing",D841&lt;&gt;"Servicios y software",D841&lt;&gt;"Mantenimiento",D841&lt;&gt;"Otros",D841&lt;&gt;"Intereses")),"Tipo o categoría inválido",IF(COUNTA(A841:J841)=0,"",IF(OR(A841="",B841="",C841="",H841=""),"Faltan datos",IF(COUNTIF($A$7:$A$2006,A841)&gt;1,"ID duplicado",IF(OR(B841&lt;DATE(Configuración!$C$5,1,1),B841&gt;=DATE(Configuración!$C$5+1,1,1)),"Fecha fuera del año",IF(OR(H841&lt;0,I841&lt;0),"Revisar signo",IF(AND(C841&lt;&gt;"Gasto",I841&lt;&gt;0),"IVA solo en Gasto",IF(AND(C841="Gasto",D841=""),"Falta categoría","OK")))))))))</f>
        <v/>
      </c>
    </row>
    <row r="842" spans="1:12" ht="22" customHeight="1">
      <c r="A842" s="3"/>
      <c r="B842" s="7"/>
      <c r="C842" s="3"/>
      <c r="D842" s="3"/>
      <c r="E842" s="3"/>
      <c r="F842" s="3"/>
      <c r="G842" s="3"/>
      <c r="H842" s="4"/>
      <c r="I842" s="4"/>
      <c r="J842" s="3"/>
      <c r="K842" s="8" t="str">
        <f t="shared" si="13"/>
        <v/>
      </c>
      <c r="L842" s="1" t="str">
        <f>IF(COUNTA(A842:J842)=0,"",IF(OR(AND(C842&lt;&gt;"Gasto",C842&lt;&gt;"Pago proveedor",C842&lt;&gt;"Retiro familiar",C842&lt;&gt;"Aportación",C842&lt;&gt;"Pago activo",C842&lt;&gt;"ISR devengado",C842&lt;&gt;"Pago ISR",C842&lt;&gt;"Pago IVA",C842&lt;&gt;"Compensación ISR",C842&lt;&gt;"Compensación IVA"),AND(C842="Gasto",D842&lt;&gt;"Costos clínicos",D842&lt;&gt;"Remuneración familiar",D842&lt;&gt;"Nómina y honorarios",D842&lt;&gt;"Renta",D842&lt;&gt;"Marketing",D842&lt;&gt;"Servicios y software",D842&lt;&gt;"Mantenimiento",D842&lt;&gt;"Otros",D842&lt;&gt;"Intereses")),"Tipo o categoría inválido",IF(COUNTA(A842:J842)=0,"",IF(OR(A842="",B842="",C842="",H842=""),"Faltan datos",IF(COUNTIF($A$7:$A$2006,A842)&gt;1,"ID duplicado",IF(OR(B842&lt;DATE(Configuración!$C$5,1,1),B842&gt;=DATE(Configuración!$C$5+1,1,1)),"Fecha fuera del año",IF(OR(H842&lt;0,I842&lt;0),"Revisar signo",IF(AND(C842&lt;&gt;"Gasto",I842&lt;&gt;0),"IVA solo en Gasto",IF(AND(C842="Gasto",D842=""),"Falta categoría","OK")))))))))</f>
        <v/>
      </c>
    </row>
    <row r="843" spans="1:12" ht="22" customHeight="1">
      <c r="A843" s="3"/>
      <c r="B843" s="7"/>
      <c r="C843" s="3"/>
      <c r="D843" s="3"/>
      <c r="E843" s="3"/>
      <c r="F843" s="3"/>
      <c r="G843" s="3"/>
      <c r="H843" s="4"/>
      <c r="I843" s="4"/>
      <c r="J843" s="3"/>
      <c r="K843" s="8" t="str">
        <f t="shared" si="13"/>
        <v/>
      </c>
      <c r="L843" s="1" t="str">
        <f>IF(COUNTA(A843:J843)=0,"",IF(OR(AND(C843&lt;&gt;"Gasto",C843&lt;&gt;"Pago proveedor",C843&lt;&gt;"Retiro familiar",C843&lt;&gt;"Aportación",C843&lt;&gt;"Pago activo",C843&lt;&gt;"ISR devengado",C843&lt;&gt;"Pago ISR",C843&lt;&gt;"Pago IVA",C843&lt;&gt;"Compensación ISR",C843&lt;&gt;"Compensación IVA"),AND(C843="Gasto",D843&lt;&gt;"Costos clínicos",D843&lt;&gt;"Remuneración familiar",D843&lt;&gt;"Nómina y honorarios",D843&lt;&gt;"Renta",D843&lt;&gt;"Marketing",D843&lt;&gt;"Servicios y software",D843&lt;&gt;"Mantenimiento",D843&lt;&gt;"Otros",D843&lt;&gt;"Intereses")),"Tipo o categoría inválido",IF(COUNTA(A843:J843)=0,"",IF(OR(A843="",B843="",C843="",H843=""),"Faltan datos",IF(COUNTIF($A$7:$A$2006,A843)&gt;1,"ID duplicado",IF(OR(B843&lt;DATE(Configuración!$C$5,1,1),B843&gt;=DATE(Configuración!$C$5+1,1,1)),"Fecha fuera del año",IF(OR(H843&lt;0,I843&lt;0),"Revisar signo",IF(AND(C843&lt;&gt;"Gasto",I843&lt;&gt;0),"IVA solo en Gasto",IF(AND(C843="Gasto",D843=""),"Falta categoría","OK")))))))))</f>
        <v/>
      </c>
    </row>
    <row r="844" spans="1:12" ht="22" customHeight="1">
      <c r="A844" s="3"/>
      <c r="B844" s="7"/>
      <c r="C844" s="3"/>
      <c r="D844" s="3"/>
      <c r="E844" s="3"/>
      <c r="F844" s="3"/>
      <c r="G844" s="3"/>
      <c r="H844" s="4"/>
      <c r="I844" s="4"/>
      <c r="J844" s="3"/>
      <c r="K844" s="8" t="str">
        <f t="shared" si="13"/>
        <v/>
      </c>
      <c r="L844" s="1" t="str">
        <f>IF(COUNTA(A844:J844)=0,"",IF(OR(AND(C844&lt;&gt;"Gasto",C844&lt;&gt;"Pago proveedor",C844&lt;&gt;"Retiro familiar",C844&lt;&gt;"Aportación",C844&lt;&gt;"Pago activo",C844&lt;&gt;"ISR devengado",C844&lt;&gt;"Pago ISR",C844&lt;&gt;"Pago IVA",C844&lt;&gt;"Compensación ISR",C844&lt;&gt;"Compensación IVA"),AND(C844="Gasto",D844&lt;&gt;"Costos clínicos",D844&lt;&gt;"Remuneración familiar",D844&lt;&gt;"Nómina y honorarios",D844&lt;&gt;"Renta",D844&lt;&gt;"Marketing",D844&lt;&gt;"Servicios y software",D844&lt;&gt;"Mantenimiento",D844&lt;&gt;"Otros",D844&lt;&gt;"Intereses")),"Tipo o categoría inválido",IF(COUNTA(A844:J844)=0,"",IF(OR(A844="",B844="",C844="",H844=""),"Faltan datos",IF(COUNTIF($A$7:$A$2006,A844)&gt;1,"ID duplicado",IF(OR(B844&lt;DATE(Configuración!$C$5,1,1),B844&gt;=DATE(Configuración!$C$5+1,1,1)),"Fecha fuera del año",IF(OR(H844&lt;0,I844&lt;0),"Revisar signo",IF(AND(C844&lt;&gt;"Gasto",I844&lt;&gt;0),"IVA solo en Gasto",IF(AND(C844="Gasto",D844=""),"Falta categoría","OK")))))))))</f>
        <v/>
      </c>
    </row>
    <row r="845" spans="1:12" ht="22" customHeight="1">
      <c r="A845" s="3"/>
      <c r="B845" s="7"/>
      <c r="C845" s="3"/>
      <c r="D845" s="3"/>
      <c r="E845" s="3"/>
      <c r="F845" s="3"/>
      <c r="G845" s="3"/>
      <c r="H845" s="4"/>
      <c r="I845" s="4"/>
      <c r="J845" s="3"/>
      <c r="K845" s="8" t="str">
        <f t="shared" si="13"/>
        <v/>
      </c>
      <c r="L845" s="1" t="str">
        <f>IF(COUNTA(A845:J845)=0,"",IF(OR(AND(C845&lt;&gt;"Gasto",C845&lt;&gt;"Pago proveedor",C845&lt;&gt;"Retiro familiar",C845&lt;&gt;"Aportación",C845&lt;&gt;"Pago activo",C845&lt;&gt;"ISR devengado",C845&lt;&gt;"Pago ISR",C845&lt;&gt;"Pago IVA",C845&lt;&gt;"Compensación ISR",C845&lt;&gt;"Compensación IVA"),AND(C845="Gasto",D845&lt;&gt;"Costos clínicos",D845&lt;&gt;"Remuneración familiar",D845&lt;&gt;"Nómina y honorarios",D845&lt;&gt;"Renta",D845&lt;&gt;"Marketing",D845&lt;&gt;"Servicios y software",D845&lt;&gt;"Mantenimiento",D845&lt;&gt;"Otros",D845&lt;&gt;"Intereses")),"Tipo o categoría inválido",IF(COUNTA(A845:J845)=0,"",IF(OR(A845="",B845="",C845="",H845=""),"Faltan datos",IF(COUNTIF($A$7:$A$2006,A845)&gt;1,"ID duplicado",IF(OR(B845&lt;DATE(Configuración!$C$5,1,1),B845&gt;=DATE(Configuración!$C$5+1,1,1)),"Fecha fuera del año",IF(OR(H845&lt;0,I845&lt;0),"Revisar signo",IF(AND(C845&lt;&gt;"Gasto",I845&lt;&gt;0),"IVA solo en Gasto",IF(AND(C845="Gasto",D845=""),"Falta categoría","OK")))))))))</f>
        <v/>
      </c>
    </row>
    <row r="846" spans="1:12" ht="22" customHeight="1">
      <c r="A846" s="3"/>
      <c r="B846" s="7"/>
      <c r="C846" s="3"/>
      <c r="D846" s="3"/>
      <c r="E846" s="3"/>
      <c r="F846" s="3"/>
      <c r="G846" s="3"/>
      <c r="H846" s="4"/>
      <c r="I846" s="4"/>
      <c r="J846" s="3"/>
      <c r="K846" s="8" t="str">
        <f t="shared" si="13"/>
        <v/>
      </c>
      <c r="L846" s="1" t="str">
        <f>IF(COUNTA(A846:J846)=0,"",IF(OR(AND(C846&lt;&gt;"Gasto",C846&lt;&gt;"Pago proveedor",C846&lt;&gt;"Retiro familiar",C846&lt;&gt;"Aportación",C846&lt;&gt;"Pago activo",C846&lt;&gt;"ISR devengado",C846&lt;&gt;"Pago ISR",C846&lt;&gt;"Pago IVA",C846&lt;&gt;"Compensación ISR",C846&lt;&gt;"Compensación IVA"),AND(C846="Gasto",D846&lt;&gt;"Costos clínicos",D846&lt;&gt;"Remuneración familiar",D846&lt;&gt;"Nómina y honorarios",D846&lt;&gt;"Renta",D846&lt;&gt;"Marketing",D846&lt;&gt;"Servicios y software",D846&lt;&gt;"Mantenimiento",D846&lt;&gt;"Otros",D846&lt;&gt;"Intereses")),"Tipo o categoría inválido",IF(COUNTA(A846:J846)=0,"",IF(OR(A846="",B846="",C846="",H846=""),"Faltan datos",IF(COUNTIF($A$7:$A$2006,A846)&gt;1,"ID duplicado",IF(OR(B846&lt;DATE(Configuración!$C$5,1,1),B846&gt;=DATE(Configuración!$C$5+1,1,1)),"Fecha fuera del año",IF(OR(H846&lt;0,I846&lt;0),"Revisar signo",IF(AND(C846&lt;&gt;"Gasto",I846&lt;&gt;0),"IVA solo en Gasto",IF(AND(C846="Gasto",D846=""),"Falta categoría","OK")))))))))</f>
        <v/>
      </c>
    </row>
    <row r="847" spans="1:12" ht="22" customHeight="1">
      <c r="A847" s="3"/>
      <c r="B847" s="7"/>
      <c r="C847" s="3"/>
      <c r="D847" s="3"/>
      <c r="E847" s="3"/>
      <c r="F847" s="3"/>
      <c r="G847" s="3"/>
      <c r="H847" s="4"/>
      <c r="I847" s="4"/>
      <c r="J847" s="3"/>
      <c r="K847" s="8" t="str">
        <f t="shared" si="13"/>
        <v/>
      </c>
      <c r="L847" s="1" t="str">
        <f>IF(COUNTA(A847:J847)=0,"",IF(OR(AND(C847&lt;&gt;"Gasto",C847&lt;&gt;"Pago proveedor",C847&lt;&gt;"Retiro familiar",C847&lt;&gt;"Aportación",C847&lt;&gt;"Pago activo",C847&lt;&gt;"ISR devengado",C847&lt;&gt;"Pago ISR",C847&lt;&gt;"Pago IVA",C847&lt;&gt;"Compensación ISR",C847&lt;&gt;"Compensación IVA"),AND(C847="Gasto",D847&lt;&gt;"Costos clínicos",D847&lt;&gt;"Remuneración familiar",D847&lt;&gt;"Nómina y honorarios",D847&lt;&gt;"Renta",D847&lt;&gt;"Marketing",D847&lt;&gt;"Servicios y software",D847&lt;&gt;"Mantenimiento",D847&lt;&gt;"Otros",D847&lt;&gt;"Intereses")),"Tipo o categoría inválido",IF(COUNTA(A847:J847)=0,"",IF(OR(A847="",B847="",C847="",H847=""),"Faltan datos",IF(COUNTIF($A$7:$A$2006,A847)&gt;1,"ID duplicado",IF(OR(B847&lt;DATE(Configuración!$C$5,1,1),B847&gt;=DATE(Configuración!$C$5+1,1,1)),"Fecha fuera del año",IF(OR(H847&lt;0,I847&lt;0),"Revisar signo",IF(AND(C847&lt;&gt;"Gasto",I847&lt;&gt;0),"IVA solo en Gasto",IF(AND(C847="Gasto",D847=""),"Falta categoría","OK")))))))))</f>
        <v/>
      </c>
    </row>
    <row r="848" spans="1:12" ht="22" customHeight="1">
      <c r="A848" s="3"/>
      <c r="B848" s="7"/>
      <c r="C848" s="3"/>
      <c r="D848" s="3"/>
      <c r="E848" s="3"/>
      <c r="F848" s="3"/>
      <c r="G848" s="3"/>
      <c r="H848" s="4"/>
      <c r="I848" s="4"/>
      <c r="J848" s="3"/>
      <c r="K848" s="8" t="str">
        <f t="shared" si="13"/>
        <v/>
      </c>
      <c r="L848" s="1" t="str">
        <f>IF(COUNTA(A848:J848)=0,"",IF(OR(AND(C848&lt;&gt;"Gasto",C848&lt;&gt;"Pago proveedor",C848&lt;&gt;"Retiro familiar",C848&lt;&gt;"Aportación",C848&lt;&gt;"Pago activo",C848&lt;&gt;"ISR devengado",C848&lt;&gt;"Pago ISR",C848&lt;&gt;"Pago IVA",C848&lt;&gt;"Compensación ISR",C848&lt;&gt;"Compensación IVA"),AND(C848="Gasto",D848&lt;&gt;"Costos clínicos",D848&lt;&gt;"Remuneración familiar",D848&lt;&gt;"Nómina y honorarios",D848&lt;&gt;"Renta",D848&lt;&gt;"Marketing",D848&lt;&gt;"Servicios y software",D848&lt;&gt;"Mantenimiento",D848&lt;&gt;"Otros",D848&lt;&gt;"Intereses")),"Tipo o categoría inválido",IF(COUNTA(A848:J848)=0,"",IF(OR(A848="",B848="",C848="",H848=""),"Faltan datos",IF(COUNTIF($A$7:$A$2006,A848)&gt;1,"ID duplicado",IF(OR(B848&lt;DATE(Configuración!$C$5,1,1),B848&gt;=DATE(Configuración!$C$5+1,1,1)),"Fecha fuera del año",IF(OR(H848&lt;0,I848&lt;0),"Revisar signo",IF(AND(C848&lt;&gt;"Gasto",I848&lt;&gt;0),"IVA solo en Gasto",IF(AND(C848="Gasto",D848=""),"Falta categoría","OK")))))))))</f>
        <v/>
      </c>
    </row>
    <row r="849" spans="1:12" ht="22" customHeight="1">
      <c r="A849" s="3"/>
      <c r="B849" s="7"/>
      <c r="C849" s="3"/>
      <c r="D849" s="3"/>
      <c r="E849" s="3"/>
      <c r="F849" s="3"/>
      <c r="G849" s="3"/>
      <c r="H849" s="4"/>
      <c r="I849" s="4"/>
      <c r="J849" s="3"/>
      <c r="K849" s="8" t="str">
        <f t="shared" si="13"/>
        <v/>
      </c>
      <c r="L849" s="1" t="str">
        <f>IF(COUNTA(A849:J849)=0,"",IF(OR(AND(C849&lt;&gt;"Gasto",C849&lt;&gt;"Pago proveedor",C849&lt;&gt;"Retiro familiar",C849&lt;&gt;"Aportación",C849&lt;&gt;"Pago activo",C849&lt;&gt;"ISR devengado",C849&lt;&gt;"Pago ISR",C849&lt;&gt;"Pago IVA",C849&lt;&gt;"Compensación ISR",C849&lt;&gt;"Compensación IVA"),AND(C849="Gasto",D849&lt;&gt;"Costos clínicos",D849&lt;&gt;"Remuneración familiar",D849&lt;&gt;"Nómina y honorarios",D849&lt;&gt;"Renta",D849&lt;&gt;"Marketing",D849&lt;&gt;"Servicios y software",D849&lt;&gt;"Mantenimiento",D849&lt;&gt;"Otros",D849&lt;&gt;"Intereses")),"Tipo o categoría inválido",IF(COUNTA(A849:J849)=0,"",IF(OR(A849="",B849="",C849="",H849=""),"Faltan datos",IF(COUNTIF($A$7:$A$2006,A849)&gt;1,"ID duplicado",IF(OR(B849&lt;DATE(Configuración!$C$5,1,1),B849&gt;=DATE(Configuración!$C$5+1,1,1)),"Fecha fuera del año",IF(OR(H849&lt;0,I849&lt;0),"Revisar signo",IF(AND(C849&lt;&gt;"Gasto",I849&lt;&gt;0),"IVA solo en Gasto",IF(AND(C849="Gasto",D849=""),"Falta categoría","OK")))))))))</f>
        <v/>
      </c>
    </row>
    <row r="850" spans="1:12" ht="22" customHeight="1">
      <c r="A850" s="3"/>
      <c r="B850" s="7"/>
      <c r="C850" s="3"/>
      <c r="D850" s="3"/>
      <c r="E850" s="3"/>
      <c r="F850" s="3"/>
      <c r="G850" s="3"/>
      <c r="H850" s="4"/>
      <c r="I850" s="4"/>
      <c r="J850" s="3"/>
      <c r="K850" s="8" t="str">
        <f t="shared" si="13"/>
        <v/>
      </c>
      <c r="L850" s="1" t="str">
        <f>IF(COUNTA(A850:J850)=0,"",IF(OR(AND(C850&lt;&gt;"Gasto",C850&lt;&gt;"Pago proveedor",C850&lt;&gt;"Retiro familiar",C850&lt;&gt;"Aportación",C850&lt;&gt;"Pago activo",C850&lt;&gt;"ISR devengado",C850&lt;&gt;"Pago ISR",C850&lt;&gt;"Pago IVA",C850&lt;&gt;"Compensación ISR",C850&lt;&gt;"Compensación IVA"),AND(C850="Gasto",D850&lt;&gt;"Costos clínicos",D850&lt;&gt;"Remuneración familiar",D850&lt;&gt;"Nómina y honorarios",D850&lt;&gt;"Renta",D850&lt;&gt;"Marketing",D850&lt;&gt;"Servicios y software",D850&lt;&gt;"Mantenimiento",D850&lt;&gt;"Otros",D850&lt;&gt;"Intereses")),"Tipo o categoría inválido",IF(COUNTA(A850:J850)=0,"",IF(OR(A850="",B850="",C850="",H850=""),"Faltan datos",IF(COUNTIF($A$7:$A$2006,A850)&gt;1,"ID duplicado",IF(OR(B850&lt;DATE(Configuración!$C$5,1,1),B850&gt;=DATE(Configuración!$C$5+1,1,1)),"Fecha fuera del año",IF(OR(H850&lt;0,I850&lt;0),"Revisar signo",IF(AND(C850&lt;&gt;"Gasto",I850&lt;&gt;0),"IVA solo en Gasto",IF(AND(C850="Gasto",D850=""),"Falta categoría","OK")))))))))</f>
        <v/>
      </c>
    </row>
    <row r="851" spans="1:12" ht="22" customHeight="1">
      <c r="A851" s="3"/>
      <c r="B851" s="7"/>
      <c r="C851" s="3"/>
      <c r="D851" s="3"/>
      <c r="E851" s="3"/>
      <c r="F851" s="3"/>
      <c r="G851" s="3"/>
      <c r="H851" s="4"/>
      <c r="I851" s="4"/>
      <c r="J851" s="3"/>
      <c r="K851" s="8" t="str">
        <f t="shared" si="13"/>
        <v/>
      </c>
      <c r="L851" s="1" t="str">
        <f>IF(COUNTA(A851:J851)=0,"",IF(OR(AND(C851&lt;&gt;"Gasto",C851&lt;&gt;"Pago proveedor",C851&lt;&gt;"Retiro familiar",C851&lt;&gt;"Aportación",C851&lt;&gt;"Pago activo",C851&lt;&gt;"ISR devengado",C851&lt;&gt;"Pago ISR",C851&lt;&gt;"Pago IVA",C851&lt;&gt;"Compensación ISR",C851&lt;&gt;"Compensación IVA"),AND(C851="Gasto",D851&lt;&gt;"Costos clínicos",D851&lt;&gt;"Remuneración familiar",D851&lt;&gt;"Nómina y honorarios",D851&lt;&gt;"Renta",D851&lt;&gt;"Marketing",D851&lt;&gt;"Servicios y software",D851&lt;&gt;"Mantenimiento",D851&lt;&gt;"Otros",D851&lt;&gt;"Intereses")),"Tipo o categoría inválido",IF(COUNTA(A851:J851)=0,"",IF(OR(A851="",B851="",C851="",H851=""),"Faltan datos",IF(COUNTIF($A$7:$A$2006,A851)&gt;1,"ID duplicado",IF(OR(B851&lt;DATE(Configuración!$C$5,1,1),B851&gt;=DATE(Configuración!$C$5+1,1,1)),"Fecha fuera del año",IF(OR(H851&lt;0,I851&lt;0),"Revisar signo",IF(AND(C851&lt;&gt;"Gasto",I851&lt;&gt;0),"IVA solo en Gasto",IF(AND(C851="Gasto",D851=""),"Falta categoría","OK")))))))))</f>
        <v/>
      </c>
    </row>
    <row r="852" spans="1:12" ht="22" customHeight="1">
      <c r="A852" s="3"/>
      <c r="B852" s="7"/>
      <c r="C852" s="3"/>
      <c r="D852" s="3"/>
      <c r="E852" s="3"/>
      <c r="F852" s="3"/>
      <c r="G852" s="3"/>
      <c r="H852" s="4"/>
      <c r="I852" s="4"/>
      <c r="J852" s="3"/>
      <c r="K852" s="8" t="str">
        <f t="shared" si="13"/>
        <v/>
      </c>
      <c r="L852" s="1" t="str">
        <f>IF(COUNTA(A852:J852)=0,"",IF(OR(AND(C852&lt;&gt;"Gasto",C852&lt;&gt;"Pago proveedor",C852&lt;&gt;"Retiro familiar",C852&lt;&gt;"Aportación",C852&lt;&gt;"Pago activo",C852&lt;&gt;"ISR devengado",C852&lt;&gt;"Pago ISR",C852&lt;&gt;"Pago IVA",C852&lt;&gt;"Compensación ISR",C852&lt;&gt;"Compensación IVA"),AND(C852="Gasto",D852&lt;&gt;"Costos clínicos",D852&lt;&gt;"Remuneración familiar",D852&lt;&gt;"Nómina y honorarios",D852&lt;&gt;"Renta",D852&lt;&gt;"Marketing",D852&lt;&gt;"Servicios y software",D852&lt;&gt;"Mantenimiento",D852&lt;&gt;"Otros",D852&lt;&gt;"Intereses")),"Tipo o categoría inválido",IF(COUNTA(A852:J852)=0,"",IF(OR(A852="",B852="",C852="",H852=""),"Faltan datos",IF(COUNTIF($A$7:$A$2006,A852)&gt;1,"ID duplicado",IF(OR(B852&lt;DATE(Configuración!$C$5,1,1),B852&gt;=DATE(Configuración!$C$5+1,1,1)),"Fecha fuera del año",IF(OR(H852&lt;0,I852&lt;0),"Revisar signo",IF(AND(C852&lt;&gt;"Gasto",I852&lt;&gt;0),"IVA solo en Gasto",IF(AND(C852="Gasto",D852=""),"Falta categoría","OK")))))))))</f>
        <v/>
      </c>
    </row>
    <row r="853" spans="1:12" ht="22" customHeight="1">
      <c r="A853" s="3"/>
      <c r="B853" s="7"/>
      <c r="C853" s="3"/>
      <c r="D853" s="3"/>
      <c r="E853" s="3"/>
      <c r="F853" s="3"/>
      <c r="G853" s="3"/>
      <c r="H853" s="4"/>
      <c r="I853" s="4"/>
      <c r="J853" s="3"/>
      <c r="K853" s="8" t="str">
        <f t="shared" si="13"/>
        <v/>
      </c>
      <c r="L853" s="1" t="str">
        <f>IF(COUNTA(A853:J853)=0,"",IF(OR(AND(C853&lt;&gt;"Gasto",C853&lt;&gt;"Pago proveedor",C853&lt;&gt;"Retiro familiar",C853&lt;&gt;"Aportación",C853&lt;&gt;"Pago activo",C853&lt;&gt;"ISR devengado",C853&lt;&gt;"Pago ISR",C853&lt;&gt;"Pago IVA",C853&lt;&gt;"Compensación ISR",C853&lt;&gt;"Compensación IVA"),AND(C853="Gasto",D853&lt;&gt;"Costos clínicos",D853&lt;&gt;"Remuneración familiar",D853&lt;&gt;"Nómina y honorarios",D853&lt;&gt;"Renta",D853&lt;&gt;"Marketing",D853&lt;&gt;"Servicios y software",D853&lt;&gt;"Mantenimiento",D853&lt;&gt;"Otros",D853&lt;&gt;"Intereses")),"Tipo o categoría inválido",IF(COUNTA(A853:J853)=0,"",IF(OR(A853="",B853="",C853="",H853=""),"Faltan datos",IF(COUNTIF($A$7:$A$2006,A853)&gt;1,"ID duplicado",IF(OR(B853&lt;DATE(Configuración!$C$5,1,1),B853&gt;=DATE(Configuración!$C$5+1,1,1)),"Fecha fuera del año",IF(OR(H853&lt;0,I853&lt;0),"Revisar signo",IF(AND(C853&lt;&gt;"Gasto",I853&lt;&gt;0),"IVA solo en Gasto",IF(AND(C853="Gasto",D853=""),"Falta categoría","OK")))))))))</f>
        <v/>
      </c>
    </row>
    <row r="854" spans="1:12" ht="22" customHeight="1">
      <c r="A854" s="3"/>
      <c r="B854" s="7"/>
      <c r="C854" s="3"/>
      <c r="D854" s="3"/>
      <c r="E854" s="3"/>
      <c r="F854" s="3"/>
      <c r="G854" s="3"/>
      <c r="H854" s="4"/>
      <c r="I854" s="4"/>
      <c r="J854" s="3"/>
      <c r="K854" s="8" t="str">
        <f t="shared" si="13"/>
        <v/>
      </c>
      <c r="L854" s="1" t="str">
        <f>IF(COUNTA(A854:J854)=0,"",IF(OR(AND(C854&lt;&gt;"Gasto",C854&lt;&gt;"Pago proveedor",C854&lt;&gt;"Retiro familiar",C854&lt;&gt;"Aportación",C854&lt;&gt;"Pago activo",C854&lt;&gt;"ISR devengado",C854&lt;&gt;"Pago ISR",C854&lt;&gt;"Pago IVA",C854&lt;&gt;"Compensación ISR",C854&lt;&gt;"Compensación IVA"),AND(C854="Gasto",D854&lt;&gt;"Costos clínicos",D854&lt;&gt;"Remuneración familiar",D854&lt;&gt;"Nómina y honorarios",D854&lt;&gt;"Renta",D854&lt;&gt;"Marketing",D854&lt;&gt;"Servicios y software",D854&lt;&gt;"Mantenimiento",D854&lt;&gt;"Otros",D854&lt;&gt;"Intereses")),"Tipo o categoría inválido",IF(COUNTA(A854:J854)=0,"",IF(OR(A854="",B854="",C854="",H854=""),"Faltan datos",IF(COUNTIF($A$7:$A$2006,A854)&gt;1,"ID duplicado",IF(OR(B854&lt;DATE(Configuración!$C$5,1,1),B854&gt;=DATE(Configuración!$C$5+1,1,1)),"Fecha fuera del año",IF(OR(H854&lt;0,I854&lt;0),"Revisar signo",IF(AND(C854&lt;&gt;"Gasto",I854&lt;&gt;0),"IVA solo en Gasto",IF(AND(C854="Gasto",D854=""),"Falta categoría","OK")))))))))</f>
        <v/>
      </c>
    </row>
    <row r="855" spans="1:12" ht="22" customHeight="1">
      <c r="A855" s="3"/>
      <c r="B855" s="7"/>
      <c r="C855" s="3"/>
      <c r="D855" s="3"/>
      <c r="E855" s="3"/>
      <c r="F855" s="3"/>
      <c r="G855" s="3"/>
      <c r="H855" s="4"/>
      <c r="I855" s="4"/>
      <c r="J855" s="3"/>
      <c r="K855" s="8" t="str">
        <f t="shared" si="13"/>
        <v/>
      </c>
      <c r="L855" s="1" t="str">
        <f>IF(COUNTA(A855:J855)=0,"",IF(OR(AND(C855&lt;&gt;"Gasto",C855&lt;&gt;"Pago proveedor",C855&lt;&gt;"Retiro familiar",C855&lt;&gt;"Aportación",C855&lt;&gt;"Pago activo",C855&lt;&gt;"ISR devengado",C855&lt;&gt;"Pago ISR",C855&lt;&gt;"Pago IVA",C855&lt;&gt;"Compensación ISR",C855&lt;&gt;"Compensación IVA"),AND(C855="Gasto",D855&lt;&gt;"Costos clínicos",D855&lt;&gt;"Remuneración familiar",D855&lt;&gt;"Nómina y honorarios",D855&lt;&gt;"Renta",D855&lt;&gt;"Marketing",D855&lt;&gt;"Servicios y software",D855&lt;&gt;"Mantenimiento",D855&lt;&gt;"Otros",D855&lt;&gt;"Intereses")),"Tipo o categoría inválido",IF(COUNTA(A855:J855)=0,"",IF(OR(A855="",B855="",C855="",H855=""),"Faltan datos",IF(COUNTIF($A$7:$A$2006,A855)&gt;1,"ID duplicado",IF(OR(B855&lt;DATE(Configuración!$C$5,1,1),B855&gt;=DATE(Configuración!$C$5+1,1,1)),"Fecha fuera del año",IF(OR(H855&lt;0,I855&lt;0),"Revisar signo",IF(AND(C855&lt;&gt;"Gasto",I855&lt;&gt;0),"IVA solo en Gasto",IF(AND(C855="Gasto",D855=""),"Falta categoría","OK")))))))))</f>
        <v/>
      </c>
    </row>
    <row r="856" spans="1:12" ht="22" customHeight="1">
      <c r="A856" s="3"/>
      <c r="B856" s="7"/>
      <c r="C856" s="3"/>
      <c r="D856" s="3"/>
      <c r="E856" s="3"/>
      <c r="F856" s="3"/>
      <c r="G856" s="3"/>
      <c r="H856" s="4"/>
      <c r="I856" s="4"/>
      <c r="J856" s="3"/>
      <c r="K856" s="8" t="str">
        <f t="shared" si="13"/>
        <v/>
      </c>
      <c r="L856" s="1" t="str">
        <f>IF(COUNTA(A856:J856)=0,"",IF(OR(AND(C856&lt;&gt;"Gasto",C856&lt;&gt;"Pago proveedor",C856&lt;&gt;"Retiro familiar",C856&lt;&gt;"Aportación",C856&lt;&gt;"Pago activo",C856&lt;&gt;"ISR devengado",C856&lt;&gt;"Pago ISR",C856&lt;&gt;"Pago IVA",C856&lt;&gt;"Compensación ISR",C856&lt;&gt;"Compensación IVA"),AND(C856="Gasto",D856&lt;&gt;"Costos clínicos",D856&lt;&gt;"Remuneración familiar",D856&lt;&gt;"Nómina y honorarios",D856&lt;&gt;"Renta",D856&lt;&gt;"Marketing",D856&lt;&gt;"Servicios y software",D856&lt;&gt;"Mantenimiento",D856&lt;&gt;"Otros",D856&lt;&gt;"Intereses")),"Tipo o categoría inválido",IF(COUNTA(A856:J856)=0,"",IF(OR(A856="",B856="",C856="",H856=""),"Faltan datos",IF(COUNTIF($A$7:$A$2006,A856)&gt;1,"ID duplicado",IF(OR(B856&lt;DATE(Configuración!$C$5,1,1),B856&gt;=DATE(Configuración!$C$5+1,1,1)),"Fecha fuera del año",IF(OR(H856&lt;0,I856&lt;0),"Revisar signo",IF(AND(C856&lt;&gt;"Gasto",I856&lt;&gt;0),"IVA solo en Gasto",IF(AND(C856="Gasto",D856=""),"Falta categoría","OK")))))))))</f>
        <v/>
      </c>
    </row>
    <row r="857" spans="1:12" ht="22" customHeight="1">
      <c r="A857" s="3"/>
      <c r="B857" s="7"/>
      <c r="C857" s="3"/>
      <c r="D857" s="3"/>
      <c r="E857" s="3"/>
      <c r="F857" s="3"/>
      <c r="G857" s="3"/>
      <c r="H857" s="4"/>
      <c r="I857" s="4"/>
      <c r="J857" s="3"/>
      <c r="K857" s="8" t="str">
        <f t="shared" si="13"/>
        <v/>
      </c>
      <c r="L857" s="1" t="str">
        <f>IF(COUNTA(A857:J857)=0,"",IF(OR(AND(C857&lt;&gt;"Gasto",C857&lt;&gt;"Pago proveedor",C857&lt;&gt;"Retiro familiar",C857&lt;&gt;"Aportación",C857&lt;&gt;"Pago activo",C857&lt;&gt;"ISR devengado",C857&lt;&gt;"Pago ISR",C857&lt;&gt;"Pago IVA",C857&lt;&gt;"Compensación ISR",C857&lt;&gt;"Compensación IVA"),AND(C857="Gasto",D857&lt;&gt;"Costos clínicos",D857&lt;&gt;"Remuneración familiar",D857&lt;&gt;"Nómina y honorarios",D857&lt;&gt;"Renta",D857&lt;&gt;"Marketing",D857&lt;&gt;"Servicios y software",D857&lt;&gt;"Mantenimiento",D857&lt;&gt;"Otros",D857&lt;&gt;"Intereses")),"Tipo o categoría inválido",IF(COUNTA(A857:J857)=0,"",IF(OR(A857="",B857="",C857="",H857=""),"Faltan datos",IF(COUNTIF($A$7:$A$2006,A857)&gt;1,"ID duplicado",IF(OR(B857&lt;DATE(Configuración!$C$5,1,1),B857&gt;=DATE(Configuración!$C$5+1,1,1)),"Fecha fuera del año",IF(OR(H857&lt;0,I857&lt;0),"Revisar signo",IF(AND(C857&lt;&gt;"Gasto",I857&lt;&gt;0),"IVA solo en Gasto",IF(AND(C857="Gasto",D857=""),"Falta categoría","OK")))))))))</f>
        <v/>
      </c>
    </row>
    <row r="858" spans="1:12" ht="22" customHeight="1">
      <c r="A858" s="3"/>
      <c r="B858" s="7"/>
      <c r="C858" s="3"/>
      <c r="D858" s="3"/>
      <c r="E858" s="3"/>
      <c r="F858" s="3"/>
      <c r="G858" s="3"/>
      <c r="H858" s="4"/>
      <c r="I858" s="4"/>
      <c r="J858" s="3"/>
      <c r="K858" s="8" t="str">
        <f t="shared" si="13"/>
        <v/>
      </c>
      <c r="L858" s="1" t="str">
        <f>IF(COUNTA(A858:J858)=0,"",IF(OR(AND(C858&lt;&gt;"Gasto",C858&lt;&gt;"Pago proveedor",C858&lt;&gt;"Retiro familiar",C858&lt;&gt;"Aportación",C858&lt;&gt;"Pago activo",C858&lt;&gt;"ISR devengado",C858&lt;&gt;"Pago ISR",C858&lt;&gt;"Pago IVA",C858&lt;&gt;"Compensación ISR",C858&lt;&gt;"Compensación IVA"),AND(C858="Gasto",D858&lt;&gt;"Costos clínicos",D858&lt;&gt;"Remuneración familiar",D858&lt;&gt;"Nómina y honorarios",D858&lt;&gt;"Renta",D858&lt;&gt;"Marketing",D858&lt;&gt;"Servicios y software",D858&lt;&gt;"Mantenimiento",D858&lt;&gt;"Otros",D858&lt;&gt;"Intereses")),"Tipo o categoría inválido",IF(COUNTA(A858:J858)=0,"",IF(OR(A858="",B858="",C858="",H858=""),"Faltan datos",IF(COUNTIF($A$7:$A$2006,A858)&gt;1,"ID duplicado",IF(OR(B858&lt;DATE(Configuración!$C$5,1,1),B858&gt;=DATE(Configuración!$C$5+1,1,1)),"Fecha fuera del año",IF(OR(H858&lt;0,I858&lt;0),"Revisar signo",IF(AND(C858&lt;&gt;"Gasto",I858&lt;&gt;0),"IVA solo en Gasto",IF(AND(C858="Gasto",D858=""),"Falta categoría","OK")))))))))</f>
        <v/>
      </c>
    </row>
    <row r="859" spans="1:12" ht="22" customHeight="1">
      <c r="A859" s="3"/>
      <c r="B859" s="7"/>
      <c r="C859" s="3"/>
      <c r="D859" s="3"/>
      <c r="E859" s="3"/>
      <c r="F859" s="3"/>
      <c r="G859" s="3"/>
      <c r="H859" s="4"/>
      <c r="I859" s="4"/>
      <c r="J859" s="3"/>
      <c r="K859" s="8" t="str">
        <f t="shared" si="13"/>
        <v/>
      </c>
      <c r="L859" s="1" t="str">
        <f>IF(COUNTA(A859:J859)=0,"",IF(OR(AND(C859&lt;&gt;"Gasto",C859&lt;&gt;"Pago proveedor",C859&lt;&gt;"Retiro familiar",C859&lt;&gt;"Aportación",C859&lt;&gt;"Pago activo",C859&lt;&gt;"ISR devengado",C859&lt;&gt;"Pago ISR",C859&lt;&gt;"Pago IVA",C859&lt;&gt;"Compensación ISR",C859&lt;&gt;"Compensación IVA"),AND(C859="Gasto",D859&lt;&gt;"Costos clínicos",D859&lt;&gt;"Remuneración familiar",D859&lt;&gt;"Nómina y honorarios",D859&lt;&gt;"Renta",D859&lt;&gt;"Marketing",D859&lt;&gt;"Servicios y software",D859&lt;&gt;"Mantenimiento",D859&lt;&gt;"Otros",D859&lt;&gt;"Intereses")),"Tipo o categoría inválido",IF(COUNTA(A859:J859)=0,"",IF(OR(A859="",B859="",C859="",H859=""),"Faltan datos",IF(COUNTIF($A$7:$A$2006,A859)&gt;1,"ID duplicado",IF(OR(B859&lt;DATE(Configuración!$C$5,1,1),B859&gt;=DATE(Configuración!$C$5+1,1,1)),"Fecha fuera del año",IF(OR(H859&lt;0,I859&lt;0),"Revisar signo",IF(AND(C859&lt;&gt;"Gasto",I859&lt;&gt;0),"IVA solo en Gasto",IF(AND(C859="Gasto",D859=""),"Falta categoría","OK")))))))))</f>
        <v/>
      </c>
    </row>
    <row r="860" spans="1:12" ht="22" customHeight="1">
      <c r="A860" s="3"/>
      <c r="B860" s="7"/>
      <c r="C860" s="3"/>
      <c r="D860" s="3"/>
      <c r="E860" s="3"/>
      <c r="F860" s="3"/>
      <c r="G860" s="3"/>
      <c r="H860" s="4"/>
      <c r="I860" s="4"/>
      <c r="J860" s="3"/>
      <c r="K860" s="8" t="str">
        <f t="shared" si="13"/>
        <v/>
      </c>
      <c r="L860" s="1" t="str">
        <f>IF(COUNTA(A860:J860)=0,"",IF(OR(AND(C860&lt;&gt;"Gasto",C860&lt;&gt;"Pago proveedor",C860&lt;&gt;"Retiro familiar",C860&lt;&gt;"Aportación",C860&lt;&gt;"Pago activo",C860&lt;&gt;"ISR devengado",C860&lt;&gt;"Pago ISR",C860&lt;&gt;"Pago IVA",C860&lt;&gt;"Compensación ISR",C860&lt;&gt;"Compensación IVA"),AND(C860="Gasto",D860&lt;&gt;"Costos clínicos",D860&lt;&gt;"Remuneración familiar",D860&lt;&gt;"Nómina y honorarios",D860&lt;&gt;"Renta",D860&lt;&gt;"Marketing",D860&lt;&gt;"Servicios y software",D860&lt;&gt;"Mantenimiento",D860&lt;&gt;"Otros",D860&lt;&gt;"Intereses")),"Tipo o categoría inválido",IF(COUNTA(A860:J860)=0,"",IF(OR(A860="",B860="",C860="",H860=""),"Faltan datos",IF(COUNTIF($A$7:$A$2006,A860)&gt;1,"ID duplicado",IF(OR(B860&lt;DATE(Configuración!$C$5,1,1),B860&gt;=DATE(Configuración!$C$5+1,1,1)),"Fecha fuera del año",IF(OR(H860&lt;0,I860&lt;0),"Revisar signo",IF(AND(C860&lt;&gt;"Gasto",I860&lt;&gt;0),"IVA solo en Gasto",IF(AND(C860="Gasto",D860=""),"Falta categoría","OK")))))))))</f>
        <v/>
      </c>
    </row>
    <row r="861" spans="1:12" ht="22" customHeight="1">
      <c r="A861" s="3"/>
      <c r="B861" s="7"/>
      <c r="C861" s="3"/>
      <c r="D861" s="3"/>
      <c r="E861" s="3"/>
      <c r="F861" s="3"/>
      <c r="G861" s="3"/>
      <c r="H861" s="4"/>
      <c r="I861" s="4"/>
      <c r="J861" s="3"/>
      <c r="K861" s="8" t="str">
        <f t="shared" si="13"/>
        <v/>
      </c>
      <c r="L861" s="1" t="str">
        <f>IF(COUNTA(A861:J861)=0,"",IF(OR(AND(C861&lt;&gt;"Gasto",C861&lt;&gt;"Pago proveedor",C861&lt;&gt;"Retiro familiar",C861&lt;&gt;"Aportación",C861&lt;&gt;"Pago activo",C861&lt;&gt;"ISR devengado",C861&lt;&gt;"Pago ISR",C861&lt;&gt;"Pago IVA",C861&lt;&gt;"Compensación ISR",C861&lt;&gt;"Compensación IVA"),AND(C861="Gasto",D861&lt;&gt;"Costos clínicos",D861&lt;&gt;"Remuneración familiar",D861&lt;&gt;"Nómina y honorarios",D861&lt;&gt;"Renta",D861&lt;&gt;"Marketing",D861&lt;&gt;"Servicios y software",D861&lt;&gt;"Mantenimiento",D861&lt;&gt;"Otros",D861&lt;&gt;"Intereses")),"Tipo o categoría inválido",IF(COUNTA(A861:J861)=0,"",IF(OR(A861="",B861="",C861="",H861=""),"Faltan datos",IF(COUNTIF($A$7:$A$2006,A861)&gt;1,"ID duplicado",IF(OR(B861&lt;DATE(Configuración!$C$5,1,1),B861&gt;=DATE(Configuración!$C$5+1,1,1)),"Fecha fuera del año",IF(OR(H861&lt;0,I861&lt;0),"Revisar signo",IF(AND(C861&lt;&gt;"Gasto",I861&lt;&gt;0),"IVA solo en Gasto",IF(AND(C861="Gasto",D861=""),"Falta categoría","OK")))))))))</f>
        <v/>
      </c>
    </row>
    <row r="862" spans="1:12" ht="22" customHeight="1">
      <c r="A862" s="3"/>
      <c r="B862" s="7"/>
      <c r="C862" s="3"/>
      <c r="D862" s="3"/>
      <c r="E862" s="3"/>
      <c r="F862" s="3"/>
      <c r="G862" s="3"/>
      <c r="H862" s="4"/>
      <c r="I862" s="4"/>
      <c r="J862" s="3"/>
      <c r="K862" s="8" t="str">
        <f t="shared" si="13"/>
        <v/>
      </c>
      <c r="L862" s="1" t="str">
        <f>IF(COUNTA(A862:J862)=0,"",IF(OR(AND(C862&lt;&gt;"Gasto",C862&lt;&gt;"Pago proveedor",C862&lt;&gt;"Retiro familiar",C862&lt;&gt;"Aportación",C862&lt;&gt;"Pago activo",C862&lt;&gt;"ISR devengado",C862&lt;&gt;"Pago ISR",C862&lt;&gt;"Pago IVA",C862&lt;&gt;"Compensación ISR",C862&lt;&gt;"Compensación IVA"),AND(C862="Gasto",D862&lt;&gt;"Costos clínicos",D862&lt;&gt;"Remuneración familiar",D862&lt;&gt;"Nómina y honorarios",D862&lt;&gt;"Renta",D862&lt;&gt;"Marketing",D862&lt;&gt;"Servicios y software",D862&lt;&gt;"Mantenimiento",D862&lt;&gt;"Otros",D862&lt;&gt;"Intereses")),"Tipo o categoría inválido",IF(COUNTA(A862:J862)=0,"",IF(OR(A862="",B862="",C862="",H862=""),"Faltan datos",IF(COUNTIF($A$7:$A$2006,A862)&gt;1,"ID duplicado",IF(OR(B862&lt;DATE(Configuración!$C$5,1,1),B862&gt;=DATE(Configuración!$C$5+1,1,1)),"Fecha fuera del año",IF(OR(H862&lt;0,I862&lt;0),"Revisar signo",IF(AND(C862&lt;&gt;"Gasto",I862&lt;&gt;0),"IVA solo en Gasto",IF(AND(C862="Gasto",D862=""),"Falta categoría","OK")))))))))</f>
        <v/>
      </c>
    </row>
    <row r="863" spans="1:12" ht="22" customHeight="1">
      <c r="A863" s="3"/>
      <c r="B863" s="7"/>
      <c r="C863" s="3"/>
      <c r="D863" s="3"/>
      <c r="E863" s="3"/>
      <c r="F863" s="3"/>
      <c r="G863" s="3"/>
      <c r="H863" s="4"/>
      <c r="I863" s="4"/>
      <c r="J863" s="3"/>
      <c r="K863" s="8" t="str">
        <f t="shared" si="13"/>
        <v/>
      </c>
      <c r="L863" s="1" t="str">
        <f>IF(COUNTA(A863:J863)=0,"",IF(OR(AND(C863&lt;&gt;"Gasto",C863&lt;&gt;"Pago proveedor",C863&lt;&gt;"Retiro familiar",C863&lt;&gt;"Aportación",C863&lt;&gt;"Pago activo",C863&lt;&gt;"ISR devengado",C863&lt;&gt;"Pago ISR",C863&lt;&gt;"Pago IVA",C863&lt;&gt;"Compensación ISR",C863&lt;&gt;"Compensación IVA"),AND(C863="Gasto",D863&lt;&gt;"Costos clínicos",D863&lt;&gt;"Remuneración familiar",D863&lt;&gt;"Nómina y honorarios",D863&lt;&gt;"Renta",D863&lt;&gt;"Marketing",D863&lt;&gt;"Servicios y software",D863&lt;&gt;"Mantenimiento",D863&lt;&gt;"Otros",D863&lt;&gt;"Intereses")),"Tipo o categoría inválido",IF(COUNTA(A863:J863)=0,"",IF(OR(A863="",B863="",C863="",H863=""),"Faltan datos",IF(COUNTIF($A$7:$A$2006,A863)&gt;1,"ID duplicado",IF(OR(B863&lt;DATE(Configuración!$C$5,1,1),B863&gt;=DATE(Configuración!$C$5+1,1,1)),"Fecha fuera del año",IF(OR(H863&lt;0,I863&lt;0),"Revisar signo",IF(AND(C863&lt;&gt;"Gasto",I863&lt;&gt;0),"IVA solo en Gasto",IF(AND(C863="Gasto",D863=""),"Falta categoría","OK")))))))))</f>
        <v/>
      </c>
    </row>
    <row r="864" spans="1:12" ht="22" customHeight="1">
      <c r="A864" s="3"/>
      <c r="B864" s="7"/>
      <c r="C864" s="3"/>
      <c r="D864" s="3"/>
      <c r="E864" s="3"/>
      <c r="F864" s="3"/>
      <c r="G864" s="3"/>
      <c r="H864" s="4"/>
      <c r="I864" s="4"/>
      <c r="J864" s="3"/>
      <c r="K864" s="8" t="str">
        <f t="shared" si="13"/>
        <v/>
      </c>
      <c r="L864" s="1" t="str">
        <f>IF(COUNTA(A864:J864)=0,"",IF(OR(AND(C864&lt;&gt;"Gasto",C864&lt;&gt;"Pago proveedor",C864&lt;&gt;"Retiro familiar",C864&lt;&gt;"Aportación",C864&lt;&gt;"Pago activo",C864&lt;&gt;"ISR devengado",C864&lt;&gt;"Pago ISR",C864&lt;&gt;"Pago IVA",C864&lt;&gt;"Compensación ISR",C864&lt;&gt;"Compensación IVA"),AND(C864="Gasto",D864&lt;&gt;"Costos clínicos",D864&lt;&gt;"Remuneración familiar",D864&lt;&gt;"Nómina y honorarios",D864&lt;&gt;"Renta",D864&lt;&gt;"Marketing",D864&lt;&gt;"Servicios y software",D864&lt;&gt;"Mantenimiento",D864&lt;&gt;"Otros",D864&lt;&gt;"Intereses")),"Tipo o categoría inválido",IF(COUNTA(A864:J864)=0,"",IF(OR(A864="",B864="",C864="",H864=""),"Faltan datos",IF(COUNTIF($A$7:$A$2006,A864)&gt;1,"ID duplicado",IF(OR(B864&lt;DATE(Configuración!$C$5,1,1),B864&gt;=DATE(Configuración!$C$5+1,1,1)),"Fecha fuera del año",IF(OR(H864&lt;0,I864&lt;0),"Revisar signo",IF(AND(C864&lt;&gt;"Gasto",I864&lt;&gt;0),"IVA solo en Gasto",IF(AND(C864="Gasto",D864=""),"Falta categoría","OK")))))))))</f>
        <v/>
      </c>
    </row>
    <row r="865" spans="1:12" ht="22" customHeight="1">
      <c r="A865" s="3"/>
      <c r="B865" s="7"/>
      <c r="C865" s="3"/>
      <c r="D865" s="3"/>
      <c r="E865" s="3"/>
      <c r="F865" s="3"/>
      <c r="G865" s="3"/>
      <c r="H865" s="4"/>
      <c r="I865" s="4"/>
      <c r="J865" s="3"/>
      <c r="K865" s="8" t="str">
        <f t="shared" si="13"/>
        <v/>
      </c>
      <c r="L865" s="1" t="str">
        <f>IF(COUNTA(A865:J865)=0,"",IF(OR(AND(C865&lt;&gt;"Gasto",C865&lt;&gt;"Pago proveedor",C865&lt;&gt;"Retiro familiar",C865&lt;&gt;"Aportación",C865&lt;&gt;"Pago activo",C865&lt;&gt;"ISR devengado",C865&lt;&gt;"Pago ISR",C865&lt;&gt;"Pago IVA",C865&lt;&gt;"Compensación ISR",C865&lt;&gt;"Compensación IVA"),AND(C865="Gasto",D865&lt;&gt;"Costos clínicos",D865&lt;&gt;"Remuneración familiar",D865&lt;&gt;"Nómina y honorarios",D865&lt;&gt;"Renta",D865&lt;&gt;"Marketing",D865&lt;&gt;"Servicios y software",D865&lt;&gt;"Mantenimiento",D865&lt;&gt;"Otros",D865&lt;&gt;"Intereses")),"Tipo o categoría inválido",IF(COUNTA(A865:J865)=0,"",IF(OR(A865="",B865="",C865="",H865=""),"Faltan datos",IF(COUNTIF($A$7:$A$2006,A865)&gt;1,"ID duplicado",IF(OR(B865&lt;DATE(Configuración!$C$5,1,1),B865&gt;=DATE(Configuración!$C$5+1,1,1)),"Fecha fuera del año",IF(OR(H865&lt;0,I865&lt;0),"Revisar signo",IF(AND(C865&lt;&gt;"Gasto",I865&lt;&gt;0),"IVA solo en Gasto",IF(AND(C865="Gasto",D865=""),"Falta categoría","OK")))))))))</f>
        <v/>
      </c>
    </row>
    <row r="866" spans="1:12" ht="22" customHeight="1">
      <c r="A866" s="3"/>
      <c r="B866" s="7"/>
      <c r="C866" s="3"/>
      <c r="D866" s="3"/>
      <c r="E866" s="3"/>
      <c r="F866" s="3"/>
      <c r="G866" s="3"/>
      <c r="H866" s="4"/>
      <c r="I866" s="4"/>
      <c r="J866" s="3"/>
      <c r="K866" s="8" t="str">
        <f t="shared" si="13"/>
        <v/>
      </c>
      <c r="L866" s="1" t="str">
        <f>IF(COUNTA(A866:J866)=0,"",IF(OR(AND(C866&lt;&gt;"Gasto",C866&lt;&gt;"Pago proveedor",C866&lt;&gt;"Retiro familiar",C866&lt;&gt;"Aportación",C866&lt;&gt;"Pago activo",C866&lt;&gt;"ISR devengado",C866&lt;&gt;"Pago ISR",C866&lt;&gt;"Pago IVA",C866&lt;&gt;"Compensación ISR",C866&lt;&gt;"Compensación IVA"),AND(C866="Gasto",D866&lt;&gt;"Costos clínicos",D866&lt;&gt;"Remuneración familiar",D866&lt;&gt;"Nómina y honorarios",D866&lt;&gt;"Renta",D866&lt;&gt;"Marketing",D866&lt;&gt;"Servicios y software",D866&lt;&gt;"Mantenimiento",D866&lt;&gt;"Otros",D866&lt;&gt;"Intereses")),"Tipo o categoría inválido",IF(COUNTA(A866:J866)=0,"",IF(OR(A866="",B866="",C866="",H866=""),"Faltan datos",IF(COUNTIF($A$7:$A$2006,A866)&gt;1,"ID duplicado",IF(OR(B866&lt;DATE(Configuración!$C$5,1,1),B866&gt;=DATE(Configuración!$C$5+1,1,1)),"Fecha fuera del año",IF(OR(H866&lt;0,I866&lt;0),"Revisar signo",IF(AND(C866&lt;&gt;"Gasto",I866&lt;&gt;0),"IVA solo en Gasto",IF(AND(C866="Gasto",D866=""),"Falta categoría","OK")))))))))</f>
        <v/>
      </c>
    </row>
    <row r="867" spans="1:12" ht="22" customHeight="1">
      <c r="A867" s="3"/>
      <c r="B867" s="7"/>
      <c r="C867" s="3"/>
      <c r="D867" s="3"/>
      <c r="E867" s="3"/>
      <c r="F867" s="3"/>
      <c r="G867" s="3"/>
      <c r="H867" s="4"/>
      <c r="I867" s="4"/>
      <c r="J867" s="3"/>
      <c r="K867" s="8" t="str">
        <f t="shared" si="13"/>
        <v/>
      </c>
      <c r="L867" s="1" t="str">
        <f>IF(COUNTA(A867:J867)=0,"",IF(OR(AND(C867&lt;&gt;"Gasto",C867&lt;&gt;"Pago proveedor",C867&lt;&gt;"Retiro familiar",C867&lt;&gt;"Aportación",C867&lt;&gt;"Pago activo",C867&lt;&gt;"ISR devengado",C867&lt;&gt;"Pago ISR",C867&lt;&gt;"Pago IVA",C867&lt;&gt;"Compensación ISR",C867&lt;&gt;"Compensación IVA"),AND(C867="Gasto",D867&lt;&gt;"Costos clínicos",D867&lt;&gt;"Remuneración familiar",D867&lt;&gt;"Nómina y honorarios",D867&lt;&gt;"Renta",D867&lt;&gt;"Marketing",D867&lt;&gt;"Servicios y software",D867&lt;&gt;"Mantenimiento",D867&lt;&gt;"Otros",D867&lt;&gt;"Intereses")),"Tipo o categoría inválido",IF(COUNTA(A867:J867)=0,"",IF(OR(A867="",B867="",C867="",H867=""),"Faltan datos",IF(COUNTIF($A$7:$A$2006,A867)&gt;1,"ID duplicado",IF(OR(B867&lt;DATE(Configuración!$C$5,1,1),B867&gt;=DATE(Configuración!$C$5+1,1,1)),"Fecha fuera del año",IF(OR(H867&lt;0,I867&lt;0),"Revisar signo",IF(AND(C867&lt;&gt;"Gasto",I867&lt;&gt;0),"IVA solo en Gasto",IF(AND(C867="Gasto",D867=""),"Falta categoría","OK")))))))))</f>
        <v/>
      </c>
    </row>
    <row r="868" spans="1:12" ht="22" customHeight="1">
      <c r="A868" s="3"/>
      <c r="B868" s="7"/>
      <c r="C868" s="3"/>
      <c r="D868" s="3"/>
      <c r="E868" s="3"/>
      <c r="F868" s="3"/>
      <c r="G868" s="3"/>
      <c r="H868" s="4"/>
      <c r="I868" s="4"/>
      <c r="J868" s="3"/>
      <c r="K868" s="8" t="str">
        <f t="shared" si="13"/>
        <v/>
      </c>
      <c r="L868" s="1" t="str">
        <f>IF(COUNTA(A868:J868)=0,"",IF(OR(AND(C868&lt;&gt;"Gasto",C868&lt;&gt;"Pago proveedor",C868&lt;&gt;"Retiro familiar",C868&lt;&gt;"Aportación",C868&lt;&gt;"Pago activo",C868&lt;&gt;"ISR devengado",C868&lt;&gt;"Pago ISR",C868&lt;&gt;"Pago IVA",C868&lt;&gt;"Compensación ISR",C868&lt;&gt;"Compensación IVA"),AND(C868="Gasto",D868&lt;&gt;"Costos clínicos",D868&lt;&gt;"Remuneración familiar",D868&lt;&gt;"Nómina y honorarios",D868&lt;&gt;"Renta",D868&lt;&gt;"Marketing",D868&lt;&gt;"Servicios y software",D868&lt;&gt;"Mantenimiento",D868&lt;&gt;"Otros",D868&lt;&gt;"Intereses")),"Tipo o categoría inválido",IF(COUNTA(A868:J868)=0,"",IF(OR(A868="",B868="",C868="",H868=""),"Faltan datos",IF(COUNTIF($A$7:$A$2006,A868)&gt;1,"ID duplicado",IF(OR(B868&lt;DATE(Configuración!$C$5,1,1),B868&gt;=DATE(Configuración!$C$5+1,1,1)),"Fecha fuera del año",IF(OR(H868&lt;0,I868&lt;0),"Revisar signo",IF(AND(C868&lt;&gt;"Gasto",I868&lt;&gt;0),"IVA solo en Gasto",IF(AND(C868="Gasto",D868=""),"Falta categoría","OK")))))))))</f>
        <v/>
      </c>
    </row>
    <row r="869" spans="1:12" ht="22" customHeight="1">
      <c r="A869" s="3"/>
      <c r="B869" s="7"/>
      <c r="C869" s="3"/>
      <c r="D869" s="3"/>
      <c r="E869" s="3"/>
      <c r="F869" s="3"/>
      <c r="G869" s="3"/>
      <c r="H869" s="4"/>
      <c r="I869" s="4"/>
      <c r="J869" s="3"/>
      <c r="K869" s="8" t="str">
        <f t="shared" si="13"/>
        <v/>
      </c>
      <c r="L869" s="1" t="str">
        <f>IF(COUNTA(A869:J869)=0,"",IF(OR(AND(C869&lt;&gt;"Gasto",C869&lt;&gt;"Pago proveedor",C869&lt;&gt;"Retiro familiar",C869&lt;&gt;"Aportación",C869&lt;&gt;"Pago activo",C869&lt;&gt;"ISR devengado",C869&lt;&gt;"Pago ISR",C869&lt;&gt;"Pago IVA",C869&lt;&gt;"Compensación ISR",C869&lt;&gt;"Compensación IVA"),AND(C869="Gasto",D869&lt;&gt;"Costos clínicos",D869&lt;&gt;"Remuneración familiar",D869&lt;&gt;"Nómina y honorarios",D869&lt;&gt;"Renta",D869&lt;&gt;"Marketing",D869&lt;&gt;"Servicios y software",D869&lt;&gt;"Mantenimiento",D869&lt;&gt;"Otros",D869&lt;&gt;"Intereses")),"Tipo o categoría inválido",IF(COUNTA(A869:J869)=0,"",IF(OR(A869="",B869="",C869="",H869=""),"Faltan datos",IF(COUNTIF($A$7:$A$2006,A869)&gt;1,"ID duplicado",IF(OR(B869&lt;DATE(Configuración!$C$5,1,1),B869&gt;=DATE(Configuración!$C$5+1,1,1)),"Fecha fuera del año",IF(OR(H869&lt;0,I869&lt;0),"Revisar signo",IF(AND(C869&lt;&gt;"Gasto",I869&lt;&gt;0),"IVA solo en Gasto",IF(AND(C869="Gasto",D869=""),"Falta categoría","OK")))))))))</f>
        <v/>
      </c>
    </row>
    <row r="870" spans="1:12" ht="22" customHeight="1">
      <c r="A870" s="3"/>
      <c r="B870" s="7"/>
      <c r="C870" s="3"/>
      <c r="D870" s="3"/>
      <c r="E870" s="3"/>
      <c r="F870" s="3"/>
      <c r="G870" s="3"/>
      <c r="H870" s="4"/>
      <c r="I870" s="4"/>
      <c r="J870" s="3"/>
      <c r="K870" s="8" t="str">
        <f t="shared" si="13"/>
        <v/>
      </c>
      <c r="L870" s="1" t="str">
        <f>IF(COUNTA(A870:J870)=0,"",IF(OR(AND(C870&lt;&gt;"Gasto",C870&lt;&gt;"Pago proveedor",C870&lt;&gt;"Retiro familiar",C870&lt;&gt;"Aportación",C870&lt;&gt;"Pago activo",C870&lt;&gt;"ISR devengado",C870&lt;&gt;"Pago ISR",C870&lt;&gt;"Pago IVA",C870&lt;&gt;"Compensación ISR",C870&lt;&gt;"Compensación IVA"),AND(C870="Gasto",D870&lt;&gt;"Costos clínicos",D870&lt;&gt;"Remuneración familiar",D870&lt;&gt;"Nómina y honorarios",D870&lt;&gt;"Renta",D870&lt;&gt;"Marketing",D870&lt;&gt;"Servicios y software",D870&lt;&gt;"Mantenimiento",D870&lt;&gt;"Otros",D870&lt;&gt;"Intereses")),"Tipo o categoría inválido",IF(COUNTA(A870:J870)=0,"",IF(OR(A870="",B870="",C870="",H870=""),"Faltan datos",IF(COUNTIF($A$7:$A$2006,A870)&gt;1,"ID duplicado",IF(OR(B870&lt;DATE(Configuración!$C$5,1,1),B870&gt;=DATE(Configuración!$C$5+1,1,1)),"Fecha fuera del año",IF(OR(H870&lt;0,I870&lt;0),"Revisar signo",IF(AND(C870&lt;&gt;"Gasto",I870&lt;&gt;0),"IVA solo en Gasto",IF(AND(C870="Gasto",D870=""),"Falta categoría","OK")))))))))</f>
        <v/>
      </c>
    </row>
    <row r="871" spans="1:12" ht="22" customHeight="1">
      <c r="A871" s="3"/>
      <c r="B871" s="7"/>
      <c r="C871" s="3"/>
      <c r="D871" s="3"/>
      <c r="E871" s="3"/>
      <c r="F871" s="3"/>
      <c r="G871" s="3"/>
      <c r="H871" s="4"/>
      <c r="I871" s="4"/>
      <c r="J871" s="3"/>
      <c r="K871" s="8" t="str">
        <f t="shared" si="13"/>
        <v/>
      </c>
      <c r="L871" s="1" t="str">
        <f>IF(COUNTA(A871:J871)=0,"",IF(OR(AND(C871&lt;&gt;"Gasto",C871&lt;&gt;"Pago proveedor",C871&lt;&gt;"Retiro familiar",C871&lt;&gt;"Aportación",C871&lt;&gt;"Pago activo",C871&lt;&gt;"ISR devengado",C871&lt;&gt;"Pago ISR",C871&lt;&gt;"Pago IVA",C871&lt;&gt;"Compensación ISR",C871&lt;&gt;"Compensación IVA"),AND(C871="Gasto",D871&lt;&gt;"Costos clínicos",D871&lt;&gt;"Remuneración familiar",D871&lt;&gt;"Nómina y honorarios",D871&lt;&gt;"Renta",D871&lt;&gt;"Marketing",D871&lt;&gt;"Servicios y software",D871&lt;&gt;"Mantenimiento",D871&lt;&gt;"Otros",D871&lt;&gt;"Intereses")),"Tipo o categoría inválido",IF(COUNTA(A871:J871)=0,"",IF(OR(A871="",B871="",C871="",H871=""),"Faltan datos",IF(COUNTIF($A$7:$A$2006,A871)&gt;1,"ID duplicado",IF(OR(B871&lt;DATE(Configuración!$C$5,1,1),B871&gt;=DATE(Configuración!$C$5+1,1,1)),"Fecha fuera del año",IF(OR(H871&lt;0,I871&lt;0),"Revisar signo",IF(AND(C871&lt;&gt;"Gasto",I871&lt;&gt;0),"IVA solo en Gasto",IF(AND(C871="Gasto",D871=""),"Falta categoría","OK")))))))))</f>
        <v/>
      </c>
    </row>
    <row r="872" spans="1:12" ht="22" customHeight="1">
      <c r="A872" s="3"/>
      <c r="B872" s="7"/>
      <c r="C872" s="3"/>
      <c r="D872" s="3"/>
      <c r="E872" s="3"/>
      <c r="F872" s="3"/>
      <c r="G872" s="3"/>
      <c r="H872" s="4"/>
      <c r="I872" s="4"/>
      <c r="J872" s="3"/>
      <c r="K872" s="8" t="str">
        <f t="shared" si="13"/>
        <v/>
      </c>
      <c r="L872" s="1" t="str">
        <f>IF(COUNTA(A872:J872)=0,"",IF(OR(AND(C872&lt;&gt;"Gasto",C872&lt;&gt;"Pago proveedor",C872&lt;&gt;"Retiro familiar",C872&lt;&gt;"Aportación",C872&lt;&gt;"Pago activo",C872&lt;&gt;"ISR devengado",C872&lt;&gt;"Pago ISR",C872&lt;&gt;"Pago IVA",C872&lt;&gt;"Compensación ISR",C872&lt;&gt;"Compensación IVA"),AND(C872="Gasto",D872&lt;&gt;"Costos clínicos",D872&lt;&gt;"Remuneración familiar",D872&lt;&gt;"Nómina y honorarios",D872&lt;&gt;"Renta",D872&lt;&gt;"Marketing",D872&lt;&gt;"Servicios y software",D872&lt;&gt;"Mantenimiento",D872&lt;&gt;"Otros",D872&lt;&gt;"Intereses")),"Tipo o categoría inválido",IF(COUNTA(A872:J872)=0,"",IF(OR(A872="",B872="",C872="",H872=""),"Faltan datos",IF(COUNTIF($A$7:$A$2006,A872)&gt;1,"ID duplicado",IF(OR(B872&lt;DATE(Configuración!$C$5,1,1),B872&gt;=DATE(Configuración!$C$5+1,1,1)),"Fecha fuera del año",IF(OR(H872&lt;0,I872&lt;0),"Revisar signo",IF(AND(C872&lt;&gt;"Gasto",I872&lt;&gt;0),"IVA solo en Gasto",IF(AND(C872="Gasto",D872=""),"Falta categoría","OK")))))))))</f>
        <v/>
      </c>
    </row>
    <row r="873" spans="1:12" ht="22" customHeight="1">
      <c r="A873" s="3"/>
      <c r="B873" s="7"/>
      <c r="C873" s="3"/>
      <c r="D873" s="3"/>
      <c r="E873" s="3"/>
      <c r="F873" s="3"/>
      <c r="G873" s="3"/>
      <c r="H873" s="4"/>
      <c r="I873" s="4"/>
      <c r="J873" s="3"/>
      <c r="K873" s="8" t="str">
        <f t="shared" si="13"/>
        <v/>
      </c>
      <c r="L873" s="1" t="str">
        <f>IF(COUNTA(A873:J873)=0,"",IF(OR(AND(C873&lt;&gt;"Gasto",C873&lt;&gt;"Pago proveedor",C873&lt;&gt;"Retiro familiar",C873&lt;&gt;"Aportación",C873&lt;&gt;"Pago activo",C873&lt;&gt;"ISR devengado",C873&lt;&gt;"Pago ISR",C873&lt;&gt;"Pago IVA",C873&lt;&gt;"Compensación ISR",C873&lt;&gt;"Compensación IVA"),AND(C873="Gasto",D873&lt;&gt;"Costos clínicos",D873&lt;&gt;"Remuneración familiar",D873&lt;&gt;"Nómina y honorarios",D873&lt;&gt;"Renta",D873&lt;&gt;"Marketing",D873&lt;&gt;"Servicios y software",D873&lt;&gt;"Mantenimiento",D873&lt;&gt;"Otros",D873&lt;&gt;"Intereses")),"Tipo o categoría inválido",IF(COUNTA(A873:J873)=0,"",IF(OR(A873="",B873="",C873="",H873=""),"Faltan datos",IF(COUNTIF($A$7:$A$2006,A873)&gt;1,"ID duplicado",IF(OR(B873&lt;DATE(Configuración!$C$5,1,1),B873&gt;=DATE(Configuración!$C$5+1,1,1)),"Fecha fuera del año",IF(OR(H873&lt;0,I873&lt;0),"Revisar signo",IF(AND(C873&lt;&gt;"Gasto",I873&lt;&gt;0),"IVA solo en Gasto",IF(AND(C873="Gasto",D873=""),"Falta categoría","OK")))))))))</f>
        <v/>
      </c>
    </row>
    <row r="874" spans="1:12" ht="22" customHeight="1">
      <c r="A874" s="3"/>
      <c r="B874" s="7"/>
      <c r="C874" s="3"/>
      <c r="D874" s="3"/>
      <c r="E874" s="3"/>
      <c r="F874" s="3"/>
      <c r="G874" s="3"/>
      <c r="H874" s="4"/>
      <c r="I874" s="4"/>
      <c r="J874" s="3"/>
      <c r="K874" s="8" t="str">
        <f t="shared" si="13"/>
        <v/>
      </c>
      <c r="L874" s="1" t="str">
        <f>IF(COUNTA(A874:J874)=0,"",IF(OR(AND(C874&lt;&gt;"Gasto",C874&lt;&gt;"Pago proveedor",C874&lt;&gt;"Retiro familiar",C874&lt;&gt;"Aportación",C874&lt;&gt;"Pago activo",C874&lt;&gt;"ISR devengado",C874&lt;&gt;"Pago ISR",C874&lt;&gt;"Pago IVA",C874&lt;&gt;"Compensación ISR",C874&lt;&gt;"Compensación IVA"),AND(C874="Gasto",D874&lt;&gt;"Costos clínicos",D874&lt;&gt;"Remuneración familiar",D874&lt;&gt;"Nómina y honorarios",D874&lt;&gt;"Renta",D874&lt;&gt;"Marketing",D874&lt;&gt;"Servicios y software",D874&lt;&gt;"Mantenimiento",D874&lt;&gt;"Otros",D874&lt;&gt;"Intereses")),"Tipo o categoría inválido",IF(COUNTA(A874:J874)=0,"",IF(OR(A874="",B874="",C874="",H874=""),"Faltan datos",IF(COUNTIF($A$7:$A$2006,A874)&gt;1,"ID duplicado",IF(OR(B874&lt;DATE(Configuración!$C$5,1,1),B874&gt;=DATE(Configuración!$C$5+1,1,1)),"Fecha fuera del año",IF(OR(H874&lt;0,I874&lt;0),"Revisar signo",IF(AND(C874&lt;&gt;"Gasto",I874&lt;&gt;0),"IVA solo en Gasto",IF(AND(C874="Gasto",D874=""),"Falta categoría","OK")))))))))</f>
        <v/>
      </c>
    </row>
    <row r="875" spans="1:12" ht="22" customHeight="1">
      <c r="A875" s="3"/>
      <c r="B875" s="7"/>
      <c r="C875" s="3"/>
      <c r="D875" s="3"/>
      <c r="E875" s="3"/>
      <c r="F875" s="3"/>
      <c r="G875" s="3"/>
      <c r="H875" s="4"/>
      <c r="I875" s="4"/>
      <c r="J875" s="3"/>
      <c r="K875" s="8" t="str">
        <f t="shared" si="13"/>
        <v/>
      </c>
      <c r="L875" s="1" t="str">
        <f>IF(COUNTA(A875:J875)=0,"",IF(OR(AND(C875&lt;&gt;"Gasto",C875&lt;&gt;"Pago proveedor",C875&lt;&gt;"Retiro familiar",C875&lt;&gt;"Aportación",C875&lt;&gt;"Pago activo",C875&lt;&gt;"ISR devengado",C875&lt;&gt;"Pago ISR",C875&lt;&gt;"Pago IVA",C875&lt;&gt;"Compensación ISR",C875&lt;&gt;"Compensación IVA"),AND(C875="Gasto",D875&lt;&gt;"Costos clínicos",D875&lt;&gt;"Remuneración familiar",D875&lt;&gt;"Nómina y honorarios",D875&lt;&gt;"Renta",D875&lt;&gt;"Marketing",D875&lt;&gt;"Servicios y software",D875&lt;&gt;"Mantenimiento",D875&lt;&gt;"Otros",D875&lt;&gt;"Intereses")),"Tipo o categoría inválido",IF(COUNTA(A875:J875)=0,"",IF(OR(A875="",B875="",C875="",H875=""),"Faltan datos",IF(COUNTIF($A$7:$A$2006,A875)&gt;1,"ID duplicado",IF(OR(B875&lt;DATE(Configuración!$C$5,1,1),B875&gt;=DATE(Configuración!$C$5+1,1,1)),"Fecha fuera del año",IF(OR(H875&lt;0,I875&lt;0),"Revisar signo",IF(AND(C875&lt;&gt;"Gasto",I875&lt;&gt;0),"IVA solo en Gasto",IF(AND(C875="Gasto",D875=""),"Falta categoría","OK")))))))))</f>
        <v/>
      </c>
    </row>
    <row r="876" spans="1:12" ht="22" customHeight="1">
      <c r="A876" s="3"/>
      <c r="B876" s="7"/>
      <c r="C876" s="3"/>
      <c r="D876" s="3"/>
      <c r="E876" s="3"/>
      <c r="F876" s="3"/>
      <c r="G876" s="3"/>
      <c r="H876" s="4"/>
      <c r="I876" s="4"/>
      <c r="J876" s="3"/>
      <c r="K876" s="8" t="str">
        <f t="shared" si="13"/>
        <v/>
      </c>
      <c r="L876" s="1" t="str">
        <f>IF(COUNTA(A876:J876)=0,"",IF(OR(AND(C876&lt;&gt;"Gasto",C876&lt;&gt;"Pago proveedor",C876&lt;&gt;"Retiro familiar",C876&lt;&gt;"Aportación",C876&lt;&gt;"Pago activo",C876&lt;&gt;"ISR devengado",C876&lt;&gt;"Pago ISR",C876&lt;&gt;"Pago IVA",C876&lt;&gt;"Compensación ISR",C876&lt;&gt;"Compensación IVA"),AND(C876="Gasto",D876&lt;&gt;"Costos clínicos",D876&lt;&gt;"Remuneración familiar",D876&lt;&gt;"Nómina y honorarios",D876&lt;&gt;"Renta",D876&lt;&gt;"Marketing",D876&lt;&gt;"Servicios y software",D876&lt;&gt;"Mantenimiento",D876&lt;&gt;"Otros",D876&lt;&gt;"Intereses")),"Tipo o categoría inválido",IF(COUNTA(A876:J876)=0,"",IF(OR(A876="",B876="",C876="",H876=""),"Faltan datos",IF(COUNTIF($A$7:$A$2006,A876)&gt;1,"ID duplicado",IF(OR(B876&lt;DATE(Configuración!$C$5,1,1),B876&gt;=DATE(Configuración!$C$5+1,1,1)),"Fecha fuera del año",IF(OR(H876&lt;0,I876&lt;0),"Revisar signo",IF(AND(C876&lt;&gt;"Gasto",I876&lt;&gt;0),"IVA solo en Gasto",IF(AND(C876="Gasto",D876=""),"Falta categoría","OK")))))))))</f>
        <v/>
      </c>
    </row>
    <row r="877" spans="1:12" ht="22" customHeight="1">
      <c r="A877" s="3"/>
      <c r="B877" s="7"/>
      <c r="C877" s="3"/>
      <c r="D877" s="3"/>
      <c r="E877" s="3"/>
      <c r="F877" s="3"/>
      <c r="G877" s="3"/>
      <c r="H877" s="4"/>
      <c r="I877" s="4"/>
      <c r="J877" s="3"/>
      <c r="K877" s="8" t="str">
        <f t="shared" si="13"/>
        <v/>
      </c>
      <c r="L877" s="1" t="str">
        <f>IF(COUNTA(A877:J877)=0,"",IF(OR(AND(C877&lt;&gt;"Gasto",C877&lt;&gt;"Pago proveedor",C877&lt;&gt;"Retiro familiar",C877&lt;&gt;"Aportación",C877&lt;&gt;"Pago activo",C877&lt;&gt;"ISR devengado",C877&lt;&gt;"Pago ISR",C877&lt;&gt;"Pago IVA",C877&lt;&gt;"Compensación ISR",C877&lt;&gt;"Compensación IVA"),AND(C877="Gasto",D877&lt;&gt;"Costos clínicos",D877&lt;&gt;"Remuneración familiar",D877&lt;&gt;"Nómina y honorarios",D877&lt;&gt;"Renta",D877&lt;&gt;"Marketing",D877&lt;&gt;"Servicios y software",D877&lt;&gt;"Mantenimiento",D877&lt;&gt;"Otros",D877&lt;&gt;"Intereses")),"Tipo o categoría inválido",IF(COUNTA(A877:J877)=0,"",IF(OR(A877="",B877="",C877="",H877=""),"Faltan datos",IF(COUNTIF($A$7:$A$2006,A877)&gt;1,"ID duplicado",IF(OR(B877&lt;DATE(Configuración!$C$5,1,1),B877&gt;=DATE(Configuración!$C$5+1,1,1)),"Fecha fuera del año",IF(OR(H877&lt;0,I877&lt;0),"Revisar signo",IF(AND(C877&lt;&gt;"Gasto",I877&lt;&gt;0),"IVA solo en Gasto",IF(AND(C877="Gasto",D877=""),"Falta categoría","OK")))))))))</f>
        <v/>
      </c>
    </row>
    <row r="878" spans="1:12" ht="22" customHeight="1">
      <c r="A878" s="3"/>
      <c r="B878" s="7"/>
      <c r="C878" s="3"/>
      <c r="D878" s="3"/>
      <c r="E878" s="3"/>
      <c r="F878" s="3"/>
      <c r="G878" s="3"/>
      <c r="H878" s="4"/>
      <c r="I878" s="4"/>
      <c r="J878" s="3"/>
      <c r="K878" s="8" t="str">
        <f t="shared" si="13"/>
        <v/>
      </c>
      <c r="L878" s="1" t="str">
        <f>IF(COUNTA(A878:J878)=0,"",IF(OR(AND(C878&lt;&gt;"Gasto",C878&lt;&gt;"Pago proveedor",C878&lt;&gt;"Retiro familiar",C878&lt;&gt;"Aportación",C878&lt;&gt;"Pago activo",C878&lt;&gt;"ISR devengado",C878&lt;&gt;"Pago ISR",C878&lt;&gt;"Pago IVA",C878&lt;&gt;"Compensación ISR",C878&lt;&gt;"Compensación IVA"),AND(C878="Gasto",D878&lt;&gt;"Costos clínicos",D878&lt;&gt;"Remuneración familiar",D878&lt;&gt;"Nómina y honorarios",D878&lt;&gt;"Renta",D878&lt;&gt;"Marketing",D878&lt;&gt;"Servicios y software",D878&lt;&gt;"Mantenimiento",D878&lt;&gt;"Otros",D878&lt;&gt;"Intereses")),"Tipo o categoría inválido",IF(COUNTA(A878:J878)=0,"",IF(OR(A878="",B878="",C878="",H878=""),"Faltan datos",IF(COUNTIF($A$7:$A$2006,A878)&gt;1,"ID duplicado",IF(OR(B878&lt;DATE(Configuración!$C$5,1,1),B878&gt;=DATE(Configuración!$C$5+1,1,1)),"Fecha fuera del año",IF(OR(H878&lt;0,I878&lt;0),"Revisar signo",IF(AND(C878&lt;&gt;"Gasto",I878&lt;&gt;0),"IVA solo en Gasto",IF(AND(C878="Gasto",D878=""),"Falta categoría","OK")))))))))</f>
        <v/>
      </c>
    </row>
    <row r="879" spans="1:12" ht="22" customHeight="1">
      <c r="A879" s="3"/>
      <c r="B879" s="7"/>
      <c r="C879" s="3"/>
      <c r="D879" s="3"/>
      <c r="E879" s="3"/>
      <c r="F879" s="3"/>
      <c r="G879" s="3"/>
      <c r="H879" s="4"/>
      <c r="I879" s="4"/>
      <c r="J879" s="3"/>
      <c r="K879" s="8" t="str">
        <f t="shared" si="13"/>
        <v/>
      </c>
      <c r="L879" s="1" t="str">
        <f>IF(COUNTA(A879:J879)=0,"",IF(OR(AND(C879&lt;&gt;"Gasto",C879&lt;&gt;"Pago proveedor",C879&lt;&gt;"Retiro familiar",C879&lt;&gt;"Aportación",C879&lt;&gt;"Pago activo",C879&lt;&gt;"ISR devengado",C879&lt;&gt;"Pago ISR",C879&lt;&gt;"Pago IVA",C879&lt;&gt;"Compensación ISR",C879&lt;&gt;"Compensación IVA"),AND(C879="Gasto",D879&lt;&gt;"Costos clínicos",D879&lt;&gt;"Remuneración familiar",D879&lt;&gt;"Nómina y honorarios",D879&lt;&gt;"Renta",D879&lt;&gt;"Marketing",D879&lt;&gt;"Servicios y software",D879&lt;&gt;"Mantenimiento",D879&lt;&gt;"Otros",D879&lt;&gt;"Intereses")),"Tipo o categoría inválido",IF(COUNTA(A879:J879)=0,"",IF(OR(A879="",B879="",C879="",H879=""),"Faltan datos",IF(COUNTIF($A$7:$A$2006,A879)&gt;1,"ID duplicado",IF(OR(B879&lt;DATE(Configuración!$C$5,1,1),B879&gt;=DATE(Configuración!$C$5+1,1,1)),"Fecha fuera del año",IF(OR(H879&lt;0,I879&lt;0),"Revisar signo",IF(AND(C879&lt;&gt;"Gasto",I879&lt;&gt;0),"IVA solo en Gasto",IF(AND(C879="Gasto",D879=""),"Falta categoría","OK")))))))))</f>
        <v/>
      </c>
    </row>
    <row r="880" spans="1:12" ht="22" customHeight="1">
      <c r="A880" s="3"/>
      <c r="B880" s="7"/>
      <c r="C880" s="3"/>
      <c r="D880" s="3"/>
      <c r="E880" s="3"/>
      <c r="F880" s="3"/>
      <c r="G880" s="3"/>
      <c r="H880" s="4"/>
      <c r="I880" s="4"/>
      <c r="J880" s="3"/>
      <c r="K880" s="8" t="str">
        <f t="shared" si="13"/>
        <v/>
      </c>
      <c r="L880" s="1" t="str">
        <f>IF(COUNTA(A880:J880)=0,"",IF(OR(AND(C880&lt;&gt;"Gasto",C880&lt;&gt;"Pago proveedor",C880&lt;&gt;"Retiro familiar",C880&lt;&gt;"Aportación",C880&lt;&gt;"Pago activo",C880&lt;&gt;"ISR devengado",C880&lt;&gt;"Pago ISR",C880&lt;&gt;"Pago IVA",C880&lt;&gt;"Compensación ISR",C880&lt;&gt;"Compensación IVA"),AND(C880="Gasto",D880&lt;&gt;"Costos clínicos",D880&lt;&gt;"Remuneración familiar",D880&lt;&gt;"Nómina y honorarios",D880&lt;&gt;"Renta",D880&lt;&gt;"Marketing",D880&lt;&gt;"Servicios y software",D880&lt;&gt;"Mantenimiento",D880&lt;&gt;"Otros",D880&lt;&gt;"Intereses")),"Tipo o categoría inválido",IF(COUNTA(A880:J880)=0,"",IF(OR(A880="",B880="",C880="",H880=""),"Faltan datos",IF(COUNTIF($A$7:$A$2006,A880)&gt;1,"ID duplicado",IF(OR(B880&lt;DATE(Configuración!$C$5,1,1),B880&gt;=DATE(Configuración!$C$5+1,1,1)),"Fecha fuera del año",IF(OR(H880&lt;0,I880&lt;0),"Revisar signo",IF(AND(C880&lt;&gt;"Gasto",I880&lt;&gt;0),"IVA solo en Gasto",IF(AND(C880="Gasto",D880=""),"Falta categoría","OK")))))))))</f>
        <v/>
      </c>
    </row>
    <row r="881" spans="1:12" ht="22" customHeight="1">
      <c r="A881" s="3"/>
      <c r="B881" s="7"/>
      <c r="C881" s="3"/>
      <c r="D881" s="3"/>
      <c r="E881" s="3"/>
      <c r="F881" s="3"/>
      <c r="G881" s="3"/>
      <c r="H881" s="4"/>
      <c r="I881" s="4"/>
      <c r="J881" s="3"/>
      <c r="K881" s="8" t="str">
        <f t="shared" si="13"/>
        <v/>
      </c>
      <c r="L881" s="1" t="str">
        <f>IF(COUNTA(A881:J881)=0,"",IF(OR(AND(C881&lt;&gt;"Gasto",C881&lt;&gt;"Pago proveedor",C881&lt;&gt;"Retiro familiar",C881&lt;&gt;"Aportación",C881&lt;&gt;"Pago activo",C881&lt;&gt;"ISR devengado",C881&lt;&gt;"Pago ISR",C881&lt;&gt;"Pago IVA",C881&lt;&gt;"Compensación ISR",C881&lt;&gt;"Compensación IVA"),AND(C881="Gasto",D881&lt;&gt;"Costos clínicos",D881&lt;&gt;"Remuneración familiar",D881&lt;&gt;"Nómina y honorarios",D881&lt;&gt;"Renta",D881&lt;&gt;"Marketing",D881&lt;&gt;"Servicios y software",D881&lt;&gt;"Mantenimiento",D881&lt;&gt;"Otros",D881&lt;&gt;"Intereses")),"Tipo o categoría inválido",IF(COUNTA(A881:J881)=0,"",IF(OR(A881="",B881="",C881="",H881=""),"Faltan datos",IF(COUNTIF($A$7:$A$2006,A881)&gt;1,"ID duplicado",IF(OR(B881&lt;DATE(Configuración!$C$5,1,1),B881&gt;=DATE(Configuración!$C$5+1,1,1)),"Fecha fuera del año",IF(OR(H881&lt;0,I881&lt;0),"Revisar signo",IF(AND(C881&lt;&gt;"Gasto",I881&lt;&gt;0),"IVA solo en Gasto",IF(AND(C881="Gasto",D881=""),"Falta categoría","OK")))))))))</f>
        <v/>
      </c>
    </row>
    <row r="882" spans="1:12" ht="22" customHeight="1">
      <c r="A882" s="3"/>
      <c r="B882" s="7"/>
      <c r="C882" s="3"/>
      <c r="D882" s="3"/>
      <c r="E882" s="3"/>
      <c r="F882" s="3"/>
      <c r="G882" s="3"/>
      <c r="H882" s="4"/>
      <c r="I882" s="4"/>
      <c r="J882" s="3"/>
      <c r="K882" s="8" t="str">
        <f t="shared" si="13"/>
        <v/>
      </c>
      <c r="L882" s="1" t="str">
        <f>IF(COUNTA(A882:J882)=0,"",IF(OR(AND(C882&lt;&gt;"Gasto",C882&lt;&gt;"Pago proveedor",C882&lt;&gt;"Retiro familiar",C882&lt;&gt;"Aportación",C882&lt;&gt;"Pago activo",C882&lt;&gt;"ISR devengado",C882&lt;&gt;"Pago ISR",C882&lt;&gt;"Pago IVA",C882&lt;&gt;"Compensación ISR",C882&lt;&gt;"Compensación IVA"),AND(C882="Gasto",D882&lt;&gt;"Costos clínicos",D882&lt;&gt;"Remuneración familiar",D882&lt;&gt;"Nómina y honorarios",D882&lt;&gt;"Renta",D882&lt;&gt;"Marketing",D882&lt;&gt;"Servicios y software",D882&lt;&gt;"Mantenimiento",D882&lt;&gt;"Otros",D882&lt;&gt;"Intereses")),"Tipo o categoría inválido",IF(COUNTA(A882:J882)=0,"",IF(OR(A882="",B882="",C882="",H882=""),"Faltan datos",IF(COUNTIF($A$7:$A$2006,A882)&gt;1,"ID duplicado",IF(OR(B882&lt;DATE(Configuración!$C$5,1,1),B882&gt;=DATE(Configuración!$C$5+1,1,1)),"Fecha fuera del año",IF(OR(H882&lt;0,I882&lt;0),"Revisar signo",IF(AND(C882&lt;&gt;"Gasto",I882&lt;&gt;0),"IVA solo en Gasto",IF(AND(C882="Gasto",D882=""),"Falta categoría","OK")))))))))</f>
        <v/>
      </c>
    </row>
    <row r="883" spans="1:12" ht="22" customHeight="1">
      <c r="A883" s="3"/>
      <c r="B883" s="7"/>
      <c r="C883" s="3"/>
      <c r="D883" s="3"/>
      <c r="E883" s="3"/>
      <c r="F883" s="3"/>
      <c r="G883" s="3"/>
      <c r="H883" s="4"/>
      <c r="I883" s="4"/>
      <c r="J883" s="3"/>
      <c r="K883" s="8" t="str">
        <f t="shared" si="13"/>
        <v/>
      </c>
      <c r="L883" s="1" t="str">
        <f>IF(COUNTA(A883:J883)=0,"",IF(OR(AND(C883&lt;&gt;"Gasto",C883&lt;&gt;"Pago proveedor",C883&lt;&gt;"Retiro familiar",C883&lt;&gt;"Aportación",C883&lt;&gt;"Pago activo",C883&lt;&gt;"ISR devengado",C883&lt;&gt;"Pago ISR",C883&lt;&gt;"Pago IVA",C883&lt;&gt;"Compensación ISR",C883&lt;&gt;"Compensación IVA"),AND(C883="Gasto",D883&lt;&gt;"Costos clínicos",D883&lt;&gt;"Remuneración familiar",D883&lt;&gt;"Nómina y honorarios",D883&lt;&gt;"Renta",D883&lt;&gt;"Marketing",D883&lt;&gt;"Servicios y software",D883&lt;&gt;"Mantenimiento",D883&lt;&gt;"Otros",D883&lt;&gt;"Intereses")),"Tipo o categoría inválido",IF(COUNTA(A883:J883)=0,"",IF(OR(A883="",B883="",C883="",H883=""),"Faltan datos",IF(COUNTIF($A$7:$A$2006,A883)&gt;1,"ID duplicado",IF(OR(B883&lt;DATE(Configuración!$C$5,1,1),B883&gt;=DATE(Configuración!$C$5+1,1,1)),"Fecha fuera del año",IF(OR(H883&lt;0,I883&lt;0),"Revisar signo",IF(AND(C883&lt;&gt;"Gasto",I883&lt;&gt;0),"IVA solo en Gasto",IF(AND(C883="Gasto",D883=""),"Falta categoría","OK")))))))))</f>
        <v/>
      </c>
    </row>
    <row r="884" spans="1:12" ht="22" customHeight="1">
      <c r="A884" s="3"/>
      <c r="B884" s="7"/>
      <c r="C884" s="3"/>
      <c r="D884" s="3"/>
      <c r="E884" s="3"/>
      <c r="F884" s="3"/>
      <c r="G884" s="3"/>
      <c r="H884" s="4"/>
      <c r="I884" s="4"/>
      <c r="J884" s="3"/>
      <c r="K884" s="8" t="str">
        <f t="shared" si="13"/>
        <v/>
      </c>
      <c r="L884" s="1" t="str">
        <f>IF(COUNTA(A884:J884)=0,"",IF(OR(AND(C884&lt;&gt;"Gasto",C884&lt;&gt;"Pago proveedor",C884&lt;&gt;"Retiro familiar",C884&lt;&gt;"Aportación",C884&lt;&gt;"Pago activo",C884&lt;&gt;"ISR devengado",C884&lt;&gt;"Pago ISR",C884&lt;&gt;"Pago IVA",C884&lt;&gt;"Compensación ISR",C884&lt;&gt;"Compensación IVA"),AND(C884="Gasto",D884&lt;&gt;"Costos clínicos",D884&lt;&gt;"Remuneración familiar",D884&lt;&gt;"Nómina y honorarios",D884&lt;&gt;"Renta",D884&lt;&gt;"Marketing",D884&lt;&gt;"Servicios y software",D884&lt;&gt;"Mantenimiento",D884&lt;&gt;"Otros",D884&lt;&gt;"Intereses")),"Tipo o categoría inválido",IF(COUNTA(A884:J884)=0,"",IF(OR(A884="",B884="",C884="",H884=""),"Faltan datos",IF(COUNTIF($A$7:$A$2006,A884)&gt;1,"ID duplicado",IF(OR(B884&lt;DATE(Configuración!$C$5,1,1),B884&gt;=DATE(Configuración!$C$5+1,1,1)),"Fecha fuera del año",IF(OR(H884&lt;0,I884&lt;0),"Revisar signo",IF(AND(C884&lt;&gt;"Gasto",I884&lt;&gt;0),"IVA solo en Gasto",IF(AND(C884="Gasto",D884=""),"Falta categoría","OK")))))))))</f>
        <v/>
      </c>
    </row>
    <row r="885" spans="1:12" ht="22" customHeight="1">
      <c r="A885" s="3"/>
      <c r="B885" s="7"/>
      <c r="C885" s="3"/>
      <c r="D885" s="3"/>
      <c r="E885" s="3"/>
      <c r="F885" s="3"/>
      <c r="G885" s="3"/>
      <c r="H885" s="4"/>
      <c r="I885" s="4"/>
      <c r="J885" s="3"/>
      <c r="K885" s="8" t="str">
        <f t="shared" si="13"/>
        <v/>
      </c>
      <c r="L885" s="1" t="str">
        <f>IF(COUNTA(A885:J885)=0,"",IF(OR(AND(C885&lt;&gt;"Gasto",C885&lt;&gt;"Pago proveedor",C885&lt;&gt;"Retiro familiar",C885&lt;&gt;"Aportación",C885&lt;&gt;"Pago activo",C885&lt;&gt;"ISR devengado",C885&lt;&gt;"Pago ISR",C885&lt;&gt;"Pago IVA",C885&lt;&gt;"Compensación ISR",C885&lt;&gt;"Compensación IVA"),AND(C885="Gasto",D885&lt;&gt;"Costos clínicos",D885&lt;&gt;"Remuneración familiar",D885&lt;&gt;"Nómina y honorarios",D885&lt;&gt;"Renta",D885&lt;&gt;"Marketing",D885&lt;&gt;"Servicios y software",D885&lt;&gt;"Mantenimiento",D885&lt;&gt;"Otros",D885&lt;&gt;"Intereses")),"Tipo o categoría inválido",IF(COUNTA(A885:J885)=0,"",IF(OR(A885="",B885="",C885="",H885=""),"Faltan datos",IF(COUNTIF($A$7:$A$2006,A885)&gt;1,"ID duplicado",IF(OR(B885&lt;DATE(Configuración!$C$5,1,1),B885&gt;=DATE(Configuración!$C$5+1,1,1)),"Fecha fuera del año",IF(OR(H885&lt;0,I885&lt;0),"Revisar signo",IF(AND(C885&lt;&gt;"Gasto",I885&lt;&gt;0),"IVA solo en Gasto",IF(AND(C885="Gasto",D885=""),"Falta categoría","OK")))))))))</f>
        <v/>
      </c>
    </row>
    <row r="886" spans="1:12" ht="22" customHeight="1">
      <c r="A886" s="3"/>
      <c r="B886" s="7"/>
      <c r="C886" s="3"/>
      <c r="D886" s="3"/>
      <c r="E886" s="3"/>
      <c r="F886" s="3"/>
      <c r="G886" s="3"/>
      <c r="H886" s="4"/>
      <c r="I886" s="4"/>
      <c r="J886" s="3"/>
      <c r="K886" s="8" t="str">
        <f t="shared" si="13"/>
        <v/>
      </c>
      <c r="L886" s="1" t="str">
        <f>IF(COUNTA(A886:J886)=0,"",IF(OR(AND(C886&lt;&gt;"Gasto",C886&lt;&gt;"Pago proveedor",C886&lt;&gt;"Retiro familiar",C886&lt;&gt;"Aportación",C886&lt;&gt;"Pago activo",C886&lt;&gt;"ISR devengado",C886&lt;&gt;"Pago ISR",C886&lt;&gt;"Pago IVA",C886&lt;&gt;"Compensación ISR",C886&lt;&gt;"Compensación IVA"),AND(C886="Gasto",D886&lt;&gt;"Costos clínicos",D886&lt;&gt;"Remuneración familiar",D886&lt;&gt;"Nómina y honorarios",D886&lt;&gt;"Renta",D886&lt;&gt;"Marketing",D886&lt;&gt;"Servicios y software",D886&lt;&gt;"Mantenimiento",D886&lt;&gt;"Otros",D886&lt;&gt;"Intereses")),"Tipo o categoría inválido",IF(COUNTA(A886:J886)=0,"",IF(OR(A886="",B886="",C886="",H886=""),"Faltan datos",IF(COUNTIF($A$7:$A$2006,A886)&gt;1,"ID duplicado",IF(OR(B886&lt;DATE(Configuración!$C$5,1,1),B886&gt;=DATE(Configuración!$C$5+1,1,1)),"Fecha fuera del año",IF(OR(H886&lt;0,I886&lt;0),"Revisar signo",IF(AND(C886&lt;&gt;"Gasto",I886&lt;&gt;0),"IVA solo en Gasto",IF(AND(C886="Gasto",D886=""),"Falta categoría","OK")))))))))</f>
        <v/>
      </c>
    </row>
    <row r="887" spans="1:12" ht="22" customHeight="1">
      <c r="A887" s="3"/>
      <c r="B887" s="7"/>
      <c r="C887" s="3"/>
      <c r="D887" s="3"/>
      <c r="E887" s="3"/>
      <c r="F887" s="3"/>
      <c r="G887" s="3"/>
      <c r="H887" s="4"/>
      <c r="I887" s="4"/>
      <c r="J887" s="3"/>
      <c r="K887" s="8" t="str">
        <f t="shared" si="13"/>
        <v/>
      </c>
      <c r="L887" s="1" t="str">
        <f>IF(COUNTA(A887:J887)=0,"",IF(OR(AND(C887&lt;&gt;"Gasto",C887&lt;&gt;"Pago proveedor",C887&lt;&gt;"Retiro familiar",C887&lt;&gt;"Aportación",C887&lt;&gt;"Pago activo",C887&lt;&gt;"ISR devengado",C887&lt;&gt;"Pago ISR",C887&lt;&gt;"Pago IVA",C887&lt;&gt;"Compensación ISR",C887&lt;&gt;"Compensación IVA"),AND(C887="Gasto",D887&lt;&gt;"Costos clínicos",D887&lt;&gt;"Remuneración familiar",D887&lt;&gt;"Nómina y honorarios",D887&lt;&gt;"Renta",D887&lt;&gt;"Marketing",D887&lt;&gt;"Servicios y software",D887&lt;&gt;"Mantenimiento",D887&lt;&gt;"Otros",D887&lt;&gt;"Intereses")),"Tipo o categoría inválido",IF(COUNTA(A887:J887)=0,"",IF(OR(A887="",B887="",C887="",H887=""),"Faltan datos",IF(COUNTIF($A$7:$A$2006,A887)&gt;1,"ID duplicado",IF(OR(B887&lt;DATE(Configuración!$C$5,1,1),B887&gt;=DATE(Configuración!$C$5+1,1,1)),"Fecha fuera del año",IF(OR(H887&lt;0,I887&lt;0),"Revisar signo",IF(AND(C887&lt;&gt;"Gasto",I887&lt;&gt;0),"IVA solo en Gasto",IF(AND(C887="Gasto",D887=""),"Falta categoría","OK")))))))))</f>
        <v/>
      </c>
    </row>
    <row r="888" spans="1:12" ht="22" customHeight="1">
      <c r="A888" s="3"/>
      <c r="B888" s="7"/>
      <c r="C888" s="3"/>
      <c r="D888" s="3"/>
      <c r="E888" s="3"/>
      <c r="F888" s="3"/>
      <c r="G888" s="3"/>
      <c r="H888" s="4"/>
      <c r="I888" s="4"/>
      <c r="J888" s="3"/>
      <c r="K888" s="8" t="str">
        <f t="shared" si="13"/>
        <v/>
      </c>
      <c r="L888" s="1" t="str">
        <f>IF(COUNTA(A888:J888)=0,"",IF(OR(AND(C888&lt;&gt;"Gasto",C888&lt;&gt;"Pago proveedor",C888&lt;&gt;"Retiro familiar",C888&lt;&gt;"Aportación",C888&lt;&gt;"Pago activo",C888&lt;&gt;"ISR devengado",C888&lt;&gt;"Pago ISR",C888&lt;&gt;"Pago IVA",C888&lt;&gt;"Compensación ISR",C888&lt;&gt;"Compensación IVA"),AND(C888="Gasto",D888&lt;&gt;"Costos clínicos",D888&lt;&gt;"Remuneración familiar",D888&lt;&gt;"Nómina y honorarios",D888&lt;&gt;"Renta",D888&lt;&gt;"Marketing",D888&lt;&gt;"Servicios y software",D888&lt;&gt;"Mantenimiento",D888&lt;&gt;"Otros",D888&lt;&gt;"Intereses")),"Tipo o categoría inválido",IF(COUNTA(A888:J888)=0,"",IF(OR(A888="",B888="",C888="",H888=""),"Faltan datos",IF(COUNTIF($A$7:$A$2006,A888)&gt;1,"ID duplicado",IF(OR(B888&lt;DATE(Configuración!$C$5,1,1),B888&gt;=DATE(Configuración!$C$5+1,1,1)),"Fecha fuera del año",IF(OR(H888&lt;0,I888&lt;0),"Revisar signo",IF(AND(C888&lt;&gt;"Gasto",I888&lt;&gt;0),"IVA solo en Gasto",IF(AND(C888="Gasto",D888=""),"Falta categoría","OK")))))))))</f>
        <v/>
      </c>
    </row>
    <row r="889" spans="1:12" ht="22" customHeight="1">
      <c r="A889" s="3"/>
      <c r="B889" s="7"/>
      <c r="C889" s="3"/>
      <c r="D889" s="3"/>
      <c r="E889" s="3"/>
      <c r="F889" s="3"/>
      <c r="G889" s="3"/>
      <c r="H889" s="4"/>
      <c r="I889" s="4"/>
      <c r="J889" s="3"/>
      <c r="K889" s="8" t="str">
        <f t="shared" si="13"/>
        <v/>
      </c>
      <c r="L889" s="1" t="str">
        <f>IF(COUNTA(A889:J889)=0,"",IF(OR(AND(C889&lt;&gt;"Gasto",C889&lt;&gt;"Pago proveedor",C889&lt;&gt;"Retiro familiar",C889&lt;&gt;"Aportación",C889&lt;&gt;"Pago activo",C889&lt;&gt;"ISR devengado",C889&lt;&gt;"Pago ISR",C889&lt;&gt;"Pago IVA",C889&lt;&gt;"Compensación ISR",C889&lt;&gt;"Compensación IVA"),AND(C889="Gasto",D889&lt;&gt;"Costos clínicos",D889&lt;&gt;"Remuneración familiar",D889&lt;&gt;"Nómina y honorarios",D889&lt;&gt;"Renta",D889&lt;&gt;"Marketing",D889&lt;&gt;"Servicios y software",D889&lt;&gt;"Mantenimiento",D889&lt;&gt;"Otros",D889&lt;&gt;"Intereses")),"Tipo o categoría inválido",IF(COUNTA(A889:J889)=0,"",IF(OR(A889="",B889="",C889="",H889=""),"Faltan datos",IF(COUNTIF($A$7:$A$2006,A889)&gt;1,"ID duplicado",IF(OR(B889&lt;DATE(Configuración!$C$5,1,1),B889&gt;=DATE(Configuración!$C$5+1,1,1)),"Fecha fuera del año",IF(OR(H889&lt;0,I889&lt;0),"Revisar signo",IF(AND(C889&lt;&gt;"Gasto",I889&lt;&gt;0),"IVA solo en Gasto",IF(AND(C889="Gasto",D889=""),"Falta categoría","OK")))))))))</f>
        <v/>
      </c>
    </row>
    <row r="890" spans="1:12" ht="22" customHeight="1">
      <c r="A890" s="3"/>
      <c r="B890" s="7"/>
      <c r="C890" s="3"/>
      <c r="D890" s="3"/>
      <c r="E890" s="3"/>
      <c r="F890" s="3"/>
      <c r="G890" s="3"/>
      <c r="H890" s="4"/>
      <c r="I890" s="4"/>
      <c r="J890" s="3"/>
      <c r="K890" s="8" t="str">
        <f t="shared" si="13"/>
        <v/>
      </c>
      <c r="L890" s="1" t="str">
        <f>IF(COUNTA(A890:J890)=0,"",IF(OR(AND(C890&lt;&gt;"Gasto",C890&lt;&gt;"Pago proveedor",C890&lt;&gt;"Retiro familiar",C890&lt;&gt;"Aportación",C890&lt;&gt;"Pago activo",C890&lt;&gt;"ISR devengado",C890&lt;&gt;"Pago ISR",C890&lt;&gt;"Pago IVA",C890&lt;&gt;"Compensación ISR",C890&lt;&gt;"Compensación IVA"),AND(C890="Gasto",D890&lt;&gt;"Costos clínicos",D890&lt;&gt;"Remuneración familiar",D890&lt;&gt;"Nómina y honorarios",D890&lt;&gt;"Renta",D890&lt;&gt;"Marketing",D890&lt;&gt;"Servicios y software",D890&lt;&gt;"Mantenimiento",D890&lt;&gt;"Otros",D890&lt;&gt;"Intereses")),"Tipo o categoría inválido",IF(COUNTA(A890:J890)=0,"",IF(OR(A890="",B890="",C890="",H890=""),"Faltan datos",IF(COUNTIF($A$7:$A$2006,A890)&gt;1,"ID duplicado",IF(OR(B890&lt;DATE(Configuración!$C$5,1,1),B890&gt;=DATE(Configuración!$C$5+1,1,1)),"Fecha fuera del año",IF(OR(H890&lt;0,I890&lt;0),"Revisar signo",IF(AND(C890&lt;&gt;"Gasto",I890&lt;&gt;0),"IVA solo en Gasto",IF(AND(C890="Gasto",D890=""),"Falta categoría","OK")))))))))</f>
        <v/>
      </c>
    </row>
    <row r="891" spans="1:12" ht="22" customHeight="1">
      <c r="A891" s="3"/>
      <c r="B891" s="7"/>
      <c r="C891" s="3"/>
      <c r="D891" s="3"/>
      <c r="E891" s="3"/>
      <c r="F891" s="3"/>
      <c r="G891" s="3"/>
      <c r="H891" s="4"/>
      <c r="I891" s="4"/>
      <c r="J891" s="3"/>
      <c r="K891" s="8" t="str">
        <f t="shared" si="13"/>
        <v/>
      </c>
      <c r="L891" s="1" t="str">
        <f>IF(COUNTA(A891:J891)=0,"",IF(OR(AND(C891&lt;&gt;"Gasto",C891&lt;&gt;"Pago proveedor",C891&lt;&gt;"Retiro familiar",C891&lt;&gt;"Aportación",C891&lt;&gt;"Pago activo",C891&lt;&gt;"ISR devengado",C891&lt;&gt;"Pago ISR",C891&lt;&gt;"Pago IVA",C891&lt;&gt;"Compensación ISR",C891&lt;&gt;"Compensación IVA"),AND(C891="Gasto",D891&lt;&gt;"Costos clínicos",D891&lt;&gt;"Remuneración familiar",D891&lt;&gt;"Nómina y honorarios",D891&lt;&gt;"Renta",D891&lt;&gt;"Marketing",D891&lt;&gt;"Servicios y software",D891&lt;&gt;"Mantenimiento",D891&lt;&gt;"Otros",D891&lt;&gt;"Intereses")),"Tipo o categoría inválido",IF(COUNTA(A891:J891)=0,"",IF(OR(A891="",B891="",C891="",H891=""),"Faltan datos",IF(COUNTIF($A$7:$A$2006,A891)&gt;1,"ID duplicado",IF(OR(B891&lt;DATE(Configuración!$C$5,1,1),B891&gt;=DATE(Configuración!$C$5+1,1,1)),"Fecha fuera del año",IF(OR(H891&lt;0,I891&lt;0),"Revisar signo",IF(AND(C891&lt;&gt;"Gasto",I891&lt;&gt;0),"IVA solo en Gasto",IF(AND(C891="Gasto",D891=""),"Falta categoría","OK")))))))))</f>
        <v/>
      </c>
    </row>
    <row r="892" spans="1:12" ht="22" customHeight="1">
      <c r="A892" s="3"/>
      <c r="B892" s="7"/>
      <c r="C892" s="3"/>
      <c r="D892" s="3"/>
      <c r="E892" s="3"/>
      <c r="F892" s="3"/>
      <c r="G892" s="3"/>
      <c r="H892" s="4"/>
      <c r="I892" s="4"/>
      <c r="J892" s="3"/>
      <c r="K892" s="8" t="str">
        <f t="shared" si="13"/>
        <v/>
      </c>
      <c r="L892" s="1" t="str">
        <f>IF(COUNTA(A892:J892)=0,"",IF(OR(AND(C892&lt;&gt;"Gasto",C892&lt;&gt;"Pago proveedor",C892&lt;&gt;"Retiro familiar",C892&lt;&gt;"Aportación",C892&lt;&gt;"Pago activo",C892&lt;&gt;"ISR devengado",C892&lt;&gt;"Pago ISR",C892&lt;&gt;"Pago IVA",C892&lt;&gt;"Compensación ISR",C892&lt;&gt;"Compensación IVA"),AND(C892="Gasto",D892&lt;&gt;"Costos clínicos",D892&lt;&gt;"Remuneración familiar",D892&lt;&gt;"Nómina y honorarios",D892&lt;&gt;"Renta",D892&lt;&gt;"Marketing",D892&lt;&gt;"Servicios y software",D892&lt;&gt;"Mantenimiento",D892&lt;&gt;"Otros",D892&lt;&gt;"Intereses")),"Tipo o categoría inválido",IF(COUNTA(A892:J892)=0,"",IF(OR(A892="",B892="",C892="",H892=""),"Faltan datos",IF(COUNTIF($A$7:$A$2006,A892)&gt;1,"ID duplicado",IF(OR(B892&lt;DATE(Configuración!$C$5,1,1),B892&gt;=DATE(Configuración!$C$5+1,1,1)),"Fecha fuera del año",IF(OR(H892&lt;0,I892&lt;0),"Revisar signo",IF(AND(C892&lt;&gt;"Gasto",I892&lt;&gt;0),"IVA solo en Gasto",IF(AND(C892="Gasto",D892=""),"Falta categoría","OK")))))))))</f>
        <v/>
      </c>
    </row>
    <row r="893" spans="1:12" ht="22" customHeight="1">
      <c r="A893" s="3"/>
      <c r="B893" s="7"/>
      <c r="C893" s="3"/>
      <c r="D893" s="3"/>
      <c r="E893" s="3"/>
      <c r="F893" s="3"/>
      <c r="G893" s="3"/>
      <c r="H893" s="4"/>
      <c r="I893" s="4"/>
      <c r="J893" s="3"/>
      <c r="K893" s="8" t="str">
        <f t="shared" si="13"/>
        <v/>
      </c>
      <c r="L893" s="1" t="str">
        <f>IF(COUNTA(A893:J893)=0,"",IF(OR(AND(C893&lt;&gt;"Gasto",C893&lt;&gt;"Pago proveedor",C893&lt;&gt;"Retiro familiar",C893&lt;&gt;"Aportación",C893&lt;&gt;"Pago activo",C893&lt;&gt;"ISR devengado",C893&lt;&gt;"Pago ISR",C893&lt;&gt;"Pago IVA",C893&lt;&gt;"Compensación ISR",C893&lt;&gt;"Compensación IVA"),AND(C893="Gasto",D893&lt;&gt;"Costos clínicos",D893&lt;&gt;"Remuneración familiar",D893&lt;&gt;"Nómina y honorarios",D893&lt;&gt;"Renta",D893&lt;&gt;"Marketing",D893&lt;&gt;"Servicios y software",D893&lt;&gt;"Mantenimiento",D893&lt;&gt;"Otros",D893&lt;&gt;"Intereses")),"Tipo o categoría inválido",IF(COUNTA(A893:J893)=0,"",IF(OR(A893="",B893="",C893="",H893=""),"Faltan datos",IF(COUNTIF($A$7:$A$2006,A893)&gt;1,"ID duplicado",IF(OR(B893&lt;DATE(Configuración!$C$5,1,1),B893&gt;=DATE(Configuración!$C$5+1,1,1)),"Fecha fuera del año",IF(OR(H893&lt;0,I893&lt;0),"Revisar signo",IF(AND(C893&lt;&gt;"Gasto",I893&lt;&gt;0),"IVA solo en Gasto",IF(AND(C893="Gasto",D893=""),"Falta categoría","OK")))))))))</f>
        <v/>
      </c>
    </row>
    <row r="894" spans="1:12" ht="22" customHeight="1">
      <c r="A894" s="3"/>
      <c r="B894" s="7"/>
      <c r="C894" s="3"/>
      <c r="D894" s="3"/>
      <c r="E894" s="3"/>
      <c r="F894" s="3"/>
      <c r="G894" s="3"/>
      <c r="H894" s="4"/>
      <c r="I894" s="4"/>
      <c r="J894" s="3"/>
      <c r="K894" s="8" t="str">
        <f t="shared" si="13"/>
        <v/>
      </c>
      <c r="L894" s="1" t="str">
        <f>IF(COUNTA(A894:J894)=0,"",IF(OR(AND(C894&lt;&gt;"Gasto",C894&lt;&gt;"Pago proveedor",C894&lt;&gt;"Retiro familiar",C894&lt;&gt;"Aportación",C894&lt;&gt;"Pago activo",C894&lt;&gt;"ISR devengado",C894&lt;&gt;"Pago ISR",C894&lt;&gt;"Pago IVA",C894&lt;&gt;"Compensación ISR",C894&lt;&gt;"Compensación IVA"),AND(C894="Gasto",D894&lt;&gt;"Costos clínicos",D894&lt;&gt;"Remuneración familiar",D894&lt;&gt;"Nómina y honorarios",D894&lt;&gt;"Renta",D894&lt;&gt;"Marketing",D894&lt;&gt;"Servicios y software",D894&lt;&gt;"Mantenimiento",D894&lt;&gt;"Otros",D894&lt;&gt;"Intereses")),"Tipo o categoría inválido",IF(COUNTA(A894:J894)=0,"",IF(OR(A894="",B894="",C894="",H894=""),"Faltan datos",IF(COUNTIF($A$7:$A$2006,A894)&gt;1,"ID duplicado",IF(OR(B894&lt;DATE(Configuración!$C$5,1,1),B894&gt;=DATE(Configuración!$C$5+1,1,1)),"Fecha fuera del año",IF(OR(H894&lt;0,I894&lt;0),"Revisar signo",IF(AND(C894&lt;&gt;"Gasto",I894&lt;&gt;0),"IVA solo en Gasto",IF(AND(C894="Gasto",D894=""),"Falta categoría","OK")))))))))</f>
        <v/>
      </c>
    </row>
    <row r="895" spans="1:12" ht="22" customHeight="1">
      <c r="A895" s="3"/>
      <c r="B895" s="7"/>
      <c r="C895" s="3"/>
      <c r="D895" s="3"/>
      <c r="E895" s="3"/>
      <c r="F895" s="3"/>
      <c r="G895" s="3"/>
      <c r="H895" s="4"/>
      <c r="I895" s="4"/>
      <c r="J895" s="3"/>
      <c r="K895" s="8" t="str">
        <f t="shared" si="13"/>
        <v/>
      </c>
      <c r="L895" s="1" t="str">
        <f>IF(COUNTA(A895:J895)=0,"",IF(OR(AND(C895&lt;&gt;"Gasto",C895&lt;&gt;"Pago proveedor",C895&lt;&gt;"Retiro familiar",C895&lt;&gt;"Aportación",C895&lt;&gt;"Pago activo",C895&lt;&gt;"ISR devengado",C895&lt;&gt;"Pago ISR",C895&lt;&gt;"Pago IVA",C895&lt;&gt;"Compensación ISR",C895&lt;&gt;"Compensación IVA"),AND(C895="Gasto",D895&lt;&gt;"Costos clínicos",D895&lt;&gt;"Remuneración familiar",D895&lt;&gt;"Nómina y honorarios",D895&lt;&gt;"Renta",D895&lt;&gt;"Marketing",D895&lt;&gt;"Servicios y software",D895&lt;&gt;"Mantenimiento",D895&lt;&gt;"Otros",D895&lt;&gt;"Intereses")),"Tipo o categoría inválido",IF(COUNTA(A895:J895)=0,"",IF(OR(A895="",B895="",C895="",H895=""),"Faltan datos",IF(COUNTIF($A$7:$A$2006,A895)&gt;1,"ID duplicado",IF(OR(B895&lt;DATE(Configuración!$C$5,1,1),B895&gt;=DATE(Configuración!$C$5+1,1,1)),"Fecha fuera del año",IF(OR(H895&lt;0,I895&lt;0),"Revisar signo",IF(AND(C895&lt;&gt;"Gasto",I895&lt;&gt;0),"IVA solo en Gasto",IF(AND(C895="Gasto",D895=""),"Falta categoría","OK")))))))))</f>
        <v/>
      </c>
    </row>
    <row r="896" spans="1:12" ht="22" customHeight="1">
      <c r="A896" s="3"/>
      <c r="B896" s="7"/>
      <c r="C896" s="3"/>
      <c r="D896" s="3"/>
      <c r="E896" s="3"/>
      <c r="F896" s="3"/>
      <c r="G896" s="3"/>
      <c r="H896" s="4"/>
      <c r="I896" s="4"/>
      <c r="J896" s="3"/>
      <c r="K896" s="8" t="str">
        <f t="shared" si="13"/>
        <v/>
      </c>
      <c r="L896" s="1" t="str">
        <f>IF(COUNTA(A896:J896)=0,"",IF(OR(AND(C896&lt;&gt;"Gasto",C896&lt;&gt;"Pago proveedor",C896&lt;&gt;"Retiro familiar",C896&lt;&gt;"Aportación",C896&lt;&gt;"Pago activo",C896&lt;&gt;"ISR devengado",C896&lt;&gt;"Pago ISR",C896&lt;&gt;"Pago IVA",C896&lt;&gt;"Compensación ISR",C896&lt;&gt;"Compensación IVA"),AND(C896="Gasto",D896&lt;&gt;"Costos clínicos",D896&lt;&gt;"Remuneración familiar",D896&lt;&gt;"Nómina y honorarios",D896&lt;&gt;"Renta",D896&lt;&gt;"Marketing",D896&lt;&gt;"Servicios y software",D896&lt;&gt;"Mantenimiento",D896&lt;&gt;"Otros",D896&lt;&gt;"Intereses")),"Tipo o categoría inválido",IF(COUNTA(A896:J896)=0,"",IF(OR(A896="",B896="",C896="",H896=""),"Faltan datos",IF(COUNTIF($A$7:$A$2006,A896)&gt;1,"ID duplicado",IF(OR(B896&lt;DATE(Configuración!$C$5,1,1),B896&gt;=DATE(Configuración!$C$5+1,1,1)),"Fecha fuera del año",IF(OR(H896&lt;0,I896&lt;0),"Revisar signo",IF(AND(C896&lt;&gt;"Gasto",I896&lt;&gt;0),"IVA solo en Gasto",IF(AND(C896="Gasto",D896=""),"Falta categoría","OK")))))))))</f>
        <v/>
      </c>
    </row>
    <row r="897" spans="1:12" ht="22" customHeight="1">
      <c r="A897" s="3"/>
      <c r="B897" s="7"/>
      <c r="C897" s="3"/>
      <c r="D897" s="3"/>
      <c r="E897" s="3"/>
      <c r="F897" s="3"/>
      <c r="G897" s="3"/>
      <c r="H897" s="4"/>
      <c r="I897" s="4"/>
      <c r="J897" s="3"/>
      <c r="K897" s="8" t="str">
        <f t="shared" si="13"/>
        <v/>
      </c>
      <c r="L897" s="1" t="str">
        <f>IF(COUNTA(A897:J897)=0,"",IF(OR(AND(C897&lt;&gt;"Gasto",C897&lt;&gt;"Pago proveedor",C897&lt;&gt;"Retiro familiar",C897&lt;&gt;"Aportación",C897&lt;&gt;"Pago activo",C897&lt;&gt;"ISR devengado",C897&lt;&gt;"Pago ISR",C897&lt;&gt;"Pago IVA",C897&lt;&gt;"Compensación ISR",C897&lt;&gt;"Compensación IVA"),AND(C897="Gasto",D897&lt;&gt;"Costos clínicos",D897&lt;&gt;"Remuneración familiar",D897&lt;&gt;"Nómina y honorarios",D897&lt;&gt;"Renta",D897&lt;&gt;"Marketing",D897&lt;&gt;"Servicios y software",D897&lt;&gt;"Mantenimiento",D897&lt;&gt;"Otros",D897&lt;&gt;"Intereses")),"Tipo o categoría inválido",IF(COUNTA(A897:J897)=0,"",IF(OR(A897="",B897="",C897="",H897=""),"Faltan datos",IF(COUNTIF($A$7:$A$2006,A897)&gt;1,"ID duplicado",IF(OR(B897&lt;DATE(Configuración!$C$5,1,1),B897&gt;=DATE(Configuración!$C$5+1,1,1)),"Fecha fuera del año",IF(OR(H897&lt;0,I897&lt;0),"Revisar signo",IF(AND(C897&lt;&gt;"Gasto",I897&lt;&gt;0),"IVA solo en Gasto",IF(AND(C897="Gasto",D897=""),"Falta categoría","OK")))))))))</f>
        <v/>
      </c>
    </row>
    <row r="898" spans="1:12" ht="22" customHeight="1">
      <c r="A898" s="3"/>
      <c r="B898" s="7"/>
      <c r="C898" s="3"/>
      <c r="D898" s="3"/>
      <c r="E898" s="3"/>
      <c r="F898" s="3"/>
      <c r="G898" s="3"/>
      <c r="H898" s="4"/>
      <c r="I898" s="4"/>
      <c r="J898" s="3"/>
      <c r="K898" s="8" t="str">
        <f t="shared" si="13"/>
        <v/>
      </c>
      <c r="L898" s="1" t="str">
        <f>IF(COUNTA(A898:J898)=0,"",IF(OR(AND(C898&lt;&gt;"Gasto",C898&lt;&gt;"Pago proveedor",C898&lt;&gt;"Retiro familiar",C898&lt;&gt;"Aportación",C898&lt;&gt;"Pago activo",C898&lt;&gt;"ISR devengado",C898&lt;&gt;"Pago ISR",C898&lt;&gt;"Pago IVA",C898&lt;&gt;"Compensación ISR",C898&lt;&gt;"Compensación IVA"),AND(C898="Gasto",D898&lt;&gt;"Costos clínicos",D898&lt;&gt;"Remuneración familiar",D898&lt;&gt;"Nómina y honorarios",D898&lt;&gt;"Renta",D898&lt;&gt;"Marketing",D898&lt;&gt;"Servicios y software",D898&lt;&gt;"Mantenimiento",D898&lt;&gt;"Otros",D898&lt;&gt;"Intereses")),"Tipo o categoría inválido",IF(COUNTA(A898:J898)=0,"",IF(OR(A898="",B898="",C898="",H898=""),"Faltan datos",IF(COUNTIF($A$7:$A$2006,A898)&gt;1,"ID duplicado",IF(OR(B898&lt;DATE(Configuración!$C$5,1,1),B898&gt;=DATE(Configuración!$C$5+1,1,1)),"Fecha fuera del año",IF(OR(H898&lt;0,I898&lt;0),"Revisar signo",IF(AND(C898&lt;&gt;"Gasto",I898&lt;&gt;0),"IVA solo en Gasto",IF(AND(C898="Gasto",D898=""),"Falta categoría","OK")))))))))</f>
        <v/>
      </c>
    </row>
    <row r="899" spans="1:12" ht="22" customHeight="1">
      <c r="A899" s="3"/>
      <c r="B899" s="7"/>
      <c r="C899" s="3"/>
      <c r="D899" s="3"/>
      <c r="E899" s="3"/>
      <c r="F899" s="3"/>
      <c r="G899" s="3"/>
      <c r="H899" s="4"/>
      <c r="I899" s="4"/>
      <c r="J899" s="3"/>
      <c r="K899" s="8" t="str">
        <f t="shared" si="13"/>
        <v/>
      </c>
      <c r="L899" s="1" t="str">
        <f>IF(COUNTA(A899:J899)=0,"",IF(OR(AND(C899&lt;&gt;"Gasto",C899&lt;&gt;"Pago proveedor",C899&lt;&gt;"Retiro familiar",C899&lt;&gt;"Aportación",C899&lt;&gt;"Pago activo",C899&lt;&gt;"ISR devengado",C899&lt;&gt;"Pago ISR",C899&lt;&gt;"Pago IVA",C899&lt;&gt;"Compensación ISR",C899&lt;&gt;"Compensación IVA"),AND(C899="Gasto",D899&lt;&gt;"Costos clínicos",D899&lt;&gt;"Remuneración familiar",D899&lt;&gt;"Nómina y honorarios",D899&lt;&gt;"Renta",D899&lt;&gt;"Marketing",D899&lt;&gt;"Servicios y software",D899&lt;&gt;"Mantenimiento",D899&lt;&gt;"Otros",D899&lt;&gt;"Intereses")),"Tipo o categoría inválido",IF(COUNTA(A899:J899)=0,"",IF(OR(A899="",B899="",C899="",H899=""),"Faltan datos",IF(COUNTIF($A$7:$A$2006,A899)&gt;1,"ID duplicado",IF(OR(B899&lt;DATE(Configuración!$C$5,1,1),B899&gt;=DATE(Configuración!$C$5+1,1,1)),"Fecha fuera del año",IF(OR(H899&lt;0,I899&lt;0),"Revisar signo",IF(AND(C899&lt;&gt;"Gasto",I899&lt;&gt;0),"IVA solo en Gasto",IF(AND(C899="Gasto",D899=""),"Falta categoría","OK")))))))))</f>
        <v/>
      </c>
    </row>
    <row r="900" spans="1:12" ht="22" customHeight="1">
      <c r="A900" s="3"/>
      <c r="B900" s="7"/>
      <c r="C900" s="3"/>
      <c r="D900" s="3"/>
      <c r="E900" s="3"/>
      <c r="F900" s="3"/>
      <c r="G900" s="3"/>
      <c r="H900" s="4"/>
      <c r="I900" s="4"/>
      <c r="J900" s="3"/>
      <c r="K900" s="8" t="str">
        <f t="shared" si="13"/>
        <v/>
      </c>
      <c r="L900" s="1" t="str">
        <f>IF(COUNTA(A900:J900)=0,"",IF(OR(AND(C900&lt;&gt;"Gasto",C900&lt;&gt;"Pago proveedor",C900&lt;&gt;"Retiro familiar",C900&lt;&gt;"Aportación",C900&lt;&gt;"Pago activo",C900&lt;&gt;"ISR devengado",C900&lt;&gt;"Pago ISR",C900&lt;&gt;"Pago IVA",C900&lt;&gt;"Compensación ISR",C900&lt;&gt;"Compensación IVA"),AND(C900="Gasto",D900&lt;&gt;"Costos clínicos",D900&lt;&gt;"Remuneración familiar",D900&lt;&gt;"Nómina y honorarios",D900&lt;&gt;"Renta",D900&lt;&gt;"Marketing",D900&lt;&gt;"Servicios y software",D900&lt;&gt;"Mantenimiento",D900&lt;&gt;"Otros",D900&lt;&gt;"Intereses")),"Tipo o categoría inválido",IF(COUNTA(A900:J900)=0,"",IF(OR(A900="",B900="",C900="",H900=""),"Faltan datos",IF(COUNTIF($A$7:$A$2006,A900)&gt;1,"ID duplicado",IF(OR(B900&lt;DATE(Configuración!$C$5,1,1),B900&gt;=DATE(Configuración!$C$5+1,1,1)),"Fecha fuera del año",IF(OR(H900&lt;0,I900&lt;0),"Revisar signo",IF(AND(C900&lt;&gt;"Gasto",I900&lt;&gt;0),"IVA solo en Gasto",IF(AND(C900="Gasto",D900=""),"Falta categoría","OK")))))))))</f>
        <v/>
      </c>
    </row>
    <row r="901" spans="1:12" ht="22" customHeight="1">
      <c r="A901" s="3"/>
      <c r="B901" s="7"/>
      <c r="C901" s="3"/>
      <c r="D901" s="3"/>
      <c r="E901" s="3"/>
      <c r="F901" s="3"/>
      <c r="G901" s="3"/>
      <c r="H901" s="4"/>
      <c r="I901" s="4"/>
      <c r="J901" s="3"/>
      <c r="K901" s="8" t="str">
        <f t="shared" si="13"/>
        <v/>
      </c>
      <c r="L901" s="1" t="str">
        <f>IF(COUNTA(A901:J901)=0,"",IF(OR(AND(C901&lt;&gt;"Gasto",C901&lt;&gt;"Pago proveedor",C901&lt;&gt;"Retiro familiar",C901&lt;&gt;"Aportación",C901&lt;&gt;"Pago activo",C901&lt;&gt;"ISR devengado",C901&lt;&gt;"Pago ISR",C901&lt;&gt;"Pago IVA",C901&lt;&gt;"Compensación ISR",C901&lt;&gt;"Compensación IVA"),AND(C901="Gasto",D901&lt;&gt;"Costos clínicos",D901&lt;&gt;"Remuneración familiar",D901&lt;&gt;"Nómina y honorarios",D901&lt;&gt;"Renta",D901&lt;&gt;"Marketing",D901&lt;&gt;"Servicios y software",D901&lt;&gt;"Mantenimiento",D901&lt;&gt;"Otros",D901&lt;&gt;"Intereses")),"Tipo o categoría inválido",IF(COUNTA(A901:J901)=0,"",IF(OR(A901="",B901="",C901="",H901=""),"Faltan datos",IF(COUNTIF($A$7:$A$2006,A901)&gt;1,"ID duplicado",IF(OR(B901&lt;DATE(Configuración!$C$5,1,1),B901&gt;=DATE(Configuración!$C$5+1,1,1)),"Fecha fuera del año",IF(OR(H901&lt;0,I901&lt;0),"Revisar signo",IF(AND(C901&lt;&gt;"Gasto",I901&lt;&gt;0),"IVA solo en Gasto",IF(AND(C901="Gasto",D901=""),"Falta categoría","OK")))))))))</f>
        <v/>
      </c>
    </row>
    <row r="902" spans="1:12" ht="22" customHeight="1">
      <c r="A902" s="3"/>
      <c r="B902" s="7"/>
      <c r="C902" s="3"/>
      <c r="D902" s="3"/>
      <c r="E902" s="3"/>
      <c r="F902" s="3"/>
      <c r="G902" s="3"/>
      <c r="H902" s="4"/>
      <c r="I902" s="4"/>
      <c r="J902" s="3"/>
      <c r="K902" s="8" t="str">
        <f t="shared" si="13"/>
        <v/>
      </c>
      <c r="L902" s="1" t="str">
        <f>IF(COUNTA(A902:J902)=0,"",IF(OR(AND(C902&lt;&gt;"Gasto",C902&lt;&gt;"Pago proveedor",C902&lt;&gt;"Retiro familiar",C902&lt;&gt;"Aportación",C902&lt;&gt;"Pago activo",C902&lt;&gt;"ISR devengado",C902&lt;&gt;"Pago ISR",C902&lt;&gt;"Pago IVA",C902&lt;&gt;"Compensación ISR",C902&lt;&gt;"Compensación IVA"),AND(C902="Gasto",D902&lt;&gt;"Costos clínicos",D902&lt;&gt;"Remuneración familiar",D902&lt;&gt;"Nómina y honorarios",D902&lt;&gt;"Renta",D902&lt;&gt;"Marketing",D902&lt;&gt;"Servicios y software",D902&lt;&gt;"Mantenimiento",D902&lt;&gt;"Otros",D902&lt;&gt;"Intereses")),"Tipo o categoría inválido",IF(COUNTA(A902:J902)=0,"",IF(OR(A902="",B902="",C902="",H902=""),"Faltan datos",IF(COUNTIF($A$7:$A$2006,A902)&gt;1,"ID duplicado",IF(OR(B902&lt;DATE(Configuración!$C$5,1,1),B902&gt;=DATE(Configuración!$C$5+1,1,1)),"Fecha fuera del año",IF(OR(H902&lt;0,I902&lt;0),"Revisar signo",IF(AND(C902&lt;&gt;"Gasto",I902&lt;&gt;0),"IVA solo en Gasto",IF(AND(C902="Gasto",D902=""),"Falta categoría","OK")))))))))</f>
        <v/>
      </c>
    </row>
    <row r="903" spans="1:12" ht="22" customHeight="1">
      <c r="A903" s="3"/>
      <c r="B903" s="7"/>
      <c r="C903" s="3"/>
      <c r="D903" s="3"/>
      <c r="E903" s="3"/>
      <c r="F903" s="3"/>
      <c r="G903" s="3"/>
      <c r="H903" s="4"/>
      <c r="I903" s="4"/>
      <c r="J903" s="3"/>
      <c r="K903" s="8" t="str">
        <f t="shared" ref="K903:K966" si="14">IF(A903="","",H903+I903)</f>
        <v/>
      </c>
      <c r="L903" s="1" t="str">
        <f>IF(COUNTA(A903:J903)=0,"",IF(OR(AND(C903&lt;&gt;"Gasto",C903&lt;&gt;"Pago proveedor",C903&lt;&gt;"Retiro familiar",C903&lt;&gt;"Aportación",C903&lt;&gt;"Pago activo",C903&lt;&gt;"ISR devengado",C903&lt;&gt;"Pago ISR",C903&lt;&gt;"Pago IVA",C903&lt;&gt;"Compensación ISR",C903&lt;&gt;"Compensación IVA"),AND(C903="Gasto",D903&lt;&gt;"Costos clínicos",D903&lt;&gt;"Remuneración familiar",D903&lt;&gt;"Nómina y honorarios",D903&lt;&gt;"Renta",D903&lt;&gt;"Marketing",D903&lt;&gt;"Servicios y software",D903&lt;&gt;"Mantenimiento",D903&lt;&gt;"Otros",D903&lt;&gt;"Intereses")),"Tipo o categoría inválido",IF(COUNTA(A903:J903)=0,"",IF(OR(A903="",B903="",C903="",H903=""),"Faltan datos",IF(COUNTIF($A$7:$A$2006,A903)&gt;1,"ID duplicado",IF(OR(B903&lt;DATE(Configuración!$C$5,1,1),B903&gt;=DATE(Configuración!$C$5+1,1,1)),"Fecha fuera del año",IF(OR(H903&lt;0,I903&lt;0),"Revisar signo",IF(AND(C903&lt;&gt;"Gasto",I903&lt;&gt;0),"IVA solo en Gasto",IF(AND(C903="Gasto",D903=""),"Falta categoría","OK")))))))))</f>
        <v/>
      </c>
    </row>
    <row r="904" spans="1:12" ht="22" customHeight="1">
      <c r="A904" s="3"/>
      <c r="B904" s="7"/>
      <c r="C904" s="3"/>
      <c r="D904" s="3"/>
      <c r="E904" s="3"/>
      <c r="F904" s="3"/>
      <c r="G904" s="3"/>
      <c r="H904" s="4"/>
      <c r="I904" s="4"/>
      <c r="J904" s="3"/>
      <c r="K904" s="8" t="str">
        <f t="shared" si="14"/>
        <v/>
      </c>
      <c r="L904" s="1" t="str">
        <f>IF(COUNTA(A904:J904)=0,"",IF(OR(AND(C904&lt;&gt;"Gasto",C904&lt;&gt;"Pago proveedor",C904&lt;&gt;"Retiro familiar",C904&lt;&gt;"Aportación",C904&lt;&gt;"Pago activo",C904&lt;&gt;"ISR devengado",C904&lt;&gt;"Pago ISR",C904&lt;&gt;"Pago IVA",C904&lt;&gt;"Compensación ISR",C904&lt;&gt;"Compensación IVA"),AND(C904="Gasto",D904&lt;&gt;"Costos clínicos",D904&lt;&gt;"Remuneración familiar",D904&lt;&gt;"Nómina y honorarios",D904&lt;&gt;"Renta",D904&lt;&gt;"Marketing",D904&lt;&gt;"Servicios y software",D904&lt;&gt;"Mantenimiento",D904&lt;&gt;"Otros",D904&lt;&gt;"Intereses")),"Tipo o categoría inválido",IF(COUNTA(A904:J904)=0,"",IF(OR(A904="",B904="",C904="",H904=""),"Faltan datos",IF(COUNTIF($A$7:$A$2006,A904)&gt;1,"ID duplicado",IF(OR(B904&lt;DATE(Configuración!$C$5,1,1),B904&gt;=DATE(Configuración!$C$5+1,1,1)),"Fecha fuera del año",IF(OR(H904&lt;0,I904&lt;0),"Revisar signo",IF(AND(C904&lt;&gt;"Gasto",I904&lt;&gt;0),"IVA solo en Gasto",IF(AND(C904="Gasto",D904=""),"Falta categoría","OK")))))))))</f>
        <v/>
      </c>
    </row>
    <row r="905" spans="1:12" ht="22" customHeight="1">
      <c r="A905" s="3"/>
      <c r="B905" s="7"/>
      <c r="C905" s="3"/>
      <c r="D905" s="3"/>
      <c r="E905" s="3"/>
      <c r="F905" s="3"/>
      <c r="G905" s="3"/>
      <c r="H905" s="4"/>
      <c r="I905" s="4"/>
      <c r="J905" s="3"/>
      <c r="K905" s="8" t="str">
        <f t="shared" si="14"/>
        <v/>
      </c>
      <c r="L905" s="1" t="str">
        <f>IF(COUNTA(A905:J905)=0,"",IF(OR(AND(C905&lt;&gt;"Gasto",C905&lt;&gt;"Pago proveedor",C905&lt;&gt;"Retiro familiar",C905&lt;&gt;"Aportación",C905&lt;&gt;"Pago activo",C905&lt;&gt;"ISR devengado",C905&lt;&gt;"Pago ISR",C905&lt;&gt;"Pago IVA",C905&lt;&gt;"Compensación ISR",C905&lt;&gt;"Compensación IVA"),AND(C905="Gasto",D905&lt;&gt;"Costos clínicos",D905&lt;&gt;"Remuneración familiar",D905&lt;&gt;"Nómina y honorarios",D905&lt;&gt;"Renta",D905&lt;&gt;"Marketing",D905&lt;&gt;"Servicios y software",D905&lt;&gt;"Mantenimiento",D905&lt;&gt;"Otros",D905&lt;&gt;"Intereses")),"Tipo o categoría inválido",IF(COUNTA(A905:J905)=0,"",IF(OR(A905="",B905="",C905="",H905=""),"Faltan datos",IF(COUNTIF($A$7:$A$2006,A905)&gt;1,"ID duplicado",IF(OR(B905&lt;DATE(Configuración!$C$5,1,1),B905&gt;=DATE(Configuración!$C$5+1,1,1)),"Fecha fuera del año",IF(OR(H905&lt;0,I905&lt;0),"Revisar signo",IF(AND(C905&lt;&gt;"Gasto",I905&lt;&gt;0),"IVA solo en Gasto",IF(AND(C905="Gasto",D905=""),"Falta categoría","OK")))))))))</f>
        <v/>
      </c>
    </row>
    <row r="906" spans="1:12" ht="22" customHeight="1">
      <c r="A906" s="3"/>
      <c r="B906" s="7"/>
      <c r="C906" s="3"/>
      <c r="D906" s="3"/>
      <c r="E906" s="3"/>
      <c r="F906" s="3"/>
      <c r="G906" s="3"/>
      <c r="H906" s="4"/>
      <c r="I906" s="4"/>
      <c r="J906" s="3"/>
      <c r="K906" s="8" t="str">
        <f t="shared" si="14"/>
        <v/>
      </c>
      <c r="L906" s="1" t="str">
        <f>IF(COUNTA(A906:J906)=0,"",IF(OR(AND(C906&lt;&gt;"Gasto",C906&lt;&gt;"Pago proveedor",C906&lt;&gt;"Retiro familiar",C906&lt;&gt;"Aportación",C906&lt;&gt;"Pago activo",C906&lt;&gt;"ISR devengado",C906&lt;&gt;"Pago ISR",C906&lt;&gt;"Pago IVA",C906&lt;&gt;"Compensación ISR",C906&lt;&gt;"Compensación IVA"),AND(C906="Gasto",D906&lt;&gt;"Costos clínicos",D906&lt;&gt;"Remuneración familiar",D906&lt;&gt;"Nómina y honorarios",D906&lt;&gt;"Renta",D906&lt;&gt;"Marketing",D906&lt;&gt;"Servicios y software",D906&lt;&gt;"Mantenimiento",D906&lt;&gt;"Otros",D906&lt;&gt;"Intereses")),"Tipo o categoría inválido",IF(COUNTA(A906:J906)=0,"",IF(OR(A906="",B906="",C906="",H906=""),"Faltan datos",IF(COUNTIF($A$7:$A$2006,A906)&gt;1,"ID duplicado",IF(OR(B906&lt;DATE(Configuración!$C$5,1,1),B906&gt;=DATE(Configuración!$C$5+1,1,1)),"Fecha fuera del año",IF(OR(H906&lt;0,I906&lt;0),"Revisar signo",IF(AND(C906&lt;&gt;"Gasto",I906&lt;&gt;0),"IVA solo en Gasto",IF(AND(C906="Gasto",D906=""),"Falta categoría","OK")))))))))</f>
        <v/>
      </c>
    </row>
    <row r="907" spans="1:12" ht="22" customHeight="1">
      <c r="A907" s="3"/>
      <c r="B907" s="7"/>
      <c r="C907" s="3"/>
      <c r="D907" s="3"/>
      <c r="E907" s="3"/>
      <c r="F907" s="3"/>
      <c r="G907" s="3"/>
      <c r="H907" s="4"/>
      <c r="I907" s="4"/>
      <c r="J907" s="3"/>
      <c r="K907" s="8" t="str">
        <f t="shared" si="14"/>
        <v/>
      </c>
      <c r="L907" s="1" t="str">
        <f>IF(COUNTA(A907:J907)=0,"",IF(OR(AND(C907&lt;&gt;"Gasto",C907&lt;&gt;"Pago proveedor",C907&lt;&gt;"Retiro familiar",C907&lt;&gt;"Aportación",C907&lt;&gt;"Pago activo",C907&lt;&gt;"ISR devengado",C907&lt;&gt;"Pago ISR",C907&lt;&gt;"Pago IVA",C907&lt;&gt;"Compensación ISR",C907&lt;&gt;"Compensación IVA"),AND(C907="Gasto",D907&lt;&gt;"Costos clínicos",D907&lt;&gt;"Remuneración familiar",D907&lt;&gt;"Nómina y honorarios",D907&lt;&gt;"Renta",D907&lt;&gt;"Marketing",D907&lt;&gt;"Servicios y software",D907&lt;&gt;"Mantenimiento",D907&lt;&gt;"Otros",D907&lt;&gt;"Intereses")),"Tipo o categoría inválido",IF(COUNTA(A907:J907)=0,"",IF(OR(A907="",B907="",C907="",H907=""),"Faltan datos",IF(COUNTIF($A$7:$A$2006,A907)&gt;1,"ID duplicado",IF(OR(B907&lt;DATE(Configuración!$C$5,1,1),B907&gt;=DATE(Configuración!$C$5+1,1,1)),"Fecha fuera del año",IF(OR(H907&lt;0,I907&lt;0),"Revisar signo",IF(AND(C907&lt;&gt;"Gasto",I907&lt;&gt;0),"IVA solo en Gasto",IF(AND(C907="Gasto",D907=""),"Falta categoría","OK")))))))))</f>
        <v/>
      </c>
    </row>
    <row r="908" spans="1:12" ht="22" customHeight="1">
      <c r="A908" s="3"/>
      <c r="B908" s="7"/>
      <c r="C908" s="3"/>
      <c r="D908" s="3"/>
      <c r="E908" s="3"/>
      <c r="F908" s="3"/>
      <c r="G908" s="3"/>
      <c r="H908" s="4"/>
      <c r="I908" s="4"/>
      <c r="J908" s="3"/>
      <c r="K908" s="8" t="str">
        <f t="shared" si="14"/>
        <v/>
      </c>
      <c r="L908" s="1" t="str">
        <f>IF(COUNTA(A908:J908)=0,"",IF(OR(AND(C908&lt;&gt;"Gasto",C908&lt;&gt;"Pago proveedor",C908&lt;&gt;"Retiro familiar",C908&lt;&gt;"Aportación",C908&lt;&gt;"Pago activo",C908&lt;&gt;"ISR devengado",C908&lt;&gt;"Pago ISR",C908&lt;&gt;"Pago IVA",C908&lt;&gt;"Compensación ISR",C908&lt;&gt;"Compensación IVA"),AND(C908="Gasto",D908&lt;&gt;"Costos clínicos",D908&lt;&gt;"Remuneración familiar",D908&lt;&gt;"Nómina y honorarios",D908&lt;&gt;"Renta",D908&lt;&gt;"Marketing",D908&lt;&gt;"Servicios y software",D908&lt;&gt;"Mantenimiento",D908&lt;&gt;"Otros",D908&lt;&gt;"Intereses")),"Tipo o categoría inválido",IF(COUNTA(A908:J908)=0,"",IF(OR(A908="",B908="",C908="",H908=""),"Faltan datos",IF(COUNTIF($A$7:$A$2006,A908)&gt;1,"ID duplicado",IF(OR(B908&lt;DATE(Configuración!$C$5,1,1),B908&gt;=DATE(Configuración!$C$5+1,1,1)),"Fecha fuera del año",IF(OR(H908&lt;0,I908&lt;0),"Revisar signo",IF(AND(C908&lt;&gt;"Gasto",I908&lt;&gt;0),"IVA solo en Gasto",IF(AND(C908="Gasto",D908=""),"Falta categoría","OK")))))))))</f>
        <v/>
      </c>
    </row>
    <row r="909" spans="1:12" ht="22" customHeight="1">
      <c r="A909" s="3"/>
      <c r="B909" s="7"/>
      <c r="C909" s="3"/>
      <c r="D909" s="3"/>
      <c r="E909" s="3"/>
      <c r="F909" s="3"/>
      <c r="G909" s="3"/>
      <c r="H909" s="4"/>
      <c r="I909" s="4"/>
      <c r="J909" s="3"/>
      <c r="K909" s="8" t="str">
        <f t="shared" si="14"/>
        <v/>
      </c>
      <c r="L909" s="1" t="str">
        <f>IF(COUNTA(A909:J909)=0,"",IF(OR(AND(C909&lt;&gt;"Gasto",C909&lt;&gt;"Pago proveedor",C909&lt;&gt;"Retiro familiar",C909&lt;&gt;"Aportación",C909&lt;&gt;"Pago activo",C909&lt;&gt;"ISR devengado",C909&lt;&gt;"Pago ISR",C909&lt;&gt;"Pago IVA",C909&lt;&gt;"Compensación ISR",C909&lt;&gt;"Compensación IVA"),AND(C909="Gasto",D909&lt;&gt;"Costos clínicos",D909&lt;&gt;"Remuneración familiar",D909&lt;&gt;"Nómina y honorarios",D909&lt;&gt;"Renta",D909&lt;&gt;"Marketing",D909&lt;&gt;"Servicios y software",D909&lt;&gt;"Mantenimiento",D909&lt;&gt;"Otros",D909&lt;&gt;"Intereses")),"Tipo o categoría inválido",IF(COUNTA(A909:J909)=0,"",IF(OR(A909="",B909="",C909="",H909=""),"Faltan datos",IF(COUNTIF($A$7:$A$2006,A909)&gt;1,"ID duplicado",IF(OR(B909&lt;DATE(Configuración!$C$5,1,1),B909&gt;=DATE(Configuración!$C$5+1,1,1)),"Fecha fuera del año",IF(OR(H909&lt;0,I909&lt;0),"Revisar signo",IF(AND(C909&lt;&gt;"Gasto",I909&lt;&gt;0),"IVA solo en Gasto",IF(AND(C909="Gasto",D909=""),"Falta categoría","OK")))))))))</f>
        <v/>
      </c>
    </row>
    <row r="910" spans="1:12" ht="22" customHeight="1">
      <c r="A910" s="3"/>
      <c r="B910" s="7"/>
      <c r="C910" s="3"/>
      <c r="D910" s="3"/>
      <c r="E910" s="3"/>
      <c r="F910" s="3"/>
      <c r="G910" s="3"/>
      <c r="H910" s="4"/>
      <c r="I910" s="4"/>
      <c r="J910" s="3"/>
      <c r="K910" s="8" t="str">
        <f t="shared" si="14"/>
        <v/>
      </c>
      <c r="L910" s="1" t="str">
        <f>IF(COUNTA(A910:J910)=0,"",IF(OR(AND(C910&lt;&gt;"Gasto",C910&lt;&gt;"Pago proveedor",C910&lt;&gt;"Retiro familiar",C910&lt;&gt;"Aportación",C910&lt;&gt;"Pago activo",C910&lt;&gt;"ISR devengado",C910&lt;&gt;"Pago ISR",C910&lt;&gt;"Pago IVA",C910&lt;&gt;"Compensación ISR",C910&lt;&gt;"Compensación IVA"),AND(C910="Gasto",D910&lt;&gt;"Costos clínicos",D910&lt;&gt;"Remuneración familiar",D910&lt;&gt;"Nómina y honorarios",D910&lt;&gt;"Renta",D910&lt;&gt;"Marketing",D910&lt;&gt;"Servicios y software",D910&lt;&gt;"Mantenimiento",D910&lt;&gt;"Otros",D910&lt;&gt;"Intereses")),"Tipo o categoría inválido",IF(COUNTA(A910:J910)=0,"",IF(OR(A910="",B910="",C910="",H910=""),"Faltan datos",IF(COUNTIF($A$7:$A$2006,A910)&gt;1,"ID duplicado",IF(OR(B910&lt;DATE(Configuración!$C$5,1,1),B910&gt;=DATE(Configuración!$C$5+1,1,1)),"Fecha fuera del año",IF(OR(H910&lt;0,I910&lt;0),"Revisar signo",IF(AND(C910&lt;&gt;"Gasto",I910&lt;&gt;0),"IVA solo en Gasto",IF(AND(C910="Gasto",D910=""),"Falta categoría","OK")))))))))</f>
        <v/>
      </c>
    </row>
    <row r="911" spans="1:12" ht="22" customHeight="1">
      <c r="A911" s="3"/>
      <c r="B911" s="7"/>
      <c r="C911" s="3"/>
      <c r="D911" s="3"/>
      <c r="E911" s="3"/>
      <c r="F911" s="3"/>
      <c r="G911" s="3"/>
      <c r="H911" s="4"/>
      <c r="I911" s="4"/>
      <c r="J911" s="3"/>
      <c r="K911" s="8" t="str">
        <f t="shared" si="14"/>
        <v/>
      </c>
      <c r="L911" s="1" t="str">
        <f>IF(COUNTA(A911:J911)=0,"",IF(OR(AND(C911&lt;&gt;"Gasto",C911&lt;&gt;"Pago proveedor",C911&lt;&gt;"Retiro familiar",C911&lt;&gt;"Aportación",C911&lt;&gt;"Pago activo",C911&lt;&gt;"ISR devengado",C911&lt;&gt;"Pago ISR",C911&lt;&gt;"Pago IVA",C911&lt;&gt;"Compensación ISR",C911&lt;&gt;"Compensación IVA"),AND(C911="Gasto",D911&lt;&gt;"Costos clínicos",D911&lt;&gt;"Remuneración familiar",D911&lt;&gt;"Nómina y honorarios",D911&lt;&gt;"Renta",D911&lt;&gt;"Marketing",D911&lt;&gt;"Servicios y software",D911&lt;&gt;"Mantenimiento",D911&lt;&gt;"Otros",D911&lt;&gt;"Intereses")),"Tipo o categoría inválido",IF(COUNTA(A911:J911)=0,"",IF(OR(A911="",B911="",C911="",H911=""),"Faltan datos",IF(COUNTIF($A$7:$A$2006,A911)&gt;1,"ID duplicado",IF(OR(B911&lt;DATE(Configuración!$C$5,1,1),B911&gt;=DATE(Configuración!$C$5+1,1,1)),"Fecha fuera del año",IF(OR(H911&lt;0,I911&lt;0),"Revisar signo",IF(AND(C911&lt;&gt;"Gasto",I911&lt;&gt;0),"IVA solo en Gasto",IF(AND(C911="Gasto",D911=""),"Falta categoría","OK")))))))))</f>
        <v/>
      </c>
    </row>
    <row r="912" spans="1:12" ht="22" customHeight="1">
      <c r="A912" s="3"/>
      <c r="B912" s="7"/>
      <c r="C912" s="3"/>
      <c r="D912" s="3"/>
      <c r="E912" s="3"/>
      <c r="F912" s="3"/>
      <c r="G912" s="3"/>
      <c r="H912" s="4"/>
      <c r="I912" s="4"/>
      <c r="J912" s="3"/>
      <c r="K912" s="8" t="str">
        <f t="shared" si="14"/>
        <v/>
      </c>
      <c r="L912" s="1" t="str">
        <f>IF(COUNTA(A912:J912)=0,"",IF(OR(AND(C912&lt;&gt;"Gasto",C912&lt;&gt;"Pago proveedor",C912&lt;&gt;"Retiro familiar",C912&lt;&gt;"Aportación",C912&lt;&gt;"Pago activo",C912&lt;&gt;"ISR devengado",C912&lt;&gt;"Pago ISR",C912&lt;&gt;"Pago IVA",C912&lt;&gt;"Compensación ISR",C912&lt;&gt;"Compensación IVA"),AND(C912="Gasto",D912&lt;&gt;"Costos clínicos",D912&lt;&gt;"Remuneración familiar",D912&lt;&gt;"Nómina y honorarios",D912&lt;&gt;"Renta",D912&lt;&gt;"Marketing",D912&lt;&gt;"Servicios y software",D912&lt;&gt;"Mantenimiento",D912&lt;&gt;"Otros",D912&lt;&gt;"Intereses")),"Tipo o categoría inválido",IF(COUNTA(A912:J912)=0,"",IF(OR(A912="",B912="",C912="",H912=""),"Faltan datos",IF(COUNTIF($A$7:$A$2006,A912)&gt;1,"ID duplicado",IF(OR(B912&lt;DATE(Configuración!$C$5,1,1),B912&gt;=DATE(Configuración!$C$5+1,1,1)),"Fecha fuera del año",IF(OR(H912&lt;0,I912&lt;0),"Revisar signo",IF(AND(C912&lt;&gt;"Gasto",I912&lt;&gt;0),"IVA solo en Gasto",IF(AND(C912="Gasto",D912=""),"Falta categoría","OK")))))))))</f>
        <v/>
      </c>
    </row>
    <row r="913" spans="1:12" ht="22" customHeight="1">
      <c r="A913" s="3"/>
      <c r="B913" s="7"/>
      <c r="C913" s="3"/>
      <c r="D913" s="3"/>
      <c r="E913" s="3"/>
      <c r="F913" s="3"/>
      <c r="G913" s="3"/>
      <c r="H913" s="4"/>
      <c r="I913" s="4"/>
      <c r="J913" s="3"/>
      <c r="K913" s="8" t="str">
        <f t="shared" si="14"/>
        <v/>
      </c>
      <c r="L913" s="1" t="str">
        <f>IF(COUNTA(A913:J913)=0,"",IF(OR(AND(C913&lt;&gt;"Gasto",C913&lt;&gt;"Pago proveedor",C913&lt;&gt;"Retiro familiar",C913&lt;&gt;"Aportación",C913&lt;&gt;"Pago activo",C913&lt;&gt;"ISR devengado",C913&lt;&gt;"Pago ISR",C913&lt;&gt;"Pago IVA",C913&lt;&gt;"Compensación ISR",C913&lt;&gt;"Compensación IVA"),AND(C913="Gasto",D913&lt;&gt;"Costos clínicos",D913&lt;&gt;"Remuneración familiar",D913&lt;&gt;"Nómina y honorarios",D913&lt;&gt;"Renta",D913&lt;&gt;"Marketing",D913&lt;&gt;"Servicios y software",D913&lt;&gt;"Mantenimiento",D913&lt;&gt;"Otros",D913&lt;&gt;"Intereses")),"Tipo o categoría inválido",IF(COUNTA(A913:J913)=0,"",IF(OR(A913="",B913="",C913="",H913=""),"Faltan datos",IF(COUNTIF($A$7:$A$2006,A913)&gt;1,"ID duplicado",IF(OR(B913&lt;DATE(Configuración!$C$5,1,1),B913&gt;=DATE(Configuración!$C$5+1,1,1)),"Fecha fuera del año",IF(OR(H913&lt;0,I913&lt;0),"Revisar signo",IF(AND(C913&lt;&gt;"Gasto",I913&lt;&gt;0),"IVA solo en Gasto",IF(AND(C913="Gasto",D913=""),"Falta categoría","OK")))))))))</f>
        <v/>
      </c>
    </row>
    <row r="914" spans="1:12" ht="22" customHeight="1">
      <c r="A914" s="3"/>
      <c r="B914" s="7"/>
      <c r="C914" s="3"/>
      <c r="D914" s="3"/>
      <c r="E914" s="3"/>
      <c r="F914" s="3"/>
      <c r="G914" s="3"/>
      <c r="H914" s="4"/>
      <c r="I914" s="4"/>
      <c r="J914" s="3"/>
      <c r="K914" s="8" t="str">
        <f t="shared" si="14"/>
        <v/>
      </c>
      <c r="L914" s="1" t="str">
        <f>IF(COUNTA(A914:J914)=0,"",IF(OR(AND(C914&lt;&gt;"Gasto",C914&lt;&gt;"Pago proveedor",C914&lt;&gt;"Retiro familiar",C914&lt;&gt;"Aportación",C914&lt;&gt;"Pago activo",C914&lt;&gt;"ISR devengado",C914&lt;&gt;"Pago ISR",C914&lt;&gt;"Pago IVA",C914&lt;&gt;"Compensación ISR",C914&lt;&gt;"Compensación IVA"),AND(C914="Gasto",D914&lt;&gt;"Costos clínicos",D914&lt;&gt;"Remuneración familiar",D914&lt;&gt;"Nómina y honorarios",D914&lt;&gt;"Renta",D914&lt;&gt;"Marketing",D914&lt;&gt;"Servicios y software",D914&lt;&gt;"Mantenimiento",D914&lt;&gt;"Otros",D914&lt;&gt;"Intereses")),"Tipo o categoría inválido",IF(COUNTA(A914:J914)=0,"",IF(OR(A914="",B914="",C914="",H914=""),"Faltan datos",IF(COUNTIF($A$7:$A$2006,A914)&gt;1,"ID duplicado",IF(OR(B914&lt;DATE(Configuración!$C$5,1,1),B914&gt;=DATE(Configuración!$C$5+1,1,1)),"Fecha fuera del año",IF(OR(H914&lt;0,I914&lt;0),"Revisar signo",IF(AND(C914&lt;&gt;"Gasto",I914&lt;&gt;0),"IVA solo en Gasto",IF(AND(C914="Gasto",D914=""),"Falta categoría","OK")))))))))</f>
        <v/>
      </c>
    </row>
    <row r="915" spans="1:12" ht="22" customHeight="1">
      <c r="A915" s="3"/>
      <c r="B915" s="7"/>
      <c r="C915" s="3"/>
      <c r="D915" s="3"/>
      <c r="E915" s="3"/>
      <c r="F915" s="3"/>
      <c r="G915" s="3"/>
      <c r="H915" s="4"/>
      <c r="I915" s="4"/>
      <c r="J915" s="3"/>
      <c r="K915" s="8" t="str">
        <f t="shared" si="14"/>
        <v/>
      </c>
      <c r="L915" s="1" t="str">
        <f>IF(COUNTA(A915:J915)=0,"",IF(OR(AND(C915&lt;&gt;"Gasto",C915&lt;&gt;"Pago proveedor",C915&lt;&gt;"Retiro familiar",C915&lt;&gt;"Aportación",C915&lt;&gt;"Pago activo",C915&lt;&gt;"ISR devengado",C915&lt;&gt;"Pago ISR",C915&lt;&gt;"Pago IVA",C915&lt;&gt;"Compensación ISR",C915&lt;&gt;"Compensación IVA"),AND(C915="Gasto",D915&lt;&gt;"Costos clínicos",D915&lt;&gt;"Remuneración familiar",D915&lt;&gt;"Nómina y honorarios",D915&lt;&gt;"Renta",D915&lt;&gt;"Marketing",D915&lt;&gt;"Servicios y software",D915&lt;&gt;"Mantenimiento",D915&lt;&gt;"Otros",D915&lt;&gt;"Intereses")),"Tipo o categoría inválido",IF(COUNTA(A915:J915)=0,"",IF(OR(A915="",B915="",C915="",H915=""),"Faltan datos",IF(COUNTIF($A$7:$A$2006,A915)&gt;1,"ID duplicado",IF(OR(B915&lt;DATE(Configuración!$C$5,1,1),B915&gt;=DATE(Configuración!$C$5+1,1,1)),"Fecha fuera del año",IF(OR(H915&lt;0,I915&lt;0),"Revisar signo",IF(AND(C915&lt;&gt;"Gasto",I915&lt;&gt;0),"IVA solo en Gasto",IF(AND(C915="Gasto",D915=""),"Falta categoría","OK")))))))))</f>
        <v/>
      </c>
    </row>
    <row r="916" spans="1:12" ht="22" customHeight="1">
      <c r="A916" s="3"/>
      <c r="B916" s="7"/>
      <c r="C916" s="3"/>
      <c r="D916" s="3"/>
      <c r="E916" s="3"/>
      <c r="F916" s="3"/>
      <c r="G916" s="3"/>
      <c r="H916" s="4"/>
      <c r="I916" s="4"/>
      <c r="J916" s="3"/>
      <c r="K916" s="8" t="str">
        <f t="shared" si="14"/>
        <v/>
      </c>
      <c r="L916" s="1" t="str">
        <f>IF(COUNTA(A916:J916)=0,"",IF(OR(AND(C916&lt;&gt;"Gasto",C916&lt;&gt;"Pago proveedor",C916&lt;&gt;"Retiro familiar",C916&lt;&gt;"Aportación",C916&lt;&gt;"Pago activo",C916&lt;&gt;"ISR devengado",C916&lt;&gt;"Pago ISR",C916&lt;&gt;"Pago IVA",C916&lt;&gt;"Compensación ISR",C916&lt;&gt;"Compensación IVA"),AND(C916="Gasto",D916&lt;&gt;"Costos clínicos",D916&lt;&gt;"Remuneración familiar",D916&lt;&gt;"Nómina y honorarios",D916&lt;&gt;"Renta",D916&lt;&gt;"Marketing",D916&lt;&gt;"Servicios y software",D916&lt;&gt;"Mantenimiento",D916&lt;&gt;"Otros",D916&lt;&gt;"Intereses")),"Tipo o categoría inválido",IF(COUNTA(A916:J916)=0,"",IF(OR(A916="",B916="",C916="",H916=""),"Faltan datos",IF(COUNTIF($A$7:$A$2006,A916)&gt;1,"ID duplicado",IF(OR(B916&lt;DATE(Configuración!$C$5,1,1),B916&gt;=DATE(Configuración!$C$5+1,1,1)),"Fecha fuera del año",IF(OR(H916&lt;0,I916&lt;0),"Revisar signo",IF(AND(C916&lt;&gt;"Gasto",I916&lt;&gt;0),"IVA solo en Gasto",IF(AND(C916="Gasto",D916=""),"Falta categoría","OK")))))))))</f>
        <v/>
      </c>
    </row>
    <row r="917" spans="1:12" ht="22" customHeight="1">
      <c r="A917" s="3"/>
      <c r="B917" s="7"/>
      <c r="C917" s="3"/>
      <c r="D917" s="3"/>
      <c r="E917" s="3"/>
      <c r="F917" s="3"/>
      <c r="G917" s="3"/>
      <c r="H917" s="4"/>
      <c r="I917" s="4"/>
      <c r="J917" s="3"/>
      <c r="K917" s="8" t="str">
        <f t="shared" si="14"/>
        <v/>
      </c>
      <c r="L917" s="1" t="str">
        <f>IF(COUNTA(A917:J917)=0,"",IF(OR(AND(C917&lt;&gt;"Gasto",C917&lt;&gt;"Pago proveedor",C917&lt;&gt;"Retiro familiar",C917&lt;&gt;"Aportación",C917&lt;&gt;"Pago activo",C917&lt;&gt;"ISR devengado",C917&lt;&gt;"Pago ISR",C917&lt;&gt;"Pago IVA",C917&lt;&gt;"Compensación ISR",C917&lt;&gt;"Compensación IVA"),AND(C917="Gasto",D917&lt;&gt;"Costos clínicos",D917&lt;&gt;"Remuneración familiar",D917&lt;&gt;"Nómina y honorarios",D917&lt;&gt;"Renta",D917&lt;&gt;"Marketing",D917&lt;&gt;"Servicios y software",D917&lt;&gt;"Mantenimiento",D917&lt;&gt;"Otros",D917&lt;&gt;"Intereses")),"Tipo o categoría inválido",IF(COUNTA(A917:J917)=0,"",IF(OR(A917="",B917="",C917="",H917=""),"Faltan datos",IF(COUNTIF($A$7:$A$2006,A917)&gt;1,"ID duplicado",IF(OR(B917&lt;DATE(Configuración!$C$5,1,1),B917&gt;=DATE(Configuración!$C$5+1,1,1)),"Fecha fuera del año",IF(OR(H917&lt;0,I917&lt;0),"Revisar signo",IF(AND(C917&lt;&gt;"Gasto",I917&lt;&gt;0),"IVA solo en Gasto",IF(AND(C917="Gasto",D917=""),"Falta categoría","OK")))))))))</f>
        <v/>
      </c>
    </row>
    <row r="918" spans="1:12" ht="22" customHeight="1">
      <c r="A918" s="3"/>
      <c r="B918" s="7"/>
      <c r="C918" s="3"/>
      <c r="D918" s="3"/>
      <c r="E918" s="3"/>
      <c r="F918" s="3"/>
      <c r="G918" s="3"/>
      <c r="H918" s="4"/>
      <c r="I918" s="4"/>
      <c r="J918" s="3"/>
      <c r="K918" s="8" t="str">
        <f t="shared" si="14"/>
        <v/>
      </c>
      <c r="L918" s="1" t="str">
        <f>IF(COUNTA(A918:J918)=0,"",IF(OR(AND(C918&lt;&gt;"Gasto",C918&lt;&gt;"Pago proveedor",C918&lt;&gt;"Retiro familiar",C918&lt;&gt;"Aportación",C918&lt;&gt;"Pago activo",C918&lt;&gt;"ISR devengado",C918&lt;&gt;"Pago ISR",C918&lt;&gt;"Pago IVA",C918&lt;&gt;"Compensación ISR",C918&lt;&gt;"Compensación IVA"),AND(C918="Gasto",D918&lt;&gt;"Costos clínicos",D918&lt;&gt;"Remuneración familiar",D918&lt;&gt;"Nómina y honorarios",D918&lt;&gt;"Renta",D918&lt;&gt;"Marketing",D918&lt;&gt;"Servicios y software",D918&lt;&gt;"Mantenimiento",D918&lt;&gt;"Otros",D918&lt;&gt;"Intereses")),"Tipo o categoría inválido",IF(COUNTA(A918:J918)=0,"",IF(OR(A918="",B918="",C918="",H918=""),"Faltan datos",IF(COUNTIF($A$7:$A$2006,A918)&gt;1,"ID duplicado",IF(OR(B918&lt;DATE(Configuración!$C$5,1,1),B918&gt;=DATE(Configuración!$C$5+1,1,1)),"Fecha fuera del año",IF(OR(H918&lt;0,I918&lt;0),"Revisar signo",IF(AND(C918&lt;&gt;"Gasto",I918&lt;&gt;0),"IVA solo en Gasto",IF(AND(C918="Gasto",D918=""),"Falta categoría","OK")))))))))</f>
        <v/>
      </c>
    </row>
    <row r="919" spans="1:12" ht="22" customHeight="1">
      <c r="A919" s="3"/>
      <c r="B919" s="7"/>
      <c r="C919" s="3"/>
      <c r="D919" s="3"/>
      <c r="E919" s="3"/>
      <c r="F919" s="3"/>
      <c r="G919" s="3"/>
      <c r="H919" s="4"/>
      <c r="I919" s="4"/>
      <c r="J919" s="3"/>
      <c r="K919" s="8" t="str">
        <f t="shared" si="14"/>
        <v/>
      </c>
      <c r="L919" s="1" t="str">
        <f>IF(COUNTA(A919:J919)=0,"",IF(OR(AND(C919&lt;&gt;"Gasto",C919&lt;&gt;"Pago proveedor",C919&lt;&gt;"Retiro familiar",C919&lt;&gt;"Aportación",C919&lt;&gt;"Pago activo",C919&lt;&gt;"ISR devengado",C919&lt;&gt;"Pago ISR",C919&lt;&gt;"Pago IVA",C919&lt;&gt;"Compensación ISR",C919&lt;&gt;"Compensación IVA"),AND(C919="Gasto",D919&lt;&gt;"Costos clínicos",D919&lt;&gt;"Remuneración familiar",D919&lt;&gt;"Nómina y honorarios",D919&lt;&gt;"Renta",D919&lt;&gt;"Marketing",D919&lt;&gt;"Servicios y software",D919&lt;&gt;"Mantenimiento",D919&lt;&gt;"Otros",D919&lt;&gt;"Intereses")),"Tipo o categoría inválido",IF(COUNTA(A919:J919)=0,"",IF(OR(A919="",B919="",C919="",H919=""),"Faltan datos",IF(COUNTIF($A$7:$A$2006,A919)&gt;1,"ID duplicado",IF(OR(B919&lt;DATE(Configuración!$C$5,1,1),B919&gt;=DATE(Configuración!$C$5+1,1,1)),"Fecha fuera del año",IF(OR(H919&lt;0,I919&lt;0),"Revisar signo",IF(AND(C919&lt;&gt;"Gasto",I919&lt;&gt;0),"IVA solo en Gasto",IF(AND(C919="Gasto",D919=""),"Falta categoría","OK")))))))))</f>
        <v/>
      </c>
    </row>
    <row r="920" spans="1:12" ht="22" customHeight="1">
      <c r="A920" s="3"/>
      <c r="B920" s="7"/>
      <c r="C920" s="3"/>
      <c r="D920" s="3"/>
      <c r="E920" s="3"/>
      <c r="F920" s="3"/>
      <c r="G920" s="3"/>
      <c r="H920" s="4"/>
      <c r="I920" s="4"/>
      <c r="J920" s="3"/>
      <c r="K920" s="8" t="str">
        <f t="shared" si="14"/>
        <v/>
      </c>
      <c r="L920" s="1" t="str">
        <f>IF(COUNTA(A920:J920)=0,"",IF(OR(AND(C920&lt;&gt;"Gasto",C920&lt;&gt;"Pago proveedor",C920&lt;&gt;"Retiro familiar",C920&lt;&gt;"Aportación",C920&lt;&gt;"Pago activo",C920&lt;&gt;"ISR devengado",C920&lt;&gt;"Pago ISR",C920&lt;&gt;"Pago IVA",C920&lt;&gt;"Compensación ISR",C920&lt;&gt;"Compensación IVA"),AND(C920="Gasto",D920&lt;&gt;"Costos clínicos",D920&lt;&gt;"Remuneración familiar",D920&lt;&gt;"Nómina y honorarios",D920&lt;&gt;"Renta",D920&lt;&gt;"Marketing",D920&lt;&gt;"Servicios y software",D920&lt;&gt;"Mantenimiento",D920&lt;&gt;"Otros",D920&lt;&gt;"Intereses")),"Tipo o categoría inválido",IF(COUNTA(A920:J920)=0,"",IF(OR(A920="",B920="",C920="",H920=""),"Faltan datos",IF(COUNTIF($A$7:$A$2006,A920)&gt;1,"ID duplicado",IF(OR(B920&lt;DATE(Configuración!$C$5,1,1),B920&gt;=DATE(Configuración!$C$5+1,1,1)),"Fecha fuera del año",IF(OR(H920&lt;0,I920&lt;0),"Revisar signo",IF(AND(C920&lt;&gt;"Gasto",I920&lt;&gt;0),"IVA solo en Gasto",IF(AND(C920="Gasto",D920=""),"Falta categoría","OK")))))))))</f>
        <v/>
      </c>
    </row>
    <row r="921" spans="1:12" ht="22" customHeight="1">
      <c r="A921" s="3"/>
      <c r="B921" s="7"/>
      <c r="C921" s="3"/>
      <c r="D921" s="3"/>
      <c r="E921" s="3"/>
      <c r="F921" s="3"/>
      <c r="G921" s="3"/>
      <c r="H921" s="4"/>
      <c r="I921" s="4"/>
      <c r="J921" s="3"/>
      <c r="K921" s="8" t="str">
        <f t="shared" si="14"/>
        <v/>
      </c>
      <c r="L921" s="1" t="str">
        <f>IF(COUNTA(A921:J921)=0,"",IF(OR(AND(C921&lt;&gt;"Gasto",C921&lt;&gt;"Pago proveedor",C921&lt;&gt;"Retiro familiar",C921&lt;&gt;"Aportación",C921&lt;&gt;"Pago activo",C921&lt;&gt;"ISR devengado",C921&lt;&gt;"Pago ISR",C921&lt;&gt;"Pago IVA",C921&lt;&gt;"Compensación ISR",C921&lt;&gt;"Compensación IVA"),AND(C921="Gasto",D921&lt;&gt;"Costos clínicos",D921&lt;&gt;"Remuneración familiar",D921&lt;&gt;"Nómina y honorarios",D921&lt;&gt;"Renta",D921&lt;&gt;"Marketing",D921&lt;&gt;"Servicios y software",D921&lt;&gt;"Mantenimiento",D921&lt;&gt;"Otros",D921&lt;&gt;"Intereses")),"Tipo o categoría inválido",IF(COUNTA(A921:J921)=0,"",IF(OR(A921="",B921="",C921="",H921=""),"Faltan datos",IF(COUNTIF($A$7:$A$2006,A921)&gt;1,"ID duplicado",IF(OR(B921&lt;DATE(Configuración!$C$5,1,1),B921&gt;=DATE(Configuración!$C$5+1,1,1)),"Fecha fuera del año",IF(OR(H921&lt;0,I921&lt;0),"Revisar signo",IF(AND(C921&lt;&gt;"Gasto",I921&lt;&gt;0),"IVA solo en Gasto",IF(AND(C921="Gasto",D921=""),"Falta categoría","OK")))))))))</f>
        <v/>
      </c>
    </row>
    <row r="922" spans="1:12" ht="22" customHeight="1">
      <c r="A922" s="3"/>
      <c r="B922" s="7"/>
      <c r="C922" s="3"/>
      <c r="D922" s="3"/>
      <c r="E922" s="3"/>
      <c r="F922" s="3"/>
      <c r="G922" s="3"/>
      <c r="H922" s="4"/>
      <c r="I922" s="4"/>
      <c r="J922" s="3"/>
      <c r="K922" s="8" t="str">
        <f t="shared" si="14"/>
        <v/>
      </c>
      <c r="L922" s="1" t="str">
        <f>IF(COUNTA(A922:J922)=0,"",IF(OR(AND(C922&lt;&gt;"Gasto",C922&lt;&gt;"Pago proveedor",C922&lt;&gt;"Retiro familiar",C922&lt;&gt;"Aportación",C922&lt;&gt;"Pago activo",C922&lt;&gt;"ISR devengado",C922&lt;&gt;"Pago ISR",C922&lt;&gt;"Pago IVA",C922&lt;&gt;"Compensación ISR",C922&lt;&gt;"Compensación IVA"),AND(C922="Gasto",D922&lt;&gt;"Costos clínicos",D922&lt;&gt;"Remuneración familiar",D922&lt;&gt;"Nómina y honorarios",D922&lt;&gt;"Renta",D922&lt;&gt;"Marketing",D922&lt;&gt;"Servicios y software",D922&lt;&gt;"Mantenimiento",D922&lt;&gt;"Otros",D922&lt;&gt;"Intereses")),"Tipo o categoría inválido",IF(COUNTA(A922:J922)=0,"",IF(OR(A922="",B922="",C922="",H922=""),"Faltan datos",IF(COUNTIF($A$7:$A$2006,A922)&gt;1,"ID duplicado",IF(OR(B922&lt;DATE(Configuración!$C$5,1,1),B922&gt;=DATE(Configuración!$C$5+1,1,1)),"Fecha fuera del año",IF(OR(H922&lt;0,I922&lt;0),"Revisar signo",IF(AND(C922&lt;&gt;"Gasto",I922&lt;&gt;0),"IVA solo en Gasto",IF(AND(C922="Gasto",D922=""),"Falta categoría","OK")))))))))</f>
        <v/>
      </c>
    </row>
    <row r="923" spans="1:12" ht="22" customHeight="1">
      <c r="A923" s="3"/>
      <c r="B923" s="7"/>
      <c r="C923" s="3"/>
      <c r="D923" s="3"/>
      <c r="E923" s="3"/>
      <c r="F923" s="3"/>
      <c r="G923" s="3"/>
      <c r="H923" s="4"/>
      <c r="I923" s="4"/>
      <c r="J923" s="3"/>
      <c r="K923" s="8" t="str">
        <f t="shared" si="14"/>
        <v/>
      </c>
      <c r="L923" s="1" t="str">
        <f>IF(COUNTA(A923:J923)=0,"",IF(OR(AND(C923&lt;&gt;"Gasto",C923&lt;&gt;"Pago proveedor",C923&lt;&gt;"Retiro familiar",C923&lt;&gt;"Aportación",C923&lt;&gt;"Pago activo",C923&lt;&gt;"ISR devengado",C923&lt;&gt;"Pago ISR",C923&lt;&gt;"Pago IVA",C923&lt;&gt;"Compensación ISR",C923&lt;&gt;"Compensación IVA"),AND(C923="Gasto",D923&lt;&gt;"Costos clínicos",D923&lt;&gt;"Remuneración familiar",D923&lt;&gt;"Nómina y honorarios",D923&lt;&gt;"Renta",D923&lt;&gt;"Marketing",D923&lt;&gt;"Servicios y software",D923&lt;&gt;"Mantenimiento",D923&lt;&gt;"Otros",D923&lt;&gt;"Intereses")),"Tipo o categoría inválido",IF(COUNTA(A923:J923)=0,"",IF(OR(A923="",B923="",C923="",H923=""),"Faltan datos",IF(COUNTIF($A$7:$A$2006,A923)&gt;1,"ID duplicado",IF(OR(B923&lt;DATE(Configuración!$C$5,1,1),B923&gt;=DATE(Configuración!$C$5+1,1,1)),"Fecha fuera del año",IF(OR(H923&lt;0,I923&lt;0),"Revisar signo",IF(AND(C923&lt;&gt;"Gasto",I923&lt;&gt;0),"IVA solo en Gasto",IF(AND(C923="Gasto",D923=""),"Falta categoría","OK")))))))))</f>
        <v/>
      </c>
    </row>
    <row r="924" spans="1:12" ht="22" customHeight="1">
      <c r="A924" s="3"/>
      <c r="B924" s="7"/>
      <c r="C924" s="3"/>
      <c r="D924" s="3"/>
      <c r="E924" s="3"/>
      <c r="F924" s="3"/>
      <c r="G924" s="3"/>
      <c r="H924" s="4"/>
      <c r="I924" s="4"/>
      <c r="J924" s="3"/>
      <c r="K924" s="8" t="str">
        <f t="shared" si="14"/>
        <v/>
      </c>
      <c r="L924" s="1" t="str">
        <f>IF(COUNTA(A924:J924)=0,"",IF(OR(AND(C924&lt;&gt;"Gasto",C924&lt;&gt;"Pago proveedor",C924&lt;&gt;"Retiro familiar",C924&lt;&gt;"Aportación",C924&lt;&gt;"Pago activo",C924&lt;&gt;"ISR devengado",C924&lt;&gt;"Pago ISR",C924&lt;&gt;"Pago IVA",C924&lt;&gt;"Compensación ISR",C924&lt;&gt;"Compensación IVA"),AND(C924="Gasto",D924&lt;&gt;"Costos clínicos",D924&lt;&gt;"Remuneración familiar",D924&lt;&gt;"Nómina y honorarios",D924&lt;&gt;"Renta",D924&lt;&gt;"Marketing",D924&lt;&gt;"Servicios y software",D924&lt;&gt;"Mantenimiento",D924&lt;&gt;"Otros",D924&lt;&gt;"Intereses")),"Tipo o categoría inválido",IF(COUNTA(A924:J924)=0,"",IF(OR(A924="",B924="",C924="",H924=""),"Faltan datos",IF(COUNTIF($A$7:$A$2006,A924)&gt;1,"ID duplicado",IF(OR(B924&lt;DATE(Configuración!$C$5,1,1),B924&gt;=DATE(Configuración!$C$5+1,1,1)),"Fecha fuera del año",IF(OR(H924&lt;0,I924&lt;0),"Revisar signo",IF(AND(C924&lt;&gt;"Gasto",I924&lt;&gt;0),"IVA solo en Gasto",IF(AND(C924="Gasto",D924=""),"Falta categoría","OK")))))))))</f>
        <v/>
      </c>
    </row>
    <row r="925" spans="1:12" ht="22" customHeight="1">
      <c r="A925" s="3"/>
      <c r="B925" s="7"/>
      <c r="C925" s="3"/>
      <c r="D925" s="3"/>
      <c r="E925" s="3"/>
      <c r="F925" s="3"/>
      <c r="G925" s="3"/>
      <c r="H925" s="4"/>
      <c r="I925" s="4"/>
      <c r="J925" s="3"/>
      <c r="K925" s="8" t="str">
        <f t="shared" si="14"/>
        <v/>
      </c>
      <c r="L925" s="1" t="str">
        <f>IF(COUNTA(A925:J925)=0,"",IF(OR(AND(C925&lt;&gt;"Gasto",C925&lt;&gt;"Pago proveedor",C925&lt;&gt;"Retiro familiar",C925&lt;&gt;"Aportación",C925&lt;&gt;"Pago activo",C925&lt;&gt;"ISR devengado",C925&lt;&gt;"Pago ISR",C925&lt;&gt;"Pago IVA",C925&lt;&gt;"Compensación ISR",C925&lt;&gt;"Compensación IVA"),AND(C925="Gasto",D925&lt;&gt;"Costos clínicos",D925&lt;&gt;"Remuneración familiar",D925&lt;&gt;"Nómina y honorarios",D925&lt;&gt;"Renta",D925&lt;&gt;"Marketing",D925&lt;&gt;"Servicios y software",D925&lt;&gt;"Mantenimiento",D925&lt;&gt;"Otros",D925&lt;&gt;"Intereses")),"Tipo o categoría inválido",IF(COUNTA(A925:J925)=0,"",IF(OR(A925="",B925="",C925="",H925=""),"Faltan datos",IF(COUNTIF($A$7:$A$2006,A925)&gt;1,"ID duplicado",IF(OR(B925&lt;DATE(Configuración!$C$5,1,1),B925&gt;=DATE(Configuración!$C$5+1,1,1)),"Fecha fuera del año",IF(OR(H925&lt;0,I925&lt;0),"Revisar signo",IF(AND(C925&lt;&gt;"Gasto",I925&lt;&gt;0),"IVA solo en Gasto",IF(AND(C925="Gasto",D925=""),"Falta categoría","OK")))))))))</f>
        <v/>
      </c>
    </row>
    <row r="926" spans="1:12" ht="22" customHeight="1">
      <c r="A926" s="3"/>
      <c r="B926" s="7"/>
      <c r="C926" s="3"/>
      <c r="D926" s="3"/>
      <c r="E926" s="3"/>
      <c r="F926" s="3"/>
      <c r="G926" s="3"/>
      <c r="H926" s="4"/>
      <c r="I926" s="4"/>
      <c r="J926" s="3"/>
      <c r="K926" s="8" t="str">
        <f t="shared" si="14"/>
        <v/>
      </c>
      <c r="L926" s="1" t="str">
        <f>IF(COUNTA(A926:J926)=0,"",IF(OR(AND(C926&lt;&gt;"Gasto",C926&lt;&gt;"Pago proveedor",C926&lt;&gt;"Retiro familiar",C926&lt;&gt;"Aportación",C926&lt;&gt;"Pago activo",C926&lt;&gt;"ISR devengado",C926&lt;&gt;"Pago ISR",C926&lt;&gt;"Pago IVA",C926&lt;&gt;"Compensación ISR",C926&lt;&gt;"Compensación IVA"),AND(C926="Gasto",D926&lt;&gt;"Costos clínicos",D926&lt;&gt;"Remuneración familiar",D926&lt;&gt;"Nómina y honorarios",D926&lt;&gt;"Renta",D926&lt;&gt;"Marketing",D926&lt;&gt;"Servicios y software",D926&lt;&gt;"Mantenimiento",D926&lt;&gt;"Otros",D926&lt;&gt;"Intereses")),"Tipo o categoría inválido",IF(COUNTA(A926:J926)=0,"",IF(OR(A926="",B926="",C926="",H926=""),"Faltan datos",IF(COUNTIF($A$7:$A$2006,A926)&gt;1,"ID duplicado",IF(OR(B926&lt;DATE(Configuración!$C$5,1,1),B926&gt;=DATE(Configuración!$C$5+1,1,1)),"Fecha fuera del año",IF(OR(H926&lt;0,I926&lt;0),"Revisar signo",IF(AND(C926&lt;&gt;"Gasto",I926&lt;&gt;0),"IVA solo en Gasto",IF(AND(C926="Gasto",D926=""),"Falta categoría","OK")))))))))</f>
        <v/>
      </c>
    </row>
    <row r="927" spans="1:12" ht="22" customHeight="1">
      <c r="A927" s="3"/>
      <c r="B927" s="7"/>
      <c r="C927" s="3"/>
      <c r="D927" s="3"/>
      <c r="E927" s="3"/>
      <c r="F927" s="3"/>
      <c r="G927" s="3"/>
      <c r="H927" s="4"/>
      <c r="I927" s="4"/>
      <c r="J927" s="3"/>
      <c r="K927" s="8" t="str">
        <f t="shared" si="14"/>
        <v/>
      </c>
      <c r="L927" s="1" t="str">
        <f>IF(COUNTA(A927:J927)=0,"",IF(OR(AND(C927&lt;&gt;"Gasto",C927&lt;&gt;"Pago proveedor",C927&lt;&gt;"Retiro familiar",C927&lt;&gt;"Aportación",C927&lt;&gt;"Pago activo",C927&lt;&gt;"ISR devengado",C927&lt;&gt;"Pago ISR",C927&lt;&gt;"Pago IVA",C927&lt;&gt;"Compensación ISR",C927&lt;&gt;"Compensación IVA"),AND(C927="Gasto",D927&lt;&gt;"Costos clínicos",D927&lt;&gt;"Remuneración familiar",D927&lt;&gt;"Nómina y honorarios",D927&lt;&gt;"Renta",D927&lt;&gt;"Marketing",D927&lt;&gt;"Servicios y software",D927&lt;&gt;"Mantenimiento",D927&lt;&gt;"Otros",D927&lt;&gt;"Intereses")),"Tipo o categoría inválido",IF(COUNTA(A927:J927)=0,"",IF(OR(A927="",B927="",C927="",H927=""),"Faltan datos",IF(COUNTIF($A$7:$A$2006,A927)&gt;1,"ID duplicado",IF(OR(B927&lt;DATE(Configuración!$C$5,1,1),B927&gt;=DATE(Configuración!$C$5+1,1,1)),"Fecha fuera del año",IF(OR(H927&lt;0,I927&lt;0),"Revisar signo",IF(AND(C927&lt;&gt;"Gasto",I927&lt;&gt;0),"IVA solo en Gasto",IF(AND(C927="Gasto",D927=""),"Falta categoría","OK")))))))))</f>
        <v/>
      </c>
    </row>
    <row r="928" spans="1:12" ht="22" customHeight="1">
      <c r="A928" s="3"/>
      <c r="B928" s="7"/>
      <c r="C928" s="3"/>
      <c r="D928" s="3"/>
      <c r="E928" s="3"/>
      <c r="F928" s="3"/>
      <c r="G928" s="3"/>
      <c r="H928" s="4"/>
      <c r="I928" s="4"/>
      <c r="J928" s="3"/>
      <c r="K928" s="8" t="str">
        <f t="shared" si="14"/>
        <v/>
      </c>
      <c r="L928" s="1" t="str">
        <f>IF(COUNTA(A928:J928)=0,"",IF(OR(AND(C928&lt;&gt;"Gasto",C928&lt;&gt;"Pago proveedor",C928&lt;&gt;"Retiro familiar",C928&lt;&gt;"Aportación",C928&lt;&gt;"Pago activo",C928&lt;&gt;"ISR devengado",C928&lt;&gt;"Pago ISR",C928&lt;&gt;"Pago IVA",C928&lt;&gt;"Compensación ISR",C928&lt;&gt;"Compensación IVA"),AND(C928="Gasto",D928&lt;&gt;"Costos clínicos",D928&lt;&gt;"Remuneración familiar",D928&lt;&gt;"Nómina y honorarios",D928&lt;&gt;"Renta",D928&lt;&gt;"Marketing",D928&lt;&gt;"Servicios y software",D928&lt;&gt;"Mantenimiento",D928&lt;&gt;"Otros",D928&lt;&gt;"Intereses")),"Tipo o categoría inválido",IF(COUNTA(A928:J928)=0,"",IF(OR(A928="",B928="",C928="",H928=""),"Faltan datos",IF(COUNTIF($A$7:$A$2006,A928)&gt;1,"ID duplicado",IF(OR(B928&lt;DATE(Configuración!$C$5,1,1),B928&gt;=DATE(Configuración!$C$5+1,1,1)),"Fecha fuera del año",IF(OR(H928&lt;0,I928&lt;0),"Revisar signo",IF(AND(C928&lt;&gt;"Gasto",I928&lt;&gt;0),"IVA solo en Gasto",IF(AND(C928="Gasto",D928=""),"Falta categoría","OK")))))))))</f>
        <v/>
      </c>
    </row>
    <row r="929" spans="1:12" ht="22" customHeight="1">
      <c r="A929" s="3"/>
      <c r="B929" s="7"/>
      <c r="C929" s="3"/>
      <c r="D929" s="3"/>
      <c r="E929" s="3"/>
      <c r="F929" s="3"/>
      <c r="G929" s="3"/>
      <c r="H929" s="4"/>
      <c r="I929" s="4"/>
      <c r="J929" s="3"/>
      <c r="K929" s="8" t="str">
        <f t="shared" si="14"/>
        <v/>
      </c>
      <c r="L929" s="1" t="str">
        <f>IF(COUNTA(A929:J929)=0,"",IF(OR(AND(C929&lt;&gt;"Gasto",C929&lt;&gt;"Pago proveedor",C929&lt;&gt;"Retiro familiar",C929&lt;&gt;"Aportación",C929&lt;&gt;"Pago activo",C929&lt;&gt;"ISR devengado",C929&lt;&gt;"Pago ISR",C929&lt;&gt;"Pago IVA",C929&lt;&gt;"Compensación ISR",C929&lt;&gt;"Compensación IVA"),AND(C929="Gasto",D929&lt;&gt;"Costos clínicos",D929&lt;&gt;"Remuneración familiar",D929&lt;&gt;"Nómina y honorarios",D929&lt;&gt;"Renta",D929&lt;&gt;"Marketing",D929&lt;&gt;"Servicios y software",D929&lt;&gt;"Mantenimiento",D929&lt;&gt;"Otros",D929&lt;&gt;"Intereses")),"Tipo o categoría inválido",IF(COUNTA(A929:J929)=0,"",IF(OR(A929="",B929="",C929="",H929=""),"Faltan datos",IF(COUNTIF($A$7:$A$2006,A929)&gt;1,"ID duplicado",IF(OR(B929&lt;DATE(Configuración!$C$5,1,1),B929&gt;=DATE(Configuración!$C$5+1,1,1)),"Fecha fuera del año",IF(OR(H929&lt;0,I929&lt;0),"Revisar signo",IF(AND(C929&lt;&gt;"Gasto",I929&lt;&gt;0),"IVA solo en Gasto",IF(AND(C929="Gasto",D929=""),"Falta categoría","OK")))))))))</f>
        <v/>
      </c>
    </row>
    <row r="930" spans="1:12" ht="22" customHeight="1">
      <c r="A930" s="3"/>
      <c r="B930" s="7"/>
      <c r="C930" s="3"/>
      <c r="D930" s="3"/>
      <c r="E930" s="3"/>
      <c r="F930" s="3"/>
      <c r="G930" s="3"/>
      <c r="H930" s="4"/>
      <c r="I930" s="4"/>
      <c r="J930" s="3"/>
      <c r="K930" s="8" t="str">
        <f t="shared" si="14"/>
        <v/>
      </c>
      <c r="L930" s="1" t="str">
        <f>IF(COUNTA(A930:J930)=0,"",IF(OR(AND(C930&lt;&gt;"Gasto",C930&lt;&gt;"Pago proveedor",C930&lt;&gt;"Retiro familiar",C930&lt;&gt;"Aportación",C930&lt;&gt;"Pago activo",C930&lt;&gt;"ISR devengado",C930&lt;&gt;"Pago ISR",C930&lt;&gt;"Pago IVA",C930&lt;&gt;"Compensación ISR",C930&lt;&gt;"Compensación IVA"),AND(C930="Gasto",D930&lt;&gt;"Costos clínicos",D930&lt;&gt;"Remuneración familiar",D930&lt;&gt;"Nómina y honorarios",D930&lt;&gt;"Renta",D930&lt;&gt;"Marketing",D930&lt;&gt;"Servicios y software",D930&lt;&gt;"Mantenimiento",D930&lt;&gt;"Otros",D930&lt;&gt;"Intereses")),"Tipo o categoría inválido",IF(COUNTA(A930:J930)=0,"",IF(OR(A930="",B930="",C930="",H930=""),"Faltan datos",IF(COUNTIF($A$7:$A$2006,A930)&gt;1,"ID duplicado",IF(OR(B930&lt;DATE(Configuración!$C$5,1,1),B930&gt;=DATE(Configuración!$C$5+1,1,1)),"Fecha fuera del año",IF(OR(H930&lt;0,I930&lt;0),"Revisar signo",IF(AND(C930&lt;&gt;"Gasto",I930&lt;&gt;0),"IVA solo en Gasto",IF(AND(C930="Gasto",D930=""),"Falta categoría","OK")))))))))</f>
        <v/>
      </c>
    </row>
    <row r="931" spans="1:12" ht="22" customHeight="1">
      <c r="A931" s="3"/>
      <c r="B931" s="7"/>
      <c r="C931" s="3"/>
      <c r="D931" s="3"/>
      <c r="E931" s="3"/>
      <c r="F931" s="3"/>
      <c r="G931" s="3"/>
      <c r="H931" s="4"/>
      <c r="I931" s="4"/>
      <c r="J931" s="3"/>
      <c r="K931" s="8" t="str">
        <f t="shared" si="14"/>
        <v/>
      </c>
      <c r="L931" s="1" t="str">
        <f>IF(COUNTA(A931:J931)=0,"",IF(OR(AND(C931&lt;&gt;"Gasto",C931&lt;&gt;"Pago proveedor",C931&lt;&gt;"Retiro familiar",C931&lt;&gt;"Aportación",C931&lt;&gt;"Pago activo",C931&lt;&gt;"ISR devengado",C931&lt;&gt;"Pago ISR",C931&lt;&gt;"Pago IVA",C931&lt;&gt;"Compensación ISR",C931&lt;&gt;"Compensación IVA"),AND(C931="Gasto",D931&lt;&gt;"Costos clínicos",D931&lt;&gt;"Remuneración familiar",D931&lt;&gt;"Nómina y honorarios",D931&lt;&gt;"Renta",D931&lt;&gt;"Marketing",D931&lt;&gt;"Servicios y software",D931&lt;&gt;"Mantenimiento",D931&lt;&gt;"Otros",D931&lt;&gt;"Intereses")),"Tipo o categoría inválido",IF(COUNTA(A931:J931)=0,"",IF(OR(A931="",B931="",C931="",H931=""),"Faltan datos",IF(COUNTIF($A$7:$A$2006,A931)&gt;1,"ID duplicado",IF(OR(B931&lt;DATE(Configuración!$C$5,1,1),B931&gt;=DATE(Configuración!$C$5+1,1,1)),"Fecha fuera del año",IF(OR(H931&lt;0,I931&lt;0),"Revisar signo",IF(AND(C931&lt;&gt;"Gasto",I931&lt;&gt;0),"IVA solo en Gasto",IF(AND(C931="Gasto",D931=""),"Falta categoría","OK")))))))))</f>
        <v/>
      </c>
    </row>
    <row r="932" spans="1:12" ht="22" customHeight="1">
      <c r="A932" s="3"/>
      <c r="B932" s="7"/>
      <c r="C932" s="3"/>
      <c r="D932" s="3"/>
      <c r="E932" s="3"/>
      <c r="F932" s="3"/>
      <c r="G932" s="3"/>
      <c r="H932" s="4"/>
      <c r="I932" s="4"/>
      <c r="J932" s="3"/>
      <c r="K932" s="8" t="str">
        <f t="shared" si="14"/>
        <v/>
      </c>
      <c r="L932" s="1" t="str">
        <f>IF(COUNTA(A932:J932)=0,"",IF(OR(AND(C932&lt;&gt;"Gasto",C932&lt;&gt;"Pago proveedor",C932&lt;&gt;"Retiro familiar",C932&lt;&gt;"Aportación",C932&lt;&gt;"Pago activo",C932&lt;&gt;"ISR devengado",C932&lt;&gt;"Pago ISR",C932&lt;&gt;"Pago IVA",C932&lt;&gt;"Compensación ISR",C932&lt;&gt;"Compensación IVA"),AND(C932="Gasto",D932&lt;&gt;"Costos clínicos",D932&lt;&gt;"Remuneración familiar",D932&lt;&gt;"Nómina y honorarios",D932&lt;&gt;"Renta",D932&lt;&gt;"Marketing",D932&lt;&gt;"Servicios y software",D932&lt;&gt;"Mantenimiento",D932&lt;&gt;"Otros",D932&lt;&gt;"Intereses")),"Tipo o categoría inválido",IF(COUNTA(A932:J932)=0,"",IF(OR(A932="",B932="",C932="",H932=""),"Faltan datos",IF(COUNTIF($A$7:$A$2006,A932)&gt;1,"ID duplicado",IF(OR(B932&lt;DATE(Configuración!$C$5,1,1),B932&gt;=DATE(Configuración!$C$5+1,1,1)),"Fecha fuera del año",IF(OR(H932&lt;0,I932&lt;0),"Revisar signo",IF(AND(C932&lt;&gt;"Gasto",I932&lt;&gt;0),"IVA solo en Gasto",IF(AND(C932="Gasto",D932=""),"Falta categoría","OK")))))))))</f>
        <v/>
      </c>
    </row>
    <row r="933" spans="1:12" ht="22" customHeight="1">
      <c r="A933" s="3"/>
      <c r="B933" s="7"/>
      <c r="C933" s="3"/>
      <c r="D933" s="3"/>
      <c r="E933" s="3"/>
      <c r="F933" s="3"/>
      <c r="G933" s="3"/>
      <c r="H933" s="4"/>
      <c r="I933" s="4"/>
      <c r="J933" s="3"/>
      <c r="K933" s="8" t="str">
        <f t="shared" si="14"/>
        <v/>
      </c>
      <c r="L933" s="1" t="str">
        <f>IF(COUNTA(A933:J933)=0,"",IF(OR(AND(C933&lt;&gt;"Gasto",C933&lt;&gt;"Pago proveedor",C933&lt;&gt;"Retiro familiar",C933&lt;&gt;"Aportación",C933&lt;&gt;"Pago activo",C933&lt;&gt;"ISR devengado",C933&lt;&gt;"Pago ISR",C933&lt;&gt;"Pago IVA",C933&lt;&gt;"Compensación ISR",C933&lt;&gt;"Compensación IVA"),AND(C933="Gasto",D933&lt;&gt;"Costos clínicos",D933&lt;&gt;"Remuneración familiar",D933&lt;&gt;"Nómina y honorarios",D933&lt;&gt;"Renta",D933&lt;&gt;"Marketing",D933&lt;&gt;"Servicios y software",D933&lt;&gt;"Mantenimiento",D933&lt;&gt;"Otros",D933&lt;&gt;"Intereses")),"Tipo o categoría inválido",IF(COUNTA(A933:J933)=0,"",IF(OR(A933="",B933="",C933="",H933=""),"Faltan datos",IF(COUNTIF($A$7:$A$2006,A933)&gt;1,"ID duplicado",IF(OR(B933&lt;DATE(Configuración!$C$5,1,1),B933&gt;=DATE(Configuración!$C$5+1,1,1)),"Fecha fuera del año",IF(OR(H933&lt;0,I933&lt;0),"Revisar signo",IF(AND(C933&lt;&gt;"Gasto",I933&lt;&gt;0),"IVA solo en Gasto",IF(AND(C933="Gasto",D933=""),"Falta categoría","OK")))))))))</f>
        <v/>
      </c>
    </row>
    <row r="934" spans="1:12" ht="22" customHeight="1">
      <c r="A934" s="3"/>
      <c r="B934" s="7"/>
      <c r="C934" s="3"/>
      <c r="D934" s="3"/>
      <c r="E934" s="3"/>
      <c r="F934" s="3"/>
      <c r="G934" s="3"/>
      <c r="H934" s="4"/>
      <c r="I934" s="4"/>
      <c r="J934" s="3"/>
      <c r="K934" s="8" t="str">
        <f t="shared" si="14"/>
        <v/>
      </c>
      <c r="L934" s="1" t="str">
        <f>IF(COUNTA(A934:J934)=0,"",IF(OR(AND(C934&lt;&gt;"Gasto",C934&lt;&gt;"Pago proveedor",C934&lt;&gt;"Retiro familiar",C934&lt;&gt;"Aportación",C934&lt;&gt;"Pago activo",C934&lt;&gt;"ISR devengado",C934&lt;&gt;"Pago ISR",C934&lt;&gt;"Pago IVA",C934&lt;&gt;"Compensación ISR",C934&lt;&gt;"Compensación IVA"),AND(C934="Gasto",D934&lt;&gt;"Costos clínicos",D934&lt;&gt;"Remuneración familiar",D934&lt;&gt;"Nómina y honorarios",D934&lt;&gt;"Renta",D934&lt;&gt;"Marketing",D934&lt;&gt;"Servicios y software",D934&lt;&gt;"Mantenimiento",D934&lt;&gt;"Otros",D934&lt;&gt;"Intereses")),"Tipo o categoría inválido",IF(COUNTA(A934:J934)=0,"",IF(OR(A934="",B934="",C934="",H934=""),"Faltan datos",IF(COUNTIF($A$7:$A$2006,A934)&gt;1,"ID duplicado",IF(OR(B934&lt;DATE(Configuración!$C$5,1,1),B934&gt;=DATE(Configuración!$C$5+1,1,1)),"Fecha fuera del año",IF(OR(H934&lt;0,I934&lt;0),"Revisar signo",IF(AND(C934&lt;&gt;"Gasto",I934&lt;&gt;0),"IVA solo en Gasto",IF(AND(C934="Gasto",D934=""),"Falta categoría","OK")))))))))</f>
        <v/>
      </c>
    </row>
    <row r="935" spans="1:12" ht="22" customHeight="1">
      <c r="A935" s="3"/>
      <c r="B935" s="7"/>
      <c r="C935" s="3"/>
      <c r="D935" s="3"/>
      <c r="E935" s="3"/>
      <c r="F935" s="3"/>
      <c r="G935" s="3"/>
      <c r="H935" s="4"/>
      <c r="I935" s="4"/>
      <c r="J935" s="3"/>
      <c r="K935" s="8" t="str">
        <f t="shared" si="14"/>
        <v/>
      </c>
      <c r="L935" s="1" t="str">
        <f>IF(COUNTA(A935:J935)=0,"",IF(OR(AND(C935&lt;&gt;"Gasto",C935&lt;&gt;"Pago proveedor",C935&lt;&gt;"Retiro familiar",C935&lt;&gt;"Aportación",C935&lt;&gt;"Pago activo",C935&lt;&gt;"ISR devengado",C935&lt;&gt;"Pago ISR",C935&lt;&gt;"Pago IVA",C935&lt;&gt;"Compensación ISR",C935&lt;&gt;"Compensación IVA"),AND(C935="Gasto",D935&lt;&gt;"Costos clínicos",D935&lt;&gt;"Remuneración familiar",D935&lt;&gt;"Nómina y honorarios",D935&lt;&gt;"Renta",D935&lt;&gt;"Marketing",D935&lt;&gt;"Servicios y software",D935&lt;&gt;"Mantenimiento",D935&lt;&gt;"Otros",D935&lt;&gt;"Intereses")),"Tipo o categoría inválido",IF(COUNTA(A935:J935)=0,"",IF(OR(A935="",B935="",C935="",H935=""),"Faltan datos",IF(COUNTIF($A$7:$A$2006,A935)&gt;1,"ID duplicado",IF(OR(B935&lt;DATE(Configuración!$C$5,1,1),B935&gt;=DATE(Configuración!$C$5+1,1,1)),"Fecha fuera del año",IF(OR(H935&lt;0,I935&lt;0),"Revisar signo",IF(AND(C935&lt;&gt;"Gasto",I935&lt;&gt;0),"IVA solo en Gasto",IF(AND(C935="Gasto",D935=""),"Falta categoría","OK")))))))))</f>
        <v/>
      </c>
    </row>
    <row r="936" spans="1:12" ht="22" customHeight="1">
      <c r="A936" s="3"/>
      <c r="B936" s="7"/>
      <c r="C936" s="3"/>
      <c r="D936" s="3"/>
      <c r="E936" s="3"/>
      <c r="F936" s="3"/>
      <c r="G936" s="3"/>
      <c r="H936" s="4"/>
      <c r="I936" s="4"/>
      <c r="J936" s="3"/>
      <c r="K936" s="8" t="str">
        <f t="shared" si="14"/>
        <v/>
      </c>
      <c r="L936" s="1" t="str">
        <f>IF(COUNTA(A936:J936)=0,"",IF(OR(AND(C936&lt;&gt;"Gasto",C936&lt;&gt;"Pago proveedor",C936&lt;&gt;"Retiro familiar",C936&lt;&gt;"Aportación",C936&lt;&gt;"Pago activo",C936&lt;&gt;"ISR devengado",C936&lt;&gt;"Pago ISR",C936&lt;&gt;"Pago IVA",C936&lt;&gt;"Compensación ISR",C936&lt;&gt;"Compensación IVA"),AND(C936="Gasto",D936&lt;&gt;"Costos clínicos",D936&lt;&gt;"Remuneración familiar",D936&lt;&gt;"Nómina y honorarios",D936&lt;&gt;"Renta",D936&lt;&gt;"Marketing",D936&lt;&gt;"Servicios y software",D936&lt;&gt;"Mantenimiento",D936&lt;&gt;"Otros",D936&lt;&gt;"Intereses")),"Tipo o categoría inválido",IF(COUNTA(A936:J936)=0,"",IF(OR(A936="",B936="",C936="",H936=""),"Faltan datos",IF(COUNTIF($A$7:$A$2006,A936)&gt;1,"ID duplicado",IF(OR(B936&lt;DATE(Configuración!$C$5,1,1),B936&gt;=DATE(Configuración!$C$5+1,1,1)),"Fecha fuera del año",IF(OR(H936&lt;0,I936&lt;0),"Revisar signo",IF(AND(C936&lt;&gt;"Gasto",I936&lt;&gt;0),"IVA solo en Gasto",IF(AND(C936="Gasto",D936=""),"Falta categoría","OK")))))))))</f>
        <v/>
      </c>
    </row>
    <row r="937" spans="1:12" ht="22" customHeight="1">
      <c r="A937" s="3"/>
      <c r="B937" s="7"/>
      <c r="C937" s="3"/>
      <c r="D937" s="3"/>
      <c r="E937" s="3"/>
      <c r="F937" s="3"/>
      <c r="G937" s="3"/>
      <c r="H937" s="4"/>
      <c r="I937" s="4"/>
      <c r="J937" s="3"/>
      <c r="K937" s="8" t="str">
        <f t="shared" si="14"/>
        <v/>
      </c>
      <c r="L937" s="1" t="str">
        <f>IF(COUNTA(A937:J937)=0,"",IF(OR(AND(C937&lt;&gt;"Gasto",C937&lt;&gt;"Pago proveedor",C937&lt;&gt;"Retiro familiar",C937&lt;&gt;"Aportación",C937&lt;&gt;"Pago activo",C937&lt;&gt;"ISR devengado",C937&lt;&gt;"Pago ISR",C937&lt;&gt;"Pago IVA",C937&lt;&gt;"Compensación ISR",C937&lt;&gt;"Compensación IVA"),AND(C937="Gasto",D937&lt;&gt;"Costos clínicos",D937&lt;&gt;"Remuneración familiar",D937&lt;&gt;"Nómina y honorarios",D937&lt;&gt;"Renta",D937&lt;&gt;"Marketing",D937&lt;&gt;"Servicios y software",D937&lt;&gt;"Mantenimiento",D937&lt;&gt;"Otros",D937&lt;&gt;"Intereses")),"Tipo o categoría inválido",IF(COUNTA(A937:J937)=0,"",IF(OR(A937="",B937="",C937="",H937=""),"Faltan datos",IF(COUNTIF($A$7:$A$2006,A937)&gt;1,"ID duplicado",IF(OR(B937&lt;DATE(Configuración!$C$5,1,1),B937&gt;=DATE(Configuración!$C$5+1,1,1)),"Fecha fuera del año",IF(OR(H937&lt;0,I937&lt;0),"Revisar signo",IF(AND(C937&lt;&gt;"Gasto",I937&lt;&gt;0),"IVA solo en Gasto",IF(AND(C937="Gasto",D937=""),"Falta categoría","OK")))))))))</f>
        <v/>
      </c>
    </row>
    <row r="938" spans="1:12" ht="22" customHeight="1">
      <c r="A938" s="3"/>
      <c r="B938" s="7"/>
      <c r="C938" s="3"/>
      <c r="D938" s="3"/>
      <c r="E938" s="3"/>
      <c r="F938" s="3"/>
      <c r="G938" s="3"/>
      <c r="H938" s="4"/>
      <c r="I938" s="4"/>
      <c r="J938" s="3"/>
      <c r="K938" s="8" t="str">
        <f t="shared" si="14"/>
        <v/>
      </c>
      <c r="L938" s="1" t="str">
        <f>IF(COUNTA(A938:J938)=0,"",IF(OR(AND(C938&lt;&gt;"Gasto",C938&lt;&gt;"Pago proveedor",C938&lt;&gt;"Retiro familiar",C938&lt;&gt;"Aportación",C938&lt;&gt;"Pago activo",C938&lt;&gt;"ISR devengado",C938&lt;&gt;"Pago ISR",C938&lt;&gt;"Pago IVA",C938&lt;&gt;"Compensación ISR",C938&lt;&gt;"Compensación IVA"),AND(C938="Gasto",D938&lt;&gt;"Costos clínicos",D938&lt;&gt;"Remuneración familiar",D938&lt;&gt;"Nómina y honorarios",D938&lt;&gt;"Renta",D938&lt;&gt;"Marketing",D938&lt;&gt;"Servicios y software",D938&lt;&gt;"Mantenimiento",D938&lt;&gt;"Otros",D938&lt;&gt;"Intereses")),"Tipo o categoría inválido",IF(COUNTA(A938:J938)=0,"",IF(OR(A938="",B938="",C938="",H938=""),"Faltan datos",IF(COUNTIF($A$7:$A$2006,A938)&gt;1,"ID duplicado",IF(OR(B938&lt;DATE(Configuración!$C$5,1,1),B938&gt;=DATE(Configuración!$C$5+1,1,1)),"Fecha fuera del año",IF(OR(H938&lt;0,I938&lt;0),"Revisar signo",IF(AND(C938&lt;&gt;"Gasto",I938&lt;&gt;0),"IVA solo en Gasto",IF(AND(C938="Gasto",D938=""),"Falta categoría","OK")))))))))</f>
        <v/>
      </c>
    </row>
    <row r="939" spans="1:12" ht="22" customHeight="1">
      <c r="A939" s="3"/>
      <c r="B939" s="7"/>
      <c r="C939" s="3"/>
      <c r="D939" s="3"/>
      <c r="E939" s="3"/>
      <c r="F939" s="3"/>
      <c r="G939" s="3"/>
      <c r="H939" s="4"/>
      <c r="I939" s="4"/>
      <c r="J939" s="3"/>
      <c r="K939" s="8" t="str">
        <f t="shared" si="14"/>
        <v/>
      </c>
      <c r="L939" s="1" t="str">
        <f>IF(COUNTA(A939:J939)=0,"",IF(OR(AND(C939&lt;&gt;"Gasto",C939&lt;&gt;"Pago proveedor",C939&lt;&gt;"Retiro familiar",C939&lt;&gt;"Aportación",C939&lt;&gt;"Pago activo",C939&lt;&gt;"ISR devengado",C939&lt;&gt;"Pago ISR",C939&lt;&gt;"Pago IVA",C939&lt;&gt;"Compensación ISR",C939&lt;&gt;"Compensación IVA"),AND(C939="Gasto",D939&lt;&gt;"Costos clínicos",D939&lt;&gt;"Remuneración familiar",D939&lt;&gt;"Nómina y honorarios",D939&lt;&gt;"Renta",D939&lt;&gt;"Marketing",D939&lt;&gt;"Servicios y software",D939&lt;&gt;"Mantenimiento",D939&lt;&gt;"Otros",D939&lt;&gt;"Intereses")),"Tipo o categoría inválido",IF(COUNTA(A939:J939)=0,"",IF(OR(A939="",B939="",C939="",H939=""),"Faltan datos",IF(COUNTIF($A$7:$A$2006,A939)&gt;1,"ID duplicado",IF(OR(B939&lt;DATE(Configuración!$C$5,1,1),B939&gt;=DATE(Configuración!$C$5+1,1,1)),"Fecha fuera del año",IF(OR(H939&lt;0,I939&lt;0),"Revisar signo",IF(AND(C939&lt;&gt;"Gasto",I939&lt;&gt;0),"IVA solo en Gasto",IF(AND(C939="Gasto",D939=""),"Falta categoría","OK")))))))))</f>
        <v/>
      </c>
    </row>
    <row r="940" spans="1:12" ht="22" customHeight="1">
      <c r="A940" s="3"/>
      <c r="B940" s="7"/>
      <c r="C940" s="3"/>
      <c r="D940" s="3"/>
      <c r="E940" s="3"/>
      <c r="F940" s="3"/>
      <c r="G940" s="3"/>
      <c r="H940" s="4"/>
      <c r="I940" s="4"/>
      <c r="J940" s="3"/>
      <c r="K940" s="8" t="str">
        <f t="shared" si="14"/>
        <v/>
      </c>
      <c r="L940" s="1" t="str">
        <f>IF(COUNTA(A940:J940)=0,"",IF(OR(AND(C940&lt;&gt;"Gasto",C940&lt;&gt;"Pago proveedor",C940&lt;&gt;"Retiro familiar",C940&lt;&gt;"Aportación",C940&lt;&gt;"Pago activo",C940&lt;&gt;"ISR devengado",C940&lt;&gt;"Pago ISR",C940&lt;&gt;"Pago IVA",C940&lt;&gt;"Compensación ISR",C940&lt;&gt;"Compensación IVA"),AND(C940="Gasto",D940&lt;&gt;"Costos clínicos",D940&lt;&gt;"Remuneración familiar",D940&lt;&gt;"Nómina y honorarios",D940&lt;&gt;"Renta",D940&lt;&gt;"Marketing",D940&lt;&gt;"Servicios y software",D940&lt;&gt;"Mantenimiento",D940&lt;&gt;"Otros",D940&lt;&gt;"Intereses")),"Tipo o categoría inválido",IF(COUNTA(A940:J940)=0,"",IF(OR(A940="",B940="",C940="",H940=""),"Faltan datos",IF(COUNTIF($A$7:$A$2006,A940)&gt;1,"ID duplicado",IF(OR(B940&lt;DATE(Configuración!$C$5,1,1),B940&gt;=DATE(Configuración!$C$5+1,1,1)),"Fecha fuera del año",IF(OR(H940&lt;0,I940&lt;0),"Revisar signo",IF(AND(C940&lt;&gt;"Gasto",I940&lt;&gt;0),"IVA solo en Gasto",IF(AND(C940="Gasto",D940=""),"Falta categoría","OK")))))))))</f>
        <v/>
      </c>
    </row>
    <row r="941" spans="1:12" ht="22" customHeight="1">
      <c r="A941" s="3"/>
      <c r="B941" s="7"/>
      <c r="C941" s="3"/>
      <c r="D941" s="3"/>
      <c r="E941" s="3"/>
      <c r="F941" s="3"/>
      <c r="G941" s="3"/>
      <c r="H941" s="4"/>
      <c r="I941" s="4"/>
      <c r="J941" s="3"/>
      <c r="K941" s="8" t="str">
        <f t="shared" si="14"/>
        <v/>
      </c>
      <c r="L941" s="1" t="str">
        <f>IF(COUNTA(A941:J941)=0,"",IF(OR(AND(C941&lt;&gt;"Gasto",C941&lt;&gt;"Pago proveedor",C941&lt;&gt;"Retiro familiar",C941&lt;&gt;"Aportación",C941&lt;&gt;"Pago activo",C941&lt;&gt;"ISR devengado",C941&lt;&gt;"Pago ISR",C941&lt;&gt;"Pago IVA",C941&lt;&gt;"Compensación ISR",C941&lt;&gt;"Compensación IVA"),AND(C941="Gasto",D941&lt;&gt;"Costos clínicos",D941&lt;&gt;"Remuneración familiar",D941&lt;&gt;"Nómina y honorarios",D941&lt;&gt;"Renta",D941&lt;&gt;"Marketing",D941&lt;&gt;"Servicios y software",D941&lt;&gt;"Mantenimiento",D941&lt;&gt;"Otros",D941&lt;&gt;"Intereses")),"Tipo o categoría inválido",IF(COUNTA(A941:J941)=0,"",IF(OR(A941="",B941="",C941="",H941=""),"Faltan datos",IF(COUNTIF($A$7:$A$2006,A941)&gt;1,"ID duplicado",IF(OR(B941&lt;DATE(Configuración!$C$5,1,1),B941&gt;=DATE(Configuración!$C$5+1,1,1)),"Fecha fuera del año",IF(OR(H941&lt;0,I941&lt;0),"Revisar signo",IF(AND(C941&lt;&gt;"Gasto",I941&lt;&gt;0),"IVA solo en Gasto",IF(AND(C941="Gasto",D941=""),"Falta categoría","OK")))))))))</f>
        <v/>
      </c>
    </row>
    <row r="942" spans="1:12" ht="22" customHeight="1">
      <c r="A942" s="3"/>
      <c r="B942" s="7"/>
      <c r="C942" s="3"/>
      <c r="D942" s="3"/>
      <c r="E942" s="3"/>
      <c r="F942" s="3"/>
      <c r="G942" s="3"/>
      <c r="H942" s="4"/>
      <c r="I942" s="4"/>
      <c r="J942" s="3"/>
      <c r="K942" s="8" t="str">
        <f t="shared" si="14"/>
        <v/>
      </c>
      <c r="L942" s="1" t="str">
        <f>IF(COUNTA(A942:J942)=0,"",IF(OR(AND(C942&lt;&gt;"Gasto",C942&lt;&gt;"Pago proveedor",C942&lt;&gt;"Retiro familiar",C942&lt;&gt;"Aportación",C942&lt;&gt;"Pago activo",C942&lt;&gt;"ISR devengado",C942&lt;&gt;"Pago ISR",C942&lt;&gt;"Pago IVA",C942&lt;&gt;"Compensación ISR",C942&lt;&gt;"Compensación IVA"),AND(C942="Gasto",D942&lt;&gt;"Costos clínicos",D942&lt;&gt;"Remuneración familiar",D942&lt;&gt;"Nómina y honorarios",D942&lt;&gt;"Renta",D942&lt;&gt;"Marketing",D942&lt;&gt;"Servicios y software",D942&lt;&gt;"Mantenimiento",D942&lt;&gt;"Otros",D942&lt;&gt;"Intereses")),"Tipo o categoría inválido",IF(COUNTA(A942:J942)=0,"",IF(OR(A942="",B942="",C942="",H942=""),"Faltan datos",IF(COUNTIF($A$7:$A$2006,A942)&gt;1,"ID duplicado",IF(OR(B942&lt;DATE(Configuración!$C$5,1,1),B942&gt;=DATE(Configuración!$C$5+1,1,1)),"Fecha fuera del año",IF(OR(H942&lt;0,I942&lt;0),"Revisar signo",IF(AND(C942&lt;&gt;"Gasto",I942&lt;&gt;0),"IVA solo en Gasto",IF(AND(C942="Gasto",D942=""),"Falta categoría","OK")))))))))</f>
        <v/>
      </c>
    </row>
    <row r="943" spans="1:12" ht="22" customHeight="1">
      <c r="A943" s="3"/>
      <c r="B943" s="7"/>
      <c r="C943" s="3"/>
      <c r="D943" s="3"/>
      <c r="E943" s="3"/>
      <c r="F943" s="3"/>
      <c r="G943" s="3"/>
      <c r="H943" s="4"/>
      <c r="I943" s="4"/>
      <c r="J943" s="3"/>
      <c r="K943" s="8" t="str">
        <f t="shared" si="14"/>
        <v/>
      </c>
      <c r="L943" s="1" t="str">
        <f>IF(COUNTA(A943:J943)=0,"",IF(OR(AND(C943&lt;&gt;"Gasto",C943&lt;&gt;"Pago proveedor",C943&lt;&gt;"Retiro familiar",C943&lt;&gt;"Aportación",C943&lt;&gt;"Pago activo",C943&lt;&gt;"ISR devengado",C943&lt;&gt;"Pago ISR",C943&lt;&gt;"Pago IVA",C943&lt;&gt;"Compensación ISR",C943&lt;&gt;"Compensación IVA"),AND(C943="Gasto",D943&lt;&gt;"Costos clínicos",D943&lt;&gt;"Remuneración familiar",D943&lt;&gt;"Nómina y honorarios",D943&lt;&gt;"Renta",D943&lt;&gt;"Marketing",D943&lt;&gt;"Servicios y software",D943&lt;&gt;"Mantenimiento",D943&lt;&gt;"Otros",D943&lt;&gt;"Intereses")),"Tipo o categoría inválido",IF(COUNTA(A943:J943)=0,"",IF(OR(A943="",B943="",C943="",H943=""),"Faltan datos",IF(COUNTIF($A$7:$A$2006,A943)&gt;1,"ID duplicado",IF(OR(B943&lt;DATE(Configuración!$C$5,1,1),B943&gt;=DATE(Configuración!$C$5+1,1,1)),"Fecha fuera del año",IF(OR(H943&lt;0,I943&lt;0),"Revisar signo",IF(AND(C943&lt;&gt;"Gasto",I943&lt;&gt;0),"IVA solo en Gasto",IF(AND(C943="Gasto",D943=""),"Falta categoría","OK")))))))))</f>
        <v/>
      </c>
    </row>
    <row r="944" spans="1:12" ht="22" customHeight="1">
      <c r="A944" s="3"/>
      <c r="B944" s="7"/>
      <c r="C944" s="3"/>
      <c r="D944" s="3"/>
      <c r="E944" s="3"/>
      <c r="F944" s="3"/>
      <c r="G944" s="3"/>
      <c r="H944" s="4"/>
      <c r="I944" s="4"/>
      <c r="J944" s="3"/>
      <c r="K944" s="8" t="str">
        <f t="shared" si="14"/>
        <v/>
      </c>
      <c r="L944" s="1" t="str">
        <f>IF(COUNTA(A944:J944)=0,"",IF(OR(AND(C944&lt;&gt;"Gasto",C944&lt;&gt;"Pago proveedor",C944&lt;&gt;"Retiro familiar",C944&lt;&gt;"Aportación",C944&lt;&gt;"Pago activo",C944&lt;&gt;"ISR devengado",C944&lt;&gt;"Pago ISR",C944&lt;&gt;"Pago IVA",C944&lt;&gt;"Compensación ISR",C944&lt;&gt;"Compensación IVA"),AND(C944="Gasto",D944&lt;&gt;"Costos clínicos",D944&lt;&gt;"Remuneración familiar",D944&lt;&gt;"Nómina y honorarios",D944&lt;&gt;"Renta",D944&lt;&gt;"Marketing",D944&lt;&gt;"Servicios y software",D944&lt;&gt;"Mantenimiento",D944&lt;&gt;"Otros",D944&lt;&gt;"Intereses")),"Tipo o categoría inválido",IF(COUNTA(A944:J944)=0,"",IF(OR(A944="",B944="",C944="",H944=""),"Faltan datos",IF(COUNTIF($A$7:$A$2006,A944)&gt;1,"ID duplicado",IF(OR(B944&lt;DATE(Configuración!$C$5,1,1),B944&gt;=DATE(Configuración!$C$5+1,1,1)),"Fecha fuera del año",IF(OR(H944&lt;0,I944&lt;0),"Revisar signo",IF(AND(C944&lt;&gt;"Gasto",I944&lt;&gt;0),"IVA solo en Gasto",IF(AND(C944="Gasto",D944=""),"Falta categoría","OK")))))))))</f>
        <v/>
      </c>
    </row>
    <row r="945" spans="1:12" ht="22" customHeight="1">
      <c r="A945" s="3"/>
      <c r="B945" s="7"/>
      <c r="C945" s="3"/>
      <c r="D945" s="3"/>
      <c r="E945" s="3"/>
      <c r="F945" s="3"/>
      <c r="G945" s="3"/>
      <c r="H945" s="4"/>
      <c r="I945" s="4"/>
      <c r="J945" s="3"/>
      <c r="K945" s="8" t="str">
        <f t="shared" si="14"/>
        <v/>
      </c>
      <c r="L945" s="1" t="str">
        <f>IF(COUNTA(A945:J945)=0,"",IF(OR(AND(C945&lt;&gt;"Gasto",C945&lt;&gt;"Pago proveedor",C945&lt;&gt;"Retiro familiar",C945&lt;&gt;"Aportación",C945&lt;&gt;"Pago activo",C945&lt;&gt;"ISR devengado",C945&lt;&gt;"Pago ISR",C945&lt;&gt;"Pago IVA",C945&lt;&gt;"Compensación ISR",C945&lt;&gt;"Compensación IVA"),AND(C945="Gasto",D945&lt;&gt;"Costos clínicos",D945&lt;&gt;"Remuneración familiar",D945&lt;&gt;"Nómina y honorarios",D945&lt;&gt;"Renta",D945&lt;&gt;"Marketing",D945&lt;&gt;"Servicios y software",D945&lt;&gt;"Mantenimiento",D945&lt;&gt;"Otros",D945&lt;&gt;"Intereses")),"Tipo o categoría inválido",IF(COUNTA(A945:J945)=0,"",IF(OR(A945="",B945="",C945="",H945=""),"Faltan datos",IF(COUNTIF($A$7:$A$2006,A945)&gt;1,"ID duplicado",IF(OR(B945&lt;DATE(Configuración!$C$5,1,1),B945&gt;=DATE(Configuración!$C$5+1,1,1)),"Fecha fuera del año",IF(OR(H945&lt;0,I945&lt;0),"Revisar signo",IF(AND(C945&lt;&gt;"Gasto",I945&lt;&gt;0),"IVA solo en Gasto",IF(AND(C945="Gasto",D945=""),"Falta categoría","OK")))))))))</f>
        <v/>
      </c>
    </row>
    <row r="946" spans="1:12" ht="22" customHeight="1">
      <c r="A946" s="3"/>
      <c r="B946" s="7"/>
      <c r="C946" s="3"/>
      <c r="D946" s="3"/>
      <c r="E946" s="3"/>
      <c r="F946" s="3"/>
      <c r="G946" s="3"/>
      <c r="H946" s="4"/>
      <c r="I946" s="4"/>
      <c r="J946" s="3"/>
      <c r="K946" s="8" t="str">
        <f t="shared" si="14"/>
        <v/>
      </c>
      <c r="L946" s="1" t="str">
        <f>IF(COUNTA(A946:J946)=0,"",IF(OR(AND(C946&lt;&gt;"Gasto",C946&lt;&gt;"Pago proveedor",C946&lt;&gt;"Retiro familiar",C946&lt;&gt;"Aportación",C946&lt;&gt;"Pago activo",C946&lt;&gt;"ISR devengado",C946&lt;&gt;"Pago ISR",C946&lt;&gt;"Pago IVA",C946&lt;&gt;"Compensación ISR",C946&lt;&gt;"Compensación IVA"),AND(C946="Gasto",D946&lt;&gt;"Costos clínicos",D946&lt;&gt;"Remuneración familiar",D946&lt;&gt;"Nómina y honorarios",D946&lt;&gt;"Renta",D946&lt;&gt;"Marketing",D946&lt;&gt;"Servicios y software",D946&lt;&gt;"Mantenimiento",D946&lt;&gt;"Otros",D946&lt;&gt;"Intereses")),"Tipo o categoría inválido",IF(COUNTA(A946:J946)=0,"",IF(OR(A946="",B946="",C946="",H946=""),"Faltan datos",IF(COUNTIF($A$7:$A$2006,A946)&gt;1,"ID duplicado",IF(OR(B946&lt;DATE(Configuración!$C$5,1,1),B946&gt;=DATE(Configuración!$C$5+1,1,1)),"Fecha fuera del año",IF(OR(H946&lt;0,I946&lt;0),"Revisar signo",IF(AND(C946&lt;&gt;"Gasto",I946&lt;&gt;0),"IVA solo en Gasto",IF(AND(C946="Gasto",D946=""),"Falta categoría","OK")))))))))</f>
        <v/>
      </c>
    </row>
    <row r="947" spans="1:12" ht="22" customHeight="1">
      <c r="A947" s="3"/>
      <c r="B947" s="7"/>
      <c r="C947" s="3"/>
      <c r="D947" s="3"/>
      <c r="E947" s="3"/>
      <c r="F947" s="3"/>
      <c r="G947" s="3"/>
      <c r="H947" s="4"/>
      <c r="I947" s="4"/>
      <c r="J947" s="3"/>
      <c r="K947" s="8" t="str">
        <f t="shared" si="14"/>
        <v/>
      </c>
      <c r="L947" s="1" t="str">
        <f>IF(COUNTA(A947:J947)=0,"",IF(OR(AND(C947&lt;&gt;"Gasto",C947&lt;&gt;"Pago proveedor",C947&lt;&gt;"Retiro familiar",C947&lt;&gt;"Aportación",C947&lt;&gt;"Pago activo",C947&lt;&gt;"ISR devengado",C947&lt;&gt;"Pago ISR",C947&lt;&gt;"Pago IVA",C947&lt;&gt;"Compensación ISR",C947&lt;&gt;"Compensación IVA"),AND(C947="Gasto",D947&lt;&gt;"Costos clínicos",D947&lt;&gt;"Remuneración familiar",D947&lt;&gt;"Nómina y honorarios",D947&lt;&gt;"Renta",D947&lt;&gt;"Marketing",D947&lt;&gt;"Servicios y software",D947&lt;&gt;"Mantenimiento",D947&lt;&gt;"Otros",D947&lt;&gt;"Intereses")),"Tipo o categoría inválido",IF(COUNTA(A947:J947)=0,"",IF(OR(A947="",B947="",C947="",H947=""),"Faltan datos",IF(COUNTIF($A$7:$A$2006,A947)&gt;1,"ID duplicado",IF(OR(B947&lt;DATE(Configuración!$C$5,1,1),B947&gt;=DATE(Configuración!$C$5+1,1,1)),"Fecha fuera del año",IF(OR(H947&lt;0,I947&lt;0),"Revisar signo",IF(AND(C947&lt;&gt;"Gasto",I947&lt;&gt;0),"IVA solo en Gasto",IF(AND(C947="Gasto",D947=""),"Falta categoría","OK")))))))))</f>
        <v/>
      </c>
    </row>
    <row r="948" spans="1:12" ht="22" customHeight="1">
      <c r="A948" s="3"/>
      <c r="B948" s="7"/>
      <c r="C948" s="3"/>
      <c r="D948" s="3"/>
      <c r="E948" s="3"/>
      <c r="F948" s="3"/>
      <c r="G948" s="3"/>
      <c r="H948" s="4"/>
      <c r="I948" s="4"/>
      <c r="J948" s="3"/>
      <c r="K948" s="8" t="str">
        <f t="shared" si="14"/>
        <v/>
      </c>
      <c r="L948" s="1" t="str">
        <f>IF(COUNTA(A948:J948)=0,"",IF(OR(AND(C948&lt;&gt;"Gasto",C948&lt;&gt;"Pago proveedor",C948&lt;&gt;"Retiro familiar",C948&lt;&gt;"Aportación",C948&lt;&gt;"Pago activo",C948&lt;&gt;"ISR devengado",C948&lt;&gt;"Pago ISR",C948&lt;&gt;"Pago IVA",C948&lt;&gt;"Compensación ISR",C948&lt;&gt;"Compensación IVA"),AND(C948="Gasto",D948&lt;&gt;"Costos clínicos",D948&lt;&gt;"Remuneración familiar",D948&lt;&gt;"Nómina y honorarios",D948&lt;&gt;"Renta",D948&lt;&gt;"Marketing",D948&lt;&gt;"Servicios y software",D948&lt;&gt;"Mantenimiento",D948&lt;&gt;"Otros",D948&lt;&gt;"Intereses")),"Tipo o categoría inválido",IF(COUNTA(A948:J948)=0,"",IF(OR(A948="",B948="",C948="",H948=""),"Faltan datos",IF(COUNTIF($A$7:$A$2006,A948)&gt;1,"ID duplicado",IF(OR(B948&lt;DATE(Configuración!$C$5,1,1),B948&gt;=DATE(Configuración!$C$5+1,1,1)),"Fecha fuera del año",IF(OR(H948&lt;0,I948&lt;0),"Revisar signo",IF(AND(C948&lt;&gt;"Gasto",I948&lt;&gt;0),"IVA solo en Gasto",IF(AND(C948="Gasto",D948=""),"Falta categoría","OK")))))))))</f>
        <v/>
      </c>
    </row>
    <row r="949" spans="1:12" ht="22" customHeight="1">
      <c r="A949" s="3"/>
      <c r="B949" s="7"/>
      <c r="C949" s="3"/>
      <c r="D949" s="3"/>
      <c r="E949" s="3"/>
      <c r="F949" s="3"/>
      <c r="G949" s="3"/>
      <c r="H949" s="4"/>
      <c r="I949" s="4"/>
      <c r="J949" s="3"/>
      <c r="K949" s="8" t="str">
        <f t="shared" si="14"/>
        <v/>
      </c>
      <c r="L949" s="1" t="str">
        <f>IF(COUNTA(A949:J949)=0,"",IF(OR(AND(C949&lt;&gt;"Gasto",C949&lt;&gt;"Pago proveedor",C949&lt;&gt;"Retiro familiar",C949&lt;&gt;"Aportación",C949&lt;&gt;"Pago activo",C949&lt;&gt;"ISR devengado",C949&lt;&gt;"Pago ISR",C949&lt;&gt;"Pago IVA",C949&lt;&gt;"Compensación ISR",C949&lt;&gt;"Compensación IVA"),AND(C949="Gasto",D949&lt;&gt;"Costos clínicos",D949&lt;&gt;"Remuneración familiar",D949&lt;&gt;"Nómina y honorarios",D949&lt;&gt;"Renta",D949&lt;&gt;"Marketing",D949&lt;&gt;"Servicios y software",D949&lt;&gt;"Mantenimiento",D949&lt;&gt;"Otros",D949&lt;&gt;"Intereses")),"Tipo o categoría inválido",IF(COUNTA(A949:J949)=0,"",IF(OR(A949="",B949="",C949="",H949=""),"Faltan datos",IF(COUNTIF($A$7:$A$2006,A949)&gt;1,"ID duplicado",IF(OR(B949&lt;DATE(Configuración!$C$5,1,1),B949&gt;=DATE(Configuración!$C$5+1,1,1)),"Fecha fuera del año",IF(OR(H949&lt;0,I949&lt;0),"Revisar signo",IF(AND(C949&lt;&gt;"Gasto",I949&lt;&gt;0),"IVA solo en Gasto",IF(AND(C949="Gasto",D949=""),"Falta categoría","OK")))))))))</f>
        <v/>
      </c>
    </row>
    <row r="950" spans="1:12" ht="22" customHeight="1">
      <c r="A950" s="3"/>
      <c r="B950" s="7"/>
      <c r="C950" s="3"/>
      <c r="D950" s="3"/>
      <c r="E950" s="3"/>
      <c r="F950" s="3"/>
      <c r="G950" s="3"/>
      <c r="H950" s="4"/>
      <c r="I950" s="4"/>
      <c r="J950" s="3"/>
      <c r="K950" s="8" t="str">
        <f t="shared" si="14"/>
        <v/>
      </c>
      <c r="L950" s="1" t="str">
        <f>IF(COUNTA(A950:J950)=0,"",IF(OR(AND(C950&lt;&gt;"Gasto",C950&lt;&gt;"Pago proveedor",C950&lt;&gt;"Retiro familiar",C950&lt;&gt;"Aportación",C950&lt;&gt;"Pago activo",C950&lt;&gt;"ISR devengado",C950&lt;&gt;"Pago ISR",C950&lt;&gt;"Pago IVA",C950&lt;&gt;"Compensación ISR",C950&lt;&gt;"Compensación IVA"),AND(C950="Gasto",D950&lt;&gt;"Costos clínicos",D950&lt;&gt;"Remuneración familiar",D950&lt;&gt;"Nómina y honorarios",D950&lt;&gt;"Renta",D950&lt;&gt;"Marketing",D950&lt;&gt;"Servicios y software",D950&lt;&gt;"Mantenimiento",D950&lt;&gt;"Otros",D950&lt;&gt;"Intereses")),"Tipo o categoría inválido",IF(COUNTA(A950:J950)=0,"",IF(OR(A950="",B950="",C950="",H950=""),"Faltan datos",IF(COUNTIF($A$7:$A$2006,A950)&gt;1,"ID duplicado",IF(OR(B950&lt;DATE(Configuración!$C$5,1,1),B950&gt;=DATE(Configuración!$C$5+1,1,1)),"Fecha fuera del año",IF(OR(H950&lt;0,I950&lt;0),"Revisar signo",IF(AND(C950&lt;&gt;"Gasto",I950&lt;&gt;0),"IVA solo en Gasto",IF(AND(C950="Gasto",D950=""),"Falta categoría","OK")))))))))</f>
        <v/>
      </c>
    </row>
    <row r="951" spans="1:12" ht="22" customHeight="1">
      <c r="A951" s="3"/>
      <c r="B951" s="7"/>
      <c r="C951" s="3"/>
      <c r="D951" s="3"/>
      <c r="E951" s="3"/>
      <c r="F951" s="3"/>
      <c r="G951" s="3"/>
      <c r="H951" s="4"/>
      <c r="I951" s="4"/>
      <c r="J951" s="3"/>
      <c r="K951" s="8" t="str">
        <f t="shared" si="14"/>
        <v/>
      </c>
      <c r="L951" s="1" t="str">
        <f>IF(COUNTA(A951:J951)=0,"",IF(OR(AND(C951&lt;&gt;"Gasto",C951&lt;&gt;"Pago proveedor",C951&lt;&gt;"Retiro familiar",C951&lt;&gt;"Aportación",C951&lt;&gt;"Pago activo",C951&lt;&gt;"ISR devengado",C951&lt;&gt;"Pago ISR",C951&lt;&gt;"Pago IVA",C951&lt;&gt;"Compensación ISR",C951&lt;&gt;"Compensación IVA"),AND(C951="Gasto",D951&lt;&gt;"Costos clínicos",D951&lt;&gt;"Remuneración familiar",D951&lt;&gt;"Nómina y honorarios",D951&lt;&gt;"Renta",D951&lt;&gt;"Marketing",D951&lt;&gt;"Servicios y software",D951&lt;&gt;"Mantenimiento",D951&lt;&gt;"Otros",D951&lt;&gt;"Intereses")),"Tipo o categoría inválido",IF(COUNTA(A951:J951)=0,"",IF(OR(A951="",B951="",C951="",H951=""),"Faltan datos",IF(COUNTIF($A$7:$A$2006,A951)&gt;1,"ID duplicado",IF(OR(B951&lt;DATE(Configuración!$C$5,1,1),B951&gt;=DATE(Configuración!$C$5+1,1,1)),"Fecha fuera del año",IF(OR(H951&lt;0,I951&lt;0),"Revisar signo",IF(AND(C951&lt;&gt;"Gasto",I951&lt;&gt;0),"IVA solo en Gasto",IF(AND(C951="Gasto",D951=""),"Falta categoría","OK")))))))))</f>
        <v/>
      </c>
    </row>
    <row r="952" spans="1:12" ht="22" customHeight="1">
      <c r="A952" s="3"/>
      <c r="B952" s="7"/>
      <c r="C952" s="3"/>
      <c r="D952" s="3"/>
      <c r="E952" s="3"/>
      <c r="F952" s="3"/>
      <c r="G952" s="3"/>
      <c r="H952" s="4"/>
      <c r="I952" s="4"/>
      <c r="J952" s="3"/>
      <c r="K952" s="8" t="str">
        <f t="shared" si="14"/>
        <v/>
      </c>
      <c r="L952" s="1" t="str">
        <f>IF(COUNTA(A952:J952)=0,"",IF(OR(AND(C952&lt;&gt;"Gasto",C952&lt;&gt;"Pago proveedor",C952&lt;&gt;"Retiro familiar",C952&lt;&gt;"Aportación",C952&lt;&gt;"Pago activo",C952&lt;&gt;"ISR devengado",C952&lt;&gt;"Pago ISR",C952&lt;&gt;"Pago IVA",C952&lt;&gt;"Compensación ISR",C952&lt;&gt;"Compensación IVA"),AND(C952="Gasto",D952&lt;&gt;"Costos clínicos",D952&lt;&gt;"Remuneración familiar",D952&lt;&gt;"Nómina y honorarios",D952&lt;&gt;"Renta",D952&lt;&gt;"Marketing",D952&lt;&gt;"Servicios y software",D952&lt;&gt;"Mantenimiento",D952&lt;&gt;"Otros",D952&lt;&gt;"Intereses")),"Tipo o categoría inválido",IF(COUNTA(A952:J952)=0,"",IF(OR(A952="",B952="",C952="",H952=""),"Faltan datos",IF(COUNTIF($A$7:$A$2006,A952)&gt;1,"ID duplicado",IF(OR(B952&lt;DATE(Configuración!$C$5,1,1),B952&gt;=DATE(Configuración!$C$5+1,1,1)),"Fecha fuera del año",IF(OR(H952&lt;0,I952&lt;0),"Revisar signo",IF(AND(C952&lt;&gt;"Gasto",I952&lt;&gt;0),"IVA solo en Gasto",IF(AND(C952="Gasto",D952=""),"Falta categoría","OK")))))))))</f>
        <v/>
      </c>
    </row>
    <row r="953" spans="1:12" ht="22" customHeight="1">
      <c r="A953" s="3"/>
      <c r="B953" s="7"/>
      <c r="C953" s="3"/>
      <c r="D953" s="3"/>
      <c r="E953" s="3"/>
      <c r="F953" s="3"/>
      <c r="G953" s="3"/>
      <c r="H953" s="4"/>
      <c r="I953" s="4"/>
      <c r="J953" s="3"/>
      <c r="K953" s="8" t="str">
        <f t="shared" si="14"/>
        <v/>
      </c>
      <c r="L953" s="1" t="str">
        <f>IF(COUNTA(A953:J953)=0,"",IF(OR(AND(C953&lt;&gt;"Gasto",C953&lt;&gt;"Pago proveedor",C953&lt;&gt;"Retiro familiar",C953&lt;&gt;"Aportación",C953&lt;&gt;"Pago activo",C953&lt;&gt;"ISR devengado",C953&lt;&gt;"Pago ISR",C953&lt;&gt;"Pago IVA",C953&lt;&gt;"Compensación ISR",C953&lt;&gt;"Compensación IVA"),AND(C953="Gasto",D953&lt;&gt;"Costos clínicos",D953&lt;&gt;"Remuneración familiar",D953&lt;&gt;"Nómina y honorarios",D953&lt;&gt;"Renta",D953&lt;&gt;"Marketing",D953&lt;&gt;"Servicios y software",D953&lt;&gt;"Mantenimiento",D953&lt;&gt;"Otros",D953&lt;&gt;"Intereses")),"Tipo o categoría inválido",IF(COUNTA(A953:J953)=0,"",IF(OR(A953="",B953="",C953="",H953=""),"Faltan datos",IF(COUNTIF($A$7:$A$2006,A953)&gt;1,"ID duplicado",IF(OR(B953&lt;DATE(Configuración!$C$5,1,1),B953&gt;=DATE(Configuración!$C$5+1,1,1)),"Fecha fuera del año",IF(OR(H953&lt;0,I953&lt;0),"Revisar signo",IF(AND(C953&lt;&gt;"Gasto",I953&lt;&gt;0),"IVA solo en Gasto",IF(AND(C953="Gasto",D953=""),"Falta categoría","OK")))))))))</f>
        <v/>
      </c>
    </row>
    <row r="954" spans="1:12" ht="22" customHeight="1">
      <c r="A954" s="3"/>
      <c r="B954" s="7"/>
      <c r="C954" s="3"/>
      <c r="D954" s="3"/>
      <c r="E954" s="3"/>
      <c r="F954" s="3"/>
      <c r="G954" s="3"/>
      <c r="H954" s="4"/>
      <c r="I954" s="4"/>
      <c r="J954" s="3"/>
      <c r="K954" s="8" t="str">
        <f t="shared" si="14"/>
        <v/>
      </c>
      <c r="L954" s="1" t="str">
        <f>IF(COUNTA(A954:J954)=0,"",IF(OR(AND(C954&lt;&gt;"Gasto",C954&lt;&gt;"Pago proveedor",C954&lt;&gt;"Retiro familiar",C954&lt;&gt;"Aportación",C954&lt;&gt;"Pago activo",C954&lt;&gt;"ISR devengado",C954&lt;&gt;"Pago ISR",C954&lt;&gt;"Pago IVA",C954&lt;&gt;"Compensación ISR",C954&lt;&gt;"Compensación IVA"),AND(C954="Gasto",D954&lt;&gt;"Costos clínicos",D954&lt;&gt;"Remuneración familiar",D954&lt;&gt;"Nómina y honorarios",D954&lt;&gt;"Renta",D954&lt;&gt;"Marketing",D954&lt;&gt;"Servicios y software",D954&lt;&gt;"Mantenimiento",D954&lt;&gt;"Otros",D954&lt;&gt;"Intereses")),"Tipo o categoría inválido",IF(COUNTA(A954:J954)=0,"",IF(OR(A954="",B954="",C954="",H954=""),"Faltan datos",IF(COUNTIF($A$7:$A$2006,A954)&gt;1,"ID duplicado",IF(OR(B954&lt;DATE(Configuración!$C$5,1,1),B954&gt;=DATE(Configuración!$C$5+1,1,1)),"Fecha fuera del año",IF(OR(H954&lt;0,I954&lt;0),"Revisar signo",IF(AND(C954&lt;&gt;"Gasto",I954&lt;&gt;0),"IVA solo en Gasto",IF(AND(C954="Gasto",D954=""),"Falta categoría","OK")))))))))</f>
        <v/>
      </c>
    </row>
    <row r="955" spans="1:12" ht="22" customHeight="1">
      <c r="A955" s="3"/>
      <c r="B955" s="7"/>
      <c r="C955" s="3"/>
      <c r="D955" s="3"/>
      <c r="E955" s="3"/>
      <c r="F955" s="3"/>
      <c r="G955" s="3"/>
      <c r="H955" s="4"/>
      <c r="I955" s="4"/>
      <c r="J955" s="3"/>
      <c r="K955" s="8" t="str">
        <f t="shared" si="14"/>
        <v/>
      </c>
      <c r="L955" s="1" t="str">
        <f>IF(COUNTA(A955:J955)=0,"",IF(OR(AND(C955&lt;&gt;"Gasto",C955&lt;&gt;"Pago proveedor",C955&lt;&gt;"Retiro familiar",C955&lt;&gt;"Aportación",C955&lt;&gt;"Pago activo",C955&lt;&gt;"ISR devengado",C955&lt;&gt;"Pago ISR",C955&lt;&gt;"Pago IVA",C955&lt;&gt;"Compensación ISR",C955&lt;&gt;"Compensación IVA"),AND(C955="Gasto",D955&lt;&gt;"Costos clínicos",D955&lt;&gt;"Remuneración familiar",D955&lt;&gt;"Nómina y honorarios",D955&lt;&gt;"Renta",D955&lt;&gt;"Marketing",D955&lt;&gt;"Servicios y software",D955&lt;&gt;"Mantenimiento",D955&lt;&gt;"Otros",D955&lt;&gt;"Intereses")),"Tipo o categoría inválido",IF(COUNTA(A955:J955)=0,"",IF(OR(A955="",B955="",C955="",H955=""),"Faltan datos",IF(COUNTIF($A$7:$A$2006,A955)&gt;1,"ID duplicado",IF(OR(B955&lt;DATE(Configuración!$C$5,1,1),B955&gt;=DATE(Configuración!$C$5+1,1,1)),"Fecha fuera del año",IF(OR(H955&lt;0,I955&lt;0),"Revisar signo",IF(AND(C955&lt;&gt;"Gasto",I955&lt;&gt;0),"IVA solo en Gasto",IF(AND(C955="Gasto",D955=""),"Falta categoría","OK")))))))))</f>
        <v/>
      </c>
    </row>
    <row r="956" spans="1:12" ht="22" customHeight="1">
      <c r="A956" s="3"/>
      <c r="B956" s="7"/>
      <c r="C956" s="3"/>
      <c r="D956" s="3"/>
      <c r="E956" s="3"/>
      <c r="F956" s="3"/>
      <c r="G956" s="3"/>
      <c r="H956" s="4"/>
      <c r="I956" s="4"/>
      <c r="J956" s="3"/>
      <c r="K956" s="8" t="str">
        <f t="shared" si="14"/>
        <v/>
      </c>
      <c r="L956" s="1" t="str">
        <f>IF(COUNTA(A956:J956)=0,"",IF(OR(AND(C956&lt;&gt;"Gasto",C956&lt;&gt;"Pago proveedor",C956&lt;&gt;"Retiro familiar",C956&lt;&gt;"Aportación",C956&lt;&gt;"Pago activo",C956&lt;&gt;"ISR devengado",C956&lt;&gt;"Pago ISR",C956&lt;&gt;"Pago IVA",C956&lt;&gt;"Compensación ISR",C956&lt;&gt;"Compensación IVA"),AND(C956="Gasto",D956&lt;&gt;"Costos clínicos",D956&lt;&gt;"Remuneración familiar",D956&lt;&gt;"Nómina y honorarios",D956&lt;&gt;"Renta",D956&lt;&gt;"Marketing",D956&lt;&gt;"Servicios y software",D956&lt;&gt;"Mantenimiento",D956&lt;&gt;"Otros",D956&lt;&gt;"Intereses")),"Tipo o categoría inválido",IF(COUNTA(A956:J956)=0,"",IF(OR(A956="",B956="",C956="",H956=""),"Faltan datos",IF(COUNTIF($A$7:$A$2006,A956)&gt;1,"ID duplicado",IF(OR(B956&lt;DATE(Configuración!$C$5,1,1),B956&gt;=DATE(Configuración!$C$5+1,1,1)),"Fecha fuera del año",IF(OR(H956&lt;0,I956&lt;0),"Revisar signo",IF(AND(C956&lt;&gt;"Gasto",I956&lt;&gt;0),"IVA solo en Gasto",IF(AND(C956="Gasto",D956=""),"Falta categoría","OK")))))))))</f>
        <v/>
      </c>
    </row>
    <row r="957" spans="1:12" ht="22" customHeight="1">
      <c r="A957" s="3"/>
      <c r="B957" s="7"/>
      <c r="C957" s="3"/>
      <c r="D957" s="3"/>
      <c r="E957" s="3"/>
      <c r="F957" s="3"/>
      <c r="G957" s="3"/>
      <c r="H957" s="4"/>
      <c r="I957" s="4"/>
      <c r="J957" s="3"/>
      <c r="K957" s="8" t="str">
        <f t="shared" si="14"/>
        <v/>
      </c>
      <c r="L957" s="1" t="str">
        <f>IF(COUNTA(A957:J957)=0,"",IF(OR(AND(C957&lt;&gt;"Gasto",C957&lt;&gt;"Pago proveedor",C957&lt;&gt;"Retiro familiar",C957&lt;&gt;"Aportación",C957&lt;&gt;"Pago activo",C957&lt;&gt;"ISR devengado",C957&lt;&gt;"Pago ISR",C957&lt;&gt;"Pago IVA",C957&lt;&gt;"Compensación ISR",C957&lt;&gt;"Compensación IVA"),AND(C957="Gasto",D957&lt;&gt;"Costos clínicos",D957&lt;&gt;"Remuneración familiar",D957&lt;&gt;"Nómina y honorarios",D957&lt;&gt;"Renta",D957&lt;&gt;"Marketing",D957&lt;&gt;"Servicios y software",D957&lt;&gt;"Mantenimiento",D957&lt;&gt;"Otros",D957&lt;&gt;"Intereses")),"Tipo o categoría inválido",IF(COUNTA(A957:J957)=0,"",IF(OR(A957="",B957="",C957="",H957=""),"Faltan datos",IF(COUNTIF($A$7:$A$2006,A957)&gt;1,"ID duplicado",IF(OR(B957&lt;DATE(Configuración!$C$5,1,1),B957&gt;=DATE(Configuración!$C$5+1,1,1)),"Fecha fuera del año",IF(OR(H957&lt;0,I957&lt;0),"Revisar signo",IF(AND(C957&lt;&gt;"Gasto",I957&lt;&gt;0),"IVA solo en Gasto",IF(AND(C957="Gasto",D957=""),"Falta categoría","OK")))))))))</f>
        <v/>
      </c>
    </row>
    <row r="958" spans="1:12" ht="22" customHeight="1">
      <c r="A958" s="3"/>
      <c r="B958" s="7"/>
      <c r="C958" s="3"/>
      <c r="D958" s="3"/>
      <c r="E958" s="3"/>
      <c r="F958" s="3"/>
      <c r="G958" s="3"/>
      <c r="H958" s="4"/>
      <c r="I958" s="4"/>
      <c r="J958" s="3"/>
      <c r="K958" s="8" t="str">
        <f t="shared" si="14"/>
        <v/>
      </c>
      <c r="L958" s="1" t="str">
        <f>IF(COUNTA(A958:J958)=0,"",IF(OR(AND(C958&lt;&gt;"Gasto",C958&lt;&gt;"Pago proveedor",C958&lt;&gt;"Retiro familiar",C958&lt;&gt;"Aportación",C958&lt;&gt;"Pago activo",C958&lt;&gt;"ISR devengado",C958&lt;&gt;"Pago ISR",C958&lt;&gt;"Pago IVA",C958&lt;&gt;"Compensación ISR",C958&lt;&gt;"Compensación IVA"),AND(C958="Gasto",D958&lt;&gt;"Costos clínicos",D958&lt;&gt;"Remuneración familiar",D958&lt;&gt;"Nómina y honorarios",D958&lt;&gt;"Renta",D958&lt;&gt;"Marketing",D958&lt;&gt;"Servicios y software",D958&lt;&gt;"Mantenimiento",D958&lt;&gt;"Otros",D958&lt;&gt;"Intereses")),"Tipo o categoría inválido",IF(COUNTA(A958:J958)=0,"",IF(OR(A958="",B958="",C958="",H958=""),"Faltan datos",IF(COUNTIF($A$7:$A$2006,A958)&gt;1,"ID duplicado",IF(OR(B958&lt;DATE(Configuración!$C$5,1,1),B958&gt;=DATE(Configuración!$C$5+1,1,1)),"Fecha fuera del año",IF(OR(H958&lt;0,I958&lt;0),"Revisar signo",IF(AND(C958&lt;&gt;"Gasto",I958&lt;&gt;0),"IVA solo en Gasto",IF(AND(C958="Gasto",D958=""),"Falta categoría","OK")))))))))</f>
        <v/>
      </c>
    </row>
    <row r="959" spans="1:12" ht="22" customHeight="1">
      <c r="A959" s="3"/>
      <c r="B959" s="7"/>
      <c r="C959" s="3"/>
      <c r="D959" s="3"/>
      <c r="E959" s="3"/>
      <c r="F959" s="3"/>
      <c r="G959" s="3"/>
      <c r="H959" s="4"/>
      <c r="I959" s="4"/>
      <c r="J959" s="3"/>
      <c r="K959" s="8" t="str">
        <f t="shared" si="14"/>
        <v/>
      </c>
      <c r="L959" s="1" t="str">
        <f>IF(COUNTA(A959:J959)=0,"",IF(OR(AND(C959&lt;&gt;"Gasto",C959&lt;&gt;"Pago proveedor",C959&lt;&gt;"Retiro familiar",C959&lt;&gt;"Aportación",C959&lt;&gt;"Pago activo",C959&lt;&gt;"ISR devengado",C959&lt;&gt;"Pago ISR",C959&lt;&gt;"Pago IVA",C959&lt;&gt;"Compensación ISR",C959&lt;&gt;"Compensación IVA"),AND(C959="Gasto",D959&lt;&gt;"Costos clínicos",D959&lt;&gt;"Remuneración familiar",D959&lt;&gt;"Nómina y honorarios",D959&lt;&gt;"Renta",D959&lt;&gt;"Marketing",D959&lt;&gt;"Servicios y software",D959&lt;&gt;"Mantenimiento",D959&lt;&gt;"Otros",D959&lt;&gt;"Intereses")),"Tipo o categoría inválido",IF(COUNTA(A959:J959)=0,"",IF(OR(A959="",B959="",C959="",H959=""),"Faltan datos",IF(COUNTIF($A$7:$A$2006,A959)&gt;1,"ID duplicado",IF(OR(B959&lt;DATE(Configuración!$C$5,1,1),B959&gt;=DATE(Configuración!$C$5+1,1,1)),"Fecha fuera del año",IF(OR(H959&lt;0,I959&lt;0),"Revisar signo",IF(AND(C959&lt;&gt;"Gasto",I959&lt;&gt;0),"IVA solo en Gasto",IF(AND(C959="Gasto",D959=""),"Falta categoría","OK")))))))))</f>
        <v/>
      </c>
    </row>
    <row r="960" spans="1:12" ht="22" customHeight="1">
      <c r="A960" s="3"/>
      <c r="B960" s="7"/>
      <c r="C960" s="3"/>
      <c r="D960" s="3"/>
      <c r="E960" s="3"/>
      <c r="F960" s="3"/>
      <c r="G960" s="3"/>
      <c r="H960" s="4"/>
      <c r="I960" s="4"/>
      <c r="J960" s="3"/>
      <c r="K960" s="8" t="str">
        <f t="shared" si="14"/>
        <v/>
      </c>
      <c r="L960" s="1" t="str">
        <f>IF(COUNTA(A960:J960)=0,"",IF(OR(AND(C960&lt;&gt;"Gasto",C960&lt;&gt;"Pago proveedor",C960&lt;&gt;"Retiro familiar",C960&lt;&gt;"Aportación",C960&lt;&gt;"Pago activo",C960&lt;&gt;"ISR devengado",C960&lt;&gt;"Pago ISR",C960&lt;&gt;"Pago IVA",C960&lt;&gt;"Compensación ISR",C960&lt;&gt;"Compensación IVA"),AND(C960="Gasto",D960&lt;&gt;"Costos clínicos",D960&lt;&gt;"Remuneración familiar",D960&lt;&gt;"Nómina y honorarios",D960&lt;&gt;"Renta",D960&lt;&gt;"Marketing",D960&lt;&gt;"Servicios y software",D960&lt;&gt;"Mantenimiento",D960&lt;&gt;"Otros",D960&lt;&gt;"Intereses")),"Tipo o categoría inválido",IF(COUNTA(A960:J960)=0,"",IF(OR(A960="",B960="",C960="",H960=""),"Faltan datos",IF(COUNTIF($A$7:$A$2006,A960)&gt;1,"ID duplicado",IF(OR(B960&lt;DATE(Configuración!$C$5,1,1),B960&gt;=DATE(Configuración!$C$5+1,1,1)),"Fecha fuera del año",IF(OR(H960&lt;0,I960&lt;0),"Revisar signo",IF(AND(C960&lt;&gt;"Gasto",I960&lt;&gt;0),"IVA solo en Gasto",IF(AND(C960="Gasto",D960=""),"Falta categoría","OK")))))))))</f>
        <v/>
      </c>
    </row>
    <row r="961" spans="1:12" ht="22" customHeight="1">
      <c r="A961" s="3"/>
      <c r="B961" s="7"/>
      <c r="C961" s="3"/>
      <c r="D961" s="3"/>
      <c r="E961" s="3"/>
      <c r="F961" s="3"/>
      <c r="G961" s="3"/>
      <c r="H961" s="4"/>
      <c r="I961" s="4"/>
      <c r="J961" s="3"/>
      <c r="K961" s="8" t="str">
        <f t="shared" si="14"/>
        <v/>
      </c>
      <c r="L961" s="1" t="str">
        <f>IF(COUNTA(A961:J961)=0,"",IF(OR(AND(C961&lt;&gt;"Gasto",C961&lt;&gt;"Pago proveedor",C961&lt;&gt;"Retiro familiar",C961&lt;&gt;"Aportación",C961&lt;&gt;"Pago activo",C961&lt;&gt;"ISR devengado",C961&lt;&gt;"Pago ISR",C961&lt;&gt;"Pago IVA",C961&lt;&gt;"Compensación ISR",C961&lt;&gt;"Compensación IVA"),AND(C961="Gasto",D961&lt;&gt;"Costos clínicos",D961&lt;&gt;"Remuneración familiar",D961&lt;&gt;"Nómina y honorarios",D961&lt;&gt;"Renta",D961&lt;&gt;"Marketing",D961&lt;&gt;"Servicios y software",D961&lt;&gt;"Mantenimiento",D961&lt;&gt;"Otros",D961&lt;&gt;"Intereses")),"Tipo o categoría inválido",IF(COUNTA(A961:J961)=0,"",IF(OR(A961="",B961="",C961="",H961=""),"Faltan datos",IF(COUNTIF($A$7:$A$2006,A961)&gt;1,"ID duplicado",IF(OR(B961&lt;DATE(Configuración!$C$5,1,1),B961&gt;=DATE(Configuración!$C$5+1,1,1)),"Fecha fuera del año",IF(OR(H961&lt;0,I961&lt;0),"Revisar signo",IF(AND(C961&lt;&gt;"Gasto",I961&lt;&gt;0),"IVA solo en Gasto",IF(AND(C961="Gasto",D961=""),"Falta categoría","OK")))))))))</f>
        <v/>
      </c>
    </row>
    <row r="962" spans="1:12" ht="22" customHeight="1">
      <c r="A962" s="3"/>
      <c r="B962" s="7"/>
      <c r="C962" s="3"/>
      <c r="D962" s="3"/>
      <c r="E962" s="3"/>
      <c r="F962" s="3"/>
      <c r="G962" s="3"/>
      <c r="H962" s="4"/>
      <c r="I962" s="4"/>
      <c r="J962" s="3"/>
      <c r="K962" s="8" t="str">
        <f t="shared" si="14"/>
        <v/>
      </c>
      <c r="L962" s="1" t="str">
        <f>IF(COUNTA(A962:J962)=0,"",IF(OR(AND(C962&lt;&gt;"Gasto",C962&lt;&gt;"Pago proveedor",C962&lt;&gt;"Retiro familiar",C962&lt;&gt;"Aportación",C962&lt;&gt;"Pago activo",C962&lt;&gt;"ISR devengado",C962&lt;&gt;"Pago ISR",C962&lt;&gt;"Pago IVA",C962&lt;&gt;"Compensación ISR",C962&lt;&gt;"Compensación IVA"),AND(C962="Gasto",D962&lt;&gt;"Costos clínicos",D962&lt;&gt;"Remuneración familiar",D962&lt;&gt;"Nómina y honorarios",D962&lt;&gt;"Renta",D962&lt;&gt;"Marketing",D962&lt;&gt;"Servicios y software",D962&lt;&gt;"Mantenimiento",D962&lt;&gt;"Otros",D962&lt;&gt;"Intereses")),"Tipo o categoría inválido",IF(COUNTA(A962:J962)=0,"",IF(OR(A962="",B962="",C962="",H962=""),"Faltan datos",IF(COUNTIF($A$7:$A$2006,A962)&gt;1,"ID duplicado",IF(OR(B962&lt;DATE(Configuración!$C$5,1,1),B962&gt;=DATE(Configuración!$C$5+1,1,1)),"Fecha fuera del año",IF(OR(H962&lt;0,I962&lt;0),"Revisar signo",IF(AND(C962&lt;&gt;"Gasto",I962&lt;&gt;0),"IVA solo en Gasto",IF(AND(C962="Gasto",D962=""),"Falta categoría","OK")))))))))</f>
        <v/>
      </c>
    </row>
    <row r="963" spans="1:12" ht="22" customHeight="1">
      <c r="A963" s="3"/>
      <c r="B963" s="7"/>
      <c r="C963" s="3"/>
      <c r="D963" s="3"/>
      <c r="E963" s="3"/>
      <c r="F963" s="3"/>
      <c r="G963" s="3"/>
      <c r="H963" s="4"/>
      <c r="I963" s="4"/>
      <c r="J963" s="3"/>
      <c r="K963" s="8" t="str">
        <f t="shared" si="14"/>
        <v/>
      </c>
      <c r="L963" s="1" t="str">
        <f>IF(COUNTA(A963:J963)=0,"",IF(OR(AND(C963&lt;&gt;"Gasto",C963&lt;&gt;"Pago proveedor",C963&lt;&gt;"Retiro familiar",C963&lt;&gt;"Aportación",C963&lt;&gt;"Pago activo",C963&lt;&gt;"ISR devengado",C963&lt;&gt;"Pago ISR",C963&lt;&gt;"Pago IVA",C963&lt;&gt;"Compensación ISR",C963&lt;&gt;"Compensación IVA"),AND(C963="Gasto",D963&lt;&gt;"Costos clínicos",D963&lt;&gt;"Remuneración familiar",D963&lt;&gt;"Nómina y honorarios",D963&lt;&gt;"Renta",D963&lt;&gt;"Marketing",D963&lt;&gt;"Servicios y software",D963&lt;&gt;"Mantenimiento",D963&lt;&gt;"Otros",D963&lt;&gt;"Intereses")),"Tipo o categoría inválido",IF(COUNTA(A963:J963)=0,"",IF(OR(A963="",B963="",C963="",H963=""),"Faltan datos",IF(COUNTIF($A$7:$A$2006,A963)&gt;1,"ID duplicado",IF(OR(B963&lt;DATE(Configuración!$C$5,1,1),B963&gt;=DATE(Configuración!$C$5+1,1,1)),"Fecha fuera del año",IF(OR(H963&lt;0,I963&lt;0),"Revisar signo",IF(AND(C963&lt;&gt;"Gasto",I963&lt;&gt;0),"IVA solo en Gasto",IF(AND(C963="Gasto",D963=""),"Falta categoría","OK")))))))))</f>
        <v/>
      </c>
    </row>
    <row r="964" spans="1:12" ht="22" customHeight="1">
      <c r="A964" s="3"/>
      <c r="B964" s="7"/>
      <c r="C964" s="3"/>
      <c r="D964" s="3"/>
      <c r="E964" s="3"/>
      <c r="F964" s="3"/>
      <c r="G964" s="3"/>
      <c r="H964" s="4"/>
      <c r="I964" s="4"/>
      <c r="J964" s="3"/>
      <c r="K964" s="8" t="str">
        <f t="shared" si="14"/>
        <v/>
      </c>
      <c r="L964" s="1" t="str">
        <f>IF(COUNTA(A964:J964)=0,"",IF(OR(AND(C964&lt;&gt;"Gasto",C964&lt;&gt;"Pago proveedor",C964&lt;&gt;"Retiro familiar",C964&lt;&gt;"Aportación",C964&lt;&gt;"Pago activo",C964&lt;&gt;"ISR devengado",C964&lt;&gt;"Pago ISR",C964&lt;&gt;"Pago IVA",C964&lt;&gt;"Compensación ISR",C964&lt;&gt;"Compensación IVA"),AND(C964="Gasto",D964&lt;&gt;"Costos clínicos",D964&lt;&gt;"Remuneración familiar",D964&lt;&gt;"Nómina y honorarios",D964&lt;&gt;"Renta",D964&lt;&gt;"Marketing",D964&lt;&gt;"Servicios y software",D964&lt;&gt;"Mantenimiento",D964&lt;&gt;"Otros",D964&lt;&gt;"Intereses")),"Tipo o categoría inválido",IF(COUNTA(A964:J964)=0,"",IF(OR(A964="",B964="",C964="",H964=""),"Faltan datos",IF(COUNTIF($A$7:$A$2006,A964)&gt;1,"ID duplicado",IF(OR(B964&lt;DATE(Configuración!$C$5,1,1),B964&gt;=DATE(Configuración!$C$5+1,1,1)),"Fecha fuera del año",IF(OR(H964&lt;0,I964&lt;0),"Revisar signo",IF(AND(C964&lt;&gt;"Gasto",I964&lt;&gt;0),"IVA solo en Gasto",IF(AND(C964="Gasto",D964=""),"Falta categoría","OK")))))))))</f>
        <v/>
      </c>
    </row>
    <row r="965" spans="1:12" ht="22" customHeight="1">
      <c r="A965" s="3"/>
      <c r="B965" s="7"/>
      <c r="C965" s="3"/>
      <c r="D965" s="3"/>
      <c r="E965" s="3"/>
      <c r="F965" s="3"/>
      <c r="G965" s="3"/>
      <c r="H965" s="4"/>
      <c r="I965" s="4"/>
      <c r="J965" s="3"/>
      <c r="K965" s="8" t="str">
        <f t="shared" si="14"/>
        <v/>
      </c>
      <c r="L965" s="1" t="str">
        <f>IF(COUNTA(A965:J965)=0,"",IF(OR(AND(C965&lt;&gt;"Gasto",C965&lt;&gt;"Pago proveedor",C965&lt;&gt;"Retiro familiar",C965&lt;&gt;"Aportación",C965&lt;&gt;"Pago activo",C965&lt;&gt;"ISR devengado",C965&lt;&gt;"Pago ISR",C965&lt;&gt;"Pago IVA",C965&lt;&gt;"Compensación ISR",C965&lt;&gt;"Compensación IVA"),AND(C965="Gasto",D965&lt;&gt;"Costos clínicos",D965&lt;&gt;"Remuneración familiar",D965&lt;&gt;"Nómina y honorarios",D965&lt;&gt;"Renta",D965&lt;&gt;"Marketing",D965&lt;&gt;"Servicios y software",D965&lt;&gt;"Mantenimiento",D965&lt;&gt;"Otros",D965&lt;&gt;"Intereses")),"Tipo o categoría inválido",IF(COUNTA(A965:J965)=0,"",IF(OR(A965="",B965="",C965="",H965=""),"Faltan datos",IF(COUNTIF($A$7:$A$2006,A965)&gt;1,"ID duplicado",IF(OR(B965&lt;DATE(Configuración!$C$5,1,1),B965&gt;=DATE(Configuración!$C$5+1,1,1)),"Fecha fuera del año",IF(OR(H965&lt;0,I965&lt;0),"Revisar signo",IF(AND(C965&lt;&gt;"Gasto",I965&lt;&gt;0),"IVA solo en Gasto",IF(AND(C965="Gasto",D965=""),"Falta categoría","OK")))))))))</f>
        <v/>
      </c>
    </row>
    <row r="966" spans="1:12" ht="22" customHeight="1">
      <c r="A966" s="3"/>
      <c r="B966" s="7"/>
      <c r="C966" s="3"/>
      <c r="D966" s="3"/>
      <c r="E966" s="3"/>
      <c r="F966" s="3"/>
      <c r="G966" s="3"/>
      <c r="H966" s="4"/>
      <c r="I966" s="4"/>
      <c r="J966" s="3"/>
      <c r="K966" s="8" t="str">
        <f t="shared" si="14"/>
        <v/>
      </c>
      <c r="L966" s="1" t="str">
        <f>IF(COUNTA(A966:J966)=0,"",IF(OR(AND(C966&lt;&gt;"Gasto",C966&lt;&gt;"Pago proveedor",C966&lt;&gt;"Retiro familiar",C966&lt;&gt;"Aportación",C966&lt;&gt;"Pago activo",C966&lt;&gt;"ISR devengado",C966&lt;&gt;"Pago ISR",C966&lt;&gt;"Pago IVA",C966&lt;&gt;"Compensación ISR",C966&lt;&gt;"Compensación IVA"),AND(C966="Gasto",D966&lt;&gt;"Costos clínicos",D966&lt;&gt;"Remuneración familiar",D966&lt;&gt;"Nómina y honorarios",D966&lt;&gt;"Renta",D966&lt;&gt;"Marketing",D966&lt;&gt;"Servicios y software",D966&lt;&gt;"Mantenimiento",D966&lt;&gt;"Otros",D966&lt;&gt;"Intereses")),"Tipo o categoría inválido",IF(COUNTA(A966:J966)=0,"",IF(OR(A966="",B966="",C966="",H966=""),"Faltan datos",IF(COUNTIF($A$7:$A$2006,A966)&gt;1,"ID duplicado",IF(OR(B966&lt;DATE(Configuración!$C$5,1,1),B966&gt;=DATE(Configuración!$C$5+1,1,1)),"Fecha fuera del año",IF(OR(H966&lt;0,I966&lt;0),"Revisar signo",IF(AND(C966&lt;&gt;"Gasto",I966&lt;&gt;0),"IVA solo en Gasto",IF(AND(C966="Gasto",D966=""),"Falta categoría","OK")))))))))</f>
        <v/>
      </c>
    </row>
    <row r="967" spans="1:12" ht="22" customHeight="1">
      <c r="A967" s="3"/>
      <c r="B967" s="7"/>
      <c r="C967" s="3"/>
      <c r="D967" s="3"/>
      <c r="E967" s="3"/>
      <c r="F967" s="3"/>
      <c r="G967" s="3"/>
      <c r="H967" s="4"/>
      <c r="I967" s="4"/>
      <c r="J967" s="3"/>
      <c r="K967" s="8" t="str">
        <f t="shared" ref="K967:K1030" si="15">IF(A967="","",H967+I967)</f>
        <v/>
      </c>
      <c r="L967" s="1" t="str">
        <f>IF(COUNTA(A967:J967)=0,"",IF(OR(AND(C967&lt;&gt;"Gasto",C967&lt;&gt;"Pago proveedor",C967&lt;&gt;"Retiro familiar",C967&lt;&gt;"Aportación",C967&lt;&gt;"Pago activo",C967&lt;&gt;"ISR devengado",C967&lt;&gt;"Pago ISR",C967&lt;&gt;"Pago IVA",C967&lt;&gt;"Compensación ISR",C967&lt;&gt;"Compensación IVA"),AND(C967="Gasto",D967&lt;&gt;"Costos clínicos",D967&lt;&gt;"Remuneración familiar",D967&lt;&gt;"Nómina y honorarios",D967&lt;&gt;"Renta",D967&lt;&gt;"Marketing",D967&lt;&gt;"Servicios y software",D967&lt;&gt;"Mantenimiento",D967&lt;&gt;"Otros",D967&lt;&gt;"Intereses")),"Tipo o categoría inválido",IF(COUNTA(A967:J967)=0,"",IF(OR(A967="",B967="",C967="",H967=""),"Faltan datos",IF(COUNTIF($A$7:$A$2006,A967)&gt;1,"ID duplicado",IF(OR(B967&lt;DATE(Configuración!$C$5,1,1),B967&gt;=DATE(Configuración!$C$5+1,1,1)),"Fecha fuera del año",IF(OR(H967&lt;0,I967&lt;0),"Revisar signo",IF(AND(C967&lt;&gt;"Gasto",I967&lt;&gt;0),"IVA solo en Gasto",IF(AND(C967="Gasto",D967=""),"Falta categoría","OK")))))))))</f>
        <v/>
      </c>
    </row>
    <row r="968" spans="1:12" ht="22" customHeight="1">
      <c r="A968" s="3"/>
      <c r="B968" s="7"/>
      <c r="C968" s="3"/>
      <c r="D968" s="3"/>
      <c r="E968" s="3"/>
      <c r="F968" s="3"/>
      <c r="G968" s="3"/>
      <c r="H968" s="4"/>
      <c r="I968" s="4"/>
      <c r="J968" s="3"/>
      <c r="K968" s="8" t="str">
        <f t="shared" si="15"/>
        <v/>
      </c>
      <c r="L968" s="1" t="str">
        <f>IF(COUNTA(A968:J968)=0,"",IF(OR(AND(C968&lt;&gt;"Gasto",C968&lt;&gt;"Pago proveedor",C968&lt;&gt;"Retiro familiar",C968&lt;&gt;"Aportación",C968&lt;&gt;"Pago activo",C968&lt;&gt;"ISR devengado",C968&lt;&gt;"Pago ISR",C968&lt;&gt;"Pago IVA",C968&lt;&gt;"Compensación ISR",C968&lt;&gt;"Compensación IVA"),AND(C968="Gasto",D968&lt;&gt;"Costos clínicos",D968&lt;&gt;"Remuneración familiar",D968&lt;&gt;"Nómina y honorarios",D968&lt;&gt;"Renta",D968&lt;&gt;"Marketing",D968&lt;&gt;"Servicios y software",D968&lt;&gt;"Mantenimiento",D968&lt;&gt;"Otros",D968&lt;&gt;"Intereses")),"Tipo o categoría inválido",IF(COUNTA(A968:J968)=0,"",IF(OR(A968="",B968="",C968="",H968=""),"Faltan datos",IF(COUNTIF($A$7:$A$2006,A968)&gt;1,"ID duplicado",IF(OR(B968&lt;DATE(Configuración!$C$5,1,1),B968&gt;=DATE(Configuración!$C$5+1,1,1)),"Fecha fuera del año",IF(OR(H968&lt;0,I968&lt;0),"Revisar signo",IF(AND(C968&lt;&gt;"Gasto",I968&lt;&gt;0),"IVA solo en Gasto",IF(AND(C968="Gasto",D968=""),"Falta categoría","OK")))))))))</f>
        <v/>
      </c>
    </row>
    <row r="969" spans="1:12" ht="22" customHeight="1">
      <c r="A969" s="3"/>
      <c r="B969" s="7"/>
      <c r="C969" s="3"/>
      <c r="D969" s="3"/>
      <c r="E969" s="3"/>
      <c r="F969" s="3"/>
      <c r="G969" s="3"/>
      <c r="H969" s="4"/>
      <c r="I969" s="4"/>
      <c r="J969" s="3"/>
      <c r="K969" s="8" t="str">
        <f t="shared" si="15"/>
        <v/>
      </c>
      <c r="L969" s="1" t="str">
        <f>IF(COUNTA(A969:J969)=0,"",IF(OR(AND(C969&lt;&gt;"Gasto",C969&lt;&gt;"Pago proveedor",C969&lt;&gt;"Retiro familiar",C969&lt;&gt;"Aportación",C969&lt;&gt;"Pago activo",C969&lt;&gt;"ISR devengado",C969&lt;&gt;"Pago ISR",C969&lt;&gt;"Pago IVA",C969&lt;&gt;"Compensación ISR",C969&lt;&gt;"Compensación IVA"),AND(C969="Gasto",D969&lt;&gt;"Costos clínicos",D969&lt;&gt;"Remuneración familiar",D969&lt;&gt;"Nómina y honorarios",D969&lt;&gt;"Renta",D969&lt;&gt;"Marketing",D969&lt;&gt;"Servicios y software",D969&lt;&gt;"Mantenimiento",D969&lt;&gt;"Otros",D969&lt;&gt;"Intereses")),"Tipo o categoría inválido",IF(COUNTA(A969:J969)=0,"",IF(OR(A969="",B969="",C969="",H969=""),"Faltan datos",IF(COUNTIF($A$7:$A$2006,A969)&gt;1,"ID duplicado",IF(OR(B969&lt;DATE(Configuración!$C$5,1,1),B969&gt;=DATE(Configuración!$C$5+1,1,1)),"Fecha fuera del año",IF(OR(H969&lt;0,I969&lt;0),"Revisar signo",IF(AND(C969&lt;&gt;"Gasto",I969&lt;&gt;0),"IVA solo en Gasto",IF(AND(C969="Gasto",D969=""),"Falta categoría","OK")))))))))</f>
        <v/>
      </c>
    </row>
    <row r="970" spans="1:12" ht="22" customHeight="1">
      <c r="A970" s="3"/>
      <c r="B970" s="7"/>
      <c r="C970" s="3"/>
      <c r="D970" s="3"/>
      <c r="E970" s="3"/>
      <c r="F970" s="3"/>
      <c r="G970" s="3"/>
      <c r="H970" s="4"/>
      <c r="I970" s="4"/>
      <c r="J970" s="3"/>
      <c r="K970" s="8" t="str">
        <f t="shared" si="15"/>
        <v/>
      </c>
      <c r="L970" s="1" t="str">
        <f>IF(COUNTA(A970:J970)=0,"",IF(OR(AND(C970&lt;&gt;"Gasto",C970&lt;&gt;"Pago proveedor",C970&lt;&gt;"Retiro familiar",C970&lt;&gt;"Aportación",C970&lt;&gt;"Pago activo",C970&lt;&gt;"ISR devengado",C970&lt;&gt;"Pago ISR",C970&lt;&gt;"Pago IVA",C970&lt;&gt;"Compensación ISR",C970&lt;&gt;"Compensación IVA"),AND(C970="Gasto",D970&lt;&gt;"Costos clínicos",D970&lt;&gt;"Remuneración familiar",D970&lt;&gt;"Nómina y honorarios",D970&lt;&gt;"Renta",D970&lt;&gt;"Marketing",D970&lt;&gt;"Servicios y software",D970&lt;&gt;"Mantenimiento",D970&lt;&gt;"Otros",D970&lt;&gt;"Intereses")),"Tipo o categoría inválido",IF(COUNTA(A970:J970)=0,"",IF(OR(A970="",B970="",C970="",H970=""),"Faltan datos",IF(COUNTIF($A$7:$A$2006,A970)&gt;1,"ID duplicado",IF(OR(B970&lt;DATE(Configuración!$C$5,1,1),B970&gt;=DATE(Configuración!$C$5+1,1,1)),"Fecha fuera del año",IF(OR(H970&lt;0,I970&lt;0),"Revisar signo",IF(AND(C970&lt;&gt;"Gasto",I970&lt;&gt;0),"IVA solo en Gasto",IF(AND(C970="Gasto",D970=""),"Falta categoría","OK")))))))))</f>
        <v/>
      </c>
    </row>
    <row r="971" spans="1:12" ht="22" customHeight="1">
      <c r="A971" s="3"/>
      <c r="B971" s="7"/>
      <c r="C971" s="3"/>
      <c r="D971" s="3"/>
      <c r="E971" s="3"/>
      <c r="F971" s="3"/>
      <c r="G971" s="3"/>
      <c r="H971" s="4"/>
      <c r="I971" s="4"/>
      <c r="J971" s="3"/>
      <c r="K971" s="8" t="str">
        <f t="shared" si="15"/>
        <v/>
      </c>
      <c r="L971" s="1" t="str">
        <f>IF(COUNTA(A971:J971)=0,"",IF(OR(AND(C971&lt;&gt;"Gasto",C971&lt;&gt;"Pago proveedor",C971&lt;&gt;"Retiro familiar",C971&lt;&gt;"Aportación",C971&lt;&gt;"Pago activo",C971&lt;&gt;"ISR devengado",C971&lt;&gt;"Pago ISR",C971&lt;&gt;"Pago IVA",C971&lt;&gt;"Compensación ISR",C971&lt;&gt;"Compensación IVA"),AND(C971="Gasto",D971&lt;&gt;"Costos clínicos",D971&lt;&gt;"Remuneración familiar",D971&lt;&gt;"Nómina y honorarios",D971&lt;&gt;"Renta",D971&lt;&gt;"Marketing",D971&lt;&gt;"Servicios y software",D971&lt;&gt;"Mantenimiento",D971&lt;&gt;"Otros",D971&lt;&gt;"Intereses")),"Tipo o categoría inválido",IF(COUNTA(A971:J971)=0,"",IF(OR(A971="",B971="",C971="",H971=""),"Faltan datos",IF(COUNTIF($A$7:$A$2006,A971)&gt;1,"ID duplicado",IF(OR(B971&lt;DATE(Configuración!$C$5,1,1),B971&gt;=DATE(Configuración!$C$5+1,1,1)),"Fecha fuera del año",IF(OR(H971&lt;0,I971&lt;0),"Revisar signo",IF(AND(C971&lt;&gt;"Gasto",I971&lt;&gt;0),"IVA solo en Gasto",IF(AND(C971="Gasto",D971=""),"Falta categoría","OK")))))))))</f>
        <v/>
      </c>
    </row>
    <row r="972" spans="1:12" ht="22" customHeight="1">
      <c r="A972" s="3"/>
      <c r="B972" s="7"/>
      <c r="C972" s="3"/>
      <c r="D972" s="3"/>
      <c r="E972" s="3"/>
      <c r="F972" s="3"/>
      <c r="G972" s="3"/>
      <c r="H972" s="4"/>
      <c r="I972" s="4"/>
      <c r="J972" s="3"/>
      <c r="K972" s="8" t="str">
        <f t="shared" si="15"/>
        <v/>
      </c>
      <c r="L972" s="1" t="str">
        <f>IF(COUNTA(A972:J972)=0,"",IF(OR(AND(C972&lt;&gt;"Gasto",C972&lt;&gt;"Pago proveedor",C972&lt;&gt;"Retiro familiar",C972&lt;&gt;"Aportación",C972&lt;&gt;"Pago activo",C972&lt;&gt;"ISR devengado",C972&lt;&gt;"Pago ISR",C972&lt;&gt;"Pago IVA",C972&lt;&gt;"Compensación ISR",C972&lt;&gt;"Compensación IVA"),AND(C972="Gasto",D972&lt;&gt;"Costos clínicos",D972&lt;&gt;"Remuneración familiar",D972&lt;&gt;"Nómina y honorarios",D972&lt;&gt;"Renta",D972&lt;&gt;"Marketing",D972&lt;&gt;"Servicios y software",D972&lt;&gt;"Mantenimiento",D972&lt;&gt;"Otros",D972&lt;&gt;"Intereses")),"Tipo o categoría inválido",IF(COUNTA(A972:J972)=0,"",IF(OR(A972="",B972="",C972="",H972=""),"Faltan datos",IF(COUNTIF($A$7:$A$2006,A972)&gt;1,"ID duplicado",IF(OR(B972&lt;DATE(Configuración!$C$5,1,1),B972&gt;=DATE(Configuración!$C$5+1,1,1)),"Fecha fuera del año",IF(OR(H972&lt;0,I972&lt;0),"Revisar signo",IF(AND(C972&lt;&gt;"Gasto",I972&lt;&gt;0),"IVA solo en Gasto",IF(AND(C972="Gasto",D972=""),"Falta categoría","OK")))))))))</f>
        <v/>
      </c>
    </row>
    <row r="973" spans="1:12" ht="22" customHeight="1">
      <c r="A973" s="3"/>
      <c r="B973" s="7"/>
      <c r="C973" s="3"/>
      <c r="D973" s="3"/>
      <c r="E973" s="3"/>
      <c r="F973" s="3"/>
      <c r="G973" s="3"/>
      <c r="H973" s="4"/>
      <c r="I973" s="4"/>
      <c r="J973" s="3"/>
      <c r="K973" s="8" t="str">
        <f t="shared" si="15"/>
        <v/>
      </c>
      <c r="L973" s="1" t="str">
        <f>IF(COUNTA(A973:J973)=0,"",IF(OR(AND(C973&lt;&gt;"Gasto",C973&lt;&gt;"Pago proveedor",C973&lt;&gt;"Retiro familiar",C973&lt;&gt;"Aportación",C973&lt;&gt;"Pago activo",C973&lt;&gt;"ISR devengado",C973&lt;&gt;"Pago ISR",C973&lt;&gt;"Pago IVA",C973&lt;&gt;"Compensación ISR",C973&lt;&gt;"Compensación IVA"),AND(C973="Gasto",D973&lt;&gt;"Costos clínicos",D973&lt;&gt;"Remuneración familiar",D973&lt;&gt;"Nómina y honorarios",D973&lt;&gt;"Renta",D973&lt;&gt;"Marketing",D973&lt;&gt;"Servicios y software",D973&lt;&gt;"Mantenimiento",D973&lt;&gt;"Otros",D973&lt;&gt;"Intereses")),"Tipo o categoría inválido",IF(COUNTA(A973:J973)=0,"",IF(OR(A973="",B973="",C973="",H973=""),"Faltan datos",IF(COUNTIF($A$7:$A$2006,A973)&gt;1,"ID duplicado",IF(OR(B973&lt;DATE(Configuración!$C$5,1,1),B973&gt;=DATE(Configuración!$C$5+1,1,1)),"Fecha fuera del año",IF(OR(H973&lt;0,I973&lt;0),"Revisar signo",IF(AND(C973&lt;&gt;"Gasto",I973&lt;&gt;0),"IVA solo en Gasto",IF(AND(C973="Gasto",D973=""),"Falta categoría","OK")))))))))</f>
        <v/>
      </c>
    </row>
    <row r="974" spans="1:12" ht="22" customHeight="1">
      <c r="A974" s="3"/>
      <c r="B974" s="7"/>
      <c r="C974" s="3"/>
      <c r="D974" s="3"/>
      <c r="E974" s="3"/>
      <c r="F974" s="3"/>
      <c r="G974" s="3"/>
      <c r="H974" s="4"/>
      <c r="I974" s="4"/>
      <c r="J974" s="3"/>
      <c r="K974" s="8" t="str">
        <f t="shared" si="15"/>
        <v/>
      </c>
      <c r="L974" s="1" t="str">
        <f>IF(COUNTA(A974:J974)=0,"",IF(OR(AND(C974&lt;&gt;"Gasto",C974&lt;&gt;"Pago proveedor",C974&lt;&gt;"Retiro familiar",C974&lt;&gt;"Aportación",C974&lt;&gt;"Pago activo",C974&lt;&gt;"ISR devengado",C974&lt;&gt;"Pago ISR",C974&lt;&gt;"Pago IVA",C974&lt;&gt;"Compensación ISR",C974&lt;&gt;"Compensación IVA"),AND(C974="Gasto",D974&lt;&gt;"Costos clínicos",D974&lt;&gt;"Remuneración familiar",D974&lt;&gt;"Nómina y honorarios",D974&lt;&gt;"Renta",D974&lt;&gt;"Marketing",D974&lt;&gt;"Servicios y software",D974&lt;&gt;"Mantenimiento",D974&lt;&gt;"Otros",D974&lt;&gt;"Intereses")),"Tipo o categoría inválido",IF(COUNTA(A974:J974)=0,"",IF(OR(A974="",B974="",C974="",H974=""),"Faltan datos",IF(COUNTIF($A$7:$A$2006,A974)&gt;1,"ID duplicado",IF(OR(B974&lt;DATE(Configuración!$C$5,1,1),B974&gt;=DATE(Configuración!$C$5+1,1,1)),"Fecha fuera del año",IF(OR(H974&lt;0,I974&lt;0),"Revisar signo",IF(AND(C974&lt;&gt;"Gasto",I974&lt;&gt;0),"IVA solo en Gasto",IF(AND(C974="Gasto",D974=""),"Falta categoría","OK")))))))))</f>
        <v/>
      </c>
    </row>
    <row r="975" spans="1:12" ht="22" customHeight="1">
      <c r="A975" s="3"/>
      <c r="B975" s="7"/>
      <c r="C975" s="3"/>
      <c r="D975" s="3"/>
      <c r="E975" s="3"/>
      <c r="F975" s="3"/>
      <c r="G975" s="3"/>
      <c r="H975" s="4"/>
      <c r="I975" s="4"/>
      <c r="J975" s="3"/>
      <c r="K975" s="8" t="str">
        <f t="shared" si="15"/>
        <v/>
      </c>
      <c r="L975" s="1" t="str">
        <f>IF(COUNTA(A975:J975)=0,"",IF(OR(AND(C975&lt;&gt;"Gasto",C975&lt;&gt;"Pago proveedor",C975&lt;&gt;"Retiro familiar",C975&lt;&gt;"Aportación",C975&lt;&gt;"Pago activo",C975&lt;&gt;"ISR devengado",C975&lt;&gt;"Pago ISR",C975&lt;&gt;"Pago IVA",C975&lt;&gt;"Compensación ISR",C975&lt;&gt;"Compensación IVA"),AND(C975="Gasto",D975&lt;&gt;"Costos clínicos",D975&lt;&gt;"Remuneración familiar",D975&lt;&gt;"Nómina y honorarios",D975&lt;&gt;"Renta",D975&lt;&gt;"Marketing",D975&lt;&gt;"Servicios y software",D975&lt;&gt;"Mantenimiento",D975&lt;&gt;"Otros",D975&lt;&gt;"Intereses")),"Tipo o categoría inválido",IF(COUNTA(A975:J975)=0,"",IF(OR(A975="",B975="",C975="",H975=""),"Faltan datos",IF(COUNTIF($A$7:$A$2006,A975)&gt;1,"ID duplicado",IF(OR(B975&lt;DATE(Configuración!$C$5,1,1),B975&gt;=DATE(Configuración!$C$5+1,1,1)),"Fecha fuera del año",IF(OR(H975&lt;0,I975&lt;0),"Revisar signo",IF(AND(C975&lt;&gt;"Gasto",I975&lt;&gt;0),"IVA solo en Gasto",IF(AND(C975="Gasto",D975=""),"Falta categoría","OK")))))))))</f>
        <v/>
      </c>
    </row>
    <row r="976" spans="1:12" ht="22" customHeight="1">
      <c r="A976" s="3"/>
      <c r="B976" s="7"/>
      <c r="C976" s="3"/>
      <c r="D976" s="3"/>
      <c r="E976" s="3"/>
      <c r="F976" s="3"/>
      <c r="G976" s="3"/>
      <c r="H976" s="4"/>
      <c r="I976" s="4"/>
      <c r="J976" s="3"/>
      <c r="K976" s="8" t="str">
        <f t="shared" si="15"/>
        <v/>
      </c>
      <c r="L976" s="1" t="str">
        <f>IF(COUNTA(A976:J976)=0,"",IF(OR(AND(C976&lt;&gt;"Gasto",C976&lt;&gt;"Pago proveedor",C976&lt;&gt;"Retiro familiar",C976&lt;&gt;"Aportación",C976&lt;&gt;"Pago activo",C976&lt;&gt;"ISR devengado",C976&lt;&gt;"Pago ISR",C976&lt;&gt;"Pago IVA",C976&lt;&gt;"Compensación ISR",C976&lt;&gt;"Compensación IVA"),AND(C976="Gasto",D976&lt;&gt;"Costos clínicos",D976&lt;&gt;"Remuneración familiar",D976&lt;&gt;"Nómina y honorarios",D976&lt;&gt;"Renta",D976&lt;&gt;"Marketing",D976&lt;&gt;"Servicios y software",D976&lt;&gt;"Mantenimiento",D976&lt;&gt;"Otros",D976&lt;&gt;"Intereses")),"Tipo o categoría inválido",IF(COUNTA(A976:J976)=0,"",IF(OR(A976="",B976="",C976="",H976=""),"Faltan datos",IF(COUNTIF($A$7:$A$2006,A976)&gt;1,"ID duplicado",IF(OR(B976&lt;DATE(Configuración!$C$5,1,1),B976&gt;=DATE(Configuración!$C$5+1,1,1)),"Fecha fuera del año",IF(OR(H976&lt;0,I976&lt;0),"Revisar signo",IF(AND(C976&lt;&gt;"Gasto",I976&lt;&gt;0),"IVA solo en Gasto",IF(AND(C976="Gasto",D976=""),"Falta categoría","OK")))))))))</f>
        <v/>
      </c>
    </row>
    <row r="977" spans="1:12" ht="22" customHeight="1">
      <c r="A977" s="3"/>
      <c r="B977" s="7"/>
      <c r="C977" s="3"/>
      <c r="D977" s="3"/>
      <c r="E977" s="3"/>
      <c r="F977" s="3"/>
      <c r="G977" s="3"/>
      <c r="H977" s="4"/>
      <c r="I977" s="4"/>
      <c r="J977" s="3"/>
      <c r="K977" s="8" t="str">
        <f t="shared" si="15"/>
        <v/>
      </c>
      <c r="L977" s="1" t="str">
        <f>IF(COUNTA(A977:J977)=0,"",IF(OR(AND(C977&lt;&gt;"Gasto",C977&lt;&gt;"Pago proveedor",C977&lt;&gt;"Retiro familiar",C977&lt;&gt;"Aportación",C977&lt;&gt;"Pago activo",C977&lt;&gt;"ISR devengado",C977&lt;&gt;"Pago ISR",C977&lt;&gt;"Pago IVA",C977&lt;&gt;"Compensación ISR",C977&lt;&gt;"Compensación IVA"),AND(C977="Gasto",D977&lt;&gt;"Costos clínicos",D977&lt;&gt;"Remuneración familiar",D977&lt;&gt;"Nómina y honorarios",D977&lt;&gt;"Renta",D977&lt;&gt;"Marketing",D977&lt;&gt;"Servicios y software",D977&lt;&gt;"Mantenimiento",D977&lt;&gt;"Otros",D977&lt;&gt;"Intereses")),"Tipo o categoría inválido",IF(COUNTA(A977:J977)=0,"",IF(OR(A977="",B977="",C977="",H977=""),"Faltan datos",IF(COUNTIF($A$7:$A$2006,A977)&gt;1,"ID duplicado",IF(OR(B977&lt;DATE(Configuración!$C$5,1,1),B977&gt;=DATE(Configuración!$C$5+1,1,1)),"Fecha fuera del año",IF(OR(H977&lt;0,I977&lt;0),"Revisar signo",IF(AND(C977&lt;&gt;"Gasto",I977&lt;&gt;0),"IVA solo en Gasto",IF(AND(C977="Gasto",D977=""),"Falta categoría","OK")))))))))</f>
        <v/>
      </c>
    </row>
    <row r="978" spans="1:12" ht="22" customHeight="1">
      <c r="A978" s="3"/>
      <c r="B978" s="7"/>
      <c r="C978" s="3"/>
      <c r="D978" s="3"/>
      <c r="E978" s="3"/>
      <c r="F978" s="3"/>
      <c r="G978" s="3"/>
      <c r="H978" s="4"/>
      <c r="I978" s="4"/>
      <c r="J978" s="3"/>
      <c r="K978" s="8" t="str">
        <f t="shared" si="15"/>
        <v/>
      </c>
      <c r="L978" s="1" t="str">
        <f>IF(COUNTA(A978:J978)=0,"",IF(OR(AND(C978&lt;&gt;"Gasto",C978&lt;&gt;"Pago proveedor",C978&lt;&gt;"Retiro familiar",C978&lt;&gt;"Aportación",C978&lt;&gt;"Pago activo",C978&lt;&gt;"ISR devengado",C978&lt;&gt;"Pago ISR",C978&lt;&gt;"Pago IVA",C978&lt;&gt;"Compensación ISR",C978&lt;&gt;"Compensación IVA"),AND(C978="Gasto",D978&lt;&gt;"Costos clínicos",D978&lt;&gt;"Remuneración familiar",D978&lt;&gt;"Nómina y honorarios",D978&lt;&gt;"Renta",D978&lt;&gt;"Marketing",D978&lt;&gt;"Servicios y software",D978&lt;&gt;"Mantenimiento",D978&lt;&gt;"Otros",D978&lt;&gt;"Intereses")),"Tipo o categoría inválido",IF(COUNTA(A978:J978)=0,"",IF(OR(A978="",B978="",C978="",H978=""),"Faltan datos",IF(COUNTIF($A$7:$A$2006,A978)&gt;1,"ID duplicado",IF(OR(B978&lt;DATE(Configuración!$C$5,1,1),B978&gt;=DATE(Configuración!$C$5+1,1,1)),"Fecha fuera del año",IF(OR(H978&lt;0,I978&lt;0),"Revisar signo",IF(AND(C978&lt;&gt;"Gasto",I978&lt;&gt;0),"IVA solo en Gasto",IF(AND(C978="Gasto",D978=""),"Falta categoría","OK")))))))))</f>
        <v/>
      </c>
    </row>
    <row r="979" spans="1:12" ht="22" customHeight="1">
      <c r="A979" s="3"/>
      <c r="B979" s="7"/>
      <c r="C979" s="3"/>
      <c r="D979" s="3"/>
      <c r="E979" s="3"/>
      <c r="F979" s="3"/>
      <c r="G979" s="3"/>
      <c r="H979" s="4"/>
      <c r="I979" s="4"/>
      <c r="J979" s="3"/>
      <c r="K979" s="8" t="str">
        <f t="shared" si="15"/>
        <v/>
      </c>
      <c r="L979" s="1" t="str">
        <f>IF(COUNTA(A979:J979)=0,"",IF(OR(AND(C979&lt;&gt;"Gasto",C979&lt;&gt;"Pago proveedor",C979&lt;&gt;"Retiro familiar",C979&lt;&gt;"Aportación",C979&lt;&gt;"Pago activo",C979&lt;&gt;"ISR devengado",C979&lt;&gt;"Pago ISR",C979&lt;&gt;"Pago IVA",C979&lt;&gt;"Compensación ISR",C979&lt;&gt;"Compensación IVA"),AND(C979="Gasto",D979&lt;&gt;"Costos clínicos",D979&lt;&gt;"Remuneración familiar",D979&lt;&gt;"Nómina y honorarios",D979&lt;&gt;"Renta",D979&lt;&gt;"Marketing",D979&lt;&gt;"Servicios y software",D979&lt;&gt;"Mantenimiento",D979&lt;&gt;"Otros",D979&lt;&gt;"Intereses")),"Tipo o categoría inválido",IF(COUNTA(A979:J979)=0,"",IF(OR(A979="",B979="",C979="",H979=""),"Faltan datos",IF(COUNTIF($A$7:$A$2006,A979)&gt;1,"ID duplicado",IF(OR(B979&lt;DATE(Configuración!$C$5,1,1),B979&gt;=DATE(Configuración!$C$5+1,1,1)),"Fecha fuera del año",IF(OR(H979&lt;0,I979&lt;0),"Revisar signo",IF(AND(C979&lt;&gt;"Gasto",I979&lt;&gt;0),"IVA solo en Gasto",IF(AND(C979="Gasto",D979=""),"Falta categoría","OK")))))))))</f>
        <v/>
      </c>
    </row>
    <row r="980" spans="1:12" ht="22" customHeight="1">
      <c r="A980" s="3"/>
      <c r="B980" s="7"/>
      <c r="C980" s="3"/>
      <c r="D980" s="3"/>
      <c r="E980" s="3"/>
      <c r="F980" s="3"/>
      <c r="G980" s="3"/>
      <c r="H980" s="4"/>
      <c r="I980" s="4"/>
      <c r="J980" s="3"/>
      <c r="K980" s="8" t="str">
        <f t="shared" si="15"/>
        <v/>
      </c>
      <c r="L980" s="1" t="str">
        <f>IF(COUNTA(A980:J980)=0,"",IF(OR(AND(C980&lt;&gt;"Gasto",C980&lt;&gt;"Pago proveedor",C980&lt;&gt;"Retiro familiar",C980&lt;&gt;"Aportación",C980&lt;&gt;"Pago activo",C980&lt;&gt;"ISR devengado",C980&lt;&gt;"Pago ISR",C980&lt;&gt;"Pago IVA",C980&lt;&gt;"Compensación ISR",C980&lt;&gt;"Compensación IVA"),AND(C980="Gasto",D980&lt;&gt;"Costos clínicos",D980&lt;&gt;"Remuneración familiar",D980&lt;&gt;"Nómina y honorarios",D980&lt;&gt;"Renta",D980&lt;&gt;"Marketing",D980&lt;&gt;"Servicios y software",D980&lt;&gt;"Mantenimiento",D980&lt;&gt;"Otros",D980&lt;&gt;"Intereses")),"Tipo o categoría inválido",IF(COUNTA(A980:J980)=0,"",IF(OR(A980="",B980="",C980="",H980=""),"Faltan datos",IF(COUNTIF($A$7:$A$2006,A980)&gt;1,"ID duplicado",IF(OR(B980&lt;DATE(Configuración!$C$5,1,1),B980&gt;=DATE(Configuración!$C$5+1,1,1)),"Fecha fuera del año",IF(OR(H980&lt;0,I980&lt;0),"Revisar signo",IF(AND(C980&lt;&gt;"Gasto",I980&lt;&gt;0),"IVA solo en Gasto",IF(AND(C980="Gasto",D980=""),"Falta categoría","OK")))))))))</f>
        <v/>
      </c>
    </row>
    <row r="981" spans="1:12" ht="22" customHeight="1">
      <c r="A981" s="3"/>
      <c r="B981" s="7"/>
      <c r="C981" s="3"/>
      <c r="D981" s="3"/>
      <c r="E981" s="3"/>
      <c r="F981" s="3"/>
      <c r="G981" s="3"/>
      <c r="H981" s="4"/>
      <c r="I981" s="4"/>
      <c r="J981" s="3"/>
      <c r="K981" s="8" t="str">
        <f t="shared" si="15"/>
        <v/>
      </c>
      <c r="L981" s="1" t="str">
        <f>IF(COUNTA(A981:J981)=0,"",IF(OR(AND(C981&lt;&gt;"Gasto",C981&lt;&gt;"Pago proveedor",C981&lt;&gt;"Retiro familiar",C981&lt;&gt;"Aportación",C981&lt;&gt;"Pago activo",C981&lt;&gt;"ISR devengado",C981&lt;&gt;"Pago ISR",C981&lt;&gt;"Pago IVA",C981&lt;&gt;"Compensación ISR",C981&lt;&gt;"Compensación IVA"),AND(C981="Gasto",D981&lt;&gt;"Costos clínicos",D981&lt;&gt;"Remuneración familiar",D981&lt;&gt;"Nómina y honorarios",D981&lt;&gt;"Renta",D981&lt;&gt;"Marketing",D981&lt;&gt;"Servicios y software",D981&lt;&gt;"Mantenimiento",D981&lt;&gt;"Otros",D981&lt;&gt;"Intereses")),"Tipo o categoría inválido",IF(COUNTA(A981:J981)=0,"",IF(OR(A981="",B981="",C981="",H981=""),"Faltan datos",IF(COUNTIF($A$7:$A$2006,A981)&gt;1,"ID duplicado",IF(OR(B981&lt;DATE(Configuración!$C$5,1,1),B981&gt;=DATE(Configuración!$C$5+1,1,1)),"Fecha fuera del año",IF(OR(H981&lt;0,I981&lt;0),"Revisar signo",IF(AND(C981&lt;&gt;"Gasto",I981&lt;&gt;0),"IVA solo en Gasto",IF(AND(C981="Gasto",D981=""),"Falta categoría","OK")))))))))</f>
        <v/>
      </c>
    </row>
    <row r="982" spans="1:12" ht="22" customHeight="1">
      <c r="A982" s="3"/>
      <c r="B982" s="7"/>
      <c r="C982" s="3"/>
      <c r="D982" s="3"/>
      <c r="E982" s="3"/>
      <c r="F982" s="3"/>
      <c r="G982" s="3"/>
      <c r="H982" s="4"/>
      <c r="I982" s="4"/>
      <c r="J982" s="3"/>
      <c r="K982" s="8" t="str">
        <f t="shared" si="15"/>
        <v/>
      </c>
      <c r="L982" s="1" t="str">
        <f>IF(COUNTA(A982:J982)=0,"",IF(OR(AND(C982&lt;&gt;"Gasto",C982&lt;&gt;"Pago proveedor",C982&lt;&gt;"Retiro familiar",C982&lt;&gt;"Aportación",C982&lt;&gt;"Pago activo",C982&lt;&gt;"ISR devengado",C982&lt;&gt;"Pago ISR",C982&lt;&gt;"Pago IVA",C982&lt;&gt;"Compensación ISR",C982&lt;&gt;"Compensación IVA"),AND(C982="Gasto",D982&lt;&gt;"Costos clínicos",D982&lt;&gt;"Remuneración familiar",D982&lt;&gt;"Nómina y honorarios",D982&lt;&gt;"Renta",D982&lt;&gt;"Marketing",D982&lt;&gt;"Servicios y software",D982&lt;&gt;"Mantenimiento",D982&lt;&gt;"Otros",D982&lt;&gt;"Intereses")),"Tipo o categoría inválido",IF(COUNTA(A982:J982)=0,"",IF(OR(A982="",B982="",C982="",H982=""),"Faltan datos",IF(COUNTIF($A$7:$A$2006,A982)&gt;1,"ID duplicado",IF(OR(B982&lt;DATE(Configuración!$C$5,1,1),B982&gt;=DATE(Configuración!$C$5+1,1,1)),"Fecha fuera del año",IF(OR(H982&lt;0,I982&lt;0),"Revisar signo",IF(AND(C982&lt;&gt;"Gasto",I982&lt;&gt;0),"IVA solo en Gasto",IF(AND(C982="Gasto",D982=""),"Falta categoría","OK")))))))))</f>
        <v/>
      </c>
    </row>
    <row r="983" spans="1:12" ht="22" customHeight="1">
      <c r="A983" s="3"/>
      <c r="B983" s="7"/>
      <c r="C983" s="3"/>
      <c r="D983" s="3"/>
      <c r="E983" s="3"/>
      <c r="F983" s="3"/>
      <c r="G983" s="3"/>
      <c r="H983" s="4"/>
      <c r="I983" s="4"/>
      <c r="J983" s="3"/>
      <c r="K983" s="8" t="str">
        <f t="shared" si="15"/>
        <v/>
      </c>
      <c r="L983" s="1" t="str">
        <f>IF(COUNTA(A983:J983)=0,"",IF(OR(AND(C983&lt;&gt;"Gasto",C983&lt;&gt;"Pago proveedor",C983&lt;&gt;"Retiro familiar",C983&lt;&gt;"Aportación",C983&lt;&gt;"Pago activo",C983&lt;&gt;"ISR devengado",C983&lt;&gt;"Pago ISR",C983&lt;&gt;"Pago IVA",C983&lt;&gt;"Compensación ISR",C983&lt;&gt;"Compensación IVA"),AND(C983="Gasto",D983&lt;&gt;"Costos clínicos",D983&lt;&gt;"Remuneración familiar",D983&lt;&gt;"Nómina y honorarios",D983&lt;&gt;"Renta",D983&lt;&gt;"Marketing",D983&lt;&gt;"Servicios y software",D983&lt;&gt;"Mantenimiento",D983&lt;&gt;"Otros",D983&lt;&gt;"Intereses")),"Tipo o categoría inválido",IF(COUNTA(A983:J983)=0,"",IF(OR(A983="",B983="",C983="",H983=""),"Faltan datos",IF(COUNTIF($A$7:$A$2006,A983)&gt;1,"ID duplicado",IF(OR(B983&lt;DATE(Configuración!$C$5,1,1),B983&gt;=DATE(Configuración!$C$5+1,1,1)),"Fecha fuera del año",IF(OR(H983&lt;0,I983&lt;0),"Revisar signo",IF(AND(C983&lt;&gt;"Gasto",I983&lt;&gt;0),"IVA solo en Gasto",IF(AND(C983="Gasto",D983=""),"Falta categoría","OK")))))))))</f>
        <v/>
      </c>
    </row>
    <row r="984" spans="1:12" ht="22" customHeight="1">
      <c r="A984" s="3"/>
      <c r="B984" s="7"/>
      <c r="C984" s="3"/>
      <c r="D984" s="3"/>
      <c r="E984" s="3"/>
      <c r="F984" s="3"/>
      <c r="G984" s="3"/>
      <c r="H984" s="4"/>
      <c r="I984" s="4"/>
      <c r="J984" s="3"/>
      <c r="K984" s="8" t="str">
        <f t="shared" si="15"/>
        <v/>
      </c>
      <c r="L984" s="1" t="str">
        <f>IF(COUNTA(A984:J984)=0,"",IF(OR(AND(C984&lt;&gt;"Gasto",C984&lt;&gt;"Pago proveedor",C984&lt;&gt;"Retiro familiar",C984&lt;&gt;"Aportación",C984&lt;&gt;"Pago activo",C984&lt;&gt;"ISR devengado",C984&lt;&gt;"Pago ISR",C984&lt;&gt;"Pago IVA",C984&lt;&gt;"Compensación ISR",C984&lt;&gt;"Compensación IVA"),AND(C984="Gasto",D984&lt;&gt;"Costos clínicos",D984&lt;&gt;"Remuneración familiar",D984&lt;&gt;"Nómina y honorarios",D984&lt;&gt;"Renta",D984&lt;&gt;"Marketing",D984&lt;&gt;"Servicios y software",D984&lt;&gt;"Mantenimiento",D984&lt;&gt;"Otros",D984&lt;&gt;"Intereses")),"Tipo o categoría inválido",IF(COUNTA(A984:J984)=0,"",IF(OR(A984="",B984="",C984="",H984=""),"Faltan datos",IF(COUNTIF($A$7:$A$2006,A984)&gt;1,"ID duplicado",IF(OR(B984&lt;DATE(Configuración!$C$5,1,1),B984&gt;=DATE(Configuración!$C$5+1,1,1)),"Fecha fuera del año",IF(OR(H984&lt;0,I984&lt;0),"Revisar signo",IF(AND(C984&lt;&gt;"Gasto",I984&lt;&gt;0),"IVA solo en Gasto",IF(AND(C984="Gasto",D984=""),"Falta categoría","OK")))))))))</f>
        <v/>
      </c>
    </row>
    <row r="985" spans="1:12" ht="22" customHeight="1">
      <c r="A985" s="3"/>
      <c r="B985" s="7"/>
      <c r="C985" s="3"/>
      <c r="D985" s="3"/>
      <c r="E985" s="3"/>
      <c r="F985" s="3"/>
      <c r="G985" s="3"/>
      <c r="H985" s="4"/>
      <c r="I985" s="4"/>
      <c r="J985" s="3"/>
      <c r="K985" s="8" t="str">
        <f t="shared" si="15"/>
        <v/>
      </c>
      <c r="L985" s="1" t="str">
        <f>IF(COUNTA(A985:J985)=0,"",IF(OR(AND(C985&lt;&gt;"Gasto",C985&lt;&gt;"Pago proveedor",C985&lt;&gt;"Retiro familiar",C985&lt;&gt;"Aportación",C985&lt;&gt;"Pago activo",C985&lt;&gt;"ISR devengado",C985&lt;&gt;"Pago ISR",C985&lt;&gt;"Pago IVA",C985&lt;&gt;"Compensación ISR",C985&lt;&gt;"Compensación IVA"),AND(C985="Gasto",D985&lt;&gt;"Costos clínicos",D985&lt;&gt;"Remuneración familiar",D985&lt;&gt;"Nómina y honorarios",D985&lt;&gt;"Renta",D985&lt;&gt;"Marketing",D985&lt;&gt;"Servicios y software",D985&lt;&gt;"Mantenimiento",D985&lt;&gt;"Otros",D985&lt;&gt;"Intereses")),"Tipo o categoría inválido",IF(COUNTA(A985:J985)=0,"",IF(OR(A985="",B985="",C985="",H985=""),"Faltan datos",IF(COUNTIF($A$7:$A$2006,A985)&gt;1,"ID duplicado",IF(OR(B985&lt;DATE(Configuración!$C$5,1,1),B985&gt;=DATE(Configuración!$C$5+1,1,1)),"Fecha fuera del año",IF(OR(H985&lt;0,I985&lt;0),"Revisar signo",IF(AND(C985&lt;&gt;"Gasto",I985&lt;&gt;0),"IVA solo en Gasto",IF(AND(C985="Gasto",D985=""),"Falta categoría","OK")))))))))</f>
        <v/>
      </c>
    </row>
    <row r="986" spans="1:12" ht="22" customHeight="1">
      <c r="A986" s="3"/>
      <c r="B986" s="7"/>
      <c r="C986" s="3"/>
      <c r="D986" s="3"/>
      <c r="E986" s="3"/>
      <c r="F986" s="3"/>
      <c r="G986" s="3"/>
      <c r="H986" s="4"/>
      <c r="I986" s="4"/>
      <c r="J986" s="3"/>
      <c r="K986" s="8" t="str">
        <f t="shared" si="15"/>
        <v/>
      </c>
      <c r="L986" s="1" t="str">
        <f>IF(COUNTA(A986:J986)=0,"",IF(OR(AND(C986&lt;&gt;"Gasto",C986&lt;&gt;"Pago proveedor",C986&lt;&gt;"Retiro familiar",C986&lt;&gt;"Aportación",C986&lt;&gt;"Pago activo",C986&lt;&gt;"ISR devengado",C986&lt;&gt;"Pago ISR",C986&lt;&gt;"Pago IVA",C986&lt;&gt;"Compensación ISR",C986&lt;&gt;"Compensación IVA"),AND(C986="Gasto",D986&lt;&gt;"Costos clínicos",D986&lt;&gt;"Remuneración familiar",D986&lt;&gt;"Nómina y honorarios",D986&lt;&gt;"Renta",D986&lt;&gt;"Marketing",D986&lt;&gt;"Servicios y software",D986&lt;&gt;"Mantenimiento",D986&lt;&gt;"Otros",D986&lt;&gt;"Intereses")),"Tipo o categoría inválido",IF(COUNTA(A986:J986)=0,"",IF(OR(A986="",B986="",C986="",H986=""),"Faltan datos",IF(COUNTIF($A$7:$A$2006,A986)&gt;1,"ID duplicado",IF(OR(B986&lt;DATE(Configuración!$C$5,1,1),B986&gt;=DATE(Configuración!$C$5+1,1,1)),"Fecha fuera del año",IF(OR(H986&lt;0,I986&lt;0),"Revisar signo",IF(AND(C986&lt;&gt;"Gasto",I986&lt;&gt;0),"IVA solo en Gasto",IF(AND(C986="Gasto",D986=""),"Falta categoría","OK")))))))))</f>
        <v/>
      </c>
    </row>
    <row r="987" spans="1:12" ht="22" customHeight="1">
      <c r="A987" s="3"/>
      <c r="B987" s="7"/>
      <c r="C987" s="3"/>
      <c r="D987" s="3"/>
      <c r="E987" s="3"/>
      <c r="F987" s="3"/>
      <c r="G987" s="3"/>
      <c r="H987" s="4"/>
      <c r="I987" s="4"/>
      <c r="J987" s="3"/>
      <c r="K987" s="8" t="str">
        <f t="shared" si="15"/>
        <v/>
      </c>
      <c r="L987" s="1" t="str">
        <f>IF(COUNTA(A987:J987)=0,"",IF(OR(AND(C987&lt;&gt;"Gasto",C987&lt;&gt;"Pago proveedor",C987&lt;&gt;"Retiro familiar",C987&lt;&gt;"Aportación",C987&lt;&gt;"Pago activo",C987&lt;&gt;"ISR devengado",C987&lt;&gt;"Pago ISR",C987&lt;&gt;"Pago IVA",C987&lt;&gt;"Compensación ISR",C987&lt;&gt;"Compensación IVA"),AND(C987="Gasto",D987&lt;&gt;"Costos clínicos",D987&lt;&gt;"Remuneración familiar",D987&lt;&gt;"Nómina y honorarios",D987&lt;&gt;"Renta",D987&lt;&gt;"Marketing",D987&lt;&gt;"Servicios y software",D987&lt;&gt;"Mantenimiento",D987&lt;&gt;"Otros",D987&lt;&gt;"Intereses")),"Tipo o categoría inválido",IF(COUNTA(A987:J987)=0,"",IF(OR(A987="",B987="",C987="",H987=""),"Faltan datos",IF(COUNTIF($A$7:$A$2006,A987)&gt;1,"ID duplicado",IF(OR(B987&lt;DATE(Configuración!$C$5,1,1),B987&gt;=DATE(Configuración!$C$5+1,1,1)),"Fecha fuera del año",IF(OR(H987&lt;0,I987&lt;0),"Revisar signo",IF(AND(C987&lt;&gt;"Gasto",I987&lt;&gt;0),"IVA solo en Gasto",IF(AND(C987="Gasto",D987=""),"Falta categoría","OK")))))))))</f>
        <v/>
      </c>
    </row>
    <row r="988" spans="1:12" ht="22" customHeight="1">
      <c r="A988" s="3"/>
      <c r="B988" s="7"/>
      <c r="C988" s="3"/>
      <c r="D988" s="3"/>
      <c r="E988" s="3"/>
      <c r="F988" s="3"/>
      <c r="G988" s="3"/>
      <c r="H988" s="4"/>
      <c r="I988" s="4"/>
      <c r="J988" s="3"/>
      <c r="K988" s="8" t="str">
        <f t="shared" si="15"/>
        <v/>
      </c>
      <c r="L988" s="1" t="str">
        <f>IF(COUNTA(A988:J988)=0,"",IF(OR(AND(C988&lt;&gt;"Gasto",C988&lt;&gt;"Pago proveedor",C988&lt;&gt;"Retiro familiar",C988&lt;&gt;"Aportación",C988&lt;&gt;"Pago activo",C988&lt;&gt;"ISR devengado",C988&lt;&gt;"Pago ISR",C988&lt;&gt;"Pago IVA",C988&lt;&gt;"Compensación ISR",C988&lt;&gt;"Compensación IVA"),AND(C988="Gasto",D988&lt;&gt;"Costos clínicos",D988&lt;&gt;"Remuneración familiar",D988&lt;&gt;"Nómina y honorarios",D988&lt;&gt;"Renta",D988&lt;&gt;"Marketing",D988&lt;&gt;"Servicios y software",D988&lt;&gt;"Mantenimiento",D988&lt;&gt;"Otros",D988&lt;&gt;"Intereses")),"Tipo o categoría inválido",IF(COUNTA(A988:J988)=0,"",IF(OR(A988="",B988="",C988="",H988=""),"Faltan datos",IF(COUNTIF($A$7:$A$2006,A988)&gt;1,"ID duplicado",IF(OR(B988&lt;DATE(Configuración!$C$5,1,1),B988&gt;=DATE(Configuración!$C$5+1,1,1)),"Fecha fuera del año",IF(OR(H988&lt;0,I988&lt;0),"Revisar signo",IF(AND(C988&lt;&gt;"Gasto",I988&lt;&gt;0),"IVA solo en Gasto",IF(AND(C988="Gasto",D988=""),"Falta categoría","OK")))))))))</f>
        <v/>
      </c>
    </row>
    <row r="989" spans="1:12" ht="22" customHeight="1">
      <c r="A989" s="3"/>
      <c r="B989" s="7"/>
      <c r="C989" s="3"/>
      <c r="D989" s="3"/>
      <c r="E989" s="3"/>
      <c r="F989" s="3"/>
      <c r="G989" s="3"/>
      <c r="H989" s="4"/>
      <c r="I989" s="4"/>
      <c r="J989" s="3"/>
      <c r="K989" s="8" t="str">
        <f t="shared" si="15"/>
        <v/>
      </c>
      <c r="L989" s="1" t="str">
        <f>IF(COUNTA(A989:J989)=0,"",IF(OR(AND(C989&lt;&gt;"Gasto",C989&lt;&gt;"Pago proveedor",C989&lt;&gt;"Retiro familiar",C989&lt;&gt;"Aportación",C989&lt;&gt;"Pago activo",C989&lt;&gt;"ISR devengado",C989&lt;&gt;"Pago ISR",C989&lt;&gt;"Pago IVA",C989&lt;&gt;"Compensación ISR",C989&lt;&gt;"Compensación IVA"),AND(C989="Gasto",D989&lt;&gt;"Costos clínicos",D989&lt;&gt;"Remuneración familiar",D989&lt;&gt;"Nómina y honorarios",D989&lt;&gt;"Renta",D989&lt;&gt;"Marketing",D989&lt;&gt;"Servicios y software",D989&lt;&gt;"Mantenimiento",D989&lt;&gt;"Otros",D989&lt;&gt;"Intereses")),"Tipo o categoría inválido",IF(COUNTA(A989:J989)=0,"",IF(OR(A989="",B989="",C989="",H989=""),"Faltan datos",IF(COUNTIF($A$7:$A$2006,A989)&gt;1,"ID duplicado",IF(OR(B989&lt;DATE(Configuración!$C$5,1,1),B989&gt;=DATE(Configuración!$C$5+1,1,1)),"Fecha fuera del año",IF(OR(H989&lt;0,I989&lt;0),"Revisar signo",IF(AND(C989&lt;&gt;"Gasto",I989&lt;&gt;0),"IVA solo en Gasto",IF(AND(C989="Gasto",D989=""),"Falta categoría","OK")))))))))</f>
        <v/>
      </c>
    </row>
    <row r="990" spans="1:12" ht="22" customHeight="1">
      <c r="A990" s="3"/>
      <c r="B990" s="7"/>
      <c r="C990" s="3"/>
      <c r="D990" s="3"/>
      <c r="E990" s="3"/>
      <c r="F990" s="3"/>
      <c r="G990" s="3"/>
      <c r="H990" s="4"/>
      <c r="I990" s="4"/>
      <c r="J990" s="3"/>
      <c r="K990" s="8" t="str">
        <f t="shared" si="15"/>
        <v/>
      </c>
      <c r="L990" s="1" t="str">
        <f>IF(COUNTA(A990:J990)=0,"",IF(OR(AND(C990&lt;&gt;"Gasto",C990&lt;&gt;"Pago proveedor",C990&lt;&gt;"Retiro familiar",C990&lt;&gt;"Aportación",C990&lt;&gt;"Pago activo",C990&lt;&gt;"ISR devengado",C990&lt;&gt;"Pago ISR",C990&lt;&gt;"Pago IVA",C990&lt;&gt;"Compensación ISR",C990&lt;&gt;"Compensación IVA"),AND(C990="Gasto",D990&lt;&gt;"Costos clínicos",D990&lt;&gt;"Remuneración familiar",D990&lt;&gt;"Nómina y honorarios",D990&lt;&gt;"Renta",D990&lt;&gt;"Marketing",D990&lt;&gt;"Servicios y software",D990&lt;&gt;"Mantenimiento",D990&lt;&gt;"Otros",D990&lt;&gt;"Intereses")),"Tipo o categoría inválido",IF(COUNTA(A990:J990)=0,"",IF(OR(A990="",B990="",C990="",H990=""),"Faltan datos",IF(COUNTIF($A$7:$A$2006,A990)&gt;1,"ID duplicado",IF(OR(B990&lt;DATE(Configuración!$C$5,1,1),B990&gt;=DATE(Configuración!$C$5+1,1,1)),"Fecha fuera del año",IF(OR(H990&lt;0,I990&lt;0),"Revisar signo",IF(AND(C990&lt;&gt;"Gasto",I990&lt;&gt;0),"IVA solo en Gasto",IF(AND(C990="Gasto",D990=""),"Falta categoría","OK")))))))))</f>
        <v/>
      </c>
    </row>
    <row r="991" spans="1:12" ht="22" customHeight="1">
      <c r="A991" s="3"/>
      <c r="B991" s="7"/>
      <c r="C991" s="3"/>
      <c r="D991" s="3"/>
      <c r="E991" s="3"/>
      <c r="F991" s="3"/>
      <c r="G991" s="3"/>
      <c r="H991" s="4"/>
      <c r="I991" s="4"/>
      <c r="J991" s="3"/>
      <c r="K991" s="8" t="str">
        <f t="shared" si="15"/>
        <v/>
      </c>
      <c r="L991" s="1" t="str">
        <f>IF(COUNTA(A991:J991)=0,"",IF(OR(AND(C991&lt;&gt;"Gasto",C991&lt;&gt;"Pago proveedor",C991&lt;&gt;"Retiro familiar",C991&lt;&gt;"Aportación",C991&lt;&gt;"Pago activo",C991&lt;&gt;"ISR devengado",C991&lt;&gt;"Pago ISR",C991&lt;&gt;"Pago IVA",C991&lt;&gt;"Compensación ISR",C991&lt;&gt;"Compensación IVA"),AND(C991="Gasto",D991&lt;&gt;"Costos clínicos",D991&lt;&gt;"Remuneración familiar",D991&lt;&gt;"Nómina y honorarios",D991&lt;&gt;"Renta",D991&lt;&gt;"Marketing",D991&lt;&gt;"Servicios y software",D991&lt;&gt;"Mantenimiento",D991&lt;&gt;"Otros",D991&lt;&gt;"Intereses")),"Tipo o categoría inválido",IF(COUNTA(A991:J991)=0,"",IF(OR(A991="",B991="",C991="",H991=""),"Faltan datos",IF(COUNTIF($A$7:$A$2006,A991)&gt;1,"ID duplicado",IF(OR(B991&lt;DATE(Configuración!$C$5,1,1),B991&gt;=DATE(Configuración!$C$5+1,1,1)),"Fecha fuera del año",IF(OR(H991&lt;0,I991&lt;0),"Revisar signo",IF(AND(C991&lt;&gt;"Gasto",I991&lt;&gt;0),"IVA solo en Gasto",IF(AND(C991="Gasto",D991=""),"Falta categoría","OK")))))))))</f>
        <v/>
      </c>
    </row>
    <row r="992" spans="1:12" ht="22" customHeight="1">
      <c r="A992" s="3"/>
      <c r="B992" s="7"/>
      <c r="C992" s="3"/>
      <c r="D992" s="3"/>
      <c r="E992" s="3"/>
      <c r="F992" s="3"/>
      <c r="G992" s="3"/>
      <c r="H992" s="4"/>
      <c r="I992" s="4"/>
      <c r="J992" s="3"/>
      <c r="K992" s="8" t="str">
        <f t="shared" si="15"/>
        <v/>
      </c>
      <c r="L992" s="1" t="str">
        <f>IF(COUNTA(A992:J992)=0,"",IF(OR(AND(C992&lt;&gt;"Gasto",C992&lt;&gt;"Pago proveedor",C992&lt;&gt;"Retiro familiar",C992&lt;&gt;"Aportación",C992&lt;&gt;"Pago activo",C992&lt;&gt;"ISR devengado",C992&lt;&gt;"Pago ISR",C992&lt;&gt;"Pago IVA",C992&lt;&gt;"Compensación ISR",C992&lt;&gt;"Compensación IVA"),AND(C992="Gasto",D992&lt;&gt;"Costos clínicos",D992&lt;&gt;"Remuneración familiar",D992&lt;&gt;"Nómina y honorarios",D992&lt;&gt;"Renta",D992&lt;&gt;"Marketing",D992&lt;&gt;"Servicios y software",D992&lt;&gt;"Mantenimiento",D992&lt;&gt;"Otros",D992&lt;&gt;"Intereses")),"Tipo o categoría inválido",IF(COUNTA(A992:J992)=0,"",IF(OR(A992="",B992="",C992="",H992=""),"Faltan datos",IF(COUNTIF($A$7:$A$2006,A992)&gt;1,"ID duplicado",IF(OR(B992&lt;DATE(Configuración!$C$5,1,1),B992&gt;=DATE(Configuración!$C$5+1,1,1)),"Fecha fuera del año",IF(OR(H992&lt;0,I992&lt;0),"Revisar signo",IF(AND(C992&lt;&gt;"Gasto",I992&lt;&gt;0),"IVA solo en Gasto",IF(AND(C992="Gasto",D992=""),"Falta categoría","OK")))))))))</f>
        <v/>
      </c>
    </row>
    <row r="993" spans="1:12" ht="22" customHeight="1">
      <c r="A993" s="3"/>
      <c r="B993" s="7"/>
      <c r="C993" s="3"/>
      <c r="D993" s="3"/>
      <c r="E993" s="3"/>
      <c r="F993" s="3"/>
      <c r="G993" s="3"/>
      <c r="H993" s="4"/>
      <c r="I993" s="4"/>
      <c r="J993" s="3"/>
      <c r="K993" s="8" t="str">
        <f t="shared" si="15"/>
        <v/>
      </c>
      <c r="L993" s="1" t="str">
        <f>IF(COUNTA(A993:J993)=0,"",IF(OR(AND(C993&lt;&gt;"Gasto",C993&lt;&gt;"Pago proveedor",C993&lt;&gt;"Retiro familiar",C993&lt;&gt;"Aportación",C993&lt;&gt;"Pago activo",C993&lt;&gt;"ISR devengado",C993&lt;&gt;"Pago ISR",C993&lt;&gt;"Pago IVA",C993&lt;&gt;"Compensación ISR",C993&lt;&gt;"Compensación IVA"),AND(C993="Gasto",D993&lt;&gt;"Costos clínicos",D993&lt;&gt;"Remuneración familiar",D993&lt;&gt;"Nómina y honorarios",D993&lt;&gt;"Renta",D993&lt;&gt;"Marketing",D993&lt;&gt;"Servicios y software",D993&lt;&gt;"Mantenimiento",D993&lt;&gt;"Otros",D993&lt;&gt;"Intereses")),"Tipo o categoría inválido",IF(COUNTA(A993:J993)=0,"",IF(OR(A993="",B993="",C993="",H993=""),"Faltan datos",IF(COUNTIF($A$7:$A$2006,A993)&gt;1,"ID duplicado",IF(OR(B993&lt;DATE(Configuración!$C$5,1,1),B993&gt;=DATE(Configuración!$C$5+1,1,1)),"Fecha fuera del año",IF(OR(H993&lt;0,I993&lt;0),"Revisar signo",IF(AND(C993&lt;&gt;"Gasto",I993&lt;&gt;0),"IVA solo en Gasto",IF(AND(C993="Gasto",D993=""),"Falta categoría","OK")))))))))</f>
        <v/>
      </c>
    </row>
    <row r="994" spans="1:12" ht="22" customHeight="1">
      <c r="A994" s="3"/>
      <c r="B994" s="7"/>
      <c r="C994" s="3"/>
      <c r="D994" s="3"/>
      <c r="E994" s="3"/>
      <c r="F994" s="3"/>
      <c r="G994" s="3"/>
      <c r="H994" s="4"/>
      <c r="I994" s="4"/>
      <c r="J994" s="3"/>
      <c r="K994" s="8" t="str">
        <f t="shared" si="15"/>
        <v/>
      </c>
      <c r="L994" s="1" t="str">
        <f>IF(COUNTA(A994:J994)=0,"",IF(OR(AND(C994&lt;&gt;"Gasto",C994&lt;&gt;"Pago proveedor",C994&lt;&gt;"Retiro familiar",C994&lt;&gt;"Aportación",C994&lt;&gt;"Pago activo",C994&lt;&gt;"ISR devengado",C994&lt;&gt;"Pago ISR",C994&lt;&gt;"Pago IVA",C994&lt;&gt;"Compensación ISR",C994&lt;&gt;"Compensación IVA"),AND(C994="Gasto",D994&lt;&gt;"Costos clínicos",D994&lt;&gt;"Remuneración familiar",D994&lt;&gt;"Nómina y honorarios",D994&lt;&gt;"Renta",D994&lt;&gt;"Marketing",D994&lt;&gt;"Servicios y software",D994&lt;&gt;"Mantenimiento",D994&lt;&gt;"Otros",D994&lt;&gt;"Intereses")),"Tipo o categoría inválido",IF(COUNTA(A994:J994)=0,"",IF(OR(A994="",B994="",C994="",H994=""),"Faltan datos",IF(COUNTIF($A$7:$A$2006,A994)&gt;1,"ID duplicado",IF(OR(B994&lt;DATE(Configuración!$C$5,1,1),B994&gt;=DATE(Configuración!$C$5+1,1,1)),"Fecha fuera del año",IF(OR(H994&lt;0,I994&lt;0),"Revisar signo",IF(AND(C994&lt;&gt;"Gasto",I994&lt;&gt;0),"IVA solo en Gasto",IF(AND(C994="Gasto",D994=""),"Falta categoría","OK")))))))))</f>
        <v/>
      </c>
    </row>
    <row r="995" spans="1:12" ht="22" customHeight="1">
      <c r="A995" s="3"/>
      <c r="B995" s="7"/>
      <c r="C995" s="3"/>
      <c r="D995" s="3"/>
      <c r="E995" s="3"/>
      <c r="F995" s="3"/>
      <c r="G995" s="3"/>
      <c r="H995" s="4"/>
      <c r="I995" s="4"/>
      <c r="J995" s="3"/>
      <c r="K995" s="8" t="str">
        <f t="shared" si="15"/>
        <v/>
      </c>
      <c r="L995" s="1" t="str">
        <f>IF(COUNTA(A995:J995)=0,"",IF(OR(AND(C995&lt;&gt;"Gasto",C995&lt;&gt;"Pago proveedor",C995&lt;&gt;"Retiro familiar",C995&lt;&gt;"Aportación",C995&lt;&gt;"Pago activo",C995&lt;&gt;"ISR devengado",C995&lt;&gt;"Pago ISR",C995&lt;&gt;"Pago IVA",C995&lt;&gt;"Compensación ISR",C995&lt;&gt;"Compensación IVA"),AND(C995="Gasto",D995&lt;&gt;"Costos clínicos",D995&lt;&gt;"Remuneración familiar",D995&lt;&gt;"Nómina y honorarios",D995&lt;&gt;"Renta",D995&lt;&gt;"Marketing",D995&lt;&gt;"Servicios y software",D995&lt;&gt;"Mantenimiento",D995&lt;&gt;"Otros",D995&lt;&gt;"Intereses")),"Tipo o categoría inválido",IF(COUNTA(A995:J995)=0,"",IF(OR(A995="",B995="",C995="",H995=""),"Faltan datos",IF(COUNTIF($A$7:$A$2006,A995)&gt;1,"ID duplicado",IF(OR(B995&lt;DATE(Configuración!$C$5,1,1),B995&gt;=DATE(Configuración!$C$5+1,1,1)),"Fecha fuera del año",IF(OR(H995&lt;0,I995&lt;0),"Revisar signo",IF(AND(C995&lt;&gt;"Gasto",I995&lt;&gt;0),"IVA solo en Gasto",IF(AND(C995="Gasto",D995=""),"Falta categoría","OK")))))))))</f>
        <v/>
      </c>
    </row>
    <row r="996" spans="1:12" ht="22" customHeight="1">
      <c r="A996" s="3"/>
      <c r="B996" s="7"/>
      <c r="C996" s="3"/>
      <c r="D996" s="3"/>
      <c r="E996" s="3"/>
      <c r="F996" s="3"/>
      <c r="G996" s="3"/>
      <c r="H996" s="4"/>
      <c r="I996" s="4"/>
      <c r="J996" s="3"/>
      <c r="K996" s="8" t="str">
        <f t="shared" si="15"/>
        <v/>
      </c>
      <c r="L996" s="1" t="str">
        <f>IF(COUNTA(A996:J996)=0,"",IF(OR(AND(C996&lt;&gt;"Gasto",C996&lt;&gt;"Pago proveedor",C996&lt;&gt;"Retiro familiar",C996&lt;&gt;"Aportación",C996&lt;&gt;"Pago activo",C996&lt;&gt;"ISR devengado",C996&lt;&gt;"Pago ISR",C996&lt;&gt;"Pago IVA",C996&lt;&gt;"Compensación ISR",C996&lt;&gt;"Compensación IVA"),AND(C996="Gasto",D996&lt;&gt;"Costos clínicos",D996&lt;&gt;"Remuneración familiar",D996&lt;&gt;"Nómina y honorarios",D996&lt;&gt;"Renta",D996&lt;&gt;"Marketing",D996&lt;&gt;"Servicios y software",D996&lt;&gt;"Mantenimiento",D996&lt;&gt;"Otros",D996&lt;&gt;"Intereses")),"Tipo o categoría inválido",IF(COUNTA(A996:J996)=0,"",IF(OR(A996="",B996="",C996="",H996=""),"Faltan datos",IF(COUNTIF($A$7:$A$2006,A996)&gt;1,"ID duplicado",IF(OR(B996&lt;DATE(Configuración!$C$5,1,1),B996&gt;=DATE(Configuración!$C$5+1,1,1)),"Fecha fuera del año",IF(OR(H996&lt;0,I996&lt;0),"Revisar signo",IF(AND(C996&lt;&gt;"Gasto",I996&lt;&gt;0),"IVA solo en Gasto",IF(AND(C996="Gasto",D996=""),"Falta categoría","OK")))))))))</f>
        <v/>
      </c>
    </row>
    <row r="997" spans="1:12" ht="22" customHeight="1">
      <c r="A997" s="3"/>
      <c r="B997" s="7"/>
      <c r="C997" s="3"/>
      <c r="D997" s="3"/>
      <c r="E997" s="3"/>
      <c r="F997" s="3"/>
      <c r="G997" s="3"/>
      <c r="H997" s="4"/>
      <c r="I997" s="4"/>
      <c r="J997" s="3"/>
      <c r="K997" s="8" t="str">
        <f t="shared" si="15"/>
        <v/>
      </c>
      <c r="L997" s="1" t="str">
        <f>IF(COUNTA(A997:J997)=0,"",IF(OR(AND(C997&lt;&gt;"Gasto",C997&lt;&gt;"Pago proveedor",C997&lt;&gt;"Retiro familiar",C997&lt;&gt;"Aportación",C997&lt;&gt;"Pago activo",C997&lt;&gt;"ISR devengado",C997&lt;&gt;"Pago ISR",C997&lt;&gt;"Pago IVA",C997&lt;&gt;"Compensación ISR",C997&lt;&gt;"Compensación IVA"),AND(C997="Gasto",D997&lt;&gt;"Costos clínicos",D997&lt;&gt;"Remuneración familiar",D997&lt;&gt;"Nómina y honorarios",D997&lt;&gt;"Renta",D997&lt;&gt;"Marketing",D997&lt;&gt;"Servicios y software",D997&lt;&gt;"Mantenimiento",D997&lt;&gt;"Otros",D997&lt;&gt;"Intereses")),"Tipo o categoría inválido",IF(COUNTA(A997:J997)=0,"",IF(OR(A997="",B997="",C997="",H997=""),"Faltan datos",IF(COUNTIF($A$7:$A$2006,A997)&gt;1,"ID duplicado",IF(OR(B997&lt;DATE(Configuración!$C$5,1,1),B997&gt;=DATE(Configuración!$C$5+1,1,1)),"Fecha fuera del año",IF(OR(H997&lt;0,I997&lt;0),"Revisar signo",IF(AND(C997&lt;&gt;"Gasto",I997&lt;&gt;0),"IVA solo en Gasto",IF(AND(C997="Gasto",D997=""),"Falta categoría","OK")))))))))</f>
        <v/>
      </c>
    </row>
    <row r="998" spans="1:12" ht="22" customHeight="1">
      <c r="A998" s="3"/>
      <c r="B998" s="7"/>
      <c r="C998" s="3"/>
      <c r="D998" s="3"/>
      <c r="E998" s="3"/>
      <c r="F998" s="3"/>
      <c r="G998" s="3"/>
      <c r="H998" s="4"/>
      <c r="I998" s="4"/>
      <c r="J998" s="3"/>
      <c r="K998" s="8" t="str">
        <f t="shared" si="15"/>
        <v/>
      </c>
      <c r="L998" s="1" t="str">
        <f>IF(COUNTA(A998:J998)=0,"",IF(OR(AND(C998&lt;&gt;"Gasto",C998&lt;&gt;"Pago proveedor",C998&lt;&gt;"Retiro familiar",C998&lt;&gt;"Aportación",C998&lt;&gt;"Pago activo",C998&lt;&gt;"ISR devengado",C998&lt;&gt;"Pago ISR",C998&lt;&gt;"Pago IVA",C998&lt;&gt;"Compensación ISR",C998&lt;&gt;"Compensación IVA"),AND(C998="Gasto",D998&lt;&gt;"Costos clínicos",D998&lt;&gt;"Remuneración familiar",D998&lt;&gt;"Nómina y honorarios",D998&lt;&gt;"Renta",D998&lt;&gt;"Marketing",D998&lt;&gt;"Servicios y software",D998&lt;&gt;"Mantenimiento",D998&lt;&gt;"Otros",D998&lt;&gt;"Intereses")),"Tipo o categoría inválido",IF(COUNTA(A998:J998)=0,"",IF(OR(A998="",B998="",C998="",H998=""),"Faltan datos",IF(COUNTIF($A$7:$A$2006,A998)&gt;1,"ID duplicado",IF(OR(B998&lt;DATE(Configuración!$C$5,1,1),B998&gt;=DATE(Configuración!$C$5+1,1,1)),"Fecha fuera del año",IF(OR(H998&lt;0,I998&lt;0),"Revisar signo",IF(AND(C998&lt;&gt;"Gasto",I998&lt;&gt;0),"IVA solo en Gasto",IF(AND(C998="Gasto",D998=""),"Falta categoría","OK")))))))))</f>
        <v/>
      </c>
    </row>
    <row r="999" spans="1:12" ht="22" customHeight="1">
      <c r="A999" s="3"/>
      <c r="B999" s="7"/>
      <c r="C999" s="3"/>
      <c r="D999" s="3"/>
      <c r="E999" s="3"/>
      <c r="F999" s="3"/>
      <c r="G999" s="3"/>
      <c r="H999" s="4"/>
      <c r="I999" s="4"/>
      <c r="J999" s="3"/>
      <c r="K999" s="8" t="str">
        <f t="shared" si="15"/>
        <v/>
      </c>
      <c r="L999" s="1" t="str">
        <f>IF(COUNTA(A999:J999)=0,"",IF(OR(AND(C999&lt;&gt;"Gasto",C999&lt;&gt;"Pago proveedor",C999&lt;&gt;"Retiro familiar",C999&lt;&gt;"Aportación",C999&lt;&gt;"Pago activo",C999&lt;&gt;"ISR devengado",C999&lt;&gt;"Pago ISR",C999&lt;&gt;"Pago IVA",C999&lt;&gt;"Compensación ISR",C999&lt;&gt;"Compensación IVA"),AND(C999="Gasto",D999&lt;&gt;"Costos clínicos",D999&lt;&gt;"Remuneración familiar",D999&lt;&gt;"Nómina y honorarios",D999&lt;&gt;"Renta",D999&lt;&gt;"Marketing",D999&lt;&gt;"Servicios y software",D999&lt;&gt;"Mantenimiento",D999&lt;&gt;"Otros",D999&lt;&gt;"Intereses")),"Tipo o categoría inválido",IF(COUNTA(A999:J999)=0,"",IF(OR(A999="",B999="",C999="",H999=""),"Faltan datos",IF(COUNTIF($A$7:$A$2006,A999)&gt;1,"ID duplicado",IF(OR(B999&lt;DATE(Configuración!$C$5,1,1),B999&gt;=DATE(Configuración!$C$5+1,1,1)),"Fecha fuera del año",IF(OR(H999&lt;0,I999&lt;0),"Revisar signo",IF(AND(C999&lt;&gt;"Gasto",I999&lt;&gt;0),"IVA solo en Gasto",IF(AND(C999="Gasto",D999=""),"Falta categoría","OK")))))))))</f>
        <v/>
      </c>
    </row>
    <row r="1000" spans="1:12" ht="22" customHeight="1">
      <c r="A1000" s="3"/>
      <c r="B1000" s="7"/>
      <c r="C1000" s="3"/>
      <c r="D1000" s="3"/>
      <c r="E1000" s="3"/>
      <c r="F1000" s="3"/>
      <c r="G1000" s="3"/>
      <c r="H1000" s="4"/>
      <c r="I1000" s="4"/>
      <c r="J1000" s="3"/>
      <c r="K1000" s="8" t="str">
        <f t="shared" si="15"/>
        <v/>
      </c>
      <c r="L1000" s="1" t="str">
        <f>IF(COUNTA(A1000:J1000)=0,"",IF(OR(AND(C1000&lt;&gt;"Gasto",C1000&lt;&gt;"Pago proveedor",C1000&lt;&gt;"Retiro familiar",C1000&lt;&gt;"Aportación",C1000&lt;&gt;"Pago activo",C1000&lt;&gt;"ISR devengado",C1000&lt;&gt;"Pago ISR",C1000&lt;&gt;"Pago IVA",C1000&lt;&gt;"Compensación ISR",C1000&lt;&gt;"Compensación IVA"),AND(C1000="Gasto",D1000&lt;&gt;"Costos clínicos",D1000&lt;&gt;"Remuneración familiar",D1000&lt;&gt;"Nómina y honorarios",D1000&lt;&gt;"Renta",D1000&lt;&gt;"Marketing",D1000&lt;&gt;"Servicios y software",D1000&lt;&gt;"Mantenimiento",D1000&lt;&gt;"Otros",D1000&lt;&gt;"Intereses")),"Tipo o categoría inválido",IF(COUNTA(A1000:J1000)=0,"",IF(OR(A1000="",B1000="",C1000="",H1000=""),"Faltan datos",IF(COUNTIF($A$7:$A$2006,A1000)&gt;1,"ID duplicado",IF(OR(B1000&lt;DATE(Configuración!$C$5,1,1),B1000&gt;=DATE(Configuración!$C$5+1,1,1)),"Fecha fuera del año",IF(OR(H1000&lt;0,I1000&lt;0),"Revisar signo",IF(AND(C1000&lt;&gt;"Gasto",I1000&lt;&gt;0),"IVA solo en Gasto",IF(AND(C1000="Gasto",D1000=""),"Falta categoría","OK")))))))))</f>
        <v/>
      </c>
    </row>
    <row r="1001" spans="1:12" ht="22" customHeight="1">
      <c r="A1001" s="3"/>
      <c r="B1001" s="7"/>
      <c r="C1001" s="3"/>
      <c r="D1001" s="3"/>
      <c r="E1001" s="3"/>
      <c r="F1001" s="3"/>
      <c r="G1001" s="3"/>
      <c r="H1001" s="4"/>
      <c r="I1001" s="4"/>
      <c r="J1001" s="3"/>
      <c r="K1001" s="8" t="str">
        <f t="shared" si="15"/>
        <v/>
      </c>
      <c r="L1001" s="1" t="str">
        <f>IF(COUNTA(A1001:J1001)=0,"",IF(OR(AND(C1001&lt;&gt;"Gasto",C1001&lt;&gt;"Pago proveedor",C1001&lt;&gt;"Retiro familiar",C1001&lt;&gt;"Aportación",C1001&lt;&gt;"Pago activo",C1001&lt;&gt;"ISR devengado",C1001&lt;&gt;"Pago ISR",C1001&lt;&gt;"Pago IVA",C1001&lt;&gt;"Compensación ISR",C1001&lt;&gt;"Compensación IVA"),AND(C1001="Gasto",D1001&lt;&gt;"Costos clínicos",D1001&lt;&gt;"Remuneración familiar",D1001&lt;&gt;"Nómina y honorarios",D1001&lt;&gt;"Renta",D1001&lt;&gt;"Marketing",D1001&lt;&gt;"Servicios y software",D1001&lt;&gt;"Mantenimiento",D1001&lt;&gt;"Otros",D1001&lt;&gt;"Intereses")),"Tipo o categoría inválido",IF(COUNTA(A1001:J1001)=0,"",IF(OR(A1001="",B1001="",C1001="",H1001=""),"Faltan datos",IF(COUNTIF($A$7:$A$2006,A1001)&gt;1,"ID duplicado",IF(OR(B1001&lt;DATE(Configuración!$C$5,1,1),B1001&gt;=DATE(Configuración!$C$5+1,1,1)),"Fecha fuera del año",IF(OR(H1001&lt;0,I1001&lt;0),"Revisar signo",IF(AND(C1001&lt;&gt;"Gasto",I1001&lt;&gt;0),"IVA solo en Gasto",IF(AND(C1001="Gasto",D1001=""),"Falta categoría","OK")))))))))</f>
        <v/>
      </c>
    </row>
    <row r="1002" spans="1:12" ht="22" customHeight="1">
      <c r="A1002" s="3"/>
      <c r="B1002" s="7"/>
      <c r="C1002" s="3"/>
      <c r="D1002" s="3"/>
      <c r="E1002" s="3"/>
      <c r="F1002" s="3"/>
      <c r="G1002" s="3"/>
      <c r="H1002" s="4"/>
      <c r="I1002" s="4"/>
      <c r="J1002" s="3"/>
      <c r="K1002" s="8" t="str">
        <f t="shared" si="15"/>
        <v/>
      </c>
      <c r="L1002" s="1" t="str">
        <f>IF(COUNTA(A1002:J1002)=0,"",IF(OR(AND(C1002&lt;&gt;"Gasto",C1002&lt;&gt;"Pago proveedor",C1002&lt;&gt;"Retiro familiar",C1002&lt;&gt;"Aportación",C1002&lt;&gt;"Pago activo",C1002&lt;&gt;"ISR devengado",C1002&lt;&gt;"Pago ISR",C1002&lt;&gt;"Pago IVA",C1002&lt;&gt;"Compensación ISR",C1002&lt;&gt;"Compensación IVA"),AND(C1002="Gasto",D1002&lt;&gt;"Costos clínicos",D1002&lt;&gt;"Remuneración familiar",D1002&lt;&gt;"Nómina y honorarios",D1002&lt;&gt;"Renta",D1002&lt;&gt;"Marketing",D1002&lt;&gt;"Servicios y software",D1002&lt;&gt;"Mantenimiento",D1002&lt;&gt;"Otros",D1002&lt;&gt;"Intereses")),"Tipo o categoría inválido",IF(COUNTA(A1002:J1002)=0,"",IF(OR(A1002="",B1002="",C1002="",H1002=""),"Faltan datos",IF(COUNTIF($A$7:$A$2006,A1002)&gt;1,"ID duplicado",IF(OR(B1002&lt;DATE(Configuración!$C$5,1,1),B1002&gt;=DATE(Configuración!$C$5+1,1,1)),"Fecha fuera del año",IF(OR(H1002&lt;0,I1002&lt;0),"Revisar signo",IF(AND(C1002&lt;&gt;"Gasto",I1002&lt;&gt;0),"IVA solo en Gasto",IF(AND(C1002="Gasto",D1002=""),"Falta categoría","OK")))))))))</f>
        <v/>
      </c>
    </row>
    <row r="1003" spans="1:12" ht="22" customHeight="1">
      <c r="A1003" s="3"/>
      <c r="B1003" s="7"/>
      <c r="C1003" s="3"/>
      <c r="D1003" s="3"/>
      <c r="E1003" s="3"/>
      <c r="F1003" s="3"/>
      <c r="G1003" s="3"/>
      <c r="H1003" s="4"/>
      <c r="I1003" s="4"/>
      <c r="J1003" s="3"/>
      <c r="K1003" s="8" t="str">
        <f t="shared" si="15"/>
        <v/>
      </c>
      <c r="L1003" s="1" t="str">
        <f>IF(COUNTA(A1003:J1003)=0,"",IF(OR(AND(C1003&lt;&gt;"Gasto",C1003&lt;&gt;"Pago proveedor",C1003&lt;&gt;"Retiro familiar",C1003&lt;&gt;"Aportación",C1003&lt;&gt;"Pago activo",C1003&lt;&gt;"ISR devengado",C1003&lt;&gt;"Pago ISR",C1003&lt;&gt;"Pago IVA",C1003&lt;&gt;"Compensación ISR",C1003&lt;&gt;"Compensación IVA"),AND(C1003="Gasto",D1003&lt;&gt;"Costos clínicos",D1003&lt;&gt;"Remuneración familiar",D1003&lt;&gt;"Nómina y honorarios",D1003&lt;&gt;"Renta",D1003&lt;&gt;"Marketing",D1003&lt;&gt;"Servicios y software",D1003&lt;&gt;"Mantenimiento",D1003&lt;&gt;"Otros",D1003&lt;&gt;"Intereses")),"Tipo o categoría inválido",IF(COUNTA(A1003:J1003)=0,"",IF(OR(A1003="",B1003="",C1003="",H1003=""),"Faltan datos",IF(COUNTIF($A$7:$A$2006,A1003)&gt;1,"ID duplicado",IF(OR(B1003&lt;DATE(Configuración!$C$5,1,1),B1003&gt;=DATE(Configuración!$C$5+1,1,1)),"Fecha fuera del año",IF(OR(H1003&lt;0,I1003&lt;0),"Revisar signo",IF(AND(C1003&lt;&gt;"Gasto",I1003&lt;&gt;0),"IVA solo en Gasto",IF(AND(C1003="Gasto",D1003=""),"Falta categoría","OK")))))))))</f>
        <v/>
      </c>
    </row>
    <row r="1004" spans="1:12" ht="22" customHeight="1">
      <c r="A1004" s="3"/>
      <c r="B1004" s="7"/>
      <c r="C1004" s="3"/>
      <c r="D1004" s="3"/>
      <c r="E1004" s="3"/>
      <c r="F1004" s="3"/>
      <c r="G1004" s="3"/>
      <c r="H1004" s="4"/>
      <c r="I1004" s="4"/>
      <c r="J1004" s="3"/>
      <c r="K1004" s="8" t="str">
        <f t="shared" si="15"/>
        <v/>
      </c>
      <c r="L1004" s="1" t="str">
        <f>IF(COUNTA(A1004:J1004)=0,"",IF(OR(AND(C1004&lt;&gt;"Gasto",C1004&lt;&gt;"Pago proveedor",C1004&lt;&gt;"Retiro familiar",C1004&lt;&gt;"Aportación",C1004&lt;&gt;"Pago activo",C1004&lt;&gt;"ISR devengado",C1004&lt;&gt;"Pago ISR",C1004&lt;&gt;"Pago IVA",C1004&lt;&gt;"Compensación ISR",C1004&lt;&gt;"Compensación IVA"),AND(C1004="Gasto",D1004&lt;&gt;"Costos clínicos",D1004&lt;&gt;"Remuneración familiar",D1004&lt;&gt;"Nómina y honorarios",D1004&lt;&gt;"Renta",D1004&lt;&gt;"Marketing",D1004&lt;&gt;"Servicios y software",D1004&lt;&gt;"Mantenimiento",D1004&lt;&gt;"Otros",D1004&lt;&gt;"Intereses")),"Tipo o categoría inválido",IF(COUNTA(A1004:J1004)=0,"",IF(OR(A1004="",B1004="",C1004="",H1004=""),"Faltan datos",IF(COUNTIF($A$7:$A$2006,A1004)&gt;1,"ID duplicado",IF(OR(B1004&lt;DATE(Configuración!$C$5,1,1),B1004&gt;=DATE(Configuración!$C$5+1,1,1)),"Fecha fuera del año",IF(OR(H1004&lt;0,I1004&lt;0),"Revisar signo",IF(AND(C1004&lt;&gt;"Gasto",I1004&lt;&gt;0),"IVA solo en Gasto",IF(AND(C1004="Gasto",D1004=""),"Falta categoría","OK")))))))))</f>
        <v/>
      </c>
    </row>
    <row r="1005" spans="1:12" ht="22" customHeight="1">
      <c r="A1005" s="3"/>
      <c r="B1005" s="7"/>
      <c r="C1005" s="3"/>
      <c r="D1005" s="3"/>
      <c r="E1005" s="3"/>
      <c r="F1005" s="3"/>
      <c r="G1005" s="3"/>
      <c r="H1005" s="4"/>
      <c r="I1005" s="4"/>
      <c r="J1005" s="3"/>
      <c r="K1005" s="8" t="str">
        <f t="shared" si="15"/>
        <v/>
      </c>
      <c r="L1005" s="1" t="str">
        <f>IF(COUNTA(A1005:J1005)=0,"",IF(OR(AND(C1005&lt;&gt;"Gasto",C1005&lt;&gt;"Pago proveedor",C1005&lt;&gt;"Retiro familiar",C1005&lt;&gt;"Aportación",C1005&lt;&gt;"Pago activo",C1005&lt;&gt;"ISR devengado",C1005&lt;&gt;"Pago ISR",C1005&lt;&gt;"Pago IVA",C1005&lt;&gt;"Compensación ISR",C1005&lt;&gt;"Compensación IVA"),AND(C1005="Gasto",D1005&lt;&gt;"Costos clínicos",D1005&lt;&gt;"Remuneración familiar",D1005&lt;&gt;"Nómina y honorarios",D1005&lt;&gt;"Renta",D1005&lt;&gt;"Marketing",D1005&lt;&gt;"Servicios y software",D1005&lt;&gt;"Mantenimiento",D1005&lt;&gt;"Otros",D1005&lt;&gt;"Intereses")),"Tipo o categoría inválido",IF(COUNTA(A1005:J1005)=0,"",IF(OR(A1005="",B1005="",C1005="",H1005=""),"Faltan datos",IF(COUNTIF($A$7:$A$2006,A1005)&gt;1,"ID duplicado",IF(OR(B1005&lt;DATE(Configuración!$C$5,1,1),B1005&gt;=DATE(Configuración!$C$5+1,1,1)),"Fecha fuera del año",IF(OR(H1005&lt;0,I1005&lt;0),"Revisar signo",IF(AND(C1005&lt;&gt;"Gasto",I1005&lt;&gt;0),"IVA solo en Gasto",IF(AND(C1005="Gasto",D1005=""),"Falta categoría","OK")))))))))</f>
        <v/>
      </c>
    </row>
    <row r="1006" spans="1:12" ht="22" customHeight="1">
      <c r="A1006" s="3"/>
      <c r="B1006" s="7"/>
      <c r="C1006" s="3"/>
      <c r="D1006" s="3"/>
      <c r="E1006" s="3"/>
      <c r="F1006" s="3"/>
      <c r="G1006" s="3"/>
      <c r="H1006" s="4"/>
      <c r="I1006" s="4"/>
      <c r="J1006" s="3"/>
      <c r="K1006" s="8" t="str">
        <f t="shared" si="15"/>
        <v/>
      </c>
      <c r="L1006" s="1" t="str">
        <f>IF(COUNTA(A1006:J1006)=0,"",IF(OR(AND(C1006&lt;&gt;"Gasto",C1006&lt;&gt;"Pago proveedor",C1006&lt;&gt;"Retiro familiar",C1006&lt;&gt;"Aportación",C1006&lt;&gt;"Pago activo",C1006&lt;&gt;"ISR devengado",C1006&lt;&gt;"Pago ISR",C1006&lt;&gt;"Pago IVA",C1006&lt;&gt;"Compensación ISR",C1006&lt;&gt;"Compensación IVA"),AND(C1006="Gasto",D1006&lt;&gt;"Costos clínicos",D1006&lt;&gt;"Remuneración familiar",D1006&lt;&gt;"Nómina y honorarios",D1006&lt;&gt;"Renta",D1006&lt;&gt;"Marketing",D1006&lt;&gt;"Servicios y software",D1006&lt;&gt;"Mantenimiento",D1006&lt;&gt;"Otros",D1006&lt;&gt;"Intereses")),"Tipo o categoría inválido",IF(COUNTA(A1006:J1006)=0,"",IF(OR(A1006="",B1006="",C1006="",H1006=""),"Faltan datos",IF(COUNTIF($A$7:$A$2006,A1006)&gt;1,"ID duplicado",IF(OR(B1006&lt;DATE(Configuración!$C$5,1,1),B1006&gt;=DATE(Configuración!$C$5+1,1,1)),"Fecha fuera del año",IF(OR(H1006&lt;0,I1006&lt;0),"Revisar signo",IF(AND(C1006&lt;&gt;"Gasto",I1006&lt;&gt;0),"IVA solo en Gasto",IF(AND(C1006="Gasto",D1006=""),"Falta categoría","OK")))))))))</f>
        <v/>
      </c>
    </row>
    <row r="1007" spans="1:12" ht="22" customHeight="1">
      <c r="A1007" s="3"/>
      <c r="B1007" s="7"/>
      <c r="C1007" s="3"/>
      <c r="D1007" s="3"/>
      <c r="E1007" s="3"/>
      <c r="F1007" s="3"/>
      <c r="G1007" s="3"/>
      <c r="H1007" s="4"/>
      <c r="I1007" s="4"/>
      <c r="J1007" s="3"/>
      <c r="K1007" s="8" t="str">
        <f t="shared" si="15"/>
        <v/>
      </c>
      <c r="L1007" s="1" t="str">
        <f>IF(COUNTA(A1007:J1007)=0,"",IF(OR(AND(C1007&lt;&gt;"Gasto",C1007&lt;&gt;"Pago proveedor",C1007&lt;&gt;"Retiro familiar",C1007&lt;&gt;"Aportación",C1007&lt;&gt;"Pago activo",C1007&lt;&gt;"ISR devengado",C1007&lt;&gt;"Pago ISR",C1007&lt;&gt;"Pago IVA",C1007&lt;&gt;"Compensación ISR",C1007&lt;&gt;"Compensación IVA"),AND(C1007="Gasto",D1007&lt;&gt;"Costos clínicos",D1007&lt;&gt;"Remuneración familiar",D1007&lt;&gt;"Nómina y honorarios",D1007&lt;&gt;"Renta",D1007&lt;&gt;"Marketing",D1007&lt;&gt;"Servicios y software",D1007&lt;&gt;"Mantenimiento",D1007&lt;&gt;"Otros",D1007&lt;&gt;"Intereses")),"Tipo o categoría inválido",IF(COUNTA(A1007:J1007)=0,"",IF(OR(A1007="",B1007="",C1007="",H1007=""),"Faltan datos",IF(COUNTIF($A$7:$A$2006,A1007)&gt;1,"ID duplicado",IF(OR(B1007&lt;DATE(Configuración!$C$5,1,1),B1007&gt;=DATE(Configuración!$C$5+1,1,1)),"Fecha fuera del año",IF(OR(H1007&lt;0,I1007&lt;0),"Revisar signo",IF(AND(C1007&lt;&gt;"Gasto",I1007&lt;&gt;0),"IVA solo en Gasto",IF(AND(C1007="Gasto",D1007=""),"Falta categoría","OK")))))))))</f>
        <v/>
      </c>
    </row>
    <row r="1008" spans="1:12" ht="22" customHeight="1">
      <c r="A1008" s="3"/>
      <c r="B1008" s="7"/>
      <c r="C1008" s="3"/>
      <c r="D1008" s="3"/>
      <c r="E1008" s="3"/>
      <c r="F1008" s="3"/>
      <c r="G1008" s="3"/>
      <c r="H1008" s="4"/>
      <c r="I1008" s="4"/>
      <c r="J1008" s="3"/>
      <c r="K1008" s="8" t="str">
        <f t="shared" si="15"/>
        <v/>
      </c>
      <c r="L1008" s="1" t="str">
        <f>IF(COUNTA(A1008:J1008)=0,"",IF(OR(AND(C1008&lt;&gt;"Gasto",C1008&lt;&gt;"Pago proveedor",C1008&lt;&gt;"Retiro familiar",C1008&lt;&gt;"Aportación",C1008&lt;&gt;"Pago activo",C1008&lt;&gt;"ISR devengado",C1008&lt;&gt;"Pago ISR",C1008&lt;&gt;"Pago IVA",C1008&lt;&gt;"Compensación ISR",C1008&lt;&gt;"Compensación IVA"),AND(C1008="Gasto",D1008&lt;&gt;"Costos clínicos",D1008&lt;&gt;"Remuneración familiar",D1008&lt;&gt;"Nómina y honorarios",D1008&lt;&gt;"Renta",D1008&lt;&gt;"Marketing",D1008&lt;&gt;"Servicios y software",D1008&lt;&gt;"Mantenimiento",D1008&lt;&gt;"Otros",D1008&lt;&gt;"Intereses")),"Tipo o categoría inválido",IF(COUNTA(A1008:J1008)=0,"",IF(OR(A1008="",B1008="",C1008="",H1008=""),"Faltan datos",IF(COUNTIF($A$7:$A$2006,A1008)&gt;1,"ID duplicado",IF(OR(B1008&lt;DATE(Configuración!$C$5,1,1),B1008&gt;=DATE(Configuración!$C$5+1,1,1)),"Fecha fuera del año",IF(OR(H1008&lt;0,I1008&lt;0),"Revisar signo",IF(AND(C1008&lt;&gt;"Gasto",I1008&lt;&gt;0),"IVA solo en Gasto",IF(AND(C1008="Gasto",D1008=""),"Falta categoría","OK")))))))))</f>
        <v/>
      </c>
    </row>
    <row r="1009" spans="1:12" ht="22" customHeight="1">
      <c r="A1009" s="3"/>
      <c r="B1009" s="7"/>
      <c r="C1009" s="3"/>
      <c r="D1009" s="3"/>
      <c r="E1009" s="3"/>
      <c r="F1009" s="3"/>
      <c r="G1009" s="3"/>
      <c r="H1009" s="4"/>
      <c r="I1009" s="4"/>
      <c r="J1009" s="3"/>
      <c r="K1009" s="8" t="str">
        <f t="shared" si="15"/>
        <v/>
      </c>
      <c r="L1009" s="1" t="str">
        <f>IF(COUNTA(A1009:J1009)=0,"",IF(OR(AND(C1009&lt;&gt;"Gasto",C1009&lt;&gt;"Pago proveedor",C1009&lt;&gt;"Retiro familiar",C1009&lt;&gt;"Aportación",C1009&lt;&gt;"Pago activo",C1009&lt;&gt;"ISR devengado",C1009&lt;&gt;"Pago ISR",C1009&lt;&gt;"Pago IVA",C1009&lt;&gt;"Compensación ISR",C1009&lt;&gt;"Compensación IVA"),AND(C1009="Gasto",D1009&lt;&gt;"Costos clínicos",D1009&lt;&gt;"Remuneración familiar",D1009&lt;&gt;"Nómina y honorarios",D1009&lt;&gt;"Renta",D1009&lt;&gt;"Marketing",D1009&lt;&gt;"Servicios y software",D1009&lt;&gt;"Mantenimiento",D1009&lt;&gt;"Otros",D1009&lt;&gt;"Intereses")),"Tipo o categoría inválido",IF(COUNTA(A1009:J1009)=0,"",IF(OR(A1009="",B1009="",C1009="",H1009=""),"Faltan datos",IF(COUNTIF($A$7:$A$2006,A1009)&gt;1,"ID duplicado",IF(OR(B1009&lt;DATE(Configuración!$C$5,1,1),B1009&gt;=DATE(Configuración!$C$5+1,1,1)),"Fecha fuera del año",IF(OR(H1009&lt;0,I1009&lt;0),"Revisar signo",IF(AND(C1009&lt;&gt;"Gasto",I1009&lt;&gt;0),"IVA solo en Gasto",IF(AND(C1009="Gasto",D1009=""),"Falta categoría","OK")))))))))</f>
        <v/>
      </c>
    </row>
    <row r="1010" spans="1:12" ht="22" customHeight="1">
      <c r="A1010" s="3"/>
      <c r="B1010" s="7"/>
      <c r="C1010" s="3"/>
      <c r="D1010" s="3"/>
      <c r="E1010" s="3"/>
      <c r="F1010" s="3"/>
      <c r="G1010" s="3"/>
      <c r="H1010" s="4"/>
      <c r="I1010" s="4"/>
      <c r="J1010" s="3"/>
      <c r="K1010" s="8" t="str">
        <f t="shared" si="15"/>
        <v/>
      </c>
      <c r="L1010" s="1" t="str">
        <f>IF(COUNTA(A1010:J1010)=0,"",IF(OR(AND(C1010&lt;&gt;"Gasto",C1010&lt;&gt;"Pago proveedor",C1010&lt;&gt;"Retiro familiar",C1010&lt;&gt;"Aportación",C1010&lt;&gt;"Pago activo",C1010&lt;&gt;"ISR devengado",C1010&lt;&gt;"Pago ISR",C1010&lt;&gt;"Pago IVA",C1010&lt;&gt;"Compensación ISR",C1010&lt;&gt;"Compensación IVA"),AND(C1010="Gasto",D1010&lt;&gt;"Costos clínicos",D1010&lt;&gt;"Remuneración familiar",D1010&lt;&gt;"Nómina y honorarios",D1010&lt;&gt;"Renta",D1010&lt;&gt;"Marketing",D1010&lt;&gt;"Servicios y software",D1010&lt;&gt;"Mantenimiento",D1010&lt;&gt;"Otros",D1010&lt;&gt;"Intereses")),"Tipo o categoría inválido",IF(COUNTA(A1010:J1010)=0,"",IF(OR(A1010="",B1010="",C1010="",H1010=""),"Faltan datos",IF(COUNTIF($A$7:$A$2006,A1010)&gt;1,"ID duplicado",IF(OR(B1010&lt;DATE(Configuración!$C$5,1,1),B1010&gt;=DATE(Configuración!$C$5+1,1,1)),"Fecha fuera del año",IF(OR(H1010&lt;0,I1010&lt;0),"Revisar signo",IF(AND(C1010&lt;&gt;"Gasto",I1010&lt;&gt;0),"IVA solo en Gasto",IF(AND(C1010="Gasto",D1010=""),"Falta categoría","OK")))))))))</f>
        <v/>
      </c>
    </row>
    <row r="1011" spans="1:12" ht="22" customHeight="1">
      <c r="A1011" s="3"/>
      <c r="B1011" s="7"/>
      <c r="C1011" s="3"/>
      <c r="D1011" s="3"/>
      <c r="E1011" s="3"/>
      <c r="F1011" s="3"/>
      <c r="G1011" s="3"/>
      <c r="H1011" s="4"/>
      <c r="I1011" s="4"/>
      <c r="J1011" s="3"/>
      <c r="K1011" s="8" t="str">
        <f t="shared" si="15"/>
        <v/>
      </c>
      <c r="L1011" s="1" t="str">
        <f>IF(COUNTA(A1011:J1011)=0,"",IF(OR(AND(C1011&lt;&gt;"Gasto",C1011&lt;&gt;"Pago proveedor",C1011&lt;&gt;"Retiro familiar",C1011&lt;&gt;"Aportación",C1011&lt;&gt;"Pago activo",C1011&lt;&gt;"ISR devengado",C1011&lt;&gt;"Pago ISR",C1011&lt;&gt;"Pago IVA",C1011&lt;&gt;"Compensación ISR",C1011&lt;&gt;"Compensación IVA"),AND(C1011="Gasto",D1011&lt;&gt;"Costos clínicos",D1011&lt;&gt;"Remuneración familiar",D1011&lt;&gt;"Nómina y honorarios",D1011&lt;&gt;"Renta",D1011&lt;&gt;"Marketing",D1011&lt;&gt;"Servicios y software",D1011&lt;&gt;"Mantenimiento",D1011&lt;&gt;"Otros",D1011&lt;&gt;"Intereses")),"Tipo o categoría inválido",IF(COUNTA(A1011:J1011)=0,"",IF(OR(A1011="",B1011="",C1011="",H1011=""),"Faltan datos",IF(COUNTIF($A$7:$A$2006,A1011)&gt;1,"ID duplicado",IF(OR(B1011&lt;DATE(Configuración!$C$5,1,1),B1011&gt;=DATE(Configuración!$C$5+1,1,1)),"Fecha fuera del año",IF(OR(H1011&lt;0,I1011&lt;0),"Revisar signo",IF(AND(C1011&lt;&gt;"Gasto",I1011&lt;&gt;0),"IVA solo en Gasto",IF(AND(C1011="Gasto",D1011=""),"Falta categoría","OK")))))))))</f>
        <v/>
      </c>
    </row>
    <row r="1012" spans="1:12" ht="22" customHeight="1">
      <c r="A1012" s="3"/>
      <c r="B1012" s="7"/>
      <c r="C1012" s="3"/>
      <c r="D1012" s="3"/>
      <c r="E1012" s="3"/>
      <c r="F1012" s="3"/>
      <c r="G1012" s="3"/>
      <c r="H1012" s="4"/>
      <c r="I1012" s="4"/>
      <c r="J1012" s="3"/>
      <c r="K1012" s="8" t="str">
        <f t="shared" si="15"/>
        <v/>
      </c>
      <c r="L1012" s="1" t="str">
        <f>IF(COUNTA(A1012:J1012)=0,"",IF(OR(AND(C1012&lt;&gt;"Gasto",C1012&lt;&gt;"Pago proveedor",C1012&lt;&gt;"Retiro familiar",C1012&lt;&gt;"Aportación",C1012&lt;&gt;"Pago activo",C1012&lt;&gt;"ISR devengado",C1012&lt;&gt;"Pago ISR",C1012&lt;&gt;"Pago IVA",C1012&lt;&gt;"Compensación ISR",C1012&lt;&gt;"Compensación IVA"),AND(C1012="Gasto",D1012&lt;&gt;"Costos clínicos",D1012&lt;&gt;"Remuneración familiar",D1012&lt;&gt;"Nómina y honorarios",D1012&lt;&gt;"Renta",D1012&lt;&gt;"Marketing",D1012&lt;&gt;"Servicios y software",D1012&lt;&gt;"Mantenimiento",D1012&lt;&gt;"Otros",D1012&lt;&gt;"Intereses")),"Tipo o categoría inválido",IF(COUNTA(A1012:J1012)=0,"",IF(OR(A1012="",B1012="",C1012="",H1012=""),"Faltan datos",IF(COUNTIF($A$7:$A$2006,A1012)&gt;1,"ID duplicado",IF(OR(B1012&lt;DATE(Configuración!$C$5,1,1),B1012&gt;=DATE(Configuración!$C$5+1,1,1)),"Fecha fuera del año",IF(OR(H1012&lt;0,I1012&lt;0),"Revisar signo",IF(AND(C1012&lt;&gt;"Gasto",I1012&lt;&gt;0),"IVA solo en Gasto",IF(AND(C1012="Gasto",D1012=""),"Falta categoría","OK")))))))))</f>
        <v/>
      </c>
    </row>
    <row r="1013" spans="1:12" ht="22" customHeight="1">
      <c r="A1013" s="3"/>
      <c r="B1013" s="7"/>
      <c r="C1013" s="3"/>
      <c r="D1013" s="3"/>
      <c r="E1013" s="3"/>
      <c r="F1013" s="3"/>
      <c r="G1013" s="3"/>
      <c r="H1013" s="4"/>
      <c r="I1013" s="4"/>
      <c r="J1013" s="3"/>
      <c r="K1013" s="8" t="str">
        <f t="shared" si="15"/>
        <v/>
      </c>
      <c r="L1013" s="1" t="str">
        <f>IF(COUNTA(A1013:J1013)=0,"",IF(OR(AND(C1013&lt;&gt;"Gasto",C1013&lt;&gt;"Pago proveedor",C1013&lt;&gt;"Retiro familiar",C1013&lt;&gt;"Aportación",C1013&lt;&gt;"Pago activo",C1013&lt;&gt;"ISR devengado",C1013&lt;&gt;"Pago ISR",C1013&lt;&gt;"Pago IVA",C1013&lt;&gt;"Compensación ISR",C1013&lt;&gt;"Compensación IVA"),AND(C1013="Gasto",D1013&lt;&gt;"Costos clínicos",D1013&lt;&gt;"Remuneración familiar",D1013&lt;&gt;"Nómina y honorarios",D1013&lt;&gt;"Renta",D1013&lt;&gt;"Marketing",D1013&lt;&gt;"Servicios y software",D1013&lt;&gt;"Mantenimiento",D1013&lt;&gt;"Otros",D1013&lt;&gt;"Intereses")),"Tipo o categoría inválido",IF(COUNTA(A1013:J1013)=0,"",IF(OR(A1013="",B1013="",C1013="",H1013=""),"Faltan datos",IF(COUNTIF($A$7:$A$2006,A1013)&gt;1,"ID duplicado",IF(OR(B1013&lt;DATE(Configuración!$C$5,1,1),B1013&gt;=DATE(Configuración!$C$5+1,1,1)),"Fecha fuera del año",IF(OR(H1013&lt;0,I1013&lt;0),"Revisar signo",IF(AND(C1013&lt;&gt;"Gasto",I1013&lt;&gt;0),"IVA solo en Gasto",IF(AND(C1013="Gasto",D1013=""),"Falta categoría","OK")))))))))</f>
        <v/>
      </c>
    </row>
    <row r="1014" spans="1:12" ht="22" customHeight="1">
      <c r="A1014" s="3"/>
      <c r="B1014" s="7"/>
      <c r="C1014" s="3"/>
      <c r="D1014" s="3"/>
      <c r="E1014" s="3"/>
      <c r="F1014" s="3"/>
      <c r="G1014" s="3"/>
      <c r="H1014" s="4"/>
      <c r="I1014" s="4"/>
      <c r="J1014" s="3"/>
      <c r="K1014" s="8" t="str">
        <f t="shared" si="15"/>
        <v/>
      </c>
      <c r="L1014" s="1" t="str">
        <f>IF(COUNTA(A1014:J1014)=0,"",IF(OR(AND(C1014&lt;&gt;"Gasto",C1014&lt;&gt;"Pago proveedor",C1014&lt;&gt;"Retiro familiar",C1014&lt;&gt;"Aportación",C1014&lt;&gt;"Pago activo",C1014&lt;&gt;"ISR devengado",C1014&lt;&gt;"Pago ISR",C1014&lt;&gt;"Pago IVA",C1014&lt;&gt;"Compensación ISR",C1014&lt;&gt;"Compensación IVA"),AND(C1014="Gasto",D1014&lt;&gt;"Costos clínicos",D1014&lt;&gt;"Remuneración familiar",D1014&lt;&gt;"Nómina y honorarios",D1014&lt;&gt;"Renta",D1014&lt;&gt;"Marketing",D1014&lt;&gt;"Servicios y software",D1014&lt;&gt;"Mantenimiento",D1014&lt;&gt;"Otros",D1014&lt;&gt;"Intereses")),"Tipo o categoría inválido",IF(COUNTA(A1014:J1014)=0,"",IF(OR(A1014="",B1014="",C1014="",H1014=""),"Faltan datos",IF(COUNTIF($A$7:$A$2006,A1014)&gt;1,"ID duplicado",IF(OR(B1014&lt;DATE(Configuración!$C$5,1,1),B1014&gt;=DATE(Configuración!$C$5+1,1,1)),"Fecha fuera del año",IF(OR(H1014&lt;0,I1014&lt;0),"Revisar signo",IF(AND(C1014&lt;&gt;"Gasto",I1014&lt;&gt;0),"IVA solo en Gasto",IF(AND(C1014="Gasto",D1014=""),"Falta categoría","OK")))))))))</f>
        <v/>
      </c>
    </row>
    <row r="1015" spans="1:12" ht="22" customHeight="1">
      <c r="A1015" s="3"/>
      <c r="B1015" s="7"/>
      <c r="C1015" s="3"/>
      <c r="D1015" s="3"/>
      <c r="E1015" s="3"/>
      <c r="F1015" s="3"/>
      <c r="G1015" s="3"/>
      <c r="H1015" s="4"/>
      <c r="I1015" s="4"/>
      <c r="J1015" s="3"/>
      <c r="K1015" s="8" t="str">
        <f t="shared" si="15"/>
        <v/>
      </c>
      <c r="L1015" s="1" t="str">
        <f>IF(COUNTA(A1015:J1015)=0,"",IF(OR(AND(C1015&lt;&gt;"Gasto",C1015&lt;&gt;"Pago proveedor",C1015&lt;&gt;"Retiro familiar",C1015&lt;&gt;"Aportación",C1015&lt;&gt;"Pago activo",C1015&lt;&gt;"ISR devengado",C1015&lt;&gt;"Pago ISR",C1015&lt;&gt;"Pago IVA",C1015&lt;&gt;"Compensación ISR",C1015&lt;&gt;"Compensación IVA"),AND(C1015="Gasto",D1015&lt;&gt;"Costos clínicos",D1015&lt;&gt;"Remuneración familiar",D1015&lt;&gt;"Nómina y honorarios",D1015&lt;&gt;"Renta",D1015&lt;&gt;"Marketing",D1015&lt;&gt;"Servicios y software",D1015&lt;&gt;"Mantenimiento",D1015&lt;&gt;"Otros",D1015&lt;&gt;"Intereses")),"Tipo o categoría inválido",IF(COUNTA(A1015:J1015)=0,"",IF(OR(A1015="",B1015="",C1015="",H1015=""),"Faltan datos",IF(COUNTIF($A$7:$A$2006,A1015)&gt;1,"ID duplicado",IF(OR(B1015&lt;DATE(Configuración!$C$5,1,1),B1015&gt;=DATE(Configuración!$C$5+1,1,1)),"Fecha fuera del año",IF(OR(H1015&lt;0,I1015&lt;0),"Revisar signo",IF(AND(C1015&lt;&gt;"Gasto",I1015&lt;&gt;0),"IVA solo en Gasto",IF(AND(C1015="Gasto",D1015=""),"Falta categoría","OK")))))))))</f>
        <v/>
      </c>
    </row>
    <row r="1016" spans="1:12" ht="22" customHeight="1">
      <c r="A1016" s="3"/>
      <c r="B1016" s="7"/>
      <c r="C1016" s="3"/>
      <c r="D1016" s="3"/>
      <c r="E1016" s="3"/>
      <c r="F1016" s="3"/>
      <c r="G1016" s="3"/>
      <c r="H1016" s="4"/>
      <c r="I1016" s="4"/>
      <c r="J1016" s="3"/>
      <c r="K1016" s="8" t="str">
        <f t="shared" si="15"/>
        <v/>
      </c>
      <c r="L1016" s="1" t="str">
        <f>IF(COUNTA(A1016:J1016)=0,"",IF(OR(AND(C1016&lt;&gt;"Gasto",C1016&lt;&gt;"Pago proveedor",C1016&lt;&gt;"Retiro familiar",C1016&lt;&gt;"Aportación",C1016&lt;&gt;"Pago activo",C1016&lt;&gt;"ISR devengado",C1016&lt;&gt;"Pago ISR",C1016&lt;&gt;"Pago IVA",C1016&lt;&gt;"Compensación ISR",C1016&lt;&gt;"Compensación IVA"),AND(C1016="Gasto",D1016&lt;&gt;"Costos clínicos",D1016&lt;&gt;"Remuneración familiar",D1016&lt;&gt;"Nómina y honorarios",D1016&lt;&gt;"Renta",D1016&lt;&gt;"Marketing",D1016&lt;&gt;"Servicios y software",D1016&lt;&gt;"Mantenimiento",D1016&lt;&gt;"Otros",D1016&lt;&gt;"Intereses")),"Tipo o categoría inválido",IF(COUNTA(A1016:J1016)=0,"",IF(OR(A1016="",B1016="",C1016="",H1016=""),"Faltan datos",IF(COUNTIF($A$7:$A$2006,A1016)&gt;1,"ID duplicado",IF(OR(B1016&lt;DATE(Configuración!$C$5,1,1),B1016&gt;=DATE(Configuración!$C$5+1,1,1)),"Fecha fuera del año",IF(OR(H1016&lt;0,I1016&lt;0),"Revisar signo",IF(AND(C1016&lt;&gt;"Gasto",I1016&lt;&gt;0),"IVA solo en Gasto",IF(AND(C1016="Gasto",D1016=""),"Falta categoría","OK")))))))))</f>
        <v/>
      </c>
    </row>
    <row r="1017" spans="1:12" ht="22" customHeight="1">
      <c r="A1017" s="3"/>
      <c r="B1017" s="7"/>
      <c r="C1017" s="3"/>
      <c r="D1017" s="3"/>
      <c r="E1017" s="3"/>
      <c r="F1017" s="3"/>
      <c r="G1017" s="3"/>
      <c r="H1017" s="4"/>
      <c r="I1017" s="4"/>
      <c r="J1017" s="3"/>
      <c r="K1017" s="8" t="str">
        <f t="shared" si="15"/>
        <v/>
      </c>
      <c r="L1017" s="1" t="str">
        <f>IF(COUNTA(A1017:J1017)=0,"",IF(OR(AND(C1017&lt;&gt;"Gasto",C1017&lt;&gt;"Pago proveedor",C1017&lt;&gt;"Retiro familiar",C1017&lt;&gt;"Aportación",C1017&lt;&gt;"Pago activo",C1017&lt;&gt;"ISR devengado",C1017&lt;&gt;"Pago ISR",C1017&lt;&gt;"Pago IVA",C1017&lt;&gt;"Compensación ISR",C1017&lt;&gt;"Compensación IVA"),AND(C1017="Gasto",D1017&lt;&gt;"Costos clínicos",D1017&lt;&gt;"Remuneración familiar",D1017&lt;&gt;"Nómina y honorarios",D1017&lt;&gt;"Renta",D1017&lt;&gt;"Marketing",D1017&lt;&gt;"Servicios y software",D1017&lt;&gt;"Mantenimiento",D1017&lt;&gt;"Otros",D1017&lt;&gt;"Intereses")),"Tipo o categoría inválido",IF(COUNTA(A1017:J1017)=0,"",IF(OR(A1017="",B1017="",C1017="",H1017=""),"Faltan datos",IF(COUNTIF($A$7:$A$2006,A1017)&gt;1,"ID duplicado",IF(OR(B1017&lt;DATE(Configuración!$C$5,1,1),B1017&gt;=DATE(Configuración!$C$5+1,1,1)),"Fecha fuera del año",IF(OR(H1017&lt;0,I1017&lt;0),"Revisar signo",IF(AND(C1017&lt;&gt;"Gasto",I1017&lt;&gt;0),"IVA solo en Gasto",IF(AND(C1017="Gasto",D1017=""),"Falta categoría","OK")))))))))</f>
        <v/>
      </c>
    </row>
    <row r="1018" spans="1:12" ht="22" customHeight="1">
      <c r="A1018" s="3"/>
      <c r="B1018" s="7"/>
      <c r="C1018" s="3"/>
      <c r="D1018" s="3"/>
      <c r="E1018" s="3"/>
      <c r="F1018" s="3"/>
      <c r="G1018" s="3"/>
      <c r="H1018" s="4"/>
      <c r="I1018" s="4"/>
      <c r="J1018" s="3"/>
      <c r="K1018" s="8" t="str">
        <f t="shared" si="15"/>
        <v/>
      </c>
      <c r="L1018" s="1" t="str">
        <f>IF(COUNTA(A1018:J1018)=0,"",IF(OR(AND(C1018&lt;&gt;"Gasto",C1018&lt;&gt;"Pago proveedor",C1018&lt;&gt;"Retiro familiar",C1018&lt;&gt;"Aportación",C1018&lt;&gt;"Pago activo",C1018&lt;&gt;"ISR devengado",C1018&lt;&gt;"Pago ISR",C1018&lt;&gt;"Pago IVA",C1018&lt;&gt;"Compensación ISR",C1018&lt;&gt;"Compensación IVA"),AND(C1018="Gasto",D1018&lt;&gt;"Costos clínicos",D1018&lt;&gt;"Remuneración familiar",D1018&lt;&gt;"Nómina y honorarios",D1018&lt;&gt;"Renta",D1018&lt;&gt;"Marketing",D1018&lt;&gt;"Servicios y software",D1018&lt;&gt;"Mantenimiento",D1018&lt;&gt;"Otros",D1018&lt;&gt;"Intereses")),"Tipo o categoría inválido",IF(COUNTA(A1018:J1018)=0,"",IF(OR(A1018="",B1018="",C1018="",H1018=""),"Faltan datos",IF(COUNTIF($A$7:$A$2006,A1018)&gt;1,"ID duplicado",IF(OR(B1018&lt;DATE(Configuración!$C$5,1,1),B1018&gt;=DATE(Configuración!$C$5+1,1,1)),"Fecha fuera del año",IF(OR(H1018&lt;0,I1018&lt;0),"Revisar signo",IF(AND(C1018&lt;&gt;"Gasto",I1018&lt;&gt;0),"IVA solo en Gasto",IF(AND(C1018="Gasto",D1018=""),"Falta categoría","OK")))))))))</f>
        <v/>
      </c>
    </row>
    <row r="1019" spans="1:12" ht="22" customHeight="1">
      <c r="A1019" s="3"/>
      <c r="B1019" s="7"/>
      <c r="C1019" s="3"/>
      <c r="D1019" s="3"/>
      <c r="E1019" s="3"/>
      <c r="F1019" s="3"/>
      <c r="G1019" s="3"/>
      <c r="H1019" s="4"/>
      <c r="I1019" s="4"/>
      <c r="J1019" s="3"/>
      <c r="K1019" s="8" t="str">
        <f t="shared" si="15"/>
        <v/>
      </c>
      <c r="L1019" s="1" t="str">
        <f>IF(COUNTA(A1019:J1019)=0,"",IF(OR(AND(C1019&lt;&gt;"Gasto",C1019&lt;&gt;"Pago proveedor",C1019&lt;&gt;"Retiro familiar",C1019&lt;&gt;"Aportación",C1019&lt;&gt;"Pago activo",C1019&lt;&gt;"ISR devengado",C1019&lt;&gt;"Pago ISR",C1019&lt;&gt;"Pago IVA",C1019&lt;&gt;"Compensación ISR",C1019&lt;&gt;"Compensación IVA"),AND(C1019="Gasto",D1019&lt;&gt;"Costos clínicos",D1019&lt;&gt;"Remuneración familiar",D1019&lt;&gt;"Nómina y honorarios",D1019&lt;&gt;"Renta",D1019&lt;&gt;"Marketing",D1019&lt;&gt;"Servicios y software",D1019&lt;&gt;"Mantenimiento",D1019&lt;&gt;"Otros",D1019&lt;&gt;"Intereses")),"Tipo o categoría inválido",IF(COUNTA(A1019:J1019)=0,"",IF(OR(A1019="",B1019="",C1019="",H1019=""),"Faltan datos",IF(COUNTIF($A$7:$A$2006,A1019)&gt;1,"ID duplicado",IF(OR(B1019&lt;DATE(Configuración!$C$5,1,1),B1019&gt;=DATE(Configuración!$C$5+1,1,1)),"Fecha fuera del año",IF(OR(H1019&lt;0,I1019&lt;0),"Revisar signo",IF(AND(C1019&lt;&gt;"Gasto",I1019&lt;&gt;0),"IVA solo en Gasto",IF(AND(C1019="Gasto",D1019=""),"Falta categoría","OK")))))))))</f>
        <v/>
      </c>
    </row>
    <row r="1020" spans="1:12" ht="22" customHeight="1">
      <c r="A1020" s="3"/>
      <c r="B1020" s="7"/>
      <c r="C1020" s="3"/>
      <c r="D1020" s="3"/>
      <c r="E1020" s="3"/>
      <c r="F1020" s="3"/>
      <c r="G1020" s="3"/>
      <c r="H1020" s="4"/>
      <c r="I1020" s="4"/>
      <c r="J1020" s="3"/>
      <c r="K1020" s="8" t="str">
        <f t="shared" si="15"/>
        <v/>
      </c>
      <c r="L1020" s="1" t="str">
        <f>IF(COUNTA(A1020:J1020)=0,"",IF(OR(AND(C1020&lt;&gt;"Gasto",C1020&lt;&gt;"Pago proveedor",C1020&lt;&gt;"Retiro familiar",C1020&lt;&gt;"Aportación",C1020&lt;&gt;"Pago activo",C1020&lt;&gt;"ISR devengado",C1020&lt;&gt;"Pago ISR",C1020&lt;&gt;"Pago IVA",C1020&lt;&gt;"Compensación ISR",C1020&lt;&gt;"Compensación IVA"),AND(C1020="Gasto",D1020&lt;&gt;"Costos clínicos",D1020&lt;&gt;"Remuneración familiar",D1020&lt;&gt;"Nómina y honorarios",D1020&lt;&gt;"Renta",D1020&lt;&gt;"Marketing",D1020&lt;&gt;"Servicios y software",D1020&lt;&gt;"Mantenimiento",D1020&lt;&gt;"Otros",D1020&lt;&gt;"Intereses")),"Tipo o categoría inválido",IF(COUNTA(A1020:J1020)=0,"",IF(OR(A1020="",B1020="",C1020="",H1020=""),"Faltan datos",IF(COUNTIF($A$7:$A$2006,A1020)&gt;1,"ID duplicado",IF(OR(B1020&lt;DATE(Configuración!$C$5,1,1),B1020&gt;=DATE(Configuración!$C$5+1,1,1)),"Fecha fuera del año",IF(OR(H1020&lt;0,I1020&lt;0),"Revisar signo",IF(AND(C1020&lt;&gt;"Gasto",I1020&lt;&gt;0),"IVA solo en Gasto",IF(AND(C1020="Gasto",D1020=""),"Falta categoría","OK")))))))))</f>
        <v/>
      </c>
    </row>
    <row r="1021" spans="1:12" ht="22" customHeight="1">
      <c r="A1021" s="3"/>
      <c r="B1021" s="7"/>
      <c r="C1021" s="3"/>
      <c r="D1021" s="3"/>
      <c r="E1021" s="3"/>
      <c r="F1021" s="3"/>
      <c r="G1021" s="3"/>
      <c r="H1021" s="4"/>
      <c r="I1021" s="4"/>
      <c r="J1021" s="3"/>
      <c r="K1021" s="8" t="str">
        <f t="shared" si="15"/>
        <v/>
      </c>
      <c r="L1021" s="1" t="str">
        <f>IF(COUNTA(A1021:J1021)=0,"",IF(OR(AND(C1021&lt;&gt;"Gasto",C1021&lt;&gt;"Pago proveedor",C1021&lt;&gt;"Retiro familiar",C1021&lt;&gt;"Aportación",C1021&lt;&gt;"Pago activo",C1021&lt;&gt;"ISR devengado",C1021&lt;&gt;"Pago ISR",C1021&lt;&gt;"Pago IVA",C1021&lt;&gt;"Compensación ISR",C1021&lt;&gt;"Compensación IVA"),AND(C1021="Gasto",D1021&lt;&gt;"Costos clínicos",D1021&lt;&gt;"Remuneración familiar",D1021&lt;&gt;"Nómina y honorarios",D1021&lt;&gt;"Renta",D1021&lt;&gt;"Marketing",D1021&lt;&gt;"Servicios y software",D1021&lt;&gt;"Mantenimiento",D1021&lt;&gt;"Otros",D1021&lt;&gt;"Intereses")),"Tipo o categoría inválido",IF(COUNTA(A1021:J1021)=0,"",IF(OR(A1021="",B1021="",C1021="",H1021=""),"Faltan datos",IF(COUNTIF($A$7:$A$2006,A1021)&gt;1,"ID duplicado",IF(OR(B1021&lt;DATE(Configuración!$C$5,1,1),B1021&gt;=DATE(Configuración!$C$5+1,1,1)),"Fecha fuera del año",IF(OR(H1021&lt;0,I1021&lt;0),"Revisar signo",IF(AND(C1021&lt;&gt;"Gasto",I1021&lt;&gt;0),"IVA solo en Gasto",IF(AND(C1021="Gasto",D1021=""),"Falta categoría","OK")))))))))</f>
        <v/>
      </c>
    </row>
    <row r="1022" spans="1:12" ht="22" customHeight="1">
      <c r="A1022" s="3"/>
      <c r="B1022" s="7"/>
      <c r="C1022" s="3"/>
      <c r="D1022" s="3"/>
      <c r="E1022" s="3"/>
      <c r="F1022" s="3"/>
      <c r="G1022" s="3"/>
      <c r="H1022" s="4"/>
      <c r="I1022" s="4"/>
      <c r="J1022" s="3"/>
      <c r="K1022" s="8" t="str">
        <f t="shared" si="15"/>
        <v/>
      </c>
      <c r="L1022" s="1" t="str">
        <f>IF(COUNTA(A1022:J1022)=0,"",IF(OR(AND(C1022&lt;&gt;"Gasto",C1022&lt;&gt;"Pago proveedor",C1022&lt;&gt;"Retiro familiar",C1022&lt;&gt;"Aportación",C1022&lt;&gt;"Pago activo",C1022&lt;&gt;"ISR devengado",C1022&lt;&gt;"Pago ISR",C1022&lt;&gt;"Pago IVA",C1022&lt;&gt;"Compensación ISR",C1022&lt;&gt;"Compensación IVA"),AND(C1022="Gasto",D1022&lt;&gt;"Costos clínicos",D1022&lt;&gt;"Remuneración familiar",D1022&lt;&gt;"Nómina y honorarios",D1022&lt;&gt;"Renta",D1022&lt;&gt;"Marketing",D1022&lt;&gt;"Servicios y software",D1022&lt;&gt;"Mantenimiento",D1022&lt;&gt;"Otros",D1022&lt;&gt;"Intereses")),"Tipo o categoría inválido",IF(COUNTA(A1022:J1022)=0,"",IF(OR(A1022="",B1022="",C1022="",H1022=""),"Faltan datos",IF(COUNTIF($A$7:$A$2006,A1022)&gt;1,"ID duplicado",IF(OR(B1022&lt;DATE(Configuración!$C$5,1,1),B1022&gt;=DATE(Configuración!$C$5+1,1,1)),"Fecha fuera del año",IF(OR(H1022&lt;0,I1022&lt;0),"Revisar signo",IF(AND(C1022&lt;&gt;"Gasto",I1022&lt;&gt;0),"IVA solo en Gasto",IF(AND(C1022="Gasto",D1022=""),"Falta categoría","OK")))))))))</f>
        <v/>
      </c>
    </row>
    <row r="1023" spans="1:12" ht="22" customHeight="1">
      <c r="A1023" s="3"/>
      <c r="B1023" s="7"/>
      <c r="C1023" s="3"/>
      <c r="D1023" s="3"/>
      <c r="E1023" s="3"/>
      <c r="F1023" s="3"/>
      <c r="G1023" s="3"/>
      <c r="H1023" s="4"/>
      <c r="I1023" s="4"/>
      <c r="J1023" s="3"/>
      <c r="K1023" s="8" t="str">
        <f t="shared" si="15"/>
        <v/>
      </c>
      <c r="L1023" s="1" t="str">
        <f>IF(COUNTA(A1023:J1023)=0,"",IF(OR(AND(C1023&lt;&gt;"Gasto",C1023&lt;&gt;"Pago proveedor",C1023&lt;&gt;"Retiro familiar",C1023&lt;&gt;"Aportación",C1023&lt;&gt;"Pago activo",C1023&lt;&gt;"ISR devengado",C1023&lt;&gt;"Pago ISR",C1023&lt;&gt;"Pago IVA",C1023&lt;&gt;"Compensación ISR",C1023&lt;&gt;"Compensación IVA"),AND(C1023="Gasto",D1023&lt;&gt;"Costos clínicos",D1023&lt;&gt;"Remuneración familiar",D1023&lt;&gt;"Nómina y honorarios",D1023&lt;&gt;"Renta",D1023&lt;&gt;"Marketing",D1023&lt;&gt;"Servicios y software",D1023&lt;&gt;"Mantenimiento",D1023&lt;&gt;"Otros",D1023&lt;&gt;"Intereses")),"Tipo o categoría inválido",IF(COUNTA(A1023:J1023)=0,"",IF(OR(A1023="",B1023="",C1023="",H1023=""),"Faltan datos",IF(COUNTIF($A$7:$A$2006,A1023)&gt;1,"ID duplicado",IF(OR(B1023&lt;DATE(Configuración!$C$5,1,1),B1023&gt;=DATE(Configuración!$C$5+1,1,1)),"Fecha fuera del año",IF(OR(H1023&lt;0,I1023&lt;0),"Revisar signo",IF(AND(C1023&lt;&gt;"Gasto",I1023&lt;&gt;0),"IVA solo en Gasto",IF(AND(C1023="Gasto",D1023=""),"Falta categoría","OK")))))))))</f>
        <v/>
      </c>
    </row>
    <row r="1024" spans="1:12" ht="22" customHeight="1">
      <c r="A1024" s="3"/>
      <c r="B1024" s="7"/>
      <c r="C1024" s="3"/>
      <c r="D1024" s="3"/>
      <c r="E1024" s="3"/>
      <c r="F1024" s="3"/>
      <c r="G1024" s="3"/>
      <c r="H1024" s="4"/>
      <c r="I1024" s="4"/>
      <c r="J1024" s="3"/>
      <c r="K1024" s="8" t="str">
        <f t="shared" si="15"/>
        <v/>
      </c>
      <c r="L1024" s="1" t="str">
        <f>IF(COUNTA(A1024:J1024)=0,"",IF(OR(AND(C1024&lt;&gt;"Gasto",C1024&lt;&gt;"Pago proveedor",C1024&lt;&gt;"Retiro familiar",C1024&lt;&gt;"Aportación",C1024&lt;&gt;"Pago activo",C1024&lt;&gt;"ISR devengado",C1024&lt;&gt;"Pago ISR",C1024&lt;&gt;"Pago IVA",C1024&lt;&gt;"Compensación ISR",C1024&lt;&gt;"Compensación IVA"),AND(C1024="Gasto",D1024&lt;&gt;"Costos clínicos",D1024&lt;&gt;"Remuneración familiar",D1024&lt;&gt;"Nómina y honorarios",D1024&lt;&gt;"Renta",D1024&lt;&gt;"Marketing",D1024&lt;&gt;"Servicios y software",D1024&lt;&gt;"Mantenimiento",D1024&lt;&gt;"Otros",D1024&lt;&gt;"Intereses")),"Tipo o categoría inválido",IF(COUNTA(A1024:J1024)=0,"",IF(OR(A1024="",B1024="",C1024="",H1024=""),"Faltan datos",IF(COUNTIF($A$7:$A$2006,A1024)&gt;1,"ID duplicado",IF(OR(B1024&lt;DATE(Configuración!$C$5,1,1),B1024&gt;=DATE(Configuración!$C$5+1,1,1)),"Fecha fuera del año",IF(OR(H1024&lt;0,I1024&lt;0),"Revisar signo",IF(AND(C1024&lt;&gt;"Gasto",I1024&lt;&gt;0),"IVA solo en Gasto",IF(AND(C1024="Gasto",D1024=""),"Falta categoría","OK")))))))))</f>
        <v/>
      </c>
    </row>
    <row r="1025" spans="1:12" ht="22" customHeight="1">
      <c r="A1025" s="3"/>
      <c r="B1025" s="7"/>
      <c r="C1025" s="3"/>
      <c r="D1025" s="3"/>
      <c r="E1025" s="3"/>
      <c r="F1025" s="3"/>
      <c r="G1025" s="3"/>
      <c r="H1025" s="4"/>
      <c r="I1025" s="4"/>
      <c r="J1025" s="3"/>
      <c r="K1025" s="8" t="str">
        <f t="shared" si="15"/>
        <v/>
      </c>
      <c r="L1025" s="1" t="str">
        <f>IF(COUNTA(A1025:J1025)=0,"",IF(OR(AND(C1025&lt;&gt;"Gasto",C1025&lt;&gt;"Pago proveedor",C1025&lt;&gt;"Retiro familiar",C1025&lt;&gt;"Aportación",C1025&lt;&gt;"Pago activo",C1025&lt;&gt;"ISR devengado",C1025&lt;&gt;"Pago ISR",C1025&lt;&gt;"Pago IVA",C1025&lt;&gt;"Compensación ISR",C1025&lt;&gt;"Compensación IVA"),AND(C1025="Gasto",D1025&lt;&gt;"Costos clínicos",D1025&lt;&gt;"Remuneración familiar",D1025&lt;&gt;"Nómina y honorarios",D1025&lt;&gt;"Renta",D1025&lt;&gt;"Marketing",D1025&lt;&gt;"Servicios y software",D1025&lt;&gt;"Mantenimiento",D1025&lt;&gt;"Otros",D1025&lt;&gt;"Intereses")),"Tipo o categoría inválido",IF(COUNTA(A1025:J1025)=0,"",IF(OR(A1025="",B1025="",C1025="",H1025=""),"Faltan datos",IF(COUNTIF($A$7:$A$2006,A1025)&gt;1,"ID duplicado",IF(OR(B1025&lt;DATE(Configuración!$C$5,1,1),B1025&gt;=DATE(Configuración!$C$5+1,1,1)),"Fecha fuera del año",IF(OR(H1025&lt;0,I1025&lt;0),"Revisar signo",IF(AND(C1025&lt;&gt;"Gasto",I1025&lt;&gt;0),"IVA solo en Gasto",IF(AND(C1025="Gasto",D1025=""),"Falta categoría","OK")))))))))</f>
        <v/>
      </c>
    </row>
    <row r="1026" spans="1:12" ht="22" customHeight="1">
      <c r="A1026" s="3"/>
      <c r="B1026" s="7"/>
      <c r="C1026" s="3"/>
      <c r="D1026" s="3"/>
      <c r="E1026" s="3"/>
      <c r="F1026" s="3"/>
      <c r="G1026" s="3"/>
      <c r="H1026" s="4"/>
      <c r="I1026" s="4"/>
      <c r="J1026" s="3"/>
      <c r="K1026" s="8" t="str">
        <f t="shared" si="15"/>
        <v/>
      </c>
      <c r="L1026" s="1" t="str">
        <f>IF(COUNTA(A1026:J1026)=0,"",IF(OR(AND(C1026&lt;&gt;"Gasto",C1026&lt;&gt;"Pago proveedor",C1026&lt;&gt;"Retiro familiar",C1026&lt;&gt;"Aportación",C1026&lt;&gt;"Pago activo",C1026&lt;&gt;"ISR devengado",C1026&lt;&gt;"Pago ISR",C1026&lt;&gt;"Pago IVA",C1026&lt;&gt;"Compensación ISR",C1026&lt;&gt;"Compensación IVA"),AND(C1026="Gasto",D1026&lt;&gt;"Costos clínicos",D1026&lt;&gt;"Remuneración familiar",D1026&lt;&gt;"Nómina y honorarios",D1026&lt;&gt;"Renta",D1026&lt;&gt;"Marketing",D1026&lt;&gt;"Servicios y software",D1026&lt;&gt;"Mantenimiento",D1026&lt;&gt;"Otros",D1026&lt;&gt;"Intereses")),"Tipo o categoría inválido",IF(COUNTA(A1026:J1026)=0,"",IF(OR(A1026="",B1026="",C1026="",H1026=""),"Faltan datos",IF(COUNTIF($A$7:$A$2006,A1026)&gt;1,"ID duplicado",IF(OR(B1026&lt;DATE(Configuración!$C$5,1,1),B1026&gt;=DATE(Configuración!$C$5+1,1,1)),"Fecha fuera del año",IF(OR(H1026&lt;0,I1026&lt;0),"Revisar signo",IF(AND(C1026&lt;&gt;"Gasto",I1026&lt;&gt;0),"IVA solo en Gasto",IF(AND(C1026="Gasto",D1026=""),"Falta categoría","OK")))))))))</f>
        <v/>
      </c>
    </row>
    <row r="1027" spans="1:12" ht="22" customHeight="1">
      <c r="A1027" s="3"/>
      <c r="B1027" s="7"/>
      <c r="C1027" s="3"/>
      <c r="D1027" s="3"/>
      <c r="E1027" s="3"/>
      <c r="F1027" s="3"/>
      <c r="G1027" s="3"/>
      <c r="H1027" s="4"/>
      <c r="I1027" s="4"/>
      <c r="J1027" s="3"/>
      <c r="K1027" s="8" t="str">
        <f t="shared" si="15"/>
        <v/>
      </c>
      <c r="L1027" s="1" t="str">
        <f>IF(COUNTA(A1027:J1027)=0,"",IF(OR(AND(C1027&lt;&gt;"Gasto",C1027&lt;&gt;"Pago proveedor",C1027&lt;&gt;"Retiro familiar",C1027&lt;&gt;"Aportación",C1027&lt;&gt;"Pago activo",C1027&lt;&gt;"ISR devengado",C1027&lt;&gt;"Pago ISR",C1027&lt;&gt;"Pago IVA",C1027&lt;&gt;"Compensación ISR",C1027&lt;&gt;"Compensación IVA"),AND(C1027="Gasto",D1027&lt;&gt;"Costos clínicos",D1027&lt;&gt;"Remuneración familiar",D1027&lt;&gt;"Nómina y honorarios",D1027&lt;&gt;"Renta",D1027&lt;&gt;"Marketing",D1027&lt;&gt;"Servicios y software",D1027&lt;&gt;"Mantenimiento",D1027&lt;&gt;"Otros",D1027&lt;&gt;"Intereses")),"Tipo o categoría inválido",IF(COUNTA(A1027:J1027)=0,"",IF(OR(A1027="",B1027="",C1027="",H1027=""),"Faltan datos",IF(COUNTIF($A$7:$A$2006,A1027)&gt;1,"ID duplicado",IF(OR(B1027&lt;DATE(Configuración!$C$5,1,1),B1027&gt;=DATE(Configuración!$C$5+1,1,1)),"Fecha fuera del año",IF(OR(H1027&lt;0,I1027&lt;0),"Revisar signo",IF(AND(C1027&lt;&gt;"Gasto",I1027&lt;&gt;0),"IVA solo en Gasto",IF(AND(C1027="Gasto",D1027=""),"Falta categoría","OK")))))))))</f>
        <v/>
      </c>
    </row>
    <row r="1028" spans="1:12" ht="22" customHeight="1">
      <c r="A1028" s="3"/>
      <c r="B1028" s="7"/>
      <c r="C1028" s="3"/>
      <c r="D1028" s="3"/>
      <c r="E1028" s="3"/>
      <c r="F1028" s="3"/>
      <c r="G1028" s="3"/>
      <c r="H1028" s="4"/>
      <c r="I1028" s="4"/>
      <c r="J1028" s="3"/>
      <c r="K1028" s="8" t="str">
        <f t="shared" si="15"/>
        <v/>
      </c>
      <c r="L1028" s="1" t="str">
        <f>IF(COUNTA(A1028:J1028)=0,"",IF(OR(AND(C1028&lt;&gt;"Gasto",C1028&lt;&gt;"Pago proveedor",C1028&lt;&gt;"Retiro familiar",C1028&lt;&gt;"Aportación",C1028&lt;&gt;"Pago activo",C1028&lt;&gt;"ISR devengado",C1028&lt;&gt;"Pago ISR",C1028&lt;&gt;"Pago IVA",C1028&lt;&gt;"Compensación ISR",C1028&lt;&gt;"Compensación IVA"),AND(C1028="Gasto",D1028&lt;&gt;"Costos clínicos",D1028&lt;&gt;"Remuneración familiar",D1028&lt;&gt;"Nómina y honorarios",D1028&lt;&gt;"Renta",D1028&lt;&gt;"Marketing",D1028&lt;&gt;"Servicios y software",D1028&lt;&gt;"Mantenimiento",D1028&lt;&gt;"Otros",D1028&lt;&gt;"Intereses")),"Tipo o categoría inválido",IF(COUNTA(A1028:J1028)=0,"",IF(OR(A1028="",B1028="",C1028="",H1028=""),"Faltan datos",IF(COUNTIF($A$7:$A$2006,A1028)&gt;1,"ID duplicado",IF(OR(B1028&lt;DATE(Configuración!$C$5,1,1),B1028&gt;=DATE(Configuración!$C$5+1,1,1)),"Fecha fuera del año",IF(OR(H1028&lt;0,I1028&lt;0),"Revisar signo",IF(AND(C1028&lt;&gt;"Gasto",I1028&lt;&gt;0),"IVA solo en Gasto",IF(AND(C1028="Gasto",D1028=""),"Falta categoría","OK")))))))))</f>
        <v/>
      </c>
    </row>
    <row r="1029" spans="1:12" ht="22" customHeight="1">
      <c r="A1029" s="3"/>
      <c r="B1029" s="7"/>
      <c r="C1029" s="3"/>
      <c r="D1029" s="3"/>
      <c r="E1029" s="3"/>
      <c r="F1029" s="3"/>
      <c r="G1029" s="3"/>
      <c r="H1029" s="4"/>
      <c r="I1029" s="4"/>
      <c r="J1029" s="3"/>
      <c r="K1029" s="8" t="str">
        <f t="shared" si="15"/>
        <v/>
      </c>
      <c r="L1029" s="1" t="str">
        <f>IF(COUNTA(A1029:J1029)=0,"",IF(OR(AND(C1029&lt;&gt;"Gasto",C1029&lt;&gt;"Pago proveedor",C1029&lt;&gt;"Retiro familiar",C1029&lt;&gt;"Aportación",C1029&lt;&gt;"Pago activo",C1029&lt;&gt;"ISR devengado",C1029&lt;&gt;"Pago ISR",C1029&lt;&gt;"Pago IVA",C1029&lt;&gt;"Compensación ISR",C1029&lt;&gt;"Compensación IVA"),AND(C1029="Gasto",D1029&lt;&gt;"Costos clínicos",D1029&lt;&gt;"Remuneración familiar",D1029&lt;&gt;"Nómina y honorarios",D1029&lt;&gt;"Renta",D1029&lt;&gt;"Marketing",D1029&lt;&gt;"Servicios y software",D1029&lt;&gt;"Mantenimiento",D1029&lt;&gt;"Otros",D1029&lt;&gt;"Intereses")),"Tipo o categoría inválido",IF(COUNTA(A1029:J1029)=0,"",IF(OR(A1029="",B1029="",C1029="",H1029=""),"Faltan datos",IF(COUNTIF($A$7:$A$2006,A1029)&gt;1,"ID duplicado",IF(OR(B1029&lt;DATE(Configuración!$C$5,1,1),B1029&gt;=DATE(Configuración!$C$5+1,1,1)),"Fecha fuera del año",IF(OR(H1029&lt;0,I1029&lt;0),"Revisar signo",IF(AND(C1029&lt;&gt;"Gasto",I1029&lt;&gt;0),"IVA solo en Gasto",IF(AND(C1029="Gasto",D1029=""),"Falta categoría","OK")))))))))</f>
        <v/>
      </c>
    </row>
    <row r="1030" spans="1:12" ht="22" customHeight="1">
      <c r="A1030" s="3"/>
      <c r="B1030" s="7"/>
      <c r="C1030" s="3"/>
      <c r="D1030" s="3"/>
      <c r="E1030" s="3"/>
      <c r="F1030" s="3"/>
      <c r="G1030" s="3"/>
      <c r="H1030" s="4"/>
      <c r="I1030" s="4"/>
      <c r="J1030" s="3"/>
      <c r="K1030" s="8" t="str">
        <f t="shared" si="15"/>
        <v/>
      </c>
      <c r="L1030" s="1" t="str">
        <f>IF(COUNTA(A1030:J1030)=0,"",IF(OR(AND(C1030&lt;&gt;"Gasto",C1030&lt;&gt;"Pago proveedor",C1030&lt;&gt;"Retiro familiar",C1030&lt;&gt;"Aportación",C1030&lt;&gt;"Pago activo",C1030&lt;&gt;"ISR devengado",C1030&lt;&gt;"Pago ISR",C1030&lt;&gt;"Pago IVA",C1030&lt;&gt;"Compensación ISR",C1030&lt;&gt;"Compensación IVA"),AND(C1030="Gasto",D1030&lt;&gt;"Costos clínicos",D1030&lt;&gt;"Remuneración familiar",D1030&lt;&gt;"Nómina y honorarios",D1030&lt;&gt;"Renta",D1030&lt;&gt;"Marketing",D1030&lt;&gt;"Servicios y software",D1030&lt;&gt;"Mantenimiento",D1030&lt;&gt;"Otros",D1030&lt;&gt;"Intereses")),"Tipo o categoría inválido",IF(COUNTA(A1030:J1030)=0,"",IF(OR(A1030="",B1030="",C1030="",H1030=""),"Faltan datos",IF(COUNTIF($A$7:$A$2006,A1030)&gt;1,"ID duplicado",IF(OR(B1030&lt;DATE(Configuración!$C$5,1,1),B1030&gt;=DATE(Configuración!$C$5+1,1,1)),"Fecha fuera del año",IF(OR(H1030&lt;0,I1030&lt;0),"Revisar signo",IF(AND(C1030&lt;&gt;"Gasto",I1030&lt;&gt;0),"IVA solo en Gasto",IF(AND(C1030="Gasto",D1030=""),"Falta categoría","OK")))))))))</f>
        <v/>
      </c>
    </row>
    <row r="1031" spans="1:12" ht="22" customHeight="1">
      <c r="A1031" s="3"/>
      <c r="B1031" s="7"/>
      <c r="C1031" s="3"/>
      <c r="D1031" s="3"/>
      <c r="E1031" s="3"/>
      <c r="F1031" s="3"/>
      <c r="G1031" s="3"/>
      <c r="H1031" s="4"/>
      <c r="I1031" s="4"/>
      <c r="J1031" s="3"/>
      <c r="K1031" s="8" t="str">
        <f t="shared" ref="K1031:K1094" si="16">IF(A1031="","",H1031+I1031)</f>
        <v/>
      </c>
      <c r="L1031" s="1" t="str">
        <f>IF(COUNTA(A1031:J1031)=0,"",IF(OR(AND(C1031&lt;&gt;"Gasto",C1031&lt;&gt;"Pago proveedor",C1031&lt;&gt;"Retiro familiar",C1031&lt;&gt;"Aportación",C1031&lt;&gt;"Pago activo",C1031&lt;&gt;"ISR devengado",C1031&lt;&gt;"Pago ISR",C1031&lt;&gt;"Pago IVA",C1031&lt;&gt;"Compensación ISR",C1031&lt;&gt;"Compensación IVA"),AND(C1031="Gasto",D1031&lt;&gt;"Costos clínicos",D1031&lt;&gt;"Remuneración familiar",D1031&lt;&gt;"Nómina y honorarios",D1031&lt;&gt;"Renta",D1031&lt;&gt;"Marketing",D1031&lt;&gt;"Servicios y software",D1031&lt;&gt;"Mantenimiento",D1031&lt;&gt;"Otros",D1031&lt;&gt;"Intereses")),"Tipo o categoría inválido",IF(COUNTA(A1031:J1031)=0,"",IF(OR(A1031="",B1031="",C1031="",H1031=""),"Faltan datos",IF(COUNTIF($A$7:$A$2006,A1031)&gt;1,"ID duplicado",IF(OR(B1031&lt;DATE(Configuración!$C$5,1,1),B1031&gt;=DATE(Configuración!$C$5+1,1,1)),"Fecha fuera del año",IF(OR(H1031&lt;0,I1031&lt;0),"Revisar signo",IF(AND(C1031&lt;&gt;"Gasto",I1031&lt;&gt;0),"IVA solo en Gasto",IF(AND(C1031="Gasto",D1031=""),"Falta categoría","OK")))))))))</f>
        <v/>
      </c>
    </row>
    <row r="1032" spans="1:12" ht="22" customHeight="1">
      <c r="A1032" s="3"/>
      <c r="B1032" s="7"/>
      <c r="C1032" s="3"/>
      <c r="D1032" s="3"/>
      <c r="E1032" s="3"/>
      <c r="F1032" s="3"/>
      <c r="G1032" s="3"/>
      <c r="H1032" s="4"/>
      <c r="I1032" s="4"/>
      <c r="J1032" s="3"/>
      <c r="K1032" s="8" t="str">
        <f t="shared" si="16"/>
        <v/>
      </c>
      <c r="L1032" s="1" t="str">
        <f>IF(COUNTA(A1032:J1032)=0,"",IF(OR(AND(C1032&lt;&gt;"Gasto",C1032&lt;&gt;"Pago proveedor",C1032&lt;&gt;"Retiro familiar",C1032&lt;&gt;"Aportación",C1032&lt;&gt;"Pago activo",C1032&lt;&gt;"ISR devengado",C1032&lt;&gt;"Pago ISR",C1032&lt;&gt;"Pago IVA",C1032&lt;&gt;"Compensación ISR",C1032&lt;&gt;"Compensación IVA"),AND(C1032="Gasto",D1032&lt;&gt;"Costos clínicos",D1032&lt;&gt;"Remuneración familiar",D1032&lt;&gt;"Nómina y honorarios",D1032&lt;&gt;"Renta",D1032&lt;&gt;"Marketing",D1032&lt;&gt;"Servicios y software",D1032&lt;&gt;"Mantenimiento",D1032&lt;&gt;"Otros",D1032&lt;&gt;"Intereses")),"Tipo o categoría inválido",IF(COUNTA(A1032:J1032)=0,"",IF(OR(A1032="",B1032="",C1032="",H1032=""),"Faltan datos",IF(COUNTIF($A$7:$A$2006,A1032)&gt;1,"ID duplicado",IF(OR(B1032&lt;DATE(Configuración!$C$5,1,1),B1032&gt;=DATE(Configuración!$C$5+1,1,1)),"Fecha fuera del año",IF(OR(H1032&lt;0,I1032&lt;0),"Revisar signo",IF(AND(C1032&lt;&gt;"Gasto",I1032&lt;&gt;0),"IVA solo en Gasto",IF(AND(C1032="Gasto",D1032=""),"Falta categoría","OK")))))))))</f>
        <v/>
      </c>
    </row>
    <row r="1033" spans="1:12" ht="22" customHeight="1">
      <c r="A1033" s="3"/>
      <c r="B1033" s="7"/>
      <c r="C1033" s="3"/>
      <c r="D1033" s="3"/>
      <c r="E1033" s="3"/>
      <c r="F1033" s="3"/>
      <c r="G1033" s="3"/>
      <c r="H1033" s="4"/>
      <c r="I1033" s="4"/>
      <c r="J1033" s="3"/>
      <c r="K1033" s="8" t="str">
        <f t="shared" si="16"/>
        <v/>
      </c>
      <c r="L1033" s="1" t="str">
        <f>IF(COUNTA(A1033:J1033)=0,"",IF(OR(AND(C1033&lt;&gt;"Gasto",C1033&lt;&gt;"Pago proveedor",C1033&lt;&gt;"Retiro familiar",C1033&lt;&gt;"Aportación",C1033&lt;&gt;"Pago activo",C1033&lt;&gt;"ISR devengado",C1033&lt;&gt;"Pago ISR",C1033&lt;&gt;"Pago IVA",C1033&lt;&gt;"Compensación ISR",C1033&lt;&gt;"Compensación IVA"),AND(C1033="Gasto",D1033&lt;&gt;"Costos clínicos",D1033&lt;&gt;"Remuneración familiar",D1033&lt;&gt;"Nómina y honorarios",D1033&lt;&gt;"Renta",D1033&lt;&gt;"Marketing",D1033&lt;&gt;"Servicios y software",D1033&lt;&gt;"Mantenimiento",D1033&lt;&gt;"Otros",D1033&lt;&gt;"Intereses")),"Tipo o categoría inválido",IF(COUNTA(A1033:J1033)=0,"",IF(OR(A1033="",B1033="",C1033="",H1033=""),"Faltan datos",IF(COUNTIF($A$7:$A$2006,A1033)&gt;1,"ID duplicado",IF(OR(B1033&lt;DATE(Configuración!$C$5,1,1),B1033&gt;=DATE(Configuración!$C$5+1,1,1)),"Fecha fuera del año",IF(OR(H1033&lt;0,I1033&lt;0),"Revisar signo",IF(AND(C1033&lt;&gt;"Gasto",I1033&lt;&gt;0),"IVA solo en Gasto",IF(AND(C1033="Gasto",D1033=""),"Falta categoría","OK")))))))))</f>
        <v/>
      </c>
    </row>
    <row r="1034" spans="1:12" ht="22" customHeight="1">
      <c r="A1034" s="3"/>
      <c r="B1034" s="7"/>
      <c r="C1034" s="3"/>
      <c r="D1034" s="3"/>
      <c r="E1034" s="3"/>
      <c r="F1034" s="3"/>
      <c r="G1034" s="3"/>
      <c r="H1034" s="4"/>
      <c r="I1034" s="4"/>
      <c r="J1034" s="3"/>
      <c r="K1034" s="8" t="str">
        <f t="shared" si="16"/>
        <v/>
      </c>
      <c r="L1034" s="1" t="str">
        <f>IF(COUNTA(A1034:J1034)=0,"",IF(OR(AND(C1034&lt;&gt;"Gasto",C1034&lt;&gt;"Pago proveedor",C1034&lt;&gt;"Retiro familiar",C1034&lt;&gt;"Aportación",C1034&lt;&gt;"Pago activo",C1034&lt;&gt;"ISR devengado",C1034&lt;&gt;"Pago ISR",C1034&lt;&gt;"Pago IVA",C1034&lt;&gt;"Compensación ISR",C1034&lt;&gt;"Compensación IVA"),AND(C1034="Gasto",D1034&lt;&gt;"Costos clínicos",D1034&lt;&gt;"Remuneración familiar",D1034&lt;&gt;"Nómina y honorarios",D1034&lt;&gt;"Renta",D1034&lt;&gt;"Marketing",D1034&lt;&gt;"Servicios y software",D1034&lt;&gt;"Mantenimiento",D1034&lt;&gt;"Otros",D1034&lt;&gt;"Intereses")),"Tipo o categoría inválido",IF(COUNTA(A1034:J1034)=0,"",IF(OR(A1034="",B1034="",C1034="",H1034=""),"Faltan datos",IF(COUNTIF($A$7:$A$2006,A1034)&gt;1,"ID duplicado",IF(OR(B1034&lt;DATE(Configuración!$C$5,1,1),B1034&gt;=DATE(Configuración!$C$5+1,1,1)),"Fecha fuera del año",IF(OR(H1034&lt;0,I1034&lt;0),"Revisar signo",IF(AND(C1034&lt;&gt;"Gasto",I1034&lt;&gt;0),"IVA solo en Gasto",IF(AND(C1034="Gasto",D1034=""),"Falta categoría","OK")))))))))</f>
        <v/>
      </c>
    </row>
    <row r="1035" spans="1:12" ht="22" customHeight="1">
      <c r="A1035" s="3"/>
      <c r="B1035" s="7"/>
      <c r="C1035" s="3"/>
      <c r="D1035" s="3"/>
      <c r="E1035" s="3"/>
      <c r="F1035" s="3"/>
      <c r="G1035" s="3"/>
      <c r="H1035" s="4"/>
      <c r="I1035" s="4"/>
      <c r="J1035" s="3"/>
      <c r="K1035" s="8" t="str">
        <f t="shared" si="16"/>
        <v/>
      </c>
      <c r="L1035" s="1" t="str">
        <f>IF(COUNTA(A1035:J1035)=0,"",IF(OR(AND(C1035&lt;&gt;"Gasto",C1035&lt;&gt;"Pago proveedor",C1035&lt;&gt;"Retiro familiar",C1035&lt;&gt;"Aportación",C1035&lt;&gt;"Pago activo",C1035&lt;&gt;"ISR devengado",C1035&lt;&gt;"Pago ISR",C1035&lt;&gt;"Pago IVA",C1035&lt;&gt;"Compensación ISR",C1035&lt;&gt;"Compensación IVA"),AND(C1035="Gasto",D1035&lt;&gt;"Costos clínicos",D1035&lt;&gt;"Remuneración familiar",D1035&lt;&gt;"Nómina y honorarios",D1035&lt;&gt;"Renta",D1035&lt;&gt;"Marketing",D1035&lt;&gt;"Servicios y software",D1035&lt;&gt;"Mantenimiento",D1035&lt;&gt;"Otros",D1035&lt;&gt;"Intereses")),"Tipo o categoría inválido",IF(COUNTA(A1035:J1035)=0,"",IF(OR(A1035="",B1035="",C1035="",H1035=""),"Faltan datos",IF(COUNTIF($A$7:$A$2006,A1035)&gt;1,"ID duplicado",IF(OR(B1035&lt;DATE(Configuración!$C$5,1,1),B1035&gt;=DATE(Configuración!$C$5+1,1,1)),"Fecha fuera del año",IF(OR(H1035&lt;0,I1035&lt;0),"Revisar signo",IF(AND(C1035&lt;&gt;"Gasto",I1035&lt;&gt;0),"IVA solo en Gasto",IF(AND(C1035="Gasto",D1035=""),"Falta categoría","OK")))))))))</f>
        <v/>
      </c>
    </row>
    <row r="1036" spans="1:12" ht="22" customHeight="1">
      <c r="A1036" s="3"/>
      <c r="B1036" s="7"/>
      <c r="C1036" s="3"/>
      <c r="D1036" s="3"/>
      <c r="E1036" s="3"/>
      <c r="F1036" s="3"/>
      <c r="G1036" s="3"/>
      <c r="H1036" s="4"/>
      <c r="I1036" s="4"/>
      <c r="J1036" s="3"/>
      <c r="K1036" s="8" t="str">
        <f t="shared" si="16"/>
        <v/>
      </c>
      <c r="L1036" s="1" t="str">
        <f>IF(COUNTA(A1036:J1036)=0,"",IF(OR(AND(C1036&lt;&gt;"Gasto",C1036&lt;&gt;"Pago proveedor",C1036&lt;&gt;"Retiro familiar",C1036&lt;&gt;"Aportación",C1036&lt;&gt;"Pago activo",C1036&lt;&gt;"ISR devengado",C1036&lt;&gt;"Pago ISR",C1036&lt;&gt;"Pago IVA",C1036&lt;&gt;"Compensación ISR",C1036&lt;&gt;"Compensación IVA"),AND(C1036="Gasto",D1036&lt;&gt;"Costos clínicos",D1036&lt;&gt;"Remuneración familiar",D1036&lt;&gt;"Nómina y honorarios",D1036&lt;&gt;"Renta",D1036&lt;&gt;"Marketing",D1036&lt;&gt;"Servicios y software",D1036&lt;&gt;"Mantenimiento",D1036&lt;&gt;"Otros",D1036&lt;&gt;"Intereses")),"Tipo o categoría inválido",IF(COUNTA(A1036:J1036)=0,"",IF(OR(A1036="",B1036="",C1036="",H1036=""),"Faltan datos",IF(COUNTIF($A$7:$A$2006,A1036)&gt;1,"ID duplicado",IF(OR(B1036&lt;DATE(Configuración!$C$5,1,1),B1036&gt;=DATE(Configuración!$C$5+1,1,1)),"Fecha fuera del año",IF(OR(H1036&lt;0,I1036&lt;0),"Revisar signo",IF(AND(C1036&lt;&gt;"Gasto",I1036&lt;&gt;0),"IVA solo en Gasto",IF(AND(C1036="Gasto",D1036=""),"Falta categoría","OK")))))))))</f>
        <v/>
      </c>
    </row>
    <row r="1037" spans="1:12" ht="22" customHeight="1">
      <c r="A1037" s="3"/>
      <c r="B1037" s="7"/>
      <c r="C1037" s="3"/>
      <c r="D1037" s="3"/>
      <c r="E1037" s="3"/>
      <c r="F1037" s="3"/>
      <c r="G1037" s="3"/>
      <c r="H1037" s="4"/>
      <c r="I1037" s="4"/>
      <c r="J1037" s="3"/>
      <c r="K1037" s="8" t="str">
        <f t="shared" si="16"/>
        <v/>
      </c>
      <c r="L1037" s="1" t="str">
        <f>IF(COUNTA(A1037:J1037)=0,"",IF(OR(AND(C1037&lt;&gt;"Gasto",C1037&lt;&gt;"Pago proveedor",C1037&lt;&gt;"Retiro familiar",C1037&lt;&gt;"Aportación",C1037&lt;&gt;"Pago activo",C1037&lt;&gt;"ISR devengado",C1037&lt;&gt;"Pago ISR",C1037&lt;&gt;"Pago IVA",C1037&lt;&gt;"Compensación ISR",C1037&lt;&gt;"Compensación IVA"),AND(C1037="Gasto",D1037&lt;&gt;"Costos clínicos",D1037&lt;&gt;"Remuneración familiar",D1037&lt;&gt;"Nómina y honorarios",D1037&lt;&gt;"Renta",D1037&lt;&gt;"Marketing",D1037&lt;&gt;"Servicios y software",D1037&lt;&gt;"Mantenimiento",D1037&lt;&gt;"Otros",D1037&lt;&gt;"Intereses")),"Tipo o categoría inválido",IF(COUNTA(A1037:J1037)=0,"",IF(OR(A1037="",B1037="",C1037="",H1037=""),"Faltan datos",IF(COUNTIF($A$7:$A$2006,A1037)&gt;1,"ID duplicado",IF(OR(B1037&lt;DATE(Configuración!$C$5,1,1),B1037&gt;=DATE(Configuración!$C$5+1,1,1)),"Fecha fuera del año",IF(OR(H1037&lt;0,I1037&lt;0),"Revisar signo",IF(AND(C1037&lt;&gt;"Gasto",I1037&lt;&gt;0),"IVA solo en Gasto",IF(AND(C1037="Gasto",D1037=""),"Falta categoría","OK")))))))))</f>
        <v/>
      </c>
    </row>
    <row r="1038" spans="1:12" ht="22" customHeight="1">
      <c r="A1038" s="3"/>
      <c r="B1038" s="7"/>
      <c r="C1038" s="3"/>
      <c r="D1038" s="3"/>
      <c r="E1038" s="3"/>
      <c r="F1038" s="3"/>
      <c r="G1038" s="3"/>
      <c r="H1038" s="4"/>
      <c r="I1038" s="4"/>
      <c r="J1038" s="3"/>
      <c r="K1038" s="8" t="str">
        <f t="shared" si="16"/>
        <v/>
      </c>
      <c r="L1038" s="1" t="str">
        <f>IF(COUNTA(A1038:J1038)=0,"",IF(OR(AND(C1038&lt;&gt;"Gasto",C1038&lt;&gt;"Pago proveedor",C1038&lt;&gt;"Retiro familiar",C1038&lt;&gt;"Aportación",C1038&lt;&gt;"Pago activo",C1038&lt;&gt;"ISR devengado",C1038&lt;&gt;"Pago ISR",C1038&lt;&gt;"Pago IVA",C1038&lt;&gt;"Compensación ISR",C1038&lt;&gt;"Compensación IVA"),AND(C1038="Gasto",D1038&lt;&gt;"Costos clínicos",D1038&lt;&gt;"Remuneración familiar",D1038&lt;&gt;"Nómina y honorarios",D1038&lt;&gt;"Renta",D1038&lt;&gt;"Marketing",D1038&lt;&gt;"Servicios y software",D1038&lt;&gt;"Mantenimiento",D1038&lt;&gt;"Otros",D1038&lt;&gt;"Intereses")),"Tipo o categoría inválido",IF(COUNTA(A1038:J1038)=0,"",IF(OR(A1038="",B1038="",C1038="",H1038=""),"Faltan datos",IF(COUNTIF($A$7:$A$2006,A1038)&gt;1,"ID duplicado",IF(OR(B1038&lt;DATE(Configuración!$C$5,1,1),B1038&gt;=DATE(Configuración!$C$5+1,1,1)),"Fecha fuera del año",IF(OR(H1038&lt;0,I1038&lt;0),"Revisar signo",IF(AND(C1038&lt;&gt;"Gasto",I1038&lt;&gt;0),"IVA solo en Gasto",IF(AND(C1038="Gasto",D1038=""),"Falta categoría","OK")))))))))</f>
        <v/>
      </c>
    </row>
    <row r="1039" spans="1:12" ht="22" customHeight="1">
      <c r="A1039" s="3"/>
      <c r="B1039" s="7"/>
      <c r="C1039" s="3"/>
      <c r="D1039" s="3"/>
      <c r="E1039" s="3"/>
      <c r="F1039" s="3"/>
      <c r="G1039" s="3"/>
      <c r="H1039" s="4"/>
      <c r="I1039" s="4"/>
      <c r="J1039" s="3"/>
      <c r="K1039" s="8" t="str">
        <f t="shared" si="16"/>
        <v/>
      </c>
      <c r="L1039" s="1" t="str">
        <f>IF(COUNTA(A1039:J1039)=0,"",IF(OR(AND(C1039&lt;&gt;"Gasto",C1039&lt;&gt;"Pago proveedor",C1039&lt;&gt;"Retiro familiar",C1039&lt;&gt;"Aportación",C1039&lt;&gt;"Pago activo",C1039&lt;&gt;"ISR devengado",C1039&lt;&gt;"Pago ISR",C1039&lt;&gt;"Pago IVA",C1039&lt;&gt;"Compensación ISR",C1039&lt;&gt;"Compensación IVA"),AND(C1039="Gasto",D1039&lt;&gt;"Costos clínicos",D1039&lt;&gt;"Remuneración familiar",D1039&lt;&gt;"Nómina y honorarios",D1039&lt;&gt;"Renta",D1039&lt;&gt;"Marketing",D1039&lt;&gt;"Servicios y software",D1039&lt;&gt;"Mantenimiento",D1039&lt;&gt;"Otros",D1039&lt;&gt;"Intereses")),"Tipo o categoría inválido",IF(COUNTA(A1039:J1039)=0,"",IF(OR(A1039="",B1039="",C1039="",H1039=""),"Faltan datos",IF(COUNTIF($A$7:$A$2006,A1039)&gt;1,"ID duplicado",IF(OR(B1039&lt;DATE(Configuración!$C$5,1,1),B1039&gt;=DATE(Configuración!$C$5+1,1,1)),"Fecha fuera del año",IF(OR(H1039&lt;0,I1039&lt;0),"Revisar signo",IF(AND(C1039&lt;&gt;"Gasto",I1039&lt;&gt;0),"IVA solo en Gasto",IF(AND(C1039="Gasto",D1039=""),"Falta categoría","OK")))))))))</f>
        <v/>
      </c>
    </row>
    <row r="1040" spans="1:12" ht="22" customHeight="1">
      <c r="A1040" s="3"/>
      <c r="B1040" s="7"/>
      <c r="C1040" s="3"/>
      <c r="D1040" s="3"/>
      <c r="E1040" s="3"/>
      <c r="F1040" s="3"/>
      <c r="G1040" s="3"/>
      <c r="H1040" s="4"/>
      <c r="I1040" s="4"/>
      <c r="J1040" s="3"/>
      <c r="K1040" s="8" t="str">
        <f t="shared" si="16"/>
        <v/>
      </c>
      <c r="L1040" s="1" t="str">
        <f>IF(COUNTA(A1040:J1040)=0,"",IF(OR(AND(C1040&lt;&gt;"Gasto",C1040&lt;&gt;"Pago proveedor",C1040&lt;&gt;"Retiro familiar",C1040&lt;&gt;"Aportación",C1040&lt;&gt;"Pago activo",C1040&lt;&gt;"ISR devengado",C1040&lt;&gt;"Pago ISR",C1040&lt;&gt;"Pago IVA",C1040&lt;&gt;"Compensación ISR",C1040&lt;&gt;"Compensación IVA"),AND(C1040="Gasto",D1040&lt;&gt;"Costos clínicos",D1040&lt;&gt;"Remuneración familiar",D1040&lt;&gt;"Nómina y honorarios",D1040&lt;&gt;"Renta",D1040&lt;&gt;"Marketing",D1040&lt;&gt;"Servicios y software",D1040&lt;&gt;"Mantenimiento",D1040&lt;&gt;"Otros",D1040&lt;&gt;"Intereses")),"Tipo o categoría inválido",IF(COUNTA(A1040:J1040)=0,"",IF(OR(A1040="",B1040="",C1040="",H1040=""),"Faltan datos",IF(COUNTIF($A$7:$A$2006,A1040)&gt;1,"ID duplicado",IF(OR(B1040&lt;DATE(Configuración!$C$5,1,1),B1040&gt;=DATE(Configuración!$C$5+1,1,1)),"Fecha fuera del año",IF(OR(H1040&lt;0,I1040&lt;0),"Revisar signo",IF(AND(C1040&lt;&gt;"Gasto",I1040&lt;&gt;0),"IVA solo en Gasto",IF(AND(C1040="Gasto",D1040=""),"Falta categoría","OK")))))))))</f>
        <v/>
      </c>
    </row>
    <row r="1041" spans="1:12" ht="22" customHeight="1">
      <c r="A1041" s="3"/>
      <c r="B1041" s="7"/>
      <c r="C1041" s="3"/>
      <c r="D1041" s="3"/>
      <c r="E1041" s="3"/>
      <c r="F1041" s="3"/>
      <c r="G1041" s="3"/>
      <c r="H1041" s="4"/>
      <c r="I1041" s="4"/>
      <c r="J1041" s="3"/>
      <c r="K1041" s="8" t="str">
        <f t="shared" si="16"/>
        <v/>
      </c>
      <c r="L1041" s="1" t="str">
        <f>IF(COUNTA(A1041:J1041)=0,"",IF(OR(AND(C1041&lt;&gt;"Gasto",C1041&lt;&gt;"Pago proveedor",C1041&lt;&gt;"Retiro familiar",C1041&lt;&gt;"Aportación",C1041&lt;&gt;"Pago activo",C1041&lt;&gt;"ISR devengado",C1041&lt;&gt;"Pago ISR",C1041&lt;&gt;"Pago IVA",C1041&lt;&gt;"Compensación ISR",C1041&lt;&gt;"Compensación IVA"),AND(C1041="Gasto",D1041&lt;&gt;"Costos clínicos",D1041&lt;&gt;"Remuneración familiar",D1041&lt;&gt;"Nómina y honorarios",D1041&lt;&gt;"Renta",D1041&lt;&gt;"Marketing",D1041&lt;&gt;"Servicios y software",D1041&lt;&gt;"Mantenimiento",D1041&lt;&gt;"Otros",D1041&lt;&gt;"Intereses")),"Tipo o categoría inválido",IF(COUNTA(A1041:J1041)=0,"",IF(OR(A1041="",B1041="",C1041="",H1041=""),"Faltan datos",IF(COUNTIF($A$7:$A$2006,A1041)&gt;1,"ID duplicado",IF(OR(B1041&lt;DATE(Configuración!$C$5,1,1),B1041&gt;=DATE(Configuración!$C$5+1,1,1)),"Fecha fuera del año",IF(OR(H1041&lt;0,I1041&lt;0),"Revisar signo",IF(AND(C1041&lt;&gt;"Gasto",I1041&lt;&gt;0),"IVA solo en Gasto",IF(AND(C1041="Gasto",D1041=""),"Falta categoría","OK")))))))))</f>
        <v/>
      </c>
    </row>
    <row r="1042" spans="1:12" ht="22" customHeight="1">
      <c r="A1042" s="3"/>
      <c r="B1042" s="7"/>
      <c r="C1042" s="3"/>
      <c r="D1042" s="3"/>
      <c r="E1042" s="3"/>
      <c r="F1042" s="3"/>
      <c r="G1042" s="3"/>
      <c r="H1042" s="4"/>
      <c r="I1042" s="4"/>
      <c r="J1042" s="3"/>
      <c r="K1042" s="8" t="str">
        <f t="shared" si="16"/>
        <v/>
      </c>
      <c r="L1042" s="1" t="str">
        <f>IF(COUNTA(A1042:J1042)=0,"",IF(OR(AND(C1042&lt;&gt;"Gasto",C1042&lt;&gt;"Pago proveedor",C1042&lt;&gt;"Retiro familiar",C1042&lt;&gt;"Aportación",C1042&lt;&gt;"Pago activo",C1042&lt;&gt;"ISR devengado",C1042&lt;&gt;"Pago ISR",C1042&lt;&gt;"Pago IVA",C1042&lt;&gt;"Compensación ISR",C1042&lt;&gt;"Compensación IVA"),AND(C1042="Gasto",D1042&lt;&gt;"Costos clínicos",D1042&lt;&gt;"Remuneración familiar",D1042&lt;&gt;"Nómina y honorarios",D1042&lt;&gt;"Renta",D1042&lt;&gt;"Marketing",D1042&lt;&gt;"Servicios y software",D1042&lt;&gt;"Mantenimiento",D1042&lt;&gt;"Otros",D1042&lt;&gt;"Intereses")),"Tipo o categoría inválido",IF(COUNTA(A1042:J1042)=0,"",IF(OR(A1042="",B1042="",C1042="",H1042=""),"Faltan datos",IF(COUNTIF($A$7:$A$2006,A1042)&gt;1,"ID duplicado",IF(OR(B1042&lt;DATE(Configuración!$C$5,1,1),B1042&gt;=DATE(Configuración!$C$5+1,1,1)),"Fecha fuera del año",IF(OR(H1042&lt;0,I1042&lt;0),"Revisar signo",IF(AND(C1042&lt;&gt;"Gasto",I1042&lt;&gt;0),"IVA solo en Gasto",IF(AND(C1042="Gasto",D1042=""),"Falta categoría","OK")))))))))</f>
        <v/>
      </c>
    </row>
    <row r="1043" spans="1:12" ht="22" customHeight="1">
      <c r="A1043" s="3"/>
      <c r="B1043" s="7"/>
      <c r="C1043" s="3"/>
      <c r="D1043" s="3"/>
      <c r="E1043" s="3"/>
      <c r="F1043" s="3"/>
      <c r="G1043" s="3"/>
      <c r="H1043" s="4"/>
      <c r="I1043" s="4"/>
      <c r="J1043" s="3"/>
      <c r="K1043" s="8" t="str">
        <f t="shared" si="16"/>
        <v/>
      </c>
      <c r="L1043" s="1" t="str">
        <f>IF(COUNTA(A1043:J1043)=0,"",IF(OR(AND(C1043&lt;&gt;"Gasto",C1043&lt;&gt;"Pago proveedor",C1043&lt;&gt;"Retiro familiar",C1043&lt;&gt;"Aportación",C1043&lt;&gt;"Pago activo",C1043&lt;&gt;"ISR devengado",C1043&lt;&gt;"Pago ISR",C1043&lt;&gt;"Pago IVA",C1043&lt;&gt;"Compensación ISR",C1043&lt;&gt;"Compensación IVA"),AND(C1043="Gasto",D1043&lt;&gt;"Costos clínicos",D1043&lt;&gt;"Remuneración familiar",D1043&lt;&gt;"Nómina y honorarios",D1043&lt;&gt;"Renta",D1043&lt;&gt;"Marketing",D1043&lt;&gt;"Servicios y software",D1043&lt;&gt;"Mantenimiento",D1043&lt;&gt;"Otros",D1043&lt;&gt;"Intereses")),"Tipo o categoría inválido",IF(COUNTA(A1043:J1043)=0,"",IF(OR(A1043="",B1043="",C1043="",H1043=""),"Faltan datos",IF(COUNTIF($A$7:$A$2006,A1043)&gt;1,"ID duplicado",IF(OR(B1043&lt;DATE(Configuración!$C$5,1,1),B1043&gt;=DATE(Configuración!$C$5+1,1,1)),"Fecha fuera del año",IF(OR(H1043&lt;0,I1043&lt;0),"Revisar signo",IF(AND(C1043&lt;&gt;"Gasto",I1043&lt;&gt;0),"IVA solo en Gasto",IF(AND(C1043="Gasto",D1043=""),"Falta categoría","OK")))))))))</f>
        <v/>
      </c>
    </row>
    <row r="1044" spans="1:12" ht="22" customHeight="1">
      <c r="A1044" s="3"/>
      <c r="B1044" s="7"/>
      <c r="C1044" s="3"/>
      <c r="D1044" s="3"/>
      <c r="E1044" s="3"/>
      <c r="F1044" s="3"/>
      <c r="G1044" s="3"/>
      <c r="H1044" s="4"/>
      <c r="I1044" s="4"/>
      <c r="J1044" s="3"/>
      <c r="K1044" s="8" t="str">
        <f t="shared" si="16"/>
        <v/>
      </c>
      <c r="L1044" s="1" t="str">
        <f>IF(COUNTA(A1044:J1044)=0,"",IF(OR(AND(C1044&lt;&gt;"Gasto",C1044&lt;&gt;"Pago proveedor",C1044&lt;&gt;"Retiro familiar",C1044&lt;&gt;"Aportación",C1044&lt;&gt;"Pago activo",C1044&lt;&gt;"ISR devengado",C1044&lt;&gt;"Pago ISR",C1044&lt;&gt;"Pago IVA",C1044&lt;&gt;"Compensación ISR",C1044&lt;&gt;"Compensación IVA"),AND(C1044="Gasto",D1044&lt;&gt;"Costos clínicos",D1044&lt;&gt;"Remuneración familiar",D1044&lt;&gt;"Nómina y honorarios",D1044&lt;&gt;"Renta",D1044&lt;&gt;"Marketing",D1044&lt;&gt;"Servicios y software",D1044&lt;&gt;"Mantenimiento",D1044&lt;&gt;"Otros",D1044&lt;&gt;"Intereses")),"Tipo o categoría inválido",IF(COUNTA(A1044:J1044)=0,"",IF(OR(A1044="",B1044="",C1044="",H1044=""),"Faltan datos",IF(COUNTIF($A$7:$A$2006,A1044)&gt;1,"ID duplicado",IF(OR(B1044&lt;DATE(Configuración!$C$5,1,1),B1044&gt;=DATE(Configuración!$C$5+1,1,1)),"Fecha fuera del año",IF(OR(H1044&lt;0,I1044&lt;0),"Revisar signo",IF(AND(C1044&lt;&gt;"Gasto",I1044&lt;&gt;0),"IVA solo en Gasto",IF(AND(C1044="Gasto",D1044=""),"Falta categoría","OK")))))))))</f>
        <v/>
      </c>
    </row>
    <row r="1045" spans="1:12" ht="22" customHeight="1">
      <c r="A1045" s="3"/>
      <c r="B1045" s="7"/>
      <c r="C1045" s="3"/>
      <c r="D1045" s="3"/>
      <c r="E1045" s="3"/>
      <c r="F1045" s="3"/>
      <c r="G1045" s="3"/>
      <c r="H1045" s="4"/>
      <c r="I1045" s="4"/>
      <c r="J1045" s="3"/>
      <c r="K1045" s="8" t="str">
        <f t="shared" si="16"/>
        <v/>
      </c>
      <c r="L1045" s="1" t="str">
        <f>IF(COUNTA(A1045:J1045)=0,"",IF(OR(AND(C1045&lt;&gt;"Gasto",C1045&lt;&gt;"Pago proveedor",C1045&lt;&gt;"Retiro familiar",C1045&lt;&gt;"Aportación",C1045&lt;&gt;"Pago activo",C1045&lt;&gt;"ISR devengado",C1045&lt;&gt;"Pago ISR",C1045&lt;&gt;"Pago IVA",C1045&lt;&gt;"Compensación ISR",C1045&lt;&gt;"Compensación IVA"),AND(C1045="Gasto",D1045&lt;&gt;"Costos clínicos",D1045&lt;&gt;"Remuneración familiar",D1045&lt;&gt;"Nómina y honorarios",D1045&lt;&gt;"Renta",D1045&lt;&gt;"Marketing",D1045&lt;&gt;"Servicios y software",D1045&lt;&gt;"Mantenimiento",D1045&lt;&gt;"Otros",D1045&lt;&gt;"Intereses")),"Tipo o categoría inválido",IF(COUNTA(A1045:J1045)=0,"",IF(OR(A1045="",B1045="",C1045="",H1045=""),"Faltan datos",IF(COUNTIF($A$7:$A$2006,A1045)&gt;1,"ID duplicado",IF(OR(B1045&lt;DATE(Configuración!$C$5,1,1),B1045&gt;=DATE(Configuración!$C$5+1,1,1)),"Fecha fuera del año",IF(OR(H1045&lt;0,I1045&lt;0),"Revisar signo",IF(AND(C1045&lt;&gt;"Gasto",I1045&lt;&gt;0),"IVA solo en Gasto",IF(AND(C1045="Gasto",D1045=""),"Falta categoría","OK")))))))))</f>
        <v/>
      </c>
    </row>
    <row r="1046" spans="1:12" ht="22" customHeight="1">
      <c r="A1046" s="3"/>
      <c r="B1046" s="7"/>
      <c r="C1046" s="3"/>
      <c r="D1046" s="3"/>
      <c r="E1046" s="3"/>
      <c r="F1046" s="3"/>
      <c r="G1046" s="3"/>
      <c r="H1046" s="4"/>
      <c r="I1046" s="4"/>
      <c r="J1046" s="3"/>
      <c r="K1046" s="8" t="str">
        <f t="shared" si="16"/>
        <v/>
      </c>
      <c r="L1046" s="1" t="str">
        <f>IF(COUNTA(A1046:J1046)=0,"",IF(OR(AND(C1046&lt;&gt;"Gasto",C1046&lt;&gt;"Pago proveedor",C1046&lt;&gt;"Retiro familiar",C1046&lt;&gt;"Aportación",C1046&lt;&gt;"Pago activo",C1046&lt;&gt;"ISR devengado",C1046&lt;&gt;"Pago ISR",C1046&lt;&gt;"Pago IVA",C1046&lt;&gt;"Compensación ISR",C1046&lt;&gt;"Compensación IVA"),AND(C1046="Gasto",D1046&lt;&gt;"Costos clínicos",D1046&lt;&gt;"Remuneración familiar",D1046&lt;&gt;"Nómina y honorarios",D1046&lt;&gt;"Renta",D1046&lt;&gt;"Marketing",D1046&lt;&gt;"Servicios y software",D1046&lt;&gt;"Mantenimiento",D1046&lt;&gt;"Otros",D1046&lt;&gt;"Intereses")),"Tipo o categoría inválido",IF(COUNTA(A1046:J1046)=0,"",IF(OR(A1046="",B1046="",C1046="",H1046=""),"Faltan datos",IF(COUNTIF($A$7:$A$2006,A1046)&gt;1,"ID duplicado",IF(OR(B1046&lt;DATE(Configuración!$C$5,1,1),B1046&gt;=DATE(Configuración!$C$5+1,1,1)),"Fecha fuera del año",IF(OR(H1046&lt;0,I1046&lt;0),"Revisar signo",IF(AND(C1046&lt;&gt;"Gasto",I1046&lt;&gt;0),"IVA solo en Gasto",IF(AND(C1046="Gasto",D1046=""),"Falta categoría","OK")))))))))</f>
        <v/>
      </c>
    </row>
    <row r="1047" spans="1:12" ht="22" customHeight="1">
      <c r="A1047" s="3"/>
      <c r="B1047" s="7"/>
      <c r="C1047" s="3"/>
      <c r="D1047" s="3"/>
      <c r="E1047" s="3"/>
      <c r="F1047" s="3"/>
      <c r="G1047" s="3"/>
      <c r="H1047" s="4"/>
      <c r="I1047" s="4"/>
      <c r="J1047" s="3"/>
      <c r="K1047" s="8" t="str">
        <f t="shared" si="16"/>
        <v/>
      </c>
      <c r="L1047" s="1" t="str">
        <f>IF(COUNTA(A1047:J1047)=0,"",IF(OR(AND(C1047&lt;&gt;"Gasto",C1047&lt;&gt;"Pago proveedor",C1047&lt;&gt;"Retiro familiar",C1047&lt;&gt;"Aportación",C1047&lt;&gt;"Pago activo",C1047&lt;&gt;"ISR devengado",C1047&lt;&gt;"Pago ISR",C1047&lt;&gt;"Pago IVA",C1047&lt;&gt;"Compensación ISR",C1047&lt;&gt;"Compensación IVA"),AND(C1047="Gasto",D1047&lt;&gt;"Costos clínicos",D1047&lt;&gt;"Remuneración familiar",D1047&lt;&gt;"Nómina y honorarios",D1047&lt;&gt;"Renta",D1047&lt;&gt;"Marketing",D1047&lt;&gt;"Servicios y software",D1047&lt;&gt;"Mantenimiento",D1047&lt;&gt;"Otros",D1047&lt;&gt;"Intereses")),"Tipo o categoría inválido",IF(COUNTA(A1047:J1047)=0,"",IF(OR(A1047="",B1047="",C1047="",H1047=""),"Faltan datos",IF(COUNTIF($A$7:$A$2006,A1047)&gt;1,"ID duplicado",IF(OR(B1047&lt;DATE(Configuración!$C$5,1,1),B1047&gt;=DATE(Configuración!$C$5+1,1,1)),"Fecha fuera del año",IF(OR(H1047&lt;0,I1047&lt;0),"Revisar signo",IF(AND(C1047&lt;&gt;"Gasto",I1047&lt;&gt;0),"IVA solo en Gasto",IF(AND(C1047="Gasto",D1047=""),"Falta categoría","OK")))))))))</f>
        <v/>
      </c>
    </row>
    <row r="1048" spans="1:12" ht="22" customHeight="1">
      <c r="A1048" s="3"/>
      <c r="B1048" s="7"/>
      <c r="C1048" s="3"/>
      <c r="D1048" s="3"/>
      <c r="E1048" s="3"/>
      <c r="F1048" s="3"/>
      <c r="G1048" s="3"/>
      <c r="H1048" s="4"/>
      <c r="I1048" s="4"/>
      <c r="J1048" s="3"/>
      <c r="K1048" s="8" t="str">
        <f t="shared" si="16"/>
        <v/>
      </c>
      <c r="L1048" s="1" t="str">
        <f>IF(COUNTA(A1048:J1048)=0,"",IF(OR(AND(C1048&lt;&gt;"Gasto",C1048&lt;&gt;"Pago proveedor",C1048&lt;&gt;"Retiro familiar",C1048&lt;&gt;"Aportación",C1048&lt;&gt;"Pago activo",C1048&lt;&gt;"ISR devengado",C1048&lt;&gt;"Pago ISR",C1048&lt;&gt;"Pago IVA",C1048&lt;&gt;"Compensación ISR",C1048&lt;&gt;"Compensación IVA"),AND(C1048="Gasto",D1048&lt;&gt;"Costos clínicos",D1048&lt;&gt;"Remuneración familiar",D1048&lt;&gt;"Nómina y honorarios",D1048&lt;&gt;"Renta",D1048&lt;&gt;"Marketing",D1048&lt;&gt;"Servicios y software",D1048&lt;&gt;"Mantenimiento",D1048&lt;&gt;"Otros",D1048&lt;&gt;"Intereses")),"Tipo o categoría inválido",IF(COUNTA(A1048:J1048)=0,"",IF(OR(A1048="",B1048="",C1048="",H1048=""),"Faltan datos",IF(COUNTIF($A$7:$A$2006,A1048)&gt;1,"ID duplicado",IF(OR(B1048&lt;DATE(Configuración!$C$5,1,1),B1048&gt;=DATE(Configuración!$C$5+1,1,1)),"Fecha fuera del año",IF(OR(H1048&lt;0,I1048&lt;0),"Revisar signo",IF(AND(C1048&lt;&gt;"Gasto",I1048&lt;&gt;0),"IVA solo en Gasto",IF(AND(C1048="Gasto",D1048=""),"Falta categoría","OK")))))))))</f>
        <v/>
      </c>
    </row>
    <row r="1049" spans="1:12" ht="22" customHeight="1">
      <c r="A1049" s="3"/>
      <c r="B1049" s="7"/>
      <c r="C1049" s="3"/>
      <c r="D1049" s="3"/>
      <c r="E1049" s="3"/>
      <c r="F1049" s="3"/>
      <c r="G1049" s="3"/>
      <c r="H1049" s="4"/>
      <c r="I1049" s="4"/>
      <c r="J1049" s="3"/>
      <c r="K1049" s="8" t="str">
        <f t="shared" si="16"/>
        <v/>
      </c>
      <c r="L1049" s="1" t="str">
        <f>IF(COUNTA(A1049:J1049)=0,"",IF(OR(AND(C1049&lt;&gt;"Gasto",C1049&lt;&gt;"Pago proveedor",C1049&lt;&gt;"Retiro familiar",C1049&lt;&gt;"Aportación",C1049&lt;&gt;"Pago activo",C1049&lt;&gt;"ISR devengado",C1049&lt;&gt;"Pago ISR",C1049&lt;&gt;"Pago IVA",C1049&lt;&gt;"Compensación ISR",C1049&lt;&gt;"Compensación IVA"),AND(C1049="Gasto",D1049&lt;&gt;"Costos clínicos",D1049&lt;&gt;"Remuneración familiar",D1049&lt;&gt;"Nómina y honorarios",D1049&lt;&gt;"Renta",D1049&lt;&gt;"Marketing",D1049&lt;&gt;"Servicios y software",D1049&lt;&gt;"Mantenimiento",D1049&lt;&gt;"Otros",D1049&lt;&gt;"Intereses")),"Tipo o categoría inválido",IF(COUNTA(A1049:J1049)=0,"",IF(OR(A1049="",B1049="",C1049="",H1049=""),"Faltan datos",IF(COUNTIF($A$7:$A$2006,A1049)&gt;1,"ID duplicado",IF(OR(B1049&lt;DATE(Configuración!$C$5,1,1),B1049&gt;=DATE(Configuración!$C$5+1,1,1)),"Fecha fuera del año",IF(OR(H1049&lt;0,I1049&lt;0),"Revisar signo",IF(AND(C1049&lt;&gt;"Gasto",I1049&lt;&gt;0),"IVA solo en Gasto",IF(AND(C1049="Gasto",D1049=""),"Falta categoría","OK")))))))))</f>
        <v/>
      </c>
    </row>
    <row r="1050" spans="1:12" ht="22" customHeight="1">
      <c r="A1050" s="3"/>
      <c r="B1050" s="7"/>
      <c r="C1050" s="3"/>
      <c r="D1050" s="3"/>
      <c r="E1050" s="3"/>
      <c r="F1050" s="3"/>
      <c r="G1050" s="3"/>
      <c r="H1050" s="4"/>
      <c r="I1050" s="4"/>
      <c r="J1050" s="3"/>
      <c r="K1050" s="8" t="str">
        <f t="shared" si="16"/>
        <v/>
      </c>
      <c r="L1050" s="1" t="str">
        <f>IF(COUNTA(A1050:J1050)=0,"",IF(OR(AND(C1050&lt;&gt;"Gasto",C1050&lt;&gt;"Pago proveedor",C1050&lt;&gt;"Retiro familiar",C1050&lt;&gt;"Aportación",C1050&lt;&gt;"Pago activo",C1050&lt;&gt;"ISR devengado",C1050&lt;&gt;"Pago ISR",C1050&lt;&gt;"Pago IVA",C1050&lt;&gt;"Compensación ISR",C1050&lt;&gt;"Compensación IVA"),AND(C1050="Gasto",D1050&lt;&gt;"Costos clínicos",D1050&lt;&gt;"Remuneración familiar",D1050&lt;&gt;"Nómina y honorarios",D1050&lt;&gt;"Renta",D1050&lt;&gt;"Marketing",D1050&lt;&gt;"Servicios y software",D1050&lt;&gt;"Mantenimiento",D1050&lt;&gt;"Otros",D1050&lt;&gt;"Intereses")),"Tipo o categoría inválido",IF(COUNTA(A1050:J1050)=0,"",IF(OR(A1050="",B1050="",C1050="",H1050=""),"Faltan datos",IF(COUNTIF($A$7:$A$2006,A1050)&gt;1,"ID duplicado",IF(OR(B1050&lt;DATE(Configuración!$C$5,1,1),B1050&gt;=DATE(Configuración!$C$5+1,1,1)),"Fecha fuera del año",IF(OR(H1050&lt;0,I1050&lt;0),"Revisar signo",IF(AND(C1050&lt;&gt;"Gasto",I1050&lt;&gt;0),"IVA solo en Gasto",IF(AND(C1050="Gasto",D1050=""),"Falta categoría","OK")))))))))</f>
        <v/>
      </c>
    </row>
    <row r="1051" spans="1:12" ht="22" customHeight="1">
      <c r="A1051" s="3"/>
      <c r="B1051" s="7"/>
      <c r="C1051" s="3"/>
      <c r="D1051" s="3"/>
      <c r="E1051" s="3"/>
      <c r="F1051" s="3"/>
      <c r="G1051" s="3"/>
      <c r="H1051" s="4"/>
      <c r="I1051" s="4"/>
      <c r="J1051" s="3"/>
      <c r="K1051" s="8" t="str">
        <f t="shared" si="16"/>
        <v/>
      </c>
      <c r="L1051" s="1" t="str">
        <f>IF(COUNTA(A1051:J1051)=0,"",IF(OR(AND(C1051&lt;&gt;"Gasto",C1051&lt;&gt;"Pago proveedor",C1051&lt;&gt;"Retiro familiar",C1051&lt;&gt;"Aportación",C1051&lt;&gt;"Pago activo",C1051&lt;&gt;"ISR devengado",C1051&lt;&gt;"Pago ISR",C1051&lt;&gt;"Pago IVA",C1051&lt;&gt;"Compensación ISR",C1051&lt;&gt;"Compensación IVA"),AND(C1051="Gasto",D1051&lt;&gt;"Costos clínicos",D1051&lt;&gt;"Remuneración familiar",D1051&lt;&gt;"Nómina y honorarios",D1051&lt;&gt;"Renta",D1051&lt;&gt;"Marketing",D1051&lt;&gt;"Servicios y software",D1051&lt;&gt;"Mantenimiento",D1051&lt;&gt;"Otros",D1051&lt;&gt;"Intereses")),"Tipo o categoría inválido",IF(COUNTA(A1051:J1051)=0,"",IF(OR(A1051="",B1051="",C1051="",H1051=""),"Faltan datos",IF(COUNTIF($A$7:$A$2006,A1051)&gt;1,"ID duplicado",IF(OR(B1051&lt;DATE(Configuración!$C$5,1,1),B1051&gt;=DATE(Configuración!$C$5+1,1,1)),"Fecha fuera del año",IF(OR(H1051&lt;0,I1051&lt;0),"Revisar signo",IF(AND(C1051&lt;&gt;"Gasto",I1051&lt;&gt;0),"IVA solo en Gasto",IF(AND(C1051="Gasto",D1051=""),"Falta categoría","OK")))))))))</f>
        <v/>
      </c>
    </row>
    <row r="1052" spans="1:12" ht="22" customHeight="1">
      <c r="A1052" s="3"/>
      <c r="B1052" s="7"/>
      <c r="C1052" s="3"/>
      <c r="D1052" s="3"/>
      <c r="E1052" s="3"/>
      <c r="F1052" s="3"/>
      <c r="G1052" s="3"/>
      <c r="H1052" s="4"/>
      <c r="I1052" s="4"/>
      <c r="J1052" s="3"/>
      <c r="K1052" s="8" t="str">
        <f t="shared" si="16"/>
        <v/>
      </c>
      <c r="L1052" s="1" t="str">
        <f>IF(COUNTA(A1052:J1052)=0,"",IF(OR(AND(C1052&lt;&gt;"Gasto",C1052&lt;&gt;"Pago proveedor",C1052&lt;&gt;"Retiro familiar",C1052&lt;&gt;"Aportación",C1052&lt;&gt;"Pago activo",C1052&lt;&gt;"ISR devengado",C1052&lt;&gt;"Pago ISR",C1052&lt;&gt;"Pago IVA",C1052&lt;&gt;"Compensación ISR",C1052&lt;&gt;"Compensación IVA"),AND(C1052="Gasto",D1052&lt;&gt;"Costos clínicos",D1052&lt;&gt;"Remuneración familiar",D1052&lt;&gt;"Nómina y honorarios",D1052&lt;&gt;"Renta",D1052&lt;&gt;"Marketing",D1052&lt;&gt;"Servicios y software",D1052&lt;&gt;"Mantenimiento",D1052&lt;&gt;"Otros",D1052&lt;&gt;"Intereses")),"Tipo o categoría inválido",IF(COUNTA(A1052:J1052)=0,"",IF(OR(A1052="",B1052="",C1052="",H1052=""),"Faltan datos",IF(COUNTIF($A$7:$A$2006,A1052)&gt;1,"ID duplicado",IF(OR(B1052&lt;DATE(Configuración!$C$5,1,1),B1052&gt;=DATE(Configuración!$C$5+1,1,1)),"Fecha fuera del año",IF(OR(H1052&lt;0,I1052&lt;0),"Revisar signo",IF(AND(C1052&lt;&gt;"Gasto",I1052&lt;&gt;0),"IVA solo en Gasto",IF(AND(C1052="Gasto",D1052=""),"Falta categoría","OK")))))))))</f>
        <v/>
      </c>
    </row>
    <row r="1053" spans="1:12" ht="22" customHeight="1">
      <c r="A1053" s="3"/>
      <c r="B1053" s="7"/>
      <c r="C1053" s="3"/>
      <c r="D1053" s="3"/>
      <c r="E1053" s="3"/>
      <c r="F1053" s="3"/>
      <c r="G1053" s="3"/>
      <c r="H1053" s="4"/>
      <c r="I1053" s="4"/>
      <c r="J1053" s="3"/>
      <c r="K1053" s="8" t="str">
        <f t="shared" si="16"/>
        <v/>
      </c>
      <c r="L1053" s="1" t="str">
        <f>IF(COUNTA(A1053:J1053)=0,"",IF(OR(AND(C1053&lt;&gt;"Gasto",C1053&lt;&gt;"Pago proveedor",C1053&lt;&gt;"Retiro familiar",C1053&lt;&gt;"Aportación",C1053&lt;&gt;"Pago activo",C1053&lt;&gt;"ISR devengado",C1053&lt;&gt;"Pago ISR",C1053&lt;&gt;"Pago IVA",C1053&lt;&gt;"Compensación ISR",C1053&lt;&gt;"Compensación IVA"),AND(C1053="Gasto",D1053&lt;&gt;"Costos clínicos",D1053&lt;&gt;"Remuneración familiar",D1053&lt;&gt;"Nómina y honorarios",D1053&lt;&gt;"Renta",D1053&lt;&gt;"Marketing",D1053&lt;&gt;"Servicios y software",D1053&lt;&gt;"Mantenimiento",D1053&lt;&gt;"Otros",D1053&lt;&gt;"Intereses")),"Tipo o categoría inválido",IF(COUNTA(A1053:J1053)=0,"",IF(OR(A1053="",B1053="",C1053="",H1053=""),"Faltan datos",IF(COUNTIF($A$7:$A$2006,A1053)&gt;1,"ID duplicado",IF(OR(B1053&lt;DATE(Configuración!$C$5,1,1),B1053&gt;=DATE(Configuración!$C$5+1,1,1)),"Fecha fuera del año",IF(OR(H1053&lt;0,I1053&lt;0),"Revisar signo",IF(AND(C1053&lt;&gt;"Gasto",I1053&lt;&gt;0),"IVA solo en Gasto",IF(AND(C1053="Gasto",D1053=""),"Falta categoría","OK")))))))))</f>
        <v/>
      </c>
    </row>
    <row r="1054" spans="1:12" ht="22" customHeight="1">
      <c r="A1054" s="3"/>
      <c r="B1054" s="7"/>
      <c r="C1054" s="3"/>
      <c r="D1054" s="3"/>
      <c r="E1054" s="3"/>
      <c r="F1054" s="3"/>
      <c r="G1054" s="3"/>
      <c r="H1054" s="4"/>
      <c r="I1054" s="4"/>
      <c r="J1054" s="3"/>
      <c r="K1054" s="8" t="str">
        <f t="shared" si="16"/>
        <v/>
      </c>
      <c r="L1054" s="1" t="str">
        <f>IF(COUNTA(A1054:J1054)=0,"",IF(OR(AND(C1054&lt;&gt;"Gasto",C1054&lt;&gt;"Pago proveedor",C1054&lt;&gt;"Retiro familiar",C1054&lt;&gt;"Aportación",C1054&lt;&gt;"Pago activo",C1054&lt;&gt;"ISR devengado",C1054&lt;&gt;"Pago ISR",C1054&lt;&gt;"Pago IVA",C1054&lt;&gt;"Compensación ISR",C1054&lt;&gt;"Compensación IVA"),AND(C1054="Gasto",D1054&lt;&gt;"Costos clínicos",D1054&lt;&gt;"Remuneración familiar",D1054&lt;&gt;"Nómina y honorarios",D1054&lt;&gt;"Renta",D1054&lt;&gt;"Marketing",D1054&lt;&gt;"Servicios y software",D1054&lt;&gt;"Mantenimiento",D1054&lt;&gt;"Otros",D1054&lt;&gt;"Intereses")),"Tipo o categoría inválido",IF(COUNTA(A1054:J1054)=0,"",IF(OR(A1054="",B1054="",C1054="",H1054=""),"Faltan datos",IF(COUNTIF($A$7:$A$2006,A1054)&gt;1,"ID duplicado",IF(OR(B1054&lt;DATE(Configuración!$C$5,1,1),B1054&gt;=DATE(Configuración!$C$5+1,1,1)),"Fecha fuera del año",IF(OR(H1054&lt;0,I1054&lt;0),"Revisar signo",IF(AND(C1054&lt;&gt;"Gasto",I1054&lt;&gt;0),"IVA solo en Gasto",IF(AND(C1054="Gasto",D1054=""),"Falta categoría","OK")))))))))</f>
        <v/>
      </c>
    </row>
    <row r="1055" spans="1:12" ht="22" customHeight="1">
      <c r="A1055" s="3"/>
      <c r="B1055" s="7"/>
      <c r="C1055" s="3"/>
      <c r="D1055" s="3"/>
      <c r="E1055" s="3"/>
      <c r="F1055" s="3"/>
      <c r="G1055" s="3"/>
      <c r="H1055" s="4"/>
      <c r="I1055" s="4"/>
      <c r="J1055" s="3"/>
      <c r="K1055" s="8" t="str">
        <f t="shared" si="16"/>
        <v/>
      </c>
      <c r="L1055" s="1" t="str">
        <f>IF(COUNTA(A1055:J1055)=0,"",IF(OR(AND(C1055&lt;&gt;"Gasto",C1055&lt;&gt;"Pago proveedor",C1055&lt;&gt;"Retiro familiar",C1055&lt;&gt;"Aportación",C1055&lt;&gt;"Pago activo",C1055&lt;&gt;"ISR devengado",C1055&lt;&gt;"Pago ISR",C1055&lt;&gt;"Pago IVA",C1055&lt;&gt;"Compensación ISR",C1055&lt;&gt;"Compensación IVA"),AND(C1055="Gasto",D1055&lt;&gt;"Costos clínicos",D1055&lt;&gt;"Remuneración familiar",D1055&lt;&gt;"Nómina y honorarios",D1055&lt;&gt;"Renta",D1055&lt;&gt;"Marketing",D1055&lt;&gt;"Servicios y software",D1055&lt;&gt;"Mantenimiento",D1055&lt;&gt;"Otros",D1055&lt;&gt;"Intereses")),"Tipo o categoría inválido",IF(COUNTA(A1055:J1055)=0,"",IF(OR(A1055="",B1055="",C1055="",H1055=""),"Faltan datos",IF(COUNTIF($A$7:$A$2006,A1055)&gt;1,"ID duplicado",IF(OR(B1055&lt;DATE(Configuración!$C$5,1,1),B1055&gt;=DATE(Configuración!$C$5+1,1,1)),"Fecha fuera del año",IF(OR(H1055&lt;0,I1055&lt;0),"Revisar signo",IF(AND(C1055&lt;&gt;"Gasto",I1055&lt;&gt;0),"IVA solo en Gasto",IF(AND(C1055="Gasto",D1055=""),"Falta categoría","OK")))))))))</f>
        <v/>
      </c>
    </row>
    <row r="1056" spans="1:12" ht="22" customHeight="1">
      <c r="A1056" s="3"/>
      <c r="B1056" s="7"/>
      <c r="C1056" s="3"/>
      <c r="D1056" s="3"/>
      <c r="E1056" s="3"/>
      <c r="F1056" s="3"/>
      <c r="G1056" s="3"/>
      <c r="H1056" s="4"/>
      <c r="I1056" s="4"/>
      <c r="J1056" s="3"/>
      <c r="K1056" s="8" t="str">
        <f t="shared" si="16"/>
        <v/>
      </c>
      <c r="L1056" s="1" t="str">
        <f>IF(COUNTA(A1056:J1056)=0,"",IF(OR(AND(C1056&lt;&gt;"Gasto",C1056&lt;&gt;"Pago proveedor",C1056&lt;&gt;"Retiro familiar",C1056&lt;&gt;"Aportación",C1056&lt;&gt;"Pago activo",C1056&lt;&gt;"ISR devengado",C1056&lt;&gt;"Pago ISR",C1056&lt;&gt;"Pago IVA",C1056&lt;&gt;"Compensación ISR",C1056&lt;&gt;"Compensación IVA"),AND(C1056="Gasto",D1056&lt;&gt;"Costos clínicos",D1056&lt;&gt;"Remuneración familiar",D1056&lt;&gt;"Nómina y honorarios",D1056&lt;&gt;"Renta",D1056&lt;&gt;"Marketing",D1056&lt;&gt;"Servicios y software",D1056&lt;&gt;"Mantenimiento",D1056&lt;&gt;"Otros",D1056&lt;&gt;"Intereses")),"Tipo o categoría inválido",IF(COUNTA(A1056:J1056)=0,"",IF(OR(A1056="",B1056="",C1056="",H1056=""),"Faltan datos",IF(COUNTIF($A$7:$A$2006,A1056)&gt;1,"ID duplicado",IF(OR(B1056&lt;DATE(Configuración!$C$5,1,1),B1056&gt;=DATE(Configuración!$C$5+1,1,1)),"Fecha fuera del año",IF(OR(H1056&lt;0,I1056&lt;0),"Revisar signo",IF(AND(C1056&lt;&gt;"Gasto",I1056&lt;&gt;0),"IVA solo en Gasto",IF(AND(C1056="Gasto",D1056=""),"Falta categoría","OK")))))))))</f>
        <v/>
      </c>
    </row>
    <row r="1057" spans="1:12" ht="22" customHeight="1">
      <c r="A1057" s="3"/>
      <c r="B1057" s="7"/>
      <c r="C1057" s="3"/>
      <c r="D1057" s="3"/>
      <c r="E1057" s="3"/>
      <c r="F1057" s="3"/>
      <c r="G1057" s="3"/>
      <c r="H1057" s="4"/>
      <c r="I1057" s="4"/>
      <c r="J1057" s="3"/>
      <c r="K1057" s="8" t="str">
        <f t="shared" si="16"/>
        <v/>
      </c>
      <c r="L1057" s="1" t="str">
        <f>IF(COUNTA(A1057:J1057)=0,"",IF(OR(AND(C1057&lt;&gt;"Gasto",C1057&lt;&gt;"Pago proveedor",C1057&lt;&gt;"Retiro familiar",C1057&lt;&gt;"Aportación",C1057&lt;&gt;"Pago activo",C1057&lt;&gt;"ISR devengado",C1057&lt;&gt;"Pago ISR",C1057&lt;&gt;"Pago IVA",C1057&lt;&gt;"Compensación ISR",C1057&lt;&gt;"Compensación IVA"),AND(C1057="Gasto",D1057&lt;&gt;"Costos clínicos",D1057&lt;&gt;"Remuneración familiar",D1057&lt;&gt;"Nómina y honorarios",D1057&lt;&gt;"Renta",D1057&lt;&gt;"Marketing",D1057&lt;&gt;"Servicios y software",D1057&lt;&gt;"Mantenimiento",D1057&lt;&gt;"Otros",D1057&lt;&gt;"Intereses")),"Tipo o categoría inválido",IF(COUNTA(A1057:J1057)=0,"",IF(OR(A1057="",B1057="",C1057="",H1057=""),"Faltan datos",IF(COUNTIF($A$7:$A$2006,A1057)&gt;1,"ID duplicado",IF(OR(B1057&lt;DATE(Configuración!$C$5,1,1),B1057&gt;=DATE(Configuración!$C$5+1,1,1)),"Fecha fuera del año",IF(OR(H1057&lt;0,I1057&lt;0),"Revisar signo",IF(AND(C1057&lt;&gt;"Gasto",I1057&lt;&gt;0),"IVA solo en Gasto",IF(AND(C1057="Gasto",D1057=""),"Falta categoría","OK")))))))))</f>
        <v/>
      </c>
    </row>
    <row r="1058" spans="1:12" ht="22" customHeight="1">
      <c r="A1058" s="3"/>
      <c r="B1058" s="7"/>
      <c r="C1058" s="3"/>
      <c r="D1058" s="3"/>
      <c r="E1058" s="3"/>
      <c r="F1058" s="3"/>
      <c r="G1058" s="3"/>
      <c r="H1058" s="4"/>
      <c r="I1058" s="4"/>
      <c r="J1058" s="3"/>
      <c r="K1058" s="8" t="str">
        <f t="shared" si="16"/>
        <v/>
      </c>
      <c r="L1058" s="1" t="str">
        <f>IF(COUNTA(A1058:J1058)=0,"",IF(OR(AND(C1058&lt;&gt;"Gasto",C1058&lt;&gt;"Pago proveedor",C1058&lt;&gt;"Retiro familiar",C1058&lt;&gt;"Aportación",C1058&lt;&gt;"Pago activo",C1058&lt;&gt;"ISR devengado",C1058&lt;&gt;"Pago ISR",C1058&lt;&gt;"Pago IVA",C1058&lt;&gt;"Compensación ISR",C1058&lt;&gt;"Compensación IVA"),AND(C1058="Gasto",D1058&lt;&gt;"Costos clínicos",D1058&lt;&gt;"Remuneración familiar",D1058&lt;&gt;"Nómina y honorarios",D1058&lt;&gt;"Renta",D1058&lt;&gt;"Marketing",D1058&lt;&gt;"Servicios y software",D1058&lt;&gt;"Mantenimiento",D1058&lt;&gt;"Otros",D1058&lt;&gt;"Intereses")),"Tipo o categoría inválido",IF(COUNTA(A1058:J1058)=0,"",IF(OR(A1058="",B1058="",C1058="",H1058=""),"Faltan datos",IF(COUNTIF($A$7:$A$2006,A1058)&gt;1,"ID duplicado",IF(OR(B1058&lt;DATE(Configuración!$C$5,1,1),B1058&gt;=DATE(Configuración!$C$5+1,1,1)),"Fecha fuera del año",IF(OR(H1058&lt;0,I1058&lt;0),"Revisar signo",IF(AND(C1058&lt;&gt;"Gasto",I1058&lt;&gt;0),"IVA solo en Gasto",IF(AND(C1058="Gasto",D1058=""),"Falta categoría","OK")))))))))</f>
        <v/>
      </c>
    </row>
    <row r="1059" spans="1:12" ht="22" customHeight="1">
      <c r="A1059" s="3"/>
      <c r="B1059" s="7"/>
      <c r="C1059" s="3"/>
      <c r="D1059" s="3"/>
      <c r="E1059" s="3"/>
      <c r="F1059" s="3"/>
      <c r="G1059" s="3"/>
      <c r="H1059" s="4"/>
      <c r="I1059" s="4"/>
      <c r="J1059" s="3"/>
      <c r="K1059" s="8" t="str">
        <f t="shared" si="16"/>
        <v/>
      </c>
      <c r="L1059" s="1" t="str">
        <f>IF(COUNTA(A1059:J1059)=0,"",IF(OR(AND(C1059&lt;&gt;"Gasto",C1059&lt;&gt;"Pago proveedor",C1059&lt;&gt;"Retiro familiar",C1059&lt;&gt;"Aportación",C1059&lt;&gt;"Pago activo",C1059&lt;&gt;"ISR devengado",C1059&lt;&gt;"Pago ISR",C1059&lt;&gt;"Pago IVA",C1059&lt;&gt;"Compensación ISR",C1059&lt;&gt;"Compensación IVA"),AND(C1059="Gasto",D1059&lt;&gt;"Costos clínicos",D1059&lt;&gt;"Remuneración familiar",D1059&lt;&gt;"Nómina y honorarios",D1059&lt;&gt;"Renta",D1059&lt;&gt;"Marketing",D1059&lt;&gt;"Servicios y software",D1059&lt;&gt;"Mantenimiento",D1059&lt;&gt;"Otros",D1059&lt;&gt;"Intereses")),"Tipo o categoría inválido",IF(COUNTA(A1059:J1059)=0,"",IF(OR(A1059="",B1059="",C1059="",H1059=""),"Faltan datos",IF(COUNTIF($A$7:$A$2006,A1059)&gt;1,"ID duplicado",IF(OR(B1059&lt;DATE(Configuración!$C$5,1,1),B1059&gt;=DATE(Configuración!$C$5+1,1,1)),"Fecha fuera del año",IF(OR(H1059&lt;0,I1059&lt;0),"Revisar signo",IF(AND(C1059&lt;&gt;"Gasto",I1059&lt;&gt;0),"IVA solo en Gasto",IF(AND(C1059="Gasto",D1059=""),"Falta categoría","OK")))))))))</f>
        <v/>
      </c>
    </row>
    <row r="1060" spans="1:12" ht="22" customHeight="1">
      <c r="A1060" s="3"/>
      <c r="B1060" s="7"/>
      <c r="C1060" s="3"/>
      <c r="D1060" s="3"/>
      <c r="E1060" s="3"/>
      <c r="F1060" s="3"/>
      <c r="G1060" s="3"/>
      <c r="H1060" s="4"/>
      <c r="I1060" s="4"/>
      <c r="J1060" s="3"/>
      <c r="K1060" s="8" t="str">
        <f t="shared" si="16"/>
        <v/>
      </c>
      <c r="L1060" s="1" t="str">
        <f>IF(COUNTA(A1060:J1060)=0,"",IF(OR(AND(C1060&lt;&gt;"Gasto",C1060&lt;&gt;"Pago proveedor",C1060&lt;&gt;"Retiro familiar",C1060&lt;&gt;"Aportación",C1060&lt;&gt;"Pago activo",C1060&lt;&gt;"ISR devengado",C1060&lt;&gt;"Pago ISR",C1060&lt;&gt;"Pago IVA",C1060&lt;&gt;"Compensación ISR",C1060&lt;&gt;"Compensación IVA"),AND(C1060="Gasto",D1060&lt;&gt;"Costos clínicos",D1060&lt;&gt;"Remuneración familiar",D1060&lt;&gt;"Nómina y honorarios",D1060&lt;&gt;"Renta",D1060&lt;&gt;"Marketing",D1060&lt;&gt;"Servicios y software",D1060&lt;&gt;"Mantenimiento",D1060&lt;&gt;"Otros",D1060&lt;&gt;"Intereses")),"Tipo o categoría inválido",IF(COUNTA(A1060:J1060)=0,"",IF(OR(A1060="",B1060="",C1060="",H1060=""),"Faltan datos",IF(COUNTIF($A$7:$A$2006,A1060)&gt;1,"ID duplicado",IF(OR(B1060&lt;DATE(Configuración!$C$5,1,1),B1060&gt;=DATE(Configuración!$C$5+1,1,1)),"Fecha fuera del año",IF(OR(H1060&lt;0,I1060&lt;0),"Revisar signo",IF(AND(C1060&lt;&gt;"Gasto",I1060&lt;&gt;0),"IVA solo en Gasto",IF(AND(C1060="Gasto",D1060=""),"Falta categoría","OK")))))))))</f>
        <v/>
      </c>
    </row>
    <row r="1061" spans="1:12" ht="22" customHeight="1">
      <c r="A1061" s="3"/>
      <c r="B1061" s="7"/>
      <c r="C1061" s="3"/>
      <c r="D1061" s="3"/>
      <c r="E1061" s="3"/>
      <c r="F1061" s="3"/>
      <c r="G1061" s="3"/>
      <c r="H1061" s="4"/>
      <c r="I1061" s="4"/>
      <c r="J1061" s="3"/>
      <c r="K1061" s="8" t="str">
        <f t="shared" si="16"/>
        <v/>
      </c>
      <c r="L1061" s="1" t="str">
        <f>IF(COUNTA(A1061:J1061)=0,"",IF(OR(AND(C1061&lt;&gt;"Gasto",C1061&lt;&gt;"Pago proveedor",C1061&lt;&gt;"Retiro familiar",C1061&lt;&gt;"Aportación",C1061&lt;&gt;"Pago activo",C1061&lt;&gt;"ISR devengado",C1061&lt;&gt;"Pago ISR",C1061&lt;&gt;"Pago IVA",C1061&lt;&gt;"Compensación ISR",C1061&lt;&gt;"Compensación IVA"),AND(C1061="Gasto",D1061&lt;&gt;"Costos clínicos",D1061&lt;&gt;"Remuneración familiar",D1061&lt;&gt;"Nómina y honorarios",D1061&lt;&gt;"Renta",D1061&lt;&gt;"Marketing",D1061&lt;&gt;"Servicios y software",D1061&lt;&gt;"Mantenimiento",D1061&lt;&gt;"Otros",D1061&lt;&gt;"Intereses")),"Tipo o categoría inválido",IF(COUNTA(A1061:J1061)=0,"",IF(OR(A1061="",B1061="",C1061="",H1061=""),"Faltan datos",IF(COUNTIF($A$7:$A$2006,A1061)&gt;1,"ID duplicado",IF(OR(B1061&lt;DATE(Configuración!$C$5,1,1),B1061&gt;=DATE(Configuración!$C$5+1,1,1)),"Fecha fuera del año",IF(OR(H1061&lt;0,I1061&lt;0),"Revisar signo",IF(AND(C1061&lt;&gt;"Gasto",I1061&lt;&gt;0),"IVA solo en Gasto",IF(AND(C1061="Gasto",D1061=""),"Falta categoría","OK")))))))))</f>
        <v/>
      </c>
    </row>
    <row r="1062" spans="1:12" ht="22" customHeight="1">
      <c r="A1062" s="3"/>
      <c r="B1062" s="7"/>
      <c r="C1062" s="3"/>
      <c r="D1062" s="3"/>
      <c r="E1062" s="3"/>
      <c r="F1062" s="3"/>
      <c r="G1062" s="3"/>
      <c r="H1062" s="4"/>
      <c r="I1062" s="4"/>
      <c r="J1062" s="3"/>
      <c r="K1062" s="8" t="str">
        <f t="shared" si="16"/>
        <v/>
      </c>
      <c r="L1062" s="1" t="str">
        <f>IF(COUNTA(A1062:J1062)=0,"",IF(OR(AND(C1062&lt;&gt;"Gasto",C1062&lt;&gt;"Pago proveedor",C1062&lt;&gt;"Retiro familiar",C1062&lt;&gt;"Aportación",C1062&lt;&gt;"Pago activo",C1062&lt;&gt;"ISR devengado",C1062&lt;&gt;"Pago ISR",C1062&lt;&gt;"Pago IVA",C1062&lt;&gt;"Compensación ISR",C1062&lt;&gt;"Compensación IVA"),AND(C1062="Gasto",D1062&lt;&gt;"Costos clínicos",D1062&lt;&gt;"Remuneración familiar",D1062&lt;&gt;"Nómina y honorarios",D1062&lt;&gt;"Renta",D1062&lt;&gt;"Marketing",D1062&lt;&gt;"Servicios y software",D1062&lt;&gt;"Mantenimiento",D1062&lt;&gt;"Otros",D1062&lt;&gt;"Intereses")),"Tipo o categoría inválido",IF(COUNTA(A1062:J1062)=0,"",IF(OR(A1062="",B1062="",C1062="",H1062=""),"Faltan datos",IF(COUNTIF($A$7:$A$2006,A1062)&gt;1,"ID duplicado",IF(OR(B1062&lt;DATE(Configuración!$C$5,1,1),B1062&gt;=DATE(Configuración!$C$5+1,1,1)),"Fecha fuera del año",IF(OR(H1062&lt;0,I1062&lt;0),"Revisar signo",IF(AND(C1062&lt;&gt;"Gasto",I1062&lt;&gt;0),"IVA solo en Gasto",IF(AND(C1062="Gasto",D1062=""),"Falta categoría","OK")))))))))</f>
        <v/>
      </c>
    </row>
    <row r="1063" spans="1:12" ht="22" customHeight="1">
      <c r="A1063" s="3"/>
      <c r="B1063" s="7"/>
      <c r="C1063" s="3"/>
      <c r="D1063" s="3"/>
      <c r="E1063" s="3"/>
      <c r="F1063" s="3"/>
      <c r="G1063" s="3"/>
      <c r="H1063" s="4"/>
      <c r="I1063" s="4"/>
      <c r="J1063" s="3"/>
      <c r="K1063" s="8" t="str">
        <f t="shared" si="16"/>
        <v/>
      </c>
      <c r="L1063" s="1" t="str">
        <f>IF(COUNTA(A1063:J1063)=0,"",IF(OR(AND(C1063&lt;&gt;"Gasto",C1063&lt;&gt;"Pago proveedor",C1063&lt;&gt;"Retiro familiar",C1063&lt;&gt;"Aportación",C1063&lt;&gt;"Pago activo",C1063&lt;&gt;"ISR devengado",C1063&lt;&gt;"Pago ISR",C1063&lt;&gt;"Pago IVA",C1063&lt;&gt;"Compensación ISR",C1063&lt;&gt;"Compensación IVA"),AND(C1063="Gasto",D1063&lt;&gt;"Costos clínicos",D1063&lt;&gt;"Remuneración familiar",D1063&lt;&gt;"Nómina y honorarios",D1063&lt;&gt;"Renta",D1063&lt;&gt;"Marketing",D1063&lt;&gt;"Servicios y software",D1063&lt;&gt;"Mantenimiento",D1063&lt;&gt;"Otros",D1063&lt;&gt;"Intereses")),"Tipo o categoría inválido",IF(COUNTA(A1063:J1063)=0,"",IF(OR(A1063="",B1063="",C1063="",H1063=""),"Faltan datos",IF(COUNTIF($A$7:$A$2006,A1063)&gt;1,"ID duplicado",IF(OR(B1063&lt;DATE(Configuración!$C$5,1,1),B1063&gt;=DATE(Configuración!$C$5+1,1,1)),"Fecha fuera del año",IF(OR(H1063&lt;0,I1063&lt;0),"Revisar signo",IF(AND(C1063&lt;&gt;"Gasto",I1063&lt;&gt;0),"IVA solo en Gasto",IF(AND(C1063="Gasto",D1063=""),"Falta categoría","OK")))))))))</f>
        <v/>
      </c>
    </row>
    <row r="1064" spans="1:12" ht="22" customHeight="1">
      <c r="A1064" s="3"/>
      <c r="B1064" s="7"/>
      <c r="C1064" s="3"/>
      <c r="D1064" s="3"/>
      <c r="E1064" s="3"/>
      <c r="F1064" s="3"/>
      <c r="G1064" s="3"/>
      <c r="H1064" s="4"/>
      <c r="I1064" s="4"/>
      <c r="J1064" s="3"/>
      <c r="K1064" s="8" t="str">
        <f t="shared" si="16"/>
        <v/>
      </c>
      <c r="L1064" s="1" t="str">
        <f>IF(COUNTA(A1064:J1064)=0,"",IF(OR(AND(C1064&lt;&gt;"Gasto",C1064&lt;&gt;"Pago proveedor",C1064&lt;&gt;"Retiro familiar",C1064&lt;&gt;"Aportación",C1064&lt;&gt;"Pago activo",C1064&lt;&gt;"ISR devengado",C1064&lt;&gt;"Pago ISR",C1064&lt;&gt;"Pago IVA",C1064&lt;&gt;"Compensación ISR",C1064&lt;&gt;"Compensación IVA"),AND(C1064="Gasto",D1064&lt;&gt;"Costos clínicos",D1064&lt;&gt;"Remuneración familiar",D1064&lt;&gt;"Nómina y honorarios",D1064&lt;&gt;"Renta",D1064&lt;&gt;"Marketing",D1064&lt;&gt;"Servicios y software",D1064&lt;&gt;"Mantenimiento",D1064&lt;&gt;"Otros",D1064&lt;&gt;"Intereses")),"Tipo o categoría inválido",IF(COUNTA(A1064:J1064)=0,"",IF(OR(A1064="",B1064="",C1064="",H1064=""),"Faltan datos",IF(COUNTIF($A$7:$A$2006,A1064)&gt;1,"ID duplicado",IF(OR(B1064&lt;DATE(Configuración!$C$5,1,1),B1064&gt;=DATE(Configuración!$C$5+1,1,1)),"Fecha fuera del año",IF(OR(H1064&lt;0,I1064&lt;0),"Revisar signo",IF(AND(C1064&lt;&gt;"Gasto",I1064&lt;&gt;0),"IVA solo en Gasto",IF(AND(C1064="Gasto",D1064=""),"Falta categoría","OK")))))))))</f>
        <v/>
      </c>
    </row>
    <row r="1065" spans="1:12" ht="22" customHeight="1">
      <c r="A1065" s="3"/>
      <c r="B1065" s="7"/>
      <c r="C1065" s="3"/>
      <c r="D1065" s="3"/>
      <c r="E1065" s="3"/>
      <c r="F1065" s="3"/>
      <c r="G1065" s="3"/>
      <c r="H1065" s="4"/>
      <c r="I1065" s="4"/>
      <c r="J1065" s="3"/>
      <c r="K1065" s="8" t="str">
        <f t="shared" si="16"/>
        <v/>
      </c>
      <c r="L1065" s="1" t="str">
        <f>IF(COUNTA(A1065:J1065)=0,"",IF(OR(AND(C1065&lt;&gt;"Gasto",C1065&lt;&gt;"Pago proveedor",C1065&lt;&gt;"Retiro familiar",C1065&lt;&gt;"Aportación",C1065&lt;&gt;"Pago activo",C1065&lt;&gt;"ISR devengado",C1065&lt;&gt;"Pago ISR",C1065&lt;&gt;"Pago IVA",C1065&lt;&gt;"Compensación ISR",C1065&lt;&gt;"Compensación IVA"),AND(C1065="Gasto",D1065&lt;&gt;"Costos clínicos",D1065&lt;&gt;"Remuneración familiar",D1065&lt;&gt;"Nómina y honorarios",D1065&lt;&gt;"Renta",D1065&lt;&gt;"Marketing",D1065&lt;&gt;"Servicios y software",D1065&lt;&gt;"Mantenimiento",D1065&lt;&gt;"Otros",D1065&lt;&gt;"Intereses")),"Tipo o categoría inválido",IF(COUNTA(A1065:J1065)=0,"",IF(OR(A1065="",B1065="",C1065="",H1065=""),"Faltan datos",IF(COUNTIF($A$7:$A$2006,A1065)&gt;1,"ID duplicado",IF(OR(B1065&lt;DATE(Configuración!$C$5,1,1),B1065&gt;=DATE(Configuración!$C$5+1,1,1)),"Fecha fuera del año",IF(OR(H1065&lt;0,I1065&lt;0),"Revisar signo",IF(AND(C1065&lt;&gt;"Gasto",I1065&lt;&gt;0),"IVA solo en Gasto",IF(AND(C1065="Gasto",D1065=""),"Falta categoría","OK")))))))))</f>
        <v/>
      </c>
    </row>
    <row r="1066" spans="1:12" ht="22" customHeight="1">
      <c r="A1066" s="3"/>
      <c r="B1066" s="7"/>
      <c r="C1066" s="3"/>
      <c r="D1066" s="3"/>
      <c r="E1066" s="3"/>
      <c r="F1066" s="3"/>
      <c r="G1066" s="3"/>
      <c r="H1066" s="4"/>
      <c r="I1066" s="4"/>
      <c r="J1066" s="3"/>
      <c r="K1066" s="8" t="str">
        <f t="shared" si="16"/>
        <v/>
      </c>
      <c r="L1066" s="1" t="str">
        <f>IF(COUNTA(A1066:J1066)=0,"",IF(OR(AND(C1066&lt;&gt;"Gasto",C1066&lt;&gt;"Pago proveedor",C1066&lt;&gt;"Retiro familiar",C1066&lt;&gt;"Aportación",C1066&lt;&gt;"Pago activo",C1066&lt;&gt;"ISR devengado",C1066&lt;&gt;"Pago ISR",C1066&lt;&gt;"Pago IVA",C1066&lt;&gt;"Compensación ISR",C1066&lt;&gt;"Compensación IVA"),AND(C1066="Gasto",D1066&lt;&gt;"Costos clínicos",D1066&lt;&gt;"Remuneración familiar",D1066&lt;&gt;"Nómina y honorarios",D1066&lt;&gt;"Renta",D1066&lt;&gt;"Marketing",D1066&lt;&gt;"Servicios y software",D1066&lt;&gt;"Mantenimiento",D1066&lt;&gt;"Otros",D1066&lt;&gt;"Intereses")),"Tipo o categoría inválido",IF(COUNTA(A1066:J1066)=0,"",IF(OR(A1066="",B1066="",C1066="",H1066=""),"Faltan datos",IF(COUNTIF($A$7:$A$2006,A1066)&gt;1,"ID duplicado",IF(OR(B1066&lt;DATE(Configuración!$C$5,1,1),B1066&gt;=DATE(Configuración!$C$5+1,1,1)),"Fecha fuera del año",IF(OR(H1066&lt;0,I1066&lt;0),"Revisar signo",IF(AND(C1066&lt;&gt;"Gasto",I1066&lt;&gt;0),"IVA solo en Gasto",IF(AND(C1066="Gasto",D1066=""),"Falta categoría","OK")))))))))</f>
        <v/>
      </c>
    </row>
    <row r="1067" spans="1:12" ht="22" customHeight="1">
      <c r="A1067" s="3"/>
      <c r="B1067" s="7"/>
      <c r="C1067" s="3"/>
      <c r="D1067" s="3"/>
      <c r="E1067" s="3"/>
      <c r="F1067" s="3"/>
      <c r="G1067" s="3"/>
      <c r="H1067" s="4"/>
      <c r="I1067" s="4"/>
      <c r="J1067" s="3"/>
      <c r="K1067" s="8" t="str">
        <f t="shared" si="16"/>
        <v/>
      </c>
      <c r="L1067" s="1" t="str">
        <f>IF(COUNTA(A1067:J1067)=0,"",IF(OR(AND(C1067&lt;&gt;"Gasto",C1067&lt;&gt;"Pago proveedor",C1067&lt;&gt;"Retiro familiar",C1067&lt;&gt;"Aportación",C1067&lt;&gt;"Pago activo",C1067&lt;&gt;"ISR devengado",C1067&lt;&gt;"Pago ISR",C1067&lt;&gt;"Pago IVA",C1067&lt;&gt;"Compensación ISR",C1067&lt;&gt;"Compensación IVA"),AND(C1067="Gasto",D1067&lt;&gt;"Costos clínicos",D1067&lt;&gt;"Remuneración familiar",D1067&lt;&gt;"Nómina y honorarios",D1067&lt;&gt;"Renta",D1067&lt;&gt;"Marketing",D1067&lt;&gt;"Servicios y software",D1067&lt;&gt;"Mantenimiento",D1067&lt;&gt;"Otros",D1067&lt;&gt;"Intereses")),"Tipo o categoría inválido",IF(COUNTA(A1067:J1067)=0,"",IF(OR(A1067="",B1067="",C1067="",H1067=""),"Faltan datos",IF(COUNTIF($A$7:$A$2006,A1067)&gt;1,"ID duplicado",IF(OR(B1067&lt;DATE(Configuración!$C$5,1,1),B1067&gt;=DATE(Configuración!$C$5+1,1,1)),"Fecha fuera del año",IF(OR(H1067&lt;0,I1067&lt;0),"Revisar signo",IF(AND(C1067&lt;&gt;"Gasto",I1067&lt;&gt;0),"IVA solo en Gasto",IF(AND(C1067="Gasto",D1067=""),"Falta categoría","OK")))))))))</f>
        <v/>
      </c>
    </row>
    <row r="1068" spans="1:12" ht="22" customHeight="1">
      <c r="A1068" s="3"/>
      <c r="B1068" s="7"/>
      <c r="C1068" s="3"/>
      <c r="D1068" s="3"/>
      <c r="E1068" s="3"/>
      <c r="F1068" s="3"/>
      <c r="G1068" s="3"/>
      <c r="H1068" s="4"/>
      <c r="I1068" s="4"/>
      <c r="J1068" s="3"/>
      <c r="K1068" s="8" t="str">
        <f t="shared" si="16"/>
        <v/>
      </c>
      <c r="L1068" s="1" t="str">
        <f>IF(COUNTA(A1068:J1068)=0,"",IF(OR(AND(C1068&lt;&gt;"Gasto",C1068&lt;&gt;"Pago proveedor",C1068&lt;&gt;"Retiro familiar",C1068&lt;&gt;"Aportación",C1068&lt;&gt;"Pago activo",C1068&lt;&gt;"ISR devengado",C1068&lt;&gt;"Pago ISR",C1068&lt;&gt;"Pago IVA",C1068&lt;&gt;"Compensación ISR",C1068&lt;&gt;"Compensación IVA"),AND(C1068="Gasto",D1068&lt;&gt;"Costos clínicos",D1068&lt;&gt;"Remuneración familiar",D1068&lt;&gt;"Nómina y honorarios",D1068&lt;&gt;"Renta",D1068&lt;&gt;"Marketing",D1068&lt;&gt;"Servicios y software",D1068&lt;&gt;"Mantenimiento",D1068&lt;&gt;"Otros",D1068&lt;&gt;"Intereses")),"Tipo o categoría inválido",IF(COUNTA(A1068:J1068)=0,"",IF(OR(A1068="",B1068="",C1068="",H1068=""),"Faltan datos",IF(COUNTIF($A$7:$A$2006,A1068)&gt;1,"ID duplicado",IF(OR(B1068&lt;DATE(Configuración!$C$5,1,1),B1068&gt;=DATE(Configuración!$C$5+1,1,1)),"Fecha fuera del año",IF(OR(H1068&lt;0,I1068&lt;0),"Revisar signo",IF(AND(C1068&lt;&gt;"Gasto",I1068&lt;&gt;0),"IVA solo en Gasto",IF(AND(C1068="Gasto",D1068=""),"Falta categoría","OK")))))))))</f>
        <v/>
      </c>
    </row>
    <row r="1069" spans="1:12" ht="22" customHeight="1">
      <c r="A1069" s="3"/>
      <c r="B1069" s="7"/>
      <c r="C1069" s="3"/>
      <c r="D1069" s="3"/>
      <c r="E1069" s="3"/>
      <c r="F1069" s="3"/>
      <c r="G1069" s="3"/>
      <c r="H1069" s="4"/>
      <c r="I1069" s="4"/>
      <c r="J1069" s="3"/>
      <c r="K1069" s="8" t="str">
        <f t="shared" si="16"/>
        <v/>
      </c>
      <c r="L1069" s="1" t="str">
        <f>IF(COUNTA(A1069:J1069)=0,"",IF(OR(AND(C1069&lt;&gt;"Gasto",C1069&lt;&gt;"Pago proveedor",C1069&lt;&gt;"Retiro familiar",C1069&lt;&gt;"Aportación",C1069&lt;&gt;"Pago activo",C1069&lt;&gt;"ISR devengado",C1069&lt;&gt;"Pago ISR",C1069&lt;&gt;"Pago IVA",C1069&lt;&gt;"Compensación ISR",C1069&lt;&gt;"Compensación IVA"),AND(C1069="Gasto",D1069&lt;&gt;"Costos clínicos",D1069&lt;&gt;"Remuneración familiar",D1069&lt;&gt;"Nómina y honorarios",D1069&lt;&gt;"Renta",D1069&lt;&gt;"Marketing",D1069&lt;&gt;"Servicios y software",D1069&lt;&gt;"Mantenimiento",D1069&lt;&gt;"Otros",D1069&lt;&gt;"Intereses")),"Tipo o categoría inválido",IF(COUNTA(A1069:J1069)=0,"",IF(OR(A1069="",B1069="",C1069="",H1069=""),"Faltan datos",IF(COUNTIF($A$7:$A$2006,A1069)&gt;1,"ID duplicado",IF(OR(B1069&lt;DATE(Configuración!$C$5,1,1),B1069&gt;=DATE(Configuración!$C$5+1,1,1)),"Fecha fuera del año",IF(OR(H1069&lt;0,I1069&lt;0),"Revisar signo",IF(AND(C1069&lt;&gt;"Gasto",I1069&lt;&gt;0),"IVA solo en Gasto",IF(AND(C1069="Gasto",D1069=""),"Falta categoría","OK")))))))))</f>
        <v/>
      </c>
    </row>
    <row r="1070" spans="1:12" ht="22" customHeight="1">
      <c r="A1070" s="3"/>
      <c r="B1070" s="7"/>
      <c r="C1070" s="3"/>
      <c r="D1070" s="3"/>
      <c r="E1070" s="3"/>
      <c r="F1070" s="3"/>
      <c r="G1070" s="3"/>
      <c r="H1070" s="4"/>
      <c r="I1070" s="4"/>
      <c r="J1070" s="3"/>
      <c r="K1070" s="8" t="str">
        <f t="shared" si="16"/>
        <v/>
      </c>
      <c r="L1070" s="1" t="str">
        <f>IF(COUNTA(A1070:J1070)=0,"",IF(OR(AND(C1070&lt;&gt;"Gasto",C1070&lt;&gt;"Pago proveedor",C1070&lt;&gt;"Retiro familiar",C1070&lt;&gt;"Aportación",C1070&lt;&gt;"Pago activo",C1070&lt;&gt;"ISR devengado",C1070&lt;&gt;"Pago ISR",C1070&lt;&gt;"Pago IVA",C1070&lt;&gt;"Compensación ISR",C1070&lt;&gt;"Compensación IVA"),AND(C1070="Gasto",D1070&lt;&gt;"Costos clínicos",D1070&lt;&gt;"Remuneración familiar",D1070&lt;&gt;"Nómina y honorarios",D1070&lt;&gt;"Renta",D1070&lt;&gt;"Marketing",D1070&lt;&gt;"Servicios y software",D1070&lt;&gt;"Mantenimiento",D1070&lt;&gt;"Otros",D1070&lt;&gt;"Intereses")),"Tipo o categoría inválido",IF(COUNTA(A1070:J1070)=0,"",IF(OR(A1070="",B1070="",C1070="",H1070=""),"Faltan datos",IF(COUNTIF($A$7:$A$2006,A1070)&gt;1,"ID duplicado",IF(OR(B1070&lt;DATE(Configuración!$C$5,1,1),B1070&gt;=DATE(Configuración!$C$5+1,1,1)),"Fecha fuera del año",IF(OR(H1070&lt;0,I1070&lt;0),"Revisar signo",IF(AND(C1070&lt;&gt;"Gasto",I1070&lt;&gt;0),"IVA solo en Gasto",IF(AND(C1070="Gasto",D1070=""),"Falta categoría","OK")))))))))</f>
        <v/>
      </c>
    </row>
    <row r="1071" spans="1:12" ht="22" customHeight="1">
      <c r="A1071" s="3"/>
      <c r="B1071" s="7"/>
      <c r="C1071" s="3"/>
      <c r="D1071" s="3"/>
      <c r="E1071" s="3"/>
      <c r="F1071" s="3"/>
      <c r="G1071" s="3"/>
      <c r="H1071" s="4"/>
      <c r="I1071" s="4"/>
      <c r="J1071" s="3"/>
      <c r="K1071" s="8" t="str">
        <f t="shared" si="16"/>
        <v/>
      </c>
      <c r="L1071" s="1" t="str">
        <f>IF(COUNTA(A1071:J1071)=0,"",IF(OR(AND(C1071&lt;&gt;"Gasto",C1071&lt;&gt;"Pago proveedor",C1071&lt;&gt;"Retiro familiar",C1071&lt;&gt;"Aportación",C1071&lt;&gt;"Pago activo",C1071&lt;&gt;"ISR devengado",C1071&lt;&gt;"Pago ISR",C1071&lt;&gt;"Pago IVA",C1071&lt;&gt;"Compensación ISR",C1071&lt;&gt;"Compensación IVA"),AND(C1071="Gasto",D1071&lt;&gt;"Costos clínicos",D1071&lt;&gt;"Remuneración familiar",D1071&lt;&gt;"Nómina y honorarios",D1071&lt;&gt;"Renta",D1071&lt;&gt;"Marketing",D1071&lt;&gt;"Servicios y software",D1071&lt;&gt;"Mantenimiento",D1071&lt;&gt;"Otros",D1071&lt;&gt;"Intereses")),"Tipo o categoría inválido",IF(COUNTA(A1071:J1071)=0,"",IF(OR(A1071="",B1071="",C1071="",H1071=""),"Faltan datos",IF(COUNTIF($A$7:$A$2006,A1071)&gt;1,"ID duplicado",IF(OR(B1071&lt;DATE(Configuración!$C$5,1,1),B1071&gt;=DATE(Configuración!$C$5+1,1,1)),"Fecha fuera del año",IF(OR(H1071&lt;0,I1071&lt;0),"Revisar signo",IF(AND(C1071&lt;&gt;"Gasto",I1071&lt;&gt;0),"IVA solo en Gasto",IF(AND(C1071="Gasto",D1071=""),"Falta categoría","OK")))))))))</f>
        <v/>
      </c>
    </row>
    <row r="1072" spans="1:12" ht="22" customHeight="1">
      <c r="A1072" s="3"/>
      <c r="B1072" s="7"/>
      <c r="C1072" s="3"/>
      <c r="D1072" s="3"/>
      <c r="E1072" s="3"/>
      <c r="F1072" s="3"/>
      <c r="G1072" s="3"/>
      <c r="H1072" s="4"/>
      <c r="I1072" s="4"/>
      <c r="J1072" s="3"/>
      <c r="K1072" s="8" t="str">
        <f t="shared" si="16"/>
        <v/>
      </c>
      <c r="L1072" s="1" t="str">
        <f>IF(COUNTA(A1072:J1072)=0,"",IF(OR(AND(C1072&lt;&gt;"Gasto",C1072&lt;&gt;"Pago proveedor",C1072&lt;&gt;"Retiro familiar",C1072&lt;&gt;"Aportación",C1072&lt;&gt;"Pago activo",C1072&lt;&gt;"ISR devengado",C1072&lt;&gt;"Pago ISR",C1072&lt;&gt;"Pago IVA",C1072&lt;&gt;"Compensación ISR",C1072&lt;&gt;"Compensación IVA"),AND(C1072="Gasto",D1072&lt;&gt;"Costos clínicos",D1072&lt;&gt;"Remuneración familiar",D1072&lt;&gt;"Nómina y honorarios",D1072&lt;&gt;"Renta",D1072&lt;&gt;"Marketing",D1072&lt;&gt;"Servicios y software",D1072&lt;&gt;"Mantenimiento",D1072&lt;&gt;"Otros",D1072&lt;&gt;"Intereses")),"Tipo o categoría inválido",IF(COUNTA(A1072:J1072)=0,"",IF(OR(A1072="",B1072="",C1072="",H1072=""),"Faltan datos",IF(COUNTIF($A$7:$A$2006,A1072)&gt;1,"ID duplicado",IF(OR(B1072&lt;DATE(Configuración!$C$5,1,1),B1072&gt;=DATE(Configuración!$C$5+1,1,1)),"Fecha fuera del año",IF(OR(H1072&lt;0,I1072&lt;0),"Revisar signo",IF(AND(C1072&lt;&gt;"Gasto",I1072&lt;&gt;0),"IVA solo en Gasto",IF(AND(C1072="Gasto",D1072=""),"Falta categoría","OK")))))))))</f>
        <v/>
      </c>
    </row>
    <row r="1073" spans="1:12" ht="22" customHeight="1">
      <c r="A1073" s="3"/>
      <c r="B1073" s="7"/>
      <c r="C1073" s="3"/>
      <c r="D1073" s="3"/>
      <c r="E1073" s="3"/>
      <c r="F1073" s="3"/>
      <c r="G1073" s="3"/>
      <c r="H1073" s="4"/>
      <c r="I1073" s="4"/>
      <c r="J1073" s="3"/>
      <c r="K1073" s="8" t="str">
        <f t="shared" si="16"/>
        <v/>
      </c>
      <c r="L1073" s="1" t="str">
        <f>IF(COUNTA(A1073:J1073)=0,"",IF(OR(AND(C1073&lt;&gt;"Gasto",C1073&lt;&gt;"Pago proveedor",C1073&lt;&gt;"Retiro familiar",C1073&lt;&gt;"Aportación",C1073&lt;&gt;"Pago activo",C1073&lt;&gt;"ISR devengado",C1073&lt;&gt;"Pago ISR",C1073&lt;&gt;"Pago IVA",C1073&lt;&gt;"Compensación ISR",C1073&lt;&gt;"Compensación IVA"),AND(C1073="Gasto",D1073&lt;&gt;"Costos clínicos",D1073&lt;&gt;"Remuneración familiar",D1073&lt;&gt;"Nómina y honorarios",D1073&lt;&gt;"Renta",D1073&lt;&gt;"Marketing",D1073&lt;&gt;"Servicios y software",D1073&lt;&gt;"Mantenimiento",D1073&lt;&gt;"Otros",D1073&lt;&gt;"Intereses")),"Tipo o categoría inválido",IF(COUNTA(A1073:J1073)=0,"",IF(OR(A1073="",B1073="",C1073="",H1073=""),"Faltan datos",IF(COUNTIF($A$7:$A$2006,A1073)&gt;1,"ID duplicado",IF(OR(B1073&lt;DATE(Configuración!$C$5,1,1),B1073&gt;=DATE(Configuración!$C$5+1,1,1)),"Fecha fuera del año",IF(OR(H1073&lt;0,I1073&lt;0),"Revisar signo",IF(AND(C1073&lt;&gt;"Gasto",I1073&lt;&gt;0),"IVA solo en Gasto",IF(AND(C1073="Gasto",D1073=""),"Falta categoría","OK")))))))))</f>
        <v/>
      </c>
    </row>
    <row r="1074" spans="1:12" ht="22" customHeight="1">
      <c r="A1074" s="3"/>
      <c r="B1074" s="7"/>
      <c r="C1074" s="3"/>
      <c r="D1074" s="3"/>
      <c r="E1074" s="3"/>
      <c r="F1074" s="3"/>
      <c r="G1074" s="3"/>
      <c r="H1074" s="4"/>
      <c r="I1074" s="4"/>
      <c r="J1074" s="3"/>
      <c r="K1074" s="8" t="str">
        <f t="shared" si="16"/>
        <v/>
      </c>
      <c r="L1074" s="1" t="str">
        <f>IF(COUNTA(A1074:J1074)=0,"",IF(OR(AND(C1074&lt;&gt;"Gasto",C1074&lt;&gt;"Pago proveedor",C1074&lt;&gt;"Retiro familiar",C1074&lt;&gt;"Aportación",C1074&lt;&gt;"Pago activo",C1074&lt;&gt;"ISR devengado",C1074&lt;&gt;"Pago ISR",C1074&lt;&gt;"Pago IVA",C1074&lt;&gt;"Compensación ISR",C1074&lt;&gt;"Compensación IVA"),AND(C1074="Gasto",D1074&lt;&gt;"Costos clínicos",D1074&lt;&gt;"Remuneración familiar",D1074&lt;&gt;"Nómina y honorarios",D1074&lt;&gt;"Renta",D1074&lt;&gt;"Marketing",D1074&lt;&gt;"Servicios y software",D1074&lt;&gt;"Mantenimiento",D1074&lt;&gt;"Otros",D1074&lt;&gt;"Intereses")),"Tipo o categoría inválido",IF(COUNTA(A1074:J1074)=0,"",IF(OR(A1074="",B1074="",C1074="",H1074=""),"Faltan datos",IF(COUNTIF($A$7:$A$2006,A1074)&gt;1,"ID duplicado",IF(OR(B1074&lt;DATE(Configuración!$C$5,1,1),B1074&gt;=DATE(Configuración!$C$5+1,1,1)),"Fecha fuera del año",IF(OR(H1074&lt;0,I1074&lt;0),"Revisar signo",IF(AND(C1074&lt;&gt;"Gasto",I1074&lt;&gt;0),"IVA solo en Gasto",IF(AND(C1074="Gasto",D1074=""),"Falta categoría","OK")))))))))</f>
        <v/>
      </c>
    </row>
    <row r="1075" spans="1:12" ht="22" customHeight="1">
      <c r="A1075" s="3"/>
      <c r="B1075" s="7"/>
      <c r="C1075" s="3"/>
      <c r="D1075" s="3"/>
      <c r="E1075" s="3"/>
      <c r="F1075" s="3"/>
      <c r="G1075" s="3"/>
      <c r="H1075" s="4"/>
      <c r="I1075" s="4"/>
      <c r="J1075" s="3"/>
      <c r="K1075" s="8" t="str">
        <f t="shared" si="16"/>
        <v/>
      </c>
      <c r="L1075" s="1" t="str">
        <f>IF(COUNTA(A1075:J1075)=0,"",IF(OR(AND(C1075&lt;&gt;"Gasto",C1075&lt;&gt;"Pago proveedor",C1075&lt;&gt;"Retiro familiar",C1075&lt;&gt;"Aportación",C1075&lt;&gt;"Pago activo",C1075&lt;&gt;"ISR devengado",C1075&lt;&gt;"Pago ISR",C1075&lt;&gt;"Pago IVA",C1075&lt;&gt;"Compensación ISR",C1075&lt;&gt;"Compensación IVA"),AND(C1075="Gasto",D1075&lt;&gt;"Costos clínicos",D1075&lt;&gt;"Remuneración familiar",D1075&lt;&gt;"Nómina y honorarios",D1075&lt;&gt;"Renta",D1075&lt;&gt;"Marketing",D1075&lt;&gt;"Servicios y software",D1075&lt;&gt;"Mantenimiento",D1075&lt;&gt;"Otros",D1075&lt;&gt;"Intereses")),"Tipo o categoría inválido",IF(COUNTA(A1075:J1075)=0,"",IF(OR(A1075="",B1075="",C1075="",H1075=""),"Faltan datos",IF(COUNTIF($A$7:$A$2006,A1075)&gt;1,"ID duplicado",IF(OR(B1075&lt;DATE(Configuración!$C$5,1,1),B1075&gt;=DATE(Configuración!$C$5+1,1,1)),"Fecha fuera del año",IF(OR(H1075&lt;0,I1075&lt;0),"Revisar signo",IF(AND(C1075&lt;&gt;"Gasto",I1075&lt;&gt;0),"IVA solo en Gasto",IF(AND(C1075="Gasto",D1075=""),"Falta categoría","OK")))))))))</f>
        <v/>
      </c>
    </row>
    <row r="1076" spans="1:12" ht="22" customHeight="1">
      <c r="A1076" s="3"/>
      <c r="B1076" s="7"/>
      <c r="C1076" s="3"/>
      <c r="D1076" s="3"/>
      <c r="E1076" s="3"/>
      <c r="F1076" s="3"/>
      <c r="G1076" s="3"/>
      <c r="H1076" s="4"/>
      <c r="I1076" s="4"/>
      <c r="J1076" s="3"/>
      <c r="K1076" s="8" t="str">
        <f t="shared" si="16"/>
        <v/>
      </c>
      <c r="L1076" s="1" t="str">
        <f>IF(COUNTA(A1076:J1076)=0,"",IF(OR(AND(C1076&lt;&gt;"Gasto",C1076&lt;&gt;"Pago proveedor",C1076&lt;&gt;"Retiro familiar",C1076&lt;&gt;"Aportación",C1076&lt;&gt;"Pago activo",C1076&lt;&gt;"ISR devengado",C1076&lt;&gt;"Pago ISR",C1076&lt;&gt;"Pago IVA",C1076&lt;&gt;"Compensación ISR",C1076&lt;&gt;"Compensación IVA"),AND(C1076="Gasto",D1076&lt;&gt;"Costos clínicos",D1076&lt;&gt;"Remuneración familiar",D1076&lt;&gt;"Nómina y honorarios",D1076&lt;&gt;"Renta",D1076&lt;&gt;"Marketing",D1076&lt;&gt;"Servicios y software",D1076&lt;&gt;"Mantenimiento",D1076&lt;&gt;"Otros",D1076&lt;&gt;"Intereses")),"Tipo o categoría inválido",IF(COUNTA(A1076:J1076)=0,"",IF(OR(A1076="",B1076="",C1076="",H1076=""),"Faltan datos",IF(COUNTIF($A$7:$A$2006,A1076)&gt;1,"ID duplicado",IF(OR(B1076&lt;DATE(Configuración!$C$5,1,1),B1076&gt;=DATE(Configuración!$C$5+1,1,1)),"Fecha fuera del año",IF(OR(H1076&lt;0,I1076&lt;0),"Revisar signo",IF(AND(C1076&lt;&gt;"Gasto",I1076&lt;&gt;0),"IVA solo en Gasto",IF(AND(C1076="Gasto",D1076=""),"Falta categoría","OK")))))))))</f>
        <v/>
      </c>
    </row>
    <row r="1077" spans="1:12" ht="22" customHeight="1">
      <c r="A1077" s="3"/>
      <c r="B1077" s="7"/>
      <c r="C1077" s="3"/>
      <c r="D1077" s="3"/>
      <c r="E1077" s="3"/>
      <c r="F1077" s="3"/>
      <c r="G1077" s="3"/>
      <c r="H1077" s="4"/>
      <c r="I1077" s="4"/>
      <c r="J1077" s="3"/>
      <c r="K1077" s="8" t="str">
        <f t="shared" si="16"/>
        <v/>
      </c>
      <c r="L1077" s="1" t="str">
        <f>IF(COUNTA(A1077:J1077)=0,"",IF(OR(AND(C1077&lt;&gt;"Gasto",C1077&lt;&gt;"Pago proveedor",C1077&lt;&gt;"Retiro familiar",C1077&lt;&gt;"Aportación",C1077&lt;&gt;"Pago activo",C1077&lt;&gt;"ISR devengado",C1077&lt;&gt;"Pago ISR",C1077&lt;&gt;"Pago IVA",C1077&lt;&gt;"Compensación ISR",C1077&lt;&gt;"Compensación IVA"),AND(C1077="Gasto",D1077&lt;&gt;"Costos clínicos",D1077&lt;&gt;"Remuneración familiar",D1077&lt;&gt;"Nómina y honorarios",D1077&lt;&gt;"Renta",D1077&lt;&gt;"Marketing",D1077&lt;&gt;"Servicios y software",D1077&lt;&gt;"Mantenimiento",D1077&lt;&gt;"Otros",D1077&lt;&gt;"Intereses")),"Tipo o categoría inválido",IF(COUNTA(A1077:J1077)=0,"",IF(OR(A1077="",B1077="",C1077="",H1077=""),"Faltan datos",IF(COUNTIF($A$7:$A$2006,A1077)&gt;1,"ID duplicado",IF(OR(B1077&lt;DATE(Configuración!$C$5,1,1),B1077&gt;=DATE(Configuración!$C$5+1,1,1)),"Fecha fuera del año",IF(OR(H1077&lt;0,I1077&lt;0),"Revisar signo",IF(AND(C1077&lt;&gt;"Gasto",I1077&lt;&gt;0),"IVA solo en Gasto",IF(AND(C1077="Gasto",D1077=""),"Falta categoría","OK")))))))))</f>
        <v/>
      </c>
    </row>
    <row r="1078" spans="1:12" ht="22" customHeight="1">
      <c r="A1078" s="3"/>
      <c r="B1078" s="7"/>
      <c r="C1078" s="3"/>
      <c r="D1078" s="3"/>
      <c r="E1078" s="3"/>
      <c r="F1078" s="3"/>
      <c r="G1078" s="3"/>
      <c r="H1078" s="4"/>
      <c r="I1078" s="4"/>
      <c r="J1078" s="3"/>
      <c r="K1078" s="8" t="str">
        <f t="shared" si="16"/>
        <v/>
      </c>
      <c r="L1078" s="1" t="str">
        <f>IF(COUNTA(A1078:J1078)=0,"",IF(OR(AND(C1078&lt;&gt;"Gasto",C1078&lt;&gt;"Pago proveedor",C1078&lt;&gt;"Retiro familiar",C1078&lt;&gt;"Aportación",C1078&lt;&gt;"Pago activo",C1078&lt;&gt;"ISR devengado",C1078&lt;&gt;"Pago ISR",C1078&lt;&gt;"Pago IVA",C1078&lt;&gt;"Compensación ISR",C1078&lt;&gt;"Compensación IVA"),AND(C1078="Gasto",D1078&lt;&gt;"Costos clínicos",D1078&lt;&gt;"Remuneración familiar",D1078&lt;&gt;"Nómina y honorarios",D1078&lt;&gt;"Renta",D1078&lt;&gt;"Marketing",D1078&lt;&gt;"Servicios y software",D1078&lt;&gt;"Mantenimiento",D1078&lt;&gt;"Otros",D1078&lt;&gt;"Intereses")),"Tipo o categoría inválido",IF(COUNTA(A1078:J1078)=0,"",IF(OR(A1078="",B1078="",C1078="",H1078=""),"Faltan datos",IF(COUNTIF($A$7:$A$2006,A1078)&gt;1,"ID duplicado",IF(OR(B1078&lt;DATE(Configuración!$C$5,1,1),B1078&gt;=DATE(Configuración!$C$5+1,1,1)),"Fecha fuera del año",IF(OR(H1078&lt;0,I1078&lt;0),"Revisar signo",IF(AND(C1078&lt;&gt;"Gasto",I1078&lt;&gt;0),"IVA solo en Gasto",IF(AND(C1078="Gasto",D1078=""),"Falta categoría","OK")))))))))</f>
        <v/>
      </c>
    </row>
    <row r="1079" spans="1:12" ht="22" customHeight="1">
      <c r="A1079" s="3"/>
      <c r="B1079" s="7"/>
      <c r="C1079" s="3"/>
      <c r="D1079" s="3"/>
      <c r="E1079" s="3"/>
      <c r="F1079" s="3"/>
      <c r="G1079" s="3"/>
      <c r="H1079" s="4"/>
      <c r="I1079" s="4"/>
      <c r="J1079" s="3"/>
      <c r="K1079" s="8" t="str">
        <f t="shared" si="16"/>
        <v/>
      </c>
      <c r="L1079" s="1" t="str">
        <f>IF(COUNTA(A1079:J1079)=0,"",IF(OR(AND(C1079&lt;&gt;"Gasto",C1079&lt;&gt;"Pago proveedor",C1079&lt;&gt;"Retiro familiar",C1079&lt;&gt;"Aportación",C1079&lt;&gt;"Pago activo",C1079&lt;&gt;"ISR devengado",C1079&lt;&gt;"Pago ISR",C1079&lt;&gt;"Pago IVA",C1079&lt;&gt;"Compensación ISR",C1079&lt;&gt;"Compensación IVA"),AND(C1079="Gasto",D1079&lt;&gt;"Costos clínicos",D1079&lt;&gt;"Remuneración familiar",D1079&lt;&gt;"Nómina y honorarios",D1079&lt;&gt;"Renta",D1079&lt;&gt;"Marketing",D1079&lt;&gt;"Servicios y software",D1079&lt;&gt;"Mantenimiento",D1079&lt;&gt;"Otros",D1079&lt;&gt;"Intereses")),"Tipo o categoría inválido",IF(COUNTA(A1079:J1079)=0,"",IF(OR(A1079="",B1079="",C1079="",H1079=""),"Faltan datos",IF(COUNTIF($A$7:$A$2006,A1079)&gt;1,"ID duplicado",IF(OR(B1079&lt;DATE(Configuración!$C$5,1,1),B1079&gt;=DATE(Configuración!$C$5+1,1,1)),"Fecha fuera del año",IF(OR(H1079&lt;0,I1079&lt;0),"Revisar signo",IF(AND(C1079&lt;&gt;"Gasto",I1079&lt;&gt;0),"IVA solo en Gasto",IF(AND(C1079="Gasto",D1079=""),"Falta categoría","OK")))))))))</f>
        <v/>
      </c>
    </row>
    <row r="1080" spans="1:12" ht="22" customHeight="1">
      <c r="A1080" s="3"/>
      <c r="B1080" s="7"/>
      <c r="C1080" s="3"/>
      <c r="D1080" s="3"/>
      <c r="E1080" s="3"/>
      <c r="F1080" s="3"/>
      <c r="G1080" s="3"/>
      <c r="H1080" s="4"/>
      <c r="I1080" s="4"/>
      <c r="J1080" s="3"/>
      <c r="K1080" s="8" t="str">
        <f t="shared" si="16"/>
        <v/>
      </c>
      <c r="L1080" s="1" t="str">
        <f>IF(COUNTA(A1080:J1080)=0,"",IF(OR(AND(C1080&lt;&gt;"Gasto",C1080&lt;&gt;"Pago proveedor",C1080&lt;&gt;"Retiro familiar",C1080&lt;&gt;"Aportación",C1080&lt;&gt;"Pago activo",C1080&lt;&gt;"ISR devengado",C1080&lt;&gt;"Pago ISR",C1080&lt;&gt;"Pago IVA",C1080&lt;&gt;"Compensación ISR",C1080&lt;&gt;"Compensación IVA"),AND(C1080="Gasto",D1080&lt;&gt;"Costos clínicos",D1080&lt;&gt;"Remuneración familiar",D1080&lt;&gt;"Nómina y honorarios",D1080&lt;&gt;"Renta",D1080&lt;&gt;"Marketing",D1080&lt;&gt;"Servicios y software",D1080&lt;&gt;"Mantenimiento",D1080&lt;&gt;"Otros",D1080&lt;&gt;"Intereses")),"Tipo o categoría inválido",IF(COUNTA(A1080:J1080)=0,"",IF(OR(A1080="",B1080="",C1080="",H1080=""),"Faltan datos",IF(COUNTIF($A$7:$A$2006,A1080)&gt;1,"ID duplicado",IF(OR(B1080&lt;DATE(Configuración!$C$5,1,1),B1080&gt;=DATE(Configuración!$C$5+1,1,1)),"Fecha fuera del año",IF(OR(H1080&lt;0,I1080&lt;0),"Revisar signo",IF(AND(C1080&lt;&gt;"Gasto",I1080&lt;&gt;0),"IVA solo en Gasto",IF(AND(C1080="Gasto",D1080=""),"Falta categoría","OK")))))))))</f>
        <v/>
      </c>
    </row>
    <row r="1081" spans="1:12" ht="22" customHeight="1">
      <c r="A1081" s="3"/>
      <c r="B1081" s="7"/>
      <c r="C1081" s="3"/>
      <c r="D1081" s="3"/>
      <c r="E1081" s="3"/>
      <c r="F1081" s="3"/>
      <c r="G1081" s="3"/>
      <c r="H1081" s="4"/>
      <c r="I1081" s="4"/>
      <c r="J1081" s="3"/>
      <c r="K1081" s="8" t="str">
        <f t="shared" si="16"/>
        <v/>
      </c>
      <c r="L1081" s="1" t="str">
        <f>IF(COUNTA(A1081:J1081)=0,"",IF(OR(AND(C1081&lt;&gt;"Gasto",C1081&lt;&gt;"Pago proveedor",C1081&lt;&gt;"Retiro familiar",C1081&lt;&gt;"Aportación",C1081&lt;&gt;"Pago activo",C1081&lt;&gt;"ISR devengado",C1081&lt;&gt;"Pago ISR",C1081&lt;&gt;"Pago IVA",C1081&lt;&gt;"Compensación ISR",C1081&lt;&gt;"Compensación IVA"),AND(C1081="Gasto",D1081&lt;&gt;"Costos clínicos",D1081&lt;&gt;"Remuneración familiar",D1081&lt;&gt;"Nómina y honorarios",D1081&lt;&gt;"Renta",D1081&lt;&gt;"Marketing",D1081&lt;&gt;"Servicios y software",D1081&lt;&gt;"Mantenimiento",D1081&lt;&gt;"Otros",D1081&lt;&gt;"Intereses")),"Tipo o categoría inválido",IF(COUNTA(A1081:J1081)=0,"",IF(OR(A1081="",B1081="",C1081="",H1081=""),"Faltan datos",IF(COUNTIF($A$7:$A$2006,A1081)&gt;1,"ID duplicado",IF(OR(B1081&lt;DATE(Configuración!$C$5,1,1),B1081&gt;=DATE(Configuración!$C$5+1,1,1)),"Fecha fuera del año",IF(OR(H1081&lt;0,I1081&lt;0),"Revisar signo",IF(AND(C1081&lt;&gt;"Gasto",I1081&lt;&gt;0),"IVA solo en Gasto",IF(AND(C1081="Gasto",D1081=""),"Falta categoría","OK")))))))))</f>
        <v/>
      </c>
    </row>
    <row r="1082" spans="1:12" ht="22" customHeight="1">
      <c r="A1082" s="3"/>
      <c r="B1082" s="7"/>
      <c r="C1082" s="3"/>
      <c r="D1082" s="3"/>
      <c r="E1082" s="3"/>
      <c r="F1082" s="3"/>
      <c r="G1082" s="3"/>
      <c r="H1082" s="4"/>
      <c r="I1082" s="4"/>
      <c r="J1082" s="3"/>
      <c r="K1082" s="8" t="str">
        <f t="shared" si="16"/>
        <v/>
      </c>
      <c r="L1082" s="1" t="str">
        <f>IF(COUNTA(A1082:J1082)=0,"",IF(OR(AND(C1082&lt;&gt;"Gasto",C1082&lt;&gt;"Pago proveedor",C1082&lt;&gt;"Retiro familiar",C1082&lt;&gt;"Aportación",C1082&lt;&gt;"Pago activo",C1082&lt;&gt;"ISR devengado",C1082&lt;&gt;"Pago ISR",C1082&lt;&gt;"Pago IVA",C1082&lt;&gt;"Compensación ISR",C1082&lt;&gt;"Compensación IVA"),AND(C1082="Gasto",D1082&lt;&gt;"Costos clínicos",D1082&lt;&gt;"Remuneración familiar",D1082&lt;&gt;"Nómina y honorarios",D1082&lt;&gt;"Renta",D1082&lt;&gt;"Marketing",D1082&lt;&gt;"Servicios y software",D1082&lt;&gt;"Mantenimiento",D1082&lt;&gt;"Otros",D1082&lt;&gt;"Intereses")),"Tipo o categoría inválido",IF(COUNTA(A1082:J1082)=0,"",IF(OR(A1082="",B1082="",C1082="",H1082=""),"Faltan datos",IF(COUNTIF($A$7:$A$2006,A1082)&gt;1,"ID duplicado",IF(OR(B1082&lt;DATE(Configuración!$C$5,1,1),B1082&gt;=DATE(Configuración!$C$5+1,1,1)),"Fecha fuera del año",IF(OR(H1082&lt;0,I1082&lt;0),"Revisar signo",IF(AND(C1082&lt;&gt;"Gasto",I1082&lt;&gt;0),"IVA solo en Gasto",IF(AND(C1082="Gasto",D1082=""),"Falta categoría","OK")))))))))</f>
        <v/>
      </c>
    </row>
    <row r="1083" spans="1:12" ht="22" customHeight="1">
      <c r="A1083" s="3"/>
      <c r="B1083" s="7"/>
      <c r="C1083" s="3"/>
      <c r="D1083" s="3"/>
      <c r="E1083" s="3"/>
      <c r="F1083" s="3"/>
      <c r="G1083" s="3"/>
      <c r="H1083" s="4"/>
      <c r="I1083" s="4"/>
      <c r="J1083" s="3"/>
      <c r="K1083" s="8" t="str">
        <f t="shared" si="16"/>
        <v/>
      </c>
      <c r="L1083" s="1" t="str">
        <f>IF(COUNTA(A1083:J1083)=0,"",IF(OR(AND(C1083&lt;&gt;"Gasto",C1083&lt;&gt;"Pago proveedor",C1083&lt;&gt;"Retiro familiar",C1083&lt;&gt;"Aportación",C1083&lt;&gt;"Pago activo",C1083&lt;&gt;"ISR devengado",C1083&lt;&gt;"Pago ISR",C1083&lt;&gt;"Pago IVA",C1083&lt;&gt;"Compensación ISR",C1083&lt;&gt;"Compensación IVA"),AND(C1083="Gasto",D1083&lt;&gt;"Costos clínicos",D1083&lt;&gt;"Remuneración familiar",D1083&lt;&gt;"Nómina y honorarios",D1083&lt;&gt;"Renta",D1083&lt;&gt;"Marketing",D1083&lt;&gt;"Servicios y software",D1083&lt;&gt;"Mantenimiento",D1083&lt;&gt;"Otros",D1083&lt;&gt;"Intereses")),"Tipo o categoría inválido",IF(COUNTA(A1083:J1083)=0,"",IF(OR(A1083="",B1083="",C1083="",H1083=""),"Faltan datos",IF(COUNTIF($A$7:$A$2006,A1083)&gt;1,"ID duplicado",IF(OR(B1083&lt;DATE(Configuración!$C$5,1,1),B1083&gt;=DATE(Configuración!$C$5+1,1,1)),"Fecha fuera del año",IF(OR(H1083&lt;0,I1083&lt;0),"Revisar signo",IF(AND(C1083&lt;&gt;"Gasto",I1083&lt;&gt;0),"IVA solo en Gasto",IF(AND(C1083="Gasto",D1083=""),"Falta categoría","OK")))))))))</f>
        <v/>
      </c>
    </row>
    <row r="1084" spans="1:12" ht="22" customHeight="1">
      <c r="A1084" s="3"/>
      <c r="B1084" s="7"/>
      <c r="C1084" s="3"/>
      <c r="D1084" s="3"/>
      <c r="E1084" s="3"/>
      <c r="F1084" s="3"/>
      <c r="G1084" s="3"/>
      <c r="H1084" s="4"/>
      <c r="I1084" s="4"/>
      <c r="J1084" s="3"/>
      <c r="K1084" s="8" t="str">
        <f t="shared" si="16"/>
        <v/>
      </c>
      <c r="L1084" s="1" t="str">
        <f>IF(COUNTA(A1084:J1084)=0,"",IF(OR(AND(C1084&lt;&gt;"Gasto",C1084&lt;&gt;"Pago proveedor",C1084&lt;&gt;"Retiro familiar",C1084&lt;&gt;"Aportación",C1084&lt;&gt;"Pago activo",C1084&lt;&gt;"ISR devengado",C1084&lt;&gt;"Pago ISR",C1084&lt;&gt;"Pago IVA",C1084&lt;&gt;"Compensación ISR",C1084&lt;&gt;"Compensación IVA"),AND(C1084="Gasto",D1084&lt;&gt;"Costos clínicos",D1084&lt;&gt;"Remuneración familiar",D1084&lt;&gt;"Nómina y honorarios",D1084&lt;&gt;"Renta",D1084&lt;&gt;"Marketing",D1084&lt;&gt;"Servicios y software",D1084&lt;&gt;"Mantenimiento",D1084&lt;&gt;"Otros",D1084&lt;&gt;"Intereses")),"Tipo o categoría inválido",IF(COUNTA(A1084:J1084)=0,"",IF(OR(A1084="",B1084="",C1084="",H1084=""),"Faltan datos",IF(COUNTIF($A$7:$A$2006,A1084)&gt;1,"ID duplicado",IF(OR(B1084&lt;DATE(Configuración!$C$5,1,1),B1084&gt;=DATE(Configuración!$C$5+1,1,1)),"Fecha fuera del año",IF(OR(H1084&lt;0,I1084&lt;0),"Revisar signo",IF(AND(C1084&lt;&gt;"Gasto",I1084&lt;&gt;0),"IVA solo en Gasto",IF(AND(C1084="Gasto",D1084=""),"Falta categoría","OK")))))))))</f>
        <v/>
      </c>
    </row>
    <row r="1085" spans="1:12" ht="22" customHeight="1">
      <c r="A1085" s="3"/>
      <c r="B1085" s="7"/>
      <c r="C1085" s="3"/>
      <c r="D1085" s="3"/>
      <c r="E1085" s="3"/>
      <c r="F1085" s="3"/>
      <c r="G1085" s="3"/>
      <c r="H1085" s="4"/>
      <c r="I1085" s="4"/>
      <c r="J1085" s="3"/>
      <c r="K1085" s="8" t="str">
        <f t="shared" si="16"/>
        <v/>
      </c>
      <c r="L1085" s="1" t="str">
        <f>IF(COUNTA(A1085:J1085)=0,"",IF(OR(AND(C1085&lt;&gt;"Gasto",C1085&lt;&gt;"Pago proveedor",C1085&lt;&gt;"Retiro familiar",C1085&lt;&gt;"Aportación",C1085&lt;&gt;"Pago activo",C1085&lt;&gt;"ISR devengado",C1085&lt;&gt;"Pago ISR",C1085&lt;&gt;"Pago IVA",C1085&lt;&gt;"Compensación ISR",C1085&lt;&gt;"Compensación IVA"),AND(C1085="Gasto",D1085&lt;&gt;"Costos clínicos",D1085&lt;&gt;"Remuneración familiar",D1085&lt;&gt;"Nómina y honorarios",D1085&lt;&gt;"Renta",D1085&lt;&gt;"Marketing",D1085&lt;&gt;"Servicios y software",D1085&lt;&gt;"Mantenimiento",D1085&lt;&gt;"Otros",D1085&lt;&gt;"Intereses")),"Tipo o categoría inválido",IF(COUNTA(A1085:J1085)=0,"",IF(OR(A1085="",B1085="",C1085="",H1085=""),"Faltan datos",IF(COUNTIF($A$7:$A$2006,A1085)&gt;1,"ID duplicado",IF(OR(B1085&lt;DATE(Configuración!$C$5,1,1),B1085&gt;=DATE(Configuración!$C$5+1,1,1)),"Fecha fuera del año",IF(OR(H1085&lt;0,I1085&lt;0),"Revisar signo",IF(AND(C1085&lt;&gt;"Gasto",I1085&lt;&gt;0),"IVA solo en Gasto",IF(AND(C1085="Gasto",D1085=""),"Falta categoría","OK")))))))))</f>
        <v/>
      </c>
    </row>
    <row r="1086" spans="1:12" ht="22" customHeight="1">
      <c r="A1086" s="3"/>
      <c r="B1086" s="7"/>
      <c r="C1086" s="3"/>
      <c r="D1086" s="3"/>
      <c r="E1086" s="3"/>
      <c r="F1086" s="3"/>
      <c r="G1086" s="3"/>
      <c r="H1086" s="4"/>
      <c r="I1086" s="4"/>
      <c r="J1086" s="3"/>
      <c r="K1086" s="8" t="str">
        <f t="shared" si="16"/>
        <v/>
      </c>
      <c r="L1086" s="1" t="str">
        <f>IF(COUNTA(A1086:J1086)=0,"",IF(OR(AND(C1086&lt;&gt;"Gasto",C1086&lt;&gt;"Pago proveedor",C1086&lt;&gt;"Retiro familiar",C1086&lt;&gt;"Aportación",C1086&lt;&gt;"Pago activo",C1086&lt;&gt;"ISR devengado",C1086&lt;&gt;"Pago ISR",C1086&lt;&gt;"Pago IVA",C1086&lt;&gt;"Compensación ISR",C1086&lt;&gt;"Compensación IVA"),AND(C1086="Gasto",D1086&lt;&gt;"Costos clínicos",D1086&lt;&gt;"Remuneración familiar",D1086&lt;&gt;"Nómina y honorarios",D1086&lt;&gt;"Renta",D1086&lt;&gt;"Marketing",D1086&lt;&gt;"Servicios y software",D1086&lt;&gt;"Mantenimiento",D1086&lt;&gt;"Otros",D1086&lt;&gt;"Intereses")),"Tipo o categoría inválido",IF(COUNTA(A1086:J1086)=0,"",IF(OR(A1086="",B1086="",C1086="",H1086=""),"Faltan datos",IF(COUNTIF($A$7:$A$2006,A1086)&gt;1,"ID duplicado",IF(OR(B1086&lt;DATE(Configuración!$C$5,1,1),B1086&gt;=DATE(Configuración!$C$5+1,1,1)),"Fecha fuera del año",IF(OR(H1086&lt;0,I1086&lt;0),"Revisar signo",IF(AND(C1086&lt;&gt;"Gasto",I1086&lt;&gt;0),"IVA solo en Gasto",IF(AND(C1086="Gasto",D1086=""),"Falta categoría","OK")))))))))</f>
        <v/>
      </c>
    </row>
    <row r="1087" spans="1:12" ht="22" customHeight="1">
      <c r="A1087" s="3"/>
      <c r="B1087" s="7"/>
      <c r="C1087" s="3"/>
      <c r="D1087" s="3"/>
      <c r="E1087" s="3"/>
      <c r="F1087" s="3"/>
      <c r="G1087" s="3"/>
      <c r="H1087" s="4"/>
      <c r="I1087" s="4"/>
      <c r="J1087" s="3"/>
      <c r="K1087" s="8" t="str">
        <f t="shared" si="16"/>
        <v/>
      </c>
      <c r="L1087" s="1" t="str">
        <f>IF(COUNTA(A1087:J1087)=0,"",IF(OR(AND(C1087&lt;&gt;"Gasto",C1087&lt;&gt;"Pago proveedor",C1087&lt;&gt;"Retiro familiar",C1087&lt;&gt;"Aportación",C1087&lt;&gt;"Pago activo",C1087&lt;&gt;"ISR devengado",C1087&lt;&gt;"Pago ISR",C1087&lt;&gt;"Pago IVA",C1087&lt;&gt;"Compensación ISR",C1087&lt;&gt;"Compensación IVA"),AND(C1087="Gasto",D1087&lt;&gt;"Costos clínicos",D1087&lt;&gt;"Remuneración familiar",D1087&lt;&gt;"Nómina y honorarios",D1087&lt;&gt;"Renta",D1087&lt;&gt;"Marketing",D1087&lt;&gt;"Servicios y software",D1087&lt;&gt;"Mantenimiento",D1087&lt;&gt;"Otros",D1087&lt;&gt;"Intereses")),"Tipo o categoría inválido",IF(COUNTA(A1087:J1087)=0,"",IF(OR(A1087="",B1087="",C1087="",H1087=""),"Faltan datos",IF(COUNTIF($A$7:$A$2006,A1087)&gt;1,"ID duplicado",IF(OR(B1087&lt;DATE(Configuración!$C$5,1,1),B1087&gt;=DATE(Configuración!$C$5+1,1,1)),"Fecha fuera del año",IF(OR(H1087&lt;0,I1087&lt;0),"Revisar signo",IF(AND(C1087&lt;&gt;"Gasto",I1087&lt;&gt;0),"IVA solo en Gasto",IF(AND(C1087="Gasto",D1087=""),"Falta categoría","OK")))))))))</f>
        <v/>
      </c>
    </row>
    <row r="1088" spans="1:12" ht="22" customHeight="1">
      <c r="A1088" s="3"/>
      <c r="B1088" s="7"/>
      <c r="C1088" s="3"/>
      <c r="D1088" s="3"/>
      <c r="E1088" s="3"/>
      <c r="F1088" s="3"/>
      <c r="G1088" s="3"/>
      <c r="H1088" s="4"/>
      <c r="I1088" s="4"/>
      <c r="J1088" s="3"/>
      <c r="K1088" s="8" t="str">
        <f t="shared" si="16"/>
        <v/>
      </c>
      <c r="L1088" s="1" t="str">
        <f>IF(COUNTA(A1088:J1088)=0,"",IF(OR(AND(C1088&lt;&gt;"Gasto",C1088&lt;&gt;"Pago proveedor",C1088&lt;&gt;"Retiro familiar",C1088&lt;&gt;"Aportación",C1088&lt;&gt;"Pago activo",C1088&lt;&gt;"ISR devengado",C1088&lt;&gt;"Pago ISR",C1088&lt;&gt;"Pago IVA",C1088&lt;&gt;"Compensación ISR",C1088&lt;&gt;"Compensación IVA"),AND(C1088="Gasto",D1088&lt;&gt;"Costos clínicos",D1088&lt;&gt;"Remuneración familiar",D1088&lt;&gt;"Nómina y honorarios",D1088&lt;&gt;"Renta",D1088&lt;&gt;"Marketing",D1088&lt;&gt;"Servicios y software",D1088&lt;&gt;"Mantenimiento",D1088&lt;&gt;"Otros",D1088&lt;&gt;"Intereses")),"Tipo o categoría inválido",IF(COUNTA(A1088:J1088)=0,"",IF(OR(A1088="",B1088="",C1088="",H1088=""),"Faltan datos",IF(COUNTIF($A$7:$A$2006,A1088)&gt;1,"ID duplicado",IF(OR(B1088&lt;DATE(Configuración!$C$5,1,1),B1088&gt;=DATE(Configuración!$C$5+1,1,1)),"Fecha fuera del año",IF(OR(H1088&lt;0,I1088&lt;0),"Revisar signo",IF(AND(C1088&lt;&gt;"Gasto",I1088&lt;&gt;0),"IVA solo en Gasto",IF(AND(C1088="Gasto",D1088=""),"Falta categoría","OK")))))))))</f>
        <v/>
      </c>
    </row>
    <row r="1089" spans="1:12" ht="22" customHeight="1">
      <c r="A1089" s="3"/>
      <c r="B1089" s="7"/>
      <c r="C1089" s="3"/>
      <c r="D1089" s="3"/>
      <c r="E1089" s="3"/>
      <c r="F1089" s="3"/>
      <c r="G1089" s="3"/>
      <c r="H1089" s="4"/>
      <c r="I1089" s="4"/>
      <c r="J1089" s="3"/>
      <c r="K1089" s="8" t="str">
        <f t="shared" si="16"/>
        <v/>
      </c>
      <c r="L1089" s="1" t="str">
        <f>IF(COUNTA(A1089:J1089)=0,"",IF(OR(AND(C1089&lt;&gt;"Gasto",C1089&lt;&gt;"Pago proveedor",C1089&lt;&gt;"Retiro familiar",C1089&lt;&gt;"Aportación",C1089&lt;&gt;"Pago activo",C1089&lt;&gt;"ISR devengado",C1089&lt;&gt;"Pago ISR",C1089&lt;&gt;"Pago IVA",C1089&lt;&gt;"Compensación ISR",C1089&lt;&gt;"Compensación IVA"),AND(C1089="Gasto",D1089&lt;&gt;"Costos clínicos",D1089&lt;&gt;"Remuneración familiar",D1089&lt;&gt;"Nómina y honorarios",D1089&lt;&gt;"Renta",D1089&lt;&gt;"Marketing",D1089&lt;&gt;"Servicios y software",D1089&lt;&gt;"Mantenimiento",D1089&lt;&gt;"Otros",D1089&lt;&gt;"Intereses")),"Tipo o categoría inválido",IF(COUNTA(A1089:J1089)=0,"",IF(OR(A1089="",B1089="",C1089="",H1089=""),"Faltan datos",IF(COUNTIF($A$7:$A$2006,A1089)&gt;1,"ID duplicado",IF(OR(B1089&lt;DATE(Configuración!$C$5,1,1),B1089&gt;=DATE(Configuración!$C$5+1,1,1)),"Fecha fuera del año",IF(OR(H1089&lt;0,I1089&lt;0),"Revisar signo",IF(AND(C1089&lt;&gt;"Gasto",I1089&lt;&gt;0),"IVA solo en Gasto",IF(AND(C1089="Gasto",D1089=""),"Falta categoría","OK")))))))))</f>
        <v/>
      </c>
    </row>
    <row r="1090" spans="1:12" ht="22" customHeight="1">
      <c r="A1090" s="3"/>
      <c r="B1090" s="7"/>
      <c r="C1090" s="3"/>
      <c r="D1090" s="3"/>
      <c r="E1090" s="3"/>
      <c r="F1090" s="3"/>
      <c r="G1090" s="3"/>
      <c r="H1090" s="4"/>
      <c r="I1090" s="4"/>
      <c r="J1090" s="3"/>
      <c r="K1090" s="8" t="str">
        <f t="shared" si="16"/>
        <v/>
      </c>
      <c r="L1090" s="1" t="str">
        <f>IF(COUNTA(A1090:J1090)=0,"",IF(OR(AND(C1090&lt;&gt;"Gasto",C1090&lt;&gt;"Pago proveedor",C1090&lt;&gt;"Retiro familiar",C1090&lt;&gt;"Aportación",C1090&lt;&gt;"Pago activo",C1090&lt;&gt;"ISR devengado",C1090&lt;&gt;"Pago ISR",C1090&lt;&gt;"Pago IVA",C1090&lt;&gt;"Compensación ISR",C1090&lt;&gt;"Compensación IVA"),AND(C1090="Gasto",D1090&lt;&gt;"Costos clínicos",D1090&lt;&gt;"Remuneración familiar",D1090&lt;&gt;"Nómina y honorarios",D1090&lt;&gt;"Renta",D1090&lt;&gt;"Marketing",D1090&lt;&gt;"Servicios y software",D1090&lt;&gt;"Mantenimiento",D1090&lt;&gt;"Otros",D1090&lt;&gt;"Intereses")),"Tipo o categoría inválido",IF(COUNTA(A1090:J1090)=0,"",IF(OR(A1090="",B1090="",C1090="",H1090=""),"Faltan datos",IF(COUNTIF($A$7:$A$2006,A1090)&gt;1,"ID duplicado",IF(OR(B1090&lt;DATE(Configuración!$C$5,1,1),B1090&gt;=DATE(Configuración!$C$5+1,1,1)),"Fecha fuera del año",IF(OR(H1090&lt;0,I1090&lt;0),"Revisar signo",IF(AND(C1090&lt;&gt;"Gasto",I1090&lt;&gt;0),"IVA solo en Gasto",IF(AND(C1090="Gasto",D1090=""),"Falta categoría","OK")))))))))</f>
        <v/>
      </c>
    </row>
    <row r="1091" spans="1:12" ht="22" customHeight="1">
      <c r="A1091" s="3"/>
      <c r="B1091" s="7"/>
      <c r="C1091" s="3"/>
      <c r="D1091" s="3"/>
      <c r="E1091" s="3"/>
      <c r="F1091" s="3"/>
      <c r="G1091" s="3"/>
      <c r="H1091" s="4"/>
      <c r="I1091" s="4"/>
      <c r="J1091" s="3"/>
      <c r="K1091" s="8" t="str">
        <f t="shared" si="16"/>
        <v/>
      </c>
      <c r="L1091" s="1" t="str">
        <f>IF(COUNTA(A1091:J1091)=0,"",IF(OR(AND(C1091&lt;&gt;"Gasto",C1091&lt;&gt;"Pago proveedor",C1091&lt;&gt;"Retiro familiar",C1091&lt;&gt;"Aportación",C1091&lt;&gt;"Pago activo",C1091&lt;&gt;"ISR devengado",C1091&lt;&gt;"Pago ISR",C1091&lt;&gt;"Pago IVA",C1091&lt;&gt;"Compensación ISR",C1091&lt;&gt;"Compensación IVA"),AND(C1091="Gasto",D1091&lt;&gt;"Costos clínicos",D1091&lt;&gt;"Remuneración familiar",D1091&lt;&gt;"Nómina y honorarios",D1091&lt;&gt;"Renta",D1091&lt;&gt;"Marketing",D1091&lt;&gt;"Servicios y software",D1091&lt;&gt;"Mantenimiento",D1091&lt;&gt;"Otros",D1091&lt;&gt;"Intereses")),"Tipo o categoría inválido",IF(COUNTA(A1091:J1091)=0,"",IF(OR(A1091="",B1091="",C1091="",H1091=""),"Faltan datos",IF(COUNTIF($A$7:$A$2006,A1091)&gt;1,"ID duplicado",IF(OR(B1091&lt;DATE(Configuración!$C$5,1,1),B1091&gt;=DATE(Configuración!$C$5+1,1,1)),"Fecha fuera del año",IF(OR(H1091&lt;0,I1091&lt;0),"Revisar signo",IF(AND(C1091&lt;&gt;"Gasto",I1091&lt;&gt;0),"IVA solo en Gasto",IF(AND(C1091="Gasto",D1091=""),"Falta categoría","OK")))))))))</f>
        <v/>
      </c>
    </row>
    <row r="1092" spans="1:12" ht="22" customHeight="1">
      <c r="A1092" s="3"/>
      <c r="B1092" s="7"/>
      <c r="C1092" s="3"/>
      <c r="D1092" s="3"/>
      <c r="E1092" s="3"/>
      <c r="F1092" s="3"/>
      <c r="G1092" s="3"/>
      <c r="H1092" s="4"/>
      <c r="I1092" s="4"/>
      <c r="J1092" s="3"/>
      <c r="K1092" s="8" t="str">
        <f t="shared" si="16"/>
        <v/>
      </c>
      <c r="L1092" s="1" t="str">
        <f>IF(COUNTA(A1092:J1092)=0,"",IF(OR(AND(C1092&lt;&gt;"Gasto",C1092&lt;&gt;"Pago proveedor",C1092&lt;&gt;"Retiro familiar",C1092&lt;&gt;"Aportación",C1092&lt;&gt;"Pago activo",C1092&lt;&gt;"ISR devengado",C1092&lt;&gt;"Pago ISR",C1092&lt;&gt;"Pago IVA",C1092&lt;&gt;"Compensación ISR",C1092&lt;&gt;"Compensación IVA"),AND(C1092="Gasto",D1092&lt;&gt;"Costos clínicos",D1092&lt;&gt;"Remuneración familiar",D1092&lt;&gt;"Nómina y honorarios",D1092&lt;&gt;"Renta",D1092&lt;&gt;"Marketing",D1092&lt;&gt;"Servicios y software",D1092&lt;&gt;"Mantenimiento",D1092&lt;&gt;"Otros",D1092&lt;&gt;"Intereses")),"Tipo o categoría inválido",IF(COUNTA(A1092:J1092)=0,"",IF(OR(A1092="",B1092="",C1092="",H1092=""),"Faltan datos",IF(COUNTIF($A$7:$A$2006,A1092)&gt;1,"ID duplicado",IF(OR(B1092&lt;DATE(Configuración!$C$5,1,1),B1092&gt;=DATE(Configuración!$C$5+1,1,1)),"Fecha fuera del año",IF(OR(H1092&lt;0,I1092&lt;0),"Revisar signo",IF(AND(C1092&lt;&gt;"Gasto",I1092&lt;&gt;0),"IVA solo en Gasto",IF(AND(C1092="Gasto",D1092=""),"Falta categoría","OK")))))))))</f>
        <v/>
      </c>
    </row>
    <row r="1093" spans="1:12" ht="22" customHeight="1">
      <c r="A1093" s="3"/>
      <c r="B1093" s="7"/>
      <c r="C1093" s="3"/>
      <c r="D1093" s="3"/>
      <c r="E1093" s="3"/>
      <c r="F1093" s="3"/>
      <c r="G1093" s="3"/>
      <c r="H1093" s="4"/>
      <c r="I1093" s="4"/>
      <c r="J1093" s="3"/>
      <c r="K1093" s="8" t="str">
        <f t="shared" si="16"/>
        <v/>
      </c>
      <c r="L1093" s="1" t="str">
        <f>IF(COUNTA(A1093:J1093)=0,"",IF(OR(AND(C1093&lt;&gt;"Gasto",C1093&lt;&gt;"Pago proveedor",C1093&lt;&gt;"Retiro familiar",C1093&lt;&gt;"Aportación",C1093&lt;&gt;"Pago activo",C1093&lt;&gt;"ISR devengado",C1093&lt;&gt;"Pago ISR",C1093&lt;&gt;"Pago IVA",C1093&lt;&gt;"Compensación ISR",C1093&lt;&gt;"Compensación IVA"),AND(C1093="Gasto",D1093&lt;&gt;"Costos clínicos",D1093&lt;&gt;"Remuneración familiar",D1093&lt;&gt;"Nómina y honorarios",D1093&lt;&gt;"Renta",D1093&lt;&gt;"Marketing",D1093&lt;&gt;"Servicios y software",D1093&lt;&gt;"Mantenimiento",D1093&lt;&gt;"Otros",D1093&lt;&gt;"Intereses")),"Tipo o categoría inválido",IF(COUNTA(A1093:J1093)=0,"",IF(OR(A1093="",B1093="",C1093="",H1093=""),"Faltan datos",IF(COUNTIF($A$7:$A$2006,A1093)&gt;1,"ID duplicado",IF(OR(B1093&lt;DATE(Configuración!$C$5,1,1),B1093&gt;=DATE(Configuración!$C$5+1,1,1)),"Fecha fuera del año",IF(OR(H1093&lt;0,I1093&lt;0),"Revisar signo",IF(AND(C1093&lt;&gt;"Gasto",I1093&lt;&gt;0),"IVA solo en Gasto",IF(AND(C1093="Gasto",D1093=""),"Falta categoría","OK")))))))))</f>
        <v/>
      </c>
    </row>
    <row r="1094" spans="1:12" ht="22" customHeight="1">
      <c r="A1094" s="3"/>
      <c r="B1094" s="7"/>
      <c r="C1094" s="3"/>
      <c r="D1094" s="3"/>
      <c r="E1094" s="3"/>
      <c r="F1094" s="3"/>
      <c r="G1094" s="3"/>
      <c r="H1094" s="4"/>
      <c r="I1094" s="4"/>
      <c r="J1094" s="3"/>
      <c r="K1094" s="8" t="str">
        <f t="shared" si="16"/>
        <v/>
      </c>
      <c r="L1094" s="1" t="str">
        <f>IF(COUNTA(A1094:J1094)=0,"",IF(OR(AND(C1094&lt;&gt;"Gasto",C1094&lt;&gt;"Pago proveedor",C1094&lt;&gt;"Retiro familiar",C1094&lt;&gt;"Aportación",C1094&lt;&gt;"Pago activo",C1094&lt;&gt;"ISR devengado",C1094&lt;&gt;"Pago ISR",C1094&lt;&gt;"Pago IVA",C1094&lt;&gt;"Compensación ISR",C1094&lt;&gt;"Compensación IVA"),AND(C1094="Gasto",D1094&lt;&gt;"Costos clínicos",D1094&lt;&gt;"Remuneración familiar",D1094&lt;&gt;"Nómina y honorarios",D1094&lt;&gt;"Renta",D1094&lt;&gt;"Marketing",D1094&lt;&gt;"Servicios y software",D1094&lt;&gt;"Mantenimiento",D1094&lt;&gt;"Otros",D1094&lt;&gt;"Intereses")),"Tipo o categoría inválido",IF(COUNTA(A1094:J1094)=0,"",IF(OR(A1094="",B1094="",C1094="",H1094=""),"Faltan datos",IF(COUNTIF($A$7:$A$2006,A1094)&gt;1,"ID duplicado",IF(OR(B1094&lt;DATE(Configuración!$C$5,1,1),B1094&gt;=DATE(Configuración!$C$5+1,1,1)),"Fecha fuera del año",IF(OR(H1094&lt;0,I1094&lt;0),"Revisar signo",IF(AND(C1094&lt;&gt;"Gasto",I1094&lt;&gt;0),"IVA solo en Gasto",IF(AND(C1094="Gasto",D1094=""),"Falta categoría","OK")))))))))</f>
        <v/>
      </c>
    </row>
    <row r="1095" spans="1:12" ht="22" customHeight="1">
      <c r="A1095" s="3"/>
      <c r="B1095" s="7"/>
      <c r="C1095" s="3"/>
      <c r="D1095" s="3"/>
      <c r="E1095" s="3"/>
      <c r="F1095" s="3"/>
      <c r="G1095" s="3"/>
      <c r="H1095" s="4"/>
      <c r="I1095" s="4"/>
      <c r="J1095" s="3"/>
      <c r="K1095" s="8" t="str">
        <f t="shared" ref="K1095:K1158" si="17">IF(A1095="","",H1095+I1095)</f>
        <v/>
      </c>
      <c r="L1095" s="1" t="str">
        <f>IF(COUNTA(A1095:J1095)=0,"",IF(OR(AND(C1095&lt;&gt;"Gasto",C1095&lt;&gt;"Pago proveedor",C1095&lt;&gt;"Retiro familiar",C1095&lt;&gt;"Aportación",C1095&lt;&gt;"Pago activo",C1095&lt;&gt;"ISR devengado",C1095&lt;&gt;"Pago ISR",C1095&lt;&gt;"Pago IVA",C1095&lt;&gt;"Compensación ISR",C1095&lt;&gt;"Compensación IVA"),AND(C1095="Gasto",D1095&lt;&gt;"Costos clínicos",D1095&lt;&gt;"Remuneración familiar",D1095&lt;&gt;"Nómina y honorarios",D1095&lt;&gt;"Renta",D1095&lt;&gt;"Marketing",D1095&lt;&gt;"Servicios y software",D1095&lt;&gt;"Mantenimiento",D1095&lt;&gt;"Otros",D1095&lt;&gt;"Intereses")),"Tipo o categoría inválido",IF(COUNTA(A1095:J1095)=0,"",IF(OR(A1095="",B1095="",C1095="",H1095=""),"Faltan datos",IF(COUNTIF($A$7:$A$2006,A1095)&gt;1,"ID duplicado",IF(OR(B1095&lt;DATE(Configuración!$C$5,1,1),B1095&gt;=DATE(Configuración!$C$5+1,1,1)),"Fecha fuera del año",IF(OR(H1095&lt;0,I1095&lt;0),"Revisar signo",IF(AND(C1095&lt;&gt;"Gasto",I1095&lt;&gt;0),"IVA solo en Gasto",IF(AND(C1095="Gasto",D1095=""),"Falta categoría","OK")))))))))</f>
        <v/>
      </c>
    </row>
    <row r="1096" spans="1:12" ht="22" customHeight="1">
      <c r="A1096" s="3"/>
      <c r="B1096" s="7"/>
      <c r="C1096" s="3"/>
      <c r="D1096" s="3"/>
      <c r="E1096" s="3"/>
      <c r="F1096" s="3"/>
      <c r="G1096" s="3"/>
      <c r="H1096" s="4"/>
      <c r="I1096" s="4"/>
      <c r="J1096" s="3"/>
      <c r="K1096" s="8" t="str">
        <f t="shared" si="17"/>
        <v/>
      </c>
      <c r="L1096" s="1" t="str">
        <f>IF(COUNTA(A1096:J1096)=0,"",IF(OR(AND(C1096&lt;&gt;"Gasto",C1096&lt;&gt;"Pago proveedor",C1096&lt;&gt;"Retiro familiar",C1096&lt;&gt;"Aportación",C1096&lt;&gt;"Pago activo",C1096&lt;&gt;"ISR devengado",C1096&lt;&gt;"Pago ISR",C1096&lt;&gt;"Pago IVA",C1096&lt;&gt;"Compensación ISR",C1096&lt;&gt;"Compensación IVA"),AND(C1096="Gasto",D1096&lt;&gt;"Costos clínicos",D1096&lt;&gt;"Remuneración familiar",D1096&lt;&gt;"Nómina y honorarios",D1096&lt;&gt;"Renta",D1096&lt;&gt;"Marketing",D1096&lt;&gt;"Servicios y software",D1096&lt;&gt;"Mantenimiento",D1096&lt;&gt;"Otros",D1096&lt;&gt;"Intereses")),"Tipo o categoría inválido",IF(COUNTA(A1096:J1096)=0,"",IF(OR(A1096="",B1096="",C1096="",H1096=""),"Faltan datos",IF(COUNTIF($A$7:$A$2006,A1096)&gt;1,"ID duplicado",IF(OR(B1096&lt;DATE(Configuración!$C$5,1,1),B1096&gt;=DATE(Configuración!$C$5+1,1,1)),"Fecha fuera del año",IF(OR(H1096&lt;0,I1096&lt;0),"Revisar signo",IF(AND(C1096&lt;&gt;"Gasto",I1096&lt;&gt;0),"IVA solo en Gasto",IF(AND(C1096="Gasto",D1096=""),"Falta categoría","OK")))))))))</f>
        <v/>
      </c>
    </row>
    <row r="1097" spans="1:12" ht="22" customHeight="1">
      <c r="A1097" s="3"/>
      <c r="B1097" s="7"/>
      <c r="C1097" s="3"/>
      <c r="D1097" s="3"/>
      <c r="E1097" s="3"/>
      <c r="F1097" s="3"/>
      <c r="G1097" s="3"/>
      <c r="H1097" s="4"/>
      <c r="I1097" s="4"/>
      <c r="J1097" s="3"/>
      <c r="K1097" s="8" t="str">
        <f t="shared" si="17"/>
        <v/>
      </c>
      <c r="L1097" s="1" t="str">
        <f>IF(COUNTA(A1097:J1097)=0,"",IF(OR(AND(C1097&lt;&gt;"Gasto",C1097&lt;&gt;"Pago proveedor",C1097&lt;&gt;"Retiro familiar",C1097&lt;&gt;"Aportación",C1097&lt;&gt;"Pago activo",C1097&lt;&gt;"ISR devengado",C1097&lt;&gt;"Pago ISR",C1097&lt;&gt;"Pago IVA",C1097&lt;&gt;"Compensación ISR",C1097&lt;&gt;"Compensación IVA"),AND(C1097="Gasto",D1097&lt;&gt;"Costos clínicos",D1097&lt;&gt;"Remuneración familiar",D1097&lt;&gt;"Nómina y honorarios",D1097&lt;&gt;"Renta",D1097&lt;&gt;"Marketing",D1097&lt;&gt;"Servicios y software",D1097&lt;&gt;"Mantenimiento",D1097&lt;&gt;"Otros",D1097&lt;&gt;"Intereses")),"Tipo o categoría inválido",IF(COUNTA(A1097:J1097)=0,"",IF(OR(A1097="",B1097="",C1097="",H1097=""),"Faltan datos",IF(COUNTIF($A$7:$A$2006,A1097)&gt;1,"ID duplicado",IF(OR(B1097&lt;DATE(Configuración!$C$5,1,1),B1097&gt;=DATE(Configuración!$C$5+1,1,1)),"Fecha fuera del año",IF(OR(H1097&lt;0,I1097&lt;0),"Revisar signo",IF(AND(C1097&lt;&gt;"Gasto",I1097&lt;&gt;0),"IVA solo en Gasto",IF(AND(C1097="Gasto",D1097=""),"Falta categoría","OK")))))))))</f>
        <v/>
      </c>
    </row>
    <row r="1098" spans="1:12" ht="22" customHeight="1">
      <c r="A1098" s="3"/>
      <c r="B1098" s="7"/>
      <c r="C1098" s="3"/>
      <c r="D1098" s="3"/>
      <c r="E1098" s="3"/>
      <c r="F1098" s="3"/>
      <c r="G1098" s="3"/>
      <c r="H1098" s="4"/>
      <c r="I1098" s="4"/>
      <c r="J1098" s="3"/>
      <c r="K1098" s="8" t="str">
        <f t="shared" si="17"/>
        <v/>
      </c>
      <c r="L1098" s="1" t="str">
        <f>IF(COUNTA(A1098:J1098)=0,"",IF(OR(AND(C1098&lt;&gt;"Gasto",C1098&lt;&gt;"Pago proveedor",C1098&lt;&gt;"Retiro familiar",C1098&lt;&gt;"Aportación",C1098&lt;&gt;"Pago activo",C1098&lt;&gt;"ISR devengado",C1098&lt;&gt;"Pago ISR",C1098&lt;&gt;"Pago IVA",C1098&lt;&gt;"Compensación ISR",C1098&lt;&gt;"Compensación IVA"),AND(C1098="Gasto",D1098&lt;&gt;"Costos clínicos",D1098&lt;&gt;"Remuneración familiar",D1098&lt;&gt;"Nómina y honorarios",D1098&lt;&gt;"Renta",D1098&lt;&gt;"Marketing",D1098&lt;&gt;"Servicios y software",D1098&lt;&gt;"Mantenimiento",D1098&lt;&gt;"Otros",D1098&lt;&gt;"Intereses")),"Tipo o categoría inválido",IF(COUNTA(A1098:J1098)=0,"",IF(OR(A1098="",B1098="",C1098="",H1098=""),"Faltan datos",IF(COUNTIF($A$7:$A$2006,A1098)&gt;1,"ID duplicado",IF(OR(B1098&lt;DATE(Configuración!$C$5,1,1),B1098&gt;=DATE(Configuración!$C$5+1,1,1)),"Fecha fuera del año",IF(OR(H1098&lt;0,I1098&lt;0),"Revisar signo",IF(AND(C1098&lt;&gt;"Gasto",I1098&lt;&gt;0),"IVA solo en Gasto",IF(AND(C1098="Gasto",D1098=""),"Falta categoría","OK")))))))))</f>
        <v/>
      </c>
    </row>
    <row r="1099" spans="1:12" ht="22" customHeight="1">
      <c r="A1099" s="3"/>
      <c r="B1099" s="7"/>
      <c r="C1099" s="3"/>
      <c r="D1099" s="3"/>
      <c r="E1099" s="3"/>
      <c r="F1099" s="3"/>
      <c r="G1099" s="3"/>
      <c r="H1099" s="4"/>
      <c r="I1099" s="4"/>
      <c r="J1099" s="3"/>
      <c r="K1099" s="8" t="str">
        <f t="shared" si="17"/>
        <v/>
      </c>
      <c r="L1099" s="1" t="str">
        <f>IF(COUNTA(A1099:J1099)=0,"",IF(OR(AND(C1099&lt;&gt;"Gasto",C1099&lt;&gt;"Pago proveedor",C1099&lt;&gt;"Retiro familiar",C1099&lt;&gt;"Aportación",C1099&lt;&gt;"Pago activo",C1099&lt;&gt;"ISR devengado",C1099&lt;&gt;"Pago ISR",C1099&lt;&gt;"Pago IVA",C1099&lt;&gt;"Compensación ISR",C1099&lt;&gt;"Compensación IVA"),AND(C1099="Gasto",D1099&lt;&gt;"Costos clínicos",D1099&lt;&gt;"Remuneración familiar",D1099&lt;&gt;"Nómina y honorarios",D1099&lt;&gt;"Renta",D1099&lt;&gt;"Marketing",D1099&lt;&gt;"Servicios y software",D1099&lt;&gt;"Mantenimiento",D1099&lt;&gt;"Otros",D1099&lt;&gt;"Intereses")),"Tipo o categoría inválido",IF(COUNTA(A1099:J1099)=0,"",IF(OR(A1099="",B1099="",C1099="",H1099=""),"Faltan datos",IF(COUNTIF($A$7:$A$2006,A1099)&gt;1,"ID duplicado",IF(OR(B1099&lt;DATE(Configuración!$C$5,1,1),B1099&gt;=DATE(Configuración!$C$5+1,1,1)),"Fecha fuera del año",IF(OR(H1099&lt;0,I1099&lt;0),"Revisar signo",IF(AND(C1099&lt;&gt;"Gasto",I1099&lt;&gt;0),"IVA solo en Gasto",IF(AND(C1099="Gasto",D1099=""),"Falta categoría","OK")))))))))</f>
        <v/>
      </c>
    </row>
    <row r="1100" spans="1:12" ht="22" customHeight="1">
      <c r="A1100" s="3"/>
      <c r="B1100" s="7"/>
      <c r="C1100" s="3"/>
      <c r="D1100" s="3"/>
      <c r="E1100" s="3"/>
      <c r="F1100" s="3"/>
      <c r="G1100" s="3"/>
      <c r="H1100" s="4"/>
      <c r="I1100" s="4"/>
      <c r="J1100" s="3"/>
      <c r="K1100" s="8" t="str">
        <f t="shared" si="17"/>
        <v/>
      </c>
      <c r="L1100" s="1" t="str">
        <f>IF(COUNTA(A1100:J1100)=0,"",IF(OR(AND(C1100&lt;&gt;"Gasto",C1100&lt;&gt;"Pago proveedor",C1100&lt;&gt;"Retiro familiar",C1100&lt;&gt;"Aportación",C1100&lt;&gt;"Pago activo",C1100&lt;&gt;"ISR devengado",C1100&lt;&gt;"Pago ISR",C1100&lt;&gt;"Pago IVA",C1100&lt;&gt;"Compensación ISR",C1100&lt;&gt;"Compensación IVA"),AND(C1100="Gasto",D1100&lt;&gt;"Costos clínicos",D1100&lt;&gt;"Remuneración familiar",D1100&lt;&gt;"Nómina y honorarios",D1100&lt;&gt;"Renta",D1100&lt;&gt;"Marketing",D1100&lt;&gt;"Servicios y software",D1100&lt;&gt;"Mantenimiento",D1100&lt;&gt;"Otros",D1100&lt;&gt;"Intereses")),"Tipo o categoría inválido",IF(COUNTA(A1100:J1100)=0,"",IF(OR(A1100="",B1100="",C1100="",H1100=""),"Faltan datos",IF(COUNTIF($A$7:$A$2006,A1100)&gt;1,"ID duplicado",IF(OR(B1100&lt;DATE(Configuración!$C$5,1,1),B1100&gt;=DATE(Configuración!$C$5+1,1,1)),"Fecha fuera del año",IF(OR(H1100&lt;0,I1100&lt;0),"Revisar signo",IF(AND(C1100&lt;&gt;"Gasto",I1100&lt;&gt;0),"IVA solo en Gasto",IF(AND(C1100="Gasto",D1100=""),"Falta categoría","OK")))))))))</f>
        <v/>
      </c>
    </row>
    <row r="1101" spans="1:12" ht="22" customHeight="1">
      <c r="A1101" s="3"/>
      <c r="B1101" s="7"/>
      <c r="C1101" s="3"/>
      <c r="D1101" s="3"/>
      <c r="E1101" s="3"/>
      <c r="F1101" s="3"/>
      <c r="G1101" s="3"/>
      <c r="H1101" s="4"/>
      <c r="I1101" s="4"/>
      <c r="J1101" s="3"/>
      <c r="K1101" s="8" t="str">
        <f t="shared" si="17"/>
        <v/>
      </c>
      <c r="L1101" s="1" t="str">
        <f>IF(COUNTA(A1101:J1101)=0,"",IF(OR(AND(C1101&lt;&gt;"Gasto",C1101&lt;&gt;"Pago proveedor",C1101&lt;&gt;"Retiro familiar",C1101&lt;&gt;"Aportación",C1101&lt;&gt;"Pago activo",C1101&lt;&gt;"ISR devengado",C1101&lt;&gt;"Pago ISR",C1101&lt;&gt;"Pago IVA",C1101&lt;&gt;"Compensación ISR",C1101&lt;&gt;"Compensación IVA"),AND(C1101="Gasto",D1101&lt;&gt;"Costos clínicos",D1101&lt;&gt;"Remuneración familiar",D1101&lt;&gt;"Nómina y honorarios",D1101&lt;&gt;"Renta",D1101&lt;&gt;"Marketing",D1101&lt;&gt;"Servicios y software",D1101&lt;&gt;"Mantenimiento",D1101&lt;&gt;"Otros",D1101&lt;&gt;"Intereses")),"Tipo o categoría inválido",IF(COUNTA(A1101:J1101)=0,"",IF(OR(A1101="",B1101="",C1101="",H1101=""),"Faltan datos",IF(COUNTIF($A$7:$A$2006,A1101)&gt;1,"ID duplicado",IF(OR(B1101&lt;DATE(Configuración!$C$5,1,1),B1101&gt;=DATE(Configuración!$C$5+1,1,1)),"Fecha fuera del año",IF(OR(H1101&lt;0,I1101&lt;0),"Revisar signo",IF(AND(C1101&lt;&gt;"Gasto",I1101&lt;&gt;0),"IVA solo en Gasto",IF(AND(C1101="Gasto",D1101=""),"Falta categoría","OK")))))))))</f>
        <v/>
      </c>
    </row>
    <row r="1102" spans="1:12" ht="22" customHeight="1">
      <c r="A1102" s="3"/>
      <c r="B1102" s="7"/>
      <c r="C1102" s="3"/>
      <c r="D1102" s="3"/>
      <c r="E1102" s="3"/>
      <c r="F1102" s="3"/>
      <c r="G1102" s="3"/>
      <c r="H1102" s="4"/>
      <c r="I1102" s="4"/>
      <c r="J1102" s="3"/>
      <c r="K1102" s="8" t="str">
        <f t="shared" si="17"/>
        <v/>
      </c>
      <c r="L1102" s="1" t="str">
        <f>IF(COUNTA(A1102:J1102)=0,"",IF(OR(AND(C1102&lt;&gt;"Gasto",C1102&lt;&gt;"Pago proveedor",C1102&lt;&gt;"Retiro familiar",C1102&lt;&gt;"Aportación",C1102&lt;&gt;"Pago activo",C1102&lt;&gt;"ISR devengado",C1102&lt;&gt;"Pago ISR",C1102&lt;&gt;"Pago IVA",C1102&lt;&gt;"Compensación ISR",C1102&lt;&gt;"Compensación IVA"),AND(C1102="Gasto",D1102&lt;&gt;"Costos clínicos",D1102&lt;&gt;"Remuneración familiar",D1102&lt;&gt;"Nómina y honorarios",D1102&lt;&gt;"Renta",D1102&lt;&gt;"Marketing",D1102&lt;&gt;"Servicios y software",D1102&lt;&gt;"Mantenimiento",D1102&lt;&gt;"Otros",D1102&lt;&gt;"Intereses")),"Tipo o categoría inválido",IF(COUNTA(A1102:J1102)=0,"",IF(OR(A1102="",B1102="",C1102="",H1102=""),"Faltan datos",IF(COUNTIF($A$7:$A$2006,A1102)&gt;1,"ID duplicado",IF(OR(B1102&lt;DATE(Configuración!$C$5,1,1),B1102&gt;=DATE(Configuración!$C$5+1,1,1)),"Fecha fuera del año",IF(OR(H1102&lt;0,I1102&lt;0),"Revisar signo",IF(AND(C1102&lt;&gt;"Gasto",I1102&lt;&gt;0),"IVA solo en Gasto",IF(AND(C1102="Gasto",D1102=""),"Falta categoría","OK")))))))))</f>
        <v/>
      </c>
    </row>
    <row r="1103" spans="1:12" ht="22" customHeight="1">
      <c r="A1103" s="3"/>
      <c r="B1103" s="7"/>
      <c r="C1103" s="3"/>
      <c r="D1103" s="3"/>
      <c r="E1103" s="3"/>
      <c r="F1103" s="3"/>
      <c r="G1103" s="3"/>
      <c r="H1103" s="4"/>
      <c r="I1103" s="4"/>
      <c r="J1103" s="3"/>
      <c r="K1103" s="8" t="str">
        <f t="shared" si="17"/>
        <v/>
      </c>
      <c r="L1103" s="1" t="str">
        <f>IF(COUNTA(A1103:J1103)=0,"",IF(OR(AND(C1103&lt;&gt;"Gasto",C1103&lt;&gt;"Pago proveedor",C1103&lt;&gt;"Retiro familiar",C1103&lt;&gt;"Aportación",C1103&lt;&gt;"Pago activo",C1103&lt;&gt;"ISR devengado",C1103&lt;&gt;"Pago ISR",C1103&lt;&gt;"Pago IVA",C1103&lt;&gt;"Compensación ISR",C1103&lt;&gt;"Compensación IVA"),AND(C1103="Gasto",D1103&lt;&gt;"Costos clínicos",D1103&lt;&gt;"Remuneración familiar",D1103&lt;&gt;"Nómina y honorarios",D1103&lt;&gt;"Renta",D1103&lt;&gt;"Marketing",D1103&lt;&gt;"Servicios y software",D1103&lt;&gt;"Mantenimiento",D1103&lt;&gt;"Otros",D1103&lt;&gt;"Intereses")),"Tipo o categoría inválido",IF(COUNTA(A1103:J1103)=0,"",IF(OR(A1103="",B1103="",C1103="",H1103=""),"Faltan datos",IF(COUNTIF($A$7:$A$2006,A1103)&gt;1,"ID duplicado",IF(OR(B1103&lt;DATE(Configuración!$C$5,1,1),B1103&gt;=DATE(Configuración!$C$5+1,1,1)),"Fecha fuera del año",IF(OR(H1103&lt;0,I1103&lt;0),"Revisar signo",IF(AND(C1103&lt;&gt;"Gasto",I1103&lt;&gt;0),"IVA solo en Gasto",IF(AND(C1103="Gasto",D1103=""),"Falta categoría","OK")))))))))</f>
        <v/>
      </c>
    </row>
    <row r="1104" spans="1:12" ht="22" customHeight="1">
      <c r="A1104" s="3"/>
      <c r="B1104" s="7"/>
      <c r="C1104" s="3"/>
      <c r="D1104" s="3"/>
      <c r="E1104" s="3"/>
      <c r="F1104" s="3"/>
      <c r="G1104" s="3"/>
      <c r="H1104" s="4"/>
      <c r="I1104" s="4"/>
      <c r="J1104" s="3"/>
      <c r="K1104" s="8" t="str">
        <f t="shared" si="17"/>
        <v/>
      </c>
      <c r="L1104" s="1" t="str">
        <f>IF(COUNTA(A1104:J1104)=0,"",IF(OR(AND(C1104&lt;&gt;"Gasto",C1104&lt;&gt;"Pago proveedor",C1104&lt;&gt;"Retiro familiar",C1104&lt;&gt;"Aportación",C1104&lt;&gt;"Pago activo",C1104&lt;&gt;"ISR devengado",C1104&lt;&gt;"Pago ISR",C1104&lt;&gt;"Pago IVA",C1104&lt;&gt;"Compensación ISR",C1104&lt;&gt;"Compensación IVA"),AND(C1104="Gasto",D1104&lt;&gt;"Costos clínicos",D1104&lt;&gt;"Remuneración familiar",D1104&lt;&gt;"Nómina y honorarios",D1104&lt;&gt;"Renta",D1104&lt;&gt;"Marketing",D1104&lt;&gt;"Servicios y software",D1104&lt;&gt;"Mantenimiento",D1104&lt;&gt;"Otros",D1104&lt;&gt;"Intereses")),"Tipo o categoría inválido",IF(COUNTA(A1104:J1104)=0,"",IF(OR(A1104="",B1104="",C1104="",H1104=""),"Faltan datos",IF(COUNTIF($A$7:$A$2006,A1104)&gt;1,"ID duplicado",IF(OR(B1104&lt;DATE(Configuración!$C$5,1,1),B1104&gt;=DATE(Configuración!$C$5+1,1,1)),"Fecha fuera del año",IF(OR(H1104&lt;0,I1104&lt;0),"Revisar signo",IF(AND(C1104&lt;&gt;"Gasto",I1104&lt;&gt;0),"IVA solo en Gasto",IF(AND(C1104="Gasto",D1104=""),"Falta categoría","OK")))))))))</f>
        <v/>
      </c>
    </row>
    <row r="1105" spans="1:12" ht="22" customHeight="1">
      <c r="A1105" s="3"/>
      <c r="B1105" s="7"/>
      <c r="C1105" s="3"/>
      <c r="D1105" s="3"/>
      <c r="E1105" s="3"/>
      <c r="F1105" s="3"/>
      <c r="G1105" s="3"/>
      <c r="H1105" s="4"/>
      <c r="I1105" s="4"/>
      <c r="J1105" s="3"/>
      <c r="K1105" s="8" t="str">
        <f t="shared" si="17"/>
        <v/>
      </c>
      <c r="L1105" s="1" t="str">
        <f>IF(COUNTA(A1105:J1105)=0,"",IF(OR(AND(C1105&lt;&gt;"Gasto",C1105&lt;&gt;"Pago proveedor",C1105&lt;&gt;"Retiro familiar",C1105&lt;&gt;"Aportación",C1105&lt;&gt;"Pago activo",C1105&lt;&gt;"ISR devengado",C1105&lt;&gt;"Pago ISR",C1105&lt;&gt;"Pago IVA",C1105&lt;&gt;"Compensación ISR",C1105&lt;&gt;"Compensación IVA"),AND(C1105="Gasto",D1105&lt;&gt;"Costos clínicos",D1105&lt;&gt;"Remuneración familiar",D1105&lt;&gt;"Nómina y honorarios",D1105&lt;&gt;"Renta",D1105&lt;&gt;"Marketing",D1105&lt;&gt;"Servicios y software",D1105&lt;&gt;"Mantenimiento",D1105&lt;&gt;"Otros",D1105&lt;&gt;"Intereses")),"Tipo o categoría inválido",IF(COUNTA(A1105:J1105)=0,"",IF(OR(A1105="",B1105="",C1105="",H1105=""),"Faltan datos",IF(COUNTIF($A$7:$A$2006,A1105)&gt;1,"ID duplicado",IF(OR(B1105&lt;DATE(Configuración!$C$5,1,1),B1105&gt;=DATE(Configuración!$C$5+1,1,1)),"Fecha fuera del año",IF(OR(H1105&lt;0,I1105&lt;0),"Revisar signo",IF(AND(C1105&lt;&gt;"Gasto",I1105&lt;&gt;0),"IVA solo en Gasto",IF(AND(C1105="Gasto",D1105=""),"Falta categoría","OK")))))))))</f>
        <v/>
      </c>
    </row>
    <row r="1106" spans="1:12" ht="22" customHeight="1">
      <c r="A1106" s="3"/>
      <c r="B1106" s="7"/>
      <c r="C1106" s="3"/>
      <c r="D1106" s="3"/>
      <c r="E1106" s="3"/>
      <c r="F1106" s="3"/>
      <c r="G1106" s="3"/>
      <c r="H1106" s="4"/>
      <c r="I1106" s="4"/>
      <c r="J1106" s="3"/>
      <c r="K1106" s="8" t="str">
        <f t="shared" si="17"/>
        <v/>
      </c>
      <c r="L1106" s="1" t="str">
        <f>IF(COUNTA(A1106:J1106)=0,"",IF(OR(AND(C1106&lt;&gt;"Gasto",C1106&lt;&gt;"Pago proveedor",C1106&lt;&gt;"Retiro familiar",C1106&lt;&gt;"Aportación",C1106&lt;&gt;"Pago activo",C1106&lt;&gt;"ISR devengado",C1106&lt;&gt;"Pago ISR",C1106&lt;&gt;"Pago IVA",C1106&lt;&gt;"Compensación ISR",C1106&lt;&gt;"Compensación IVA"),AND(C1106="Gasto",D1106&lt;&gt;"Costos clínicos",D1106&lt;&gt;"Remuneración familiar",D1106&lt;&gt;"Nómina y honorarios",D1106&lt;&gt;"Renta",D1106&lt;&gt;"Marketing",D1106&lt;&gt;"Servicios y software",D1106&lt;&gt;"Mantenimiento",D1106&lt;&gt;"Otros",D1106&lt;&gt;"Intereses")),"Tipo o categoría inválido",IF(COUNTA(A1106:J1106)=0,"",IF(OR(A1106="",B1106="",C1106="",H1106=""),"Faltan datos",IF(COUNTIF($A$7:$A$2006,A1106)&gt;1,"ID duplicado",IF(OR(B1106&lt;DATE(Configuración!$C$5,1,1),B1106&gt;=DATE(Configuración!$C$5+1,1,1)),"Fecha fuera del año",IF(OR(H1106&lt;0,I1106&lt;0),"Revisar signo",IF(AND(C1106&lt;&gt;"Gasto",I1106&lt;&gt;0),"IVA solo en Gasto",IF(AND(C1106="Gasto",D1106=""),"Falta categoría","OK")))))))))</f>
        <v/>
      </c>
    </row>
    <row r="1107" spans="1:12" ht="22" customHeight="1">
      <c r="A1107" s="3"/>
      <c r="B1107" s="7"/>
      <c r="C1107" s="3"/>
      <c r="D1107" s="3"/>
      <c r="E1107" s="3"/>
      <c r="F1107" s="3"/>
      <c r="G1107" s="3"/>
      <c r="H1107" s="4"/>
      <c r="I1107" s="4"/>
      <c r="J1107" s="3"/>
      <c r="K1107" s="8" t="str">
        <f t="shared" si="17"/>
        <v/>
      </c>
      <c r="L1107" s="1" t="str">
        <f>IF(COUNTA(A1107:J1107)=0,"",IF(OR(AND(C1107&lt;&gt;"Gasto",C1107&lt;&gt;"Pago proveedor",C1107&lt;&gt;"Retiro familiar",C1107&lt;&gt;"Aportación",C1107&lt;&gt;"Pago activo",C1107&lt;&gt;"ISR devengado",C1107&lt;&gt;"Pago ISR",C1107&lt;&gt;"Pago IVA",C1107&lt;&gt;"Compensación ISR",C1107&lt;&gt;"Compensación IVA"),AND(C1107="Gasto",D1107&lt;&gt;"Costos clínicos",D1107&lt;&gt;"Remuneración familiar",D1107&lt;&gt;"Nómina y honorarios",D1107&lt;&gt;"Renta",D1107&lt;&gt;"Marketing",D1107&lt;&gt;"Servicios y software",D1107&lt;&gt;"Mantenimiento",D1107&lt;&gt;"Otros",D1107&lt;&gt;"Intereses")),"Tipo o categoría inválido",IF(COUNTA(A1107:J1107)=0,"",IF(OR(A1107="",B1107="",C1107="",H1107=""),"Faltan datos",IF(COUNTIF($A$7:$A$2006,A1107)&gt;1,"ID duplicado",IF(OR(B1107&lt;DATE(Configuración!$C$5,1,1),B1107&gt;=DATE(Configuración!$C$5+1,1,1)),"Fecha fuera del año",IF(OR(H1107&lt;0,I1107&lt;0),"Revisar signo",IF(AND(C1107&lt;&gt;"Gasto",I1107&lt;&gt;0),"IVA solo en Gasto",IF(AND(C1107="Gasto",D1107=""),"Falta categoría","OK")))))))))</f>
        <v/>
      </c>
    </row>
    <row r="1108" spans="1:12" ht="22" customHeight="1">
      <c r="A1108" s="3"/>
      <c r="B1108" s="7"/>
      <c r="C1108" s="3"/>
      <c r="D1108" s="3"/>
      <c r="E1108" s="3"/>
      <c r="F1108" s="3"/>
      <c r="G1108" s="3"/>
      <c r="H1108" s="4"/>
      <c r="I1108" s="4"/>
      <c r="J1108" s="3"/>
      <c r="K1108" s="8" t="str">
        <f t="shared" si="17"/>
        <v/>
      </c>
      <c r="L1108" s="1" t="str">
        <f>IF(COUNTA(A1108:J1108)=0,"",IF(OR(AND(C1108&lt;&gt;"Gasto",C1108&lt;&gt;"Pago proveedor",C1108&lt;&gt;"Retiro familiar",C1108&lt;&gt;"Aportación",C1108&lt;&gt;"Pago activo",C1108&lt;&gt;"ISR devengado",C1108&lt;&gt;"Pago ISR",C1108&lt;&gt;"Pago IVA",C1108&lt;&gt;"Compensación ISR",C1108&lt;&gt;"Compensación IVA"),AND(C1108="Gasto",D1108&lt;&gt;"Costos clínicos",D1108&lt;&gt;"Remuneración familiar",D1108&lt;&gt;"Nómina y honorarios",D1108&lt;&gt;"Renta",D1108&lt;&gt;"Marketing",D1108&lt;&gt;"Servicios y software",D1108&lt;&gt;"Mantenimiento",D1108&lt;&gt;"Otros",D1108&lt;&gt;"Intereses")),"Tipo o categoría inválido",IF(COUNTA(A1108:J1108)=0,"",IF(OR(A1108="",B1108="",C1108="",H1108=""),"Faltan datos",IF(COUNTIF($A$7:$A$2006,A1108)&gt;1,"ID duplicado",IF(OR(B1108&lt;DATE(Configuración!$C$5,1,1),B1108&gt;=DATE(Configuración!$C$5+1,1,1)),"Fecha fuera del año",IF(OR(H1108&lt;0,I1108&lt;0),"Revisar signo",IF(AND(C1108&lt;&gt;"Gasto",I1108&lt;&gt;0),"IVA solo en Gasto",IF(AND(C1108="Gasto",D1108=""),"Falta categoría","OK")))))))))</f>
        <v/>
      </c>
    </row>
    <row r="1109" spans="1:12" ht="22" customHeight="1">
      <c r="A1109" s="3"/>
      <c r="B1109" s="7"/>
      <c r="C1109" s="3"/>
      <c r="D1109" s="3"/>
      <c r="E1109" s="3"/>
      <c r="F1109" s="3"/>
      <c r="G1109" s="3"/>
      <c r="H1109" s="4"/>
      <c r="I1109" s="4"/>
      <c r="J1109" s="3"/>
      <c r="K1109" s="8" t="str">
        <f t="shared" si="17"/>
        <v/>
      </c>
      <c r="L1109" s="1" t="str">
        <f>IF(COUNTA(A1109:J1109)=0,"",IF(OR(AND(C1109&lt;&gt;"Gasto",C1109&lt;&gt;"Pago proveedor",C1109&lt;&gt;"Retiro familiar",C1109&lt;&gt;"Aportación",C1109&lt;&gt;"Pago activo",C1109&lt;&gt;"ISR devengado",C1109&lt;&gt;"Pago ISR",C1109&lt;&gt;"Pago IVA",C1109&lt;&gt;"Compensación ISR",C1109&lt;&gt;"Compensación IVA"),AND(C1109="Gasto",D1109&lt;&gt;"Costos clínicos",D1109&lt;&gt;"Remuneración familiar",D1109&lt;&gt;"Nómina y honorarios",D1109&lt;&gt;"Renta",D1109&lt;&gt;"Marketing",D1109&lt;&gt;"Servicios y software",D1109&lt;&gt;"Mantenimiento",D1109&lt;&gt;"Otros",D1109&lt;&gt;"Intereses")),"Tipo o categoría inválido",IF(COUNTA(A1109:J1109)=0,"",IF(OR(A1109="",B1109="",C1109="",H1109=""),"Faltan datos",IF(COUNTIF($A$7:$A$2006,A1109)&gt;1,"ID duplicado",IF(OR(B1109&lt;DATE(Configuración!$C$5,1,1),B1109&gt;=DATE(Configuración!$C$5+1,1,1)),"Fecha fuera del año",IF(OR(H1109&lt;0,I1109&lt;0),"Revisar signo",IF(AND(C1109&lt;&gt;"Gasto",I1109&lt;&gt;0),"IVA solo en Gasto",IF(AND(C1109="Gasto",D1109=""),"Falta categoría","OK")))))))))</f>
        <v/>
      </c>
    </row>
    <row r="1110" spans="1:12" ht="22" customHeight="1">
      <c r="A1110" s="3"/>
      <c r="B1110" s="7"/>
      <c r="C1110" s="3"/>
      <c r="D1110" s="3"/>
      <c r="E1110" s="3"/>
      <c r="F1110" s="3"/>
      <c r="G1110" s="3"/>
      <c r="H1110" s="4"/>
      <c r="I1110" s="4"/>
      <c r="J1110" s="3"/>
      <c r="K1110" s="8" t="str">
        <f t="shared" si="17"/>
        <v/>
      </c>
      <c r="L1110" s="1" t="str">
        <f>IF(COUNTA(A1110:J1110)=0,"",IF(OR(AND(C1110&lt;&gt;"Gasto",C1110&lt;&gt;"Pago proveedor",C1110&lt;&gt;"Retiro familiar",C1110&lt;&gt;"Aportación",C1110&lt;&gt;"Pago activo",C1110&lt;&gt;"ISR devengado",C1110&lt;&gt;"Pago ISR",C1110&lt;&gt;"Pago IVA",C1110&lt;&gt;"Compensación ISR",C1110&lt;&gt;"Compensación IVA"),AND(C1110="Gasto",D1110&lt;&gt;"Costos clínicos",D1110&lt;&gt;"Remuneración familiar",D1110&lt;&gt;"Nómina y honorarios",D1110&lt;&gt;"Renta",D1110&lt;&gt;"Marketing",D1110&lt;&gt;"Servicios y software",D1110&lt;&gt;"Mantenimiento",D1110&lt;&gt;"Otros",D1110&lt;&gt;"Intereses")),"Tipo o categoría inválido",IF(COUNTA(A1110:J1110)=0,"",IF(OR(A1110="",B1110="",C1110="",H1110=""),"Faltan datos",IF(COUNTIF($A$7:$A$2006,A1110)&gt;1,"ID duplicado",IF(OR(B1110&lt;DATE(Configuración!$C$5,1,1),B1110&gt;=DATE(Configuración!$C$5+1,1,1)),"Fecha fuera del año",IF(OR(H1110&lt;0,I1110&lt;0),"Revisar signo",IF(AND(C1110&lt;&gt;"Gasto",I1110&lt;&gt;0),"IVA solo en Gasto",IF(AND(C1110="Gasto",D1110=""),"Falta categoría","OK")))))))))</f>
        <v/>
      </c>
    </row>
    <row r="1111" spans="1:12" ht="22" customHeight="1">
      <c r="A1111" s="3"/>
      <c r="B1111" s="7"/>
      <c r="C1111" s="3"/>
      <c r="D1111" s="3"/>
      <c r="E1111" s="3"/>
      <c r="F1111" s="3"/>
      <c r="G1111" s="3"/>
      <c r="H1111" s="4"/>
      <c r="I1111" s="4"/>
      <c r="J1111" s="3"/>
      <c r="K1111" s="8" t="str">
        <f t="shared" si="17"/>
        <v/>
      </c>
      <c r="L1111" s="1" t="str">
        <f>IF(COUNTA(A1111:J1111)=0,"",IF(OR(AND(C1111&lt;&gt;"Gasto",C1111&lt;&gt;"Pago proveedor",C1111&lt;&gt;"Retiro familiar",C1111&lt;&gt;"Aportación",C1111&lt;&gt;"Pago activo",C1111&lt;&gt;"ISR devengado",C1111&lt;&gt;"Pago ISR",C1111&lt;&gt;"Pago IVA",C1111&lt;&gt;"Compensación ISR",C1111&lt;&gt;"Compensación IVA"),AND(C1111="Gasto",D1111&lt;&gt;"Costos clínicos",D1111&lt;&gt;"Remuneración familiar",D1111&lt;&gt;"Nómina y honorarios",D1111&lt;&gt;"Renta",D1111&lt;&gt;"Marketing",D1111&lt;&gt;"Servicios y software",D1111&lt;&gt;"Mantenimiento",D1111&lt;&gt;"Otros",D1111&lt;&gt;"Intereses")),"Tipo o categoría inválido",IF(COUNTA(A1111:J1111)=0,"",IF(OR(A1111="",B1111="",C1111="",H1111=""),"Faltan datos",IF(COUNTIF($A$7:$A$2006,A1111)&gt;1,"ID duplicado",IF(OR(B1111&lt;DATE(Configuración!$C$5,1,1),B1111&gt;=DATE(Configuración!$C$5+1,1,1)),"Fecha fuera del año",IF(OR(H1111&lt;0,I1111&lt;0),"Revisar signo",IF(AND(C1111&lt;&gt;"Gasto",I1111&lt;&gt;0),"IVA solo en Gasto",IF(AND(C1111="Gasto",D1111=""),"Falta categoría","OK")))))))))</f>
        <v/>
      </c>
    </row>
    <row r="1112" spans="1:12" ht="22" customHeight="1">
      <c r="A1112" s="3"/>
      <c r="B1112" s="7"/>
      <c r="C1112" s="3"/>
      <c r="D1112" s="3"/>
      <c r="E1112" s="3"/>
      <c r="F1112" s="3"/>
      <c r="G1112" s="3"/>
      <c r="H1112" s="4"/>
      <c r="I1112" s="4"/>
      <c r="J1112" s="3"/>
      <c r="K1112" s="8" t="str">
        <f t="shared" si="17"/>
        <v/>
      </c>
      <c r="L1112" s="1" t="str">
        <f>IF(COUNTA(A1112:J1112)=0,"",IF(OR(AND(C1112&lt;&gt;"Gasto",C1112&lt;&gt;"Pago proveedor",C1112&lt;&gt;"Retiro familiar",C1112&lt;&gt;"Aportación",C1112&lt;&gt;"Pago activo",C1112&lt;&gt;"ISR devengado",C1112&lt;&gt;"Pago ISR",C1112&lt;&gt;"Pago IVA",C1112&lt;&gt;"Compensación ISR",C1112&lt;&gt;"Compensación IVA"),AND(C1112="Gasto",D1112&lt;&gt;"Costos clínicos",D1112&lt;&gt;"Remuneración familiar",D1112&lt;&gt;"Nómina y honorarios",D1112&lt;&gt;"Renta",D1112&lt;&gt;"Marketing",D1112&lt;&gt;"Servicios y software",D1112&lt;&gt;"Mantenimiento",D1112&lt;&gt;"Otros",D1112&lt;&gt;"Intereses")),"Tipo o categoría inválido",IF(COUNTA(A1112:J1112)=0,"",IF(OR(A1112="",B1112="",C1112="",H1112=""),"Faltan datos",IF(COUNTIF($A$7:$A$2006,A1112)&gt;1,"ID duplicado",IF(OR(B1112&lt;DATE(Configuración!$C$5,1,1),B1112&gt;=DATE(Configuración!$C$5+1,1,1)),"Fecha fuera del año",IF(OR(H1112&lt;0,I1112&lt;0),"Revisar signo",IF(AND(C1112&lt;&gt;"Gasto",I1112&lt;&gt;0),"IVA solo en Gasto",IF(AND(C1112="Gasto",D1112=""),"Falta categoría","OK")))))))))</f>
        <v/>
      </c>
    </row>
    <row r="1113" spans="1:12" ht="22" customHeight="1">
      <c r="A1113" s="3"/>
      <c r="B1113" s="7"/>
      <c r="C1113" s="3"/>
      <c r="D1113" s="3"/>
      <c r="E1113" s="3"/>
      <c r="F1113" s="3"/>
      <c r="G1113" s="3"/>
      <c r="H1113" s="4"/>
      <c r="I1113" s="4"/>
      <c r="J1113" s="3"/>
      <c r="K1113" s="8" t="str">
        <f t="shared" si="17"/>
        <v/>
      </c>
      <c r="L1113" s="1" t="str">
        <f>IF(COUNTA(A1113:J1113)=0,"",IF(OR(AND(C1113&lt;&gt;"Gasto",C1113&lt;&gt;"Pago proveedor",C1113&lt;&gt;"Retiro familiar",C1113&lt;&gt;"Aportación",C1113&lt;&gt;"Pago activo",C1113&lt;&gt;"ISR devengado",C1113&lt;&gt;"Pago ISR",C1113&lt;&gt;"Pago IVA",C1113&lt;&gt;"Compensación ISR",C1113&lt;&gt;"Compensación IVA"),AND(C1113="Gasto",D1113&lt;&gt;"Costos clínicos",D1113&lt;&gt;"Remuneración familiar",D1113&lt;&gt;"Nómina y honorarios",D1113&lt;&gt;"Renta",D1113&lt;&gt;"Marketing",D1113&lt;&gt;"Servicios y software",D1113&lt;&gt;"Mantenimiento",D1113&lt;&gt;"Otros",D1113&lt;&gt;"Intereses")),"Tipo o categoría inválido",IF(COUNTA(A1113:J1113)=0,"",IF(OR(A1113="",B1113="",C1113="",H1113=""),"Faltan datos",IF(COUNTIF($A$7:$A$2006,A1113)&gt;1,"ID duplicado",IF(OR(B1113&lt;DATE(Configuración!$C$5,1,1),B1113&gt;=DATE(Configuración!$C$5+1,1,1)),"Fecha fuera del año",IF(OR(H1113&lt;0,I1113&lt;0),"Revisar signo",IF(AND(C1113&lt;&gt;"Gasto",I1113&lt;&gt;0),"IVA solo en Gasto",IF(AND(C1113="Gasto",D1113=""),"Falta categoría","OK")))))))))</f>
        <v/>
      </c>
    </row>
    <row r="1114" spans="1:12" ht="22" customHeight="1">
      <c r="A1114" s="3"/>
      <c r="B1114" s="7"/>
      <c r="C1114" s="3"/>
      <c r="D1114" s="3"/>
      <c r="E1114" s="3"/>
      <c r="F1114" s="3"/>
      <c r="G1114" s="3"/>
      <c r="H1114" s="4"/>
      <c r="I1114" s="4"/>
      <c r="J1114" s="3"/>
      <c r="K1114" s="8" t="str">
        <f t="shared" si="17"/>
        <v/>
      </c>
      <c r="L1114" s="1" t="str">
        <f>IF(COUNTA(A1114:J1114)=0,"",IF(OR(AND(C1114&lt;&gt;"Gasto",C1114&lt;&gt;"Pago proveedor",C1114&lt;&gt;"Retiro familiar",C1114&lt;&gt;"Aportación",C1114&lt;&gt;"Pago activo",C1114&lt;&gt;"ISR devengado",C1114&lt;&gt;"Pago ISR",C1114&lt;&gt;"Pago IVA",C1114&lt;&gt;"Compensación ISR",C1114&lt;&gt;"Compensación IVA"),AND(C1114="Gasto",D1114&lt;&gt;"Costos clínicos",D1114&lt;&gt;"Remuneración familiar",D1114&lt;&gt;"Nómina y honorarios",D1114&lt;&gt;"Renta",D1114&lt;&gt;"Marketing",D1114&lt;&gt;"Servicios y software",D1114&lt;&gt;"Mantenimiento",D1114&lt;&gt;"Otros",D1114&lt;&gt;"Intereses")),"Tipo o categoría inválido",IF(COUNTA(A1114:J1114)=0,"",IF(OR(A1114="",B1114="",C1114="",H1114=""),"Faltan datos",IF(COUNTIF($A$7:$A$2006,A1114)&gt;1,"ID duplicado",IF(OR(B1114&lt;DATE(Configuración!$C$5,1,1),B1114&gt;=DATE(Configuración!$C$5+1,1,1)),"Fecha fuera del año",IF(OR(H1114&lt;0,I1114&lt;0),"Revisar signo",IF(AND(C1114&lt;&gt;"Gasto",I1114&lt;&gt;0),"IVA solo en Gasto",IF(AND(C1114="Gasto",D1114=""),"Falta categoría","OK")))))))))</f>
        <v/>
      </c>
    </row>
    <row r="1115" spans="1:12" ht="22" customHeight="1">
      <c r="A1115" s="3"/>
      <c r="B1115" s="7"/>
      <c r="C1115" s="3"/>
      <c r="D1115" s="3"/>
      <c r="E1115" s="3"/>
      <c r="F1115" s="3"/>
      <c r="G1115" s="3"/>
      <c r="H1115" s="4"/>
      <c r="I1115" s="4"/>
      <c r="J1115" s="3"/>
      <c r="K1115" s="8" t="str">
        <f t="shared" si="17"/>
        <v/>
      </c>
      <c r="L1115" s="1" t="str">
        <f>IF(COUNTA(A1115:J1115)=0,"",IF(OR(AND(C1115&lt;&gt;"Gasto",C1115&lt;&gt;"Pago proveedor",C1115&lt;&gt;"Retiro familiar",C1115&lt;&gt;"Aportación",C1115&lt;&gt;"Pago activo",C1115&lt;&gt;"ISR devengado",C1115&lt;&gt;"Pago ISR",C1115&lt;&gt;"Pago IVA",C1115&lt;&gt;"Compensación ISR",C1115&lt;&gt;"Compensación IVA"),AND(C1115="Gasto",D1115&lt;&gt;"Costos clínicos",D1115&lt;&gt;"Remuneración familiar",D1115&lt;&gt;"Nómina y honorarios",D1115&lt;&gt;"Renta",D1115&lt;&gt;"Marketing",D1115&lt;&gt;"Servicios y software",D1115&lt;&gt;"Mantenimiento",D1115&lt;&gt;"Otros",D1115&lt;&gt;"Intereses")),"Tipo o categoría inválido",IF(COUNTA(A1115:J1115)=0,"",IF(OR(A1115="",B1115="",C1115="",H1115=""),"Faltan datos",IF(COUNTIF($A$7:$A$2006,A1115)&gt;1,"ID duplicado",IF(OR(B1115&lt;DATE(Configuración!$C$5,1,1),B1115&gt;=DATE(Configuración!$C$5+1,1,1)),"Fecha fuera del año",IF(OR(H1115&lt;0,I1115&lt;0),"Revisar signo",IF(AND(C1115&lt;&gt;"Gasto",I1115&lt;&gt;0),"IVA solo en Gasto",IF(AND(C1115="Gasto",D1115=""),"Falta categoría","OK")))))))))</f>
        <v/>
      </c>
    </row>
    <row r="1116" spans="1:12" ht="22" customHeight="1">
      <c r="A1116" s="3"/>
      <c r="B1116" s="7"/>
      <c r="C1116" s="3"/>
      <c r="D1116" s="3"/>
      <c r="E1116" s="3"/>
      <c r="F1116" s="3"/>
      <c r="G1116" s="3"/>
      <c r="H1116" s="4"/>
      <c r="I1116" s="4"/>
      <c r="J1116" s="3"/>
      <c r="K1116" s="8" t="str">
        <f t="shared" si="17"/>
        <v/>
      </c>
      <c r="L1116" s="1" t="str">
        <f>IF(COUNTA(A1116:J1116)=0,"",IF(OR(AND(C1116&lt;&gt;"Gasto",C1116&lt;&gt;"Pago proveedor",C1116&lt;&gt;"Retiro familiar",C1116&lt;&gt;"Aportación",C1116&lt;&gt;"Pago activo",C1116&lt;&gt;"ISR devengado",C1116&lt;&gt;"Pago ISR",C1116&lt;&gt;"Pago IVA",C1116&lt;&gt;"Compensación ISR",C1116&lt;&gt;"Compensación IVA"),AND(C1116="Gasto",D1116&lt;&gt;"Costos clínicos",D1116&lt;&gt;"Remuneración familiar",D1116&lt;&gt;"Nómina y honorarios",D1116&lt;&gt;"Renta",D1116&lt;&gt;"Marketing",D1116&lt;&gt;"Servicios y software",D1116&lt;&gt;"Mantenimiento",D1116&lt;&gt;"Otros",D1116&lt;&gt;"Intereses")),"Tipo o categoría inválido",IF(COUNTA(A1116:J1116)=0,"",IF(OR(A1116="",B1116="",C1116="",H1116=""),"Faltan datos",IF(COUNTIF($A$7:$A$2006,A1116)&gt;1,"ID duplicado",IF(OR(B1116&lt;DATE(Configuración!$C$5,1,1),B1116&gt;=DATE(Configuración!$C$5+1,1,1)),"Fecha fuera del año",IF(OR(H1116&lt;0,I1116&lt;0),"Revisar signo",IF(AND(C1116&lt;&gt;"Gasto",I1116&lt;&gt;0),"IVA solo en Gasto",IF(AND(C1116="Gasto",D1116=""),"Falta categoría","OK")))))))))</f>
        <v/>
      </c>
    </row>
    <row r="1117" spans="1:12" ht="22" customHeight="1">
      <c r="A1117" s="3"/>
      <c r="B1117" s="7"/>
      <c r="C1117" s="3"/>
      <c r="D1117" s="3"/>
      <c r="E1117" s="3"/>
      <c r="F1117" s="3"/>
      <c r="G1117" s="3"/>
      <c r="H1117" s="4"/>
      <c r="I1117" s="4"/>
      <c r="J1117" s="3"/>
      <c r="K1117" s="8" t="str">
        <f t="shared" si="17"/>
        <v/>
      </c>
      <c r="L1117" s="1" t="str">
        <f>IF(COUNTA(A1117:J1117)=0,"",IF(OR(AND(C1117&lt;&gt;"Gasto",C1117&lt;&gt;"Pago proveedor",C1117&lt;&gt;"Retiro familiar",C1117&lt;&gt;"Aportación",C1117&lt;&gt;"Pago activo",C1117&lt;&gt;"ISR devengado",C1117&lt;&gt;"Pago ISR",C1117&lt;&gt;"Pago IVA",C1117&lt;&gt;"Compensación ISR",C1117&lt;&gt;"Compensación IVA"),AND(C1117="Gasto",D1117&lt;&gt;"Costos clínicos",D1117&lt;&gt;"Remuneración familiar",D1117&lt;&gt;"Nómina y honorarios",D1117&lt;&gt;"Renta",D1117&lt;&gt;"Marketing",D1117&lt;&gt;"Servicios y software",D1117&lt;&gt;"Mantenimiento",D1117&lt;&gt;"Otros",D1117&lt;&gt;"Intereses")),"Tipo o categoría inválido",IF(COUNTA(A1117:J1117)=0,"",IF(OR(A1117="",B1117="",C1117="",H1117=""),"Faltan datos",IF(COUNTIF($A$7:$A$2006,A1117)&gt;1,"ID duplicado",IF(OR(B1117&lt;DATE(Configuración!$C$5,1,1),B1117&gt;=DATE(Configuración!$C$5+1,1,1)),"Fecha fuera del año",IF(OR(H1117&lt;0,I1117&lt;0),"Revisar signo",IF(AND(C1117&lt;&gt;"Gasto",I1117&lt;&gt;0),"IVA solo en Gasto",IF(AND(C1117="Gasto",D1117=""),"Falta categoría","OK")))))))))</f>
        <v/>
      </c>
    </row>
    <row r="1118" spans="1:12" ht="22" customHeight="1">
      <c r="A1118" s="3"/>
      <c r="B1118" s="7"/>
      <c r="C1118" s="3"/>
      <c r="D1118" s="3"/>
      <c r="E1118" s="3"/>
      <c r="F1118" s="3"/>
      <c r="G1118" s="3"/>
      <c r="H1118" s="4"/>
      <c r="I1118" s="4"/>
      <c r="J1118" s="3"/>
      <c r="K1118" s="8" t="str">
        <f t="shared" si="17"/>
        <v/>
      </c>
      <c r="L1118" s="1" t="str">
        <f>IF(COUNTA(A1118:J1118)=0,"",IF(OR(AND(C1118&lt;&gt;"Gasto",C1118&lt;&gt;"Pago proveedor",C1118&lt;&gt;"Retiro familiar",C1118&lt;&gt;"Aportación",C1118&lt;&gt;"Pago activo",C1118&lt;&gt;"ISR devengado",C1118&lt;&gt;"Pago ISR",C1118&lt;&gt;"Pago IVA",C1118&lt;&gt;"Compensación ISR",C1118&lt;&gt;"Compensación IVA"),AND(C1118="Gasto",D1118&lt;&gt;"Costos clínicos",D1118&lt;&gt;"Remuneración familiar",D1118&lt;&gt;"Nómina y honorarios",D1118&lt;&gt;"Renta",D1118&lt;&gt;"Marketing",D1118&lt;&gt;"Servicios y software",D1118&lt;&gt;"Mantenimiento",D1118&lt;&gt;"Otros",D1118&lt;&gt;"Intereses")),"Tipo o categoría inválido",IF(COUNTA(A1118:J1118)=0,"",IF(OR(A1118="",B1118="",C1118="",H1118=""),"Faltan datos",IF(COUNTIF($A$7:$A$2006,A1118)&gt;1,"ID duplicado",IF(OR(B1118&lt;DATE(Configuración!$C$5,1,1),B1118&gt;=DATE(Configuración!$C$5+1,1,1)),"Fecha fuera del año",IF(OR(H1118&lt;0,I1118&lt;0),"Revisar signo",IF(AND(C1118&lt;&gt;"Gasto",I1118&lt;&gt;0),"IVA solo en Gasto",IF(AND(C1118="Gasto",D1118=""),"Falta categoría","OK")))))))))</f>
        <v/>
      </c>
    </row>
    <row r="1119" spans="1:12" ht="22" customHeight="1">
      <c r="A1119" s="3"/>
      <c r="B1119" s="7"/>
      <c r="C1119" s="3"/>
      <c r="D1119" s="3"/>
      <c r="E1119" s="3"/>
      <c r="F1119" s="3"/>
      <c r="G1119" s="3"/>
      <c r="H1119" s="4"/>
      <c r="I1119" s="4"/>
      <c r="J1119" s="3"/>
      <c r="K1119" s="8" t="str">
        <f t="shared" si="17"/>
        <v/>
      </c>
      <c r="L1119" s="1" t="str">
        <f>IF(COUNTA(A1119:J1119)=0,"",IF(OR(AND(C1119&lt;&gt;"Gasto",C1119&lt;&gt;"Pago proveedor",C1119&lt;&gt;"Retiro familiar",C1119&lt;&gt;"Aportación",C1119&lt;&gt;"Pago activo",C1119&lt;&gt;"ISR devengado",C1119&lt;&gt;"Pago ISR",C1119&lt;&gt;"Pago IVA",C1119&lt;&gt;"Compensación ISR",C1119&lt;&gt;"Compensación IVA"),AND(C1119="Gasto",D1119&lt;&gt;"Costos clínicos",D1119&lt;&gt;"Remuneración familiar",D1119&lt;&gt;"Nómina y honorarios",D1119&lt;&gt;"Renta",D1119&lt;&gt;"Marketing",D1119&lt;&gt;"Servicios y software",D1119&lt;&gt;"Mantenimiento",D1119&lt;&gt;"Otros",D1119&lt;&gt;"Intereses")),"Tipo o categoría inválido",IF(COUNTA(A1119:J1119)=0,"",IF(OR(A1119="",B1119="",C1119="",H1119=""),"Faltan datos",IF(COUNTIF($A$7:$A$2006,A1119)&gt;1,"ID duplicado",IF(OR(B1119&lt;DATE(Configuración!$C$5,1,1),B1119&gt;=DATE(Configuración!$C$5+1,1,1)),"Fecha fuera del año",IF(OR(H1119&lt;0,I1119&lt;0),"Revisar signo",IF(AND(C1119&lt;&gt;"Gasto",I1119&lt;&gt;0),"IVA solo en Gasto",IF(AND(C1119="Gasto",D1119=""),"Falta categoría","OK")))))))))</f>
        <v/>
      </c>
    </row>
    <row r="1120" spans="1:12" ht="22" customHeight="1">
      <c r="A1120" s="3"/>
      <c r="B1120" s="7"/>
      <c r="C1120" s="3"/>
      <c r="D1120" s="3"/>
      <c r="E1120" s="3"/>
      <c r="F1120" s="3"/>
      <c r="G1120" s="3"/>
      <c r="H1120" s="4"/>
      <c r="I1120" s="4"/>
      <c r="J1120" s="3"/>
      <c r="K1120" s="8" t="str">
        <f t="shared" si="17"/>
        <v/>
      </c>
      <c r="L1120" s="1" t="str">
        <f>IF(COUNTA(A1120:J1120)=0,"",IF(OR(AND(C1120&lt;&gt;"Gasto",C1120&lt;&gt;"Pago proveedor",C1120&lt;&gt;"Retiro familiar",C1120&lt;&gt;"Aportación",C1120&lt;&gt;"Pago activo",C1120&lt;&gt;"ISR devengado",C1120&lt;&gt;"Pago ISR",C1120&lt;&gt;"Pago IVA",C1120&lt;&gt;"Compensación ISR",C1120&lt;&gt;"Compensación IVA"),AND(C1120="Gasto",D1120&lt;&gt;"Costos clínicos",D1120&lt;&gt;"Remuneración familiar",D1120&lt;&gt;"Nómina y honorarios",D1120&lt;&gt;"Renta",D1120&lt;&gt;"Marketing",D1120&lt;&gt;"Servicios y software",D1120&lt;&gt;"Mantenimiento",D1120&lt;&gt;"Otros",D1120&lt;&gt;"Intereses")),"Tipo o categoría inválido",IF(COUNTA(A1120:J1120)=0,"",IF(OR(A1120="",B1120="",C1120="",H1120=""),"Faltan datos",IF(COUNTIF($A$7:$A$2006,A1120)&gt;1,"ID duplicado",IF(OR(B1120&lt;DATE(Configuración!$C$5,1,1),B1120&gt;=DATE(Configuración!$C$5+1,1,1)),"Fecha fuera del año",IF(OR(H1120&lt;0,I1120&lt;0),"Revisar signo",IF(AND(C1120&lt;&gt;"Gasto",I1120&lt;&gt;0),"IVA solo en Gasto",IF(AND(C1120="Gasto",D1120=""),"Falta categoría","OK")))))))))</f>
        <v/>
      </c>
    </row>
    <row r="1121" spans="1:12" ht="22" customHeight="1">
      <c r="A1121" s="3"/>
      <c r="B1121" s="7"/>
      <c r="C1121" s="3"/>
      <c r="D1121" s="3"/>
      <c r="E1121" s="3"/>
      <c r="F1121" s="3"/>
      <c r="G1121" s="3"/>
      <c r="H1121" s="4"/>
      <c r="I1121" s="4"/>
      <c r="J1121" s="3"/>
      <c r="K1121" s="8" t="str">
        <f t="shared" si="17"/>
        <v/>
      </c>
      <c r="L1121" s="1" t="str">
        <f>IF(COUNTA(A1121:J1121)=0,"",IF(OR(AND(C1121&lt;&gt;"Gasto",C1121&lt;&gt;"Pago proveedor",C1121&lt;&gt;"Retiro familiar",C1121&lt;&gt;"Aportación",C1121&lt;&gt;"Pago activo",C1121&lt;&gt;"ISR devengado",C1121&lt;&gt;"Pago ISR",C1121&lt;&gt;"Pago IVA",C1121&lt;&gt;"Compensación ISR",C1121&lt;&gt;"Compensación IVA"),AND(C1121="Gasto",D1121&lt;&gt;"Costos clínicos",D1121&lt;&gt;"Remuneración familiar",D1121&lt;&gt;"Nómina y honorarios",D1121&lt;&gt;"Renta",D1121&lt;&gt;"Marketing",D1121&lt;&gt;"Servicios y software",D1121&lt;&gt;"Mantenimiento",D1121&lt;&gt;"Otros",D1121&lt;&gt;"Intereses")),"Tipo o categoría inválido",IF(COUNTA(A1121:J1121)=0,"",IF(OR(A1121="",B1121="",C1121="",H1121=""),"Faltan datos",IF(COUNTIF($A$7:$A$2006,A1121)&gt;1,"ID duplicado",IF(OR(B1121&lt;DATE(Configuración!$C$5,1,1),B1121&gt;=DATE(Configuración!$C$5+1,1,1)),"Fecha fuera del año",IF(OR(H1121&lt;0,I1121&lt;0),"Revisar signo",IF(AND(C1121&lt;&gt;"Gasto",I1121&lt;&gt;0),"IVA solo en Gasto",IF(AND(C1121="Gasto",D1121=""),"Falta categoría","OK")))))))))</f>
        <v/>
      </c>
    </row>
    <row r="1122" spans="1:12" ht="22" customHeight="1">
      <c r="A1122" s="3"/>
      <c r="B1122" s="7"/>
      <c r="C1122" s="3"/>
      <c r="D1122" s="3"/>
      <c r="E1122" s="3"/>
      <c r="F1122" s="3"/>
      <c r="G1122" s="3"/>
      <c r="H1122" s="4"/>
      <c r="I1122" s="4"/>
      <c r="J1122" s="3"/>
      <c r="K1122" s="8" t="str">
        <f t="shared" si="17"/>
        <v/>
      </c>
      <c r="L1122" s="1" t="str">
        <f>IF(COUNTA(A1122:J1122)=0,"",IF(OR(AND(C1122&lt;&gt;"Gasto",C1122&lt;&gt;"Pago proveedor",C1122&lt;&gt;"Retiro familiar",C1122&lt;&gt;"Aportación",C1122&lt;&gt;"Pago activo",C1122&lt;&gt;"ISR devengado",C1122&lt;&gt;"Pago ISR",C1122&lt;&gt;"Pago IVA",C1122&lt;&gt;"Compensación ISR",C1122&lt;&gt;"Compensación IVA"),AND(C1122="Gasto",D1122&lt;&gt;"Costos clínicos",D1122&lt;&gt;"Remuneración familiar",D1122&lt;&gt;"Nómina y honorarios",D1122&lt;&gt;"Renta",D1122&lt;&gt;"Marketing",D1122&lt;&gt;"Servicios y software",D1122&lt;&gt;"Mantenimiento",D1122&lt;&gt;"Otros",D1122&lt;&gt;"Intereses")),"Tipo o categoría inválido",IF(COUNTA(A1122:J1122)=0,"",IF(OR(A1122="",B1122="",C1122="",H1122=""),"Faltan datos",IF(COUNTIF($A$7:$A$2006,A1122)&gt;1,"ID duplicado",IF(OR(B1122&lt;DATE(Configuración!$C$5,1,1),B1122&gt;=DATE(Configuración!$C$5+1,1,1)),"Fecha fuera del año",IF(OR(H1122&lt;0,I1122&lt;0),"Revisar signo",IF(AND(C1122&lt;&gt;"Gasto",I1122&lt;&gt;0),"IVA solo en Gasto",IF(AND(C1122="Gasto",D1122=""),"Falta categoría","OK")))))))))</f>
        <v/>
      </c>
    </row>
    <row r="1123" spans="1:12" ht="22" customHeight="1">
      <c r="A1123" s="3"/>
      <c r="B1123" s="7"/>
      <c r="C1123" s="3"/>
      <c r="D1123" s="3"/>
      <c r="E1123" s="3"/>
      <c r="F1123" s="3"/>
      <c r="G1123" s="3"/>
      <c r="H1123" s="4"/>
      <c r="I1123" s="4"/>
      <c r="J1123" s="3"/>
      <c r="K1123" s="8" t="str">
        <f t="shared" si="17"/>
        <v/>
      </c>
      <c r="L1123" s="1" t="str">
        <f>IF(COUNTA(A1123:J1123)=0,"",IF(OR(AND(C1123&lt;&gt;"Gasto",C1123&lt;&gt;"Pago proveedor",C1123&lt;&gt;"Retiro familiar",C1123&lt;&gt;"Aportación",C1123&lt;&gt;"Pago activo",C1123&lt;&gt;"ISR devengado",C1123&lt;&gt;"Pago ISR",C1123&lt;&gt;"Pago IVA",C1123&lt;&gt;"Compensación ISR",C1123&lt;&gt;"Compensación IVA"),AND(C1123="Gasto",D1123&lt;&gt;"Costos clínicos",D1123&lt;&gt;"Remuneración familiar",D1123&lt;&gt;"Nómina y honorarios",D1123&lt;&gt;"Renta",D1123&lt;&gt;"Marketing",D1123&lt;&gt;"Servicios y software",D1123&lt;&gt;"Mantenimiento",D1123&lt;&gt;"Otros",D1123&lt;&gt;"Intereses")),"Tipo o categoría inválido",IF(COUNTA(A1123:J1123)=0,"",IF(OR(A1123="",B1123="",C1123="",H1123=""),"Faltan datos",IF(COUNTIF($A$7:$A$2006,A1123)&gt;1,"ID duplicado",IF(OR(B1123&lt;DATE(Configuración!$C$5,1,1),B1123&gt;=DATE(Configuración!$C$5+1,1,1)),"Fecha fuera del año",IF(OR(H1123&lt;0,I1123&lt;0),"Revisar signo",IF(AND(C1123&lt;&gt;"Gasto",I1123&lt;&gt;0),"IVA solo en Gasto",IF(AND(C1123="Gasto",D1123=""),"Falta categoría","OK")))))))))</f>
        <v/>
      </c>
    </row>
    <row r="1124" spans="1:12" ht="22" customHeight="1">
      <c r="A1124" s="3"/>
      <c r="B1124" s="7"/>
      <c r="C1124" s="3"/>
      <c r="D1124" s="3"/>
      <c r="E1124" s="3"/>
      <c r="F1124" s="3"/>
      <c r="G1124" s="3"/>
      <c r="H1124" s="4"/>
      <c r="I1124" s="4"/>
      <c r="J1124" s="3"/>
      <c r="K1124" s="8" t="str">
        <f t="shared" si="17"/>
        <v/>
      </c>
      <c r="L1124" s="1" t="str">
        <f>IF(COUNTA(A1124:J1124)=0,"",IF(OR(AND(C1124&lt;&gt;"Gasto",C1124&lt;&gt;"Pago proveedor",C1124&lt;&gt;"Retiro familiar",C1124&lt;&gt;"Aportación",C1124&lt;&gt;"Pago activo",C1124&lt;&gt;"ISR devengado",C1124&lt;&gt;"Pago ISR",C1124&lt;&gt;"Pago IVA",C1124&lt;&gt;"Compensación ISR",C1124&lt;&gt;"Compensación IVA"),AND(C1124="Gasto",D1124&lt;&gt;"Costos clínicos",D1124&lt;&gt;"Remuneración familiar",D1124&lt;&gt;"Nómina y honorarios",D1124&lt;&gt;"Renta",D1124&lt;&gt;"Marketing",D1124&lt;&gt;"Servicios y software",D1124&lt;&gt;"Mantenimiento",D1124&lt;&gt;"Otros",D1124&lt;&gt;"Intereses")),"Tipo o categoría inválido",IF(COUNTA(A1124:J1124)=0,"",IF(OR(A1124="",B1124="",C1124="",H1124=""),"Faltan datos",IF(COUNTIF($A$7:$A$2006,A1124)&gt;1,"ID duplicado",IF(OR(B1124&lt;DATE(Configuración!$C$5,1,1),B1124&gt;=DATE(Configuración!$C$5+1,1,1)),"Fecha fuera del año",IF(OR(H1124&lt;0,I1124&lt;0),"Revisar signo",IF(AND(C1124&lt;&gt;"Gasto",I1124&lt;&gt;0),"IVA solo en Gasto",IF(AND(C1124="Gasto",D1124=""),"Falta categoría","OK")))))))))</f>
        <v/>
      </c>
    </row>
    <row r="1125" spans="1:12" ht="22" customHeight="1">
      <c r="A1125" s="3"/>
      <c r="B1125" s="7"/>
      <c r="C1125" s="3"/>
      <c r="D1125" s="3"/>
      <c r="E1125" s="3"/>
      <c r="F1125" s="3"/>
      <c r="G1125" s="3"/>
      <c r="H1125" s="4"/>
      <c r="I1125" s="4"/>
      <c r="J1125" s="3"/>
      <c r="K1125" s="8" t="str">
        <f t="shared" si="17"/>
        <v/>
      </c>
      <c r="L1125" s="1" t="str">
        <f>IF(COUNTA(A1125:J1125)=0,"",IF(OR(AND(C1125&lt;&gt;"Gasto",C1125&lt;&gt;"Pago proveedor",C1125&lt;&gt;"Retiro familiar",C1125&lt;&gt;"Aportación",C1125&lt;&gt;"Pago activo",C1125&lt;&gt;"ISR devengado",C1125&lt;&gt;"Pago ISR",C1125&lt;&gt;"Pago IVA",C1125&lt;&gt;"Compensación ISR",C1125&lt;&gt;"Compensación IVA"),AND(C1125="Gasto",D1125&lt;&gt;"Costos clínicos",D1125&lt;&gt;"Remuneración familiar",D1125&lt;&gt;"Nómina y honorarios",D1125&lt;&gt;"Renta",D1125&lt;&gt;"Marketing",D1125&lt;&gt;"Servicios y software",D1125&lt;&gt;"Mantenimiento",D1125&lt;&gt;"Otros",D1125&lt;&gt;"Intereses")),"Tipo o categoría inválido",IF(COUNTA(A1125:J1125)=0,"",IF(OR(A1125="",B1125="",C1125="",H1125=""),"Faltan datos",IF(COUNTIF($A$7:$A$2006,A1125)&gt;1,"ID duplicado",IF(OR(B1125&lt;DATE(Configuración!$C$5,1,1),B1125&gt;=DATE(Configuración!$C$5+1,1,1)),"Fecha fuera del año",IF(OR(H1125&lt;0,I1125&lt;0),"Revisar signo",IF(AND(C1125&lt;&gt;"Gasto",I1125&lt;&gt;0),"IVA solo en Gasto",IF(AND(C1125="Gasto",D1125=""),"Falta categoría","OK")))))))))</f>
        <v/>
      </c>
    </row>
    <row r="1126" spans="1:12" ht="22" customHeight="1">
      <c r="A1126" s="3"/>
      <c r="B1126" s="7"/>
      <c r="C1126" s="3"/>
      <c r="D1126" s="3"/>
      <c r="E1126" s="3"/>
      <c r="F1126" s="3"/>
      <c r="G1126" s="3"/>
      <c r="H1126" s="4"/>
      <c r="I1126" s="4"/>
      <c r="J1126" s="3"/>
      <c r="K1126" s="8" t="str">
        <f t="shared" si="17"/>
        <v/>
      </c>
      <c r="L1126" s="1" t="str">
        <f>IF(COUNTA(A1126:J1126)=0,"",IF(OR(AND(C1126&lt;&gt;"Gasto",C1126&lt;&gt;"Pago proveedor",C1126&lt;&gt;"Retiro familiar",C1126&lt;&gt;"Aportación",C1126&lt;&gt;"Pago activo",C1126&lt;&gt;"ISR devengado",C1126&lt;&gt;"Pago ISR",C1126&lt;&gt;"Pago IVA",C1126&lt;&gt;"Compensación ISR",C1126&lt;&gt;"Compensación IVA"),AND(C1126="Gasto",D1126&lt;&gt;"Costos clínicos",D1126&lt;&gt;"Remuneración familiar",D1126&lt;&gt;"Nómina y honorarios",D1126&lt;&gt;"Renta",D1126&lt;&gt;"Marketing",D1126&lt;&gt;"Servicios y software",D1126&lt;&gt;"Mantenimiento",D1126&lt;&gt;"Otros",D1126&lt;&gt;"Intereses")),"Tipo o categoría inválido",IF(COUNTA(A1126:J1126)=0,"",IF(OR(A1126="",B1126="",C1126="",H1126=""),"Faltan datos",IF(COUNTIF($A$7:$A$2006,A1126)&gt;1,"ID duplicado",IF(OR(B1126&lt;DATE(Configuración!$C$5,1,1),B1126&gt;=DATE(Configuración!$C$5+1,1,1)),"Fecha fuera del año",IF(OR(H1126&lt;0,I1126&lt;0),"Revisar signo",IF(AND(C1126&lt;&gt;"Gasto",I1126&lt;&gt;0),"IVA solo en Gasto",IF(AND(C1126="Gasto",D1126=""),"Falta categoría","OK")))))))))</f>
        <v/>
      </c>
    </row>
    <row r="1127" spans="1:12" ht="22" customHeight="1">
      <c r="A1127" s="3"/>
      <c r="B1127" s="7"/>
      <c r="C1127" s="3"/>
      <c r="D1127" s="3"/>
      <c r="E1127" s="3"/>
      <c r="F1127" s="3"/>
      <c r="G1127" s="3"/>
      <c r="H1127" s="4"/>
      <c r="I1127" s="4"/>
      <c r="J1127" s="3"/>
      <c r="K1127" s="8" t="str">
        <f t="shared" si="17"/>
        <v/>
      </c>
      <c r="L1127" s="1" t="str">
        <f>IF(COUNTA(A1127:J1127)=0,"",IF(OR(AND(C1127&lt;&gt;"Gasto",C1127&lt;&gt;"Pago proveedor",C1127&lt;&gt;"Retiro familiar",C1127&lt;&gt;"Aportación",C1127&lt;&gt;"Pago activo",C1127&lt;&gt;"ISR devengado",C1127&lt;&gt;"Pago ISR",C1127&lt;&gt;"Pago IVA",C1127&lt;&gt;"Compensación ISR",C1127&lt;&gt;"Compensación IVA"),AND(C1127="Gasto",D1127&lt;&gt;"Costos clínicos",D1127&lt;&gt;"Remuneración familiar",D1127&lt;&gt;"Nómina y honorarios",D1127&lt;&gt;"Renta",D1127&lt;&gt;"Marketing",D1127&lt;&gt;"Servicios y software",D1127&lt;&gt;"Mantenimiento",D1127&lt;&gt;"Otros",D1127&lt;&gt;"Intereses")),"Tipo o categoría inválido",IF(COUNTA(A1127:J1127)=0,"",IF(OR(A1127="",B1127="",C1127="",H1127=""),"Faltan datos",IF(COUNTIF($A$7:$A$2006,A1127)&gt;1,"ID duplicado",IF(OR(B1127&lt;DATE(Configuración!$C$5,1,1),B1127&gt;=DATE(Configuración!$C$5+1,1,1)),"Fecha fuera del año",IF(OR(H1127&lt;0,I1127&lt;0),"Revisar signo",IF(AND(C1127&lt;&gt;"Gasto",I1127&lt;&gt;0),"IVA solo en Gasto",IF(AND(C1127="Gasto",D1127=""),"Falta categoría","OK")))))))))</f>
        <v/>
      </c>
    </row>
    <row r="1128" spans="1:12" ht="22" customHeight="1">
      <c r="A1128" s="3"/>
      <c r="B1128" s="7"/>
      <c r="C1128" s="3"/>
      <c r="D1128" s="3"/>
      <c r="E1128" s="3"/>
      <c r="F1128" s="3"/>
      <c r="G1128" s="3"/>
      <c r="H1128" s="4"/>
      <c r="I1128" s="4"/>
      <c r="J1128" s="3"/>
      <c r="K1128" s="8" t="str">
        <f t="shared" si="17"/>
        <v/>
      </c>
      <c r="L1128" s="1" t="str">
        <f>IF(COUNTA(A1128:J1128)=0,"",IF(OR(AND(C1128&lt;&gt;"Gasto",C1128&lt;&gt;"Pago proveedor",C1128&lt;&gt;"Retiro familiar",C1128&lt;&gt;"Aportación",C1128&lt;&gt;"Pago activo",C1128&lt;&gt;"ISR devengado",C1128&lt;&gt;"Pago ISR",C1128&lt;&gt;"Pago IVA",C1128&lt;&gt;"Compensación ISR",C1128&lt;&gt;"Compensación IVA"),AND(C1128="Gasto",D1128&lt;&gt;"Costos clínicos",D1128&lt;&gt;"Remuneración familiar",D1128&lt;&gt;"Nómina y honorarios",D1128&lt;&gt;"Renta",D1128&lt;&gt;"Marketing",D1128&lt;&gt;"Servicios y software",D1128&lt;&gt;"Mantenimiento",D1128&lt;&gt;"Otros",D1128&lt;&gt;"Intereses")),"Tipo o categoría inválido",IF(COUNTA(A1128:J1128)=0,"",IF(OR(A1128="",B1128="",C1128="",H1128=""),"Faltan datos",IF(COUNTIF($A$7:$A$2006,A1128)&gt;1,"ID duplicado",IF(OR(B1128&lt;DATE(Configuración!$C$5,1,1),B1128&gt;=DATE(Configuración!$C$5+1,1,1)),"Fecha fuera del año",IF(OR(H1128&lt;0,I1128&lt;0),"Revisar signo",IF(AND(C1128&lt;&gt;"Gasto",I1128&lt;&gt;0),"IVA solo en Gasto",IF(AND(C1128="Gasto",D1128=""),"Falta categoría","OK")))))))))</f>
        <v/>
      </c>
    </row>
    <row r="1129" spans="1:12" ht="22" customHeight="1">
      <c r="A1129" s="3"/>
      <c r="B1129" s="7"/>
      <c r="C1129" s="3"/>
      <c r="D1129" s="3"/>
      <c r="E1129" s="3"/>
      <c r="F1129" s="3"/>
      <c r="G1129" s="3"/>
      <c r="H1129" s="4"/>
      <c r="I1129" s="4"/>
      <c r="J1129" s="3"/>
      <c r="K1129" s="8" t="str">
        <f t="shared" si="17"/>
        <v/>
      </c>
      <c r="L1129" s="1" t="str">
        <f>IF(COUNTA(A1129:J1129)=0,"",IF(OR(AND(C1129&lt;&gt;"Gasto",C1129&lt;&gt;"Pago proveedor",C1129&lt;&gt;"Retiro familiar",C1129&lt;&gt;"Aportación",C1129&lt;&gt;"Pago activo",C1129&lt;&gt;"ISR devengado",C1129&lt;&gt;"Pago ISR",C1129&lt;&gt;"Pago IVA",C1129&lt;&gt;"Compensación ISR",C1129&lt;&gt;"Compensación IVA"),AND(C1129="Gasto",D1129&lt;&gt;"Costos clínicos",D1129&lt;&gt;"Remuneración familiar",D1129&lt;&gt;"Nómina y honorarios",D1129&lt;&gt;"Renta",D1129&lt;&gt;"Marketing",D1129&lt;&gt;"Servicios y software",D1129&lt;&gt;"Mantenimiento",D1129&lt;&gt;"Otros",D1129&lt;&gt;"Intereses")),"Tipo o categoría inválido",IF(COUNTA(A1129:J1129)=0,"",IF(OR(A1129="",B1129="",C1129="",H1129=""),"Faltan datos",IF(COUNTIF($A$7:$A$2006,A1129)&gt;1,"ID duplicado",IF(OR(B1129&lt;DATE(Configuración!$C$5,1,1),B1129&gt;=DATE(Configuración!$C$5+1,1,1)),"Fecha fuera del año",IF(OR(H1129&lt;0,I1129&lt;0),"Revisar signo",IF(AND(C1129&lt;&gt;"Gasto",I1129&lt;&gt;0),"IVA solo en Gasto",IF(AND(C1129="Gasto",D1129=""),"Falta categoría","OK")))))))))</f>
        <v/>
      </c>
    </row>
    <row r="1130" spans="1:12" ht="22" customHeight="1">
      <c r="A1130" s="3"/>
      <c r="B1130" s="7"/>
      <c r="C1130" s="3"/>
      <c r="D1130" s="3"/>
      <c r="E1130" s="3"/>
      <c r="F1130" s="3"/>
      <c r="G1130" s="3"/>
      <c r="H1130" s="4"/>
      <c r="I1130" s="4"/>
      <c r="J1130" s="3"/>
      <c r="K1130" s="8" t="str">
        <f t="shared" si="17"/>
        <v/>
      </c>
      <c r="L1130" s="1" t="str">
        <f>IF(COUNTA(A1130:J1130)=0,"",IF(OR(AND(C1130&lt;&gt;"Gasto",C1130&lt;&gt;"Pago proveedor",C1130&lt;&gt;"Retiro familiar",C1130&lt;&gt;"Aportación",C1130&lt;&gt;"Pago activo",C1130&lt;&gt;"ISR devengado",C1130&lt;&gt;"Pago ISR",C1130&lt;&gt;"Pago IVA",C1130&lt;&gt;"Compensación ISR",C1130&lt;&gt;"Compensación IVA"),AND(C1130="Gasto",D1130&lt;&gt;"Costos clínicos",D1130&lt;&gt;"Remuneración familiar",D1130&lt;&gt;"Nómina y honorarios",D1130&lt;&gt;"Renta",D1130&lt;&gt;"Marketing",D1130&lt;&gt;"Servicios y software",D1130&lt;&gt;"Mantenimiento",D1130&lt;&gt;"Otros",D1130&lt;&gt;"Intereses")),"Tipo o categoría inválido",IF(COUNTA(A1130:J1130)=0,"",IF(OR(A1130="",B1130="",C1130="",H1130=""),"Faltan datos",IF(COUNTIF($A$7:$A$2006,A1130)&gt;1,"ID duplicado",IF(OR(B1130&lt;DATE(Configuración!$C$5,1,1),B1130&gt;=DATE(Configuración!$C$5+1,1,1)),"Fecha fuera del año",IF(OR(H1130&lt;0,I1130&lt;0),"Revisar signo",IF(AND(C1130&lt;&gt;"Gasto",I1130&lt;&gt;0),"IVA solo en Gasto",IF(AND(C1130="Gasto",D1130=""),"Falta categoría","OK")))))))))</f>
        <v/>
      </c>
    </row>
    <row r="1131" spans="1:12" ht="22" customHeight="1">
      <c r="A1131" s="3"/>
      <c r="B1131" s="7"/>
      <c r="C1131" s="3"/>
      <c r="D1131" s="3"/>
      <c r="E1131" s="3"/>
      <c r="F1131" s="3"/>
      <c r="G1131" s="3"/>
      <c r="H1131" s="4"/>
      <c r="I1131" s="4"/>
      <c r="J1131" s="3"/>
      <c r="K1131" s="8" t="str">
        <f t="shared" si="17"/>
        <v/>
      </c>
      <c r="L1131" s="1" t="str">
        <f>IF(COUNTA(A1131:J1131)=0,"",IF(OR(AND(C1131&lt;&gt;"Gasto",C1131&lt;&gt;"Pago proveedor",C1131&lt;&gt;"Retiro familiar",C1131&lt;&gt;"Aportación",C1131&lt;&gt;"Pago activo",C1131&lt;&gt;"ISR devengado",C1131&lt;&gt;"Pago ISR",C1131&lt;&gt;"Pago IVA",C1131&lt;&gt;"Compensación ISR",C1131&lt;&gt;"Compensación IVA"),AND(C1131="Gasto",D1131&lt;&gt;"Costos clínicos",D1131&lt;&gt;"Remuneración familiar",D1131&lt;&gt;"Nómina y honorarios",D1131&lt;&gt;"Renta",D1131&lt;&gt;"Marketing",D1131&lt;&gt;"Servicios y software",D1131&lt;&gt;"Mantenimiento",D1131&lt;&gt;"Otros",D1131&lt;&gt;"Intereses")),"Tipo o categoría inválido",IF(COUNTA(A1131:J1131)=0,"",IF(OR(A1131="",B1131="",C1131="",H1131=""),"Faltan datos",IF(COUNTIF($A$7:$A$2006,A1131)&gt;1,"ID duplicado",IF(OR(B1131&lt;DATE(Configuración!$C$5,1,1),B1131&gt;=DATE(Configuración!$C$5+1,1,1)),"Fecha fuera del año",IF(OR(H1131&lt;0,I1131&lt;0),"Revisar signo",IF(AND(C1131&lt;&gt;"Gasto",I1131&lt;&gt;0),"IVA solo en Gasto",IF(AND(C1131="Gasto",D1131=""),"Falta categoría","OK")))))))))</f>
        <v/>
      </c>
    </row>
    <row r="1132" spans="1:12" ht="22" customHeight="1">
      <c r="A1132" s="3"/>
      <c r="B1132" s="7"/>
      <c r="C1132" s="3"/>
      <c r="D1132" s="3"/>
      <c r="E1132" s="3"/>
      <c r="F1132" s="3"/>
      <c r="G1132" s="3"/>
      <c r="H1132" s="4"/>
      <c r="I1132" s="4"/>
      <c r="J1132" s="3"/>
      <c r="K1132" s="8" t="str">
        <f t="shared" si="17"/>
        <v/>
      </c>
      <c r="L1132" s="1" t="str">
        <f>IF(COUNTA(A1132:J1132)=0,"",IF(OR(AND(C1132&lt;&gt;"Gasto",C1132&lt;&gt;"Pago proveedor",C1132&lt;&gt;"Retiro familiar",C1132&lt;&gt;"Aportación",C1132&lt;&gt;"Pago activo",C1132&lt;&gt;"ISR devengado",C1132&lt;&gt;"Pago ISR",C1132&lt;&gt;"Pago IVA",C1132&lt;&gt;"Compensación ISR",C1132&lt;&gt;"Compensación IVA"),AND(C1132="Gasto",D1132&lt;&gt;"Costos clínicos",D1132&lt;&gt;"Remuneración familiar",D1132&lt;&gt;"Nómina y honorarios",D1132&lt;&gt;"Renta",D1132&lt;&gt;"Marketing",D1132&lt;&gt;"Servicios y software",D1132&lt;&gt;"Mantenimiento",D1132&lt;&gt;"Otros",D1132&lt;&gt;"Intereses")),"Tipo o categoría inválido",IF(COUNTA(A1132:J1132)=0,"",IF(OR(A1132="",B1132="",C1132="",H1132=""),"Faltan datos",IF(COUNTIF($A$7:$A$2006,A1132)&gt;1,"ID duplicado",IF(OR(B1132&lt;DATE(Configuración!$C$5,1,1),B1132&gt;=DATE(Configuración!$C$5+1,1,1)),"Fecha fuera del año",IF(OR(H1132&lt;0,I1132&lt;0),"Revisar signo",IF(AND(C1132&lt;&gt;"Gasto",I1132&lt;&gt;0),"IVA solo en Gasto",IF(AND(C1132="Gasto",D1132=""),"Falta categoría","OK")))))))))</f>
        <v/>
      </c>
    </row>
    <row r="1133" spans="1:12" ht="22" customHeight="1">
      <c r="A1133" s="3"/>
      <c r="B1133" s="7"/>
      <c r="C1133" s="3"/>
      <c r="D1133" s="3"/>
      <c r="E1133" s="3"/>
      <c r="F1133" s="3"/>
      <c r="G1133" s="3"/>
      <c r="H1133" s="4"/>
      <c r="I1133" s="4"/>
      <c r="J1133" s="3"/>
      <c r="K1133" s="8" t="str">
        <f t="shared" si="17"/>
        <v/>
      </c>
      <c r="L1133" s="1" t="str">
        <f>IF(COUNTA(A1133:J1133)=0,"",IF(OR(AND(C1133&lt;&gt;"Gasto",C1133&lt;&gt;"Pago proveedor",C1133&lt;&gt;"Retiro familiar",C1133&lt;&gt;"Aportación",C1133&lt;&gt;"Pago activo",C1133&lt;&gt;"ISR devengado",C1133&lt;&gt;"Pago ISR",C1133&lt;&gt;"Pago IVA",C1133&lt;&gt;"Compensación ISR",C1133&lt;&gt;"Compensación IVA"),AND(C1133="Gasto",D1133&lt;&gt;"Costos clínicos",D1133&lt;&gt;"Remuneración familiar",D1133&lt;&gt;"Nómina y honorarios",D1133&lt;&gt;"Renta",D1133&lt;&gt;"Marketing",D1133&lt;&gt;"Servicios y software",D1133&lt;&gt;"Mantenimiento",D1133&lt;&gt;"Otros",D1133&lt;&gt;"Intereses")),"Tipo o categoría inválido",IF(COUNTA(A1133:J1133)=0,"",IF(OR(A1133="",B1133="",C1133="",H1133=""),"Faltan datos",IF(COUNTIF($A$7:$A$2006,A1133)&gt;1,"ID duplicado",IF(OR(B1133&lt;DATE(Configuración!$C$5,1,1),B1133&gt;=DATE(Configuración!$C$5+1,1,1)),"Fecha fuera del año",IF(OR(H1133&lt;0,I1133&lt;0),"Revisar signo",IF(AND(C1133&lt;&gt;"Gasto",I1133&lt;&gt;0),"IVA solo en Gasto",IF(AND(C1133="Gasto",D1133=""),"Falta categoría","OK")))))))))</f>
        <v/>
      </c>
    </row>
    <row r="1134" spans="1:12" ht="22" customHeight="1">
      <c r="A1134" s="3"/>
      <c r="B1134" s="7"/>
      <c r="C1134" s="3"/>
      <c r="D1134" s="3"/>
      <c r="E1134" s="3"/>
      <c r="F1134" s="3"/>
      <c r="G1134" s="3"/>
      <c r="H1134" s="4"/>
      <c r="I1134" s="4"/>
      <c r="J1134" s="3"/>
      <c r="K1134" s="8" t="str">
        <f t="shared" si="17"/>
        <v/>
      </c>
      <c r="L1134" s="1" t="str">
        <f>IF(COUNTA(A1134:J1134)=0,"",IF(OR(AND(C1134&lt;&gt;"Gasto",C1134&lt;&gt;"Pago proveedor",C1134&lt;&gt;"Retiro familiar",C1134&lt;&gt;"Aportación",C1134&lt;&gt;"Pago activo",C1134&lt;&gt;"ISR devengado",C1134&lt;&gt;"Pago ISR",C1134&lt;&gt;"Pago IVA",C1134&lt;&gt;"Compensación ISR",C1134&lt;&gt;"Compensación IVA"),AND(C1134="Gasto",D1134&lt;&gt;"Costos clínicos",D1134&lt;&gt;"Remuneración familiar",D1134&lt;&gt;"Nómina y honorarios",D1134&lt;&gt;"Renta",D1134&lt;&gt;"Marketing",D1134&lt;&gt;"Servicios y software",D1134&lt;&gt;"Mantenimiento",D1134&lt;&gt;"Otros",D1134&lt;&gt;"Intereses")),"Tipo o categoría inválido",IF(COUNTA(A1134:J1134)=0,"",IF(OR(A1134="",B1134="",C1134="",H1134=""),"Faltan datos",IF(COUNTIF($A$7:$A$2006,A1134)&gt;1,"ID duplicado",IF(OR(B1134&lt;DATE(Configuración!$C$5,1,1),B1134&gt;=DATE(Configuración!$C$5+1,1,1)),"Fecha fuera del año",IF(OR(H1134&lt;0,I1134&lt;0),"Revisar signo",IF(AND(C1134&lt;&gt;"Gasto",I1134&lt;&gt;0),"IVA solo en Gasto",IF(AND(C1134="Gasto",D1134=""),"Falta categoría","OK")))))))))</f>
        <v/>
      </c>
    </row>
    <row r="1135" spans="1:12" ht="22" customHeight="1">
      <c r="A1135" s="3"/>
      <c r="B1135" s="7"/>
      <c r="C1135" s="3"/>
      <c r="D1135" s="3"/>
      <c r="E1135" s="3"/>
      <c r="F1135" s="3"/>
      <c r="G1135" s="3"/>
      <c r="H1135" s="4"/>
      <c r="I1135" s="4"/>
      <c r="J1135" s="3"/>
      <c r="K1135" s="8" t="str">
        <f t="shared" si="17"/>
        <v/>
      </c>
      <c r="L1135" s="1" t="str">
        <f>IF(COUNTA(A1135:J1135)=0,"",IF(OR(AND(C1135&lt;&gt;"Gasto",C1135&lt;&gt;"Pago proveedor",C1135&lt;&gt;"Retiro familiar",C1135&lt;&gt;"Aportación",C1135&lt;&gt;"Pago activo",C1135&lt;&gt;"ISR devengado",C1135&lt;&gt;"Pago ISR",C1135&lt;&gt;"Pago IVA",C1135&lt;&gt;"Compensación ISR",C1135&lt;&gt;"Compensación IVA"),AND(C1135="Gasto",D1135&lt;&gt;"Costos clínicos",D1135&lt;&gt;"Remuneración familiar",D1135&lt;&gt;"Nómina y honorarios",D1135&lt;&gt;"Renta",D1135&lt;&gt;"Marketing",D1135&lt;&gt;"Servicios y software",D1135&lt;&gt;"Mantenimiento",D1135&lt;&gt;"Otros",D1135&lt;&gt;"Intereses")),"Tipo o categoría inválido",IF(COUNTA(A1135:J1135)=0,"",IF(OR(A1135="",B1135="",C1135="",H1135=""),"Faltan datos",IF(COUNTIF($A$7:$A$2006,A1135)&gt;1,"ID duplicado",IF(OR(B1135&lt;DATE(Configuración!$C$5,1,1),B1135&gt;=DATE(Configuración!$C$5+1,1,1)),"Fecha fuera del año",IF(OR(H1135&lt;0,I1135&lt;0),"Revisar signo",IF(AND(C1135&lt;&gt;"Gasto",I1135&lt;&gt;0),"IVA solo en Gasto",IF(AND(C1135="Gasto",D1135=""),"Falta categoría","OK")))))))))</f>
        <v/>
      </c>
    </row>
    <row r="1136" spans="1:12" ht="22" customHeight="1">
      <c r="A1136" s="3"/>
      <c r="B1136" s="7"/>
      <c r="C1136" s="3"/>
      <c r="D1136" s="3"/>
      <c r="E1136" s="3"/>
      <c r="F1136" s="3"/>
      <c r="G1136" s="3"/>
      <c r="H1136" s="4"/>
      <c r="I1136" s="4"/>
      <c r="J1136" s="3"/>
      <c r="K1136" s="8" t="str">
        <f t="shared" si="17"/>
        <v/>
      </c>
      <c r="L1136" s="1" t="str">
        <f>IF(COUNTA(A1136:J1136)=0,"",IF(OR(AND(C1136&lt;&gt;"Gasto",C1136&lt;&gt;"Pago proveedor",C1136&lt;&gt;"Retiro familiar",C1136&lt;&gt;"Aportación",C1136&lt;&gt;"Pago activo",C1136&lt;&gt;"ISR devengado",C1136&lt;&gt;"Pago ISR",C1136&lt;&gt;"Pago IVA",C1136&lt;&gt;"Compensación ISR",C1136&lt;&gt;"Compensación IVA"),AND(C1136="Gasto",D1136&lt;&gt;"Costos clínicos",D1136&lt;&gt;"Remuneración familiar",D1136&lt;&gt;"Nómina y honorarios",D1136&lt;&gt;"Renta",D1136&lt;&gt;"Marketing",D1136&lt;&gt;"Servicios y software",D1136&lt;&gt;"Mantenimiento",D1136&lt;&gt;"Otros",D1136&lt;&gt;"Intereses")),"Tipo o categoría inválido",IF(COUNTA(A1136:J1136)=0,"",IF(OR(A1136="",B1136="",C1136="",H1136=""),"Faltan datos",IF(COUNTIF($A$7:$A$2006,A1136)&gt;1,"ID duplicado",IF(OR(B1136&lt;DATE(Configuración!$C$5,1,1),B1136&gt;=DATE(Configuración!$C$5+1,1,1)),"Fecha fuera del año",IF(OR(H1136&lt;0,I1136&lt;0),"Revisar signo",IF(AND(C1136&lt;&gt;"Gasto",I1136&lt;&gt;0),"IVA solo en Gasto",IF(AND(C1136="Gasto",D1136=""),"Falta categoría","OK")))))))))</f>
        <v/>
      </c>
    </row>
    <row r="1137" spans="1:12" ht="22" customHeight="1">
      <c r="A1137" s="3"/>
      <c r="B1137" s="7"/>
      <c r="C1137" s="3"/>
      <c r="D1137" s="3"/>
      <c r="E1137" s="3"/>
      <c r="F1137" s="3"/>
      <c r="G1137" s="3"/>
      <c r="H1137" s="4"/>
      <c r="I1137" s="4"/>
      <c r="J1137" s="3"/>
      <c r="K1137" s="8" t="str">
        <f t="shared" si="17"/>
        <v/>
      </c>
      <c r="L1137" s="1" t="str">
        <f>IF(COUNTA(A1137:J1137)=0,"",IF(OR(AND(C1137&lt;&gt;"Gasto",C1137&lt;&gt;"Pago proveedor",C1137&lt;&gt;"Retiro familiar",C1137&lt;&gt;"Aportación",C1137&lt;&gt;"Pago activo",C1137&lt;&gt;"ISR devengado",C1137&lt;&gt;"Pago ISR",C1137&lt;&gt;"Pago IVA",C1137&lt;&gt;"Compensación ISR",C1137&lt;&gt;"Compensación IVA"),AND(C1137="Gasto",D1137&lt;&gt;"Costos clínicos",D1137&lt;&gt;"Remuneración familiar",D1137&lt;&gt;"Nómina y honorarios",D1137&lt;&gt;"Renta",D1137&lt;&gt;"Marketing",D1137&lt;&gt;"Servicios y software",D1137&lt;&gt;"Mantenimiento",D1137&lt;&gt;"Otros",D1137&lt;&gt;"Intereses")),"Tipo o categoría inválido",IF(COUNTA(A1137:J1137)=0,"",IF(OR(A1137="",B1137="",C1137="",H1137=""),"Faltan datos",IF(COUNTIF($A$7:$A$2006,A1137)&gt;1,"ID duplicado",IF(OR(B1137&lt;DATE(Configuración!$C$5,1,1),B1137&gt;=DATE(Configuración!$C$5+1,1,1)),"Fecha fuera del año",IF(OR(H1137&lt;0,I1137&lt;0),"Revisar signo",IF(AND(C1137&lt;&gt;"Gasto",I1137&lt;&gt;0),"IVA solo en Gasto",IF(AND(C1137="Gasto",D1137=""),"Falta categoría","OK")))))))))</f>
        <v/>
      </c>
    </row>
    <row r="1138" spans="1:12" ht="22" customHeight="1">
      <c r="A1138" s="3"/>
      <c r="B1138" s="7"/>
      <c r="C1138" s="3"/>
      <c r="D1138" s="3"/>
      <c r="E1138" s="3"/>
      <c r="F1138" s="3"/>
      <c r="G1138" s="3"/>
      <c r="H1138" s="4"/>
      <c r="I1138" s="4"/>
      <c r="J1138" s="3"/>
      <c r="K1138" s="8" t="str">
        <f t="shared" si="17"/>
        <v/>
      </c>
      <c r="L1138" s="1" t="str">
        <f>IF(COUNTA(A1138:J1138)=0,"",IF(OR(AND(C1138&lt;&gt;"Gasto",C1138&lt;&gt;"Pago proveedor",C1138&lt;&gt;"Retiro familiar",C1138&lt;&gt;"Aportación",C1138&lt;&gt;"Pago activo",C1138&lt;&gt;"ISR devengado",C1138&lt;&gt;"Pago ISR",C1138&lt;&gt;"Pago IVA",C1138&lt;&gt;"Compensación ISR",C1138&lt;&gt;"Compensación IVA"),AND(C1138="Gasto",D1138&lt;&gt;"Costos clínicos",D1138&lt;&gt;"Remuneración familiar",D1138&lt;&gt;"Nómina y honorarios",D1138&lt;&gt;"Renta",D1138&lt;&gt;"Marketing",D1138&lt;&gt;"Servicios y software",D1138&lt;&gt;"Mantenimiento",D1138&lt;&gt;"Otros",D1138&lt;&gt;"Intereses")),"Tipo o categoría inválido",IF(COUNTA(A1138:J1138)=0,"",IF(OR(A1138="",B1138="",C1138="",H1138=""),"Faltan datos",IF(COUNTIF($A$7:$A$2006,A1138)&gt;1,"ID duplicado",IF(OR(B1138&lt;DATE(Configuración!$C$5,1,1),B1138&gt;=DATE(Configuración!$C$5+1,1,1)),"Fecha fuera del año",IF(OR(H1138&lt;0,I1138&lt;0),"Revisar signo",IF(AND(C1138&lt;&gt;"Gasto",I1138&lt;&gt;0),"IVA solo en Gasto",IF(AND(C1138="Gasto",D1138=""),"Falta categoría","OK")))))))))</f>
        <v/>
      </c>
    </row>
    <row r="1139" spans="1:12" ht="22" customHeight="1">
      <c r="A1139" s="3"/>
      <c r="B1139" s="7"/>
      <c r="C1139" s="3"/>
      <c r="D1139" s="3"/>
      <c r="E1139" s="3"/>
      <c r="F1139" s="3"/>
      <c r="G1139" s="3"/>
      <c r="H1139" s="4"/>
      <c r="I1139" s="4"/>
      <c r="J1139" s="3"/>
      <c r="K1139" s="8" t="str">
        <f t="shared" si="17"/>
        <v/>
      </c>
      <c r="L1139" s="1" t="str">
        <f>IF(COUNTA(A1139:J1139)=0,"",IF(OR(AND(C1139&lt;&gt;"Gasto",C1139&lt;&gt;"Pago proveedor",C1139&lt;&gt;"Retiro familiar",C1139&lt;&gt;"Aportación",C1139&lt;&gt;"Pago activo",C1139&lt;&gt;"ISR devengado",C1139&lt;&gt;"Pago ISR",C1139&lt;&gt;"Pago IVA",C1139&lt;&gt;"Compensación ISR",C1139&lt;&gt;"Compensación IVA"),AND(C1139="Gasto",D1139&lt;&gt;"Costos clínicos",D1139&lt;&gt;"Remuneración familiar",D1139&lt;&gt;"Nómina y honorarios",D1139&lt;&gt;"Renta",D1139&lt;&gt;"Marketing",D1139&lt;&gt;"Servicios y software",D1139&lt;&gt;"Mantenimiento",D1139&lt;&gt;"Otros",D1139&lt;&gt;"Intereses")),"Tipo o categoría inválido",IF(COUNTA(A1139:J1139)=0,"",IF(OR(A1139="",B1139="",C1139="",H1139=""),"Faltan datos",IF(COUNTIF($A$7:$A$2006,A1139)&gt;1,"ID duplicado",IF(OR(B1139&lt;DATE(Configuración!$C$5,1,1),B1139&gt;=DATE(Configuración!$C$5+1,1,1)),"Fecha fuera del año",IF(OR(H1139&lt;0,I1139&lt;0),"Revisar signo",IF(AND(C1139&lt;&gt;"Gasto",I1139&lt;&gt;0),"IVA solo en Gasto",IF(AND(C1139="Gasto",D1139=""),"Falta categoría","OK")))))))))</f>
        <v/>
      </c>
    </row>
    <row r="1140" spans="1:12" ht="22" customHeight="1">
      <c r="A1140" s="3"/>
      <c r="B1140" s="7"/>
      <c r="C1140" s="3"/>
      <c r="D1140" s="3"/>
      <c r="E1140" s="3"/>
      <c r="F1140" s="3"/>
      <c r="G1140" s="3"/>
      <c r="H1140" s="4"/>
      <c r="I1140" s="4"/>
      <c r="J1140" s="3"/>
      <c r="K1140" s="8" t="str">
        <f t="shared" si="17"/>
        <v/>
      </c>
      <c r="L1140" s="1" t="str">
        <f>IF(COUNTA(A1140:J1140)=0,"",IF(OR(AND(C1140&lt;&gt;"Gasto",C1140&lt;&gt;"Pago proveedor",C1140&lt;&gt;"Retiro familiar",C1140&lt;&gt;"Aportación",C1140&lt;&gt;"Pago activo",C1140&lt;&gt;"ISR devengado",C1140&lt;&gt;"Pago ISR",C1140&lt;&gt;"Pago IVA",C1140&lt;&gt;"Compensación ISR",C1140&lt;&gt;"Compensación IVA"),AND(C1140="Gasto",D1140&lt;&gt;"Costos clínicos",D1140&lt;&gt;"Remuneración familiar",D1140&lt;&gt;"Nómina y honorarios",D1140&lt;&gt;"Renta",D1140&lt;&gt;"Marketing",D1140&lt;&gt;"Servicios y software",D1140&lt;&gt;"Mantenimiento",D1140&lt;&gt;"Otros",D1140&lt;&gt;"Intereses")),"Tipo o categoría inválido",IF(COUNTA(A1140:J1140)=0,"",IF(OR(A1140="",B1140="",C1140="",H1140=""),"Faltan datos",IF(COUNTIF($A$7:$A$2006,A1140)&gt;1,"ID duplicado",IF(OR(B1140&lt;DATE(Configuración!$C$5,1,1),B1140&gt;=DATE(Configuración!$C$5+1,1,1)),"Fecha fuera del año",IF(OR(H1140&lt;0,I1140&lt;0),"Revisar signo",IF(AND(C1140&lt;&gt;"Gasto",I1140&lt;&gt;0),"IVA solo en Gasto",IF(AND(C1140="Gasto",D1140=""),"Falta categoría","OK")))))))))</f>
        <v/>
      </c>
    </row>
    <row r="1141" spans="1:12" ht="22" customHeight="1">
      <c r="A1141" s="3"/>
      <c r="B1141" s="7"/>
      <c r="C1141" s="3"/>
      <c r="D1141" s="3"/>
      <c r="E1141" s="3"/>
      <c r="F1141" s="3"/>
      <c r="G1141" s="3"/>
      <c r="H1141" s="4"/>
      <c r="I1141" s="4"/>
      <c r="J1141" s="3"/>
      <c r="K1141" s="8" t="str">
        <f t="shared" si="17"/>
        <v/>
      </c>
      <c r="L1141" s="1" t="str">
        <f>IF(COUNTA(A1141:J1141)=0,"",IF(OR(AND(C1141&lt;&gt;"Gasto",C1141&lt;&gt;"Pago proveedor",C1141&lt;&gt;"Retiro familiar",C1141&lt;&gt;"Aportación",C1141&lt;&gt;"Pago activo",C1141&lt;&gt;"ISR devengado",C1141&lt;&gt;"Pago ISR",C1141&lt;&gt;"Pago IVA",C1141&lt;&gt;"Compensación ISR",C1141&lt;&gt;"Compensación IVA"),AND(C1141="Gasto",D1141&lt;&gt;"Costos clínicos",D1141&lt;&gt;"Remuneración familiar",D1141&lt;&gt;"Nómina y honorarios",D1141&lt;&gt;"Renta",D1141&lt;&gt;"Marketing",D1141&lt;&gt;"Servicios y software",D1141&lt;&gt;"Mantenimiento",D1141&lt;&gt;"Otros",D1141&lt;&gt;"Intereses")),"Tipo o categoría inválido",IF(COUNTA(A1141:J1141)=0,"",IF(OR(A1141="",B1141="",C1141="",H1141=""),"Faltan datos",IF(COUNTIF($A$7:$A$2006,A1141)&gt;1,"ID duplicado",IF(OR(B1141&lt;DATE(Configuración!$C$5,1,1),B1141&gt;=DATE(Configuración!$C$5+1,1,1)),"Fecha fuera del año",IF(OR(H1141&lt;0,I1141&lt;0),"Revisar signo",IF(AND(C1141&lt;&gt;"Gasto",I1141&lt;&gt;0),"IVA solo en Gasto",IF(AND(C1141="Gasto",D1141=""),"Falta categoría","OK")))))))))</f>
        <v/>
      </c>
    </row>
    <row r="1142" spans="1:12" ht="22" customHeight="1">
      <c r="A1142" s="3"/>
      <c r="B1142" s="7"/>
      <c r="C1142" s="3"/>
      <c r="D1142" s="3"/>
      <c r="E1142" s="3"/>
      <c r="F1142" s="3"/>
      <c r="G1142" s="3"/>
      <c r="H1142" s="4"/>
      <c r="I1142" s="4"/>
      <c r="J1142" s="3"/>
      <c r="K1142" s="8" t="str">
        <f t="shared" si="17"/>
        <v/>
      </c>
      <c r="L1142" s="1" t="str">
        <f>IF(COUNTA(A1142:J1142)=0,"",IF(OR(AND(C1142&lt;&gt;"Gasto",C1142&lt;&gt;"Pago proveedor",C1142&lt;&gt;"Retiro familiar",C1142&lt;&gt;"Aportación",C1142&lt;&gt;"Pago activo",C1142&lt;&gt;"ISR devengado",C1142&lt;&gt;"Pago ISR",C1142&lt;&gt;"Pago IVA",C1142&lt;&gt;"Compensación ISR",C1142&lt;&gt;"Compensación IVA"),AND(C1142="Gasto",D1142&lt;&gt;"Costos clínicos",D1142&lt;&gt;"Remuneración familiar",D1142&lt;&gt;"Nómina y honorarios",D1142&lt;&gt;"Renta",D1142&lt;&gt;"Marketing",D1142&lt;&gt;"Servicios y software",D1142&lt;&gt;"Mantenimiento",D1142&lt;&gt;"Otros",D1142&lt;&gt;"Intereses")),"Tipo o categoría inválido",IF(COUNTA(A1142:J1142)=0,"",IF(OR(A1142="",B1142="",C1142="",H1142=""),"Faltan datos",IF(COUNTIF($A$7:$A$2006,A1142)&gt;1,"ID duplicado",IF(OR(B1142&lt;DATE(Configuración!$C$5,1,1),B1142&gt;=DATE(Configuración!$C$5+1,1,1)),"Fecha fuera del año",IF(OR(H1142&lt;0,I1142&lt;0),"Revisar signo",IF(AND(C1142&lt;&gt;"Gasto",I1142&lt;&gt;0),"IVA solo en Gasto",IF(AND(C1142="Gasto",D1142=""),"Falta categoría","OK")))))))))</f>
        <v/>
      </c>
    </row>
    <row r="1143" spans="1:12" ht="22" customHeight="1">
      <c r="A1143" s="3"/>
      <c r="B1143" s="7"/>
      <c r="C1143" s="3"/>
      <c r="D1143" s="3"/>
      <c r="E1143" s="3"/>
      <c r="F1143" s="3"/>
      <c r="G1143" s="3"/>
      <c r="H1143" s="4"/>
      <c r="I1143" s="4"/>
      <c r="J1143" s="3"/>
      <c r="K1143" s="8" t="str">
        <f t="shared" si="17"/>
        <v/>
      </c>
      <c r="L1143" s="1" t="str">
        <f>IF(COUNTA(A1143:J1143)=0,"",IF(OR(AND(C1143&lt;&gt;"Gasto",C1143&lt;&gt;"Pago proveedor",C1143&lt;&gt;"Retiro familiar",C1143&lt;&gt;"Aportación",C1143&lt;&gt;"Pago activo",C1143&lt;&gt;"ISR devengado",C1143&lt;&gt;"Pago ISR",C1143&lt;&gt;"Pago IVA",C1143&lt;&gt;"Compensación ISR",C1143&lt;&gt;"Compensación IVA"),AND(C1143="Gasto",D1143&lt;&gt;"Costos clínicos",D1143&lt;&gt;"Remuneración familiar",D1143&lt;&gt;"Nómina y honorarios",D1143&lt;&gt;"Renta",D1143&lt;&gt;"Marketing",D1143&lt;&gt;"Servicios y software",D1143&lt;&gt;"Mantenimiento",D1143&lt;&gt;"Otros",D1143&lt;&gt;"Intereses")),"Tipo o categoría inválido",IF(COUNTA(A1143:J1143)=0,"",IF(OR(A1143="",B1143="",C1143="",H1143=""),"Faltan datos",IF(COUNTIF($A$7:$A$2006,A1143)&gt;1,"ID duplicado",IF(OR(B1143&lt;DATE(Configuración!$C$5,1,1),B1143&gt;=DATE(Configuración!$C$5+1,1,1)),"Fecha fuera del año",IF(OR(H1143&lt;0,I1143&lt;0),"Revisar signo",IF(AND(C1143&lt;&gt;"Gasto",I1143&lt;&gt;0),"IVA solo en Gasto",IF(AND(C1143="Gasto",D1143=""),"Falta categoría","OK")))))))))</f>
        <v/>
      </c>
    </row>
    <row r="1144" spans="1:12" ht="22" customHeight="1">
      <c r="A1144" s="3"/>
      <c r="B1144" s="7"/>
      <c r="C1144" s="3"/>
      <c r="D1144" s="3"/>
      <c r="E1144" s="3"/>
      <c r="F1144" s="3"/>
      <c r="G1144" s="3"/>
      <c r="H1144" s="4"/>
      <c r="I1144" s="4"/>
      <c r="J1144" s="3"/>
      <c r="K1144" s="8" t="str">
        <f t="shared" si="17"/>
        <v/>
      </c>
      <c r="L1144" s="1" t="str">
        <f>IF(COUNTA(A1144:J1144)=0,"",IF(OR(AND(C1144&lt;&gt;"Gasto",C1144&lt;&gt;"Pago proveedor",C1144&lt;&gt;"Retiro familiar",C1144&lt;&gt;"Aportación",C1144&lt;&gt;"Pago activo",C1144&lt;&gt;"ISR devengado",C1144&lt;&gt;"Pago ISR",C1144&lt;&gt;"Pago IVA",C1144&lt;&gt;"Compensación ISR",C1144&lt;&gt;"Compensación IVA"),AND(C1144="Gasto",D1144&lt;&gt;"Costos clínicos",D1144&lt;&gt;"Remuneración familiar",D1144&lt;&gt;"Nómina y honorarios",D1144&lt;&gt;"Renta",D1144&lt;&gt;"Marketing",D1144&lt;&gt;"Servicios y software",D1144&lt;&gt;"Mantenimiento",D1144&lt;&gt;"Otros",D1144&lt;&gt;"Intereses")),"Tipo o categoría inválido",IF(COUNTA(A1144:J1144)=0,"",IF(OR(A1144="",B1144="",C1144="",H1144=""),"Faltan datos",IF(COUNTIF($A$7:$A$2006,A1144)&gt;1,"ID duplicado",IF(OR(B1144&lt;DATE(Configuración!$C$5,1,1),B1144&gt;=DATE(Configuración!$C$5+1,1,1)),"Fecha fuera del año",IF(OR(H1144&lt;0,I1144&lt;0),"Revisar signo",IF(AND(C1144&lt;&gt;"Gasto",I1144&lt;&gt;0),"IVA solo en Gasto",IF(AND(C1144="Gasto",D1144=""),"Falta categoría","OK")))))))))</f>
        <v/>
      </c>
    </row>
    <row r="1145" spans="1:12" ht="22" customHeight="1">
      <c r="A1145" s="3"/>
      <c r="B1145" s="7"/>
      <c r="C1145" s="3"/>
      <c r="D1145" s="3"/>
      <c r="E1145" s="3"/>
      <c r="F1145" s="3"/>
      <c r="G1145" s="3"/>
      <c r="H1145" s="4"/>
      <c r="I1145" s="4"/>
      <c r="J1145" s="3"/>
      <c r="K1145" s="8" t="str">
        <f t="shared" si="17"/>
        <v/>
      </c>
      <c r="L1145" s="1" t="str">
        <f>IF(COUNTA(A1145:J1145)=0,"",IF(OR(AND(C1145&lt;&gt;"Gasto",C1145&lt;&gt;"Pago proveedor",C1145&lt;&gt;"Retiro familiar",C1145&lt;&gt;"Aportación",C1145&lt;&gt;"Pago activo",C1145&lt;&gt;"ISR devengado",C1145&lt;&gt;"Pago ISR",C1145&lt;&gt;"Pago IVA",C1145&lt;&gt;"Compensación ISR",C1145&lt;&gt;"Compensación IVA"),AND(C1145="Gasto",D1145&lt;&gt;"Costos clínicos",D1145&lt;&gt;"Remuneración familiar",D1145&lt;&gt;"Nómina y honorarios",D1145&lt;&gt;"Renta",D1145&lt;&gt;"Marketing",D1145&lt;&gt;"Servicios y software",D1145&lt;&gt;"Mantenimiento",D1145&lt;&gt;"Otros",D1145&lt;&gt;"Intereses")),"Tipo o categoría inválido",IF(COUNTA(A1145:J1145)=0,"",IF(OR(A1145="",B1145="",C1145="",H1145=""),"Faltan datos",IF(COUNTIF($A$7:$A$2006,A1145)&gt;1,"ID duplicado",IF(OR(B1145&lt;DATE(Configuración!$C$5,1,1),B1145&gt;=DATE(Configuración!$C$5+1,1,1)),"Fecha fuera del año",IF(OR(H1145&lt;0,I1145&lt;0),"Revisar signo",IF(AND(C1145&lt;&gt;"Gasto",I1145&lt;&gt;0),"IVA solo en Gasto",IF(AND(C1145="Gasto",D1145=""),"Falta categoría","OK")))))))))</f>
        <v/>
      </c>
    </row>
    <row r="1146" spans="1:12" ht="22" customHeight="1">
      <c r="A1146" s="3"/>
      <c r="B1146" s="7"/>
      <c r="C1146" s="3"/>
      <c r="D1146" s="3"/>
      <c r="E1146" s="3"/>
      <c r="F1146" s="3"/>
      <c r="G1146" s="3"/>
      <c r="H1146" s="4"/>
      <c r="I1146" s="4"/>
      <c r="J1146" s="3"/>
      <c r="K1146" s="8" t="str">
        <f t="shared" si="17"/>
        <v/>
      </c>
      <c r="L1146" s="1" t="str">
        <f>IF(COUNTA(A1146:J1146)=0,"",IF(OR(AND(C1146&lt;&gt;"Gasto",C1146&lt;&gt;"Pago proveedor",C1146&lt;&gt;"Retiro familiar",C1146&lt;&gt;"Aportación",C1146&lt;&gt;"Pago activo",C1146&lt;&gt;"ISR devengado",C1146&lt;&gt;"Pago ISR",C1146&lt;&gt;"Pago IVA",C1146&lt;&gt;"Compensación ISR",C1146&lt;&gt;"Compensación IVA"),AND(C1146="Gasto",D1146&lt;&gt;"Costos clínicos",D1146&lt;&gt;"Remuneración familiar",D1146&lt;&gt;"Nómina y honorarios",D1146&lt;&gt;"Renta",D1146&lt;&gt;"Marketing",D1146&lt;&gt;"Servicios y software",D1146&lt;&gt;"Mantenimiento",D1146&lt;&gt;"Otros",D1146&lt;&gt;"Intereses")),"Tipo o categoría inválido",IF(COUNTA(A1146:J1146)=0,"",IF(OR(A1146="",B1146="",C1146="",H1146=""),"Faltan datos",IF(COUNTIF($A$7:$A$2006,A1146)&gt;1,"ID duplicado",IF(OR(B1146&lt;DATE(Configuración!$C$5,1,1),B1146&gt;=DATE(Configuración!$C$5+1,1,1)),"Fecha fuera del año",IF(OR(H1146&lt;0,I1146&lt;0),"Revisar signo",IF(AND(C1146&lt;&gt;"Gasto",I1146&lt;&gt;0),"IVA solo en Gasto",IF(AND(C1146="Gasto",D1146=""),"Falta categoría","OK")))))))))</f>
        <v/>
      </c>
    </row>
    <row r="1147" spans="1:12" ht="22" customHeight="1">
      <c r="A1147" s="3"/>
      <c r="B1147" s="7"/>
      <c r="C1147" s="3"/>
      <c r="D1147" s="3"/>
      <c r="E1147" s="3"/>
      <c r="F1147" s="3"/>
      <c r="G1147" s="3"/>
      <c r="H1147" s="4"/>
      <c r="I1147" s="4"/>
      <c r="J1147" s="3"/>
      <c r="K1147" s="8" t="str">
        <f t="shared" si="17"/>
        <v/>
      </c>
      <c r="L1147" s="1" t="str">
        <f>IF(COUNTA(A1147:J1147)=0,"",IF(OR(AND(C1147&lt;&gt;"Gasto",C1147&lt;&gt;"Pago proveedor",C1147&lt;&gt;"Retiro familiar",C1147&lt;&gt;"Aportación",C1147&lt;&gt;"Pago activo",C1147&lt;&gt;"ISR devengado",C1147&lt;&gt;"Pago ISR",C1147&lt;&gt;"Pago IVA",C1147&lt;&gt;"Compensación ISR",C1147&lt;&gt;"Compensación IVA"),AND(C1147="Gasto",D1147&lt;&gt;"Costos clínicos",D1147&lt;&gt;"Remuneración familiar",D1147&lt;&gt;"Nómina y honorarios",D1147&lt;&gt;"Renta",D1147&lt;&gt;"Marketing",D1147&lt;&gt;"Servicios y software",D1147&lt;&gt;"Mantenimiento",D1147&lt;&gt;"Otros",D1147&lt;&gt;"Intereses")),"Tipo o categoría inválido",IF(COUNTA(A1147:J1147)=0,"",IF(OR(A1147="",B1147="",C1147="",H1147=""),"Faltan datos",IF(COUNTIF($A$7:$A$2006,A1147)&gt;1,"ID duplicado",IF(OR(B1147&lt;DATE(Configuración!$C$5,1,1),B1147&gt;=DATE(Configuración!$C$5+1,1,1)),"Fecha fuera del año",IF(OR(H1147&lt;0,I1147&lt;0),"Revisar signo",IF(AND(C1147&lt;&gt;"Gasto",I1147&lt;&gt;0),"IVA solo en Gasto",IF(AND(C1147="Gasto",D1147=""),"Falta categoría","OK")))))))))</f>
        <v/>
      </c>
    </row>
    <row r="1148" spans="1:12" ht="22" customHeight="1">
      <c r="A1148" s="3"/>
      <c r="B1148" s="7"/>
      <c r="C1148" s="3"/>
      <c r="D1148" s="3"/>
      <c r="E1148" s="3"/>
      <c r="F1148" s="3"/>
      <c r="G1148" s="3"/>
      <c r="H1148" s="4"/>
      <c r="I1148" s="4"/>
      <c r="J1148" s="3"/>
      <c r="K1148" s="8" t="str">
        <f t="shared" si="17"/>
        <v/>
      </c>
      <c r="L1148" s="1" t="str">
        <f>IF(COUNTA(A1148:J1148)=0,"",IF(OR(AND(C1148&lt;&gt;"Gasto",C1148&lt;&gt;"Pago proveedor",C1148&lt;&gt;"Retiro familiar",C1148&lt;&gt;"Aportación",C1148&lt;&gt;"Pago activo",C1148&lt;&gt;"ISR devengado",C1148&lt;&gt;"Pago ISR",C1148&lt;&gt;"Pago IVA",C1148&lt;&gt;"Compensación ISR",C1148&lt;&gt;"Compensación IVA"),AND(C1148="Gasto",D1148&lt;&gt;"Costos clínicos",D1148&lt;&gt;"Remuneración familiar",D1148&lt;&gt;"Nómina y honorarios",D1148&lt;&gt;"Renta",D1148&lt;&gt;"Marketing",D1148&lt;&gt;"Servicios y software",D1148&lt;&gt;"Mantenimiento",D1148&lt;&gt;"Otros",D1148&lt;&gt;"Intereses")),"Tipo o categoría inválido",IF(COUNTA(A1148:J1148)=0,"",IF(OR(A1148="",B1148="",C1148="",H1148=""),"Faltan datos",IF(COUNTIF($A$7:$A$2006,A1148)&gt;1,"ID duplicado",IF(OR(B1148&lt;DATE(Configuración!$C$5,1,1),B1148&gt;=DATE(Configuración!$C$5+1,1,1)),"Fecha fuera del año",IF(OR(H1148&lt;0,I1148&lt;0),"Revisar signo",IF(AND(C1148&lt;&gt;"Gasto",I1148&lt;&gt;0),"IVA solo en Gasto",IF(AND(C1148="Gasto",D1148=""),"Falta categoría","OK")))))))))</f>
        <v/>
      </c>
    </row>
    <row r="1149" spans="1:12" ht="22" customHeight="1">
      <c r="A1149" s="3"/>
      <c r="B1149" s="7"/>
      <c r="C1149" s="3"/>
      <c r="D1149" s="3"/>
      <c r="E1149" s="3"/>
      <c r="F1149" s="3"/>
      <c r="G1149" s="3"/>
      <c r="H1149" s="4"/>
      <c r="I1149" s="4"/>
      <c r="J1149" s="3"/>
      <c r="K1149" s="8" t="str">
        <f t="shared" si="17"/>
        <v/>
      </c>
      <c r="L1149" s="1" t="str">
        <f>IF(COUNTA(A1149:J1149)=0,"",IF(OR(AND(C1149&lt;&gt;"Gasto",C1149&lt;&gt;"Pago proveedor",C1149&lt;&gt;"Retiro familiar",C1149&lt;&gt;"Aportación",C1149&lt;&gt;"Pago activo",C1149&lt;&gt;"ISR devengado",C1149&lt;&gt;"Pago ISR",C1149&lt;&gt;"Pago IVA",C1149&lt;&gt;"Compensación ISR",C1149&lt;&gt;"Compensación IVA"),AND(C1149="Gasto",D1149&lt;&gt;"Costos clínicos",D1149&lt;&gt;"Remuneración familiar",D1149&lt;&gt;"Nómina y honorarios",D1149&lt;&gt;"Renta",D1149&lt;&gt;"Marketing",D1149&lt;&gt;"Servicios y software",D1149&lt;&gt;"Mantenimiento",D1149&lt;&gt;"Otros",D1149&lt;&gt;"Intereses")),"Tipo o categoría inválido",IF(COUNTA(A1149:J1149)=0,"",IF(OR(A1149="",B1149="",C1149="",H1149=""),"Faltan datos",IF(COUNTIF($A$7:$A$2006,A1149)&gt;1,"ID duplicado",IF(OR(B1149&lt;DATE(Configuración!$C$5,1,1),B1149&gt;=DATE(Configuración!$C$5+1,1,1)),"Fecha fuera del año",IF(OR(H1149&lt;0,I1149&lt;0),"Revisar signo",IF(AND(C1149&lt;&gt;"Gasto",I1149&lt;&gt;0),"IVA solo en Gasto",IF(AND(C1149="Gasto",D1149=""),"Falta categoría","OK")))))))))</f>
        <v/>
      </c>
    </row>
    <row r="1150" spans="1:12" ht="22" customHeight="1">
      <c r="A1150" s="3"/>
      <c r="B1150" s="7"/>
      <c r="C1150" s="3"/>
      <c r="D1150" s="3"/>
      <c r="E1150" s="3"/>
      <c r="F1150" s="3"/>
      <c r="G1150" s="3"/>
      <c r="H1150" s="4"/>
      <c r="I1150" s="4"/>
      <c r="J1150" s="3"/>
      <c r="K1150" s="8" t="str">
        <f t="shared" si="17"/>
        <v/>
      </c>
      <c r="L1150" s="1" t="str">
        <f>IF(COUNTA(A1150:J1150)=0,"",IF(OR(AND(C1150&lt;&gt;"Gasto",C1150&lt;&gt;"Pago proveedor",C1150&lt;&gt;"Retiro familiar",C1150&lt;&gt;"Aportación",C1150&lt;&gt;"Pago activo",C1150&lt;&gt;"ISR devengado",C1150&lt;&gt;"Pago ISR",C1150&lt;&gt;"Pago IVA",C1150&lt;&gt;"Compensación ISR",C1150&lt;&gt;"Compensación IVA"),AND(C1150="Gasto",D1150&lt;&gt;"Costos clínicos",D1150&lt;&gt;"Remuneración familiar",D1150&lt;&gt;"Nómina y honorarios",D1150&lt;&gt;"Renta",D1150&lt;&gt;"Marketing",D1150&lt;&gt;"Servicios y software",D1150&lt;&gt;"Mantenimiento",D1150&lt;&gt;"Otros",D1150&lt;&gt;"Intereses")),"Tipo o categoría inválido",IF(COUNTA(A1150:J1150)=0,"",IF(OR(A1150="",B1150="",C1150="",H1150=""),"Faltan datos",IF(COUNTIF($A$7:$A$2006,A1150)&gt;1,"ID duplicado",IF(OR(B1150&lt;DATE(Configuración!$C$5,1,1),B1150&gt;=DATE(Configuración!$C$5+1,1,1)),"Fecha fuera del año",IF(OR(H1150&lt;0,I1150&lt;0),"Revisar signo",IF(AND(C1150&lt;&gt;"Gasto",I1150&lt;&gt;0),"IVA solo en Gasto",IF(AND(C1150="Gasto",D1150=""),"Falta categoría","OK")))))))))</f>
        <v/>
      </c>
    </row>
    <row r="1151" spans="1:12" ht="22" customHeight="1">
      <c r="A1151" s="3"/>
      <c r="B1151" s="7"/>
      <c r="C1151" s="3"/>
      <c r="D1151" s="3"/>
      <c r="E1151" s="3"/>
      <c r="F1151" s="3"/>
      <c r="G1151" s="3"/>
      <c r="H1151" s="4"/>
      <c r="I1151" s="4"/>
      <c r="J1151" s="3"/>
      <c r="K1151" s="8" t="str">
        <f t="shared" si="17"/>
        <v/>
      </c>
      <c r="L1151" s="1" t="str">
        <f>IF(COUNTA(A1151:J1151)=0,"",IF(OR(AND(C1151&lt;&gt;"Gasto",C1151&lt;&gt;"Pago proveedor",C1151&lt;&gt;"Retiro familiar",C1151&lt;&gt;"Aportación",C1151&lt;&gt;"Pago activo",C1151&lt;&gt;"ISR devengado",C1151&lt;&gt;"Pago ISR",C1151&lt;&gt;"Pago IVA",C1151&lt;&gt;"Compensación ISR",C1151&lt;&gt;"Compensación IVA"),AND(C1151="Gasto",D1151&lt;&gt;"Costos clínicos",D1151&lt;&gt;"Remuneración familiar",D1151&lt;&gt;"Nómina y honorarios",D1151&lt;&gt;"Renta",D1151&lt;&gt;"Marketing",D1151&lt;&gt;"Servicios y software",D1151&lt;&gt;"Mantenimiento",D1151&lt;&gt;"Otros",D1151&lt;&gt;"Intereses")),"Tipo o categoría inválido",IF(COUNTA(A1151:J1151)=0,"",IF(OR(A1151="",B1151="",C1151="",H1151=""),"Faltan datos",IF(COUNTIF($A$7:$A$2006,A1151)&gt;1,"ID duplicado",IF(OR(B1151&lt;DATE(Configuración!$C$5,1,1),B1151&gt;=DATE(Configuración!$C$5+1,1,1)),"Fecha fuera del año",IF(OR(H1151&lt;0,I1151&lt;0),"Revisar signo",IF(AND(C1151&lt;&gt;"Gasto",I1151&lt;&gt;0),"IVA solo en Gasto",IF(AND(C1151="Gasto",D1151=""),"Falta categoría","OK")))))))))</f>
        <v/>
      </c>
    </row>
    <row r="1152" spans="1:12" ht="22" customHeight="1">
      <c r="A1152" s="3"/>
      <c r="B1152" s="7"/>
      <c r="C1152" s="3"/>
      <c r="D1152" s="3"/>
      <c r="E1152" s="3"/>
      <c r="F1152" s="3"/>
      <c r="G1152" s="3"/>
      <c r="H1152" s="4"/>
      <c r="I1152" s="4"/>
      <c r="J1152" s="3"/>
      <c r="K1152" s="8" t="str">
        <f t="shared" si="17"/>
        <v/>
      </c>
      <c r="L1152" s="1" t="str">
        <f>IF(COUNTA(A1152:J1152)=0,"",IF(OR(AND(C1152&lt;&gt;"Gasto",C1152&lt;&gt;"Pago proveedor",C1152&lt;&gt;"Retiro familiar",C1152&lt;&gt;"Aportación",C1152&lt;&gt;"Pago activo",C1152&lt;&gt;"ISR devengado",C1152&lt;&gt;"Pago ISR",C1152&lt;&gt;"Pago IVA",C1152&lt;&gt;"Compensación ISR",C1152&lt;&gt;"Compensación IVA"),AND(C1152="Gasto",D1152&lt;&gt;"Costos clínicos",D1152&lt;&gt;"Remuneración familiar",D1152&lt;&gt;"Nómina y honorarios",D1152&lt;&gt;"Renta",D1152&lt;&gt;"Marketing",D1152&lt;&gt;"Servicios y software",D1152&lt;&gt;"Mantenimiento",D1152&lt;&gt;"Otros",D1152&lt;&gt;"Intereses")),"Tipo o categoría inválido",IF(COUNTA(A1152:J1152)=0,"",IF(OR(A1152="",B1152="",C1152="",H1152=""),"Faltan datos",IF(COUNTIF($A$7:$A$2006,A1152)&gt;1,"ID duplicado",IF(OR(B1152&lt;DATE(Configuración!$C$5,1,1),B1152&gt;=DATE(Configuración!$C$5+1,1,1)),"Fecha fuera del año",IF(OR(H1152&lt;0,I1152&lt;0),"Revisar signo",IF(AND(C1152&lt;&gt;"Gasto",I1152&lt;&gt;0),"IVA solo en Gasto",IF(AND(C1152="Gasto",D1152=""),"Falta categoría","OK")))))))))</f>
        <v/>
      </c>
    </row>
    <row r="1153" spans="1:12" ht="22" customHeight="1">
      <c r="A1153" s="3"/>
      <c r="B1153" s="7"/>
      <c r="C1153" s="3"/>
      <c r="D1153" s="3"/>
      <c r="E1153" s="3"/>
      <c r="F1153" s="3"/>
      <c r="G1153" s="3"/>
      <c r="H1153" s="4"/>
      <c r="I1153" s="4"/>
      <c r="J1153" s="3"/>
      <c r="K1153" s="8" t="str">
        <f t="shared" si="17"/>
        <v/>
      </c>
      <c r="L1153" s="1" t="str">
        <f>IF(COUNTA(A1153:J1153)=0,"",IF(OR(AND(C1153&lt;&gt;"Gasto",C1153&lt;&gt;"Pago proveedor",C1153&lt;&gt;"Retiro familiar",C1153&lt;&gt;"Aportación",C1153&lt;&gt;"Pago activo",C1153&lt;&gt;"ISR devengado",C1153&lt;&gt;"Pago ISR",C1153&lt;&gt;"Pago IVA",C1153&lt;&gt;"Compensación ISR",C1153&lt;&gt;"Compensación IVA"),AND(C1153="Gasto",D1153&lt;&gt;"Costos clínicos",D1153&lt;&gt;"Remuneración familiar",D1153&lt;&gt;"Nómina y honorarios",D1153&lt;&gt;"Renta",D1153&lt;&gt;"Marketing",D1153&lt;&gt;"Servicios y software",D1153&lt;&gt;"Mantenimiento",D1153&lt;&gt;"Otros",D1153&lt;&gt;"Intereses")),"Tipo o categoría inválido",IF(COUNTA(A1153:J1153)=0,"",IF(OR(A1153="",B1153="",C1153="",H1153=""),"Faltan datos",IF(COUNTIF($A$7:$A$2006,A1153)&gt;1,"ID duplicado",IF(OR(B1153&lt;DATE(Configuración!$C$5,1,1),B1153&gt;=DATE(Configuración!$C$5+1,1,1)),"Fecha fuera del año",IF(OR(H1153&lt;0,I1153&lt;0),"Revisar signo",IF(AND(C1153&lt;&gt;"Gasto",I1153&lt;&gt;0),"IVA solo en Gasto",IF(AND(C1153="Gasto",D1153=""),"Falta categoría","OK")))))))))</f>
        <v/>
      </c>
    </row>
    <row r="1154" spans="1:12" ht="22" customHeight="1">
      <c r="A1154" s="3"/>
      <c r="B1154" s="7"/>
      <c r="C1154" s="3"/>
      <c r="D1154" s="3"/>
      <c r="E1154" s="3"/>
      <c r="F1154" s="3"/>
      <c r="G1154" s="3"/>
      <c r="H1154" s="4"/>
      <c r="I1154" s="4"/>
      <c r="J1154" s="3"/>
      <c r="K1154" s="8" t="str">
        <f t="shared" si="17"/>
        <v/>
      </c>
      <c r="L1154" s="1" t="str">
        <f>IF(COUNTA(A1154:J1154)=0,"",IF(OR(AND(C1154&lt;&gt;"Gasto",C1154&lt;&gt;"Pago proveedor",C1154&lt;&gt;"Retiro familiar",C1154&lt;&gt;"Aportación",C1154&lt;&gt;"Pago activo",C1154&lt;&gt;"ISR devengado",C1154&lt;&gt;"Pago ISR",C1154&lt;&gt;"Pago IVA",C1154&lt;&gt;"Compensación ISR",C1154&lt;&gt;"Compensación IVA"),AND(C1154="Gasto",D1154&lt;&gt;"Costos clínicos",D1154&lt;&gt;"Remuneración familiar",D1154&lt;&gt;"Nómina y honorarios",D1154&lt;&gt;"Renta",D1154&lt;&gt;"Marketing",D1154&lt;&gt;"Servicios y software",D1154&lt;&gt;"Mantenimiento",D1154&lt;&gt;"Otros",D1154&lt;&gt;"Intereses")),"Tipo o categoría inválido",IF(COUNTA(A1154:J1154)=0,"",IF(OR(A1154="",B1154="",C1154="",H1154=""),"Faltan datos",IF(COUNTIF($A$7:$A$2006,A1154)&gt;1,"ID duplicado",IF(OR(B1154&lt;DATE(Configuración!$C$5,1,1),B1154&gt;=DATE(Configuración!$C$5+1,1,1)),"Fecha fuera del año",IF(OR(H1154&lt;0,I1154&lt;0),"Revisar signo",IF(AND(C1154&lt;&gt;"Gasto",I1154&lt;&gt;0),"IVA solo en Gasto",IF(AND(C1154="Gasto",D1154=""),"Falta categoría","OK")))))))))</f>
        <v/>
      </c>
    </row>
    <row r="1155" spans="1:12" ht="22" customHeight="1">
      <c r="A1155" s="3"/>
      <c r="B1155" s="7"/>
      <c r="C1155" s="3"/>
      <c r="D1155" s="3"/>
      <c r="E1155" s="3"/>
      <c r="F1155" s="3"/>
      <c r="G1155" s="3"/>
      <c r="H1155" s="4"/>
      <c r="I1155" s="4"/>
      <c r="J1155" s="3"/>
      <c r="K1155" s="8" t="str">
        <f t="shared" si="17"/>
        <v/>
      </c>
      <c r="L1155" s="1" t="str">
        <f>IF(COUNTA(A1155:J1155)=0,"",IF(OR(AND(C1155&lt;&gt;"Gasto",C1155&lt;&gt;"Pago proveedor",C1155&lt;&gt;"Retiro familiar",C1155&lt;&gt;"Aportación",C1155&lt;&gt;"Pago activo",C1155&lt;&gt;"ISR devengado",C1155&lt;&gt;"Pago ISR",C1155&lt;&gt;"Pago IVA",C1155&lt;&gt;"Compensación ISR",C1155&lt;&gt;"Compensación IVA"),AND(C1155="Gasto",D1155&lt;&gt;"Costos clínicos",D1155&lt;&gt;"Remuneración familiar",D1155&lt;&gt;"Nómina y honorarios",D1155&lt;&gt;"Renta",D1155&lt;&gt;"Marketing",D1155&lt;&gt;"Servicios y software",D1155&lt;&gt;"Mantenimiento",D1155&lt;&gt;"Otros",D1155&lt;&gt;"Intereses")),"Tipo o categoría inválido",IF(COUNTA(A1155:J1155)=0,"",IF(OR(A1155="",B1155="",C1155="",H1155=""),"Faltan datos",IF(COUNTIF($A$7:$A$2006,A1155)&gt;1,"ID duplicado",IF(OR(B1155&lt;DATE(Configuración!$C$5,1,1),B1155&gt;=DATE(Configuración!$C$5+1,1,1)),"Fecha fuera del año",IF(OR(H1155&lt;0,I1155&lt;0),"Revisar signo",IF(AND(C1155&lt;&gt;"Gasto",I1155&lt;&gt;0),"IVA solo en Gasto",IF(AND(C1155="Gasto",D1155=""),"Falta categoría","OK")))))))))</f>
        <v/>
      </c>
    </row>
    <row r="1156" spans="1:12" ht="22" customHeight="1">
      <c r="A1156" s="3"/>
      <c r="B1156" s="7"/>
      <c r="C1156" s="3"/>
      <c r="D1156" s="3"/>
      <c r="E1156" s="3"/>
      <c r="F1156" s="3"/>
      <c r="G1156" s="3"/>
      <c r="H1156" s="4"/>
      <c r="I1156" s="4"/>
      <c r="J1156" s="3"/>
      <c r="K1156" s="8" t="str">
        <f t="shared" si="17"/>
        <v/>
      </c>
      <c r="L1156" s="1" t="str">
        <f>IF(COUNTA(A1156:J1156)=0,"",IF(OR(AND(C1156&lt;&gt;"Gasto",C1156&lt;&gt;"Pago proveedor",C1156&lt;&gt;"Retiro familiar",C1156&lt;&gt;"Aportación",C1156&lt;&gt;"Pago activo",C1156&lt;&gt;"ISR devengado",C1156&lt;&gt;"Pago ISR",C1156&lt;&gt;"Pago IVA",C1156&lt;&gt;"Compensación ISR",C1156&lt;&gt;"Compensación IVA"),AND(C1156="Gasto",D1156&lt;&gt;"Costos clínicos",D1156&lt;&gt;"Remuneración familiar",D1156&lt;&gt;"Nómina y honorarios",D1156&lt;&gt;"Renta",D1156&lt;&gt;"Marketing",D1156&lt;&gt;"Servicios y software",D1156&lt;&gt;"Mantenimiento",D1156&lt;&gt;"Otros",D1156&lt;&gt;"Intereses")),"Tipo o categoría inválido",IF(COUNTA(A1156:J1156)=0,"",IF(OR(A1156="",B1156="",C1156="",H1156=""),"Faltan datos",IF(COUNTIF($A$7:$A$2006,A1156)&gt;1,"ID duplicado",IF(OR(B1156&lt;DATE(Configuración!$C$5,1,1),B1156&gt;=DATE(Configuración!$C$5+1,1,1)),"Fecha fuera del año",IF(OR(H1156&lt;0,I1156&lt;0),"Revisar signo",IF(AND(C1156&lt;&gt;"Gasto",I1156&lt;&gt;0),"IVA solo en Gasto",IF(AND(C1156="Gasto",D1156=""),"Falta categoría","OK")))))))))</f>
        <v/>
      </c>
    </row>
    <row r="1157" spans="1:12" ht="22" customHeight="1">
      <c r="A1157" s="3"/>
      <c r="B1157" s="7"/>
      <c r="C1157" s="3"/>
      <c r="D1157" s="3"/>
      <c r="E1157" s="3"/>
      <c r="F1157" s="3"/>
      <c r="G1157" s="3"/>
      <c r="H1157" s="4"/>
      <c r="I1157" s="4"/>
      <c r="J1157" s="3"/>
      <c r="K1157" s="8" t="str">
        <f t="shared" si="17"/>
        <v/>
      </c>
      <c r="L1157" s="1" t="str">
        <f>IF(COUNTA(A1157:J1157)=0,"",IF(OR(AND(C1157&lt;&gt;"Gasto",C1157&lt;&gt;"Pago proveedor",C1157&lt;&gt;"Retiro familiar",C1157&lt;&gt;"Aportación",C1157&lt;&gt;"Pago activo",C1157&lt;&gt;"ISR devengado",C1157&lt;&gt;"Pago ISR",C1157&lt;&gt;"Pago IVA",C1157&lt;&gt;"Compensación ISR",C1157&lt;&gt;"Compensación IVA"),AND(C1157="Gasto",D1157&lt;&gt;"Costos clínicos",D1157&lt;&gt;"Remuneración familiar",D1157&lt;&gt;"Nómina y honorarios",D1157&lt;&gt;"Renta",D1157&lt;&gt;"Marketing",D1157&lt;&gt;"Servicios y software",D1157&lt;&gt;"Mantenimiento",D1157&lt;&gt;"Otros",D1157&lt;&gt;"Intereses")),"Tipo o categoría inválido",IF(COUNTA(A1157:J1157)=0,"",IF(OR(A1157="",B1157="",C1157="",H1157=""),"Faltan datos",IF(COUNTIF($A$7:$A$2006,A1157)&gt;1,"ID duplicado",IF(OR(B1157&lt;DATE(Configuración!$C$5,1,1),B1157&gt;=DATE(Configuración!$C$5+1,1,1)),"Fecha fuera del año",IF(OR(H1157&lt;0,I1157&lt;0),"Revisar signo",IF(AND(C1157&lt;&gt;"Gasto",I1157&lt;&gt;0),"IVA solo en Gasto",IF(AND(C1157="Gasto",D1157=""),"Falta categoría","OK")))))))))</f>
        <v/>
      </c>
    </row>
    <row r="1158" spans="1:12" ht="22" customHeight="1">
      <c r="A1158" s="3"/>
      <c r="B1158" s="7"/>
      <c r="C1158" s="3"/>
      <c r="D1158" s="3"/>
      <c r="E1158" s="3"/>
      <c r="F1158" s="3"/>
      <c r="G1158" s="3"/>
      <c r="H1158" s="4"/>
      <c r="I1158" s="4"/>
      <c r="J1158" s="3"/>
      <c r="K1158" s="8" t="str">
        <f t="shared" si="17"/>
        <v/>
      </c>
      <c r="L1158" s="1" t="str">
        <f>IF(COUNTA(A1158:J1158)=0,"",IF(OR(AND(C1158&lt;&gt;"Gasto",C1158&lt;&gt;"Pago proveedor",C1158&lt;&gt;"Retiro familiar",C1158&lt;&gt;"Aportación",C1158&lt;&gt;"Pago activo",C1158&lt;&gt;"ISR devengado",C1158&lt;&gt;"Pago ISR",C1158&lt;&gt;"Pago IVA",C1158&lt;&gt;"Compensación ISR",C1158&lt;&gt;"Compensación IVA"),AND(C1158="Gasto",D1158&lt;&gt;"Costos clínicos",D1158&lt;&gt;"Remuneración familiar",D1158&lt;&gt;"Nómina y honorarios",D1158&lt;&gt;"Renta",D1158&lt;&gt;"Marketing",D1158&lt;&gt;"Servicios y software",D1158&lt;&gt;"Mantenimiento",D1158&lt;&gt;"Otros",D1158&lt;&gt;"Intereses")),"Tipo o categoría inválido",IF(COUNTA(A1158:J1158)=0,"",IF(OR(A1158="",B1158="",C1158="",H1158=""),"Faltan datos",IF(COUNTIF($A$7:$A$2006,A1158)&gt;1,"ID duplicado",IF(OR(B1158&lt;DATE(Configuración!$C$5,1,1),B1158&gt;=DATE(Configuración!$C$5+1,1,1)),"Fecha fuera del año",IF(OR(H1158&lt;0,I1158&lt;0),"Revisar signo",IF(AND(C1158&lt;&gt;"Gasto",I1158&lt;&gt;0),"IVA solo en Gasto",IF(AND(C1158="Gasto",D1158=""),"Falta categoría","OK")))))))))</f>
        <v/>
      </c>
    </row>
    <row r="1159" spans="1:12" ht="22" customHeight="1">
      <c r="A1159" s="3"/>
      <c r="B1159" s="7"/>
      <c r="C1159" s="3"/>
      <c r="D1159" s="3"/>
      <c r="E1159" s="3"/>
      <c r="F1159" s="3"/>
      <c r="G1159" s="3"/>
      <c r="H1159" s="4"/>
      <c r="I1159" s="4"/>
      <c r="J1159" s="3"/>
      <c r="K1159" s="8" t="str">
        <f t="shared" ref="K1159:K1222" si="18">IF(A1159="","",H1159+I1159)</f>
        <v/>
      </c>
      <c r="L1159" s="1" t="str">
        <f>IF(COUNTA(A1159:J1159)=0,"",IF(OR(AND(C1159&lt;&gt;"Gasto",C1159&lt;&gt;"Pago proveedor",C1159&lt;&gt;"Retiro familiar",C1159&lt;&gt;"Aportación",C1159&lt;&gt;"Pago activo",C1159&lt;&gt;"ISR devengado",C1159&lt;&gt;"Pago ISR",C1159&lt;&gt;"Pago IVA",C1159&lt;&gt;"Compensación ISR",C1159&lt;&gt;"Compensación IVA"),AND(C1159="Gasto",D1159&lt;&gt;"Costos clínicos",D1159&lt;&gt;"Remuneración familiar",D1159&lt;&gt;"Nómina y honorarios",D1159&lt;&gt;"Renta",D1159&lt;&gt;"Marketing",D1159&lt;&gt;"Servicios y software",D1159&lt;&gt;"Mantenimiento",D1159&lt;&gt;"Otros",D1159&lt;&gt;"Intereses")),"Tipo o categoría inválido",IF(COUNTA(A1159:J1159)=0,"",IF(OR(A1159="",B1159="",C1159="",H1159=""),"Faltan datos",IF(COUNTIF($A$7:$A$2006,A1159)&gt;1,"ID duplicado",IF(OR(B1159&lt;DATE(Configuración!$C$5,1,1),B1159&gt;=DATE(Configuración!$C$5+1,1,1)),"Fecha fuera del año",IF(OR(H1159&lt;0,I1159&lt;0),"Revisar signo",IF(AND(C1159&lt;&gt;"Gasto",I1159&lt;&gt;0),"IVA solo en Gasto",IF(AND(C1159="Gasto",D1159=""),"Falta categoría","OK")))))))))</f>
        <v/>
      </c>
    </row>
    <row r="1160" spans="1:12" ht="22" customHeight="1">
      <c r="A1160" s="3"/>
      <c r="B1160" s="7"/>
      <c r="C1160" s="3"/>
      <c r="D1160" s="3"/>
      <c r="E1160" s="3"/>
      <c r="F1160" s="3"/>
      <c r="G1160" s="3"/>
      <c r="H1160" s="4"/>
      <c r="I1160" s="4"/>
      <c r="J1160" s="3"/>
      <c r="K1160" s="8" t="str">
        <f t="shared" si="18"/>
        <v/>
      </c>
      <c r="L1160" s="1" t="str">
        <f>IF(COUNTA(A1160:J1160)=0,"",IF(OR(AND(C1160&lt;&gt;"Gasto",C1160&lt;&gt;"Pago proveedor",C1160&lt;&gt;"Retiro familiar",C1160&lt;&gt;"Aportación",C1160&lt;&gt;"Pago activo",C1160&lt;&gt;"ISR devengado",C1160&lt;&gt;"Pago ISR",C1160&lt;&gt;"Pago IVA",C1160&lt;&gt;"Compensación ISR",C1160&lt;&gt;"Compensación IVA"),AND(C1160="Gasto",D1160&lt;&gt;"Costos clínicos",D1160&lt;&gt;"Remuneración familiar",D1160&lt;&gt;"Nómina y honorarios",D1160&lt;&gt;"Renta",D1160&lt;&gt;"Marketing",D1160&lt;&gt;"Servicios y software",D1160&lt;&gt;"Mantenimiento",D1160&lt;&gt;"Otros",D1160&lt;&gt;"Intereses")),"Tipo o categoría inválido",IF(COUNTA(A1160:J1160)=0,"",IF(OR(A1160="",B1160="",C1160="",H1160=""),"Faltan datos",IF(COUNTIF($A$7:$A$2006,A1160)&gt;1,"ID duplicado",IF(OR(B1160&lt;DATE(Configuración!$C$5,1,1),B1160&gt;=DATE(Configuración!$C$5+1,1,1)),"Fecha fuera del año",IF(OR(H1160&lt;0,I1160&lt;0),"Revisar signo",IF(AND(C1160&lt;&gt;"Gasto",I1160&lt;&gt;0),"IVA solo en Gasto",IF(AND(C1160="Gasto",D1160=""),"Falta categoría","OK")))))))))</f>
        <v/>
      </c>
    </row>
    <row r="1161" spans="1:12" ht="22" customHeight="1">
      <c r="A1161" s="3"/>
      <c r="B1161" s="7"/>
      <c r="C1161" s="3"/>
      <c r="D1161" s="3"/>
      <c r="E1161" s="3"/>
      <c r="F1161" s="3"/>
      <c r="G1161" s="3"/>
      <c r="H1161" s="4"/>
      <c r="I1161" s="4"/>
      <c r="J1161" s="3"/>
      <c r="K1161" s="8" t="str">
        <f t="shared" si="18"/>
        <v/>
      </c>
      <c r="L1161" s="1" t="str">
        <f>IF(COUNTA(A1161:J1161)=0,"",IF(OR(AND(C1161&lt;&gt;"Gasto",C1161&lt;&gt;"Pago proveedor",C1161&lt;&gt;"Retiro familiar",C1161&lt;&gt;"Aportación",C1161&lt;&gt;"Pago activo",C1161&lt;&gt;"ISR devengado",C1161&lt;&gt;"Pago ISR",C1161&lt;&gt;"Pago IVA",C1161&lt;&gt;"Compensación ISR",C1161&lt;&gt;"Compensación IVA"),AND(C1161="Gasto",D1161&lt;&gt;"Costos clínicos",D1161&lt;&gt;"Remuneración familiar",D1161&lt;&gt;"Nómina y honorarios",D1161&lt;&gt;"Renta",D1161&lt;&gt;"Marketing",D1161&lt;&gt;"Servicios y software",D1161&lt;&gt;"Mantenimiento",D1161&lt;&gt;"Otros",D1161&lt;&gt;"Intereses")),"Tipo o categoría inválido",IF(COUNTA(A1161:J1161)=0,"",IF(OR(A1161="",B1161="",C1161="",H1161=""),"Faltan datos",IF(COUNTIF($A$7:$A$2006,A1161)&gt;1,"ID duplicado",IF(OR(B1161&lt;DATE(Configuración!$C$5,1,1),B1161&gt;=DATE(Configuración!$C$5+1,1,1)),"Fecha fuera del año",IF(OR(H1161&lt;0,I1161&lt;0),"Revisar signo",IF(AND(C1161&lt;&gt;"Gasto",I1161&lt;&gt;0),"IVA solo en Gasto",IF(AND(C1161="Gasto",D1161=""),"Falta categoría","OK")))))))))</f>
        <v/>
      </c>
    </row>
    <row r="1162" spans="1:12" ht="22" customHeight="1">
      <c r="A1162" s="3"/>
      <c r="B1162" s="7"/>
      <c r="C1162" s="3"/>
      <c r="D1162" s="3"/>
      <c r="E1162" s="3"/>
      <c r="F1162" s="3"/>
      <c r="G1162" s="3"/>
      <c r="H1162" s="4"/>
      <c r="I1162" s="4"/>
      <c r="J1162" s="3"/>
      <c r="K1162" s="8" t="str">
        <f t="shared" si="18"/>
        <v/>
      </c>
      <c r="L1162" s="1" t="str">
        <f>IF(COUNTA(A1162:J1162)=0,"",IF(OR(AND(C1162&lt;&gt;"Gasto",C1162&lt;&gt;"Pago proveedor",C1162&lt;&gt;"Retiro familiar",C1162&lt;&gt;"Aportación",C1162&lt;&gt;"Pago activo",C1162&lt;&gt;"ISR devengado",C1162&lt;&gt;"Pago ISR",C1162&lt;&gt;"Pago IVA",C1162&lt;&gt;"Compensación ISR",C1162&lt;&gt;"Compensación IVA"),AND(C1162="Gasto",D1162&lt;&gt;"Costos clínicos",D1162&lt;&gt;"Remuneración familiar",D1162&lt;&gt;"Nómina y honorarios",D1162&lt;&gt;"Renta",D1162&lt;&gt;"Marketing",D1162&lt;&gt;"Servicios y software",D1162&lt;&gt;"Mantenimiento",D1162&lt;&gt;"Otros",D1162&lt;&gt;"Intereses")),"Tipo o categoría inválido",IF(COUNTA(A1162:J1162)=0,"",IF(OR(A1162="",B1162="",C1162="",H1162=""),"Faltan datos",IF(COUNTIF($A$7:$A$2006,A1162)&gt;1,"ID duplicado",IF(OR(B1162&lt;DATE(Configuración!$C$5,1,1),B1162&gt;=DATE(Configuración!$C$5+1,1,1)),"Fecha fuera del año",IF(OR(H1162&lt;0,I1162&lt;0),"Revisar signo",IF(AND(C1162&lt;&gt;"Gasto",I1162&lt;&gt;0),"IVA solo en Gasto",IF(AND(C1162="Gasto",D1162=""),"Falta categoría","OK")))))))))</f>
        <v/>
      </c>
    </row>
    <row r="1163" spans="1:12" ht="22" customHeight="1">
      <c r="A1163" s="3"/>
      <c r="B1163" s="7"/>
      <c r="C1163" s="3"/>
      <c r="D1163" s="3"/>
      <c r="E1163" s="3"/>
      <c r="F1163" s="3"/>
      <c r="G1163" s="3"/>
      <c r="H1163" s="4"/>
      <c r="I1163" s="4"/>
      <c r="J1163" s="3"/>
      <c r="K1163" s="8" t="str">
        <f t="shared" si="18"/>
        <v/>
      </c>
      <c r="L1163" s="1" t="str">
        <f>IF(COUNTA(A1163:J1163)=0,"",IF(OR(AND(C1163&lt;&gt;"Gasto",C1163&lt;&gt;"Pago proveedor",C1163&lt;&gt;"Retiro familiar",C1163&lt;&gt;"Aportación",C1163&lt;&gt;"Pago activo",C1163&lt;&gt;"ISR devengado",C1163&lt;&gt;"Pago ISR",C1163&lt;&gt;"Pago IVA",C1163&lt;&gt;"Compensación ISR",C1163&lt;&gt;"Compensación IVA"),AND(C1163="Gasto",D1163&lt;&gt;"Costos clínicos",D1163&lt;&gt;"Remuneración familiar",D1163&lt;&gt;"Nómina y honorarios",D1163&lt;&gt;"Renta",D1163&lt;&gt;"Marketing",D1163&lt;&gt;"Servicios y software",D1163&lt;&gt;"Mantenimiento",D1163&lt;&gt;"Otros",D1163&lt;&gt;"Intereses")),"Tipo o categoría inválido",IF(COUNTA(A1163:J1163)=0,"",IF(OR(A1163="",B1163="",C1163="",H1163=""),"Faltan datos",IF(COUNTIF($A$7:$A$2006,A1163)&gt;1,"ID duplicado",IF(OR(B1163&lt;DATE(Configuración!$C$5,1,1),B1163&gt;=DATE(Configuración!$C$5+1,1,1)),"Fecha fuera del año",IF(OR(H1163&lt;0,I1163&lt;0),"Revisar signo",IF(AND(C1163&lt;&gt;"Gasto",I1163&lt;&gt;0),"IVA solo en Gasto",IF(AND(C1163="Gasto",D1163=""),"Falta categoría","OK")))))))))</f>
        <v/>
      </c>
    </row>
    <row r="1164" spans="1:12" ht="22" customHeight="1">
      <c r="A1164" s="3"/>
      <c r="B1164" s="7"/>
      <c r="C1164" s="3"/>
      <c r="D1164" s="3"/>
      <c r="E1164" s="3"/>
      <c r="F1164" s="3"/>
      <c r="G1164" s="3"/>
      <c r="H1164" s="4"/>
      <c r="I1164" s="4"/>
      <c r="J1164" s="3"/>
      <c r="K1164" s="8" t="str">
        <f t="shared" si="18"/>
        <v/>
      </c>
      <c r="L1164" s="1" t="str">
        <f>IF(COUNTA(A1164:J1164)=0,"",IF(OR(AND(C1164&lt;&gt;"Gasto",C1164&lt;&gt;"Pago proveedor",C1164&lt;&gt;"Retiro familiar",C1164&lt;&gt;"Aportación",C1164&lt;&gt;"Pago activo",C1164&lt;&gt;"ISR devengado",C1164&lt;&gt;"Pago ISR",C1164&lt;&gt;"Pago IVA",C1164&lt;&gt;"Compensación ISR",C1164&lt;&gt;"Compensación IVA"),AND(C1164="Gasto",D1164&lt;&gt;"Costos clínicos",D1164&lt;&gt;"Remuneración familiar",D1164&lt;&gt;"Nómina y honorarios",D1164&lt;&gt;"Renta",D1164&lt;&gt;"Marketing",D1164&lt;&gt;"Servicios y software",D1164&lt;&gt;"Mantenimiento",D1164&lt;&gt;"Otros",D1164&lt;&gt;"Intereses")),"Tipo o categoría inválido",IF(COUNTA(A1164:J1164)=0,"",IF(OR(A1164="",B1164="",C1164="",H1164=""),"Faltan datos",IF(COUNTIF($A$7:$A$2006,A1164)&gt;1,"ID duplicado",IF(OR(B1164&lt;DATE(Configuración!$C$5,1,1),B1164&gt;=DATE(Configuración!$C$5+1,1,1)),"Fecha fuera del año",IF(OR(H1164&lt;0,I1164&lt;0),"Revisar signo",IF(AND(C1164&lt;&gt;"Gasto",I1164&lt;&gt;0),"IVA solo en Gasto",IF(AND(C1164="Gasto",D1164=""),"Falta categoría","OK")))))))))</f>
        <v/>
      </c>
    </row>
    <row r="1165" spans="1:12" ht="22" customHeight="1">
      <c r="A1165" s="3"/>
      <c r="B1165" s="7"/>
      <c r="C1165" s="3"/>
      <c r="D1165" s="3"/>
      <c r="E1165" s="3"/>
      <c r="F1165" s="3"/>
      <c r="G1165" s="3"/>
      <c r="H1165" s="4"/>
      <c r="I1165" s="4"/>
      <c r="J1165" s="3"/>
      <c r="K1165" s="8" t="str">
        <f t="shared" si="18"/>
        <v/>
      </c>
      <c r="L1165" s="1" t="str">
        <f>IF(COUNTA(A1165:J1165)=0,"",IF(OR(AND(C1165&lt;&gt;"Gasto",C1165&lt;&gt;"Pago proveedor",C1165&lt;&gt;"Retiro familiar",C1165&lt;&gt;"Aportación",C1165&lt;&gt;"Pago activo",C1165&lt;&gt;"ISR devengado",C1165&lt;&gt;"Pago ISR",C1165&lt;&gt;"Pago IVA",C1165&lt;&gt;"Compensación ISR",C1165&lt;&gt;"Compensación IVA"),AND(C1165="Gasto",D1165&lt;&gt;"Costos clínicos",D1165&lt;&gt;"Remuneración familiar",D1165&lt;&gt;"Nómina y honorarios",D1165&lt;&gt;"Renta",D1165&lt;&gt;"Marketing",D1165&lt;&gt;"Servicios y software",D1165&lt;&gt;"Mantenimiento",D1165&lt;&gt;"Otros",D1165&lt;&gt;"Intereses")),"Tipo o categoría inválido",IF(COUNTA(A1165:J1165)=0,"",IF(OR(A1165="",B1165="",C1165="",H1165=""),"Faltan datos",IF(COUNTIF($A$7:$A$2006,A1165)&gt;1,"ID duplicado",IF(OR(B1165&lt;DATE(Configuración!$C$5,1,1),B1165&gt;=DATE(Configuración!$C$5+1,1,1)),"Fecha fuera del año",IF(OR(H1165&lt;0,I1165&lt;0),"Revisar signo",IF(AND(C1165&lt;&gt;"Gasto",I1165&lt;&gt;0),"IVA solo en Gasto",IF(AND(C1165="Gasto",D1165=""),"Falta categoría","OK")))))))))</f>
        <v/>
      </c>
    </row>
    <row r="1166" spans="1:12" ht="22" customHeight="1">
      <c r="A1166" s="3"/>
      <c r="B1166" s="7"/>
      <c r="C1166" s="3"/>
      <c r="D1166" s="3"/>
      <c r="E1166" s="3"/>
      <c r="F1166" s="3"/>
      <c r="G1166" s="3"/>
      <c r="H1166" s="4"/>
      <c r="I1166" s="4"/>
      <c r="J1166" s="3"/>
      <c r="K1166" s="8" t="str">
        <f t="shared" si="18"/>
        <v/>
      </c>
      <c r="L1166" s="1" t="str">
        <f>IF(COUNTA(A1166:J1166)=0,"",IF(OR(AND(C1166&lt;&gt;"Gasto",C1166&lt;&gt;"Pago proveedor",C1166&lt;&gt;"Retiro familiar",C1166&lt;&gt;"Aportación",C1166&lt;&gt;"Pago activo",C1166&lt;&gt;"ISR devengado",C1166&lt;&gt;"Pago ISR",C1166&lt;&gt;"Pago IVA",C1166&lt;&gt;"Compensación ISR",C1166&lt;&gt;"Compensación IVA"),AND(C1166="Gasto",D1166&lt;&gt;"Costos clínicos",D1166&lt;&gt;"Remuneración familiar",D1166&lt;&gt;"Nómina y honorarios",D1166&lt;&gt;"Renta",D1166&lt;&gt;"Marketing",D1166&lt;&gt;"Servicios y software",D1166&lt;&gt;"Mantenimiento",D1166&lt;&gt;"Otros",D1166&lt;&gt;"Intereses")),"Tipo o categoría inválido",IF(COUNTA(A1166:J1166)=0,"",IF(OR(A1166="",B1166="",C1166="",H1166=""),"Faltan datos",IF(COUNTIF($A$7:$A$2006,A1166)&gt;1,"ID duplicado",IF(OR(B1166&lt;DATE(Configuración!$C$5,1,1),B1166&gt;=DATE(Configuración!$C$5+1,1,1)),"Fecha fuera del año",IF(OR(H1166&lt;0,I1166&lt;0),"Revisar signo",IF(AND(C1166&lt;&gt;"Gasto",I1166&lt;&gt;0),"IVA solo en Gasto",IF(AND(C1166="Gasto",D1166=""),"Falta categoría","OK")))))))))</f>
        <v/>
      </c>
    </row>
    <row r="1167" spans="1:12" ht="22" customHeight="1">
      <c r="A1167" s="3"/>
      <c r="B1167" s="7"/>
      <c r="C1167" s="3"/>
      <c r="D1167" s="3"/>
      <c r="E1167" s="3"/>
      <c r="F1167" s="3"/>
      <c r="G1167" s="3"/>
      <c r="H1167" s="4"/>
      <c r="I1167" s="4"/>
      <c r="J1167" s="3"/>
      <c r="K1167" s="8" t="str">
        <f t="shared" si="18"/>
        <v/>
      </c>
      <c r="L1167" s="1" t="str">
        <f>IF(COUNTA(A1167:J1167)=0,"",IF(OR(AND(C1167&lt;&gt;"Gasto",C1167&lt;&gt;"Pago proveedor",C1167&lt;&gt;"Retiro familiar",C1167&lt;&gt;"Aportación",C1167&lt;&gt;"Pago activo",C1167&lt;&gt;"ISR devengado",C1167&lt;&gt;"Pago ISR",C1167&lt;&gt;"Pago IVA",C1167&lt;&gt;"Compensación ISR",C1167&lt;&gt;"Compensación IVA"),AND(C1167="Gasto",D1167&lt;&gt;"Costos clínicos",D1167&lt;&gt;"Remuneración familiar",D1167&lt;&gt;"Nómina y honorarios",D1167&lt;&gt;"Renta",D1167&lt;&gt;"Marketing",D1167&lt;&gt;"Servicios y software",D1167&lt;&gt;"Mantenimiento",D1167&lt;&gt;"Otros",D1167&lt;&gt;"Intereses")),"Tipo o categoría inválido",IF(COUNTA(A1167:J1167)=0,"",IF(OR(A1167="",B1167="",C1167="",H1167=""),"Faltan datos",IF(COUNTIF($A$7:$A$2006,A1167)&gt;1,"ID duplicado",IF(OR(B1167&lt;DATE(Configuración!$C$5,1,1),B1167&gt;=DATE(Configuración!$C$5+1,1,1)),"Fecha fuera del año",IF(OR(H1167&lt;0,I1167&lt;0),"Revisar signo",IF(AND(C1167&lt;&gt;"Gasto",I1167&lt;&gt;0),"IVA solo en Gasto",IF(AND(C1167="Gasto",D1167=""),"Falta categoría","OK")))))))))</f>
        <v/>
      </c>
    </row>
    <row r="1168" spans="1:12" ht="22" customHeight="1">
      <c r="A1168" s="3"/>
      <c r="B1168" s="7"/>
      <c r="C1168" s="3"/>
      <c r="D1168" s="3"/>
      <c r="E1168" s="3"/>
      <c r="F1168" s="3"/>
      <c r="G1168" s="3"/>
      <c r="H1168" s="4"/>
      <c r="I1168" s="4"/>
      <c r="J1168" s="3"/>
      <c r="K1168" s="8" t="str">
        <f t="shared" si="18"/>
        <v/>
      </c>
      <c r="L1168" s="1" t="str">
        <f>IF(COUNTA(A1168:J1168)=0,"",IF(OR(AND(C1168&lt;&gt;"Gasto",C1168&lt;&gt;"Pago proveedor",C1168&lt;&gt;"Retiro familiar",C1168&lt;&gt;"Aportación",C1168&lt;&gt;"Pago activo",C1168&lt;&gt;"ISR devengado",C1168&lt;&gt;"Pago ISR",C1168&lt;&gt;"Pago IVA",C1168&lt;&gt;"Compensación ISR",C1168&lt;&gt;"Compensación IVA"),AND(C1168="Gasto",D1168&lt;&gt;"Costos clínicos",D1168&lt;&gt;"Remuneración familiar",D1168&lt;&gt;"Nómina y honorarios",D1168&lt;&gt;"Renta",D1168&lt;&gt;"Marketing",D1168&lt;&gt;"Servicios y software",D1168&lt;&gt;"Mantenimiento",D1168&lt;&gt;"Otros",D1168&lt;&gt;"Intereses")),"Tipo o categoría inválido",IF(COUNTA(A1168:J1168)=0,"",IF(OR(A1168="",B1168="",C1168="",H1168=""),"Faltan datos",IF(COUNTIF($A$7:$A$2006,A1168)&gt;1,"ID duplicado",IF(OR(B1168&lt;DATE(Configuración!$C$5,1,1),B1168&gt;=DATE(Configuración!$C$5+1,1,1)),"Fecha fuera del año",IF(OR(H1168&lt;0,I1168&lt;0),"Revisar signo",IF(AND(C1168&lt;&gt;"Gasto",I1168&lt;&gt;0),"IVA solo en Gasto",IF(AND(C1168="Gasto",D1168=""),"Falta categoría","OK")))))))))</f>
        <v/>
      </c>
    </row>
    <row r="1169" spans="1:12" ht="22" customHeight="1">
      <c r="A1169" s="3"/>
      <c r="B1169" s="7"/>
      <c r="C1169" s="3"/>
      <c r="D1169" s="3"/>
      <c r="E1169" s="3"/>
      <c r="F1169" s="3"/>
      <c r="G1169" s="3"/>
      <c r="H1169" s="4"/>
      <c r="I1169" s="4"/>
      <c r="J1169" s="3"/>
      <c r="K1169" s="8" t="str">
        <f t="shared" si="18"/>
        <v/>
      </c>
      <c r="L1169" s="1" t="str">
        <f>IF(COUNTA(A1169:J1169)=0,"",IF(OR(AND(C1169&lt;&gt;"Gasto",C1169&lt;&gt;"Pago proveedor",C1169&lt;&gt;"Retiro familiar",C1169&lt;&gt;"Aportación",C1169&lt;&gt;"Pago activo",C1169&lt;&gt;"ISR devengado",C1169&lt;&gt;"Pago ISR",C1169&lt;&gt;"Pago IVA",C1169&lt;&gt;"Compensación ISR",C1169&lt;&gt;"Compensación IVA"),AND(C1169="Gasto",D1169&lt;&gt;"Costos clínicos",D1169&lt;&gt;"Remuneración familiar",D1169&lt;&gt;"Nómina y honorarios",D1169&lt;&gt;"Renta",D1169&lt;&gt;"Marketing",D1169&lt;&gt;"Servicios y software",D1169&lt;&gt;"Mantenimiento",D1169&lt;&gt;"Otros",D1169&lt;&gt;"Intereses")),"Tipo o categoría inválido",IF(COUNTA(A1169:J1169)=0,"",IF(OR(A1169="",B1169="",C1169="",H1169=""),"Faltan datos",IF(COUNTIF($A$7:$A$2006,A1169)&gt;1,"ID duplicado",IF(OR(B1169&lt;DATE(Configuración!$C$5,1,1),B1169&gt;=DATE(Configuración!$C$5+1,1,1)),"Fecha fuera del año",IF(OR(H1169&lt;0,I1169&lt;0),"Revisar signo",IF(AND(C1169&lt;&gt;"Gasto",I1169&lt;&gt;0),"IVA solo en Gasto",IF(AND(C1169="Gasto",D1169=""),"Falta categoría","OK")))))))))</f>
        <v/>
      </c>
    </row>
    <row r="1170" spans="1:12" ht="22" customHeight="1">
      <c r="A1170" s="3"/>
      <c r="B1170" s="7"/>
      <c r="C1170" s="3"/>
      <c r="D1170" s="3"/>
      <c r="E1170" s="3"/>
      <c r="F1170" s="3"/>
      <c r="G1170" s="3"/>
      <c r="H1170" s="4"/>
      <c r="I1170" s="4"/>
      <c r="J1170" s="3"/>
      <c r="K1170" s="8" t="str">
        <f t="shared" si="18"/>
        <v/>
      </c>
      <c r="L1170" s="1" t="str">
        <f>IF(COUNTA(A1170:J1170)=0,"",IF(OR(AND(C1170&lt;&gt;"Gasto",C1170&lt;&gt;"Pago proveedor",C1170&lt;&gt;"Retiro familiar",C1170&lt;&gt;"Aportación",C1170&lt;&gt;"Pago activo",C1170&lt;&gt;"ISR devengado",C1170&lt;&gt;"Pago ISR",C1170&lt;&gt;"Pago IVA",C1170&lt;&gt;"Compensación ISR",C1170&lt;&gt;"Compensación IVA"),AND(C1170="Gasto",D1170&lt;&gt;"Costos clínicos",D1170&lt;&gt;"Remuneración familiar",D1170&lt;&gt;"Nómina y honorarios",D1170&lt;&gt;"Renta",D1170&lt;&gt;"Marketing",D1170&lt;&gt;"Servicios y software",D1170&lt;&gt;"Mantenimiento",D1170&lt;&gt;"Otros",D1170&lt;&gt;"Intereses")),"Tipo o categoría inválido",IF(COUNTA(A1170:J1170)=0,"",IF(OR(A1170="",B1170="",C1170="",H1170=""),"Faltan datos",IF(COUNTIF($A$7:$A$2006,A1170)&gt;1,"ID duplicado",IF(OR(B1170&lt;DATE(Configuración!$C$5,1,1),B1170&gt;=DATE(Configuración!$C$5+1,1,1)),"Fecha fuera del año",IF(OR(H1170&lt;0,I1170&lt;0),"Revisar signo",IF(AND(C1170&lt;&gt;"Gasto",I1170&lt;&gt;0),"IVA solo en Gasto",IF(AND(C1170="Gasto",D1170=""),"Falta categoría","OK")))))))))</f>
        <v/>
      </c>
    </row>
    <row r="1171" spans="1:12" ht="22" customHeight="1">
      <c r="A1171" s="3"/>
      <c r="B1171" s="7"/>
      <c r="C1171" s="3"/>
      <c r="D1171" s="3"/>
      <c r="E1171" s="3"/>
      <c r="F1171" s="3"/>
      <c r="G1171" s="3"/>
      <c r="H1171" s="4"/>
      <c r="I1171" s="4"/>
      <c r="J1171" s="3"/>
      <c r="K1171" s="8" t="str">
        <f t="shared" si="18"/>
        <v/>
      </c>
      <c r="L1171" s="1" t="str">
        <f>IF(COUNTA(A1171:J1171)=0,"",IF(OR(AND(C1171&lt;&gt;"Gasto",C1171&lt;&gt;"Pago proveedor",C1171&lt;&gt;"Retiro familiar",C1171&lt;&gt;"Aportación",C1171&lt;&gt;"Pago activo",C1171&lt;&gt;"ISR devengado",C1171&lt;&gt;"Pago ISR",C1171&lt;&gt;"Pago IVA",C1171&lt;&gt;"Compensación ISR",C1171&lt;&gt;"Compensación IVA"),AND(C1171="Gasto",D1171&lt;&gt;"Costos clínicos",D1171&lt;&gt;"Remuneración familiar",D1171&lt;&gt;"Nómina y honorarios",D1171&lt;&gt;"Renta",D1171&lt;&gt;"Marketing",D1171&lt;&gt;"Servicios y software",D1171&lt;&gt;"Mantenimiento",D1171&lt;&gt;"Otros",D1171&lt;&gt;"Intereses")),"Tipo o categoría inválido",IF(COUNTA(A1171:J1171)=0,"",IF(OR(A1171="",B1171="",C1171="",H1171=""),"Faltan datos",IF(COUNTIF($A$7:$A$2006,A1171)&gt;1,"ID duplicado",IF(OR(B1171&lt;DATE(Configuración!$C$5,1,1),B1171&gt;=DATE(Configuración!$C$5+1,1,1)),"Fecha fuera del año",IF(OR(H1171&lt;0,I1171&lt;0),"Revisar signo",IF(AND(C1171&lt;&gt;"Gasto",I1171&lt;&gt;0),"IVA solo en Gasto",IF(AND(C1171="Gasto",D1171=""),"Falta categoría","OK")))))))))</f>
        <v/>
      </c>
    </row>
    <row r="1172" spans="1:12" ht="22" customHeight="1">
      <c r="A1172" s="3"/>
      <c r="B1172" s="7"/>
      <c r="C1172" s="3"/>
      <c r="D1172" s="3"/>
      <c r="E1172" s="3"/>
      <c r="F1172" s="3"/>
      <c r="G1172" s="3"/>
      <c r="H1172" s="4"/>
      <c r="I1172" s="4"/>
      <c r="J1172" s="3"/>
      <c r="K1172" s="8" t="str">
        <f t="shared" si="18"/>
        <v/>
      </c>
      <c r="L1172" s="1" t="str">
        <f>IF(COUNTA(A1172:J1172)=0,"",IF(OR(AND(C1172&lt;&gt;"Gasto",C1172&lt;&gt;"Pago proveedor",C1172&lt;&gt;"Retiro familiar",C1172&lt;&gt;"Aportación",C1172&lt;&gt;"Pago activo",C1172&lt;&gt;"ISR devengado",C1172&lt;&gt;"Pago ISR",C1172&lt;&gt;"Pago IVA",C1172&lt;&gt;"Compensación ISR",C1172&lt;&gt;"Compensación IVA"),AND(C1172="Gasto",D1172&lt;&gt;"Costos clínicos",D1172&lt;&gt;"Remuneración familiar",D1172&lt;&gt;"Nómina y honorarios",D1172&lt;&gt;"Renta",D1172&lt;&gt;"Marketing",D1172&lt;&gt;"Servicios y software",D1172&lt;&gt;"Mantenimiento",D1172&lt;&gt;"Otros",D1172&lt;&gt;"Intereses")),"Tipo o categoría inválido",IF(COUNTA(A1172:J1172)=0,"",IF(OR(A1172="",B1172="",C1172="",H1172=""),"Faltan datos",IF(COUNTIF($A$7:$A$2006,A1172)&gt;1,"ID duplicado",IF(OR(B1172&lt;DATE(Configuración!$C$5,1,1),B1172&gt;=DATE(Configuración!$C$5+1,1,1)),"Fecha fuera del año",IF(OR(H1172&lt;0,I1172&lt;0),"Revisar signo",IF(AND(C1172&lt;&gt;"Gasto",I1172&lt;&gt;0),"IVA solo en Gasto",IF(AND(C1172="Gasto",D1172=""),"Falta categoría","OK")))))))))</f>
        <v/>
      </c>
    </row>
    <row r="1173" spans="1:12" ht="22" customHeight="1">
      <c r="A1173" s="3"/>
      <c r="B1173" s="7"/>
      <c r="C1173" s="3"/>
      <c r="D1173" s="3"/>
      <c r="E1173" s="3"/>
      <c r="F1173" s="3"/>
      <c r="G1173" s="3"/>
      <c r="H1173" s="4"/>
      <c r="I1173" s="4"/>
      <c r="J1173" s="3"/>
      <c r="K1173" s="8" t="str">
        <f t="shared" si="18"/>
        <v/>
      </c>
      <c r="L1173" s="1" t="str">
        <f>IF(COUNTA(A1173:J1173)=0,"",IF(OR(AND(C1173&lt;&gt;"Gasto",C1173&lt;&gt;"Pago proveedor",C1173&lt;&gt;"Retiro familiar",C1173&lt;&gt;"Aportación",C1173&lt;&gt;"Pago activo",C1173&lt;&gt;"ISR devengado",C1173&lt;&gt;"Pago ISR",C1173&lt;&gt;"Pago IVA",C1173&lt;&gt;"Compensación ISR",C1173&lt;&gt;"Compensación IVA"),AND(C1173="Gasto",D1173&lt;&gt;"Costos clínicos",D1173&lt;&gt;"Remuneración familiar",D1173&lt;&gt;"Nómina y honorarios",D1173&lt;&gt;"Renta",D1173&lt;&gt;"Marketing",D1173&lt;&gt;"Servicios y software",D1173&lt;&gt;"Mantenimiento",D1173&lt;&gt;"Otros",D1173&lt;&gt;"Intereses")),"Tipo o categoría inválido",IF(COUNTA(A1173:J1173)=0,"",IF(OR(A1173="",B1173="",C1173="",H1173=""),"Faltan datos",IF(COUNTIF($A$7:$A$2006,A1173)&gt;1,"ID duplicado",IF(OR(B1173&lt;DATE(Configuración!$C$5,1,1),B1173&gt;=DATE(Configuración!$C$5+1,1,1)),"Fecha fuera del año",IF(OR(H1173&lt;0,I1173&lt;0),"Revisar signo",IF(AND(C1173&lt;&gt;"Gasto",I1173&lt;&gt;0),"IVA solo en Gasto",IF(AND(C1173="Gasto",D1173=""),"Falta categoría","OK")))))))))</f>
        <v/>
      </c>
    </row>
    <row r="1174" spans="1:12" ht="22" customHeight="1">
      <c r="A1174" s="3"/>
      <c r="B1174" s="7"/>
      <c r="C1174" s="3"/>
      <c r="D1174" s="3"/>
      <c r="E1174" s="3"/>
      <c r="F1174" s="3"/>
      <c r="G1174" s="3"/>
      <c r="H1174" s="4"/>
      <c r="I1174" s="4"/>
      <c r="J1174" s="3"/>
      <c r="K1174" s="8" t="str">
        <f t="shared" si="18"/>
        <v/>
      </c>
      <c r="L1174" s="1" t="str">
        <f>IF(COUNTA(A1174:J1174)=0,"",IF(OR(AND(C1174&lt;&gt;"Gasto",C1174&lt;&gt;"Pago proveedor",C1174&lt;&gt;"Retiro familiar",C1174&lt;&gt;"Aportación",C1174&lt;&gt;"Pago activo",C1174&lt;&gt;"ISR devengado",C1174&lt;&gt;"Pago ISR",C1174&lt;&gt;"Pago IVA",C1174&lt;&gt;"Compensación ISR",C1174&lt;&gt;"Compensación IVA"),AND(C1174="Gasto",D1174&lt;&gt;"Costos clínicos",D1174&lt;&gt;"Remuneración familiar",D1174&lt;&gt;"Nómina y honorarios",D1174&lt;&gt;"Renta",D1174&lt;&gt;"Marketing",D1174&lt;&gt;"Servicios y software",D1174&lt;&gt;"Mantenimiento",D1174&lt;&gt;"Otros",D1174&lt;&gt;"Intereses")),"Tipo o categoría inválido",IF(COUNTA(A1174:J1174)=0,"",IF(OR(A1174="",B1174="",C1174="",H1174=""),"Faltan datos",IF(COUNTIF($A$7:$A$2006,A1174)&gt;1,"ID duplicado",IF(OR(B1174&lt;DATE(Configuración!$C$5,1,1),B1174&gt;=DATE(Configuración!$C$5+1,1,1)),"Fecha fuera del año",IF(OR(H1174&lt;0,I1174&lt;0),"Revisar signo",IF(AND(C1174&lt;&gt;"Gasto",I1174&lt;&gt;0),"IVA solo en Gasto",IF(AND(C1174="Gasto",D1174=""),"Falta categoría","OK")))))))))</f>
        <v/>
      </c>
    </row>
    <row r="1175" spans="1:12" ht="22" customHeight="1">
      <c r="A1175" s="3"/>
      <c r="B1175" s="7"/>
      <c r="C1175" s="3"/>
      <c r="D1175" s="3"/>
      <c r="E1175" s="3"/>
      <c r="F1175" s="3"/>
      <c r="G1175" s="3"/>
      <c r="H1175" s="4"/>
      <c r="I1175" s="4"/>
      <c r="J1175" s="3"/>
      <c r="K1175" s="8" t="str">
        <f t="shared" si="18"/>
        <v/>
      </c>
      <c r="L1175" s="1" t="str">
        <f>IF(COUNTA(A1175:J1175)=0,"",IF(OR(AND(C1175&lt;&gt;"Gasto",C1175&lt;&gt;"Pago proveedor",C1175&lt;&gt;"Retiro familiar",C1175&lt;&gt;"Aportación",C1175&lt;&gt;"Pago activo",C1175&lt;&gt;"ISR devengado",C1175&lt;&gt;"Pago ISR",C1175&lt;&gt;"Pago IVA",C1175&lt;&gt;"Compensación ISR",C1175&lt;&gt;"Compensación IVA"),AND(C1175="Gasto",D1175&lt;&gt;"Costos clínicos",D1175&lt;&gt;"Remuneración familiar",D1175&lt;&gt;"Nómina y honorarios",D1175&lt;&gt;"Renta",D1175&lt;&gt;"Marketing",D1175&lt;&gt;"Servicios y software",D1175&lt;&gt;"Mantenimiento",D1175&lt;&gt;"Otros",D1175&lt;&gt;"Intereses")),"Tipo o categoría inválido",IF(COUNTA(A1175:J1175)=0,"",IF(OR(A1175="",B1175="",C1175="",H1175=""),"Faltan datos",IF(COUNTIF($A$7:$A$2006,A1175)&gt;1,"ID duplicado",IF(OR(B1175&lt;DATE(Configuración!$C$5,1,1),B1175&gt;=DATE(Configuración!$C$5+1,1,1)),"Fecha fuera del año",IF(OR(H1175&lt;0,I1175&lt;0),"Revisar signo",IF(AND(C1175&lt;&gt;"Gasto",I1175&lt;&gt;0),"IVA solo en Gasto",IF(AND(C1175="Gasto",D1175=""),"Falta categoría","OK")))))))))</f>
        <v/>
      </c>
    </row>
    <row r="1176" spans="1:12" ht="22" customHeight="1">
      <c r="A1176" s="3"/>
      <c r="B1176" s="7"/>
      <c r="C1176" s="3"/>
      <c r="D1176" s="3"/>
      <c r="E1176" s="3"/>
      <c r="F1176" s="3"/>
      <c r="G1176" s="3"/>
      <c r="H1176" s="4"/>
      <c r="I1176" s="4"/>
      <c r="J1176" s="3"/>
      <c r="K1176" s="8" t="str">
        <f t="shared" si="18"/>
        <v/>
      </c>
      <c r="L1176" s="1" t="str">
        <f>IF(COUNTA(A1176:J1176)=0,"",IF(OR(AND(C1176&lt;&gt;"Gasto",C1176&lt;&gt;"Pago proveedor",C1176&lt;&gt;"Retiro familiar",C1176&lt;&gt;"Aportación",C1176&lt;&gt;"Pago activo",C1176&lt;&gt;"ISR devengado",C1176&lt;&gt;"Pago ISR",C1176&lt;&gt;"Pago IVA",C1176&lt;&gt;"Compensación ISR",C1176&lt;&gt;"Compensación IVA"),AND(C1176="Gasto",D1176&lt;&gt;"Costos clínicos",D1176&lt;&gt;"Remuneración familiar",D1176&lt;&gt;"Nómina y honorarios",D1176&lt;&gt;"Renta",D1176&lt;&gt;"Marketing",D1176&lt;&gt;"Servicios y software",D1176&lt;&gt;"Mantenimiento",D1176&lt;&gt;"Otros",D1176&lt;&gt;"Intereses")),"Tipo o categoría inválido",IF(COUNTA(A1176:J1176)=0,"",IF(OR(A1176="",B1176="",C1176="",H1176=""),"Faltan datos",IF(COUNTIF($A$7:$A$2006,A1176)&gt;1,"ID duplicado",IF(OR(B1176&lt;DATE(Configuración!$C$5,1,1),B1176&gt;=DATE(Configuración!$C$5+1,1,1)),"Fecha fuera del año",IF(OR(H1176&lt;0,I1176&lt;0),"Revisar signo",IF(AND(C1176&lt;&gt;"Gasto",I1176&lt;&gt;0),"IVA solo en Gasto",IF(AND(C1176="Gasto",D1176=""),"Falta categoría","OK")))))))))</f>
        <v/>
      </c>
    </row>
    <row r="1177" spans="1:12" ht="22" customHeight="1">
      <c r="A1177" s="3"/>
      <c r="B1177" s="7"/>
      <c r="C1177" s="3"/>
      <c r="D1177" s="3"/>
      <c r="E1177" s="3"/>
      <c r="F1177" s="3"/>
      <c r="G1177" s="3"/>
      <c r="H1177" s="4"/>
      <c r="I1177" s="4"/>
      <c r="J1177" s="3"/>
      <c r="K1177" s="8" t="str">
        <f t="shared" si="18"/>
        <v/>
      </c>
      <c r="L1177" s="1" t="str">
        <f>IF(COUNTA(A1177:J1177)=0,"",IF(OR(AND(C1177&lt;&gt;"Gasto",C1177&lt;&gt;"Pago proveedor",C1177&lt;&gt;"Retiro familiar",C1177&lt;&gt;"Aportación",C1177&lt;&gt;"Pago activo",C1177&lt;&gt;"ISR devengado",C1177&lt;&gt;"Pago ISR",C1177&lt;&gt;"Pago IVA",C1177&lt;&gt;"Compensación ISR",C1177&lt;&gt;"Compensación IVA"),AND(C1177="Gasto",D1177&lt;&gt;"Costos clínicos",D1177&lt;&gt;"Remuneración familiar",D1177&lt;&gt;"Nómina y honorarios",D1177&lt;&gt;"Renta",D1177&lt;&gt;"Marketing",D1177&lt;&gt;"Servicios y software",D1177&lt;&gt;"Mantenimiento",D1177&lt;&gt;"Otros",D1177&lt;&gt;"Intereses")),"Tipo o categoría inválido",IF(COUNTA(A1177:J1177)=0,"",IF(OR(A1177="",B1177="",C1177="",H1177=""),"Faltan datos",IF(COUNTIF($A$7:$A$2006,A1177)&gt;1,"ID duplicado",IF(OR(B1177&lt;DATE(Configuración!$C$5,1,1),B1177&gt;=DATE(Configuración!$C$5+1,1,1)),"Fecha fuera del año",IF(OR(H1177&lt;0,I1177&lt;0),"Revisar signo",IF(AND(C1177&lt;&gt;"Gasto",I1177&lt;&gt;0),"IVA solo en Gasto",IF(AND(C1177="Gasto",D1177=""),"Falta categoría","OK")))))))))</f>
        <v/>
      </c>
    </row>
    <row r="1178" spans="1:12" ht="22" customHeight="1">
      <c r="A1178" s="3"/>
      <c r="B1178" s="7"/>
      <c r="C1178" s="3"/>
      <c r="D1178" s="3"/>
      <c r="E1178" s="3"/>
      <c r="F1178" s="3"/>
      <c r="G1178" s="3"/>
      <c r="H1178" s="4"/>
      <c r="I1178" s="4"/>
      <c r="J1178" s="3"/>
      <c r="K1178" s="8" t="str">
        <f t="shared" si="18"/>
        <v/>
      </c>
      <c r="L1178" s="1" t="str">
        <f>IF(COUNTA(A1178:J1178)=0,"",IF(OR(AND(C1178&lt;&gt;"Gasto",C1178&lt;&gt;"Pago proveedor",C1178&lt;&gt;"Retiro familiar",C1178&lt;&gt;"Aportación",C1178&lt;&gt;"Pago activo",C1178&lt;&gt;"ISR devengado",C1178&lt;&gt;"Pago ISR",C1178&lt;&gt;"Pago IVA",C1178&lt;&gt;"Compensación ISR",C1178&lt;&gt;"Compensación IVA"),AND(C1178="Gasto",D1178&lt;&gt;"Costos clínicos",D1178&lt;&gt;"Remuneración familiar",D1178&lt;&gt;"Nómina y honorarios",D1178&lt;&gt;"Renta",D1178&lt;&gt;"Marketing",D1178&lt;&gt;"Servicios y software",D1178&lt;&gt;"Mantenimiento",D1178&lt;&gt;"Otros",D1178&lt;&gt;"Intereses")),"Tipo o categoría inválido",IF(COUNTA(A1178:J1178)=0,"",IF(OR(A1178="",B1178="",C1178="",H1178=""),"Faltan datos",IF(COUNTIF($A$7:$A$2006,A1178)&gt;1,"ID duplicado",IF(OR(B1178&lt;DATE(Configuración!$C$5,1,1),B1178&gt;=DATE(Configuración!$C$5+1,1,1)),"Fecha fuera del año",IF(OR(H1178&lt;0,I1178&lt;0),"Revisar signo",IF(AND(C1178&lt;&gt;"Gasto",I1178&lt;&gt;0),"IVA solo en Gasto",IF(AND(C1178="Gasto",D1178=""),"Falta categoría","OK")))))))))</f>
        <v/>
      </c>
    </row>
    <row r="1179" spans="1:12" ht="22" customHeight="1">
      <c r="A1179" s="3"/>
      <c r="B1179" s="7"/>
      <c r="C1179" s="3"/>
      <c r="D1179" s="3"/>
      <c r="E1179" s="3"/>
      <c r="F1179" s="3"/>
      <c r="G1179" s="3"/>
      <c r="H1179" s="4"/>
      <c r="I1179" s="4"/>
      <c r="J1179" s="3"/>
      <c r="K1179" s="8" t="str">
        <f t="shared" si="18"/>
        <v/>
      </c>
      <c r="L1179" s="1" t="str">
        <f>IF(COUNTA(A1179:J1179)=0,"",IF(OR(AND(C1179&lt;&gt;"Gasto",C1179&lt;&gt;"Pago proveedor",C1179&lt;&gt;"Retiro familiar",C1179&lt;&gt;"Aportación",C1179&lt;&gt;"Pago activo",C1179&lt;&gt;"ISR devengado",C1179&lt;&gt;"Pago ISR",C1179&lt;&gt;"Pago IVA",C1179&lt;&gt;"Compensación ISR",C1179&lt;&gt;"Compensación IVA"),AND(C1179="Gasto",D1179&lt;&gt;"Costos clínicos",D1179&lt;&gt;"Remuneración familiar",D1179&lt;&gt;"Nómina y honorarios",D1179&lt;&gt;"Renta",D1179&lt;&gt;"Marketing",D1179&lt;&gt;"Servicios y software",D1179&lt;&gt;"Mantenimiento",D1179&lt;&gt;"Otros",D1179&lt;&gt;"Intereses")),"Tipo o categoría inválido",IF(COUNTA(A1179:J1179)=0,"",IF(OR(A1179="",B1179="",C1179="",H1179=""),"Faltan datos",IF(COUNTIF($A$7:$A$2006,A1179)&gt;1,"ID duplicado",IF(OR(B1179&lt;DATE(Configuración!$C$5,1,1),B1179&gt;=DATE(Configuración!$C$5+1,1,1)),"Fecha fuera del año",IF(OR(H1179&lt;0,I1179&lt;0),"Revisar signo",IF(AND(C1179&lt;&gt;"Gasto",I1179&lt;&gt;0),"IVA solo en Gasto",IF(AND(C1179="Gasto",D1179=""),"Falta categoría","OK")))))))))</f>
        <v/>
      </c>
    </row>
    <row r="1180" spans="1:12" ht="22" customHeight="1">
      <c r="A1180" s="3"/>
      <c r="B1180" s="7"/>
      <c r="C1180" s="3"/>
      <c r="D1180" s="3"/>
      <c r="E1180" s="3"/>
      <c r="F1180" s="3"/>
      <c r="G1180" s="3"/>
      <c r="H1180" s="4"/>
      <c r="I1180" s="4"/>
      <c r="J1180" s="3"/>
      <c r="K1180" s="8" t="str">
        <f t="shared" si="18"/>
        <v/>
      </c>
      <c r="L1180" s="1" t="str">
        <f>IF(COUNTA(A1180:J1180)=0,"",IF(OR(AND(C1180&lt;&gt;"Gasto",C1180&lt;&gt;"Pago proveedor",C1180&lt;&gt;"Retiro familiar",C1180&lt;&gt;"Aportación",C1180&lt;&gt;"Pago activo",C1180&lt;&gt;"ISR devengado",C1180&lt;&gt;"Pago ISR",C1180&lt;&gt;"Pago IVA",C1180&lt;&gt;"Compensación ISR",C1180&lt;&gt;"Compensación IVA"),AND(C1180="Gasto",D1180&lt;&gt;"Costos clínicos",D1180&lt;&gt;"Remuneración familiar",D1180&lt;&gt;"Nómina y honorarios",D1180&lt;&gt;"Renta",D1180&lt;&gt;"Marketing",D1180&lt;&gt;"Servicios y software",D1180&lt;&gt;"Mantenimiento",D1180&lt;&gt;"Otros",D1180&lt;&gt;"Intereses")),"Tipo o categoría inválido",IF(COUNTA(A1180:J1180)=0,"",IF(OR(A1180="",B1180="",C1180="",H1180=""),"Faltan datos",IF(COUNTIF($A$7:$A$2006,A1180)&gt;1,"ID duplicado",IF(OR(B1180&lt;DATE(Configuración!$C$5,1,1),B1180&gt;=DATE(Configuración!$C$5+1,1,1)),"Fecha fuera del año",IF(OR(H1180&lt;0,I1180&lt;0),"Revisar signo",IF(AND(C1180&lt;&gt;"Gasto",I1180&lt;&gt;0),"IVA solo en Gasto",IF(AND(C1180="Gasto",D1180=""),"Falta categoría","OK")))))))))</f>
        <v/>
      </c>
    </row>
    <row r="1181" spans="1:12" ht="22" customHeight="1">
      <c r="A1181" s="3"/>
      <c r="B1181" s="7"/>
      <c r="C1181" s="3"/>
      <c r="D1181" s="3"/>
      <c r="E1181" s="3"/>
      <c r="F1181" s="3"/>
      <c r="G1181" s="3"/>
      <c r="H1181" s="4"/>
      <c r="I1181" s="4"/>
      <c r="J1181" s="3"/>
      <c r="K1181" s="8" t="str">
        <f t="shared" si="18"/>
        <v/>
      </c>
      <c r="L1181" s="1" t="str">
        <f>IF(COUNTA(A1181:J1181)=0,"",IF(OR(AND(C1181&lt;&gt;"Gasto",C1181&lt;&gt;"Pago proveedor",C1181&lt;&gt;"Retiro familiar",C1181&lt;&gt;"Aportación",C1181&lt;&gt;"Pago activo",C1181&lt;&gt;"ISR devengado",C1181&lt;&gt;"Pago ISR",C1181&lt;&gt;"Pago IVA",C1181&lt;&gt;"Compensación ISR",C1181&lt;&gt;"Compensación IVA"),AND(C1181="Gasto",D1181&lt;&gt;"Costos clínicos",D1181&lt;&gt;"Remuneración familiar",D1181&lt;&gt;"Nómina y honorarios",D1181&lt;&gt;"Renta",D1181&lt;&gt;"Marketing",D1181&lt;&gt;"Servicios y software",D1181&lt;&gt;"Mantenimiento",D1181&lt;&gt;"Otros",D1181&lt;&gt;"Intereses")),"Tipo o categoría inválido",IF(COUNTA(A1181:J1181)=0,"",IF(OR(A1181="",B1181="",C1181="",H1181=""),"Faltan datos",IF(COUNTIF($A$7:$A$2006,A1181)&gt;1,"ID duplicado",IF(OR(B1181&lt;DATE(Configuración!$C$5,1,1),B1181&gt;=DATE(Configuración!$C$5+1,1,1)),"Fecha fuera del año",IF(OR(H1181&lt;0,I1181&lt;0),"Revisar signo",IF(AND(C1181&lt;&gt;"Gasto",I1181&lt;&gt;0),"IVA solo en Gasto",IF(AND(C1181="Gasto",D1181=""),"Falta categoría","OK")))))))))</f>
        <v/>
      </c>
    </row>
    <row r="1182" spans="1:12" ht="22" customHeight="1">
      <c r="A1182" s="3"/>
      <c r="B1182" s="7"/>
      <c r="C1182" s="3"/>
      <c r="D1182" s="3"/>
      <c r="E1182" s="3"/>
      <c r="F1182" s="3"/>
      <c r="G1182" s="3"/>
      <c r="H1182" s="4"/>
      <c r="I1182" s="4"/>
      <c r="J1182" s="3"/>
      <c r="K1182" s="8" t="str">
        <f t="shared" si="18"/>
        <v/>
      </c>
      <c r="L1182" s="1" t="str">
        <f>IF(COUNTA(A1182:J1182)=0,"",IF(OR(AND(C1182&lt;&gt;"Gasto",C1182&lt;&gt;"Pago proveedor",C1182&lt;&gt;"Retiro familiar",C1182&lt;&gt;"Aportación",C1182&lt;&gt;"Pago activo",C1182&lt;&gt;"ISR devengado",C1182&lt;&gt;"Pago ISR",C1182&lt;&gt;"Pago IVA",C1182&lt;&gt;"Compensación ISR",C1182&lt;&gt;"Compensación IVA"),AND(C1182="Gasto",D1182&lt;&gt;"Costos clínicos",D1182&lt;&gt;"Remuneración familiar",D1182&lt;&gt;"Nómina y honorarios",D1182&lt;&gt;"Renta",D1182&lt;&gt;"Marketing",D1182&lt;&gt;"Servicios y software",D1182&lt;&gt;"Mantenimiento",D1182&lt;&gt;"Otros",D1182&lt;&gt;"Intereses")),"Tipo o categoría inválido",IF(COUNTA(A1182:J1182)=0,"",IF(OR(A1182="",B1182="",C1182="",H1182=""),"Faltan datos",IF(COUNTIF($A$7:$A$2006,A1182)&gt;1,"ID duplicado",IF(OR(B1182&lt;DATE(Configuración!$C$5,1,1),B1182&gt;=DATE(Configuración!$C$5+1,1,1)),"Fecha fuera del año",IF(OR(H1182&lt;0,I1182&lt;0),"Revisar signo",IF(AND(C1182&lt;&gt;"Gasto",I1182&lt;&gt;0),"IVA solo en Gasto",IF(AND(C1182="Gasto",D1182=""),"Falta categoría","OK")))))))))</f>
        <v/>
      </c>
    </row>
    <row r="1183" spans="1:12" ht="22" customHeight="1">
      <c r="A1183" s="3"/>
      <c r="B1183" s="7"/>
      <c r="C1183" s="3"/>
      <c r="D1183" s="3"/>
      <c r="E1183" s="3"/>
      <c r="F1183" s="3"/>
      <c r="G1183" s="3"/>
      <c r="H1183" s="4"/>
      <c r="I1183" s="4"/>
      <c r="J1183" s="3"/>
      <c r="K1183" s="8" t="str">
        <f t="shared" si="18"/>
        <v/>
      </c>
      <c r="L1183" s="1" t="str">
        <f>IF(COUNTA(A1183:J1183)=0,"",IF(OR(AND(C1183&lt;&gt;"Gasto",C1183&lt;&gt;"Pago proveedor",C1183&lt;&gt;"Retiro familiar",C1183&lt;&gt;"Aportación",C1183&lt;&gt;"Pago activo",C1183&lt;&gt;"ISR devengado",C1183&lt;&gt;"Pago ISR",C1183&lt;&gt;"Pago IVA",C1183&lt;&gt;"Compensación ISR",C1183&lt;&gt;"Compensación IVA"),AND(C1183="Gasto",D1183&lt;&gt;"Costos clínicos",D1183&lt;&gt;"Remuneración familiar",D1183&lt;&gt;"Nómina y honorarios",D1183&lt;&gt;"Renta",D1183&lt;&gt;"Marketing",D1183&lt;&gt;"Servicios y software",D1183&lt;&gt;"Mantenimiento",D1183&lt;&gt;"Otros",D1183&lt;&gt;"Intereses")),"Tipo o categoría inválido",IF(COUNTA(A1183:J1183)=0,"",IF(OR(A1183="",B1183="",C1183="",H1183=""),"Faltan datos",IF(COUNTIF($A$7:$A$2006,A1183)&gt;1,"ID duplicado",IF(OR(B1183&lt;DATE(Configuración!$C$5,1,1),B1183&gt;=DATE(Configuración!$C$5+1,1,1)),"Fecha fuera del año",IF(OR(H1183&lt;0,I1183&lt;0),"Revisar signo",IF(AND(C1183&lt;&gt;"Gasto",I1183&lt;&gt;0),"IVA solo en Gasto",IF(AND(C1183="Gasto",D1183=""),"Falta categoría","OK")))))))))</f>
        <v/>
      </c>
    </row>
    <row r="1184" spans="1:12" ht="22" customHeight="1">
      <c r="A1184" s="3"/>
      <c r="B1184" s="7"/>
      <c r="C1184" s="3"/>
      <c r="D1184" s="3"/>
      <c r="E1184" s="3"/>
      <c r="F1184" s="3"/>
      <c r="G1184" s="3"/>
      <c r="H1184" s="4"/>
      <c r="I1184" s="4"/>
      <c r="J1184" s="3"/>
      <c r="K1184" s="8" t="str">
        <f t="shared" si="18"/>
        <v/>
      </c>
      <c r="L1184" s="1" t="str">
        <f>IF(COUNTA(A1184:J1184)=0,"",IF(OR(AND(C1184&lt;&gt;"Gasto",C1184&lt;&gt;"Pago proveedor",C1184&lt;&gt;"Retiro familiar",C1184&lt;&gt;"Aportación",C1184&lt;&gt;"Pago activo",C1184&lt;&gt;"ISR devengado",C1184&lt;&gt;"Pago ISR",C1184&lt;&gt;"Pago IVA",C1184&lt;&gt;"Compensación ISR",C1184&lt;&gt;"Compensación IVA"),AND(C1184="Gasto",D1184&lt;&gt;"Costos clínicos",D1184&lt;&gt;"Remuneración familiar",D1184&lt;&gt;"Nómina y honorarios",D1184&lt;&gt;"Renta",D1184&lt;&gt;"Marketing",D1184&lt;&gt;"Servicios y software",D1184&lt;&gt;"Mantenimiento",D1184&lt;&gt;"Otros",D1184&lt;&gt;"Intereses")),"Tipo o categoría inválido",IF(COUNTA(A1184:J1184)=0,"",IF(OR(A1184="",B1184="",C1184="",H1184=""),"Faltan datos",IF(COUNTIF($A$7:$A$2006,A1184)&gt;1,"ID duplicado",IF(OR(B1184&lt;DATE(Configuración!$C$5,1,1),B1184&gt;=DATE(Configuración!$C$5+1,1,1)),"Fecha fuera del año",IF(OR(H1184&lt;0,I1184&lt;0),"Revisar signo",IF(AND(C1184&lt;&gt;"Gasto",I1184&lt;&gt;0),"IVA solo en Gasto",IF(AND(C1184="Gasto",D1184=""),"Falta categoría","OK")))))))))</f>
        <v/>
      </c>
    </row>
    <row r="1185" spans="1:12" ht="22" customHeight="1">
      <c r="A1185" s="3"/>
      <c r="B1185" s="7"/>
      <c r="C1185" s="3"/>
      <c r="D1185" s="3"/>
      <c r="E1185" s="3"/>
      <c r="F1185" s="3"/>
      <c r="G1185" s="3"/>
      <c r="H1185" s="4"/>
      <c r="I1185" s="4"/>
      <c r="J1185" s="3"/>
      <c r="K1185" s="8" t="str">
        <f t="shared" si="18"/>
        <v/>
      </c>
      <c r="L1185" s="1" t="str">
        <f>IF(COUNTA(A1185:J1185)=0,"",IF(OR(AND(C1185&lt;&gt;"Gasto",C1185&lt;&gt;"Pago proveedor",C1185&lt;&gt;"Retiro familiar",C1185&lt;&gt;"Aportación",C1185&lt;&gt;"Pago activo",C1185&lt;&gt;"ISR devengado",C1185&lt;&gt;"Pago ISR",C1185&lt;&gt;"Pago IVA",C1185&lt;&gt;"Compensación ISR",C1185&lt;&gt;"Compensación IVA"),AND(C1185="Gasto",D1185&lt;&gt;"Costos clínicos",D1185&lt;&gt;"Remuneración familiar",D1185&lt;&gt;"Nómina y honorarios",D1185&lt;&gt;"Renta",D1185&lt;&gt;"Marketing",D1185&lt;&gt;"Servicios y software",D1185&lt;&gt;"Mantenimiento",D1185&lt;&gt;"Otros",D1185&lt;&gt;"Intereses")),"Tipo o categoría inválido",IF(COUNTA(A1185:J1185)=0,"",IF(OR(A1185="",B1185="",C1185="",H1185=""),"Faltan datos",IF(COUNTIF($A$7:$A$2006,A1185)&gt;1,"ID duplicado",IF(OR(B1185&lt;DATE(Configuración!$C$5,1,1),B1185&gt;=DATE(Configuración!$C$5+1,1,1)),"Fecha fuera del año",IF(OR(H1185&lt;0,I1185&lt;0),"Revisar signo",IF(AND(C1185&lt;&gt;"Gasto",I1185&lt;&gt;0),"IVA solo en Gasto",IF(AND(C1185="Gasto",D1185=""),"Falta categoría","OK")))))))))</f>
        <v/>
      </c>
    </row>
    <row r="1186" spans="1:12" ht="22" customHeight="1">
      <c r="A1186" s="3"/>
      <c r="B1186" s="7"/>
      <c r="C1186" s="3"/>
      <c r="D1186" s="3"/>
      <c r="E1186" s="3"/>
      <c r="F1186" s="3"/>
      <c r="G1186" s="3"/>
      <c r="H1186" s="4"/>
      <c r="I1186" s="4"/>
      <c r="J1186" s="3"/>
      <c r="K1186" s="8" t="str">
        <f t="shared" si="18"/>
        <v/>
      </c>
      <c r="L1186" s="1" t="str">
        <f>IF(COUNTA(A1186:J1186)=0,"",IF(OR(AND(C1186&lt;&gt;"Gasto",C1186&lt;&gt;"Pago proveedor",C1186&lt;&gt;"Retiro familiar",C1186&lt;&gt;"Aportación",C1186&lt;&gt;"Pago activo",C1186&lt;&gt;"ISR devengado",C1186&lt;&gt;"Pago ISR",C1186&lt;&gt;"Pago IVA",C1186&lt;&gt;"Compensación ISR",C1186&lt;&gt;"Compensación IVA"),AND(C1186="Gasto",D1186&lt;&gt;"Costos clínicos",D1186&lt;&gt;"Remuneración familiar",D1186&lt;&gt;"Nómina y honorarios",D1186&lt;&gt;"Renta",D1186&lt;&gt;"Marketing",D1186&lt;&gt;"Servicios y software",D1186&lt;&gt;"Mantenimiento",D1186&lt;&gt;"Otros",D1186&lt;&gt;"Intereses")),"Tipo o categoría inválido",IF(COUNTA(A1186:J1186)=0,"",IF(OR(A1186="",B1186="",C1186="",H1186=""),"Faltan datos",IF(COUNTIF($A$7:$A$2006,A1186)&gt;1,"ID duplicado",IF(OR(B1186&lt;DATE(Configuración!$C$5,1,1),B1186&gt;=DATE(Configuración!$C$5+1,1,1)),"Fecha fuera del año",IF(OR(H1186&lt;0,I1186&lt;0),"Revisar signo",IF(AND(C1186&lt;&gt;"Gasto",I1186&lt;&gt;0),"IVA solo en Gasto",IF(AND(C1186="Gasto",D1186=""),"Falta categoría","OK")))))))))</f>
        <v/>
      </c>
    </row>
    <row r="1187" spans="1:12" ht="22" customHeight="1">
      <c r="A1187" s="3"/>
      <c r="B1187" s="7"/>
      <c r="C1187" s="3"/>
      <c r="D1187" s="3"/>
      <c r="E1187" s="3"/>
      <c r="F1187" s="3"/>
      <c r="G1187" s="3"/>
      <c r="H1187" s="4"/>
      <c r="I1187" s="4"/>
      <c r="J1187" s="3"/>
      <c r="K1187" s="8" t="str">
        <f t="shared" si="18"/>
        <v/>
      </c>
      <c r="L1187" s="1" t="str">
        <f>IF(COUNTA(A1187:J1187)=0,"",IF(OR(AND(C1187&lt;&gt;"Gasto",C1187&lt;&gt;"Pago proveedor",C1187&lt;&gt;"Retiro familiar",C1187&lt;&gt;"Aportación",C1187&lt;&gt;"Pago activo",C1187&lt;&gt;"ISR devengado",C1187&lt;&gt;"Pago ISR",C1187&lt;&gt;"Pago IVA",C1187&lt;&gt;"Compensación ISR",C1187&lt;&gt;"Compensación IVA"),AND(C1187="Gasto",D1187&lt;&gt;"Costos clínicos",D1187&lt;&gt;"Remuneración familiar",D1187&lt;&gt;"Nómina y honorarios",D1187&lt;&gt;"Renta",D1187&lt;&gt;"Marketing",D1187&lt;&gt;"Servicios y software",D1187&lt;&gt;"Mantenimiento",D1187&lt;&gt;"Otros",D1187&lt;&gt;"Intereses")),"Tipo o categoría inválido",IF(COUNTA(A1187:J1187)=0,"",IF(OR(A1187="",B1187="",C1187="",H1187=""),"Faltan datos",IF(COUNTIF($A$7:$A$2006,A1187)&gt;1,"ID duplicado",IF(OR(B1187&lt;DATE(Configuración!$C$5,1,1),B1187&gt;=DATE(Configuración!$C$5+1,1,1)),"Fecha fuera del año",IF(OR(H1187&lt;0,I1187&lt;0),"Revisar signo",IF(AND(C1187&lt;&gt;"Gasto",I1187&lt;&gt;0),"IVA solo en Gasto",IF(AND(C1187="Gasto",D1187=""),"Falta categoría","OK")))))))))</f>
        <v/>
      </c>
    </row>
    <row r="1188" spans="1:12" ht="22" customHeight="1">
      <c r="A1188" s="3"/>
      <c r="B1188" s="7"/>
      <c r="C1188" s="3"/>
      <c r="D1188" s="3"/>
      <c r="E1188" s="3"/>
      <c r="F1188" s="3"/>
      <c r="G1188" s="3"/>
      <c r="H1188" s="4"/>
      <c r="I1188" s="4"/>
      <c r="J1188" s="3"/>
      <c r="K1188" s="8" t="str">
        <f t="shared" si="18"/>
        <v/>
      </c>
      <c r="L1188" s="1" t="str">
        <f>IF(COUNTA(A1188:J1188)=0,"",IF(OR(AND(C1188&lt;&gt;"Gasto",C1188&lt;&gt;"Pago proveedor",C1188&lt;&gt;"Retiro familiar",C1188&lt;&gt;"Aportación",C1188&lt;&gt;"Pago activo",C1188&lt;&gt;"ISR devengado",C1188&lt;&gt;"Pago ISR",C1188&lt;&gt;"Pago IVA",C1188&lt;&gt;"Compensación ISR",C1188&lt;&gt;"Compensación IVA"),AND(C1188="Gasto",D1188&lt;&gt;"Costos clínicos",D1188&lt;&gt;"Remuneración familiar",D1188&lt;&gt;"Nómina y honorarios",D1188&lt;&gt;"Renta",D1188&lt;&gt;"Marketing",D1188&lt;&gt;"Servicios y software",D1188&lt;&gt;"Mantenimiento",D1188&lt;&gt;"Otros",D1188&lt;&gt;"Intereses")),"Tipo o categoría inválido",IF(COUNTA(A1188:J1188)=0,"",IF(OR(A1188="",B1188="",C1188="",H1188=""),"Faltan datos",IF(COUNTIF($A$7:$A$2006,A1188)&gt;1,"ID duplicado",IF(OR(B1188&lt;DATE(Configuración!$C$5,1,1),B1188&gt;=DATE(Configuración!$C$5+1,1,1)),"Fecha fuera del año",IF(OR(H1188&lt;0,I1188&lt;0),"Revisar signo",IF(AND(C1188&lt;&gt;"Gasto",I1188&lt;&gt;0),"IVA solo en Gasto",IF(AND(C1188="Gasto",D1188=""),"Falta categoría","OK")))))))))</f>
        <v/>
      </c>
    </row>
    <row r="1189" spans="1:12" ht="22" customHeight="1">
      <c r="A1189" s="3"/>
      <c r="B1189" s="7"/>
      <c r="C1189" s="3"/>
      <c r="D1189" s="3"/>
      <c r="E1189" s="3"/>
      <c r="F1189" s="3"/>
      <c r="G1189" s="3"/>
      <c r="H1189" s="4"/>
      <c r="I1189" s="4"/>
      <c r="J1189" s="3"/>
      <c r="K1189" s="8" t="str">
        <f t="shared" si="18"/>
        <v/>
      </c>
      <c r="L1189" s="1" t="str">
        <f>IF(COUNTA(A1189:J1189)=0,"",IF(OR(AND(C1189&lt;&gt;"Gasto",C1189&lt;&gt;"Pago proveedor",C1189&lt;&gt;"Retiro familiar",C1189&lt;&gt;"Aportación",C1189&lt;&gt;"Pago activo",C1189&lt;&gt;"ISR devengado",C1189&lt;&gt;"Pago ISR",C1189&lt;&gt;"Pago IVA",C1189&lt;&gt;"Compensación ISR",C1189&lt;&gt;"Compensación IVA"),AND(C1189="Gasto",D1189&lt;&gt;"Costos clínicos",D1189&lt;&gt;"Remuneración familiar",D1189&lt;&gt;"Nómina y honorarios",D1189&lt;&gt;"Renta",D1189&lt;&gt;"Marketing",D1189&lt;&gt;"Servicios y software",D1189&lt;&gt;"Mantenimiento",D1189&lt;&gt;"Otros",D1189&lt;&gt;"Intereses")),"Tipo o categoría inválido",IF(COUNTA(A1189:J1189)=0,"",IF(OR(A1189="",B1189="",C1189="",H1189=""),"Faltan datos",IF(COUNTIF($A$7:$A$2006,A1189)&gt;1,"ID duplicado",IF(OR(B1189&lt;DATE(Configuración!$C$5,1,1),B1189&gt;=DATE(Configuración!$C$5+1,1,1)),"Fecha fuera del año",IF(OR(H1189&lt;0,I1189&lt;0),"Revisar signo",IF(AND(C1189&lt;&gt;"Gasto",I1189&lt;&gt;0),"IVA solo en Gasto",IF(AND(C1189="Gasto",D1189=""),"Falta categoría","OK")))))))))</f>
        <v/>
      </c>
    </row>
    <row r="1190" spans="1:12" ht="22" customHeight="1">
      <c r="A1190" s="3"/>
      <c r="B1190" s="7"/>
      <c r="C1190" s="3"/>
      <c r="D1190" s="3"/>
      <c r="E1190" s="3"/>
      <c r="F1190" s="3"/>
      <c r="G1190" s="3"/>
      <c r="H1190" s="4"/>
      <c r="I1190" s="4"/>
      <c r="J1190" s="3"/>
      <c r="K1190" s="8" t="str">
        <f t="shared" si="18"/>
        <v/>
      </c>
      <c r="L1190" s="1" t="str">
        <f>IF(COUNTA(A1190:J1190)=0,"",IF(OR(AND(C1190&lt;&gt;"Gasto",C1190&lt;&gt;"Pago proveedor",C1190&lt;&gt;"Retiro familiar",C1190&lt;&gt;"Aportación",C1190&lt;&gt;"Pago activo",C1190&lt;&gt;"ISR devengado",C1190&lt;&gt;"Pago ISR",C1190&lt;&gt;"Pago IVA",C1190&lt;&gt;"Compensación ISR",C1190&lt;&gt;"Compensación IVA"),AND(C1190="Gasto",D1190&lt;&gt;"Costos clínicos",D1190&lt;&gt;"Remuneración familiar",D1190&lt;&gt;"Nómina y honorarios",D1190&lt;&gt;"Renta",D1190&lt;&gt;"Marketing",D1190&lt;&gt;"Servicios y software",D1190&lt;&gt;"Mantenimiento",D1190&lt;&gt;"Otros",D1190&lt;&gt;"Intereses")),"Tipo o categoría inválido",IF(COUNTA(A1190:J1190)=0,"",IF(OR(A1190="",B1190="",C1190="",H1190=""),"Faltan datos",IF(COUNTIF($A$7:$A$2006,A1190)&gt;1,"ID duplicado",IF(OR(B1190&lt;DATE(Configuración!$C$5,1,1),B1190&gt;=DATE(Configuración!$C$5+1,1,1)),"Fecha fuera del año",IF(OR(H1190&lt;0,I1190&lt;0),"Revisar signo",IF(AND(C1190&lt;&gt;"Gasto",I1190&lt;&gt;0),"IVA solo en Gasto",IF(AND(C1190="Gasto",D1190=""),"Falta categoría","OK")))))))))</f>
        <v/>
      </c>
    </row>
    <row r="1191" spans="1:12" ht="22" customHeight="1">
      <c r="A1191" s="3"/>
      <c r="B1191" s="7"/>
      <c r="C1191" s="3"/>
      <c r="D1191" s="3"/>
      <c r="E1191" s="3"/>
      <c r="F1191" s="3"/>
      <c r="G1191" s="3"/>
      <c r="H1191" s="4"/>
      <c r="I1191" s="4"/>
      <c r="J1191" s="3"/>
      <c r="K1191" s="8" t="str">
        <f t="shared" si="18"/>
        <v/>
      </c>
      <c r="L1191" s="1" t="str">
        <f>IF(COUNTA(A1191:J1191)=0,"",IF(OR(AND(C1191&lt;&gt;"Gasto",C1191&lt;&gt;"Pago proveedor",C1191&lt;&gt;"Retiro familiar",C1191&lt;&gt;"Aportación",C1191&lt;&gt;"Pago activo",C1191&lt;&gt;"ISR devengado",C1191&lt;&gt;"Pago ISR",C1191&lt;&gt;"Pago IVA",C1191&lt;&gt;"Compensación ISR",C1191&lt;&gt;"Compensación IVA"),AND(C1191="Gasto",D1191&lt;&gt;"Costos clínicos",D1191&lt;&gt;"Remuneración familiar",D1191&lt;&gt;"Nómina y honorarios",D1191&lt;&gt;"Renta",D1191&lt;&gt;"Marketing",D1191&lt;&gt;"Servicios y software",D1191&lt;&gt;"Mantenimiento",D1191&lt;&gt;"Otros",D1191&lt;&gt;"Intereses")),"Tipo o categoría inválido",IF(COUNTA(A1191:J1191)=0,"",IF(OR(A1191="",B1191="",C1191="",H1191=""),"Faltan datos",IF(COUNTIF($A$7:$A$2006,A1191)&gt;1,"ID duplicado",IF(OR(B1191&lt;DATE(Configuración!$C$5,1,1),B1191&gt;=DATE(Configuración!$C$5+1,1,1)),"Fecha fuera del año",IF(OR(H1191&lt;0,I1191&lt;0),"Revisar signo",IF(AND(C1191&lt;&gt;"Gasto",I1191&lt;&gt;0),"IVA solo en Gasto",IF(AND(C1191="Gasto",D1191=""),"Falta categoría","OK")))))))))</f>
        <v/>
      </c>
    </row>
    <row r="1192" spans="1:12" ht="22" customHeight="1">
      <c r="A1192" s="3"/>
      <c r="B1192" s="7"/>
      <c r="C1192" s="3"/>
      <c r="D1192" s="3"/>
      <c r="E1192" s="3"/>
      <c r="F1192" s="3"/>
      <c r="G1192" s="3"/>
      <c r="H1192" s="4"/>
      <c r="I1192" s="4"/>
      <c r="J1192" s="3"/>
      <c r="K1192" s="8" t="str">
        <f t="shared" si="18"/>
        <v/>
      </c>
      <c r="L1192" s="1" t="str">
        <f>IF(COUNTA(A1192:J1192)=0,"",IF(OR(AND(C1192&lt;&gt;"Gasto",C1192&lt;&gt;"Pago proveedor",C1192&lt;&gt;"Retiro familiar",C1192&lt;&gt;"Aportación",C1192&lt;&gt;"Pago activo",C1192&lt;&gt;"ISR devengado",C1192&lt;&gt;"Pago ISR",C1192&lt;&gt;"Pago IVA",C1192&lt;&gt;"Compensación ISR",C1192&lt;&gt;"Compensación IVA"),AND(C1192="Gasto",D1192&lt;&gt;"Costos clínicos",D1192&lt;&gt;"Remuneración familiar",D1192&lt;&gt;"Nómina y honorarios",D1192&lt;&gt;"Renta",D1192&lt;&gt;"Marketing",D1192&lt;&gt;"Servicios y software",D1192&lt;&gt;"Mantenimiento",D1192&lt;&gt;"Otros",D1192&lt;&gt;"Intereses")),"Tipo o categoría inválido",IF(COUNTA(A1192:J1192)=0,"",IF(OR(A1192="",B1192="",C1192="",H1192=""),"Faltan datos",IF(COUNTIF($A$7:$A$2006,A1192)&gt;1,"ID duplicado",IF(OR(B1192&lt;DATE(Configuración!$C$5,1,1),B1192&gt;=DATE(Configuración!$C$5+1,1,1)),"Fecha fuera del año",IF(OR(H1192&lt;0,I1192&lt;0),"Revisar signo",IF(AND(C1192&lt;&gt;"Gasto",I1192&lt;&gt;0),"IVA solo en Gasto",IF(AND(C1192="Gasto",D1192=""),"Falta categoría","OK")))))))))</f>
        <v/>
      </c>
    </row>
    <row r="1193" spans="1:12" ht="22" customHeight="1">
      <c r="A1193" s="3"/>
      <c r="B1193" s="7"/>
      <c r="C1193" s="3"/>
      <c r="D1193" s="3"/>
      <c r="E1193" s="3"/>
      <c r="F1193" s="3"/>
      <c r="G1193" s="3"/>
      <c r="H1193" s="4"/>
      <c r="I1193" s="4"/>
      <c r="J1193" s="3"/>
      <c r="K1193" s="8" t="str">
        <f t="shared" si="18"/>
        <v/>
      </c>
      <c r="L1193" s="1" t="str">
        <f>IF(COUNTA(A1193:J1193)=0,"",IF(OR(AND(C1193&lt;&gt;"Gasto",C1193&lt;&gt;"Pago proveedor",C1193&lt;&gt;"Retiro familiar",C1193&lt;&gt;"Aportación",C1193&lt;&gt;"Pago activo",C1193&lt;&gt;"ISR devengado",C1193&lt;&gt;"Pago ISR",C1193&lt;&gt;"Pago IVA",C1193&lt;&gt;"Compensación ISR",C1193&lt;&gt;"Compensación IVA"),AND(C1193="Gasto",D1193&lt;&gt;"Costos clínicos",D1193&lt;&gt;"Remuneración familiar",D1193&lt;&gt;"Nómina y honorarios",D1193&lt;&gt;"Renta",D1193&lt;&gt;"Marketing",D1193&lt;&gt;"Servicios y software",D1193&lt;&gt;"Mantenimiento",D1193&lt;&gt;"Otros",D1193&lt;&gt;"Intereses")),"Tipo o categoría inválido",IF(COUNTA(A1193:J1193)=0,"",IF(OR(A1193="",B1193="",C1193="",H1193=""),"Faltan datos",IF(COUNTIF($A$7:$A$2006,A1193)&gt;1,"ID duplicado",IF(OR(B1193&lt;DATE(Configuración!$C$5,1,1),B1193&gt;=DATE(Configuración!$C$5+1,1,1)),"Fecha fuera del año",IF(OR(H1193&lt;0,I1193&lt;0),"Revisar signo",IF(AND(C1193&lt;&gt;"Gasto",I1193&lt;&gt;0),"IVA solo en Gasto",IF(AND(C1193="Gasto",D1193=""),"Falta categoría","OK")))))))))</f>
        <v/>
      </c>
    </row>
    <row r="1194" spans="1:12" ht="22" customHeight="1">
      <c r="A1194" s="3"/>
      <c r="B1194" s="7"/>
      <c r="C1194" s="3"/>
      <c r="D1194" s="3"/>
      <c r="E1194" s="3"/>
      <c r="F1194" s="3"/>
      <c r="G1194" s="3"/>
      <c r="H1194" s="4"/>
      <c r="I1194" s="4"/>
      <c r="J1194" s="3"/>
      <c r="K1194" s="8" t="str">
        <f t="shared" si="18"/>
        <v/>
      </c>
      <c r="L1194" s="1" t="str">
        <f>IF(COUNTA(A1194:J1194)=0,"",IF(OR(AND(C1194&lt;&gt;"Gasto",C1194&lt;&gt;"Pago proveedor",C1194&lt;&gt;"Retiro familiar",C1194&lt;&gt;"Aportación",C1194&lt;&gt;"Pago activo",C1194&lt;&gt;"ISR devengado",C1194&lt;&gt;"Pago ISR",C1194&lt;&gt;"Pago IVA",C1194&lt;&gt;"Compensación ISR",C1194&lt;&gt;"Compensación IVA"),AND(C1194="Gasto",D1194&lt;&gt;"Costos clínicos",D1194&lt;&gt;"Remuneración familiar",D1194&lt;&gt;"Nómina y honorarios",D1194&lt;&gt;"Renta",D1194&lt;&gt;"Marketing",D1194&lt;&gt;"Servicios y software",D1194&lt;&gt;"Mantenimiento",D1194&lt;&gt;"Otros",D1194&lt;&gt;"Intereses")),"Tipo o categoría inválido",IF(COUNTA(A1194:J1194)=0,"",IF(OR(A1194="",B1194="",C1194="",H1194=""),"Faltan datos",IF(COUNTIF($A$7:$A$2006,A1194)&gt;1,"ID duplicado",IF(OR(B1194&lt;DATE(Configuración!$C$5,1,1),B1194&gt;=DATE(Configuración!$C$5+1,1,1)),"Fecha fuera del año",IF(OR(H1194&lt;0,I1194&lt;0),"Revisar signo",IF(AND(C1194&lt;&gt;"Gasto",I1194&lt;&gt;0),"IVA solo en Gasto",IF(AND(C1194="Gasto",D1194=""),"Falta categoría","OK")))))))))</f>
        <v/>
      </c>
    </row>
    <row r="1195" spans="1:12" ht="22" customHeight="1">
      <c r="A1195" s="3"/>
      <c r="B1195" s="7"/>
      <c r="C1195" s="3"/>
      <c r="D1195" s="3"/>
      <c r="E1195" s="3"/>
      <c r="F1195" s="3"/>
      <c r="G1195" s="3"/>
      <c r="H1195" s="4"/>
      <c r="I1195" s="4"/>
      <c r="J1195" s="3"/>
      <c r="K1195" s="8" t="str">
        <f t="shared" si="18"/>
        <v/>
      </c>
      <c r="L1195" s="1" t="str">
        <f>IF(COUNTA(A1195:J1195)=0,"",IF(OR(AND(C1195&lt;&gt;"Gasto",C1195&lt;&gt;"Pago proveedor",C1195&lt;&gt;"Retiro familiar",C1195&lt;&gt;"Aportación",C1195&lt;&gt;"Pago activo",C1195&lt;&gt;"ISR devengado",C1195&lt;&gt;"Pago ISR",C1195&lt;&gt;"Pago IVA",C1195&lt;&gt;"Compensación ISR",C1195&lt;&gt;"Compensación IVA"),AND(C1195="Gasto",D1195&lt;&gt;"Costos clínicos",D1195&lt;&gt;"Remuneración familiar",D1195&lt;&gt;"Nómina y honorarios",D1195&lt;&gt;"Renta",D1195&lt;&gt;"Marketing",D1195&lt;&gt;"Servicios y software",D1195&lt;&gt;"Mantenimiento",D1195&lt;&gt;"Otros",D1195&lt;&gt;"Intereses")),"Tipo o categoría inválido",IF(COUNTA(A1195:J1195)=0,"",IF(OR(A1195="",B1195="",C1195="",H1195=""),"Faltan datos",IF(COUNTIF($A$7:$A$2006,A1195)&gt;1,"ID duplicado",IF(OR(B1195&lt;DATE(Configuración!$C$5,1,1),B1195&gt;=DATE(Configuración!$C$5+1,1,1)),"Fecha fuera del año",IF(OR(H1195&lt;0,I1195&lt;0),"Revisar signo",IF(AND(C1195&lt;&gt;"Gasto",I1195&lt;&gt;0),"IVA solo en Gasto",IF(AND(C1195="Gasto",D1195=""),"Falta categoría","OK")))))))))</f>
        <v/>
      </c>
    </row>
    <row r="1196" spans="1:12" ht="22" customHeight="1">
      <c r="A1196" s="3"/>
      <c r="B1196" s="7"/>
      <c r="C1196" s="3"/>
      <c r="D1196" s="3"/>
      <c r="E1196" s="3"/>
      <c r="F1196" s="3"/>
      <c r="G1196" s="3"/>
      <c r="H1196" s="4"/>
      <c r="I1196" s="4"/>
      <c r="J1196" s="3"/>
      <c r="K1196" s="8" t="str">
        <f t="shared" si="18"/>
        <v/>
      </c>
      <c r="L1196" s="1" t="str">
        <f>IF(COUNTA(A1196:J1196)=0,"",IF(OR(AND(C1196&lt;&gt;"Gasto",C1196&lt;&gt;"Pago proveedor",C1196&lt;&gt;"Retiro familiar",C1196&lt;&gt;"Aportación",C1196&lt;&gt;"Pago activo",C1196&lt;&gt;"ISR devengado",C1196&lt;&gt;"Pago ISR",C1196&lt;&gt;"Pago IVA",C1196&lt;&gt;"Compensación ISR",C1196&lt;&gt;"Compensación IVA"),AND(C1196="Gasto",D1196&lt;&gt;"Costos clínicos",D1196&lt;&gt;"Remuneración familiar",D1196&lt;&gt;"Nómina y honorarios",D1196&lt;&gt;"Renta",D1196&lt;&gt;"Marketing",D1196&lt;&gt;"Servicios y software",D1196&lt;&gt;"Mantenimiento",D1196&lt;&gt;"Otros",D1196&lt;&gt;"Intereses")),"Tipo o categoría inválido",IF(COUNTA(A1196:J1196)=0,"",IF(OR(A1196="",B1196="",C1196="",H1196=""),"Faltan datos",IF(COUNTIF($A$7:$A$2006,A1196)&gt;1,"ID duplicado",IF(OR(B1196&lt;DATE(Configuración!$C$5,1,1),B1196&gt;=DATE(Configuración!$C$5+1,1,1)),"Fecha fuera del año",IF(OR(H1196&lt;0,I1196&lt;0),"Revisar signo",IF(AND(C1196&lt;&gt;"Gasto",I1196&lt;&gt;0),"IVA solo en Gasto",IF(AND(C1196="Gasto",D1196=""),"Falta categoría","OK")))))))))</f>
        <v/>
      </c>
    </row>
    <row r="1197" spans="1:12" ht="22" customHeight="1">
      <c r="A1197" s="3"/>
      <c r="B1197" s="7"/>
      <c r="C1197" s="3"/>
      <c r="D1197" s="3"/>
      <c r="E1197" s="3"/>
      <c r="F1197" s="3"/>
      <c r="G1197" s="3"/>
      <c r="H1197" s="4"/>
      <c r="I1197" s="4"/>
      <c r="J1197" s="3"/>
      <c r="K1197" s="8" t="str">
        <f t="shared" si="18"/>
        <v/>
      </c>
      <c r="L1197" s="1" t="str">
        <f>IF(COUNTA(A1197:J1197)=0,"",IF(OR(AND(C1197&lt;&gt;"Gasto",C1197&lt;&gt;"Pago proveedor",C1197&lt;&gt;"Retiro familiar",C1197&lt;&gt;"Aportación",C1197&lt;&gt;"Pago activo",C1197&lt;&gt;"ISR devengado",C1197&lt;&gt;"Pago ISR",C1197&lt;&gt;"Pago IVA",C1197&lt;&gt;"Compensación ISR",C1197&lt;&gt;"Compensación IVA"),AND(C1197="Gasto",D1197&lt;&gt;"Costos clínicos",D1197&lt;&gt;"Remuneración familiar",D1197&lt;&gt;"Nómina y honorarios",D1197&lt;&gt;"Renta",D1197&lt;&gt;"Marketing",D1197&lt;&gt;"Servicios y software",D1197&lt;&gt;"Mantenimiento",D1197&lt;&gt;"Otros",D1197&lt;&gt;"Intereses")),"Tipo o categoría inválido",IF(COUNTA(A1197:J1197)=0,"",IF(OR(A1197="",B1197="",C1197="",H1197=""),"Faltan datos",IF(COUNTIF($A$7:$A$2006,A1197)&gt;1,"ID duplicado",IF(OR(B1197&lt;DATE(Configuración!$C$5,1,1),B1197&gt;=DATE(Configuración!$C$5+1,1,1)),"Fecha fuera del año",IF(OR(H1197&lt;0,I1197&lt;0),"Revisar signo",IF(AND(C1197&lt;&gt;"Gasto",I1197&lt;&gt;0),"IVA solo en Gasto",IF(AND(C1197="Gasto",D1197=""),"Falta categoría","OK")))))))))</f>
        <v/>
      </c>
    </row>
    <row r="1198" spans="1:12" ht="22" customHeight="1">
      <c r="A1198" s="3"/>
      <c r="B1198" s="7"/>
      <c r="C1198" s="3"/>
      <c r="D1198" s="3"/>
      <c r="E1198" s="3"/>
      <c r="F1198" s="3"/>
      <c r="G1198" s="3"/>
      <c r="H1198" s="4"/>
      <c r="I1198" s="4"/>
      <c r="J1198" s="3"/>
      <c r="K1198" s="8" t="str">
        <f t="shared" si="18"/>
        <v/>
      </c>
      <c r="L1198" s="1" t="str">
        <f>IF(COUNTA(A1198:J1198)=0,"",IF(OR(AND(C1198&lt;&gt;"Gasto",C1198&lt;&gt;"Pago proveedor",C1198&lt;&gt;"Retiro familiar",C1198&lt;&gt;"Aportación",C1198&lt;&gt;"Pago activo",C1198&lt;&gt;"ISR devengado",C1198&lt;&gt;"Pago ISR",C1198&lt;&gt;"Pago IVA",C1198&lt;&gt;"Compensación ISR",C1198&lt;&gt;"Compensación IVA"),AND(C1198="Gasto",D1198&lt;&gt;"Costos clínicos",D1198&lt;&gt;"Remuneración familiar",D1198&lt;&gt;"Nómina y honorarios",D1198&lt;&gt;"Renta",D1198&lt;&gt;"Marketing",D1198&lt;&gt;"Servicios y software",D1198&lt;&gt;"Mantenimiento",D1198&lt;&gt;"Otros",D1198&lt;&gt;"Intereses")),"Tipo o categoría inválido",IF(COUNTA(A1198:J1198)=0,"",IF(OR(A1198="",B1198="",C1198="",H1198=""),"Faltan datos",IF(COUNTIF($A$7:$A$2006,A1198)&gt;1,"ID duplicado",IF(OR(B1198&lt;DATE(Configuración!$C$5,1,1),B1198&gt;=DATE(Configuración!$C$5+1,1,1)),"Fecha fuera del año",IF(OR(H1198&lt;0,I1198&lt;0),"Revisar signo",IF(AND(C1198&lt;&gt;"Gasto",I1198&lt;&gt;0),"IVA solo en Gasto",IF(AND(C1198="Gasto",D1198=""),"Falta categoría","OK")))))))))</f>
        <v/>
      </c>
    </row>
    <row r="1199" spans="1:12" ht="22" customHeight="1">
      <c r="A1199" s="3"/>
      <c r="B1199" s="7"/>
      <c r="C1199" s="3"/>
      <c r="D1199" s="3"/>
      <c r="E1199" s="3"/>
      <c r="F1199" s="3"/>
      <c r="G1199" s="3"/>
      <c r="H1199" s="4"/>
      <c r="I1199" s="4"/>
      <c r="J1199" s="3"/>
      <c r="K1199" s="8" t="str">
        <f t="shared" si="18"/>
        <v/>
      </c>
      <c r="L1199" s="1" t="str">
        <f>IF(COUNTA(A1199:J1199)=0,"",IF(OR(AND(C1199&lt;&gt;"Gasto",C1199&lt;&gt;"Pago proveedor",C1199&lt;&gt;"Retiro familiar",C1199&lt;&gt;"Aportación",C1199&lt;&gt;"Pago activo",C1199&lt;&gt;"ISR devengado",C1199&lt;&gt;"Pago ISR",C1199&lt;&gt;"Pago IVA",C1199&lt;&gt;"Compensación ISR",C1199&lt;&gt;"Compensación IVA"),AND(C1199="Gasto",D1199&lt;&gt;"Costos clínicos",D1199&lt;&gt;"Remuneración familiar",D1199&lt;&gt;"Nómina y honorarios",D1199&lt;&gt;"Renta",D1199&lt;&gt;"Marketing",D1199&lt;&gt;"Servicios y software",D1199&lt;&gt;"Mantenimiento",D1199&lt;&gt;"Otros",D1199&lt;&gt;"Intereses")),"Tipo o categoría inválido",IF(COUNTA(A1199:J1199)=0,"",IF(OR(A1199="",B1199="",C1199="",H1199=""),"Faltan datos",IF(COUNTIF($A$7:$A$2006,A1199)&gt;1,"ID duplicado",IF(OR(B1199&lt;DATE(Configuración!$C$5,1,1),B1199&gt;=DATE(Configuración!$C$5+1,1,1)),"Fecha fuera del año",IF(OR(H1199&lt;0,I1199&lt;0),"Revisar signo",IF(AND(C1199&lt;&gt;"Gasto",I1199&lt;&gt;0),"IVA solo en Gasto",IF(AND(C1199="Gasto",D1199=""),"Falta categoría","OK")))))))))</f>
        <v/>
      </c>
    </row>
    <row r="1200" spans="1:12" ht="22" customHeight="1">
      <c r="A1200" s="3"/>
      <c r="B1200" s="7"/>
      <c r="C1200" s="3"/>
      <c r="D1200" s="3"/>
      <c r="E1200" s="3"/>
      <c r="F1200" s="3"/>
      <c r="G1200" s="3"/>
      <c r="H1200" s="4"/>
      <c r="I1200" s="4"/>
      <c r="J1200" s="3"/>
      <c r="K1200" s="8" t="str">
        <f t="shared" si="18"/>
        <v/>
      </c>
      <c r="L1200" s="1" t="str">
        <f>IF(COUNTA(A1200:J1200)=0,"",IF(OR(AND(C1200&lt;&gt;"Gasto",C1200&lt;&gt;"Pago proveedor",C1200&lt;&gt;"Retiro familiar",C1200&lt;&gt;"Aportación",C1200&lt;&gt;"Pago activo",C1200&lt;&gt;"ISR devengado",C1200&lt;&gt;"Pago ISR",C1200&lt;&gt;"Pago IVA",C1200&lt;&gt;"Compensación ISR",C1200&lt;&gt;"Compensación IVA"),AND(C1200="Gasto",D1200&lt;&gt;"Costos clínicos",D1200&lt;&gt;"Remuneración familiar",D1200&lt;&gt;"Nómina y honorarios",D1200&lt;&gt;"Renta",D1200&lt;&gt;"Marketing",D1200&lt;&gt;"Servicios y software",D1200&lt;&gt;"Mantenimiento",D1200&lt;&gt;"Otros",D1200&lt;&gt;"Intereses")),"Tipo o categoría inválido",IF(COUNTA(A1200:J1200)=0,"",IF(OR(A1200="",B1200="",C1200="",H1200=""),"Faltan datos",IF(COUNTIF($A$7:$A$2006,A1200)&gt;1,"ID duplicado",IF(OR(B1200&lt;DATE(Configuración!$C$5,1,1),B1200&gt;=DATE(Configuración!$C$5+1,1,1)),"Fecha fuera del año",IF(OR(H1200&lt;0,I1200&lt;0),"Revisar signo",IF(AND(C1200&lt;&gt;"Gasto",I1200&lt;&gt;0),"IVA solo en Gasto",IF(AND(C1200="Gasto",D1200=""),"Falta categoría","OK")))))))))</f>
        <v/>
      </c>
    </row>
    <row r="1201" spans="1:12" ht="22" customHeight="1">
      <c r="A1201" s="3"/>
      <c r="B1201" s="7"/>
      <c r="C1201" s="3"/>
      <c r="D1201" s="3"/>
      <c r="E1201" s="3"/>
      <c r="F1201" s="3"/>
      <c r="G1201" s="3"/>
      <c r="H1201" s="4"/>
      <c r="I1201" s="4"/>
      <c r="J1201" s="3"/>
      <c r="K1201" s="8" t="str">
        <f t="shared" si="18"/>
        <v/>
      </c>
      <c r="L1201" s="1" t="str">
        <f>IF(COUNTA(A1201:J1201)=0,"",IF(OR(AND(C1201&lt;&gt;"Gasto",C1201&lt;&gt;"Pago proveedor",C1201&lt;&gt;"Retiro familiar",C1201&lt;&gt;"Aportación",C1201&lt;&gt;"Pago activo",C1201&lt;&gt;"ISR devengado",C1201&lt;&gt;"Pago ISR",C1201&lt;&gt;"Pago IVA",C1201&lt;&gt;"Compensación ISR",C1201&lt;&gt;"Compensación IVA"),AND(C1201="Gasto",D1201&lt;&gt;"Costos clínicos",D1201&lt;&gt;"Remuneración familiar",D1201&lt;&gt;"Nómina y honorarios",D1201&lt;&gt;"Renta",D1201&lt;&gt;"Marketing",D1201&lt;&gt;"Servicios y software",D1201&lt;&gt;"Mantenimiento",D1201&lt;&gt;"Otros",D1201&lt;&gt;"Intereses")),"Tipo o categoría inválido",IF(COUNTA(A1201:J1201)=0,"",IF(OR(A1201="",B1201="",C1201="",H1201=""),"Faltan datos",IF(COUNTIF($A$7:$A$2006,A1201)&gt;1,"ID duplicado",IF(OR(B1201&lt;DATE(Configuración!$C$5,1,1),B1201&gt;=DATE(Configuración!$C$5+1,1,1)),"Fecha fuera del año",IF(OR(H1201&lt;0,I1201&lt;0),"Revisar signo",IF(AND(C1201&lt;&gt;"Gasto",I1201&lt;&gt;0),"IVA solo en Gasto",IF(AND(C1201="Gasto",D1201=""),"Falta categoría","OK")))))))))</f>
        <v/>
      </c>
    </row>
    <row r="1202" spans="1:12" ht="22" customHeight="1">
      <c r="A1202" s="3"/>
      <c r="B1202" s="7"/>
      <c r="C1202" s="3"/>
      <c r="D1202" s="3"/>
      <c r="E1202" s="3"/>
      <c r="F1202" s="3"/>
      <c r="G1202" s="3"/>
      <c r="H1202" s="4"/>
      <c r="I1202" s="4"/>
      <c r="J1202" s="3"/>
      <c r="K1202" s="8" t="str">
        <f t="shared" si="18"/>
        <v/>
      </c>
      <c r="L1202" s="1" t="str">
        <f>IF(COUNTA(A1202:J1202)=0,"",IF(OR(AND(C1202&lt;&gt;"Gasto",C1202&lt;&gt;"Pago proveedor",C1202&lt;&gt;"Retiro familiar",C1202&lt;&gt;"Aportación",C1202&lt;&gt;"Pago activo",C1202&lt;&gt;"ISR devengado",C1202&lt;&gt;"Pago ISR",C1202&lt;&gt;"Pago IVA",C1202&lt;&gt;"Compensación ISR",C1202&lt;&gt;"Compensación IVA"),AND(C1202="Gasto",D1202&lt;&gt;"Costos clínicos",D1202&lt;&gt;"Remuneración familiar",D1202&lt;&gt;"Nómina y honorarios",D1202&lt;&gt;"Renta",D1202&lt;&gt;"Marketing",D1202&lt;&gt;"Servicios y software",D1202&lt;&gt;"Mantenimiento",D1202&lt;&gt;"Otros",D1202&lt;&gt;"Intereses")),"Tipo o categoría inválido",IF(COUNTA(A1202:J1202)=0,"",IF(OR(A1202="",B1202="",C1202="",H1202=""),"Faltan datos",IF(COUNTIF($A$7:$A$2006,A1202)&gt;1,"ID duplicado",IF(OR(B1202&lt;DATE(Configuración!$C$5,1,1),B1202&gt;=DATE(Configuración!$C$5+1,1,1)),"Fecha fuera del año",IF(OR(H1202&lt;0,I1202&lt;0),"Revisar signo",IF(AND(C1202&lt;&gt;"Gasto",I1202&lt;&gt;0),"IVA solo en Gasto",IF(AND(C1202="Gasto",D1202=""),"Falta categoría","OK")))))))))</f>
        <v/>
      </c>
    </row>
    <row r="1203" spans="1:12" ht="22" customHeight="1">
      <c r="A1203" s="3"/>
      <c r="B1203" s="7"/>
      <c r="C1203" s="3"/>
      <c r="D1203" s="3"/>
      <c r="E1203" s="3"/>
      <c r="F1203" s="3"/>
      <c r="G1203" s="3"/>
      <c r="H1203" s="4"/>
      <c r="I1203" s="4"/>
      <c r="J1203" s="3"/>
      <c r="K1203" s="8" t="str">
        <f t="shared" si="18"/>
        <v/>
      </c>
      <c r="L1203" s="1" t="str">
        <f>IF(COUNTA(A1203:J1203)=0,"",IF(OR(AND(C1203&lt;&gt;"Gasto",C1203&lt;&gt;"Pago proveedor",C1203&lt;&gt;"Retiro familiar",C1203&lt;&gt;"Aportación",C1203&lt;&gt;"Pago activo",C1203&lt;&gt;"ISR devengado",C1203&lt;&gt;"Pago ISR",C1203&lt;&gt;"Pago IVA",C1203&lt;&gt;"Compensación ISR",C1203&lt;&gt;"Compensación IVA"),AND(C1203="Gasto",D1203&lt;&gt;"Costos clínicos",D1203&lt;&gt;"Remuneración familiar",D1203&lt;&gt;"Nómina y honorarios",D1203&lt;&gt;"Renta",D1203&lt;&gt;"Marketing",D1203&lt;&gt;"Servicios y software",D1203&lt;&gt;"Mantenimiento",D1203&lt;&gt;"Otros",D1203&lt;&gt;"Intereses")),"Tipo o categoría inválido",IF(COUNTA(A1203:J1203)=0,"",IF(OR(A1203="",B1203="",C1203="",H1203=""),"Faltan datos",IF(COUNTIF($A$7:$A$2006,A1203)&gt;1,"ID duplicado",IF(OR(B1203&lt;DATE(Configuración!$C$5,1,1),B1203&gt;=DATE(Configuración!$C$5+1,1,1)),"Fecha fuera del año",IF(OR(H1203&lt;0,I1203&lt;0),"Revisar signo",IF(AND(C1203&lt;&gt;"Gasto",I1203&lt;&gt;0),"IVA solo en Gasto",IF(AND(C1203="Gasto",D1203=""),"Falta categoría","OK")))))))))</f>
        <v/>
      </c>
    </row>
    <row r="1204" spans="1:12" ht="22" customHeight="1">
      <c r="A1204" s="3"/>
      <c r="B1204" s="7"/>
      <c r="C1204" s="3"/>
      <c r="D1204" s="3"/>
      <c r="E1204" s="3"/>
      <c r="F1204" s="3"/>
      <c r="G1204" s="3"/>
      <c r="H1204" s="4"/>
      <c r="I1204" s="4"/>
      <c r="J1204" s="3"/>
      <c r="K1204" s="8" t="str">
        <f t="shared" si="18"/>
        <v/>
      </c>
      <c r="L1204" s="1" t="str">
        <f>IF(COUNTA(A1204:J1204)=0,"",IF(OR(AND(C1204&lt;&gt;"Gasto",C1204&lt;&gt;"Pago proveedor",C1204&lt;&gt;"Retiro familiar",C1204&lt;&gt;"Aportación",C1204&lt;&gt;"Pago activo",C1204&lt;&gt;"ISR devengado",C1204&lt;&gt;"Pago ISR",C1204&lt;&gt;"Pago IVA",C1204&lt;&gt;"Compensación ISR",C1204&lt;&gt;"Compensación IVA"),AND(C1204="Gasto",D1204&lt;&gt;"Costos clínicos",D1204&lt;&gt;"Remuneración familiar",D1204&lt;&gt;"Nómina y honorarios",D1204&lt;&gt;"Renta",D1204&lt;&gt;"Marketing",D1204&lt;&gt;"Servicios y software",D1204&lt;&gt;"Mantenimiento",D1204&lt;&gt;"Otros",D1204&lt;&gt;"Intereses")),"Tipo o categoría inválido",IF(COUNTA(A1204:J1204)=0,"",IF(OR(A1204="",B1204="",C1204="",H1204=""),"Faltan datos",IF(COUNTIF($A$7:$A$2006,A1204)&gt;1,"ID duplicado",IF(OR(B1204&lt;DATE(Configuración!$C$5,1,1),B1204&gt;=DATE(Configuración!$C$5+1,1,1)),"Fecha fuera del año",IF(OR(H1204&lt;0,I1204&lt;0),"Revisar signo",IF(AND(C1204&lt;&gt;"Gasto",I1204&lt;&gt;0),"IVA solo en Gasto",IF(AND(C1204="Gasto",D1204=""),"Falta categoría","OK")))))))))</f>
        <v/>
      </c>
    </row>
    <row r="1205" spans="1:12" ht="22" customHeight="1">
      <c r="A1205" s="3"/>
      <c r="B1205" s="7"/>
      <c r="C1205" s="3"/>
      <c r="D1205" s="3"/>
      <c r="E1205" s="3"/>
      <c r="F1205" s="3"/>
      <c r="G1205" s="3"/>
      <c r="H1205" s="4"/>
      <c r="I1205" s="4"/>
      <c r="J1205" s="3"/>
      <c r="K1205" s="8" t="str">
        <f t="shared" si="18"/>
        <v/>
      </c>
      <c r="L1205" s="1" t="str">
        <f>IF(COUNTA(A1205:J1205)=0,"",IF(OR(AND(C1205&lt;&gt;"Gasto",C1205&lt;&gt;"Pago proveedor",C1205&lt;&gt;"Retiro familiar",C1205&lt;&gt;"Aportación",C1205&lt;&gt;"Pago activo",C1205&lt;&gt;"ISR devengado",C1205&lt;&gt;"Pago ISR",C1205&lt;&gt;"Pago IVA",C1205&lt;&gt;"Compensación ISR",C1205&lt;&gt;"Compensación IVA"),AND(C1205="Gasto",D1205&lt;&gt;"Costos clínicos",D1205&lt;&gt;"Remuneración familiar",D1205&lt;&gt;"Nómina y honorarios",D1205&lt;&gt;"Renta",D1205&lt;&gt;"Marketing",D1205&lt;&gt;"Servicios y software",D1205&lt;&gt;"Mantenimiento",D1205&lt;&gt;"Otros",D1205&lt;&gt;"Intereses")),"Tipo o categoría inválido",IF(COUNTA(A1205:J1205)=0,"",IF(OR(A1205="",B1205="",C1205="",H1205=""),"Faltan datos",IF(COUNTIF($A$7:$A$2006,A1205)&gt;1,"ID duplicado",IF(OR(B1205&lt;DATE(Configuración!$C$5,1,1),B1205&gt;=DATE(Configuración!$C$5+1,1,1)),"Fecha fuera del año",IF(OR(H1205&lt;0,I1205&lt;0),"Revisar signo",IF(AND(C1205&lt;&gt;"Gasto",I1205&lt;&gt;0),"IVA solo en Gasto",IF(AND(C1205="Gasto",D1205=""),"Falta categoría","OK")))))))))</f>
        <v/>
      </c>
    </row>
    <row r="1206" spans="1:12" ht="22" customHeight="1">
      <c r="A1206" s="3"/>
      <c r="B1206" s="7"/>
      <c r="C1206" s="3"/>
      <c r="D1206" s="3"/>
      <c r="E1206" s="3"/>
      <c r="F1206" s="3"/>
      <c r="G1206" s="3"/>
      <c r="H1206" s="4"/>
      <c r="I1206" s="4"/>
      <c r="J1206" s="3"/>
      <c r="K1206" s="8" t="str">
        <f t="shared" si="18"/>
        <v/>
      </c>
      <c r="L1206" s="1" t="str">
        <f>IF(COUNTA(A1206:J1206)=0,"",IF(OR(AND(C1206&lt;&gt;"Gasto",C1206&lt;&gt;"Pago proveedor",C1206&lt;&gt;"Retiro familiar",C1206&lt;&gt;"Aportación",C1206&lt;&gt;"Pago activo",C1206&lt;&gt;"ISR devengado",C1206&lt;&gt;"Pago ISR",C1206&lt;&gt;"Pago IVA",C1206&lt;&gt;"Compensación ISR",C1206&lt;&gt;"Compensación IVA"),AND(C1206="Gasto",D1206&lt;&gt;"Costos clínicos",D1206&lt;&gt;"Remuneración familiar",D1206&lt;&gt;"Nómina y honorarios",D1206&lt;&gt;"Renta",D1206&lt;&gt;"Marketing",D1206&lt;&gt;"Servicios y software",D1206&lt;&gt;"Mantenimiento",D1206&lt;&gt;"Otros",D1206&lt;&gt;"Intereses")),"Tipo o categoría inválido",IF(COUNTA(A1206:J1206)=0,"",IF(OR(A1206="",B1206="",C1206="",H1206=""),"Faltan datos",IF(COUNTIF($A$7:$A$2006,A1206)&gt;1,"ID duplicado",IF(OR(B1206&lt;DATE(Configuración!$C$5,1,1),B1206&gt;=DATE(Configuración!$C$5+1,1,1)),"Fecha fuera del año",IF(OR(H1206&lt;0,I1206&lt;0),"Revisar signo",IF(AND(C1206&lt;&gt;"Gasto",I1206&lt;&gt;0),"IVA solo en Gasto",IF(AND(C1206="Gasto",D1206=""),"Falta categoría","OK")))))))))</f>
        <v/>
      </c>
    </row>
    <row r="1207" spans="1:12" ht="22" customHeight="1">
      <c r="A1207" s="3"/>
      <c r="B1207" s="7"/>
      <c r="C1207" s="3"/>
      <c r="D1207" s="3"/>
      <c r="E1207" s="3"/>
      <c r="F1207" s="3"/>
      <c r="G1207" s="3"/>
      <c r="H1207" s="4"/>
      <c r="I1207" s="4"/>
      <c r="J1207" s="3"/>
      <c r="K1207" s="8" t="str">
        <f t="shared" si="18"/>
        <v/>
      </c>
      <c r="L1207" s="1" t="str">
        <f>IF(COUNTA(A1207:J1207)=0,"",IF(OR(AND(C1207&lt;&gt;"Gasto",C1207&lt;&gt;"Pago proveedor",C1207&lt;&gt;"Retiro familiar",C1207&lt;&gt;"Aportación",C1207&lt;&gt;"Pago activo",C1207&lt;&gt;"ISR devengado",C1207&lt;&gt;"Pago ISR",C1207&lt;&gt;"Pago IVA",C1207&lt;&gt;"Compensación ISR",C1207&lt;&gt;"Compensación IVA"),AND(C1207="Gasto",D1207&lt;&gt;"Costos clínicos",D1207&lt;&gt;"Remuneración familiar",D1207&lt;&gt;"Nómina y honorarios",D1207&lt;&gt;"Renta",D1207&lt;&gt;"Marketing",D1207&lt;&gt;"Servicios y software",D1207&lt;&gt;"Mantenimiento",D1207&lt;&gt;"Otros",D1207&lt;&gt;"Intereses")),"Tipo o categoría inválido",IF(COUNTA(A1207:J1207)=0,"",IF(OR(A1207="",B1207="",C1207="",H1207=""),"Faltan datos",IF(COUNTIF($A$7:$A$2006,A1207)&gt;1,"ID duplicado",IF(OR(B1207&lt;DATE(Configuración!$C$5,1,1),B1207&gt;=DATE(Configuración!$C$5+1,1,1)),"Fecha fuera del año",IF(OR(H1207&lt;0,I1207&lt;0),"Revisar signo",IF(AND(C1207&lt;&gt;"Gasto",I1207&lt;&gt;0),"IVA solo en Gasto",IF(AND(C1207="Gasto",D1207=""),"Falta categoría","OK")))))))))</f>
        <v/>
      </c>
    </row>
    <row r="1208" spans="1:12" ht="22" customHeight="1">
      <c r="A1208" s="3"/>
      <c r="B1208" s="7"/>
      <c r="C1208" s="3"/>
      <c r="D1208" s="3"/>
      <c r="E1208" s="3"/>
      <c r="F1208" s="3"/>
      <c r="G1208" s="3"/>
      <c r="H1208" s="4"/>
      <c r="I1208" s="4"/>
      <c r="J1208" s="3"/>
      <c r="K1208" s="8" t="str">
        <f t="shared" si="18"/>
        <v/>
      </c>
      <c r="L1208" s="1" t="str">
        <f>IF(COUNTA(A1208:J1208)=0,"",IF(OR(AND(C1208&lt;&gt;"Gasto",C1208&lt;&gt;"Pago proveedor",C1208&lt;&gt;"Retiro familiar",C1208&lt;&gt;"Aportación",C1208&lt;&gt;"Pago activo",C1208&lt;&gt;"ISR devengado",C1208&lt;&gt;"Pago ISR",C1208&lt;&gt;"Pago IVA",C1208&lt;&gt;"Compensación ISR",C1208&lt;&gt;"Compensación IVA"),AND(C1208="Gasto",D1208&lt;&gt;"Costos clínicos",D1208&lt;&gt;"Remuneración familiar",D1208&lt;&gt;"Nómina y honorarios",D1208&lt;&gt;"Renta",D1208&lt;&gt;"Marketing",D1208&lt;&gt;"Servicios y software",D1208&lt;&gt;"Mantenimiento",D1208&lt;&gt;"Otros",D1208&lt;&gt;"Intereses")),"Tipo o categoría inválido",IF(COUNTA(A1208:J1208)=0,"",IF(OR(A1208="",B1208="",C1208="",H1208=""),"Faltan datos",IF(COUNTIF($A$7:$A$2006,A1208)&gt;1,"ID duplicado",IF(OR(B1208&lt;DATE(Configuración!$C$5,1,1),B1208&gt;=DATE(Configuración!$C$5+1,1,1)),"Fecha fuera del año",IF(OR(H1208&lt;0,I1208&lt;0),"Revisar signo",IF(AND(C1208&lt;&gt;"Gasto",I1208&lt;&gt;0),"IVA solo en Gasto",IF(AND(C1208="Gasto",D1208=""),"Falta categoría","OK")))))))))</f>
        <v/>
      </c>
    </row>
    <row r="1209" spans="1:12" ht="22" customHeight="1">
      <c r="A1209" s="3"/>
      <c r="B1209" s="7"/>
      <c r="C1209" s="3"/>
      <c r="D1209" s="3"/>
      <c r="E1209" s="3"/>
      <c r="F1209" s="3"/>
      <c r="G1209" s="3"/>
      <c r="H1209" s="4"/>
      <c r="I1209" s="4"/>
      <c r="J1209" s="3"/>
      <c r="K1209" s="8" t="str">
        <f t="shared" si="18"/>
        <v/>
      </c>
      <c r="L1209" s="1" t="str">
        <f>IF(COUNTA(A1209:J1209)=0,"",IF(OR(AND(C1209&lt;&gt;"Gasto",C1209&lt;&gt;"Pago proveedor",C1209&lt;&gt;"Retiro familiar",C1209&lt;&gt;"Aportación",C1209&lt;&gt;"Pago activo",C1209&lt;&gt;"ISR devengado",C1209&lt;&gt;"Pago ISR",C1209&lt;&gt;"Pago IVA",C1209&lt;&gt;"Compensación ISR",C1209&lt;&gt;"Compensación IVA"),AND(C1209="Gasto",D1209&lt;&gt;"Costos clínicos",D1209&lt;&gt;"Remuneración familiar",D1209&lt;&gt;"Nómina y honorarios",D1209&lt;&gt;"Renta",D1209&lt;&gt;"Marketing",D1209&lt;&gt;"Servicios y software",D1209&lt;&gt;"Mantenimiento",D1209&lt;&gt;"Otros",D1209&lt;&gt;"Intereses")),"Tipo o categoría inválido",IF(COUNTA(A1209:J1209)=0,"",IF(OR(A1209="",B1209="",C1209="",H1209=""),"Faltan datos",IF(COUNTIF($A$7:$A$2006,A1209)&gt;1,"ID duplicado",IF(OR(B1209&lt;DATE(Configuración!$C$5,1,1),B1209&gt;=DATE(Configuración!$C$5+1,1,1)),"Fecha fuera del año",IF(OR(H1209&lt;0,I1209&lt;0),"Revisar signo",IF(AND(C1209&lt;&gt;"Gasto",I1209&lt;&gt;0),"IVA solo en Gasto",IF(AND(C1209="Gasto",D1209=""),"Falta categoría","OK")))))))))</f>
        <v/>
      </c>
    </row>
    <row r="1210" spans="1:12" ht="22" customHeight="1">
      <c r="A1210" s="3"/>
      <c r="B1210" s="7"/>
      <c r="C1210" s="3"/>
      <c r="D1210" s="3"/>
      <c r="E1210" s="3"/>
      <c r="F1210" s="3"/>
      <c r="G1210" s="3"/>
      <c r="H1210" s="4"/>
      <c r="I1210" s="4"/>
      <c r="J1210" s="3"/>
      <c r="K1210" s="8" t="str">
        <f t="shared" si="18"/>
        <v/>
      </c>
      <c r="L1210" s="1" t="str">
        <f>IF(COUNTA(A1210:J1210)=0,"",IF(OR(AND(C1210&lt;&gt;"Gasto",C1210&lt;&gt;"Pago proveedor",C1210&lt;&gt;"Retiro familiar",C1210&lt;&gt;"Aportación",C1210&lt;&gt;"Pago activo",C1210&lt;&gt;"ISR devengado",C1210&lt;&gt;"Pago ISR",C1210&lt;&gt;"Pago IVA",C1210&lt;&gt;"Compensación ISR",C1210&lt;&gt;"Compensación IVA"),AND(C1210="Gasto",D1210&lt;&gt;"Costos clínicos",D1210&lt;&gt;"Remuneración familiar",D1210&lt;&gt;"Nómina y honorarios",D1210&lt;&gt;"Renta",D1210&lt;&gt;"Marketing",D1210&lt;&gt;"Servicios y software",D1210&lt;&gt;"Mantenimiento",D1210&lt;&gt;"Otros",D1210&lt;&gt;"Intereses")),"Tipo o categoría inválido",IF(COUNTA(A1210:J1210)=0,"",IF(OR(A1210="",B1210="",C1210="",H1210=""),"Faltan datos",IF(COUNTIF($A$7:$A$2006,A1210)&gt;1,"ID duplicado",IF(OR(B1210&lt;DATE(Configuración!$C$5,1,1),B1210&gt;=DATE(Configuración!$C$5+1,1,1)),"Fecha fuera del año",IF(OR(H1210&lt;0,I1210&lt;0),"Revisar signo",IF(AND(C1210&lt;&gt;"Gasto",I1210&lt;&gt;0),"IVA solo en Gasto",IF(AND(C1210="Gasto",D1210=""),"Falta categoría","OK")))))))))</f>
        <v/>
      </c>
    </row>
    <row r="1211" spans="1:12" ht="22" customHeight="1">
      <c r="A1211" s="3"/>
      <c r="B1211" s="7"/>
      <c r="C1211" s="3"/>
      <c r="D1211" s="3"/>
      <c r="E1211" s="3"/>
      <c r="F1211" s="3"/>
      <c r="G1211" s="3"/>
      <c r="H1211" s="4"/>
      <c r="I1211" s="4"/>
      <c r="J1211" s="3"/>
      <c r="K1211" s="8" t="str">
        <f t="shared" si="18"/>
        <v/>
      </c>
      <c r="L1211" s="1" t="str">
        <f>IF(COUNTA(A1211:J1211)=0,"",IF(OR(AND(C1211&lt;&gt;"Gasto",C1211&lt;&gt;"Pago proveedor",C1211&lt;&gt;"Retiro familiar",C1211&lt;&gt;"Aportación",C1211&lt;&gt;"Pago activo",C1211&lt;&gt;"ISR devengado",C1211&lt;&gt;"Pago ISR",C1211&lt;&gt;"Pago IVA",C1211&lt;&gt;"Compensación ISR",C1211&lt;&gt;"Compensación IVA"),AND(C1211="Gasto",D1211&lt;&gt;"Costos clínicos",D1211&lt;&gt;"Remuneración familiar",D1211&lt;&gt;"Nómina y honorarios",D1211&lt;&gt;"Renta",D1211&lt;&gt;"Marketing",D1211&lt;&gt;"Servicios y software",D1211&lt;&gt;"Mantenimiento",D1211&lt;&gt;"Otros",D1211&lt;&gt;"Intereses")),"Tipo o categoría inválido",IF(COUNTA(A1211:J1211)=0,"",IF(OR(A1211="",B1211="",C1211="",H1211=""),"Faltan datos",IF(COUNTIF($A$7:$A$2006,A1211)&gt;1,"ID duplicado",IF(OR(B1211&lt;DATE(Configuración!$C$5,1,1),B1211&gt;=DATE(Configuración!$C$5+1,1,1)),"Fecha fuera del año",IF(OR(H1211&lt;0,I1211&lt;0),"Revisar signo",IF(AND(C1211&lt;&gt;"Gasto",I1211&lt;&gt;0),"IVA solo en Gasto",IF(AND(C1211="Gasto",D1211=""),"Falta categoría","OK")))))))))</f>
        <v/>
      </c>
    </row>
    <row r="1212" spans="1:12" ht="22" customHeight="1">
      <c r="A1212" s="3"/>
      <c r="B1212" s="7"/>
      <c r="C1212" s="3"/>
      <c r="D1212" s="3"/>
      <c r="E1212" s="3"/>
      <c r="F1212" s="3"/>
      <c r="G1212" s="3"/>
      <c r="H1212" s="4"/>
      <c r="I1212" s="4"/>
      <c r="J1212" s="3"/>
      <c r="K1212" s="8" t="str">
        <f t="shared" si="18"/>
        <v/>
      </c>
      <c r="L1212" s="1" t="str">
        <f>IF(COUNTA(A1212:J1212)=0,"",IF(OR(AND(C1212&lt;&gt;"Gasto",C1212&lt;&gt;"Pago proveedor",C1212&lt;&gt;"Retiro familiar",C1212&lt;&gt;"Aportación",C1212&lt;&gt;"Pago activo",C1212&lt;&gt;"ISR devengado",C1212&lt;&gt;"Pago ISR",C1212&lt;&gt;"Pago IVA",C1212&lt;&gt;"Compensación ISR",C1212&lt;&gt;"Compensación IVA"),AND(C1212="Gasto",D1212&lt;&gt;"Costos clínicos",D1212&lt;&gt;"Remuneración familiar",D1212&lt;&gt;"Nómina y honorarios",D1212&lt;&gt;"Renta",D1212&lt;&gt;"Marketing",D1212&lt;&gt;"Servicios y software",D1212&lt;&gt;"Mantenimiento",D1212&lt;&gt;"Otros",D1212&lt;&gt;"Intereses")),"Tipo o categoría inválido",IF(COUNTA(A1212:J1212)=0,"",IF(OR(A1212="",B1212="",C1212="",H1212=""),"Faltan datos",IF(COUNTIF($A$7:$A$2006,A1212)&gt;1,"ID duplicado",IF(OR(B1212&lt;DATE(Configuración!$C$5,1,1),B1212&gt;=DATE(Configuración!$C$5+1,1,1)),"Fecha fuera del año",IF(OR(H1212&lt;0,I1212&lt;0),"Revisar signo",IF(AND(C1212&lt;&gt;"Gasto",I1212&lt;&gt;0),"IVA solo en Gasto",IF(AND(C1212="Gasto",D1212=""),"Falta categoría","OK")))))))))</f>
        <v/>
      </c>
    </row>
    <row r="1213" spans="1:12" ht="22" customHeight="1">
      <c r="A1213" s="3"/>
      <c r="B1213" s="7"/>
      <c r="C1213" s="3"/>
      <c r="D1213" s="3"/>
      <c r="E1213" s="3"/>
      <c r="F1213" s="3"/>
      <c r="G1213" s="3"/>
      <c r="H1213" s="4"/>
      <c r="I1213" s="4"/>
      <c r="J1213" s="3"/>
      <c r="K1213" s="8" t="str">
        <f t="shared" si="18"/>
        <v/>
      </c>
      <c r="L1213" s="1" t="str">
        <f>IF(COUNTA(A1213:J1213)=0,"",IF(OR(AND(C1213&lt;&gt;"Gasto",C1213&lt;&gt;"Pago proveedor",C1213&lt;&gt;"Retiro familiar",C1213&lt;&gt;"Aportación",C1213&lt;&gt;"Pago activo",C1213&lt;&gt;"ISR devengado",C1213&lt;&gt;"Pago ISR",C1213&lt;&gt;"Pago IVA",C1213&lt;&gt;"Compensación ISR",C1213&lt;&gt;"Compensación IVA"),AND(C1213="Gasto",D1213&lt;&gt;"Costos clínicos",D1213&lt;&gt;"Remuneración familiar",D1213&lt;&gt;"Nómina y honorarios",D1213&lt;&gt;"Renta",D1213&lt;&gt;"Marketing",D1213&lt;&gt;"Servicios y software",D1213&lt;&gt;"Mantenimiento",D1213&lt;&gt;"Otros",D1213&lt;&gt;"Intereses")),"Tipo o categoría inválido",IF(COUNTA(A1213:J1213)=0,"",IF(OR(A1213="",B1213="",C1213="",H1213=""),"Faltan datos",IF(COUNTIF($A$7:$A$2006,A1213)&gt;1,"ID duplicado",IF(OR(B1213&lt;DATE(Configuración!$C$5,1,1),B1213&gt;=DATE(Configuración!$C$5+1,1,1)),"Fecha fuera del año",IF(OR(H1213&lt;0,I1213&lt;0),"Revisar signo",IF(AND(C1213&lt;&gt;"Gasto",I1213&lt;&gt;0),"IVA solo en Gasto",IF(AND(C1213="Gasto",D1213=""),"Falta categoría","OK")))))))))</f>
        <v/>
      </c>
    </row>
    <row r="1214" spans="1:12" ht="22" customHeight="1">
      <c r="A1214" s="3"/>
      <c r="B1214" s="7"/>
      <c r="C1214" s="3"/>
      <c r="D1214" s="3"/>
      <c r="E1214" s="3"/>
      <c r="F1214" s="3"/>
      <c r="G1214" s="3"/>
      <c r="H1214" s="4"/>
      <c r="I1214" s="4"/>
      <c r="J1214" s="3"/>
      <c r="K1214" s="8" t="str">
        <f t="shared" si="18"/>
        <v/>
      </c>
      <c r="L1214" s="1" t="str">
        <f>IF(COUNTA(A1214:J1214)=0,"",IF(OR(AND(C1214&lt;&gt;"Gasto",C1214&lt;&gt;"Pago proveedor",C1214&lt;&gt;"Retiro familiar",C1214&lt;&gt;"Aportación",C1214&lt;&gt;"Pago activo",C1214&lt;&gt;"ISR devengado",C1214&lt;&gt;"Pago ISR",C1214&lt;&gt;"Pago IVA",C1214&lt;&gt;"Compensación ISR",C1214&lt;&gt;"Compensación IVA"),AND(C1214="Gasto",D1214&lt;&gt;"Costos clínicos",D1214&lt;&gt;"Remuneración familiar",D1214&lt;&gt;"Nómina y honorarios",D1214&lt;&gt;"Renta",D1214&lt;&gt;"Marketing",D1214&lt;&gt;"Servicios y software",D1214&lt;&gt;"Mantenimiento",D1214&lt;&gt;"Otros",D1214&lt;&gt;"Intereses")),"Tipo o categoría inválido",IF(COUNTA(A1214:J1214)=0,"",IF(OR(A1214="",B1214="",C1214="",H1214=""),"Faltan datos",IF(COUNTIF($A$7:$A$2006,A1214)&gt;1,"ID duplicado",IF(OR(B1214&lt;DATE(Configuración!$C$5,1,1),B1214&gt;=DATE(Configuración!$C$5+1,1,1)),"Fecha fuera del año",IF(OR(H1214&lt;0,I1214&lt;0),"Revisar signo",IF(AND(C1214&lt;&gt;"Gasto",I1214&lt;&gt;0),"IVA solo en Gasto",IF(AND(C1214="Gasto",D1214=""),"Falta categoría","OK")))))))))</f>
        <v/>
      </c>
    </row>
    <row r="1215" spans="1:12" ht="22" customHeight="1">
      <c r="A1215" s="3"/>
      <c r="B1215" s="7"/>
      <c r="C1215" s="3"/>
      <c r="D1215" s="3"/>
      <c r="E1215" s="3"/>
      <c r="F1215" s="3"/>
      <c r="G1215" s="3"/>
      <c r="H1215" s="4"/>
      <c r="I1215" s="4"/>
      <c r="J1215" s="3"/>
      <c r="K1215" s="8" t="str">
        <f t="shared" si="18"/>
        <v/>
      </c>
      <c r="L1215" s="1" t="str">
        <f>IF(COUNTA(A1215:J1215)=0,"",IF(OR(AND(C1215&lt;&gt;"Gasto",C1215&lt;&gt;"Pago proveedor",C1215&lt;&gt;"Retiro familiar",C1215&lt;&gt;"Aportación",C1215&lt;&gt;"Pago activo",C1215&lt;&gt;"ISR devengado",C1215&lt;&gt;"Pago ISR",C1215&lt;&gt;"Pago IVA",C1215&lt;&gt;"Compensación ISR",C1215&lt;&gt;"Compensación IVA"),AND(C1215="Gasto",D1215&lt;&gt;"Costos clínicos",D1215&lt;&gt;"Remuneración familiar",D1215&lt;&gt;"Nómina y honorarios",D1215&lt;&gt;"Renta",D1215&lt;&gt;"Marketing",D1215&lt;&gt;"Servicios y software",D1215&lt;&gt;"Mantenimiento",D1215&lt;&gt;"Otros",D1215&lt;&gt;"Intereses")),"Tipo o categoría inválido",IF(COUNTA(A1215:J1215)=0,"",IF(OR(A1215="",B1215="",C1215="",H1215=""),"Faltan datos",IF(COUNTIF($A$7:$A$2006,A1215)&gt;1,"ID duplicado",IF(OR(B1215&lt;DATE(Configuración!$C$5,1,1),B1215&gt;=DATE(Configuración!$C$5+1,1,1)),"Fecha fuera del año",IF(OR(H1215&lt;0,I1215&lt;0),"Revisar signo",IF(AND(C1215&lt;&gt;"Gasto",I1215&lt;&gt;0),"IVA solo en Gasto",IF(AND(C1215="Gasto",D1215=""),"Falta categoría","OK")))))))))</f>
        <v/>
      </c>
    </row>
    <row r="1216" spans="1:12" ht="22" customHeight="1">
      <c r="A1216" s="3"/>
      <c r="B1216" s="7"/>
      <c r="C1216" s="3"/>
      <c r="D1216" s="3"/>
      <c r="E1216" s="3"/>
      <c r="F1216" s="3"/>
      <c r="G1216" s="3"/>
      <c r="H1216" s="4"/>
      <c r="I1216" s="4"/>
      <c r="J1216" s="3"/>
      <c r="K1216" s="8" t="str">
        <f t="shared" si="18"/>
        <v/>
      </c>
      <c r="L1216" s="1" t="str">
        <f>IF(COUNTA(A1216:J1216)=0,"",IF(OR(AND(C1216&lt;&gt;"Gasto",C1216&lt;&gt;"Pago proveedor",C1216&lt;&gt;"Retiro familiar",C1216&lt;&gt;"Aportación",C1216&lt;&gt;"Pago activo",C1216&lt;&gt;"ISR devengado",C1216&lt;&gt;"Pago ISR",C1216&lt;&gt;"Pago IVA",C1216&lt;&gt;"Compensación ISR",C1216&lt;&gt;"Compensación IVA"),AND(C1216="Gasto",D1216&lt;&gt;"Costos clínicos",D1216&lt;&gt;"Remuneración familiar",D1216&lt;&gt;"Nómina y honorarios",D1216&lt;&gt;"Renta",D1216&lt;&gt;"Marketing",D1216&lt;&gt;"Servicios y software",D1216&lt;&gt;"Mantenimiento",D1216&lt;&gt;"Otros",D1216&lt;&gt;"Intereses")),"Tipo o categoría inválido",IF(COUNTA(A1216:J1216)=0,"",IF(OR(A1216="",B1216="",C1216="",H1216=""),"Faltan datos",IF(COUNTIF($A$7:$A$2006,A1216)&gt;1,"ID duplicado",IF(OR(B1216&lt;DATE(Configuración!$C$5,1,1),B1216&gt;=DATE(Configuración!$C$5+1,1,1)),"Fecha fuera del año",IF(OR(H1216&lt;0,I1216&lt;0),"Revisar signo",IF(AND(C1216&lt;&gt;"Gasto",I1216&lt;&gt;0),"IVA solo en Gasto",IF(AND(C1216="Gasto",D1216=""),"Falta categoría","OK")))))))))</f>
        <v/>
      </c>
    </row>
    <row r="1217" spans="1:12" ht="22" customHeight="1">
      <c r="A1217" s="3"/>
      <c r="B1217" s="7"/>
      <c r="C1217" s="3"/>
      <c r="D1217" s="3"/>
      <c r="E1217" s="3"/>
      <c r="F1217" s="3"/>
      <c r="G1217" s="3"/>
      <c r="H1217" s="4"/>
      <c r="I1217" s="4"/>
      <c r="J1217" s="3"/>
      <c r="K1217" s="8" t="str">
        <f t="shared" si="18"/>
        <v/>
      </c>
      <c r="L1217" s="1" t="str">
        <f>IF(COUNTA(A1217:J1217)=0,"",IF(OR(AND(C1217&lt;&gt;"Gasto",C1217&lt;&gt;"Pago proveedor",C1217&lt;&gt;"Retiro familiar",C1217&lt;&gt;"Aportación",C1217&lt;&gt;"Pago activo",C1217&lt;&gt;"ISR devengado",C1217&lt;&gt;"Pago ISR",C1217&lt;&gt;"Pago IVA",C1217&lt;&gt;"Compensación ISR",C1217&lt;&gt;"Compensación IVA"),AND(C1217="Gasto",D1217&lt;&gt;"Costos clínicos",D1217&lt;&gt;"Remuneración familiar",D1217&lt;&gt;"Nómina y honorarios",D1217&lt;&gt;"Renta",D1217&lt;&gt;"Marketing",D1217&lt;&gt;"Servicios y software",D1217&lt;&gt;"Mantenimiento",D1217&lt;&gt;"Otros",D1217&lt;&gt;"Intereses")),"Tipo o categoría inválido",IF(COUNTA(A1217:J1217)=0,"",IF(OR(A1217="",B1217="",C1217="",H1217=""),"Faltan datos",IF(COUNTIF($A$7:$A$2006,A1217)&gt;1,"ID duplicado",IF(OR(B1217&lt;DATE(Configuración!$C$5,1,1),B1217&gt;=DATE(Configuración!$C$5+1,1,1)),"Fecha fuera del año",IF(OR(H1217&lt;0,I1217&lt;0),"Revisar signo",IF(AND(C1217&lt;&gt;"Gasto",I1217&lt;&gt;0),"IVA solo en Gasto",IF(AND(C1217="Gasto",D1217=""),"Falta categoría","OK")))))))))</f>
        <v/>
      </c>
    </row>
    <row r="1218" spans="1:12" ht="22" customHeight="1">
      <c r="A1218" s="3"/>
      <c r="B1218" s="7"/>
      <c r="C1218" s="3"/>
      <c r="D1218" s="3"/>
      <c r="E1218" s="3"/>
      <c r="F1218" s="3"/>
      <c r="G1218" s="3"/>
      <c r="H1218" s="4"/>
      <c r="I1218" s="4"/>
      <c r="J1218" s="3"/>
      <c r="K1218" s="8" t="str">
        <f t="shared" si="18"/>
        <v/>
      </c>
      <c r="L1218" s="1" t="str">
        <f>IF(COUNTA(A1218:J1218)=0,"",IF(OR(AND(C1218&lt;&gt;"Gasto",C1218&lt;&gt;"Pago proveedor",C1218&lt;&gt;"Retiro familiar",C1218&lt;&gt;"Aportación",C1218&lt;&gt;"Pago activo",C1218&lt;&gt;"ISR devengado",C1218&lt;&gt;"Pago ISR",C1218&lt;&gt;"Pago IVA",C1218&lt;&gt;"Compensación ISR",C1218&lt;&gt;"Compensación IVA"),AND(C1218="Gasto",D1218&lt;&gt;"Costos clínicos",D1218&lt;&gt;"Remuneración familiar",D1218&lt;&gt;"Nómina y honorarios",D1218&lt;&gt;"Renta",D1218&lt;&gt;"Marketing",D1218&lt;&gt;"Servicios y software",D1218&lt;&gt;"Mantenimiento",D1218&lt;&gt;"Otros",D1218&lt;&gt;"Intereses")),"Tipo o categoría inválido",IF(COUNTA(A1218:J1218)=0,"",IF(OR(A1218="",B1218="",C1218="",H1218=""),"Faltan datos",IF(COUNTIF($A$7:$A$2006,A1218)&gt;1,"ID duplicado",IF(OR(B1218&lt;DATE(Configuración!$C$5,1,1),B1218&gt;=DATE(Configuración!$C$5+1,1,1)),"Fecha fuera del año",IF(OR(H1218&lt;0,I1218&lt;0),"Revisar signo",IF(AND(C1218&lt;&gt;"Gasto",I1218&lt;&gt;0),"IVA solo en Gasto",IF(AND(C1218="Gasto",D1218=""),"Falta categoría","OK")))))))))</f>
        <v/>
      </c>
    </row>
    <row r="1219" spans="1:12" ht="22" customHeight="1">
      <c r="A1219" s="3"/>
      <c r="B1219" s="7"/>
      <c r="C1219" s="3"/>
      <c r="D1219" s="3"/>
      <c r="E1219" s="3"/>
      <c r="F1219" s="3"/>
      <c r="G1219" s="3"/>
      <c r="H1219" s="4"/>
      <c r="I1219" s="4"/>
      <c r="J1219" s="3"/>
      <c r="K1219" s="8" t="str">
        <f t="shared" si="18"/>
        <v/>
      </c>
      <c r="L1219" s="1" t="str">
        <f>IF(COUNTA(A1219:J1219)=0,"",IF(OR(AND(C1219&lt;&gt;"Gasto",C1219&lt;&gt;"Pago proveedor",C1219&lt;&gt;"Retiro familiar",C1219&lt;&gt;"Aportación",C1219&lt;&gt;"Pago activo",C1219&lt;&gt;"ISR devengado",C1219&lt;&gt;"Pago ISR",C1219&lt;&gt;"Pago IVA",C1219&lt;&gt;"Compensación ISR",C1219&lt;&gt;"Compensación IVA"),AND(C1219="Gasto",D1219&lt;&gt;"Costos clínicos",D1219&lt;&gt;"Remuneración familiar",D1219&lt;&gt;"Nómina y honorarios",D1219&lt;&gt;"Renta",D1219&lt;&gt;"Marketing",D1219&lt;&gt;"Servicios y software",D1219&lt;&gt;"Mantenimiento",D1219&lt;&gt;"Otros",D1219&lt;&gt;"Intereses")),"Tipo o categoría inválido",IF(COUNTA(A1219:J1219)=0,"",IF(OR(A1219="",B1219="",C1219="",H1219=""),"Faltan datos",IF(COUNTIF($A$7:$A$2006,A1219)&gt;1,"ID duplicado",IF(OR(B1219&lt;DATE(Configuración!$C$5,1,1),B1219&gt;=DATE(Configuración!$C$5+1,1,1)),"Fecha fuera del año",IF(OR(H1219&lt;0,I1219&lt;0),"Revisar signo",IF(AND(C1219&lt;&gt;"Gasto",I1219&lt;&gt;0),"IVA solo en Gasto",IF(AND(C1219="Gasto",D1219=""),"Falta categoría","OK")))))))))</f>
        <v/>
      </c>
    </row>
    <row r="1220" spans="1:12" ht="22" customHeight="1">
      <c r="A1220" s="3"/>
      <c r="B1220" s="7"/>
      <c r="C1220" s="3"/>
      <c r="D1220" s="3"/>
      <c r="E1220" s="3"/>
      <c r="F1220" s="3"/>
      <c r="G1220" s="3"/>
      <c r="H1220" s="4"/>
      <c r="I1220" s="4"/>
      <c r="J1220" s="3"/>
      <c r="K1220" s="8" t="str">
        <f t="shared" si="18"/>
        <v/>
      </c>
      <c r="L1220" s="1" t="str">
        <f>IF(COUNTA(A1220:J1220)=0,"",IF(OR(AND(C1220&lt;&gt;"Gasto",C1220&lt;&gt;"Pago proveedor",C1220&lt;&gt;"Retiro familiar",C1220&lt;&gt;"Aportación",C1220&lt;&gt;"Pago activo",C1220&lt;&gt;"ISR devengado",C1220&lt;&gt;"Pago ISR",C1220&lt;&gt;"Pago IVA",C1220&lt;&gt;"Compensación ISR",C1220&lt;&gt;"Compensación IVA"),AND(C1220="Gasto",D1220&lt;&gt;"Costos clínicos",D1220&lt;&gt;"Remuneración familiar",D1220&lt;&gt;"Nómina y honorarios",D1220&lt;&gt;"Renta",D1220&lt;&gt;"Marketing",D1220&lt;&gt;"Servicios y software",D1220&lt;&gt;"Mantenimiento",D1220&lt;&gt;"Otros",D1220&lt;&gt;"Intereses")),"Tipo o categoría inválido",IF(COUNTA(A1220:J1220)=0,"",IF(OR(A1220="",B1220="",C1220="",H1220=""),"Faltan datos",IF(COUNTIF($A$7:$A$2006,A1220)&gt;1,"ID duplicado",IF(OR(B1220&lt;DATE(Configuración!$C$5,1,1),B1220&gt;=DATE(Configuración!$C$5+1,1,1)),"Fecha fuera del año",IF(OR(H1220&lt;0,I1220&lt;0),"Revisar signo",IF(AND(C1220&lt;&gt;"Gasto",I1220&lt;&gt;0),"IVA solo en Gasto",IF(AND(C1220="Gasto",D1220=""),"Falta categoría","OK")))))))))</f>
        <v/>
      </c>
    </row>
    <row r="1221" spans="1:12" ht="22" customHeight="1">
      <c r="A1221" s="3"/>
      <c r="B1221" s="7"/>
      <c r="C1221" s="3"/>
      <c r="D1221" s="3"/>
      <c r="E1221" s="3"/>
      <c r="F1221" s="3"/>
      <c r="G1221" s="3"/>
      <c r="H1221" s="4"/>
      <c r="I1221" s="4"/>
      <c r="J1221" s="3"/>
      <c r="K1221" s="8" t="str">
        <f t="shared" si="18"/>
        <v/>
      </c>
      <c r="L1221" s="1" t="str">
        <f>IF(COUNTA(A1221:J1221)=0,"",IF(OR(AND(C1221&lt;&gt;"Gasto",C1221&lt;&gt;"Pago proveedor",C1221&lt;&gt;"Retiro familiar",C1221&lt;&gt;"Aportación",C1221&lt;&gt;"Pago activo",C1221&lt;&gt;"ISR devengado",C1221&lt;&gt;"Pago ISR",C1221&lt;&gt;"Pago IVA",C1221&lt;&gt;"Compensación ISR",C1221&lt;&gt;"Compensación IVA"),AND(C1221="Gasto",D1221&lt;&gt;"Costos clínicos",D1221&lt;&gt;"Remuneración familiar",D1221&lt;&gt;"Nómina y honorarios",D1221&lt;&gt;"Renta",D1221&lt;&gt;"Marketing",D1221&lt;&gt;"Servicios y software",D1221&lt;&gt;"Mantenimiento",D1221&lt;&gt;"Otros",D1221&lt;&gt;"Intereses")),"Tipo o categoría inválido",IF(COUNTA(A1221:J1221)=0,"",IF(OR(A1221="",B1221="",C1221="",H1221=""),"Faltan datos",IF(COUNTIF($A$7:$A$2006,A1221)&gt;1,"ID duplicado",IF(OR(B1221&lt;DATE(Configuración!$C$5,1,1),B1221&gt;=DATE(Configuración!$C$5+1,1,1)),"Fecha fuera del año",IF(OR(H1221&lt;0,I1221&lt;0),"Revisar signo",IF(AND(C1221&lt;&gt;"Gasto",I1221&lt;&gt;0),"IVA solo en Gasto",IF(AND(C1221="Gasto",D1221=""),"Falta categoría","OK")))))))))</f>
        <v/>
      </c>
    </row>
    <row r="1222" spans="1:12" ht="22" customHeight="1">
      <c r="A1222" s="3"/>
      <c r="B1222" s="7"/>
      <c r="C1222" s="3"/>
      <c r="D1222" s="3"/>
      <c r="E1222" s="3"/>
      <c r="F1222" s="3"/>
      <c r="G1222" s="3"/>
      <c r="H1222" s="4"/>
      <c r="I1222" s="4"/>
      <c r="J1222" s="3"/>
      <c r="K1222" s="8" t="str">
        <f t="shared" si="18"/>
        <v/>
      </c>
      <c r="L1222" s="1" t="str">
        <f>IF(COUNTA(A1222:J1222)=0,"",IF(OR(AND(C1222&lt;&gt;"Gasto",C1222&lt;&gt;"Pago proveedor",C1222&lt;&gt;"Retiro familiar",C1222&lt;&gt;"Aportación",C1222&lt;&gt;"Pago activo",C1222&lt;&gt;"ISR devengado",C1222&lt;&gt;"Pago ISR",C1222&lt;&gt;"Pago IVA",C1222&lt;&gt;"Compensación ISR",C1222&lt;&gt;"Compensación IVA"),AND(C1222="Gasto",D1222&lt;&gt;"Costos clínicos",D1222&lt;&gt;"Remuneración familiar",D1222&lt;&gt;"Nómina y honorarios",D1222&lt;&gt;"Renta",D1222&lt;&gt;"Marketing",D1222&lt;&gt;"Servicios y software",D1222&lt;&gt;"Mantenimiento",D1222&lt;&gt;"Otros",D1222&lt;&gt;"Intereses")),"Tipo o categoría inválido",IF(COUNTA(A1222:J1222)=0,"",IF(OR(A1222="",B1222="",C1222="",H1222=""),"Faltan datos",IF(COUNTIF($A$7:$A$2006,A1222)&gt;1,"ID duplicado",IF(OR(B1222&lt;DATE(Configuración!$C$5,1,1),B1222&gt;=DATE(Configuración!$C$5+1,1,1)),"Fecha fuera del año",IF(OR(H1222&lt;0,I1222&lt;0),"Revisar signo",IF(AND(C1222&lt;&gt;"Gasto",I1222&lt;&gt;0),"IVA solo en Gasto",IF(AND(C1222="Gasto",D1222=""),"Falta categoría","OK")))))))))</f>
        <v/>
      </c>
    </row>
    <row r="1223" spans="1:12" ht="22" customHeight="1">
      <c r="A1223" s="3"/>
      <c r="B1223" s="7"/>
      <c r="C1223" s="3"/>
      <c r="D1223" s="3"/>
      <c r="E1223" s="3"/>
      <c r="F1223" s="3"/>
      <c r="G1223" s="3"/>
      <c r="H1223" s="4"/>
      <c r="I1223" s="4"/>
      <c r="J1223" s="3"/>
      <c r="K1223" s="8" t="str">
        <f t="shared" ref="K1223:K1286" si="19">IF(A1223="","",H1223+I1223)</f>
        <v/>
      </c>
      <c r="L1223" s="1" t="str">
        <f>IF(COUNTA(A1223:J1223)=0,"",IF(OR(AND(C1223&lt;&gt;"Gasto",C1223&lt;&gt;"Pago proveedor",C1223&lt;&gt;"Retiro familiar",C1223&lt;&gt;"Aportación",C1223&lt;&gt;"Pago activo",C1223&lt;&gt;"ISR devengado",C1223&lt;&gt;"Pago ISR",C1223&lt;&gt;"Pago IVA",C1223&lt;&gt;"Compensación ISR",C1223&lt;&gt;"Compensación IVA"),AND(C1223="Gasto",D1223&lt;&gt;"Costos clínicos",D1223&lt;&gt;"Remuneración familiar",D1223&lt;&gt;"Nómina y honorarios",D1223&lt;&gt;"Renta",D1223&lt;&gt;"Marketing",D1223&lt;&gt;"Servicios y software",D1223&lt;&gt;"Mantenimiento",D1223&lt;&gt;"Otros",D1223&lt;&gt;"Intereses")),"Tipo o categoría inválido",IF(COUNTA(A1223:J1223)=0,"",IF(OR(A1223="",B1223="",C1223="",H1223=""),"Faltan datos",IF(COUNTIF($A$7:$A$2006,A1223)&gt;1,"ID duplicado",IF(OR(B1223&lt;DATE(Configuración!$C$5,1,1),B1223&gt;=DATE(Configuración!$C$5+1,1,1)),"Fecha fuera del año",IF(OR(H1223&lt;0,I1223&lt;0),"Revisar signo",IF(AND(C1223&lt;&gt;"Gasto",I1223&lt;&gt;0),"IVA solo en Gasto",IF(AND(C1223="Gasto",D1223=""),"Falta categoría","OK")))))))))</f>
        <v/>
      </c>
    </row>
    <row r="1224" spans="1:12" ht="22" customHeight="1">
      <c r="A1224" s="3"/>
      <c r="B1224" s="7"/>
      <c r="C1224" s="3"/>
      <c r="D1224" s="3"/>
      <c r="E1224" s="3"/>
      <c r="F1224" s="3"/>
      <c r="G1224" s="3"/>
      <c r="H1224" s="4"/>
      <c r="I1224" s="4"/>
      <c r="J1224" s="3"/>
      <c r="K1224" s="8" t="str">
        <f t="shared" si="19"/>
        <v/>
      </c>
      <c r="L1224" s="1" t="str">
        <f>IF(COUNTA(A1224:J1224)=0,"",IF(OR(AND(C1224&lt;&gt;"Gasto",C1224&lt;&gt;"Pago proveedor",C1224&lt;&gt;"Retiro familiar",C1224&lt;&gt;"Aportación",C1224&lt;&gt;"Pago activo",C1224&lt;&gt;"ISR devengado",C1224&lt;&gt;"Pago ISR",C1224&lt;&gt;"Pago IVA",C1224&lt;&gt;"Compensación ISR",C1224&lt;&gt;"Compensación IVA"),AND(C1224="Gasto",D1224&lt;&gt;"Costos clínicos",D1224&lt;&gt;"Remuneración familiar",D1224&lt;&gt;"Nómina y honorarios",D1224&lt;&gt;"Renta",D1224&lt;&gt;"Marketing",D1224&lt;&gt;"Servicios y software",D1224&lt;&gt;"Mantenimiento",D1224&lt;&gt;"Otros",D1224&lt;&gt;"Intereses")),"Tipo o categoría inválido",IF(COUNTA(A1224:J1224)=0,"",IF(OR(A1224="",B1224="",C1224="",H1224=""),"Faltan datos",IF(COUNTIF($A$7:$A$2006,A1224)&gt;1,"ID duplicado",IF(OR(B1224&lt;DATE(Configuración!$C$5,1,1),B1224&gt;=DATE(Configuración!$C$5+1,1,1)),"Fecha fuera del año",IF(OR(H1224&lt;0,I1224&lt;0),"Revisar signo",IF(AND(C1224&lt;&gt;"Gasto",I1224&lt;&gt;0),"IVA solo en Gasto",IF(AND(C1224="Gasto",D1224=""),"Falta categoría","OK")))))))))</f>
        <v/>
      </c>
    </row>
    <row r="1225" spans="1:12" ht="22" customHeight="1">
      <c r="A1225" s="3"/>
      <c r="B1225" s="7"/>
      <c r="C1225" s="3"/>
      <c r="D1225" s="3"/>
      <c r="E1225" s="3"/>
      <c r="F1225" s="3"/>
      <c r="G1225" s="3"/>
      <c r="H1225" s="4"/>
      <c r="I1225" s="4"/>
      <c r="J1225" s="3"/>
      <c r="K1225" s="8" t="str">
        <f t="shared" si="19"/>
        <v/>
      </c>
      <c r="L1225" s="1" t="str">
        <f>IF(COUNTA(A1225:J1225)=0,"",IF(OR(AND(C1225&lt;&gt;"Gasto",C1225&lt;&gt;"Pago proveedor",C1225&lt;&gt;"Retiro familiar",C1225&lt;&gt;"Aportación",C1225&lt;&gt;"Pago activo",C1225&lt;&gt;"ISR devengado",C1225&lt;&gt;"Pago ISR",C1225&lt;&gt;"Pago IVA",C1225&lt;&gt;"Compensación ISR",C1225&lt;&gt;"Compensación IVA"),AND(C1225="Gasto",D1225&lt;&gt;"Costos clínicos",D1225&lt;&gt;"Remuneración familiar",D1225&lt;&gt;"Nómina y honorarios",D1225&lt;&gt;"Renta",D1225&lt;&gt;"Marketing",D1225&lt;&gt;"Servicios y software",D1225&lt;&gt;"Mantenimiento",D1225&lt;&gt;"Otros",D1225&lt;&gt;"Intereses")),"Tipo o categoría inválido",IF(COUNTA(A1225:J1225)=0,"",IF(OR(A1225="",B1225="",C1225="",H1225=""),"Faltan datos",IF(COUNTIF($A$7:$A$2006,A1225)&gt;1,"ID duplicado",IF(OR(B1225&lt;DATE(Configuración!$C$5,1,1),B1225&gt;=DATE(Configuración!$C$5+1,1,1)),"Fecha fuera del año",IF(OR(H1225&lt;0,I1225&lt;0),"Revisar signo",IF(AND(C1225&lt;&gt;"Gasto",I1225&lt;&gt;0),"IVA solo en Gasto",IF(AND(C1225="Gasto",D1225=""),"Falta categoría","OK")))))))))</f>
        <v/>
      </c>
    </row>
    <row r="1226" spans="1:12" ht="22" customHeight="1">
      <c r="A1226" s="3"/>
      <c r="B1226" s="7"/>
      <c r="C1226" s="3"/>
      <c r="D1226" s="3"/>
      <c r="E1226" s="3"/>
      <c r="F1226" s="3"/>
      <c r="G1226" s="3"/>
      <c r="H1226" s="4"/>
      <c r="I1226" s="4"/>
      <c r="J1226" s="3"/>
      <c r="K1226" s="8" t="str">
        <f t="shared" si="19"/>
        <v/>
      </c>
      <c r="L1226" s="1" t="str">
        <f>IF(COUNTA(A1226:J1226)=0,"",IF(OR(AND(C1226&lt;&gt;"Gasto",C1226&lt;&gt;"Pago proveedor",C1226&lt;&gt;"Retiro familiar",C1226&lt;&gt;"Aportación",C1226&lt;&gt;"Pago activo",C1226&lt;&gt;"ISR devengado",C1226&lt;&gt;"Pago ISR",C1226&lt;&gt;"Pago IVA",C1226&lt;&gt;"Compensación ISR",C1226&lt;&gt;"Compensación IVA"),AND(C1226="Gasto",D1226&lt;&gt;"Costos clínicos",D1226&lt;&gt;"Remuneración familiar",D1226&lt;&gt;"Nómina y honorarios",D1226&lt;&gt;"Renta",D1226&lt;&gt;"Marketing",D1226&lt;&gt;"Servicios y software",D1226&lt;&gt;"Mantenimiento",D1226&lt;&gt;"Otros",D1226&lt;&gt;"Intereses")),"Tipo o categoría inválido",IF(COUNTA(A1226:J1226)=0,"",IF(OR(A1226="",B1226="",C1226="",H1226=""),"Faltan datos",IF(COUNTIF($A$7:$A$2006,A1226)&gt;1,"ID duplicado",IF(OR(B1226&lt;DATE(Configuración!$C$5,1,1),B1226&gt;=DATE(Configuración!$C$5+1,1,1)),"Fecha fuera del año",IF(OR(H1226&lt;0,I1226&lt;0),"Revisar signo",IF(AND(C1226&lt;&gt;"Gasto",I1226&lt;&gt;0),"IVA solo en Gasto",IF(AND(C1226="Gasto",D1226=""),"Falta categoría","OK")))))))))</f>
        <v/>
      </c>
    </row>
    <row r="1227" spans="1:12" ht="22" customHeight="1">
      <c r="A1227" s="3"/>
      <c r="B1227" s="7"/>
      <c r="C1227" s="3"/>
      <c r="D1227" s="3"/>
      <c r="E1227" s="3"/>
      <c r="F1227" s="3"/>
      <c r="G1227" s="3"/>
      <c r="H1227" s="4"/>
      <c r="I1227" s="4"/>
      <c r="J1227" s="3"/>
      <c r="K1227" s="8" t="str">
        <f t="shared" si="19"/>
        <v/>
      </c>
      <c r="L1227" s="1" t="str">
        <f>IF(COUNTA(A1227:J1227)=0,"",IF(OR(AND(C1227&lt;&gt;"Gasto",C1227&lt;&gt;"Pago proveedor",C1227&lt;&gt;"Retiro familiar",C1227&lt;&gt;"Aportación",C1227&lt;&gt;"Pago activo",C1227&lt;&gt;"ISR devengado",C1227&lt;&gt;"Pago ISR",C1227&lt;&gt;"Pago IVA",C1227&lt;&gt;"Compensación ISR",C1227&lt;&gt;"Compensación IVA"),AND(C1227="Gasto",D1227&lt;&gt;"Costos clínicos",D1227&lt;&gt;"Remuneración familiar",D1227&lt;&gt;"Nómina y honorarios",D1227&lt;&gt;"Renta",D1227&lt;&gt;"Marketing",D1227&lt;&gt;"Servicios y software",D1227&lt;&gt;"Mantenimiento",D1227&lt;&gt;"Otros",D1227&lt;&gt;"Intereses")),"Tipo o categoría inválido",IF(COUNTA(A1227:J1227)=0,"",IF(OR(A1227="",B1227="",C1227="",H1227=""),"Faltan datos",IF(COUNTIF($A$7:$A$2006,A1227)&gt;1,"ID duplicado",IF(OR(B1227&lt;DATE(Configuración!$C$5,1,1),B1227&gt;=DATE(Configuración!$C$5+1,1,1)),"Fecha fuera del año",IF(OR(H1227&lt;0,I1227&lt;0),"Revisar signo",IF(AND(C1227&lt;&gt;"Gasto",I1227&lt;&gt;0),"IVA solo en Gasto",IF(AND(C1227="Gasto",D1227=""),"Falta categoría","OK")))))))))</f>
        <v/>
      </c>
    </row>
    <row r="1228" spans="1:12" ht="22" customHeight="1">
      <c r="A1228" s="3"/>
      <c r="B1228" s="7"/>
      <c r="C1228" s="3"/>
      <c r="D1228" s="3"/>
      <c r="E1228" s="3"/>
      <c r="F1228" s="3"/>
      <c r="G1228" s="3"/>
      <c r="H1228" s="4"/>
      <c r="I1228" s="4"/>
      <c r="J1228" s="3"/>
      <c r="K1228" s="8" t="str">
        <f t="shared" si="19"/>
        <v/>
      </c>
      <c r="L1228" s="1" t="str">
        <f>IF(COUNTA(A1228:J1228)=0,"",IF(OR(AND(C1228&lt;&gt;"Gasto",C1228&lt;&gt;"Pago proveedor",C1228&lt;&gt;"Retiro familiar",C1228&lt;&gt;"Aportación",C1228&lt;&gt;"Pago activo",C1228&lt;&gt;"ISR devengado",C1228&lt;&gt;"Pago ISR",C1228&lt;&gt;"Pago IVA",C1228&lt;&gt;"Compensación ISR",C1228&lt;&gt;"Compensación IVA"),AND(C1228="Gasto",D1228&lt;&gt;"Costos clínicos",D1228&lt;&gt;"Remuneración familiar",D1228&lt;&gt;"Nómina y honorarios",D1228&lt;&gt;"Renta",D1228&lt;&gt;"Marketing",D1228&lt;&gt;"Servicios y software",D1228&lt;&gt;"Mantenimiento",D1228&lt;&gt;"Otros",D1228&lt;&gt;"Intereses")),"Tipo o categoría inválido",IF(COUNTA(A1228:J1228)=0,"",IF(OR(A1228="",B1228="",C1228="",H1228=""),"Faltan datos",IF(COUNTIF($A$7:$A$2006,A1228)&gt;1,"ID duplicado",IF(OR(B1228&lt;DATE(Configuración!$C$5,1,1),B1228&gt;=DATE(Configuración!$C$5+1,1,1)),"Fecha fuera del año",IF(OR(H1228&lt;0,I1228&lt;0),"Revisar signo",IF(AND(C1228&lt;&gt;"Gasto",I1228&lt;&gt;0),"IVA solo en Gasto",IF(AND(C1228="Gasto",D1228=""),"Falta categoría","OK")))))))))</f>
        <v/>
      </c>
    </row>
    <row r="1229" spans="1:12" ht="22" customHeight="1">
      <c r="A1229" s="3"/>
      <c r="B1229" s="7"/>
      <c r="C1229" s="3"/>
      <c r="D1229" s="3"/>
      <c r="E1229" s="3"/>
      <c r="F1229" s="3"/>
      <c r="G1229" s="3"/>
      <c r="H1229" s="4"/>
      <c r="I1229" s="4"/>
      <c r="J1229" s="3"/>
      <c r="K1229" s="8" t="str">
        <f t="shared" si="19"/>
        <v/>
      </c>
      <c r="L1229" s="1" t="str">
        <f>IF(COUNTA(A1229:J1229)=0,"",IF(OR(AND(C1229&lt;&gt;"Gasto",C1229&lt;&gt;"Pago proveedor",C1229&lt;&gt;"Retiro familiar",C1229&lt;&gt;"Aportación",C1229&lt;&gt;"Pago activo",C1229&lt;&gt;"ISR devengado",C1229&lt;&gt;"Pago ISR",C1229&lt;&gt;"Pago IVA",C1229&lt;&gt;"Compensación ISR",C1229&lt;&gt;"Compensación IVA"),AND(C1229="Gasto",D1229&lt;&gt;"Costos clínicos",D1229&lt;&gt;"Remuneración familiar",D1229&lt;&gt;"Nómina y honorarios",D1229&lt;&gt;"Renta",D1229&lt;&gt;"Marketing",D1229&lt;&gt;"Servicios y software",D1229&lt;&gt;"Mantenimiento",D1229&lt;&gt;"Otros",D1229&lt;&gt;"Intereses")),"Tipo o categoría inválido",IF(COUNTA(A1229:J1229)=0,"",IF(OR(A1229="",B1229="",C1229="",H1229=""),"Faltan datos",IF(COUNTIF($A$7:$A$2006,A1229)&gt;1,"ID duplicado",IF(OR(B1229&lt;DATE(Configuración!$C$5,1,1),B1229&gt;=DATE(Configuración!$C$5+1,1,1)),"Fecha fuera del año",IF(OR(H1229&lt;0,I1229&lt;0),"Revisar signo",IF(AND(C1229&lt;&gt;"Gasto",I1229&lt;&gt;0),"IVA solo en Gasto",IF(AND(C1229="Gasto",D1229=""),"Falta categoría","OK")))))))))</f>
        <v/>
      </c>
    </row>
    <row r="1230" spans="1:12" ht="22" customHeight="1">
      <c r="A1230" s="3"/>
      <c r="B1230" s="7"/>
      <c r="C1230" s="3"/>
      <c r="D1230" s="3"/>
      <c r="E1230" s="3"/>
      <c r="F1230" s="3"/>
      <c r="G1230" s="3"/>
      <c r="H1230" s="4"/>
      <c r="I1230" s="4"/>
      <c r="J1230" s="3"/>
      <c r="K1230" s="8" t="str">
        <f t="shared" si="19"/>
        <v/>
      </c>
      <c r="L1230" s="1" t="str">
        <f>IF(COUNTA(A1230:J1230)=0,"",IF(OR(AND(C1230&lt;&gt;"Gasto",C1230&lt;&gt;"Pago proveedor",C1230&lt;&gt;"Retiro familiar",C1230&lt;&gt;"Aportación",C1230&lt;&gt;"Pago activo",C1230&lt;&gt;"ISR devengado",C1230&lt;&gt;"Pago ISR",C1230&lt;&gt;"Pago IVA",C1230&lt;&gt;"Compensación ISR",C1230&lt;&gt;"Compensación IVA"),AND(C1230="Gasto",D1230&lt;&gt;"Costos clínicos",D1230&lt;&gt;"Remuneración familiar",D1230&lt;&gt;"Nómina y honorarios",D1230&lt;&gt;"Renta",D1230&lt;&gt;"Marketing",D1230&lt;&gt;"Servicios y software",D1230&lt;&gt;"Mantenimiento",D1230&lt;&gt;"Otros",D1230&lt;&gt;"Intereses")),"Tipo o categoría inválido",IF(COUNTA(A1230:J1230)=0,"",IF(OR(A1230="",B1230="",C1230="",H1230=""),"Faltan datos",IF(COUNTIF($A$7:$A$2006,A1230)&gt;1,"ID duplicado",IF(OR(B1230&lt;DATE(Configuración!$C$5,1,1),B1230&gt;=DATE(Configuración!$C$5+1,1,1)),"Fecha fuera del año",IF(OR(H1230&lt;0,I1230&lt;0),"Revisar signo",IF(AND(C1230&lt;&gt;"Gasto",I1230&lt;&gt;0),"IVA solo en Gasto",IF(AND(C1230="Gasto",D1230=""),"Falta categoría","OK")))))))))</f>
        <v/>
      </c>
    </row>
    <row r="1231" spans="1:12" ht="22" customHeight="1">
      <c r="A1231" s="3"/>
      <c r="B1231" s="7"/>
      <c r="C1231" s="3"/>
      <c r="D1231" s="3"/>
      <c r="E1231" s="3"/>
      <c r="F1231" s="3"/>
      <c r="G1231" s="3"/>
      <c r="H1231" s="4"/>
      <c r="I1231" s="4"/>
      <c r="J1231" s="3"/>
      <c r="K1231" s="8" t="str">
        <f t="shared" si="19"/>
        <v/>
      </c>
      <c r="L1231" s="1" t="str">
        <f>IF(COUNTA(A1231:J1231)=0,"",IF(OR(AND(C1231&lt;&gt;"Gasto",C1231&lt;&gt;"Pago proveedor",C1231&lt;&gt;"Retiro familiar",C1231&lt;&gt;"Aportación",C1231&lt;&gt;"Pago activo",C1231&lt;&gt;"ISR devengado",C1231&lt;&gt;"Pago ISR",C1231&lt;&gt;"Pago IVA",C1231&lt;&gt;"Compensación ISR",C1231&lt;&gt;"Compensación IVA"),AND(C1231="Gasto",D1231&lt;&gt;"Costos clínicos",D1231&lt;&gt;"Remuneración familiar",D1231&lt;&gt;"Nómina y honorarios",D1231&lt;&gt;"Renta",D1231&lt;&gt;"Marketing",D1231&lt;&gt;"Servicios y software",D1231&lt;&gt;"Mantenimiento",D1231&lt;&gt;"Otros",D1231&lt;&gt;"Intereses")),"Tipo o categoría inválido",IF(COUNTA(A1231:J1231)=0,"",IF(OR(A1231="",B1231="",C1231="",H1231=""),"Faltan datos",IF(COUNTIF($A$7:$A$2006,A1231)&gt;1,"ID duplicado",IF(OR(B1231&lt;DATE(Configuración!$C$5,1,1),B1231&gt;=DATE(Configuración!$C$5+1,1,1)),"Fecha fuera del año",IF(OR(H1231&lt;0,I1231&lt;0),"Revisar signo",IF(AND(C1231&lt;&gt;"Gasto",I1231&lt;&gt;0),"IVA solo en Gasto",IF(AND(C1231="Gasto",D1231=""),"Falta categoría","OK")))))))))</f>
        <v/>
      </c>
    </row>
    <row r="1232" spans="1:12" ht="22" customHeight="1">
      <c r="A1232" s="3"/>
      <c r="B1232" s="7"/>
      <c r="C1232" s="3"/>
      <c r="D1232" s="3"/>
      <c r="E1232" s="3"/>
      <c r="F1232" s="3"/>
      <c r="G1232" s="3"/>
      <c r="H1232" s="4"/>
      <c r="I1232" s="4"/>
      <c r="J1232" s="3"/>
      <c r="K1232" s="8" t="str">
        <f t="shared" si="19"/>
        <v/>
      </c>
      <c r="L1232" s="1" t="str">
        <f>IF(COUNTA(A1232:J1232)=0,"",IF(OR(AND(C1232&lt;&gt;"Gasto",C1232&lt;&gt;"Pago proveedor",C1232&lt;&gt;"Retiro familiar",C1232&lt;&gt;"Aportación",C1232&lt;&gt;"Pago activo",C1232&lt;&gt;"ISR devengado",C1232&lt;&gt;"Pago ISR",C1232&lt;&gt;"Pago IVA",C1232&lt;&gt;"Compensación ISR",C1232&lt;&gt;"Compensación IVA"),AND(C1232="Gasto",D1232&lt;&gt;"Costos clínicos",D1232&lt;&gt;"Remuneración familiar",D1232&lt;&gt;"Nómina y honorarios",D1232&lt;&gt;"Renta",D1232&lt;&gt;"Marketing",D1232&lt;&gt;"Servicios y software",D1232&lt;&gt;"Mantenimiento",D1232&lt;&gt;"Otros",D1232&lt;&gt;"Intereses")),"Tipo o categoría inválido",IF(COUNTA(A1232:J1232)=0,"",IF(OR(A1232="",B1232="",C1232="",H1232=""),"Faltan datos",IF(COUNTIF($A$7:$A$2006,A1232)&gt;1,"ID duplicado",IF(OR(B1232&lt;DATE(Configuración!$C$5,1,1),B1232&gt;=DATE(Configuración!$C$5+1,1,1)),"Fecha fuera del año",IF(OR(H1232&lt;0,I1232&lt;0),"Revisar signo",IF(AND(C1232&lt;&gt;"Gasto",I1232&lt;&gt;0),"IVA solo en Gasto",IF(AND(C1232="Gasto",D1232=""),"Falta categoría","OK")))))))))</f>
        <v/>
      </c>
    </row>
    <row r="1233" spans="1:12" ht="22" customHeight="1">
      <c r="A1233" s="3"/>
      <c r="B1233" s="7"/>
      <c r="C1233" s="3"/>
      <c r="D1233" s="3"/>
      <c r="E1233" s="3"/>
      <c r="F1233" s="3"/>
      <c r="G1233" s="3"/>
      <c r="H1233" s="4"/>
      <c r="I1233" s="4"/>
      <c r="J1233" s="3"/>
      <c r="K1233" s="8" t="str">
        <f t="shared" si="19"/>
        <v/>
      </c>
      <c r="L1233" s="1" t="str">
        <f>IF(COUNTA(A1233:J1233)=0,"",IF(OR(AND(C1233&lt;&gt;"Gasto",C1233&lt;&gt;"Pago proveedor",C1233&lt;&gt;"Retiro familiar",C1233&lt;&gt;"Aportación",C1233&lt;&gt;"Pago activo",C1233&lt;&gt;"ISR devengado",C1233&lt;&gt;"Pago ISR",C1233&lt;&gt;"Pago IVA",C1233&lt;&gt;"Compensación ISR",C1233&lt;&gt;"Compensación IVA"),AND(C1233="Gasto",D1233&lt;&gt;"Costos clínicos",D1233&lt;&gt;"Remuneración familiar",D1233&lt;&gt;"Nómina y honorarios",D1233&lt;&gt;"Renta",D1233&lt;&gt;"Marketing",D1233&lt;&gt;"Servicios y software",D1233&lt;&gt;"Mantenimiento",D1233&lt;&gt;"Otros",D1233&lt;&gt;"Intereses")),"Tipo o categoría inválido",IF(COUNTA(A1233:J1233)=0,"",IF(OR(A1233="",B1233="",C1233="",H1233=""),"Faltan datos",IF(COUNTIF($A$7:$A$2006,A1233)&gt;1,"ID duplicado",IF(OR(B1233&lt;DATE(Configuración!$C$5,1,1),B1233&gt;=DATE(Configuración!$C$5+1,1,1)),"Fecha fuera del año",IF(OR(H1233&lt;0,I1233&lt;0),"Revisar signo",IF(AND(C1233&lt;&gt;"Gasto",I1233&lt;&gt;0),"IVA solo en Gasto",IF(AND(C1233="Gasto",D1233=""),"Falta categoría","OK")))))))))</f>
        <v/>
      </c>
    </row>
    <row r="1234" spans="1:12" ht="22" customHeight="1">
      <c r="A1234" s="3"/>
      <c r="B1234" s="7"/>
      <c r="C1234" s="3"/>
      <c r="D1234" s="3"/>
      <c r="E1234" s="3"/>
      <c r="F1234" s="3"/>
      <c r="G1234" s="3"/>
      <c r="H1234" s="4"/>
      <c r="I1234" s="4"/>
      <c r="J1234" s="3"/>
      <c r="K1234" s="8" t="str">
        <f t="shared" si="19"/>
        <v/>
      </c>
      <c r="L1234" s="1" t="str">
        <f>IF(COUNTA(A1234:J1234)=0,"",IF(OR(AND(C1234&lt;&gt;"Gasto",C1234&lt;&gt;"Pago proveedor",C1234&lt;&gt;"Retiro familiar",C1234&lt;&gt;"Aportación",C1234&lt;&gt;"Pago activo",C1234&lt;&gt;"ISR devengado",C1234&lt;&gt;"Pago ISR",C1234&lt;&gt;"Pago IVA",C1234&lt;&gt;"Compensación ISR",C1234&lt;&gt;"Compensación IVA"),AND(C1234="Gasto",D1234&lt;&gt;"Costos clínicos",D1234&lt;&gt;"Remuneración familiar",D1234&lt;&gt;"Nómina y honorarios",D1234&lt;&gt;"Renta",D1234&lt;&gt;"Marketing",D1234&lt;&gt;"Servicios y software",D1234&lt;&gt;"Mantenimiento",D1234&lt;&gt;"Otros",D1234&lt;&gt;"Intereses")),"Tipo o categoría inválido",IF(COUNTA(A1234:J1234)=0,"",IF(OR(A1234="",B1234="",C1234="",H1234=""),"Faltan datos",IF(COUNTIF($A$7:$A$2006,A1234)&gt;1,"ID duplicado",IF(OR(B1234&lt;DATE(Configuración!$C$5,1,1),B1234&gt;=DATE(Configuración!$C$5+1,1,1)),"Fecha fuera del año",IF(OR(H1234&lt;0,I1234&lt;0),"Revisar signo",IF(AND(C1234&lt;&gt;"Gasto",I1234&lt;&gt;0),"IVA solo en Gasto",IF(AND(C1234="Gasto",D1234=""),"Falta categoría","OK")))))))))</f>
        <v/>
      </c>
    </row>
    <row r="1235" spans="1:12" ht="22" customHeight="1">
      <c r="A1235" s="3"/>
      <c r="B1235" s="7"/>
      <c r="C1235" s="3"/>
      <c r="D1235" s="3"/>
      <c r="E1235" s="3"/>
      <c r="F1235" s="3"/>
      <c r="G1235" s="3"/>
      <c r="H1235" s="4"/>
      <c r="I1235" s="4"/>
      <c r="J1235" s="3"/>
      <c r="K1235" s="8" t="str">
        <f t="shared" si="19"/>
        <v/>
      </c>
      <c r="L1235" s="1" t="str">
        <f>IF(COUNTA(A1235:J1235)=0,"",IF(OR(AND(C1235&lt;&gt;"Gasto",C1235&lt;&gt;"Pago proveedor",C1235&lt;&gt;"Retiro familiar",C1235&lt;&gt;"Aportación",C1235&lt;&gt;"Pago activo",C1235&lt;&gt;"ISR devengado",C1235&lt;&gt;"Pago ISR",C1235&lt;&gt;"Pago IVA",C1235&lt;&gt;"Compensación ISR",C1235&lt;&gt;"Compensación IVA"),AND(C1235="Gasto",D1235&lt;&gt;"Costos clínicos",D1235&lt;&gt;"Remuneración familiar",D1235&lt;&gt;"Nómina y honorarios",D1235&lt;&gt;"Renta",D1235&lt;&gt;"Marketing",D1235&lt;&gt;"Servicios y software",D1235&lt;&gt;"Mantenimiento",D1235&lt;&gt;"Otros",D1235&lt;&gt;"Intereses")),"Tipo o categoría inválido",IF(COUNTA(A1235:J1235)=0,"",IF(OR(A1235="",B1235="",C1235="",H1235=""),"Faltan datos",IF(COUNTIF($A$7:$A$2006,A1235)&gt;1,"ID duplicado",IF(OR(B1235&lt;DATE(Configuración!$C$5,1,1),B1235&gt;=DATE(Configuración!$C$5+1,1,1)),"Fecha fuera del año",IF(OR(H1235&lt;0,I1235&lt;0),"Revisar signo",IF(AND(C1235&lt;&gt;"Gasto",I1235&lt;&gt;0),"IVA solo en Gasto",IF(AND(C1235="Gasto",D1235=""),"Falta categoría","OK")))))))))</f>
        <v/>
      </c>
    </row>
    <row r="1236" spans="1:12" ht="22" customHeight="1">
      <c r="A1236" s="3"/>
      <c r="B1236" s="7"/>
      <c r="C1236" s="3"/>
      <c r="D1236" s="3"/>
      <c r="E1236" s="3"/>
      <c r="F1236" s="3"/>
      <c r="G1236" s="3"/>
      <c r="H1236" s="4"/>
      <c r="I1236" s="4"/>
      <c r="J1236" s="3"/>
      <c r="K1236" s="8" t="str">
        <f t="shared" si="19"/>
        <v/>
      </c>
      <c r="L1236" s="1" t="str">
        <f>IF(COUNTA(A1236:J1236)=0,"",IF(OR(AND(C1236&lt;&gt;"Gasto",C1236&lt;&gt;"Pago proveedor",C1236&lt;&gt;"Retiro familiar",C1236&lt;&gt;"Aportación",C1236&lt;&gt;"Pago activo",C1236&lt;&gt;"ISR devengado",C1236&lt;&gt;"Pago ISR",C1236&lt;&gt;"Pago IVA",C1236&lt;&gt;"Compensación ISR",C1236&lt;&gt;"Compensación IVA"),AND(C1236="Gasto",D1236&lt;&gt;"Costos clínicos",D1236&lt;&gt;"Remuneración familiar",D1236&lt;&gt;"Nómina y honorarios",D1236&lt;&gt;"Renta",D1236&lt;&gt;"Marketing",D1236&lt;&gt;"Servicios y software",D1236&lt;&gt;"Mantenimiento",D1236&lt;&gt;"Otros",D1236&lt;&gt;"Intereses")),"Tipo o categoría inválido",IF(COUNTA(A1236:J1236)=0,"",IF(OR(A1236="",B1236="",C1236="",H1236=""),"Faltan datos",IF(COUNTIF($A$7:$A$2006,A1236)&gt;1,"ID duplicado",IF(OR(B1236&lt;DATE(Configuración!$C$5,1,1),B1236&gt;=DATE(Configuración!$C$5+1,1,1)),"Fecha fuera del año",IF(OR(H1236&lt;0,I1236&lt;0),"Revisar signo",IF(AND(C1236&lt;&gt;"Gasto",I1236&lt;&gt;0),"IVA solo en Gasto",IF(AND(C1236="Gasto",D1236=""),"Falta categoría","OK")))))))))</f>
        <v/>
      </c>
    </row>
    <row r="1237" spans="1:12" ht="22" customHeight="1">
      <c r="A1237" s="3"/>
      <c r="B1237" s="7"/>
      <c r="C1237" s="3"/>
      <c r="D1237" s="3"/>
      <c r="E1237" s="3"/>
      <c r="F1237" s="3"/>
      <c r="G1237" s="3"/>
      <c r="H1237" s="4"/>
      <c r="I1237" s="4"/>
      <c r="J1237" s="3"/>
      <c r="K1237" s="8" t="str">
        <f t="shared" si="19"/>
        <v/>
      </c>
      <c r="L1237" s="1" t="str">
        <f>IF(COUNTA(A1237:J1237)=0,"",IF(OR(AND(C1237&lt;&gt;"Gasto",C1237&lt;&gt;"Pago proveedor",C1237&lt;&gt;"Retiro familiar",C1237&lt;&gt;"Aportación",C1237&lt;&gt;"Pago activo",C1237&lt;&gt;"ISR devengado",C1237&lt;&gt;"Pago ISR",C1237&lt;&gt;"Pago IVA",C1237&lt;&gt;"Compensación ISR",C1237&lt;&gt;"Compensación IVA"),AND(C1237="Gasto",D1237&lt;&gt;"Costos clínicos",D1237&lt;&gt;"Remuneración familiar",D1237&lt;&gt;"Nómina y honorarios",D1237&lt;&gt;"Renta",D1237&lt;&gt;"Marketing",D1237&lt;&gt;"Servicios y software",D1237&lt;&gt;"Mantenimiento",D1237&lt;&gt;"Otros",D1237&lt;&gt;"Intereses")),"Tipo o categoría inválido",IF(COUNTA(A1237:J1237)=0,"",IF(OR(A1237="",B1237="",C1237="",H1237=""),"Faltan datos",IF(COUNTIF($A$7:$A$2006,A1237)&gt;1,"ID duplicado",IF(OR(B1237&lt;DATE(Configuración!$C$5,1,1),B1237&gt;=DATE(Configuración!$C$5+1,1,1)),"Fecha fuera del año",IF(OR(H1237&lt;0,I1237&lt;0),"Revisar signo",IF(AND(C1237&lt;&gt;"Gasto",I1237&lt;&gt;0),"IVA solo en Gasto",IF(AND(C1237="Gasto",D1237=""),"Falta categoría","OK")))))))))</f>
        <v/>
      </c>
    </row>
    <row r="1238" spans="1:12" ht="22" customHeight="1">
      <c r="A1238" s="3"/>
      <c r="B1238" s="7"/>
      <c r="C1238" s="3"/>
      <c r="D1238" s="3"/>
      <c r="E1238" s="3"/>
      <c r="F1238" s="3"/>
      <c r="G1238" s="3"/>
      <c r="H1238" s="4"/>
      <c r="I1238" s="4"/>
      <c r="J1238" s="3"/>
      <c r="K1238" s="8" t="str">
        <f t="shared" si="19"/>
        <v/>
      </c>
      <c r="L1238" s="1" t="str">
        <f>IF(COUNTA(A1238:J1238)=0,"",IF(OR(AND(C1238&lt;&gt;"Gasto",C1238&lt;&gt;"Pago proveedor",C1238&lt;&gt;"Retiro familiar",C1238&lt;&gt;"Aportación",C1238&lt;&gt;"Pago activo",C1238&lt;&gt;"ISR devengado",C1238&lt;&gt;"Pago ISR",C1238&lt;&gt;"Pago IVA",C1238&lt;&gt;"Compensación ISR",C1238&lt;&gt;"Compensación IVA"),AND(C1238="Gasto",D1238&lt;&gt;"Costos clínicos",D1238&lt;&gt;"Remuneración familiar",D1238&lt;&gt;"Nómina y honorarios",D1238&lt;&gt;"Renta",D1238&lt;&gt;"Marketing",D1238&lt;&gt;"Servicios y software",D1238&lt;&gt;"Mantenimiento",D1238&lt;&gt;"Otros",D1238&lt;&gt;"Intereses")),"Tipo o categoría inválido",IF(COUNTA(A1238:J1238)=0,"",IF(OR(A1238="",B1238="",C1238="",H1238=""),"Faltan datos",IF(COUNTIF($A$7:$A$2006,A1238)&gt;1,"ID duplicado",IF(OR(B1238&lt;DATE(Configuración!$C$5,1,1),B1238&gt;=DATE(Configuración!$C$5+1,1,1)),"Fecha fuera del año",IF(OR(H1238&lt;0,I1238&lt;0),"Revisar signo",IF(AND(C1238&lt;&gt;"Gasto",I1238&lt;&gt;0),"IVA solo en Gasto",IF(AND(C1238="Gasto",D1238=""),"Falta categoría","OK")))))))))</f>
        <v/>
      </c>
    </row>
    <row r="1239" spans="1:12" ht="22" customHeight="1">
      <c r="A1239" s="3"/>
      <c r="B1239" s="7"/>
      <c r="C1239" s="3"/>
      <c r="D1239" s="3"/>
      <c r="E1239" s="3"/>
      <c r="F1239" s="3"/>
      <c r="G1239" s="3"/>
      <c r="H1239" s="4"/>
      <c r="I1239" s="4"/>
      <c r="J1239" s="3"/>
      <c r="K1239" s="8" t="str">
        <f t="shared" si="19"/>
        <v/>
      </c>
      <c r="L1239" s="1" t="str">
        <f>IF(COUNTA(A1239:J1239)=0,"",IF(OR(AND(C1239&lt;&gt;"Gasto",C1239&lt;&gt;"Pago proveedor",C1239&lt;&gt;"Retiro familiar",C1239&lt;&gt;"Aportación",C1239&lt;&gt;"Pago activo",C1239&lt;&gt;"ISR devengado",C1239&lt;&gt;"Pago ISR",C1239&lt;&gt;"Pago IVA",C1239&lt;&gt;"Compensación ISR",C1239&lt;&gt;"Compensación IVA"),AND(C1239="Gasto",D1239&lt;&gt;"Costos clínicos",D1239&lt;&gt;"Remuneración familiar",D1239&lt;&gt;"Nómina y honorarios",D1239&lt;&gt;"Renta",D1239&lt;&gt;"Marketing",D1239&lt;&gt;"Servicios y software",D1239&lt;&gt;"Mantenimiento",D1239&lt;&gt;"Otros",D1239&lt;&gt;"Intereses")),"Tipo o categoría inválido",IF(COUNTA(A1239:J1239)=0,"",IF(OR(A1239="",B1239="",C1239="",H1239=""),"Faltan datos",IF(COUNTIF($A$7:$A$2006,A1239)&gt;1,"ID duplicado",IF(OR(B1239&lt;DATE(Configuración!$C$5,1,1),B1239&gt;=DATE(Configuración!$C$5+1,1,1)),"Fecha fuera del año",IF(OR(H1239&lt;0,I1239&lt;0),"Revisar signo",IF(AND(C1239&lt;&gt;"Gasto",I1239&lt;&gt;0),"IVA solo en Gasto",IF(AND(C1239="Gasto",D1239=""),"Falta categoría","OK")))))))))</f>
        <v/>
      </c>
    </row>
    <row r="1240" spans="1:12" ht="22" customHeight="1">
      <c r="A1240" s="3"/>
      <c r="B1240" s="7"/>
      <c r="C1240" s="3"/>
      <c r="D1240" s="3"/>
      <c r="E1240" s="3"/>
      <c r="F1240" s="3"/>
      <c r="G1240" s="3"/>
      <c r="H1240" s="4"/>
      <c r="I1240" s="4"/>
      <c r="J1240" s="3"/>
      <c r="K1240" s="8" t="str">
        <f t="shared" si="19"/>
        <v/>
      </c>
      <c r="L1240" s="1" t="str">
        <f>IF(COUNTA(A1240:J1240)=0,"",IF(OR(AND(C1240&lt;&gt;"Gasto",C1240&lt;&gt;"Pago proveedor",C1240&lt;&gt;"Retiro familiar",C1240&lt;&gt;"Aportación",C1240&lt;&gt;"Pago activo",C1240&lt;&gt;"ISR devengado",C1240&lt;&gt;"Pago ISR",C1240&lt;&gt;"Pago IVA",C1240&lt;&gt;"Compensación ISR",C1240&lt;&gt;"Compensación IVA"),AND(C1240="Gasto",D1240&lt;&gt;"Costos clínicos",D1240&lt;&gt;"Remuneración familiar",D1240&lt;&gt;"Nómina y honorarios",D1240&lt;&gt;"Renta",D1240&lt;&gt;"Marketing",D1240&lt;&gt;"Servicios y software",D1240&lt;&gt;"Mantenimiento",D1240&lt;&gt;"Otros",D1240&lt;&gt;"Intereses")),"Tipo o categoría inválido",IF(COUNTA(A1240:J1240)=0,"",IF(OR(A1240="",B1240="",C1240="",H1240=""),"Faltan datos",IF(COUNTIF($A$7:$A$2006,A1240)&gt;1,"ID duplicado",IF(OR(B1240&lt;DATE(Configuración!$C$5,1,1),B1240&gt;=DATE(Configuración!$C$5+1,1,1)),"Fecha fuera del año",IF(OR(H1240&lt;0,I1240&lt;0),"Revisar signo",IF(AND(C1240&lt;&gt;"Gasto",I1240&lt;&gt;0),"IVA solo en Gasto",IF(AND(C1240="Gasto",D1240=""),"Falta categoría","OK")))))))))</f>
        <v/>
      </c>
    </row>
    <row r="1241" spans="1:12" ht="22" customHeight="1">
      <c r="A1241" s="3"/>
      <c r="B1241" s="7"/>
      <c r="C1241" s="3"/>
      <c r="D1241" s="3"/>
      <c r="E1241" s="3"/>
      <c r="F1241" s="3"/>
      <c r="G1241" s="3"/>
      <c r="H1241" s="4"/>
      <c r="I1241" s="4"/>
      <c r="J1241" s="3"/>
      <c r="K1241" s="8" t="str">
        <f t="shared" si="19"/>
        <v/>
      </c>
      <c r="L1241" s="1" t="str">
        <f>IF(COUNTA(A1241:J1241)=0,"",IF(OR(AND(C1241&lt;&gt;"Gasto",C1241&lt;&gt;"Pago proveedor",C1241&lt;&gt;"Retiro familiar",C1241&lt;&gt;"Aportación",C1241&lt;&gt;"Pago activo",C1241&lt;&gt;"ISR devengado",C1241&lt;&gt;"Pago ISR",C1241&lt;&gt;"Pago IVA",C1241&lt;&gt;"Compensación ISR",C1241&lt;&gt;"Compensación IVA"),AND(C1241="Gasto",D1241&lt;&gt;"Costos clínicos",D1241&lt;&gt;"Remuneración familiar",D1241&lt;&gt;"Nómina y honorarios",D1241&lt;&gt;"Renta",D1241&lt;&gt;"Marketing",D1241&lt;&gt;"Servicios y software",D1241&lt;&gt;"Mantenimiento",D1241&lt;&gt;"Otros",D1241&lt;&gt;"Intereses")),"Tipo o categoría inválido",IF(COUNTA(A1241:J1241)=0,"",IF(OR(A1241="",B1241="",C1241="",H1241=""),"Faltan datos",IF(COUNTIF($A$7:$A$2006,A1241)&gt;1,"ID duplicado",IF(OR(B1241&lt;DATE(Configuración!$C$5,1,1),B1241&gt;=DATE(Configuración!$C$5+1,1,1)),"Fecha fuera del año",IF(OR(H1241&lt;0,I1241&lt;0),"Revisar signo",IF(AND(C1241&lt;&gt;"Gasto",I1241&lt;&gt;0),"IVA solo en Gasto",IF(AND(C1241="Gasto",D1241=""),"Falta categoría","OK")))))))))</f>
        <v/>
      </c>
    </row>
    <row r="1242" spans="1:12" ht="22" customHeight="1">
      <c r="A1242" s="3"/>
      <c r="B1242" s="7"/>
      <c r="C1242" s="3"/>
      <c r="D1242" s="3"/>
      <c r="E1242" s="3"/>
      <c r="F1242" s="3"/>
      <c r="G1242" s="3"/>
      <c r="H1242" s="4"/>
      <c r="I1242" s="4"/>
      <c r="J1242" s="3"/>
      <c r="K1242" s="8" t="str">
        <f t="shared" si="19"/>
        <v/>
      </c>
      <c r="L1242" s="1" t="str">
        <f>IF(COUNTA(A1242:J1242)=0,"",IF(OR(AND(C1242&lt;&gt;"Gasto",C1242&lt;&gt;"Pago proveedor",C1242&lt;&gt;"Retiro familiar",C1242&lt;&gt;"Aportación",C1242&lt;&gt;"Pago activo",C1242&lt;&gt;"ISR devengado",C1242&lt;&gt;"Pago ISR",C1242&lt;&gt;"Pago IVA",C1242&lt;&gt;"Compensación ISR",C1242&lt;&gt;"Compensación IVA"),AND(C1242="Gasto",D1242&lt;&gt;"Costos clínicos",D1242&lt;&gt;"Remuneración familiar",D1242&lt;&gt;"Nómina y honorarios",D1242&lt;&gt;"Renta",D1242&lt;&gt;"Marketing",D1242&lt;&gt;"Servicios y software",D1242&lt;&gt;"Mantenimiento",D1242&lt;&gt;"Otros",D1242&lt;&gt;"Intereses")),"Tipo o categoría inválido",IF(COUNTA(A1242:J1242)=0,"",IF(OR(A1242="",B1242="",C1242="",H1242=""),"Faltan datos",IF(COUNTIF($A$7:$A$2006,A1242)&gt;1,"ID duplicado",IF(OR(B1242&lt;DATE(Configuración!$C$5,1,1),B1242&gt;=DATE(Configuración!$C$5+1,1,1)),"Fecha fuera del año",IF(OR(H1242&lt;0,I1242&lt;0),"Revisar signo",IF(AND(C1242&lt;&gt;"Gasto",I1242&lt;&gt;0),"IVA solo en Gasto",IF(AND(C1242="Gasto",D1242=""),"Falta categoría","OK")))))))))</f>
        <v/>
      </c>
    </row>
    <row r="1243" spans="1:12" ht="22" customHeight="1">
      <c r="A1243" s="3"/>
      <c r="B1243" s="7"/>
      <c r="C1243" s="3"/>
      <c r="D1243" s="3"/>
      <c r="E1243" s="3"/>
      <c r="F1243" s="3"/>
      <c r="G1243" s="3"/>
      <c r="H1243" s="4"/>
      <c r="I1243" s="4"/>
      <c r="J1243" s="3"/>
      <c r="K1243" s="8" t="str">
        <f t="shared" si="19"/>
        <v/>
      </c>
      <c r="L1243" s="1" t="str">
        <f>IF(COUNTA(A1243:J1243)=0,"",IF(OR(AND(C1243&lt;&gt;"Gasto",C1243&lt;&gt;"Pago proveedor",C1243&lt;&gt;"Retiro familiar",C1243&lt;&gt;"Aportación",C1243&lt;&gt;"Pago activo",C1243&lt;&gt;"ISR devengado",C1243&lt;&gt;"Pago ISR",C1243&lt;&gt;"Pago IVA",C1243&lt;&gt;"Compensación ISR",C1243&lt;&gt;"Compensación IVA"),AND(C1243="Gasto",D1243&lt;&gt;"Costos clínicos",D1243&lt;&gt;"Remuneración familiar",D1243&lt;&gt;"Nómina y honorarios",D1243&lt;&gt;"Renta",D1243&lt;&gt;"Marketing",D1243&lt;&gt;"Servicios y software",D1243&lt;&gt;"Mantenimiento",D1243&lt;&gt;"Otros",D1243&lt;&gt;"Intereses")),"Tipo o categoría inválido",IF(COUNTA(A1243:J1243)=0,"",IF(OR(A1243="",B1243="",C1243="",H1243=""),"Faltan datos",IF(COUNTIF($A$7:$A$2006,A1243)&gt;1,"ID duplicado",IF(OR(B1243&lt;DATE(Configuración!$C$5,1,1),B1243&gt;=DATE(Configuración!$C$5+1,1,1)),"Fecha fuera del año",IF(OR(H1243&lt;0,I1243&lt;0),"Revisar signo",IF(AND(C1243&lt;&gt;"Gasto",I1243&lt;&gt;0),"IVA solo en Gasto",IF(AND(C1243="Gasto",D1243=""),"Falta categoría","OK")))))))))</f>
        <v/>
      </c>
    </row>
    <row r="1244" spans="1:12" ht="22" customHeight="1">
      <c r="A1244" s="3"/>
      <c r="B1244" s="7"/>
      <c r="C1244" s="3"/>
      <c r="D1244" s="3"/>
      <c r="E1244" s="3"/>
      <c r="F1244" s="3"/>
      <c r="G1244" s="3"/>
      <c r="H1244" s="4"/>
      <c r="I1244" s="4"/>
      <c r="J1244" s="3"/>
      <c r="K1244" s="8" t="str">
        <f t="shared" si="19"/>
        <v/>
      </c>
      <c r="L1244" s="1" t="str">
        <f>IF(COUNTA(A1244:J1244)=0,"",IF(OR(AND(C1244&lt;&gt;"Gasto",C1244&lt;&gt;"Pago proveedor",C1244&lt;&gt;"Retiro familiar",C1244&lt;&gt;"Aportación",C1244&lt;&gt;"Pago activo",C1244&lt;&gt;"ISR devengado",C1244&lt;&gt;"Pago ISR",C1244&lt;&gt;"Pago IVA",C1244&lt;&gt;"Compensación ISR",C1244&lt;&gt;"Compensación IVA"),AND(C1244="Gasto",D1244&lt;&gt;"Costos clínicos",D1244&lt;&gt;"Remuneración familiar",D1244&lt;&gt;"Nómina y honorarios",D1244&lt;&gt;"Renta",D1244&lt;&gt;"Marketing",D1244&lt;&gt;"Servicios y software",D1244&lt;&gt;"Mantenimiento",D1244&lt;&gt;"Otros",D1244&lt;&gt;"Intereses")),"Tipo o categoría inválido",IF(COUNTA(A1244:J1244)=0,"",IF(OR(A1244="",B1244="",C1244="",H1244=""),"Faltan datos",IF(COUNTIF($A$7:$A$2006,A1244)&gt;1,"ID duplicado",IF(OR(B1244&lt;DATE(Configuración!$C$5,1,1),B1244&gt;=DATE(Configuración!$C$5+1,1,1)),"Fecha fuera del año",IF(OR(H1244&lt;0,I1244&lt;0),"Revisar signo",IF(AND(C1244&lt;&gt;"Gasto",I1244&lt;&gt;0),"IVA solo en Gasto",IF(AND(C1244="Gasto",D1244=""),"Falta categoría","OK")))))))))</f>
        <v/>
      </c>
    </row>
    <row r="1245" spans="1:12" ht="22" customHeight="1">
      <c r="A1245" s="3"/>
      <c r="B1245" s="7"/>
      <c r="C1245" s="3"/>
      <c r="D1245" s="3"/>
      <c r="E1245" s="3"/>
      <c r="F1245" s="3"/>
      <c r="G1245" s="3"/>
      <c r="H1245" s="4"/>
      <c r="I1245" s="4"/>
      <c r="J1245" s="3"/>
      <c r="K1245" s="8" t="str">
        <f t="shared" si="19"/>
        <v/>
      </c>
      <c r="L1245" s="1" t="str">
        <f>IF(COUNTA(A1245:J1245)=0,"",IF(OR(AND(C1245&lt;&gt;"Gasto",C1245&lt;&gt;"Pago proveedor",C1245&lt;&gt;"Retiro familiar",C1245&lt;&gt;"Aportación",C1245&lt;&gt;"Pago activo",C1245&lt;&gt;"ISR devengado",C1245&lt;&gt;"Pago ISR",C1245&lt;&gt;"Pago IVA",C1245&lt;&gt;"Compensación ISR",C1245&lt;&gt;"Compensación IVA"),AND(C1245="Gasto",D1245&lt;&gt;"Costos clínicos",D1245&lt;&gt;"Remuneración familiar",D1245&lt;&gt;"Nómina y honorarios",D1245&lt;&gt;"Renta",D1245&lt;&gt;"Marketing",D1245&lt;&gt;"Servicios y software",D1245&lt;&gt;"Mantenimiento",D1245&lt;&gt;"Otros",D1245&lt;&gt;"Intereses")),"Tipo o categoría inválido",IF(COUNTA(A1245:J1245)=0,"",IF(OR(A1245="",B1245="",C1245="",H1245=""),"Faltan datos",IF(COUNTIF($A$7:$A$2006,A1245)&gt;1,"ID duplicado",IF(OR(B1245&lt;DATE(Configuración!$C$5,1,1),B1245&gt;=DATE(Configuración!$C$5+1,1,1)),"Fecha fuera del año",IF(OR(H1245&lt;0,I1245&lt;0),"Revisar signo",IF(AND(C1245&lt;&gt;"Gasto",I1245&lt;&gt;0),"IVA solo en Gasto",IF(AND(C1245="Gasto",D1245=""),"Falta categoría","OK")))))))))</f>
        <v/>
      </c>
    </row>
    <row r="1246" spans="1:12" ht="22" customHeight="1">
      <c r="A1246" s="3"/>
      <c r="B1246" s="7"/>
      <c r="C1246" s="3"/>
      <c r="D1246" s="3"/>
      <c r="E1246" s="3"/>
      <c r="F1246" s="3"/>
      <c r="G1246" s="3"/>
      <c r="H1246" s="4"/>
      <c r="I1246" s="4"/>
      <c r="J1246" s="3"/>
      <c r="K1246" s="8" t="str">
        <f t="shared" si="19"/>
        <v/>
      </c>
      <c r="L1246" s="1" t="str">
        <f>IF(COUNTA(A1246:J1246)=0,"",IF(OR(AND(C1246&lt;&gt;"Gasto",C1246&lt;&gt;"Pago proveedor",C1246&lt;&gt;"Retiro familiar",C1246&lt;&gt;"Aportación",C1246&lt;&gt;"Pago activo",C1246&lt;&gt;"ISR devengado",C1246&lt;&gt;"Pago ISR",C1246&lt;&gt;"Pago IVA",C1246&lt;&gt;"Compensación ISR",C1246&lt;&gt;"Compensación IVA"),AND(C1246="Gasto",D1246&lt;&gt;"Costos clínicos",D1246&lt;&gt;"Remuneración familiar",D1246&lt;&gt;"Nómina y honorarios",D1246&lt;&gt;"Renta",D1246&lt;&gt;"Marketing",D1246&lt;&gt;"Servicios y software",D1246&lt;&gt;"Mantenimiento",D1246&lt;&gt;"Otros",D1246&lt;&gt;"Intereses")),"Tipo o categoría inválido",IF(COUNTA(A1246:J1246)=0,"",IF(OR(A1246="",B1246="",C1246="",H1246=""),"Faltan datos",IF(COUNTIF($A$7:$A$2006,A1246)&gt;1,"ID duplicado",IF(OR(B1246&lt;DATE(Configuración!$C$5,1,1),B1246&gt;=DATE(Configuración!$C$5+1,1,1)),"Fecha fuera del año",IF(OR(H1246&lt;0,I1246&lt;0),"Revisar signo",IF(AND(C1246&lt;&gt;"Gasto",I1246&lt;&gt;0),"IVA solo en Gasto",IF(AND(C1246="Gasto",D1246=""),"Falta categoría","OK")))))))))</f>
        <v/>
      </c>
    </row>
    <row r="1247" spans="1:12" ht="22" customHeight="1">
      <c r="A1247" s="3"/>
      <c r="B1247" s="7"/>
      <c r="C1247" s="3"/>
      <c r="D1247" s="3"/>
      <c r="E1247" s="3"/>
      <c r="F1247" s="3"/>
      <c r="G1247" s="3"/>
      <c r="H1247" s="4"/>
      <c r="I1247" s="4"/>
      <c r="J1247" s="3"/>
      <c r="K1247" s="8" t="str">
        <f t="shared" si="19"/>
        <v/>
      </c>
      <c r="L1247" s="1" t="str">
        <f>IF(COUNTA(A1247:J1247)=0,"",IF(OR(AND(C1247&lt;&gt;"Gasto",C1247&lt;&gt;"Pago proveedor",C1247&lt;&gt;"Retiro familiar",C1247&lt;&gt;"Aportación",C1247&lt;&gt;"Pago activo",C1247&lt;&gt;"ISR devengado",C1247&lt;&gt;"Pago ISR",C1247&lt;&gt;"Pago IVA",C1247&lt;&gt;"Compensación ISR",C1247&lt;&gt;"Compensación IVA"),AND(C1247="Gasto",D1247&lt;&gt;"Costos clínicos",D1247&lt;&gt;"Remuneración familiar",D1247&lt;&gt;"Nómina y honorarios",D1247&lt;&gt;"Renta",D1247&lt;&gt;"Marketing",D1247&lt;&gt;"Servicios y software",D1247&lt;&gt;"Mantenimiento",D1247&lt;&gt;"Otros",D1247&lt;&gt;"Intereses")),"Tipo o categoría inválido",IF(COUNTA(A1247:J1247)=0,"",IF(OR(A1247="",B1247="",C1247="",H1247=""),"Faltan datos",IF(COUNTIF($A$7:$A$2006,A1247)&gt;1,"ID duplicado",IF(OR(B1247&lt;DATE(Configuración!$C$5,1,1),B1247&gt;=DATE(Configuración!$C$5+1,1,1)),"Fecha fuera del año",IF(OR(H1247&lt;0,I1247&lt;0),"Revisar signo",IF(AND(C1247&lt;&gt;"Gasto",I1247&lt;&gt;0),"IVA solo en Gasto",IF(AND(C1247="Gasto",D1247=""),"Falta categoría","OK")))))))))</f>
        <v/>
      </c>
    </row>
    <row r="1248" spans="1:12" ht="22" customHeight="1">
      <c r="A1248" s="3"/>
      <c r="B1248" s="7"/>
      <c r="C1248" s="3"/>
      <c r="D1248" s="3"/>
      <c r="E1248" s="3"/>
      <c r="F1248" s="3"/>
      <c r="G1248" s="3"/>
      <c r="H1248" s="4"/>
      <c r="I1248" s="4"/>
      <c r="J1248" s="3"/>
      <c r="K1248" s="8" t="str">
        <f t="shared" si="19"/>
        <v/>
      </c>
      <c r="L1248" s="1" t="str">
        <f>IF(COUNTA(A1248:J1248)=0,"",IF(OR(AND(C1248&lt;&gt;"Gasto",C1248&lt;&gt;"Pago proveedor",C1248&lt;&gt;"Retiro familiar",C1248&lt;&gt;"Aportación",C1248&lt;&gt;"Pago activo",C1248&lt;&gt;"ISR devengado",C1248&lt;&gt;"Pago ISR",C1248&lt;&gt;"Pago IVA",C1248&lt;&gt;"Compensación ISR",C1248&lt;&gt;"Compensación IVA"),AND(C1248="Gasto",D1248&lt;&gt;"Costos clínicos",D1248&lt;&gt;"Remuneración familiar",D1248&lt;&gt;"Nómina y honorarios",D1248&lt;&gt;"Renta",D1248&lt;&gt;"Marketing",D1248&lt;&gt;"Servicios y software",D1248&lt;&gt;"Mantenimiento",D1248&lt;&gt;"Otros",D1248&lt;&gt;"Intereses")),"Tipo o categoría inválido",IF(COUNTA(A1248:J1248)=0,"",IF(OR(A1248="",B1248="",C1248="",H1248=""),"Faltan datos",IF(COUNTIF($A$7:$A$2006,A1248)&gt;1,"ID duplicado",IF(OR(B1248&lt;DATE(Configuración!$C$5,1,1),B1248&gt;=DATE(Configuración!$C$5+1,1,1)),"Fecha fuera del año",IF(OR(H1248&lt;0,I1248&lt;0),"Revisar signo",IF(AND(C1248&lt;&gt;"Gasto",I1248&lt;&gt;0),"IVA solo en Gasto",IF(AND(C1248="Gasto",D1248=""),"Falta categoría","OK")))))))))</f>
        <v/>
      </c>
    </row>
    <row r="1249" spans="1:12" ht="22" customHeight="1">
      <c r="A1249" s="3"/>
      <c r="B1249" s="7"/>
      <c r="C1249" s="3"/>
      <c r="D1249" s="3"/>
      <c r="E1249" s="3"/>
      <c r="F1249" s="3"/>
      <c r="G1249" s="3"/>
      <c r="H1249" s="4"/>
      <c r="I1249" s="4"/>
      <c r="J1249" s="3"/>
      <c r="K1249" s="8" t="str">
        <f t="shared" si="19"/>
        <v/>
      </c>
      <c r="L1249" s="1" t="str">
        <f>IF(COUNTA(A1249:J1249)=0,"",IF(OR(AND(C1249&lt;&gt;"Gasto",C1249&lt;&gt;"Pago proveedor",C1249&lt;&gt;"Retiro familiar",C1249&lt;&gt;"Aportación",C1249&lt;&gt;"Pago activo",C1249&lt;&gt;"ISR devengado",C1249&lt;&gt;"Pago ISR",C1249&lt;&gt;"Pago IVA",C1249&lt;&gt;"Compensación ISR",C1249&lt;&gt;"Compensación IVA"),AND(C1249="Gasto",D1249&lt;&gt;"Costos clínicos",D1249&lt;&gt;"Remuneración familiar",D1249&lt;&gt;"Nómina y honorarios",D1249&lt;&gt;"Renta",D1249&lt;&gt;"Marketing",D1249&lt;&gt;"Servicios y software",D1249&lt;&gt;"Mantenimiento",D1249&lt;&gt;"Otros",D1249&lt;&gt;"Intereses")),"Tipo o categoría inválido",IF(COUNTA(A1249:J1249)=0,"",IF(OR(A1249="",B1249="",C1249="",H1249=""),"Faltan datos",IF(COUNTIF($A$7:$A$2006,A1249)&gt;1,"ID duplicado",IF(OR(B1249&lt;DATE(Configuración!$C$5,1,1),B1249&gt;=DATE(Configuración!$C$5+1,1,1)),"Fecha fuera del año",IF(OR(H1249&lt;0,I1249&lt;0),"Revisar signo",IF(AND(C1249&lt;&gt;"Gasto",I1249&lt;&gt;0),"IVA solo en Gasto",IF(AND(C1249="Gasto",D1249=""),"Falta categoría","OK")))))))))</f>
        <v/>
      </c>
    </row>
    <row r="1250" spans="1:12" ht="22" customHeight="1">
      <c r="A1250" s="3"/>
      <c r="B1250" s="7"/>
      <c r="C1250" s="3"/>
      <c r="D1250" s="3"/>
      <c r="E1250" s="3"/>
      <c r="F1250" s="3"/>
      <c r="G1250" s="3"/>
      <c r="H1250" s="4"/>
      <c r="I1250" s="4"/>
      <c r="J1250" s="3"/>
      <c r="K1250" s="8" t="str">
        <f t="shared" si="19"/>
        <v/>
      </c>
      <c r="L1250" s="1" t="str">
        <f>IF(COUNTA(A1250:J1250)=0,"",IF(OR(AND(C1250&lt;&gt;"Gasto",C1250&lt;&gt;"Pago proveedor",C1250&lt;&gt;"Retiro familiar",C1250&lt;&gt;"Aportación",C1250&lt;&gt;"Pago activo",C1250&lt;&gt;"ISR devengado",C1250&lt;&gt;"Pago ISR",C1250&lt;&gt;"Pago IVA",C1250&lt;&gt;"Compensación ISR",C1250&lt;&gt;"Compensación IVA"),AND(C1250="Gasto",D1250&lt;&gt;"Costos clínicos",D1250&lt;&gt;"Remuneración familiar",D1250&lt;&gt;"Nómina y honorarios",D1250&lt;&gt;"Renta",D1250&lt;&gt;"Marketing",D1250&lt;&gt;"Servicios y software",D1250&lt;&gt;"Mantenimiento",D1250&lt;&gt;"Otros",D1250&lt;&gt;"Intereses")),"Tipo o categoría inválido",IF(COUNTA(A1250:J1250)=0,"",IF(OR(A1250="",B1250="",C1250="",H1250=""),"Faltan datos",IF(COUNTIF($A$7:$A$2006,A1250)&gt;1,"ID duplicado",IF(OR(B1250&lt;DATE(Configuración!$C$5,1,1),B1250&gt;=DATE(Configuración!$C$5+1,1,1)),"Fecha fuera del año",IF(OR(H1250&lt;0,I1250&lt;0),"Revisar signo",IF(AND(C1250&lt;&gt;"Gasto",I1250&lt;&gt;0),"IVA solo en Gasto",IF(AND(C1250="Gasto",D1250=""),"Falta categoría","OK")))))))))</f>
        <v/>
      </c>
    </row>
    <row r="1251" spans="1:12" ht="22" customHeight="1">
      <c r="A1251" s="3"/>
      <c r="B1251" s="7"/>
      <c r="C1251" s="3"/>
      <c r="D1251" s="3"/>
      <c r="E1251" s="3"/>
      <c r="F1251" s="3"/>
      <c r="G1251" s="3"/>
      <c r="H1251" s="4"/>
      <c r="I1251" s="4"/>
      <c r="J1251" s="3"/>
      <c r="K1251" s="8" t="str">
        <f t="shared" si="19"/>
        <v/>
      </c>
      <c r="L1251" s="1" t="str">
        <f>IF(COUNTA(A1251:J1251)=0,"",IF(OR(AND(C1251&lt;&gt;"Gasto",C1251&lt;&gt;"Pago proveedor",C1251&lt;&gt;"Retiro familiar",C1251&lt;&gt;"Aportación",C1251&lt;&gt;"Pago activo",C1251&lt;&gt;"ISR devengado",C1251&lt;&gt;"Pago ISR",C1251&lt;&gt;"Pago IVA",C1251&lt;&gt;"Compensación ISR",C1251&lt;&gt;"Compensación IVA"),AND(C1251="Gasto",D1251&lt;&gt;"Costos clínicos",D1251&lt;&gt;"Remuneración familiar",D1251&lt;&gt;"Nómina y honorarios",D1251&lt;&gt;"Renta",D1251&lt;&gt;"Marketing",D1251&lt;&gt;"Servicios y software",D1251&lt;&gt;"Mantenimiento",D1251&lt;&gt;"Otros",D1251&lt;&gt;"Intereses")),"Tipo o categoría inválido",IF(COUNTA(A1251:J1251)=0,"",IF(OR(A1251="",B1251="",C1251="",H1251=""),"Faltan datos",IF(COUNTIF($A$7:$A$2006,A1251)&gt;1,"ID duplicado",IF(OR(B1251&lt;DATE(Configuración!$C$5,1,1),B1251&gt;=DATE(Configuración!$C$5+1,1,1)),"Fecha fuera del año",IF(OR(H1251&lt;0,I1251&lt;0),"Revisar signo",IF(AND(C1251&lt;&gt;"Gasto",I1251&lt;&gt;0),"IVA solo en Gasto",IF(AND(C1251="Gasto",D1251=""),"Falta categoría","OK")))))))))</f>
        <v/>
      </c>
    </row>
    <row r="1252" spans="1:12" ht="22" customHeight="1">
      <c r="A1252" s="3"/>
      <c r="B1252" s="7"/>
      <c r="C1252" s="3"/>
      <c r="D1252" s="3"/>
      <c r="E1252" s="3"/>
      <c r="F1252" s="3"/>
      <c r="G1252" s="3"/>
      <c r="H1252" s="4"/>
      <c r="I1252" s="4"/>
      <c r="J1252" s="3"/>
      <c r="K1252" s="8" t="str">
        <f t="shared" si="19"/>
        <v/>
      </c>
      <c r="L1252" s="1" t="str">
        <f>IF(COUNTA(A1252:J1252)=0,"",IF(OR(AND(C1252&lt;&gt;"Gasto",C1252&lt;&gt;"Pago proveedor",C1252&lt;&gt;"Retiro familiar",C1252&lt;&gt;"Aportación",C1252&lt;&gt;"Pago activo",C1252&lt;&gt;"ISR devengado",C1252&lt;&gt;"Pago ISR",C1252&lt;&gt;"Pago IVA",C1252&lt;&gt;"Compensación ISR",C1252&lt;&gt;"Compensación IVA"),AND(C1252="Gasto",D1252&lt;&gt;"Costos clínicos",D1252&lt;&gt;"Remuneración familiar",D1252&lt;&gt;"Nómina y honorarios",D1252&lt;&gt;"Renta",D1252&lt;&gt;"Marketing",D1252&lt;&gt;"Servicios y software",D1252&lt;&gt;"Mantenimiento",D1252&lt;&gt;"Otros",D1252&lt;&gt;"Intereses")),"Tipo o categoría inválido",IF(COUNTA(A1252:J1252)=0,"",IF(OR(A1252="",B1252="",C1252="",H1252=""),"Faltan datos",IF(COUNTIF($A$7:$A$2006,A1252)&gt;1,"ID duplicado",IF(OR(B1252&lt;DATE(Configuración!$C$5,1,1),B1252&gt;=DATE(Configuración!$C$5+1,1,1)),"Fecha fuera del año",IF(OR(H1252&lt;0,I1252&lt;0),"Revisar signo",IF(AND(C1252&lt;&gt;"Gasto",I1252&lt;&gt;0),"IVA solo en Gasto",IF(AND(C1252="Gasto",D1252=""),"Falta categoría","OK")))))))))</f>
        <v/>
      </c>
    </row>
    <row r="1253" spans="1:12" ht="22" customHeight="1">
      <c r="A1253" s="3"/>
      <c r="B1253" s="7"/>
      <c r="C1253" s="3"/>
      <c r="D1253" s="3"/>
      <c r="E1253" s="3"/>
      <c r="F1253" s="3"/>
      <c r="G1253" s="3"/>
      <c r="H1253" s="4"/>
      <c r="I1253" s="4"/>
      <c r="J1253" s="3"/>
      <c r="K1253" s="8" t="str">
        <f t="shared" si="19"/>
        <v/>
      </c>
      <c r="L1253" s="1" t="str">
        <f>IF(COUNTA(A1253:J1253)=0,"",IF(OR(AND(C1253&lt;&gt;"Gasto",C1253&lt;&gt;"Pago proveedor",C1253&lt;&gt;"Retiro familiar",C1253&lt;&gt;"Aportación",C1253&lt;&gt;"Pago activo",C1253&lt;&gt;"ISR devengado",C1253&lt;&gt;"Pago ISR",C1253&lt;&gt;"Pago IVA",C1253&lt;&gt;"Compensación ISR",C1253&lt;&gt;"Compensación IVA"),AND(C1253="Gasto",D1253&lt;&gt;"Costos clínicos",D1253&lt;&gt;"Remuneración familiar",D1253&lt;&gt;"Nómina y honorarios",D1253&lt;&gt;"Renta",D1253&lt;&gt;"Marketing",D1253&lt;&gt;"Servicios y software",D1253&lt;&gt;"Mantenimiento",D1253&lt;&gt;"Otros",D1253&lt;&gt;"Intereses")),"Tipo o categoría inválido",IF(COUNTA(A1253:J1253)=0,"",IF(OR(A1253="",B1253="",C1253="",H1253=""),"Faltan datos",IF(COUNTIF($A$7:$A$2006,A1253)&gt;1,"ID duplicado",IF(OR(B1253&lt;DATE(Configuración!$C$5,1,1),B1253&gt;=DATE(Configuración!$C$5+1,1,1)),"Fecha fuera del año",IF(OR(H1253&lt;0,I1253&lt;0),"Revisar signo",IF(AND(C1253&lt;&gt;"Gasto",I1253&lt;&gt;0),"IVA solo en Gasto",IF(AND(C1253="Gasto",D1253=""),"Falta categoría","OK")))))))))</f>
        <v/>
      </c>
    </row>
    <row r="1254" spans="1:12" ht="22" customHeight="1">
      <c r="A1254" s="3"/>
      <c r="B1254" s="7"/>
      <c r="C1254" s="3"/>
      <c r="D1254" s="3"/>
      <c r="E1254" s="3"/>
      <c r="F1254" s="3"/>
      <c r="G1254" s="3"/>
      <c r="H1254" s="4"/>
      <c r="I1254" s="4"/>
      <c r="J1254" s="3"/>
      <c r="K1254" s="8" t="str">
        <f t="shared" si="19"/>
        <v/>
      </c>
      <c r="L1254" s="1" t="str">
        <f>IF(COUNTA(A1254:J1254)=0,"",IF(OR(AND(C1254&lt;&gt;"Gasto",C1254&lt;&gt;"Pago proveedor",C1254&lt;&gt;"Retiro familiar",C1254&lt;&gt;"Aportación",C1254&lt;&gt;"Pago activo",C1254&lt;&gt;"ISR devengado",C1254&lt;&gt;"Pago ISR",C1254&lt;&gt;"Pago IVA",C1254&lt;&gt;"Compensación ISR",C1254&lt;&gt;"Compensación IVA"),AND(C1254="Gasto",D1254&lt;&gt;"Costos clínicos",D1254&lt;&gt;"Remuneración familiar",D1254&lt;&gt;"Nómina y honorarios",D1254&lt;&gt;"Renta",D1254&lt;&gt;"Marketing",D1254&lt;&gt;"Servicios y software",D1254&lt;&gt;"Mantenimiento",D1254&lt;&gt;"Otros",D1254&lt;&gt;"Intereses")),"Tipo o categoría inválido",IF(COUNTA(A1254:J1254)=0,"",IF(OR(A1254="",B1254="",C1254="",H1254=""),"Faltan datos",IF(COUNTIF($A$7:$A$2006,A1254)&gt;1,"ID duplicado",IF(OR(B1254&lt;DATE(Configuración!$C$5,1,1),B1254&gt;=DATE(Configuración!$C$5+1,1,1)),"Fecha fuera del año",IF(OR(H1254&lt;0,I1254&lt;0),"Revisar signo",IF(AND(C1254&lt;&gt;"Gasto",I1254&lt;&gt;0),"IVA solo en Gasto",IF(AND(C1254="Gasto",D1254=""),"Falta categoría","OK")))))))))</f>
        <v/>
      </c>
    </row>
    <row r="1255" spans="1:12" ht="22" customHeight="1">
      <c r="A1255" s="3"/>
      <c r="B1255" s="7"/>
      <c r="C1255" s="3"/>
      <c r="D1255" s="3"/>
      <c r="E1255" s="3"/>
      <c r="F1255" s="3"/>
      <c r="G1255" s="3"/>
      <c r="H1255" s="4"/>
      <c r="I1255" s="4"/>
      <c r="J1255" s="3"/>
      <c r="K1255" s="8" t="str">
        <f t="shared" si="19"/>
        <v/>
      </c>
      <c r="L1255" s="1" t="str">
        <f>IF(COUNTA(A1255:J1255)=0,"",IF(OR(AND(C1255&lt;&gt;"Gasto",C1255&lt;&gt;"Pago proveedor",C1255&lt;&gt;"Retiro familiar",C1255&lt;&gt;"Aportación",C1255&lt;&gt;"Pago activo",C1255&lt;&gt;"ISR devengado",C1255&lt;&gt;"Pago ISR",C1255&lt;&gt;"Pago IVA",C1255&lt;&gt;"Compensación ISR",C1255&lt;&gt;"Compensación IVA"),AND(C1255="Gasto",D1255&lt;&gt;"Costos clínicos",D1255&lt;&gt;"Remuneración familiar",D1255&lt;&gt;"Nómina y honorarios",D1255&lt;&gt;"Renta",D1255&lt;&gt;"Marketing",D1255&lt;&gt;"Servicios y software",D1255&lt;&gt;"Mantenimiento",D1255&lt;&gt;"Otros",D1255&lt;&gt;"Intereses")),"Tipo o categoría inválido",IF(COUNTA(A1255:J1255)=0,"",IF(OR(A1255="",B1255="",C1255="",H1255=""),"Faltan datos",IF(COUNTIF($A$7:$A$2006,A1255)&gt;1,"ID duplicado",IF(OR(B1255&lt;DATE(Configuración!$C$5,1,1),B1255&gt;=DATE(Configuración!$C$5+1,1,1)),"Fecha fuera del año",IF(OR(H1255&lt;0,I1255&lt;0),"Revisar signo",IF(AND(C1255&lt;&gt;"Gasto",I1255&lt;&gt;0),"IVA solo en Gasto",IF(AND(C1255="Gasto",D1255=""),"Falta categoría","OK")))))))))</f>
        <v/>
      </c>
    </row>
    <row r="1256" spans="1:12" ht="22" customHeight="1">
      <c r="A1256" s="3"/>
      <c r="B1256" s="7"/>
      <c r="C1256" s="3"/>
      <c r="D1256" s="3"/>
      <c r="E1256" s="3"/>
      <c r="F1256" s="3"/>
      <c r="G1256" s="3"/>
      <c r="H1256" s="4"/>
      <c r="I1256" s="4"/>
      <c r="J1256" s="3"/>
      <c r="K1256" s="8" t="str">
        <f t="shared" si="19"/>
        <v/>
      </c>
      <c r="L1256" s="1" t="str">
        <f>IF(COUNTA(A1256:J1256)=0,"",IF(OR(AND(C1256&lt;&gt;"Gasto",C1256&lt;&gt;"Pago proveedor",C1256&lt;&gt;"Retiro familiar",C1256&lt;&gt;"Aportación",C1256&lt;&gt;"Pago activo",C1256&lt;&gt;"ISR devengado",C1256&lt;&gt;"Pago ISR",C1256&lt;&gt;"Pago IVA",C1256&lt;&gt;"Compensación ISR",C1256&lt;&gt;"Compensación IVA"),AND(C1256="Gasto",D1256&lt;&gt;"Costos clínicos",D1256&lt;&gt;"Remuneración familiar",D1256&lt;&gt;"Nómina y honorarios",D1256&lt;&gt;"Renta",D1256&lt;&gt;"Marketing",D1256&lt;&gt;"Servicios y software",D1256&lt;&gt;"Mantenimiento",D1256&lt;&gt;"Otros",D1256&lt;&gt;"Intereses")),"Tipo o categoría inválido",IF(COUNTA(A1256:J1256)=0,"",IF(OR(A1256="",B1256="",C1256="",H1256=""),"Faltan datos",IF(COUNTIF($A$7:$A$2006,A1256)&gt;1,"ID duplicado",IF(OR(B1256&lt;DATE(Configuración!$C$5,1,1),B1256&gt;=DATE(Configuración!$C$5+1,1,1)),"Fecha fuera del año",IF(OR(H1256&lt;0,I1256&lt;0),"Revisar signo",IF(AND(C1256&lt;&gt;"Gasto",I1256&lt;&gt;0),"IVA solo en Gasto",IF(AND(C1256="Gasto",D1256=""),"Falta categoría","OK")))))))))</f>
        <v/>
      </c>
    </row>
    <row r="1257" spans="1:12" ht="22" customHeight="1">
      <c r="A1257" s="3"/>
      <c r="B1257" s="7"/>
      <c r="C1257" s="3"/>
      <c r="D1257" s="3"/>
      <c r="E1257" s="3"/>
      <c r="F1257" s="3"/>
      <c r="G1257" s="3"/>
      <c r="H1257" s="4"/>
      <c r="I1257" s="4"/>
      <c r="J1257" s="3"/>
      <c r="K1257" s="8" t="str">
        <f t="shared" si="19"/>
        <v/>
      </c>
      <c r="L1257" s="1" t="str">
        <f>IF(COUNTA(A1257:J1257)=0,"",IF(OR(AND(C1257&lt;&gt;"Gasto",C1257&lt;&gt;"Pago proveedor",C1257&lt;&gt;"Retiro familiar",C1257&lt;&gt;"Aportación",C1257&lt;&gt;"Pago activo",C1257&lt;&gt;"ISR devengado",C1257&lt;&gt;"Pago ISR",C1257&lt;&gt;"Pago IVA",C1257&lt;&gt;"Compensación ISR",C1257&lt;&gt;"Compensación IVA"),AND(C1257="Gasto",D1257&lt;&gt;"Costos clínicos",D1257&lt;&gt;"Remuneración familiar",D1257&lt;&gt;"Nómina y honorarios",D1257&lt;&gt;"Renta",D1257&lt;&gt;"Marketing",D1257&lt;&gt;"Servicios y software",D1257&lt;&gt;"Mantenimiento",D1257&lt;&gt;"Otros",D1257&lt;&gt;"Intereses")),"Tipo o categoría inválido",IF(COUNTA(A1257:J1257)=0,"",IF(OR(A1257="",B1257="",C1257="",H1257=""),"Faltan datos",IF(COUNTIF($A$7:$A$2006,A1257)&gt;1,"ID duplicado",IF(OR(B1257&lt;DATE(Configuración!$C$5,1,1),B1257&gt;=DATE(Configuración!$C$5+1,1,1)),"Fecha fuera del año",IF(OR(H1257&lt;0,I1257&lt;0),"Revisar signo",IF(AND(C1257&lt;&gt;"Gasto",I1257&lt;&gt;0),"IVA solo en Gasto",IF(AND(C1257="Gasto",D1257=""),"Falta categoría","OK")))))))))</f>
        <v/>
      </c>
    </row>
    <row r="1258" spans="1:12" ht="22" customHeight="1">
      <c r="A1258" s="3"/>
      <c r="B1258" s="7"/>
      <c r="C1258" s="3"/>
      <c r="D1258" s="3"/>
      <c r="E1258" s="3"/>
      <c r="F1258" s="3"/>
      <c r="G1258" s="3"/>
      <c r="H1258" s="4"/>
      <c r="I1258" s="4"/>
      <c r="J1258" s="3"/>
      <c r="K1258" s="8" t="str">
        <f t="shared" si="19"/>
        <v/>
      </c>
      <c r="L1258" s="1" t="str">
        <f>IF(COUNTA(A1258:J1258)=0,"",IF(OR(AND(C1258&lt;&gt;"Gasto",C1258&lt;&gt;"Pago proveedor",C1258&lt;&gt;"Retiro familiar",C1258&lt;&gt;"Aportación",C1258&lt;&gt;"Pago activo",C1258&lt;&gt;"ISR devengado",C1258&lt;&gt;"Pago ISR",C1258&lt;&gt;"Pago IVA",C1258&lt;&gt;"Compensación ISR",C1258&lt;&gt;"Compensación IVA"),AND(C1258="Gasto",D1258&lt;&gt;"Costos clínicos",D1258&lt;&gt;"Remuneración familiar",D1258&lt;&gt;"Nómina y honorarios",D1258&lt;&gt;"Renta",D1258&lt;&gt;"Marketing",D1258&lt;&gt;"Servicios y software",D1258&lt;&gt;"Mantenimiento",D1258&lt;&gt;"Otros",D1258&lt;&gt;"Intereses")),"Tipo o categoría inválido",IF(COUNTA(A1258:J1258)=0,"",IF(OR(A1258="",B1258="",C1258="",H1258=""),"Faltan datos",IF(COUNTIF($A$7:$A$2006,A1258)&gt;1,"ID duplicado",IF(OR(B1258&lt;DATE(Configuración!$C$5,1,1),B1258&gt;=DATE(Configuración!$C$5+1,1,1)),"Fecha fuera del año",IF(OR(H1258&lt;0,I1258&lt;0),"Revisar signo",IF(AND(C1258&lt;&gt;"Gasto",I1258&lt;&gt;0),"IVA solo en Gasto",IF(AND(C1258="Gasto",D1258=""),"Falta categoría","OK")))))))))</f>
        <v/>
      </c>
    </row>
    <row r="1259" spans="1:12" ht="22" customHeight="1">
      <c r="A1259" s="3"/>
      <c r="B1259" s="7"/>
      <c r="C1259" s="3"/>
      <c r="D1259" s="3"/>
      <c r="E1259" s="3"/>
      <c r="F1259" s="3"/>
      <c r="G1259" s="3"/>
      <c r="H1259" s="4"/>
      <c r="I1259" s="4"/>
      <c r="J1259" s="3"/>
      <c r="K1259" s="8" t="str">
        <f t="shared" si="19"/>
        <v/>
      </c>
      <c r="L1259" s="1" t="str">
        <f>IF(COUNTA(A1259:J1259)=0,"",IF(OR(AND(C1259&lt;&gt;"Gasto",C1259&lt;&gt;"Pago proveedor",C1259&lt;&gt;"Retiro familiar",C1259&lt;&gt;"Aportación",C1259&lt;&gt;"Pago activo",C1259&lt;&gt;"ISR devengado",C1259&lt;&gt;"Pago ISR",C1259&lt;&gt;"Pago IVA",C1259&lt;&gt;"Compensación ISR",C1259&lt;&gt;"Compensación IVA"),AND(C1259="Gasto",D1259&lt;&gt;"Costos clínicos",D1259&lt;&gt;"Remuneración familiar",D1259&lt;&gt;"Nómina y honorarios",D1259&lt;&gt;"Renta",D1259&lt;&gt;"Marketing",D1259&lt;&gt;"Servicios y software",D1259&lt;&gt;"Mantenimiento",D1259&lt;&gt;"Otros",D1259&lt;&gt;"Intereses")),"Tipo o categoría inválido",IF(COUNTA(A1259:J1259)=0,"",IF(OR(A1259="",B1259="",C1259="",H1259=""),"Faltan datos",IF(COUNTIF($A$7:$A$2006,A1259)&gt;1,"ID duplicado",IF(OR(B1259&lt;DATE(Configuración!$C$5,1,1),B1259&gt;=DATE(Configuración!$C$5+1,1,1)),"Fecha fuera del año",IF(OR(H1259&lt;0,I1259&lt;0),"Revisar signo",IF(AND(C1259&lt;&gt;"Gasto",I1259&lt;&gt;0),"IVA solo en Gasto",IF(AND(C1259="Gasto",D1259=""),"Falta categoría","OK")))))))))</f>
        <v/>
      </c>
    </row>
    <row r="1260" spans="1:12" ht="22" customHeight="1">
      <c r="A1260" s="3"/>
      <c r="B1260" s="7"/>
      <c r="C1260" s="3"/>
      <c r="D1260" s="3"/>
      <c r="E1260" s="3"/>
      <c r="F1260" s="3"/>
      <c r="G1260" s="3"/>
      <c r="H1260" s="4"/>
      <c r="I1260" s="4"/>
      <c r="J1260" s="3"/>
      <c r="K1260" s="8" t="str">
        <f t="shared" si="19"/>
        <v/>
      </c>
      <c r="L1260" s="1" t="str">
        <f>IF(COUNTA(A1260:J1260)=0,"",IF(OR(AND(C1260&lt;&gt;"Gasto",C1260&lt;&gt;"Pago proveedor",C1260&lt;&gt;"Retiro familiar",C1260&lt;&gt;"Aportación",C1260&lt;&gt;"Pago activo",C1260&lt;&gt;"ISR devengado",C1260&lt;&gt;"Pago ISR",C1260&lt;&gt;"Pago IVA",C1260&lt;&gt;"Compensación ISR",C1260&lt;&gt;"Compensación IVA"),AND(C1260="Gasto",D1260&lt;&gt;"Costos clínicos",D1260&lt;&gt;"Remuneración familiar",D1260&lt;&gt;"Nómina y honorarios",D1260&lt;&gt;"Renta",D1260&lt;&gt;"Marketing",D1260&lt;&gt;"Servicios y software",D1260&lt;&gt;"Mantenimiento",D1260&lt;&gt;"Otros",D1260&lt;&gt;"Intereses")),"Tipo o categoría inválido",IF(COUNTA(A1260:J1260)=0,"",IF(OR(A1260="",B1260="",C1260="",H1260=""),"Faltan datos",IF(COUNTIF($A$7:$A$2006,A1260)&gt;1,"ID duplicado",IF(OR(B1260&lt;DATE(Configuración!$C$5,1,1),B1260&gt;=DATE(Configuración!$C$5+1,1,1)),"Fecha fuera del año",IF(OR(H1260&lt;0,I1260&lt;0),"Revisar signo",IF(AND(C1260&lt;&gt;"Gasto",I1260&lt;&gt;0),"IVA solo en Gasto",IF(AND(C1260="Gasto",D1260=""),"Falta categoría","OK")))))))))</f>
        <v/>
      </c>
    </row>
    <row r="1261" spans="1:12" ht="22" customHeight="1">
      <c r="A1261" s="3"/>
      <c r="B1261" s="7"/>
      <c r="C1261" s="3"/>
      <c r="D1261" s="3"/>
      <c r="E1261" s="3"/>
      <c r="F1261" s="3"/>
      <c r="G1261" s="3"/>
      <c r="H1261" s="4"/>
      <c r="I1261" s="4"/>
      <c r="J1261" s="3"/>
      <c r="K1261" s="8" t="str">
        <f t="shared" si="19"/>
        <v/>
      </c>
      <c r="L1261" s="1" t="str">
        <f>IF(COUNTA(A1261:J1261)=0,"",IF(OR(AND(C1261&lt;&gt;"Gasto",C1261&lt;&gt;"Pago proveedor",C1261&lt;&gt;"Retiro familiar",C1261&lt;&gt;"Aportación",C1261&lt;&gt;"Pago activo",C1261&lt;&gt;"ISR devengado",C1261&lt;&gt;"Pago ISR",C1261&lt;&gt;"Pago IVA",C1261&lt;&gt;"Compensación ISR",C1261&lt;&gt;"Compensación IVA"),AND(C1261="Gasto",D1261&lt;&gt;"Costos clínicos",D1261&lt;&gt;"Remuneración familiar",D1261&lt;&gt;"Nómina y honorarios",D1261&lt;&gt;"Renta",D1261&lt;&gt;"Marketing",D1261&lt;&gt;"Servicios y software",D1261&lt;&gt;"Mantenimiento",D1261&lt;&gt;"Otros",D1261&lt;&gt;"Intereses")),"Tipo o categoría inválido",IF(COUNTA(A1261:J1261)=0,"",IF(OR(A1261="",B1261="",C1261="",H1261=""),"Faltan datos",IF(COUNTIF($A$7:$A$2006,A1261)&gt;1,"ID duplicado",IF(OR(B1261&lt;DATE(Configuración!$C$5,1,1),B1261&gt;=DATE(Configuración!$C$5+1,1,1)),"Fecha fuera del año",IF(OR(H1261&lt;0,I1261&lt;0),"Revisar signo",IF(AND(C1261&lt;&gt;"Gasto",I1261&lt;&gt;0),"IVA solo en Gasto",IF(AND(C1261="Gasto",D1261=""),"Falta categoría","OK")))))))))</f>
        <v/>
      </c>
    </row>
    <row r="1262" spans="1:12" ht="22" customHeight="1">
      <c r="A1262" s="3"/>
      <c r="B1262" s="7"/>
      <c r="C1262" s="3"/>
      <c r="D1262" s="3"/>
      <c r="E1262" s="3"/>
      <c r="F1262" s="3"/>
      <c r="G1262" s="3"/>
      <c r="H1262" s="4"/>
      <c r="I1262" s="4"/>
      <c r="J1262" s="3"/>
      <c r="K1262" s="8" t="str">
        <f t="shared" si="19"/>
        <v/>
      </c>
      <c r="L1262" s="1" t="str">
        <f>IF(COUNTA(A1262:J1262)=0,"",IF(OR(AND(C1262&lt;&gt;"Gasto",C1262&lt;&gt;"Pago proveedor",C1262&lt;&gt;"Retiro familiar",C1262&lt;&gt;"Aportación",C1262&lt;&gt;"Pago activo",C1262&lt;&gt;"ISR devengado",C1262&lt;&gt;"Pago ISR",C1262&lt;&gt;"Pago IVA",C1262&lt;&gt;"Compensación ISR",C1262&lt;&gt;"Compensación IVA"),AND(C1262="Gasto",D1262&lt;&gt;"Costos clínicos",D1262&lt;&gt;"Remuneración familiar",D1262&lt;&gt;"Nómina y honorarios",D1262&lt;&gt;"Renta",D1262&lt;&gt;"Marketing",D1262&lt;&gt;"Servicios y software",D1262&lt;&gt;"Mantenimiento",D1262&lt;&gt;"Otros",D1262&lt;&gt;"Intereses")),"Tipo o categoría inválido",IF(COUNTA(A1262:J1262)=0,"",IF(OR(A1262="",B1262="",C1262="",H1262=""),"Faltan datos",IF(COUNTIF($A$7:$A$2006,A1262)&gt;1,"ID duplicado",IF(OR(B1262&lt;DATE(Configuración!$C$5,1,1),B1262&gt;=DATE(Configuración!$C$5+1,1,1)),"Fecha fuera del año",IF(OR(H1262&lt;0,I1262&lt;0),"Revisar signo",IF(AND(C1262&lt;&gt;"Gasto",I1262&lt;&gt;0),"IVA solo en Gasto",IF(AND(C1262="Gasto",D1262=""),"Falta categoría","OK")))))))))</f>
        <v/>
      </c>
    </row>
    <row r="1263" spans="1:12" ht="22" customHeight="1">
      <c r="A1263" s="3"/>
      <c r="B1263" s="7"/>
      <c r="C1263" s="3"/>
      <c r="D1263" s="3"/>
      <c r="E1263" s="3"/>
      <c r="F1263" s="3"/>
      <c r="G1263" s="3"/>
      <c r="H1263" s="4"/>
      <c r="I1263" s="4"/>
      <c r="J1263" s="3"/>
      <c r="K1263" s="8" t="str">
        <f t="shared" si="19"/>
        <v/>
      </c>
      <c r="L1263" s="1" t="str">
        <f>IF(COUNTA(A1263:J1263)=0,"",IF(OR(AND(C1263&lt;&gt;"Gasto",C1263&lt;&gt;"Pago proveedor",C1263&lt;&gt;"Retiro familiar",C1263&lt;&gt;"Aportación",C1263&lt;&gt;"Pago activo",C1263&lt;&gt;"ISR devengado",C1263&lt;&gt;"Pago ISR",C1263&lt;&gt;"Pago IVA",C1263&lt;&gt;"Compensación ISR",C1263&lt;&gt;"Compensación IVA"),AND(C1263="Gasto",D1263&lt;&gt;"Costos clínicos",D1263&lt;&gt;"Remuneración familiar",D1263&lt;&gt;"Nómina y honorarios",D1263&lt;&gt;"Renta",D1263&lt;&gt;"Marketing",D1263&lt;&gt;"Servicios y software",D1263&lt;&gt;"Mantenimiento",D1263&lt;&gt;"Otros",D1263&lt;&gt;"Intereses")),"Tipo o categoría inválido",IF(COUNTA(A1263:J1263)=0,"",IF(OR(A1263="",B1263="",C1263="",H1263=""),"Faltan datos",IF(COUNTIF($A$7:$A$2006,A1263)&gt;1,"ID duplicado",IF(OR(B1263&lt;DATE(Configuración!$C$5,1,1),B1263&gt;=DATE(Configuración!$C$5+1,1,1)),"Fecha fuera del año",IF(OR(H1263&lt;0,I1263&lt;0),"Revisar signo",IF(AND(C1263&lt;&gt;"Gasto",I1263&lt;&gt;0),"IVA solo en Gasto",IF(AND(C1263="Gasto",D1263=""),"Falta categoría","OK")))))))))</f>
        <v/>
      </c>
    </row>
    <row r="1264" spans="1:12" ht="22" customHeight="1">
      <c r="A1264" s="3"/>
      <c r="B1264" s="7"/>
      <c r="C1264" s="3"/>
      <c r="D1264" s="3"/>
      <c r="E1264" s="3"/>
      <c r="F1264" s="3"/>
      <c r="G1264" s="3"/>
      <c r="H1264" s="4"/>
      <c r="I1264" s="4"/>
      <c r="J1264" s="3"/>
      <c r="K1264" s="8" t="str">
        <f t="shared" si="19"/>
        <v/>
      </c>
      <c r="L1264" s="1" t="str">
        <f>IF(COUNTA(A1264:J1264)=0,"",IF(OR(AND(C1264&lt;&gt;"Gasto",C1264&lt;&gt;"Pago proveedor",C1264&lt;&gt;"Retiro familiar",C1264&lt;&gt;"Aportación",C1264&lt;&gt;"Pago activo",C1264&lt;&gt;"ISR devengado",C1264&lt;&gt;"Pago ISR",C1264&lt;&gt;"Pago IVA",C1264&lt;&gt;"Compensación ISR",C1264&lt;&gt;"Compensación IVA"),AND(C1264="Gasto",D1264&lt;&gt;"Costos clínicos",D1264&lt;&gt;"Remuneración familiar",D1264&lt;&gt;"Nómina y honorarios",D1264&lt;&gt;"Renta",D1264&lt;&gt;"Marketing",D1264&lt;&gt;"Servicios y software",D1264&lt;&gt;"Mantenimiento",D1264&lt;&gt;"Otros",D1264&lt;&gt;"Intereses")),"Tipo o categoría inválido",IF(COUNTA(A1264:J1264)=0,"",IF(OR(A1264="",B1264="",C1264="",H1264=""),"Faltan datos",IF(COUNTIF($A$7:$A$2006,A1264)&gt;1,"ID duplicado",IF(OR(B1264&lt;DATE(Configuración!$C$5,1,1),B1264&gt;=DATE(Configuración!$C$5+1,1,1)),"Fecha fuera del año",IF(OR(H1264&lt;0,I1264&lt;0),"Revisar signo",IF(AND(C1264&lt;&gt;"Gasto",I1264&lt;&gt;0),"IVA solo en Gasto",IF(AND(C1264="Gasto",D1264=""),"Falta categoría","OK")))))))))</f>
        <v/>
      </c>
    </row>
    <row r="1265" spans="1:12" ht="22" customHeight="1">
      <c r="A1265" s="3"/>
      <c r="B1265" s="7"/>
      <c r="C1265" s="3"/>
      <c r="D1265" s="3"/>
      <c r="E1265" s="3"/>
      <c r="F1265" s="3"/>
      <c r="G1265" s="3"/>
      <c r="H1265" s="4"/>
      <c r="I1265" s="4"/>
      <c r="J1265" s="3"/>
      <c r="K1265" s="8" t="str">
        <f t="shared" si="19"/>
        <v/>
      </c>
      <c r="L1265" s="1" t="str">
        <f>IF(COUNTA(A1265:J1265)=0,"",IF(OR(AND(C1265&lt;&gt;"Gasto",C1265&lt;&gt;"Pago proveedor",C1265&lt;&gt;"Retiro familiar",C1265&lt;&gt;"Aportación",C1265&lt;&gt;"Pago activo",C1265&lt;&gt;"ISR devengado",C1265&lt;&gt;"Pago ISR",C1265&lt;&gt;"Pago IVA",C1265&lt;&gt;"Compensación ISR",C1265&lt;&gt;"Compensación IVA"),AND(C1265="Gasto",D1265&lt;&gt;"Costos clínicos",D1265&lt;&gt;"Remuneración familiar",D1265&lt;&gt;"Nómina y honorarios",D1265&lt;&gt;"Renta",D1265&lt;&gt;"Marketing",D1265&lt;&gt;"Servicios y software",D1265&lt;&gt;"Mantenimiento",D1265&lt;&gt;"Otros",D1265&lt;&gt;"Intereses")),"Tipo o categoría inválido",IF(COUNTA(A1265:J1265)=0,"",IF(OR(A1265="",B1265="",C1265="",H1265=""),"Faltan datos",IF(COUNTIF($A$7:$A$2006,A1265)&gt;1,"ID duplicado",IF(OR(B1265&lt;DATE(Configuración!$C$5,1,1),B1265&gt;=DATE(Configuración!$C$5+1,1,1)),"Fecha fuera del año",IF(OR(H1265&lt;0,I1265&lt;0),"Revisar signo",IF(AND(C1265&lt;&gt;"Gasto",I1265&lt;&gt;0),"IVA solo en Gasto",IF(AND(C1265="Gasto",D1265=""),"Falta categoría","OK")))))))))</f>
        <v/>
      </c>
    </row>
    <row r="1266" spans="1:12" ht="22" customHeight="1">
      <c r="A1266" s="3"/>
      <c r="B1266" s="7"/>
      <c r="C1266" s="3"/>
      <c r="D1266" s="3"/>
      <c r="E1266" s="3"/>
      <c r="F1266" s="3"/>
      <c r="G1266" s="3"/>
      <c r="H1266" s="4"/>
      <c r="I1266" s="4"/>
      <c r="J1266" s="3"/>
      <c r="K1266" s="8" t="str">
        <f t="shared" si="19"/>
        <v/>
      </c>
      <c r="L1266" s="1" t="str">
        <f>IF(COUNTA(A1266:J1266)=0,"",IF(OR(AND(C1266&lt;&gt;"Gasto",C1266&lt;&gt;"Pago proveedor",C1266&lt;&gt;"Retiro familiar",C1266&lt;&gt;"Aportación",C1266&lt;&gt;"Pago activo",C1266&lt;&gt;"ISR devengado",C1266&lt;&gt;"Pago ISR",C1266&lt;&gt;"Pago IVA",C1266&lt;&gt;"Compensación ISR",C1266&lt;&gt;"Compensación IVA"),AND(C1266="Gasto",D1266&lt;&gt;"Costos clínicos",D1266&lt;&gt;"Remuneración familiar",D1266&lt;&gt;"Nómina y honorarios",D1266&lt;&gt;"Renta",D1266&lt;&gt;"Marketing",D1266&lt;&gt;"Servicios y software",D1266&lt;&gt;"Mantenimiento",D1266&lt;&gt;"Otros",D1266&lt;&gt;"Intereses")),"Tipo o categoría inválido",IF(COUNTA(A1266:J1266)=0,"",IF(OR(A1266="",B1266="",C1266="",H1266=""),"Faltan datos",IF(COUNTIF($A$7:$A$2006,A1266)&gt;1,"ID duplicado",IF(OR(B1266&lt;DATE(Configuración!$C$5,1,1),B1266&gt;=DATE(Configuración!$C$5+1,1,1)),"Fecha fuera del año",IF(OR(H1266&lt;0,I1266&lt;0),"Revisar signo",IF(AND(C1266&lt;&gt;"Gasto",I1266&lt;&gt;0),"IVA solo en Gasto",IF(AND(C1266="Gasto",D1266=""),"Falta categoría","OK")))))))))</f>
        <v/>
      </c>
    </row>
    <row r="1267" spans="1:12" ht="22" customHeight="1">
      <c r="A1267" s="3"/>
      <c r="B1267" s="7"/>
      <c r="C1267" s="3"/>
      <c r="D1267" s="3"/>
      <c r="E1267" s="3"/>
      <c r="F1267" s="3"/>
      <c r="G1267" s="3"/>
      <c r="H1267" s="4"/>
      <c r="I1267" s="4"/>
      <c r="J1267" s="3"/>
      <c r="K1267" s="8" t="str">
        <f t="shared" si="19"/>
        <v/>
      </c>
      <c r="L1267" s="1" t="str">
        <f>IF(COUNTA(A1267:J1267)=0,"",IF(OR(AND(C1267&lt;&gt;"Gasto",C1267&lt;&gt;"Pago proveedor",C1267&lt;&gt;"Retiro familiar",C1267&lt;&gt;"Aportación",C1267&lt;&gt;"Pago activo",C1267&lt;&gt;"ISR devengado",C1267&lt;&gt;"Pago ISR",C1267&lt;&gt;"Pago IVA",C1267&lt;&gt;"Compensación ISR",C1267&lt;&gt;"Compensación IVA"),AND(C1267="Gasto",D1267&lt;&gt;"Costos clínicos",D1267&lt;&gt;"Remuneración familiar",D1267&lt;&gt;"Nómina y honorarios",D1267&lt;&gt;"Renta",D1267&lt;&gt;"Marketing",D1267&lt;&gt;"Servicios y software",D1267&lt;&gt;"Mantenimiento",D1267&lt;&gt;"Otros",D1267&lt;&gt;"Intereses")),"Tipo o categoría inválido",IF(COUNTA(A1267:J1267)=0,"",IF(OR(A1267="",B1267="",C1267="",H1267=""),"Faltan datos",IF(COUNTIF($A$7:$A$2006,A1267)&gt;1,"ID duplicado",IF(OR(B1267&lt;DATE(Configuración!$C$5,1,1),B1267&gt;=DATE(Configuración!$C$5+1,1,1)),"Fecha fuera del año",IF(OR(H1267&lt;0,I1267&lt;0),"Revisar signo",IF(AND(C1267&lt;&gt;"Gasto",I1267&lt;&gt;0),"IVA solo en Gasto",IF(AND(C1267="Gasto",D1267=""),"Falta categoría","OK")))))))))</f>
        <v/>
      </c>
    </row>
    <row r="1268" spans="1:12" ht="22" customHeight="1">
      <c r="A1268" s="3"/>
      <c r="B1268" s="7"/>
      <c r="C1268" s="3"/>
      <c r="D1268" s="3"/>
      <c r="E1268" s="3"/>
      <c r="F1268" s="3"/>
      <c r="G1268" s="3"/>
      <c r="H1268" s="4"/>
      <c r="I1268" s="4"/>
      <c r="J1268" s="3"/>
      <c r="K1268" s="8" t="str">
        <f t="shared" si="19"/>
        <v/>
      </c>
      <c r="L1268" s="1" t="str">
        <f>IF(COUNTA(A1268:J1268)=0,"",IF(OR(AND(C1268&lt;&gt;"Gasto",C1268&lt;&gt;"Pago proveedor",C1268&lt;&gt;"Retiro familiar",C1268&lt;&gt;"Aportación",C1268&lt;&gt;"Pago activo",C1268&lt;&gt;"ISR devengado",C1268&lt;&gt;"Pago ISR",C1268&lt;&gt;"Pago IVA",C1268&lt;&gt;"Compensación ISR",C1268&lt;&gt;"Compensación IVA"),AND(C1268="Gasto",D1268&lt;&gt;"Costos clínicos",D1268&lt;&gt;"Remuneración familiar",D1268&lt;&gt;"Nómina y honorarios",D1268&lt;&gt;"Renta",D1268&lt;&gt;"Marketing",D1268&lt;&gt;"Servicios y software",D1268&lt;&gt;"Mantenimiento",D1268&lt;&gt;"Otros",D1268&lt;&gt;"Intereses")),"Tipo o categoría inválido",IF(COUNTA(A1268:J1268)=0,"",IF(OR(A1268="",B1268="",C1268="",H1268=""),"Faltan datos",IF(COUNTIF($A$7:$A$2006,A1268)&gt;1,"ID duplicado",IF(OR(B1268&lt;DATE(Configuración!$C$5,1,1),B1268&gt;=DATE(Configuración!$C$5+1,1,1)),"Fecha fuera del año",IF(OR(H1268&lt;0,I1268&lt;0),"Revisar signo",IF(AND(C1268&lt;&gt;"Gasto",I1268&lt;&gt;0),"IVA solo en Gasto",IF(AND(C1268="Gasto",D1268=""),"Falta categoría","OK")))))))))</f>
        <v/>
      </c>
    </row>
    <row r="1269" spans="1:12" ht="22" customHeight="1">
      <c r="A1269" s="3"/>
      <c r="B1269" s="7"/>
      <c r="C1269" s="3"/>
      <c r="D1269" s="3"/>
      <c r="E1269" s="3"/>
      <c r="F1269" s="3"/>
      <c r="G1269" s="3"/>
      <c r="H1269" s="4"/>
      <c r="I1269" s="4"/>
      <c r="J1269" s="3"/>
      <c r="K1269" s="8" t="str">
        <f t="shared" si="19"/>
        <v/>
      </c>
      <c r="L1269" s="1" t="str">
        <f>IF(COUNTA(A1269:J1269)=0,"",IF(OR(AND(C1269&lt;&gt;"Gasto",C1269&lt;&gt;"Pago proveedor",C1269&lt;&gt;"Retiro familiar",C1269&lt;&gt;"Aportación",C1269&lt;&gt;"Pago activo",C1269&lt;&gt;"ISR devengado",C1269&lt;&gt;"Pago ISR",C1269&lt;&gt;"Pago IVA",C1269&lt;&gt;"Compensación ISR",C1269&lt;&gt;"Compensación IVA"),AND(C1269="Gasto",D1269&lt;&gt;"Costos clínicos",D1269&lt;&gt;"Remuneración familiar",D1269&lt;&gt;"Nómina y honorarios",D1269&lt;&gt;"Renta",D1269&lt;&gt;"Marketing",D1269&lt;&gt;"Servicios y software",D1269&lt;&gt;"Mantenimiento",D1269&lt;&gt;"Otros",D1269&lt;&gt;"Intereses")),"Tipo o categoría inválido",IF(COUNTA(A1269:J1269)=0,"",IF(OR(A1269="",B1269="",C1269="",H1269=""),"Faltan datos",IF(COUNTIF($A$7:$A$2006,A1269)&gt;1,"ID duplicado",IF(OR(B1269&lt;DATE(Configuración!$C$5,1,1),B1269&gt;=DATE(Configuración!$C$5+1,1,1)),"Fecha fuera del año",IF(OR(H1269&lt;0,I1269&lt;0),"Revisar signo",IF(AND(C1269&lt;&gt;"Gasto",I1269&lt;&gt;0),"IVA solo en Gasto",IF(AND(C1269="Gasto",D1269=""),"Falta categoría","OK")))))))))</f>
        <v/>
      </c>
    </row>
    <row r="1270" spans="1:12" ht="22" customHeight="1">
      <c r="A1270" s="3"/>
      <c r="B1270" s="7"/>
      <c r="C1270" s="3"/>
      <c r="D1270" s="3"/>
      <c r="E1270" s="3"/>
      <c r="F1270" s="3"/>
      <c r="G1270" s="3"/>
      <c r="H1270" s="4"/>
      <c r="I1270" s="4"/>
      <c r="J1270" s="3"/>
      <c r="K1270" s="8" t="str">
        <f t="shared" si="19"/>
        <v/>
      </c>
      <c r="L1270" s="1" t="str">
        <f>IF(COUNTA(A1270:J1270)=0,"",IF(OR(AND(C1270&lt;&gt;"Gasto",C1270&lt;&gt;"Pago proveedor",C1270&lt;&gt;"Retiro familiar",C1270&lt;&gt;"Aportación",C1270&lt;&gt;"Pago activo",C1270&lt;&gt;"ISR devengado",C1270&lt;&gt;"Pago ISR",C1270&lt;&gt;"Pago IVA",C1270&lt;&gt;"Compensación ISR",C1270&lt;&gt;"Compensación IVA"),AND(C1270="Gasto",D1270&lt;&gt;"Costos clínicos",D1270&lt;&gt;"Remuneración familiar",D1270&lt;&gt;"Nómina y honorarios",D1270&lt;&gt;"Renta",D1270&lt;&gt;"Marketing",D1270&lt;&gt;"Servicios y software",D1270&lt;&gt;"Mantenimiento",D1270&lt;&gt;"Otros",D1270&lt;&gt;"Intereses")),"Tipo o categoría inválido",IF(COUNTA(A1270:J1270)=0,"",IF(OR(A1270="",B1270="",C1270="",H1270=""),"Faltan datos",IF(COUNTIF($A$7:$A$2006,A1270)&gt;1,"ID duplicado",IF(OR(B1270&lt;DATE(Configuración!$C$5,1,1),B1270&gt;=DATE(Configuración!$C$5+1,1,1)),"Fecha fuera del año",IF(OR(H1270&lt;0,I1270&lt;0),"Revisar signo",IF(AND(C1270&lt;&gt;"Gasto",I1270&lt;&gt;0),"IVA solo en Gasto",IF(AND(C1270="Gasto",D1270=""),"Falta categoría","OK")))))))))</f>
        <v/>
      </c>
    </row>
    <row r="1271" spans="1:12" ht="22" customHeight="1">
      <c r="A1271" s="3"/>
      <c r="B1271" s="7"/>
      <c r="C1271" s="3"/>
      <c r="D1271" s="3"/>
      <c r="E1271" s="3"/>
      <c r="F1271" s="3"/>
      <c r="G1271" s="3"/>
      <c r="H1271" s="4"/>
      <c r="I1271" s="4"/>
      <c r="J1271" s="3"/>
      <c r="K1271" s="8" t="str">
        <f t="shared" si="19"/>
        <v/>
      </c>
      <c r="L1271" s="1" t="str">
        <f>IF(COUNTA(A1271:J1271)=0,"",IF(OR(AND(C1271&lt;&gt;"Gasto",C1271&lt;&gt;"Pago proveedor",C1271&lt;&gt;"Retiro familiar",C1271&lt;&gt;"Aportación",C1271&lt;&gt;"Pago activo",C1271&lt;&gt;"ISR devengado",C1271&lt;&gt;"Pago ISR",C1271&lt;&gt;"Pago IVA",C1271&lt;&gt;"Compensación ISR",C1271&lt;&gt;"Compensación IVA"),AND(C1271="Gasto",D1271&lt;&gt;"Costos clínicos",D1271&lt;&gt;"Remuneración familiar",D1271&lt;&gt;"Nómina y honorarios",D1271&lt;&gt;"Renta",D1271&lt;&gt;"Marketing",D1271&lt;&gt;"Servicios y software",D1271&lt;&gt;"Mantenimiento",D1271&lt;&gt;"Otros",D1271&lt;&gt;"Intereses")),"Tipo o categoría inválido",IF(COUNTA(A1271:J1271)=0,"",IF(OR(A1271="",B1271="",C1271="",H1271=""),"Faltan datos",IF(COUNTIF($A$7:$A$2006,A1271)&gt;1,"ID duplicado",IF(OR(B1271&lt;DATE(Configuración!$C$5,1,1),B1271&gt;=DATE(Configuración!$C$5+1,1,1)),"Fecha fuera del año",IF(OR(H1271&lt;0,I1271&lt;0),"Revisar signo",IF(AND(C1271&lt;&gt;"Gasto",I1271&lt;&gt;0),"IVA solo en Gasto",IF(AND(C1271="Gasto",D1271=""),"Falta categoría","OK")))))))))</f>
        <v/>
      </c>
    </row>
    <row r="1272" spans="1:12" ht="22" customHeight="1">
      <c r="A1272" s="3"/>
      <c r="B1272" s="7"/>
      <c r="C1272" s="3"/>
      <c r="D1272" s="3"/>
      <c r="E1272" s="3"/>
      <c r="F1272" s="3"/>
      <c r="G1272" s="3"/>
      <c r="H1272" s="4"/>
      <c r="I1272" s="4"/>
      <c r="J1272" s="3"/>
      <c r="K1272" s="8" t="str">
        <f t="shared" si="19"/>
        <v/>
      </c>
      <c r="L1272" s="1" t="str">
        <f>IF(COUNTA(A1272:J1272)=0,"",IF(OR(AND(C1272&lt;&gt;"Gasto",C1272&lt;&gt;"Pago proveedor",C1272&lt;&gt;"Retiro familiar",C1272&lt;&gt;"Aportación",C1272&lt;&gt;"Pago activo",C1272&lt;&gt;"ISR devengado",C1272&lt;&gt;"Pago ISR",C1272&lt;&gt;"Pago IVA",C1272&lt;&gt;"Compensación ISR",C1272&lt;&gt;"Compensación IVA"),AND(C1272="Gasto",D1272&lt;&gt;"Costos clínicos",D1272&lt;&gt;"Remuneración familiar",D1272&lt;&gt;"Nómina y honorarios",D1272&lt;&gt;"Renta",D1272&lt;&gt;"Marketing",D1272&lt;&gt;"Servicios y software",D1272&lt;&gt;"Mantenimiento",D1272&lt;&gt;"Otros",D1272&lt;&gt;"Intereses")),"Tipo o categoría inválido",IF(COUNTA(A1272:J1272)=0,"",IF(OR(A1272="",B1272="",C1272="",H1272=""),"Faltan datos",IF(COUNTIF($A$7:$A$2006,A1272)&gt;1,"ID duplicado",IF(OR(B1272&lt;DATE(Configuración!$C$5,1,1),B1272&gt;=DATE(Configuración!$C$5+1,1,1)),"Fecha fuera del año",IF(OR(H1272&lt;0,I1272&lt;0),"Revisar signo",IF(AND(C1272&lt;&gt;"Gasto",I1272&lt;&gt;0),"IVA solo en Gasto",IF(AND(C1272="Gasto",D1272=""),"Falta categoría","OK")))))))))</f>
        <v/>
      </c>
    </row>
    <row r="1273" spans="1:12" ht="22" customHeight="1">
      <c r="A1273" s="3"/>
      <c r="B1273" s="7"/>
      <c r="C1273" s="3"/>
      <c r="D1273" s="3"/>
      <c r="E1273" s="3"/>
      <c r="F1273" s="3"/>
      <c r="G1273" s="3"/>
      <c r="H1273" s="4"/>
      <c r="I1273" s="4"/>
      <c r="J1273" s="3"/>
      <c r="K1273" s="8" t="str">
        <f t="shared" si="19"/>
        <v/>
      </c>
      <c r="L1273" s="1" t="str">
        <f>IF(COUNTA(A1273:J1273)=0,"",IF(OR(AND(C1273&lt;&gt;"Gasto",C1273&lt;&gt;"Pago proveedor",C1273&lt;&gt;"Retiro familiar",C1273&lt;&gt;"Aportación",C1273&lt;&gt;"Pago activo",C1273&lt;&gt;"ISR devengado",C1273&lt;&gt;"Pago ISR",C1273&lt;&gt;"Pago IVA",C1273&lt;&gt;"Compensación ISR",C1273&lt;&gt;"Compensación IVA"),AND(C1273="Gasto",D1273&lt;&gt;"Costos clínicos",D1273&lt;&gt;"Remuneración familiar",D1273&lt;&gt;"Nómina y honorarios",D1273&lt;&gt;"Renta",D1273&lt;&gt;"Marketing",D1273&lt;&gt;"Servicios y software",D1273&lt;&gt;"Mantenimiento",D1273&lt;&gt;"Otros",D1273&lt;&gt;"Intereses")),"Tipo o categoría inválido",IF(COUNTA(A1273:J1273)=0,"",IF(OR(A1273="",B1273="",C1273="",H1273=""),"Faltan datos",IF(COUNTIF($A$7:$A$2006,A1273)&gt;1,"ID duplicado",IF(OR(B1273&lt;DATE(Configuración!$C$5,1,1),B1273&gt;=DATE(Configuración!$C$5+1,1,1)),"Fecha fuera del año",IF(OR(H1273&lt;0,I1273&lt;0),"Revisar signo",IF(AND(C1273&lt;&gt;"Gasto",I1273&lt;&gt;0),"IVA solo en Gasto",IF(AND(C1273="Gasto",D1273=""),"Falta categoría","OK")))))))))</f>
        <v/>
      </c>
    </row>
    <row r="1274" spans="1:12" ht="22" customHeight="1">
      <c r="A1274" s="3"/>
      <c r="B1274" s="7"/>
      <c r="C1274" s="3"/>
      <c r="D1274" s="3"/>
      <c r="E1274" s="3"/>
      <c r="F1274" s="3"/>
      <c r="G1274" s="3"/>
      <c r="H1274" s="4"/>
      <c r="I1274" s="4"/>
      <c r="J1274" s="3"/>
      <c r="K1274" s="8" t="str">
        <f t="shared" si="19"/>
        <v/>
      </c>
      <c r="L1274" s="1" t="str">
        <f>IF(COUNTA(A1274:J1274)=0,"",IF(OR(AND(C1274&lt;&gt;"Gasto",C1274&lt;&gt;"Pago proveedor",C1274&lt;&gt;"Retiro familiar",C1274&lt;&gt;"Aportación",C1274&lt;&gt;"Pago activo",C1274&lt;&gt;"ISR devengado",C1274&lt;&gt;"Pago ISR",C1274&lt;&gt;"Pago IVA",C1274&lt;&gt;"Compensación ISR",C1274&lt;&gt;"Compensación IVA"),AND(C1274="Gasto",D1274&lt;&gt;"Costos clínicos",D1274&lt;&gt;"Remuneración familiar",D1274&lt;&gt;"Nómina y honorarios",D1274&lt;&gt;"Renta",D1274&lt;&gt;"Marketing",D1274&lt;&gt;"Servicios y software",D1274&lt;&gt;"Mantenimiento",D1274&lt;&gt;"Otros",D1274&lt;&gt;"Intereses")),"Tipo o categoría inválido",IF(COUNTA(A1274:J1274)=0,"",IF(OR(A1274="",B1274="",C1274="",H1274=""),"Faltan datos",IF(COUNTIF($A$7:$A$2006,A1274)&gt;1,"ID duplicado",IF(OR(B1274&lt;DATE(Configuración!$C$5,1,1),B1274&gt;=DATE(Configuración!$C$5+1,1,1)),"Fecha fuera del año",IF(OR(H1274&lt;0,I1274&lt;0),"Revisar signo",IF(AND(C1274&lt;&gt;"Gasto",I1274&lt;&gt;0),"IVA solo en Gasto",IF(AND(C1274="Gasto",D1274=""),"Falta categoría","OK")))))))))</f>
        <v/>
      </c>
    </row>
    <row r="1275" spans="1:12" ht="22" customHeight="1">
      <c r="A1275" s="3"/>
      <c r="B1275" s="7"/>
      <c r="C1275" s="3"/>
      <c r="D1275" s="3"/>
      <c r="E1275" s="3"/>
      <c r="F1275" s="3"/>
      <c r="G1275" s="3"/>
      <c r="H1275" s="4"/>
      <c r="I1275" s="4"/>
      <c r="J1275" s="3"/>
      <c r="K1275" s="8" t="str">
        <f t="shared" si="19"/>
        <v/>
      </c>
      <c r="L1275" s="1" t="str">
        <f>IF(COUNTA(A1275:J1275)=0,"",IF(OR(AND(C1275&lt;&gt;"Gasto",C1275&lt;&gt;"Pago proveedor",C1275&lt;&gt;"Retiro familiar",C1275&lt;&gt;"Aportación",C1275&lt;&gt;"Pago activo",C1275&lt;&gt;"ISR devengado",C1275&lt;&gt;"Pago ISR",C1275&lt;&gt;"Pago IVA",C1275&lt;&gt;"Compensación ISR",C1275&lt;&gt;"Compensación IVA"),AND(C1275="Gasto",D1275&lt;&gt;"Costos clínicos",D1275&lt;&gt;"Remuneración familiar",D1275&lt;&gt;"Nómina y honorarios",D1275&lt;&gt;"Renta",D1275&lt;&gt;"Marketing",D1275&lt;&gt;"Servicios y software",D1275&lt;&gt;"Mantenimiento",D1275&lt;&gt;"Otros",D1275&lt;&gt;"Intereses")),"Tipo o categoría inválido",IF(COUNTA(A1275:J1275)=0,"",IF(OR(A1275="",B1275="",C1275="",H1275=""),"Faltan datos",IF(COUNTIF($A$7:$A$2006,A1275)&gt;1,"ID duplicado",IF(OR(B1275&lt;DATE(Configuración!$C$5,1,1),B1275&gt;=DATE(Configuración!$C$5+1,1,1)),"Fecha fuera del año",IF(OR(H1275&lt;0,I1275&lt;0),"Revisar signo",IF(AND(C1275&lt;&gt;"Gasto",I1275&lt;&gt;0),"IVA solo en Gasto",IF(AND(C1275="Gasto",D1275=""),"Falta categoría","OK")))))))))</f>
        <v/>
      </c>
    </row>
    <row r="1276" spans="1:12" ht="22" customHeight="1">
      <c r="A1276" s="3"/>
      <c r="B1276" s="7"/>
      <c r="C1276" s="3"/>
      <c r="D1276" s="3"/>
      <c r="E1276" s="3"/>
      <c r="F1276" s="3"/>
      <c r="G1276" s="3"/>
      <c r="H1276" s="4"/>
      <c r="I1276" s="4"/>
      <c r="J1276" s="3"/>
      <c r="K1276" s="8" t="str">
        <f t="shared" si="19"/>
        <v/>
      </c>
      <c r="L1276" s="1" t="str">
        <f>IF(COUNTA(A1276:J1276)=0,"",IF(OR(AND(C1276&lt;&gt;"Gasto",C1276&lt;&gt;"Pago proveedor",C1276&lt;&gt;"Retiro familiar",C1276&lt;&gt;"Aportación",C1276&lt;&gt;"Pago activo",C1276&lt;&gt;"ISR devengado",C1276&lt;&gt;"Pago ISR",C1276&lt;&gt;"Pago IVA",C1276&lt;&gt;"Compensación ISR",C1276&lt;&gt;"Compensación IVA"),AND(C1276="Gasto",D1276&lt;&gt;"Costos clínicos",D1276&lt;&gt;"Remuneración familiar",D1276&lt;&gt;"Nómina y honorarios",D1276&lt;&gt;"Renta",D1276&lt;&gt;"Marketing",D1276&lt;&gt;"Servicios y software",D1276&lt;&gt;"Mantenimiento",D1276&lt;&gt;"Otros",D1276&lt;&gt;"Intereses")),"Tipo o categoría inválido",IF(COUNTA(A1276:J1276)=0,"",IF(OR(A1276="",B1276="",C1276="",H1276=""),"Faltan datos",IF(COUNTIF($A$7:$A$2006,A1276)&gt;1,"ID duplicado",IF(OR(B1276&lt;DATE(Configuración!$C$5,1,1),B1276&gt;=DATE(Configuración!$C$5+1,1,1)),"Fecha fuera del año",IF(OR(H1276&lt;0,I1276&lt;0),"Revisar signo",IF(AND(C1276&lt;&gt;"Gasto",I1276&lt;&gt;0),"IVA solo en Gasto",IF(AND(C1276="Gasto",D1276=""),"Falta categoría","OK")))))))))</f>
        <v/>
      </c>
    </row>
    <row r="1277" spans="1:12" ht="22" customHeight="1">
      <c r="A1277" s="3"/>
      <c r="B1277" s="7"/>
      <c r="C1277" s="3"/>
      <c r="D1277" s="3"/>
      <c r="E1277" s="3"/>
      <c r="F1277" s="3"/>
      <c r="G1277" s="3"/>
      <c r="H1277" s="4"/>
      <c r="I1277" s="4"/>
      <c r="J1277" s="3"/>
      <c r="K1277" s="8" t="str">
        <f t="shared" si="19"/>
        <v/>
      </c>
      <c r="L1277" s="1" t="str">
        <f>IF(COUNTA(A1277:J1277)=0,"",IF(OR(AND(C1277&lt;&gt;"Gasto",C1277&lt;&gt;"Pago proveedor",C1277&lt;&gt;"Retiro familiar",C1277&lt;&gt;"Aportación",C1277&lt;&gt;"Pago activo",C1277&lt;&gt;"ISR devengado",C1277&lt;&gt;"Pago ISR",C1277&lt;&gt;"Pago IVA",C1277&lt;&gt;"Compensación ISR",C1277&lt;&gt;"Compensación IVA"),AND(C1277="Gasto",D1277&lt;&gt;"Costos clínicos",D1277&lt;&gt;"Remuneración familiar",D1277&lt;&gt;"Nómina y honorarios",D1277&lt;&gt;"Renta",D1277&lt;&gt;"Marketing",D1277&lt;&gt;"Servicios y software",D1277&lt;&gt;"Mantenimiento",D1277&lt;&gt;"Otros",D1277&lt;&gt;"Intereses")),"Tipo o categoría inválido",IF(COUNTA(A1277:J1277)=0,"",IF(OR(A1277="",B1277="",C1277="",H1277=""),"Faltan datos",IF(COUNTIF($A$7:$A$2006,A1277)&gt;1,"ID duplicado",IF(OR(B1277&lt;DATE(Configuración!$C$5,1,1),B1277&gt;=DATE(Configuración!$C$5+1,1,1)),"Fecha fuera del año",IF(OR(H1277&lt;0,I1277&lt;0),"Revisar signo",IF(AND(C1277&lt;&gt;"Gasto",I1277&lt;&gt;0),"IVA solo en Gasto",IF(AND(C1277="Gasto",D1277=""),"Falta categoría","OK")))))))))</f>
        <v/>
      </c>
    </row>
    <row r="1278" spans="1:12" ht="22" customHeight="1">
      <c r="A1278" s="3"/>
      <c r="B1278" s="7"/>
      <c r="C1278" s="3"/>
      <c r="D1278" s="3"/>
      <c r="E1278" s="3"/>
      <c r="F1278" s="3"/>
      <c r="G1278" s="3"/>
      <c r="H1278" s="4"/>
      <c r="I1278" s="4"/>
      <c r="J1278" s="3"/>
      <c r="K1278" s="8" t="str">
        <f t="shared" si="19"/>
        <v/>
      </c>
      <c r="L1278" s="1" t="str">
        <f>IF(COUNTA(A1278:J1278)=0,"",IF(OR(AND(C1278&lt;&gt;"Gasto",C1278&lt;&gt;"Pago proveedor",C1278&lt;&gt;"Retiro familiar",C1278&lt;&gt;"Aportación",C1278&lt;&gt;"Pago activo",C1278&lt;&gt;"ISR devengado",C1278&lt;&gt;"Pago ISR",C1278&lt;&gt;"Pago IVA",C1278&lt;&gt;"Compensación ISR",C1278&lt;&gt;"Compensación IVA"),AND(C1278="Gasto",D1278&lt;&gt;"Costos clínicos",D1278&lt;&gt;"Remuneración familiar",D1278&lt;&gt;"Nómina y honorarios",D1278&lt;&gt;"Renta",D1278&lt;&gt;"Marketing",D1278&lt;&gt;"Servicios y software",D1278&lt;&gt;"Mantenimiento",D1278&lt;&gt;"Otros",D1278&lt;&gt;"Intereses")),"Tipo o categoría inválido",IF(COUNTA(A1278:J1278)=0,"",IF(OR(A1278="",B1278="",C1278="",H1278=""),"Faltan datos",IF(COUNTIF($A$7:$A$2006,A1278)&gt;1,"ID duplicado",IF(OR(B1278&lt;DATE(Configuración!$C$5,1,1),B1278&gt;=DATE(Configuración!$C$5+1,1,1)),"Fecha fuera del año",IF(OR(H1278&lt;0,I1278&lt;0),"Revisar signo",IF(AND(C1278&lt;&gt;"Gasto",I1278&lt;&gt;0),"IVA solo en Gasto",IF(AND(C1278="Gasto",D1278=""),"Falta categoría","OK")))))))))</f>
        <v/>
      </c>
    </row>
    <row r="1279" spans="1:12" ht="22" customHeight="1">
      <c r="A1279" s="3"/>
      <c r="B1279" s="7"/>
      <c r="C1279" s="3"/>
      <c r="D1279" s="3"/>
      <c r="E1279" s="3"/>
      <c r="F1279" s="3"/>
      <c r="G1279" s="3"/>
      <c r="H1279" s="4"/>
      <c r="I1279" s="4"/>
      <c r="J1279" s="3"/>
      <c r="K1279" s="8" t="str">
        <f t="shared" si="19"/>
        <v/>
      </c>
      <c r="L1279" s="1" t="str">
        <f>IF(COUNTA(A1279:J1279)=0,"",IF(OR(AND(C1279&lt;&gt;"Gasto",C1279&lt;&gt;"Pago proveedor",C1279&lt;&gt;"Retiro familiar",C1279&lt;&gt;"Aportación",C1279&lt;&gt;"Pago activo",C1279&lt;&gt;"ISR devengado",C1279&lt;&gt;"Pago ISR",C1279&lt;&gt;"Pago IVA",C1279&lt;&gt;"Compensación ISR",C1279&lt;&gt;"Compensación IVA"),AND(C1279="Gasto",D1279&lt;&gt;"Costos clínicos",D1279&lt;&gt;"Remuneración familiar",D1279&lt;&gt;"Nómina y honorarios",D1279&lt;&gt;"Renta",D1279&lt;&gt;"Marketing",D1279&lt;&gt;"Servicios y software",D1279&lt;&gt;"Mantenimiento",D1279&lt;&gt;"Otros",D1279&lt;&gt;"Intereses")),"Tipo o categoría inválido",IF(COUNTA(A1279:J1279)=0,"",IF(OR(A1279="",B1279="",C1279="",H1279=""),"Faltan datos",IF(COUNTIF($A$7:$A$2006,A1279)&gt;1,"ID duplicado",IF(OR(B1279&lt;DATE(Configuración!$C$5,1,1),B1279&gt;=DATE(Configuración!$C$5+1,1,1)),"Fecha fuera del año",IF(OR(H1279&lt;0,I1279&lt;0),"Revisar signo",IF(AND(C1279&lt;&gt;"Gasto",I1279&lt;&gt;0),"IVA solo en Gasto",IF(AND(C1279="Gasto",D1279=""),"Falta categoría","OK")))))))))</f>
        <v/>
      </c>
    </row>
    <row r="1280" spans="1:12" ht="22" customHeight="1">
      <c r="A1280" s="3"/>
      <c r="B1280" s="7"/>
      <c r="C1280" s="3"/>
      <c r="D1280" s="3"/>
      <c r="E1280" s="3"/>
      <c r="F1280" s="3"/>
      <c r="G1280" s="3"/>
      <c r="H1280" s="4"/>
      <c r="I1280" s="4"/>
      <c r="J1280" s="3"/>
      <c r="K1280" s="8" t="str">
        <f t="shared" si="19"/>
        <v/>
      </c>
      <c r="L1280" s="1" t="str">
        <f>IF(COUNTA(A1280:J1280)=0,"",IF(OR(AND(C1280&lt;&gt;"Gasto",C1280&lt;&gt;"Pago proveedor",C1280&lt;&gt;"Retiro familiar",C1280&lt;&gt;"Aportación",C1280&lt;&gt;"Pago activo",C1280&lt;&gt;"ISR devengado",C1280&lt;&gt;"Pago ISR",C1280&lt;&gt;"Pago IVA",C1280&lt;&gt;"Compensación ISR",C1280&lt;&gt;"Compensación IVA"),AND(C1280="Gasto",D1280&lt;&gt;"Costos clínicos",D1280&lt;&gt;"Remuneración familiar",D1280&lt;&gt;"Nómina y honorarios",D1280&lt;&gt;"Renta",D1280&lt;&gt;"Marketing",D1280&lt;&gt;"Servicios y software",D1280&lt;&gt;"Mantenimiento",D1280&lt;&gt;"Otros",D1280&lt;&gt;"Intereses")),"Tipo o categoría inválido",IF(COUNTA(A1280:J1280)=0,"",IF(OR(A1280="",B1280="",C1280="",H1280=""),"Faltan datos",IF(COUNTIF($A$7:$A$2006,A1280)&gt;1,"ID duplicado",IF(OR(B1280&lt;DATE(Configuración!$C$5,1,1),B1280&gt;=DATE(Configuración!$C$5+1,1,1)),"Fecha fuera del año",IF(OR(H1280&lt;0,I1280&lt;0),"Revisar signo",IF(AND(C1280&lt;&gt;"Gasto",I1280&lt;&gt;0),"IVA solo en Gasto",IF(AND(C1280="Gasto",D1280=""),"Falta categoría","OK")))))))))</f>
        <v/>
      </c>
    </row>
    <row r="1281" spans="1:12" ht="22" customHeight="1">
      <c r="A1281" s="3"/>
      <c r="B1281" s="7"/>
      <c r="C1281" s="3"/>
      <c r="D1281" s="3"/>
      <c r="E1281" s="3"/>
      <c r="F1281" s="3"/>
      <c r="G1281" s="3"/>
      <c r="H1281" s="4"/>
      <c r="I1281" s="4"/>
      <c r="J1281" s="3"/>
      <c r="K1281" s="8" t="str">
        <f t="shared" si="19"/>
        <v/>
      </c>
      <c r="L1281" s="1" t="str">
        <f>IF(COUNTA(A1281:J1281)=0,"",IF(OR(AND(C1281&lt;&gt;"Gasto",C1281&lt;&gt;"Pago proveedor",C1281&lt;&gt;"Retiro familiar",C1281&lt;&gt;"Aportación",C1281&lt;&gt;"Pago activo",C1281&lt;&gt;"ISR devengado",C1281&lt;&gt;"Pago ISR",C1281&lt;&gt;"Pago IVA",C1281&lt;&gt;"Compensación ISR",C1281&lt;&gt;"Compensación IVA"),AND(C1281="Gasto",D1281&lt;&gt;"Costos clínicos",D1281&lt;&gt;"Remuneración familiar",D1281&lt;&gt;"Nómina y honorarios",D1281&lt;&gt;"Renta",D1281&lt;&gt;"Marketing",D1281&lt;&gt;"Servicios y software",D1281&lt;&gt;"Mantenimiento",D1281&lt;&gt;"Otros",D1281&lt;&gt;"Intereses")),"Tipo o categoría inválido",IF(COUNTA(A1281:J1281)=0,"",IF(OR(A1281="",B1281="",C1281="",H1281=""),"Faltan datos",IF(COUNTIF($A$7:$A$2006,A1281)&gt;1,"ID duplicado",IF(OR(B1281&lt;DATE(Configuración!$C$5,1,1),B1281&gt;=DATE(Configuración!$C$5+1,1,1)),"Fecha fuera del año",IF(OR(H1281&lt;0,I1281&lt;0),"Revisar signo",IF(AND(C1281&lt;&gt;"Gasto",I1281&lt;&gt;0),"IVA solo en Gasto",IF(AND(C1281="Gasto",D1281=""),"Falta categoría","OK")))))))))</f>
        <v/>
      </c>
    </row>
    <row r="1282" spans="1:12" ht="22" customHeight="1">
      <c r="A1282" s="3"/>
      <c r="B1282" s="7"/>
      <c r="C1282" s="3"/>
      <c r="D1282" s="3"/>
      <c r="E1282" s="3"/>
      <c r="F1282" s="3"/>
      <c r="G1282" s="3"/>
      <c r="H1282" s="4"/>
      <c r="I1282" s="4"/>
      <c r="J1282" s="3"/>
      <c r="K1282" s="8" t="str">
        <f t="shared" si="19"/>
        <v/>
      </c>
      <c r="L1282" s="1" t="str">
        <f>IF(COUNTA(A1282:J1282)=0,"",IF(OR(AND(C1282&lt;&gt;"Gasto",C1282&lt;&gt;"Pago proveedor",C1282&lt;&gt;"Retiro familiar",C1282&lt;&gt;"Aportación",C1282&lt;&gt;"Pago activo",C1282&lt;&gt;"ISR devengado",C1282&lt;&gt;"Pago ISR",C1282&lt;&gt;"Pago IVA",C1282&lt;&gt;"Compensación ISR",C1282&lt;&gt;"Compensación IVA"),AND(C1282="Gasto",D1282&lt;&gt;"Costos clínicos",D1282&lt;&gt;"Remuneración familiar",D1282&lt;&gt;"Nómina y honorarios",D1282&lt;&gt;"Renta",D1282&lt;&gt;"Marketing",D1282&lt;&gt;"Servicios y software",D1282&lt;&gt;"Mantenimiento",D1282&lt;&gt;"Otros",D1282&lt;&gt;"Intereses")),"Tipo o categoría inválido",IF(COUNTA(A1282:J1282)=0,"",IF(OR(A1282="",B1282="",C1282="",H1282=""),"Faltan datos",IF(COUNTIF($A$7:$A$2006,A1282)&gt;1,"ID duplicado",IF(OR(B1282&lt;DATE(Configuración!$C$5,1,1),B1282&gt;=DATE(Configuración!$C$5+1,1,1)),"Fecha fuera del año",IF(OR(H1282&lt;0,I1282&lt;0),"Revisar signo",IF(AND(C1282&lt;&gt;"Gasto",I1282&lt;&gt;0),"IVA solo en Gasto",IF(AND(C1282="Gasto",D1282=""),"Falta categoría","OK")))))))))</f>
        <v/>
      </c>
    </row>
    <row r="1283" spans="1:12" ht="22" customHeight="1">
      <c r="A1283" s="3"/>
      <c r="B1283" s="7"/>
      <c r="C1283" s="3"/>
      <c r="D1283" s="3"/>
      <c r="E1283" s="3"/>
      <c r="F1283" s="3"/>
      <c r="G1283" s="3"/>
      <c r="H1283" s="4"/>
      <c r="I1283" s="4"/>
      <c r="J1283" s="3"/>
      <c r="K1283" s="8" t="str">
        <f t="shared" si="19"/>
        <v/>
      </c>
      <c r="L1283" s="1" t="str">
        <f>IF(COUNTA(A1283:J1283)=0,"",IF(OR(AND(C1283&lt;&gt;"Gasto",C1283&lt;&gt;"Pago proveedor",C1283&lt;&gt;"Retiro familiar",C1283&lt;&gt;"Aportación",C1283&lt;&gt;"Pago activo",C1283&lt;&gt;"ISR devengado",C1283&lt;&gt;"Pago ISR",C1283&lt;&gt;"Pago IVA",C1283&lt;&gt;"Compensación ISR",C1283&lt;&gt;"Compensación IVA"),AND(C1283="Gasto",D1283&lt;&gt;"Costos clínicos",D1283&lt;&gt;"Remuneración familiar",D1283&lt;&gt;"Nómina y honorarios",D1283&lt;&gt;"Renta",D1283&lt;&gt;"Marketing",D1283&lt;&gt;"Servicios y software",D1283&lt;&gt;"Mantenimiento",D1283&lt;&gt;"Otros",D1283&lt;&gt;"Intereses")),"Tipo o categoría inválido",IF(COUNTA(A1283:J1283)=0,"",IF(OR(A1283="",B1283="",C1283="",H1283=""),"Faltan datos",IF(COUNTIF($A$7:$A$2006,A1283)&gt;1,"ID duplicado",IF(OR(B1283&lt;DATE(Configuración!$C$5,1,1),B1283&gt;=DATE(Configuración!$C$5+1,1,1)),"Fecha fuera del año",IF(OR(H1283&lt;0,I1283&lt;0),"Revisar signo",IF(AND(C1283&lt;&gt;"Gasto",I1283&lt;&gt;0),"IVA solo en Gasto",IF(AND(C1283="Gasto",D1283=""),"Falta categoría","OK")))))))))</f>
        <v/>
      </c>
    </row>
    <row r="1284" spans="1:12" ht="22" customHeight="1">
      <c r="A1284" s="3"/>
      <c r="B1284" s="7"/>
      <c r="C1284" s="3"/>
      <c r="D1284" s="3"/>
      <c r="E1284" s="3"/>
      <c r="F1284" s="3"/>
      <c r="G1284" s="3"/>
      <c r="H1284" s="4"/>
      <c r="I1284" s="4"/>
      <c r="J1284" s="3"/>
      <c r="K1284" s="8" t="str">
        <f t="shared" si="19"/>
        <v/>
      </c>
      <c r="L1284" s="1" t="str">
        <f>IF(COUNTA(A1284:J1284)=0,"",IF(OR(AND(C1284&lt;&gt;"Gasto",C1284&lt;&gt;"Pago proveedor",C1284&lt;&gt;"Retiro familiar",C1284&lt;&gt;"Aportación",C1284&lt;&gt;"Pago activo",C1284&lt;&gt;"ISR devengado",C1284&lt;&gt;"Pago ISR",C1284&lt;&gt;"Pago IVA",C1284&lt;&gt;"Compensación ISR",C1284&lt;&gt;"Compensación IVA"),AND(C1284="Gasto",D1284&lt;&gt;"Costos clínicos",D1284&lt;&gt;"Remuneración familiar",D1284&lt;&gt;"Nómina y honorarios",D1284&lt;&gt;"Renta",D1284&lt;&gt;"Marketing",D1284&lt;&gt;"Servicios y software",D1284&lt;&gt;"Mantenimiento",D1284&lt;&gt;"Otros",D1284&lt;&gt;"Intereses")),"Tipo o categoría inválido",IF(COUNTA(A1284:J1284)=0,"",IF(OR(A1284="",B1284="",C1284="",H1284=""),"Faltan datos",IF(COUNTIF($A$7:$A$2006,A1284)&gt;1,"ID duplicado",IF(OR(B1284&lt;DATE(Configuración!$C$5,1,1),B1284&gt;=DATE(Configuración!$C$5+1,1,1)),"Fecha fuera del año",IF(OR(H1284&lt;0,I1284&lt;0),"Revisar signo",IF(AND(C1284&lt;&gt;"Gasto",I1284&lt;&gt;0),"IVA solo en Gasto",IF(AND(C1284="Gasto",D1284=""),"Falta categoría","OK")))))))))</f>
        <v/>
      </c>
    </row>
    <row r="1285" spans="1:12" ht="22" customHeight="1">
      <c r="A1285" s="3"/>
      <c r="B1285" s="7"/>
      <c r="C1285" s="3"/>
      <c r="D1285" s="3"/>
      <c r="E1285" s="3"/>
      <c r="F1285" s="3"/>
      <c r="G1285" s="3"/>
      <c r="H1285" s="4"/>
      <c r="I1285" s="4"/>
      <c r="J1285" s="3"/>
      <c r="K1285" s="8" t="str">
        <f t="shared" si="19"/>
        <v/>
      </c>
      <c r="L1285" s="1" t="str">
        <f>IF(COUNTA(A1285:J1285)=0,"",IF(OR(AND(C1285&lt;&gt;"Gasto",C1285&lt;&gt;"Pago proveedor",C1285&lt;&gt;"Retiro familiar",C1285&lt;&gt;"Aportación",C1285&lt;&gt;"Pago activo",C1285&lt;&gt;"ISR devengado",C1285&lt;&gt;"Pago ISR",C1285&lt;&gt;"Pago IVA",C1285&lt;&gt;"Compensación ISR",C1285&lt;&gt;"Compensación IVA"),AND(C1285="Gasto",D1285&lt;&gt;"Costos clínicos",D1285&lt;&gt;"Remuneración familiar",D1285&lt;&gt;"Nómina y honorarios",D1285&lt;&gt;"Renta",D1285&lt;&gt;"Marketing",D1285&lt;&gt;"Servicios y software",D1285&lt;&gt;"Mantenimiento",D1285&lt;&gt;"Otros",D1285&lt;&gt;"Intereses")),"Tipo o categoría inválido",IF(COUNTA(A1285:J1285)=0,"",IF(OR(A1285="",B1285="",C1285="",H1285=""),"Faltan datos",IF(COUNTIF($A$7:$A$2006,A1285)&gt;1,"ID duplicado",IF(OR(B1285&lt;DATE(Configuración!$C$5,1,1),B1285&gt;=DATE(Configuración!$C$5+1,1,1)),"Fecha fuera del año",IF(OR(H1285&lt;0,I1285&lt;0),"Revisar signo",IF(AND(C1285&lt;&gt;"Gasto",I1285&lt;&gt;0),"IVA solo en Gasto",IF(AND(C1285="Gasto",D1285=""),"Falta categoría","OK")))))))))</f>
        <v/>
      </c>
    </row>
    <row r="1286" spans="1:12" ht="22" customHeight="1">
      <c r="A1286" s="3"/>
      <c r="B1286" s="7"/>
      <c r="C1286" s="3"/>
      <c r="D1286" s="3"/>
      <c r="E1286" s="3"/>
      <c r="F1286" s="3"/>
      <c r="G1286" s="3"/>
      <c r="H1286" s="4"/>
      <c r="I1286" s="4"/>
      <c r="J1286" s="3"/>
      <c r="K1286" s="8" t="str">
        <f t="shared" si="19"/>
        <v/>
      </c>
      <c r="L1286" s="1" t="str">
        <f>IF(COUNTA(A1286:J1286)=0,"",IF(OR(AND(C1286&lt;&gt;"Gasto",C1286&lt;&gt;"Pago proveedor",C1286&lt;&gt;"Retiro familiar",C1286&lt;&gt;"Aportación",C1286&lt;&gt;"Pago activo",C1286&lt;&gt;"ISR devengado",C1286&lt;&gt;"Pago ISR",C1286&lt;&gt;"Pago IVA",C1286&lt;&gt;"Compensación ISR",C1286&lt;&gt;"Compensación IVA"),AND(C1286="Gasto",D1286&lt;&gt;"Costos clínicos",D1286&lt;&gt;"Remuneración familiar",D1286&lt;&gt;"Nómina y honorarios",D1286&lt;&gt;"Renta",D1286&lt;&gt;"Marketing",D1286&lt;&gt;"Servicios y software",D1286&lt;&gt;"Mantenimiento",D1286&lt;&gt;"Otros",D1286&lt;&gt;"Intereses")),"Tipo o categoría inválido",IF(COUNTA(A1286:J1286)=0,"",IF(OR(A1286="",B1286="",C1286="",H1286=""),"Faltan datos",IF(COUNTIF($A$7:$A$2006,A1286)&gt;1,"ID duplicado",IF(OR(B1286&lt;DATE(Configuración!$C$5,1,1),B1286&gt;=DATE(Configuración!$C$5+1,1,1)),"Fecha fuera del año",IF(OR(H1286&lt;0,I1286&lt;0),"Revisar signo",IF(AND(C1286&lt;&gt;"Gasto",I1286&lt;&gt;0),"IVA solo en Gasto",IF(AND(C1286="Gasto",D1286=""),"Falta categoría","OK")))))))))</f>
        <v/>
      </c>
    </row>
    <row r="1287" spans="1:12" ht="22" customHeight="1">
      <c r="A1287" s="3"/>
      <c r="B1287" s="7"/>
      <c r="C1287" s="3"/>
      <c r="D1287" s="3"/>
      <c r="E1287" s="3"/>
      <c r="F1287" s="3"/>
      <c r="G1287" s="3"/>
      <c r="H1287" s="4"/>
      <c r="I1287" s="4"/>
      <c r="J1287" s="3"/>
      <c r="K1287" s="8" t="str">
        <f t="shared" ref="K1287:K1350" si="20">IF(A1287="","",H1287+I1287)</f>
        <v/>
      </c>
      <c r="L1287" s="1" t="str">
        <f>IF(COUNTA(A1287:J1287)=0,"",IF(OR(AND(C1287&lt;&gt;"Gasto",C1287&lt;&gt;"Pago proveedor",C1287&lt;&gt;"Retiro familiar",C1287&lt;&gt;"Aportación",C1287&lt;&gt;"Pago activo",C1287&lt;&gt;"ISR devengado",C1287&lt;&gt;"Pago ISR",C1287&lt;&gt;"Pago IVA",C1287&lt;&gt;"Compensación ISR",C1287&lt;&gt;"Compensación IVA"),AND(C1287="Gasto",D1287&lt;&gt;"Costos clínicos",D1287&lt;&gt;"Remuneración familiar",D1287&lt;&gt;"Nómina y honorarios",D1287&lt;&gt;"Renta",D1287&lt;&gt;"Marketing",D1287&lt;&gt;"Servicios y software",D1287&lt;&gt;"Mantenimiento",D1287&lt;&gt;"Otros",D1287&lt;&gt;"Intereses")),"Tipo o categoría inválido",IF(COUNTA(A1287:J1287)=0,"",IF(OR(A1287="",B1287="",C1287="",H1287=""),"Faltan datos",IF(COUNTIF($A$7:$A$2006,A1287)&gt;1,"ID duplicado",IF(OR(B1287&lt;DATE(Configuración!$C$5,1,1),B1287&gt;=DATE(Configuración!$C$5+1,1,1)),"Fecha fuera del año",IF(OR(H1287&lt;0,I1287&lt;0),"Revisar signo",IF(AND(C1287&lt;&gt;"Gasto",I1287&lt;&gt;0),"IVA solo en Gasto",IF(AND(C1287="Gasto",D1287=""),"Falta categoría","OK")))))))))</f>
        <v/>
      </c>
    </row>
    <row r="1288" spans="1:12" ht="22" customHeight="1">
      <c r="A1288" s="3"/>
      <c r="B1288" s="7"/>
      <c r="C1288" s="3"/>
      <c r="D1288" s="3"/>
      <c r="E1288" s="3"/>
      <c r="F1288" s="3"/>
      <c r="G1288" s="3"/>
      <c r="H1288" s="4"/>
      <c r="I1288" s="4"/>
      <c r="J1288" s="3"/>
      <c r="K1288" s="8" t="str">
        <f t="shared" si="20"/>
        <v/>
      </c>
      <c r="L1288" s="1" t="str">
        <f>IF(COUNTA(A1288:J1288)=0,"",IF(OR(AND(C1288&lt;&gt;"Gasto",C1288&lt;&gt;"Pago proveedor",C1288&lt;&gt;"Retiro familiar",C1288&lt;&gt;"Aportación",C1288&lt;&gt;"Pago activo",C1288&lt;&gt;"ISR devengado",C1288&lt;&gt;"Pago ISR",C1288&lt;&gt;"Pago IVA",C1288&lt;&gt;"Compensación ISR",C1288&lt;&gt;"Compensación IVA"),AND(C1288="Gasto",D1288&lt;&gt;"Costos clínicos",D1288&lt;&gt;"Remuneración familiar",D1288&lt;&gt;"Nómina y honorarios",D1288&lt;&gt;"Renta",D1288&lt;&gt;"Marketing",D1288&lt;&gt;"Servicios y software",D1288&lt;&gt;"Mantenimiento",D1288&lt;&gt;"Otros",D1288&lt;&gt;"Intereses")),"Tipo o categoría inválido",IF(COUNTA(A1288:J1288)=0,"",IF(OR(A1288="",B1288="",C1288="",H1288=""),"Faltan datos",IF(COUNTIF($A$7:$A$2006,A1288)&gt;1,"ID duplicado",IF(OR(B1288&lt;DATE(Configuración!$C$5,1,1),B1288&gt;=DATE(Configuración!$C$5+1,1,1)),"Fecha fuera del año",IF(OR(H1288&lt;0,I1288&lt;0),"Revisar signo",IF(AND(C1288&lt;&gt;"Gasto",I1288&lt;&gt;0),"IVA solo en Gasto",IF(AND(C1288="Gasto",D1288=""),"Falta categoría","OK")))))))))</f>
        <v/>
      </c>
    </row>
    <row r="1289" spans="1:12" ht="22" customHeight="1">
      <c r="A1289" s="3"/>
      <c r="B1289" s="7"/>
      <c r="C1289" s="3"/>
      <c r="D1289" s="3"/>
      <c r="E1289" s="3"/>
      <c r="F1289" s="3"/>
      <c r="G1289" s="3"/>
      <c r="H1289" s="4"/>
      <c r="I1289" s="4"/>
      <c r="J1289" s="3"/>
      <c r="K1289" s="8" t="str">
        <f t="shared" si="20"/>
        <v/>
      </c>
      <c r="L1289" s="1" t="str">
        <f>IF(COUNTA(A1289:J1289)=0,"",IF(OR(AND(C1289&lt;&gt;"Gasto",C1289&lt;&gt;"Pago proveedor",C1289&lt;&gt;"Retiro familiar",C1289&lt;&gt;"Aportación",C1289&lt;&gt;"Pago activo",C1289&lt;&gt;"ISR devengado",C1289&lt;&gt;"Pago ISR",C1289&lt;&gt;"Pago IVA",C1289&lt;&gt;"Compensación ISR",C1289&lt;&gt;"Compensación IVA"),AND(C1289="Gasto",D1289&lt;&gt;"Costos clínicos",D1289&lt;&gt;"Remuneración familiar",D1289&lt;&gt;"Nómina y honorarios",D1289&lt;&gt;"Renta",D1289&lt;&gt;"Marketing",D1289&lt;&gt;"Servicios y software",D1289&lt;&gt;"Mantenimiento",D1289&lt;&gt;"Otros",D1289&lt;&gt;"Intereses")),"Tipo o categoría inválido",IF(COUNTA(A1289:J1289)=0,"",IF(OR(A1289="",B1289="",C1289="",H1289=""),"Faltan datos",IF(COUNTIF($A$7:$A$2006,A1289)&gt;1,"ID duplicado",IF(OR(B1289&lt;DATE(Configuración!$C$5,1,1),B1289&gt;=DATE(Configuración!$C$5+1,1,1)),"Fecha fuera del año",IF(OR(H1289&lt;0,I1289&lt;0),"Revisar signo",IF(AND(C1289&lt;&gt;"Gasto",I1289&lt;&gt;0),"IVA solo en Gasto",IF(AND(C1289="Gasto",D1289=""),"Falta categoría","OK")))))))))</f>
        <v/>
      </c>
    </row>
    <row r="1290" spans="1:12" ht="22" customHeight="1">
      <c r="A1290" s="3"/>
      <c r="B1290" s="7"/>
      <c r="C1290" s="3"/>
      <c r="D1290" s="3"/>
      <c r="E1290" s="3"/>
      <c r="F1290" s="3"/>
      <c r="G1290" s="3"/>
      <c r="H1290" s="4"/>
      <c r="I1290" s="4"/>
      <c r="J1290" s="3"/>
      <c r="K1290" s="8" t="str">
        <f t="shared" si="20"/>
        <v/>
      </c>
      <c r="L1290" s="1" t="str">
        <f>IF(COUNTA(A1290:J1290)=0,"",IF(OR(AND(C1290&lt;&gt;"Gasto",C1290&lt;&gt;"Pago proveedor",C1290&lt;&gt;"Retiro familiar",C1290&lt;&gt;"Aportación",C1290&lt;&gt;"Pago activo",C1290&lt;&gt;"ISR devengado",C1290&lt;&gt;"Pago ISR",C1290&lt;&gt;"Pago IVA",C1290&lt;&gt;"Compensación ISR",C1290&lt;&gt;"Compensación IVA"),AND(C1290="Gasto",D1290&lt;&gt;"Costos clínicos",D1290&lt;&gt;"Remuneración familiar",D1290&lt;&gt;"Nómina y honorarios",D1290&lt;&gt;"Renta",D1290&lt;&gt;"Marketing",D1290&lt;&gt;"Servicios y software",D1290&lt;&gt;"Mantenimiento",D1290&lt;&gt;"Otros",D1290&lt;&gt;"Intereses")),"Tipo o categoría inválido",IF(COUNTA(A1290:J1290)=0,"",IF(OR(A1290="",B1290="",C1290="",H1290=""),"Faltan datos",IF(COUNTIF($A$7:$A$2006,A1290)&gt;1,"ID duplicado",IF(OR(B1290&lt;DATE(Configuración!$C$5,1,1),B1290&gt;=DATE(Configuración!$C$5+1,1,1)),"Fecha fuera del año",IF(OR(H1290&lt;0,I1290&lt;0),"Revisar signo",IF(AND(C1290&lt;&gt;"Gasto",I1290&lt;&gt;0),"IVA solo en Gasto",IF(AND(C1290="Gasto",D1290=""),"Falta categoría","OK")))))))))</f>
        <v/>
      </c>
    </row>
    <row r="1291" spans="1:12" ht="22" customHeight="1">
      <c r="A1291" s="3"/>
      <c r="B1291" s="7"/>
      <c r="C1291" s="3"/>
      <c r="D1291" s="3"/>
      <c r="E1291" s="3"/>
      <c r="F1291" s="3"/>
      <c r="G1291" s="3"/>
      <c r="H1291" s="4"/>
      <c r="I1291" s="4"/>
      <c r="J1291" s="3"/>
      <c r="K1291" s="8" t="str">
        <f t="shared" si="20"/>
        <v/>
      </c>
      <c r="L1291" s="1" t="str">
        <f>IF(COUNTA(A1291:J1291)=0,"",IF(OR(AND(C1291&lt;&gt;"Gasto",C1291&lt;&gt;"Pago proveedor",C1291&lt;&gt;"Retiro familiar",C1291&lt;&gt;"Aportación",C1291&lt;&gt;"Pago activo",C1291&lt;&gt;"ISR devengado",C1291&lt;&gt;"Pago ISR",C1291&lt;&gt;"Pago IVA",C1291&lt;&gt;"Compensación ISR",C1291&lt;&gt;"Compensación IVA"),AND(C1291="Gasto",D1291&lt;&gt;"Costos clínicos",D1291&lt;&gt;"Remuneración familiar",D1291&lt;&gt;"Nómina y honorarios",D1291&lt;&gt;"Renta",D1291&lt;&gt;"Marketing",D1291&lt;&gt;"Servicios y software",D1291&lt;&gt;"Mantenimiento",D1291&lt;&gt;"Otros",D1291&lt;&gt;"Intereses")),"Tipo o categoría inválido",IF(COUNTA(A1291:J1291)=0,"",IF(OR(A1291="",B1291="",C1291="",H1291=""),"Faltan datos",IF(COUNTIF($A$7:$A$2006,A1291)&gt;1,"ID duplicado",IF(OR(B1291&lt;DATE(Configuración!$C$5,1,1),B1291&gt;=DATE(Configuración!$C$5+1,1,1)),"Fecha fuera del año",IF(OR(H1291&lt;0,I1291&lt;0),"Revisar signo",IF(AND(C1291&lt;&gt;"Gasto",I1291&lt;&gt;0),"IVA solo en Gasto",IF(AND(C1291="Gasto",D1291=""),"Falta categoría","OK")))))))))</f>
        <v/>
      </c>
    </row>
    <row r="1292" spans="1:12" ht="22" customHeight="1">
      <c r="A1292" s="3"/>
      <c r="B1292" s="7"/>
      <c r="C1292" s="3"/>
      <c r="D1292" s="3"/>
      <c r="E1292" s="3"/>
      <c r="F1292" s="3"/>
      <c r="G1292" s="3"/>
      <c r="H1292" s="4"/>
      <c r="I1292" s="4"/>
      <c r="J1292" s="3"/>
      <c r="K1292" s="8" t="str">
        <f t="shared" si="20"/>
        <v/>
      </c>
      <c r="L1292" s="1" t="str">
        <f>IF(COUNTA(A1292:J1292)=0,"",IF(OR(AND(C1292&lt;&gt;"Gasto",C1292&lt;&gt;"Pago proveedor",C1292&lt;&gt;"Retiro familiar",C1292&lt;&gt;"Aportación",C1292&lt;&gt;"Pago activo",C1292&lt;&gt;"ISR devengado",C1292&lt;&gt;"Pago ISR",C1292&lt;&gt;"Pago IVA",C1292&lt;&gt;"Compensación ISR",C1292&lt;&gt;"Compensación IVA"),AND(C1292="Gasto",D1292&lt;&gt;"Costos clínicos",D1292&lt;&gt;"Remuneración familiar",D1292&lt;&gt;"Nómina y honorarios",D1292&lt;&gt;"Renta",D1292&lt;&gt;"Marketing",D1292&lt;&gt;"Servicios y software",D1292&lt;&gt;"Mantenimiento",D1292&lt;&gt;"Otros",D1292&lt;&gt;"Intereses")),"Tipo o categoría inválido",IF(COUNTA(A1292:J1292)=0,"",IF(OR(A1292="",B1292="",C1292="",H1292=""),"Faltan datos",IF(COUNTIF($A$7:$A$2006,A1292)&gt;1,"ID duplicado",IF(OR(B1292&lt;DATE(Configuración!$C$5,1,1),B1292&gt;=DATE(Configuración!$C$5+1,1,1)),"Fecha fuera del año",IF(OR(H1292&lt;0,I1292&lt;0),"Revisar signo",IF(AND(C1292&lt;&gt;"Gasto",I1292&lt;&gt;0),"IVA solo en Gasto",IF(AND(C1292="Gasto",D1292=""),"Falta categoría","OK")))))))))</f>
        <v/>
      </c>
    </row>
    <row r="1293" spans="1:12" ht="22" customHeight="1">
      <c r="A1293" s="3"/>
      <c r="B1293" s="7"/>
      <c r="C1293" s="3"/>
      <c r="D1293" s="3"/>
      <c r="E1293" s="3"/>
      <c r="F1293" s="3"/>
      <c r="G1293" s="3"/>
      <c r="H1293" s="4"/>
      <c r="I1293" s="4"/>
      <c r="J1293" s="3"/>
      <c r="K1293" s="8" t="str">
        <f t="shared" si="20"/>
        <v/>
      </c>
      <c r="L1293" s="1" t="str">
        <f>IF(COUNTA(A1293:J1293)=0,"",IF(OR(AND(C1293&lt;&gt;"Gasto",C1293&lt;&gt;"Pago proveedor",C1293&lt;&gt;"Retiro familiar",C1293&lt;&gt;"Aportación",C1293&lt;&gt;"Pago activo",C1293&lt;&gt;"ISR devengado",C1293&lt;&gt;"Pago ISR",C1293&lt;&gt;"Pago IVA",C1293&lt;&gt;"Compensación ISR",C1293&lt;&gt;"Compensación IVA"),AND(C1293="Gasto",D1293&lt;&gt;"Costos clínicos",D1293&lt;&gt;"Remuneración familiar",D1293&lt;&gt;"Nómina y honorarios",D1293&lt;&gt;"Renta",D1293&lt;&gt;"Marketing",D1293&lt;&gt;"Servicios y software",D1293&lt;&gt;"Mantenimiento",D1293&lt;&gt;"Otros",D1293&lt;&gt;"Intereses")),"Tipo o categoría inválido",IF(COUNTA(A1293:J1293)=0,"",IF(OR(A1293="",B1293="",C1293="",H1293=""),"Faltan datos",IF(COUNTIF($A$7:$A$2006,A1293)&gt;1,"ID duplicado",IF(OR(B1293&lt;DATE(Configuración!$C$5,1,1),B1293&gt;=DATE(Configuración!$C$5+1,1,1)),"Fecha fuera del año",IF(OR(H1293&lt;0,I1293&lt;0),"Revisar signo",IF(AND(C1293&lt;&gt;"Gasto",I1293&lt;&gt;0),"IVA solo en Gasto",IF(AND(C1293="Gasto",D1293=""),"Falta categoría","OK")))))))))</f>
        <v/>
      </c>
    </row>
    <row r="1294" spans="1:12" ht="22" customHeight="1">
      <c r="A1294" s="3"/>
      <c r="B1294" s="7"/>
      <c r="C1294" s="3"/>
      <c r="D1294" s="3"/>
      <c r="E1294" s="3"/>
      <c r="F1294" s="3"/>
      <c r="G1294" s="3"/>
      <c r="H1294" s="4"/>
      <c r="I1294" s="4"/>
      <c r="J1294" s="3"/>
      <c r="K1294" s="8" t="str">
        <f t="shared" si="20"/>
        <v/>
      </c>
      <c r="L1294" s="1" t="str">
        <f>IF(COUNTA(A1294:J1294)=0,"",IF(OR(AND(C1294&lt;&gt;"Gasto",C1294&lt;&gt;"Pago proveedor",C1294&lt;&gt;"Retiro familiar",C1294&lt;&gt;"Aportación",C1294&lt;&gt;"Pago activo",C1294&lt;&gt;"ISR devengado",C1294&lt;&gt;"Pago ISR",C1294&lt;&gt;"Pago IVA",C1294&lt;&gt;"Compensación ISR",C1294&lt;&gt;"Compensación IVA"),AND(C1294="Gasto",D1294&lt;&gt;"Costos clínicos",D1294&lt;&gt;"Remuneración familiar",D1294&lt;&gt;"Nómina y honorarios",D1294&lt;&gt;"Renta",D1294&lt;&gt;"Marketing",D1294&lt;&gt;"Servicios y software",D1294&lt;&gt;"Mantenimiento",D1294&lt;&gt;"Otros",D1294&lt;&gt;"Intereses")),"Tipo o categoría inválido",IF(COUNTA(A1294:J1294)=0,"",IF(OR(A1294="",B1294="",C1294="",H1294=""),"Faltan datos",IF(COUNTIF($A$7:$A$2006,A1294)&gt;1,"ID duplicado",IF(OR(B1294&lt;DATE(Configuración!$C$5,1,1),B1294&gt;=DATE(Configuración!$C$5+1,1,1)),"Fecha fuera del año",IF(OR(H1294&lt;0,I1294&lt;0),"Revisar signo",IF(AND(C1294&lt;&gt;"Gasto",I1294&lt;&gt;0),"IVA solo en Gasto",IF(AND(C1294="Gasto",D1294=""),"Falta categoría","OK")))))))))</f>
        <v/>
      </c>
    </row>
    <row r="1295" spans="1:12" ht="22" customHeight="1">
      <c r="A1295" s="3"/>
      <c r="B1295" s="7"/>
      <c r="C1295" s="3"/>
      <c r="D1295" s="3"/>
      <c r="E1295" s="3"/>
      <c r="F1295" s="3"/>
      <c r="G1295" s="3"/>
      <c r="H1295" s="4"/>
      <c r="I1295" s="4"/>
      <c r="J1295" s="3"/>
      <c r="K1295" s="8" t="str">
        <f t="shared" si="20"/>
        <v/>
      </c>
      <c r="L1295" s="1" t="str">
        <f>IF(COUNTA(A1295:J1295)=0,"",IF(OR(AND(C1295&lt;&gt;"Gasto",C1295&lt;&gt;"Pago proveedor",C1295&lt;&gt;"Retiro familiar",C1295&lt;&gt;"Aportación",C1295&lt;&gt;"Pago activo",C1295&lt;&gt;"ISR devengado",C1295&lt;&gt;"Pago ISR",C1295&lt;&gt;"Pago IVA",C1295&lt;&gt;"Compensación ISR",C1295&lt;&gt;"Compensación IVA"),AND(C1295="Gasto",D1295&lt;&gt;"Costos clínicos",D1295&lt;&gt;"Remuneración familiar",D1295&lt;&gt;"Nómina y honorarios",D1295&lt;&gt;"Renta",D1295&lt;&gt;"Marketing",D1295&lt;&gt;"Servicios y software",D1295&lt;&gt;"Mantenimiento",D1295&lt;&gt;"Otros",D1295&lt;&gt;"Intereses")),"Tipo o categoría inválido",IF(COUNTA(A1295:J1295)=0,"",IF(OR(A1295="",B1295="",C1295="",H1295=""),"Faltan datos",IF(COUNTIF($A$7:$A$2006,A1295)&gt;1,"ID duplicado",IF(OR(B1295&lt;DATE(Configuración!$C$5,1,1),B1295&gt;=DATE(Configuración!$C$5+1,1,1)),"Fecha fuera del año",IF(OR(H1295&lt;0,I1295&lt;0),"Revisar signo",IF(AND(C1295&lt;&gt;"Gasto",I1295&lt;&gt;0),"IVA solo en Gasto",IF(AND(C1295="Gasto",D1295=""),"Falta categoría","OK")))))))))</f>
        <v/>
      </c>
    </row>
    <row r="1296" spans="1:12" ht="22" customHeight="1">
      <c r="A1296" s="3"/>
      <c r="B1296" s="7"/>
      <c r="C1296" s="3"/>
      <c r="D1296" s="3"/>
      <c r="E1296" s="3"/>
      <c r="F1296" s="3"/>
      <c r="G1296" s="3"/>
      <c r="H1296" s="4"/>
      <c r="I1296" s="4"/>
      <c r="J1296" s="3"/>
      <c r="K1296" s="8" t="str">
        <f t="shared" si="20"/>
        <v/>
      </c>
      <c r="L1296" s="1" t="str">
        <f>IF(COUNTA(A1296:J1296)=0,"",IF(OR(AND(C1296&lt;&gt;"Gasto",C1296&lt;&gt;"Pago proveedor",C1296&lt;&gt;"Retiro familiar",C1296&lt;&gt;"Aportación",C1296&lt;&gt;"Pago activo",C1296&lt;&gt;"ISR devengado",C1296&lt;&gt;"Pago ISR",C1296&lt;&gt;"Pago IVA",C1296&lt;&gt;"Compensación ISR",C1296&lt;&gt;"Compensación IVA"),AND(C1296="Gasto",D1296&lt;&gt;"Costos clínicos",D1296&lt;&gt;"Remuneración familiar",D1296&lt;&gt;"Nómina y honorarios",D1296&lt;&gt;"Renta",D1296&lt;&gt;"Marketing",D1296&lt;&gt;"Servicios y software",D1296&lt;&gt;"Mantenimiento",D1296&lt;&gt;"Otros",D1296&lt;&gt;"Intereses")),"Tipo o categoría inválido",IF(COUNTA(A1296:J1296)=0,"",IF(OR(A1296="",B1296="",C1296="",H1296=""),"Faltan datos",IF(COUNTIF($A$7:$A$2006,A1296)&gt;1,"ID duplicado",IF(OR(B1296&lt;DATE(Configuración!$C$5,1,1),B1296&gt;=DATE(Configuración!$C$5+1,1,1)),"Fecha fuera del año",IF(OR(H1296&lt;0,I1296&lt;0),"Revisar signo",IF(AND(C1296&lt;&gt;"Gasto",I1296&lt;&gt;0),"IVA solo en Gasto",IF(AND(C1296="Gasto",D1296=""),"Falta categoría","OK")))))))))</f>
        <v/>
      </c>
    </row>
    <row r="1297" spans="1:12" ht="22" customHeight="1">
      <c r="A1297" s="3"/>
      <c r="B1297" s="7"/>
      <c r="C1297" s="3"/>
      <c r="D1297" s="3"/>
      <c r="E1297" s="3"/>
      <c r="F1297" s="3"/>
      <c r="G1297" s="3"/>
      <c r="H1297" s="4"/>
      <c r="I1297" s="4"/>
      <c r="J1297" s="3"/>
      <c r="K1297" s="8" t="str">
        <f t="shared" si="20"/>
        <v/>
      </c>
      <c r="L1297" s="1" t="str">
        <f>IF(COUNTA(A1297:J1297)=0,"",IF(OR(AND(C1297&lt;&gt;"Gasto",C1297&lt;&gt;"Pago proveedor",C1297&lt;&gt;"Retiro familiar",C1297&lt;&gt;"Aportación",C1297&lt;&gt;"Pago activo",C1297&lt;&gt;"ISR devengado",C1297&lt;&gt;"Pago ISR",C1297&lt;&gt;"Pago IVA",C1297&lt;&gt;"Compensación ISR",C1297&lt;&gt;"Compensación IVA"),AND(C1297="Gasto",D1297&lt;&gt;"Costos clínicos",D1297&lt;&gt;"Remuneración familiar",D1297&lt;&gt;"Nómina y honorarios",D1297&lt;&gt;"Renta",D1297&lt;&gt;"Marketing",D1297&lt;&gt;"Servicios y software",D1297&lt;&gt;"Mantenimiento",D1297&lt;&gt;"Otros",D1297&lt;&gt;"Intereses")),"Tipo o categoría inválido",IF(COUNTA(A1297:J1297)=0,"",IF(OR(A1297="",B1297="",C1297="",H1297=""),"Faltan datos",IF(COUNTIF($A$7:$A$2006,A1297)&gt;1,"ID duplicado",IF(OR(B1297&lt;DATE(Configuración!$C$5,1,1),B1297&gt;=DATE(Configuración!$C$5+1,1,1)),"Fecha fuera del año",IF(OR(H1297&lt;0,I1297&lt;0),"Revisar signo",IF(AND(C1297&lt;&gt;"Gasto",I1297&lt;&gt;0),"IVA solo en Gasto",IF(AND(C1297="Gasto",D1297=""),"Falta categoría","OK")))))))))</f>
        <v/>
      </c>
    </row>
    <row r="1298" spans="1:12" ht="22" customHeight="1">
      <c r="A1298" s="3"/>
      <c r="B1298" s="7"/>
      <c r="C1298" s="3"/>
      <c r="D1298" s="3"/>
      <c r="E1298" s="3"/>
      <c r="F1298" s="3"/>
      <c r="G1298" s="3"/>
      <c r="H1298" s="4"/>
      <c r="I1298" s="4"/>
      <c r="J1298" s="3"/>
      <c r="K1298" s="8" t="str">
        <f t="shared" si="20"/>
        <v/>
      </c>
      <c r="L1298" s="1" t="str">
        <f>IF(COUNTA(A1298:J1298)=0,"",IF(OR(AND(C1298&lt;&gt;"Gasto",C1298&lt;&gt;"Pago proveedor",C1298&lt;&gt;"Retiro familiar",C1298&lt;&gt;"Aportación",C1298&lt;&gt;"Pago activo",C1298&lt;&gt;"ISR devengado",C1298&lt;&gt;"Pago ISR",C1298&lt;&gt;"Pago IVA",C1298&lt;&gt;"Compensación ISR",C1298&lt;&gt;"Compensación IVA"),AND(C1298="Gasto",D1298&lt;&gt;"Costos clínicos",D1298&lt;&gt;"Remuneración familiar",D1298&lt;&gt;"Nómina y honorarios",D1298&lt;&gt;"Renta",D1298&lt;&gt;"Marketing",D1298&lt;&gt;"Servicios y software",D1298&lt;&gt;"Mantenimiento",D1298&lt;&gt;"Otros",D1298&lt;&gt;"Intereses")),"Tipo o categoría inválido",IF(COUNTA(A1298:J1298)=0,"",IF(OR(A1298="",B1298="",C1298="",H1298=""),"Faltan datos",IF(COUNTIF($A$7:$A$2006,A1298)&gt;1,"ID duplicado",IF(OR(B1298&lt;DATE(Configuración!$C$5,1,1),B1298&gt;=DATE(Configuración!$C$5+1,1,1)),"Fecha fuera del año",IF(OR(H1298&lt;0,I1298&lt;0),"Revisar signo",IF(AND(C1298&lt;&gt;"Gasto",I1298&lt;&gt;0),"IVA solo en Gasto",IF(AND(C1298="Gasto",D1298=""),"Falta categoría","OK")))))))))</f>
        <v/>
      </c>
    </row>
    <row r="1299" spans="1:12" ht="22" customHeight="1">
      <c r="A1299" s="3"/>
      <c r="B1299" s="7"/>
      <c r="C1299" s="3"/>
      <c r="D1299" s="3"/>
      <c r="E1299" s="3"/>
      <c r="F1299" s="3"/>
      <c r="G1299" s="3"/>
      <c r="H1299" s="4"/>
      <c r="I1299" s="4"/>
      <c r="J1299" s="3"/>
      <c r="K1299" s="8" t="str">
        <f t="shared" si="20"/>
        <v/>
      </c>
      <c r="L1299" s="1" t="str">
        <f>IF(COUNTA(A1299:J1299)=0,"",IF(OR(AND(C1299&lt;&gt;"Gasto",C1299&lt;&gt;"Pago proveedor",C1299&lt;&gt;"Retiro familiar",C1299&lt;&gt;"Aportación",C1299&lt;&gt;"Pago activo",C1299&lt;&gt;"ISR devengado",C1299&lt;&gt;"Pago ISR",C1299&lt;&gt;"Pago IVA",C1299&lt;&gt;"Compensación ISR",C1299&lt;&gt;"Compensación IVA"),AND(C1299="Gasto",D1299&lt;&gt;"Costos clínicos",D1299&lt;&gt;"Remuneración familiar",D1299&lt;&gt;"Nómina y honorarios",D1299&lt;&gt;"Renta",D1299&lt;&gt;"Marketing",D1299&lt;&gt;"Servicios y software",D1299&lt;&gt;"Mantenimiento",D1299&lt;&gt;"Otros",D1299&lt;&gt;"Intereses")),"Tipo o categoría inválido",IF(COUNTA(A1299:J1299)=0,"",IF(OR(A1299="",B1299="",C1299="",H1299=""),"Faltan datos",IF(COUNTIF($A$7:$A$2006,A1299)&gt;1,"ID duplicado",IF(OR(B1299&lt;DATE(Configuración!$C$5,1,1),B1299&gt;=DATE(Configuración!$C$5+1,1,1)),"Fecha fuera del año",IF(OR(H1299&lt;0,I1299&lt;0),"Revisar signo",IF(AND(C1299&lt;&gt;"Gasto",I1299&lt;&gt;0),"IVA solo en Gasto",IF(AND(C1299="Gasto",D1299=""),"Falta categoría","OK")))))))))</f>
        <v/>
      </c>
    </row>
    <row r="1300" spans="1:12" ht="22" customHeight="1">
      <c r="A1300" s="3"/>
      <c r="B1300" s="7"/>
      <c r="C1300" s="3"/>
      <c r="D1300" s="3"/>
      <c r="E1300" s="3"/>
      <c r="F1300" s="3"/>
      <c r="G1300" s="3"/>
      <c r="H1300" s="4"/>
      <c r="I1300" s="4"/>
      <c r="J1300" s="3"/>
      <c r="K1300" s="8" t="str">
        <f t="shared" si="20"/>
        <v/>
      </c>
      <c r="L1300" s="1" t="str">
        <f>IF(COUNTA(A1300:J1300)=0,"",IF(OR(AND(C1300&lt;&gt;"Gasto",C1300&lt;&gt;"Pago proveedor",C1300&lt;&gt;"Retiro familiar",C1300&lt;&gt;"Aportación",C1300&lt;&gt;"Pago activo",C1300&lt;&gt;"ISR devengado",C1300&lt;&gt;"Pago ISR",C1300&lt;&gt;"Pago IVA",C1300&lt;&gt;"Compensación ISR",C1300&lt;&gt;"Compensación IVA"),AND(C1300="Gasto",D1300&lt;&gt;"Costos clínicos",D1300&lt;&gt;"Remuneración familiar",D1300&lt;&gt;"Nómina y honorarios",D1300&lt;&gt;"Renta",D1300&lt;&gt;"Marketing",D1300&lt;&gt;"Servicios y software",D1300&lt;&gt;"Mantenimiento",D1300&lt;&gt;"Otros",D1300&lt;&gt;"Intereses")),"Tipo o categoría inválido",IF(COUNTA(A1300:J1300)=0,"",IF(OR(A1300="",B1300="",C1300="",H1300=""),"Faltan datos",IF(COUNTIF($A$7:$A$2006,A1300)&gt;1,"ID duplicado",IF(OR(B1300&lt;DATE(Configuración!$C$5,1,1),B1300&gt;=DATE(Configuración!$C$5+1,1,1)),"Fecha fuera del año",IF(OR(H1300&lt;0,I1300&lt;0),"Revisar signo",IF(AND(C1300&lt;&gt;"Gasto",I1300&lt;&gt;0),"IVA solo en Gasto",IF(AND(C1300="Gasto",D1300=""),"Falta categoría","OK")))))))))</f>
        <v/>
      </c>
    </row>
    <row r="1301" spans="1:12" ht="22" customHeight="1">
      <c r="A1301" s="3"/>
      <c r="B1301" s="7"/>
      <c r="C1301" s="3"/>
      <c r="D1301" s="3"/>
      <c r="E1301" s="3"/>
      <c r="F1301" s="3"/>
      <c r="G1301" s="3"/>
      <c r="H1301" s="4"/>
      <c r="I1301" s="4"/>
      <c r="J1301" s="3"/>
      <c r="K1301" s="8" t="str">
        <f t="shared" si="20"/>
        <v/>
      </c>
      <c r="L1301" s="1" t="str">
        <f>IF(COUNTA(A1301:J1301)=0,"",IF(OR(AND(C1301&lt;&gt;"Gasto",C1301&lt;&gt;"Pago proveedor",C1301&lt;&gt;"Retiro familiar",C1301&lt;&gt;"Aportación",C1301&lt;&gt;"Pago activo",C1301&lt;&gt;"ISR devengado",C1301&lt;&gt;"Pago ISR",C1301&lt;&gt;"Pago IVA",C1301&lt;&gt;"Compensación ISR",C1301&lt;&gt;"Compensación IVA"),AND(C1301="Gasto",D1301&lt;&gt;"Costos clínicos",D1301&lt;&gt;"Remuneración familiar",D1301&lt;&gt;"Nómina y honorarios",D1301&lt;&gt;"Renta",D1301&lt;&gt;"Marketing",D1301&lt;&gt;"Servicios y software",D1301&lt;&gt;"Mantenimiento",D1301&lt;&gt;"Otros",D1301&lt;&gt;"Intereses")),"Tipo o categoría inválido",IF(COUNTA(A1301:J1301)=0,"",IF(OR(A1301="",B1301="",C1301="",H1301=""),"Faltan datos",IF(COUNTIF($A$7:$A$2006,A1301)&gt;1,"ID duplicado",IF(OR(B1301&lt;DATE(Configuración!$C$5,1,1),B1301&gt;=DATE(Configuración!$C$5+1,1,1)),"Fecha fuera del año",IF(OR(H1301&lt;0,I1301&lt;0),"Revisar signo",IF(AND(C1301&lt;&gt;"Gasto",I1301&lt;&gt;0),"IVA solo en Gasto",IF(AND(C1301="Gasto",D1301=""),"Falta categoría","OK")))))))))</f>
        <v/>
      </c>
    </row>
    <row r="1302" spans="1:12" ht="22" customHeight="1">
      <c r="A1302" s="3"/>
      <c r="B1302" s="7"/>
      <c r="C1302" s="3"/>
      <c r="D1302" s="3"/>
      <c r="E1302" s="3"/>
      <c r="F1302" s="3"/>
      <c r="G1302" s="3"/>
      <c r="H1302" s="4"/>
      <c r="I1302" s="4"/>
      <c r="J1302" s="3"/>
      <c r="K1302" s="8" t="str">
        <f t="shared" si="20"/>
        <v/>
      </c>
      <c r="L1302" s="1" t="str">
        <f>IF(COUNTA(A1302:J1302)=0,"",IF(OR(AND(C1302&lt;&gt;"Gasto",C1302&lt;&gt;"Pago proveedor",C1302&lt;&gt;"Retiro familiar",C1302&lt;&gt;"Aportación",C1302&lt;&gt;"Pago activo",C1302&lt;&gt;"ISR devengado",C1302&lt;&gt;"Pago ISR",C1302&lt;&gt;"Pago IVA",C1302&lt;&gt;"Compensación ISR",C1302&lt;&gt;"Compensación IVA"),AND(C1302="Gasto",D1302&lt;&gt;"Costos clínicos",D1302&lt;&gt;"Remuneración familiar",D1302&lt;&gt;"Nómina y honorarios",D1302&lt;&gt;"Renta",D1302&lt;&gt;"Marketing",D1302&lt;&gt;"Servicios y software",D1302&lt;&gt;"Mantenimiento",D1302&lt;&gt;"Otros",D1302&lt;&gt;"Intereses")),"Tipo o categoría inválido",IF(COUNTA(A1302:J1302)=0,"",IF(OR(A1302="",B1302="",C1302="",H1302=""),"Faltan datos",IF(COUNTIF($A$7:$A$2006,A1302)&gt;1,"ID duplicado",IF(OR(B1302&lt;DATE(Configuración!$C$5,1,1),B1302&gt;=DATE(Configuración!$C$5+1,1,1)),"Fecha fuera del año",IF(OR(H1302&lt;0,I1302&lt;0),"Revisar signo",IF(AND(C1302&lt;&gt;"Gasto",I1302&lt;&gt;0),"IVA solo en Gasto",IF(AND(C1302="Gasto",D1302=""),"Falta categoría","OK")))))))))</f>
        <v/>
      </c>
    </row>
    <row r="1303" spans="1:12" ht="22" customHeight="1">
      <c r="A1303" s="3"/>
      <c r="B1303" s="7"/>
      <c r="C1303" s="3"/>
      <c r="D1303" s="3"/>
      <c r="E1303" s="3"/>
      <c r="F1303" s="3"/>
      <c r="G1303" s="3"/>
      <c r="H1303" s="4"/>
      <c r="I1303" s="4"/>
      <c r="J1303" s="3"/>
      <c r="K1303" s="8" t="str">
        <f t="shared" si="20"/>
        <v/>
      </c>
      <c r="L1303" s="1" t="str">
        <f>IF(COUNTA(A1303:J1303)=0,"",IF(OR(AND(C1303&lt;&gt;"Gasto",C1303&lt;&gt;"Pago proveedor",C1303&lt;&gt;"Retiro familiar",C1303&lt;&gt;"Aportación",C1303&lt;&gt;"Pago activo",C1303&lt;&gt;"ISR devengado",C1303&lt;&gt;"Pago ISR",C1303&lt;&gt;"Pago IVA",C1303&lt;&gt;"Compensación ISR",C1303&lt;&gt;"Compensación IVA"),AND(C1303="Gasto",D1303&lt;&gt;"Costos clínicos",D1303&lt;&gt;"Remuneración familiar",D1303&lt;&gt;"Nómina y honorarios",D1303&lt;&gt;"Renta",D1303&lt;&gt;"Marketing",D1303&lt;&gt;"Servicios y software",D1303&lt;&gt;"Mantenimiento",D1303&lt;&gt;"Otros",D1303&lt;&gt;"Intereses")),"Tipo o categoría inválido",IF(COUNTA(A1303:J1303)=0,"",IF(OR(A1303="",B1303="",C1303="",H1303=""),"Faltan datos",IF(COUNTIF($A$7:$A$2006,A1303)&gt;1,"ID duplicado",IF(OR(B1303&lt;DATE(Configuración!$C$5,1,1),B1303&gt;=DATE(Configuración!$C$5+1,1,1)),"Fecha fuera del año",IF(OR(H1303&lt;0,I1303&lt;0),"Revisar signo",IF(AND(C1303&lt;&gt;"Gasto",I1303&lt;&gt;0),"IVA solo en Gasto",IF(AND(C1303="Gasto",D1303=""),"Falta categoría","OK")))))))))</f>
        <v/>
      </c>
    </row>
    <row r="1304" spans="1:12" ht="22" customHeight="1">
      <c r="A1304" s="3"/>
      <c r="B1304" s="7"/>
      <c r="C1304" s="3"/>
      <c r="D1304" s="3"/>
      <c r="E1304" s="3"/>
      <c r="F1304" s="3"/>
      <c r="G1304" s="3"/>
      <c r="H1304" s="4"/>
      <c r="I1304" s="4"/>
      <c r="J1304" s="3"/>
      <c r="K1304" s="8" t="str">
        <f t="shared" si="20"/>
        <v/>
      </c>
      <c r="L1304" s="1" t="str">
        <f>IF(COUNTA(A1304:J1304)=0,"",IF(OR(AND(C1304&lt;&gt;"Gasto",C1304&lt;&gt;"Pago proveedor",C1304&lt;&gt;"Retiro familiar",C1304&lt;&gt;"Aportación",C1304&lt;&gt;"Pago activo",C1304&lt;&gt;"ISR devengado",C1304&lt;&gt;"Pago ISR",C1304&lt;&gt;"Pago IVA",C1304&lt;&gt;"Compensación ISR",C1304&lt;&gt;"Compensación IVA"),AND(C1304="Gasto",D1304&lt;&gt;"Costos clínicos",D1304&lt;&gt;"Remuneración familiar",D1304&lt;&gt;"Nómina y honorarios",D1304&lt;&gt;"Renta",D1304&lt;&gt;"Marketing",D1304&lt;&gt;"Servicios y software",D1304&lt;&gt;"Mantenimiento",D1304&lt;&gt;"Otros",D1304&lt;&gt;"Intereses")),"Tipo o categoría inválido",IF(COUNTA(A1304:J1304)=0,"",IF(OR(A1304="",B1304="",C1304="",H1304=""),"Faltan datos",IF(COUNTIF($A$7:$A$2006,A1304)&gt;1,"ID duplicado",IF(OR(B1304&lt;DATE(Configuración!$C$5,1,1),B1304&gt;=DATE(Configuración!$C$5+1,1,1)),"Fecha fuera del año",IF(OR(H1304&lt;0,I1304&lt;0),"Revisar signo",IF(AND(C1304&lt;&gt;"Gasto",I1304&lt;&gt;0),"IVA solo en Gasto",IF(AND(C1304="Gasto",D1304=""),"Falta categoría","OK")))))))))</f>
        <v/>
      </c>
    </row>
    <row r="1305" spans="1:12" ht="22" customHeight="1">
      <c r="A1305" s="3"/>
      <c r="B1305" s="7"/>
      <c r="C1305" s="3"/>
      <c r="D1305" s="3"/>
      <c r="E1305" s="3"/>
      <c r="F1305" s="3"/>
      <c r="G1305" s="3"/>
      <c r="H1305" s="4"/>
      <c r="I1305" s="4"/>
      <c r="J1305" s="3"/>
      <c r="K1305" s="8" t="str">
        <f t="shared" si="20"/>
        <v/>
      </c>
      <c r="L1305" s="1" t="str">
        <f>IF(COUNTA(A1305:J1305)=0,"",IF(OR(AND(C1305&lt;&gt;"Gasto",C1305&lt;&gt;"Pago proveedor",C1305&lt;&gt;"Retiro familiar",C1305&lt;&gt;"Aportación",C1305&lt;&gt;"Pago activo",C1305&lt;&gt;"ISR devengado",C1305&lt;&gt;"Pago ISR",C1305&lt;&gt;"Pago IVA",C1305&lt;&gt;"Compensación ISR",C1305&lt;&gt;"Compensación IVA"),AND(C1305="Gasto",D1305&lt;&gt;"Costos clínicos",D1305&lt;&gt;"Remuneración familiar",D1305&lt;&gt;"Nómina y honorarios",D1305&lt;&gt;"Renta",D1305&lt;&gt;"Marketing",D1305&lt;&gt;"Servicios y software",D1305&lt;&gt;"Mantenimiento",D1305&lt;&gt;"Otros",D1305&lt;&gt;"Intereses")),"Tipo o categoría inválido",IF(COUNTA(A1305:J1305)=0,"",IF(OR(A1305="",B1305="",C1305="",H1305=""),"Faltan datos",IF(COUNTIF($A$7:$A$2006,A1305)&gt;1,"ID duplicado",IF(OR(B1305&lt;DATE(Configuración!$C$5,1,1),B1305&gt;=DATE(Configuración!$C$5+1,1,1)),"Fecha fuera del año",IF(OR(H1305&lt;0,I1305&lt;0),"Revisar signo",IF(AND(C1305&lt;&gt;"Gasto",I1305&lt;&gt;0),"IVA solo en Gasto",IF(AND(C1305="Gasto",D1305=""),"Falta categoría","OK")))))))))</f>
        <v/>
      </c>
    </row>
    <row r="1306" spans="1:12" ht="22" customHeight="1">
      <c r="A1306" s="3"/>
      <c r="B1306" s="7"/>
      <c r="C1306" s="3"/>
      <c r="D1306" s="3"/>
      <c r="E1306" s="3"/>
      <c r="F1306" s="3"/>
      <c r="G1306" s="3"/>
      <c r="H1306" s="4"/>
      <c r="I1306" s="4"/>
      <c r="J1306" s="3"/>
      <c r="K1306" s="8" t="str">
        <f t="shared" si="20"/>
        <v/>
      </c>
      <c r="L1306" s="1" t="str">
        <f>IF(COUNTA(A1306:J1306)=0,"",IF(OR(AND(C1306&lt;&gt;"Gasto",C1306&lt;&gt;"Pago proveedor",C1306&lt;&gt;"Retiro familiar",C1306&lt;&gt;"Aportación",C1306&lt;&gt;"Pago activo",C1306&lt;&gt;"ISR devengado",C1306&lt;&gt;"Pago ISR",C1306&lt;&gt;"Pago IVA",C1306&lt;&gt;"Compensación ISR",C1306&lt;&gt;"Compensación IVA"),AND(C1306="Gasto",D1306&lt;&gt;"Costos clínicos",D1306&lt;&gt;"Remuneración familiar",D1306&lt;&gt;"Nómina y honorarios",D1306&lt;&gt;"Renta",D1306&lt;&gt;"Marketing",D1306&lt;&gt;"Servicios y software",D1306&lt;&gt;"Mantenimiento",D1306&lt;&gt;"Otros",D1306&lt;&gt;"Intereses")),"Tipo o categoría inválido",IF(COUNTA(A1306:J1306)=0,"",IF(OR(A1306="",B1306="",C1306="",H1306=""),"Faltan datos",IF(COUNTIF($A$7:$A$2006,A1306)&gt;1,"ID duplicado",IF(OR(B1306&lt;DATE(Configuración!$C$5,1,1),B1306&gt;=DATE(Configuración!$C$5+1,1,1)),"Fecha fuera del año",IF(OR(H1306&lt;0,I1306&lt;0),"Revisar signo",IF(AND(C1306&lt;&gt;"Gasto",I1306&lt;&gt;0),"IVA solo en Gasto",IF(AND(C1306="Gasto",D1306=""),"Falta categoría","OK")))))))))</f>
        <v/>
      </c>
    </row>
    <row r="1307" spans="1:12" ht="22" customHeight="1">
      <c r="A1307" s="3"/>
      <c r="B1307" s="7"/>
      <c r="C1307" s="3"/>
      <c r="D1307" s="3"/>
      <c r="E1307" s="3"/>
      <c r="F1307" s="3"/>
      <c r="G1307" s="3"/>
      <c r="H1307" s="4"/>
      <c r="I1307" s="4"/>
      <c r="J1307" s="3"/>
      <c r="K1307" s="8" t="str">
        <f t="shared" si="20"/>
        <v/>
      </c>
      <c r="L1307" s="1" t="str">
        <f>IF(COUNTA(A1307:J1307)=0,"",IF(OR(AND(C1307&lt;&gt;"Gasto",C1307&lt;&gt;"Pago proveedor",C1307&lt;&gt;"Retiro familiar",C1307&lt;&gt;"Aportación",C1307&lt;&gt;"Pago activo",C1307&lt;&gt;"ISR devengado",C1307&lt;&gt;"Pago ISR",C1307&lt;&gt;"Pago IVA",C1307&lt;&gt;"Compensación ISR",C1307&lt;&gt;"Compensación IVA"),AND(C1307="Gasto",D1307&lt;&gt;"Costos clínicos",D1307&lt;&gt;"Remuneración familiar",D1307&lt;&gt;"Nómina y honorarios",D1307&lt;&gt;"Renta",D1307&lt;&gt;"Marketing",D1307&lt;&gt;"Servicios y software",D1307&lt;&gt;"Mantenimiento",D1307&lt;&gt;"Otros",D1307&lt;&gt;"Intereses")),"Tipo o categoría inválido",IF(COUNTA(A1307:J1307)=0,"",IF(OR(A1307="",B1307="",C1307="",H1307=""),"Faltan datos",IF(COUNTIF($A$7:$A$2006,A1307)&gt;1,"ID duplicado",IF(OR(B1307&lt;DATE(Configuración!$C$5,1,1),B1307&gt;=DATE(Configuración!$C$5+1,1,1)),"Fecha fuera del año",IF(OR(H1307&lt;0,I1307&lt;0),"Revisar signo",IF(AND(C1307&lt;&gt;"Gasto",I1307&lt;&gt;0),"IVA solo en Gasto",IF(AND(C1307="Gasto",D1307=""),"Falta categoría","OK")))))))))</f>
        <v/>
      </c>
    </row>
    <row r="1308" spans="1:12" ht="22" customHeight="1">
      <c r="A1308" s="3"/>
      <c r="B1308" s="7"/>
      <c r="C1308" s="3"/>
      <c r="D1308" s="3"/>
      <c r="E1308" s="3"/>
      <c r="F1308" s="3"/>
      <c r="G1308" s="3"/>
      <c r="H1308" s="4"/>
      <c r="I1308" s="4"/>
      <c r="J1308" s="3"/>
      <c r="K1308" s="8" t="str">
        <f t="shared" si="20"/>
        <v/>
      </c>
      <c r="L1308" s="1" t="str">
        <f>IF(COUNTA(A1308:J1308)=0,"",IF(OR(AND(C1308&lt;&gt;"Gasto",C1308&lt;&gt;"Pago proveedor",C1308&lt;&gt;"Retiro familiar",C1308&lt;&gt;"Aportación",C1308&lt;&gt;"Pago activo",C1308&lt;&gt;"ISR devengado",C1308&lt;&gt;"Pago ISR",C1308&lt;&gt;"Pago IVA",C1308&lt;&gt;"Compensación ISR",C1308&lt;&gt;"Compensación IVA"),AND(C1308="Gasto",D1308&lt;&gt;"Costos clínicos",D1308&lt;&gt;"Remuneración familiar",D1308&lt;&gt;"Nómina y honorarios",D1308&lt;&gt;"Renta",D1308&lt;&gt;"Marketing",D1308&lt;&gt;"Servicios y software",D1308&lt;&gt;"Mantenimiento",D1308&lt;&gt;"Otros",D1308&lt;&gt;"Intereses")),"Tipo o categoría inválido",IF(COUNTA(A1308:J1308)=0,"",IF(OR(A1308="",B1308="",C1308="",H1308=""),"Faltan datos",IF(COUNTIF($A$7:$A$2006,A1308)&gt;1,"ID duplicado",IF(OR(B1308&lt;DATE(Configuración!$C$5,1,1),B1308&gt;=DATE(Configuración!$C$5+1,1,1)),"Fecha fuera del año",IF(OR(H1308&lt;0,I1308&lt;0),"Revisar signo",IF(AND(C1308&lt;&gt;"Gasto",I1308&lt;&gt;0),"IVA solo en Gasto",IF(AND(C1308="Gasto",D1308=""),"Falta categoría","OK")))))))))</f>
        <v/>
      </c>
    </row>
    <row r="1309" spans="1:12" ht="22" customHeight="1">
      <c r="A1309" s="3"/>
      <c r="B1309" s="7"/>
      <c r="C1309" s="3"/>
      <c r="D1309" s="3"/>
      <c r="E1309" s="3"/>
      <c r="F1309" s="3"/>
      <c r="G1309" s="3"/>
      <c r="H1309" s="4"/>
      <c r="I1309" s="4"/>
      <c r="J1309" s="3"/>
      <c r="K1309" s="8" t="str">
        <f t="shared" si="20"/>
        <v/>
      </c>
      <c r="L1309" s="1" t="str">
        <f>IF(COUNTA(A1309:J1309)=0,"",IF(OR(AND(C1309&lt;&gt;"Gasto",C1309&lt;&gt;"Pago proveedor",C1309&lt;&gt;"Retiro familiar",C1309&lt;&gt;"Aportación",C1309&lt;&gt;"Pago activo",C1309&lt;&gt;"ISR devengado",C1309&lt;&gt;"Pago ISR",C1309&lt;&gt;"Pago IVA",C1309&lt;&gt;"Compensación ISR",C1309&lt;&gt;"Compensación IVA"),AND(C1309="Gasto",D1309&lt;&gt;"Costos clínicos",D1309&lt;&gt;"Remuneración familiar",D1309&lt;&gt;"Nómina y honorarios",D1309&lt;&gt;"Renta",D1309&lt;&gt;"Marketing",D1309&lt;&gt;"Servicios y software",D1309&lt;&gt;"Mantenimiento",D1309&lt;&gt;"Otros",D1309&lt;&gt;"Intereses")),"Tipo o categoría inválido",IF(COUNTA(A1309:J1309)=0,"",IF(OR(A1309="",B1309="",C1309="",H1309=""),"Faltan datos",IF(COUNTIF($A$7:$A$2006,A1309)&gt;1,"ID duplicado",IF(OR(B1309&lt;DATE(Configuración!$C$5,1,1),B1309&gt;=DATE(Configuración!$C$5+1,1,1)),"Fecha fuera del año",IF(OR(H1309&lt;0,I1309&lt;0),"Revisar signo",IF(AND(C1309&lt;&gt;"Gasto",I1309&lt;&gt;0),"IVA solo en Gasto",IF(AND(C1309="Gasto",D1309=""),"Falta categoría","OK")))))))))</f>
        <v/>
      </c>
    </row>
    <row r="1310" spans="1:12" ht="22" customHeight="1">
      <c r="A1310" s="3"/>
      <c r="B1310" s="7"/>
      <c r="C1310" s="3"/>
      <c r="D1310" s="3"/>
      <c r="E1310" s="3"/>
      <c r="F1310" s="3"/>
      <c r="G1310" s="3"/>
      <c r="H1310" s="4"/>
      <c r="I1310" s="4"/>
      <c r="J1310" s="3"/>
      <c r="K1310" s="8" t="str">
        <f t="shared" si="20"/>
        <v/>
      </c>
      <c r="L1310" s="1" t="str">
        <f>IF(COUNTA(A1310:J1310)=0,"",IF(OR(AND(C1310&lt;&gt;"Gasto",C1310&lt;&gt;"Pago proveedor",C1310&lt;&gt;"Retiro familiar",C1310&lt;&gt;"Aportación",C1310&lt;&gt;"Pago activo",C1310&lt;&gt;"ISR devengado",C1310&lt;&gt;"Pago ISR",C1310&lt;&gt;"Pago IVA",C1310&lt;&gt;"Compensación ISR",C1310&lt;&gt;"Compensación IVA"),AND(C1310="Gasto",D1310&lt;&gt;"Costos clínicos",D1310&lt;&gt;"Remuneración familiar",D1310&lt;&gt;"Nómina y honorarios",D1310&lt;&gt;"Renta",D1310&lt;&gt;"Marketing",D1310&lt;&gt;"Servicios y software",D1310&lt;&gt;"Mantenimiento",D1310&lt;&gt;"Otros",D1310&lt;&gt;"Intereses")),"Tipo o categoría inválido",IF(COUNTA(A1310:J1310)=0,"",IF(OR(A1310="",B1310="",C1310="",H1310=""),"Faltan datos",IF(COUNTIF($A$7:$A$2006,A1310)&gt;1,"ID duplicado",IF(OR(B1310&lt;DATE(Configuración!$C$5,1,1),B1310&gt;=DATE(Configuración!$C$5+1,1,1)),"Fecha fuera del año",IF(OR(H1310&lt;0,I1310&lt;0),"Revisar signo",IF(AND(C1310&lt;&gt;"Gasto",I1310&lt;&gt;0),"IVA solo en Gasto",IF(AND(C1310="Gasto",D1310=""),"Falta categoría","OK")))))))))</f>
        <v/>
      </c>
    </row>
    <row r="1311" spans="1:12" ht="22" customHeight="1">
      <c r="A1311" s="3"/>
      <c r="B1311" s="7"/>
      <c r="C1311" s="3"/>
      <c r="D1311" s="3"/>
      <c r="E1311" s="3"/>
      <c r="F1311" s="3"/>
      <c r="G1311" s="3"/>
      <c r="H1311" s="4"/>
      <c r="I1311" s="4"/>
      <c r="J1311" s="3"/>
      <c r="K1311" s="8" t="str">
        <f t="shared" si="20"/>
        <v/>
      </c>
      <c r="L1311" s="1" t="str">
        <f>IF(COUNTA(A1311:J1311)=0,"",IF(OR(AND(C1311&lt;&gt;"Gasto",C1311&lt;&gt;"Pago proveedor",C1311&lt;&gt;"Retiro familiar",C1311&lt;&gt;"Aportación",C1311&lt;&gt;"Pago activo",C1311&lt;&gt;"ISR devengado",C1311&lt;&gt;"Pago ISR",C1311&lt;&gt;"Pago IVA",C1311&lt;&gt;"Compensación ISR",C1311&lt;&gt;"Compensación IVA"),AND(C1311="Gasto",D1311&lt;&gt;"Costos clínicos",D1311&lt;&gt;"Remuneración familiar",D1311&lt;&gt;"Nómina y honorarios",D1311&lt;&gt;"Renta",D1311&lt;&gt;"Marketing",D1311&lt;&gt;"Servicios y software",D1311&lt;&gt;"Mantenimiento",D1311&lt;&gt;"Otros",D1311&lt;&gt;"Intereses")),"Tipo o categoría inválido",IF(COUNTA(A1311:J1311)=0,"",IF(OR(A1311="",B1311="",C1311="",H1311=""),"Faltan datos",IF(COUNTIF($A$7:$A$2006,A1311)&gt;1,"ID duplicado",IF(OR(B1311&lt;DATE(Configuración!$C$5,1,1),B1311&gt;=DATE(Configuración!$C$5+1,1,1)),"Fecha fuera del año",IF(OR(H1311&lt;0,I1311&lt;0),"Revisar signo",IF(AND(C1311&lt;&gt;"Gasto",I1311&lt;&gt;0),"IVA solo en Gasto",IF(AND(C1311="Gasto",D1311=""),"Falta categoría","OK")))))))))</f>
        <v/>
      </c>
    </row>
    <row r="1312" spans="1:12" ht="22" customHeight="1">
      <c r="A1312" s="3"/>
      <c r="B1312" s="7"/>
      <c r="C1312" s="3"/>
      <c r="D1312" s="3"/>
      <c r="E1312" s="3"/>
      <c r="F1312" s="3"/>
      <c r="G1312" s="3"/>
      <c r="H1312" s="4"/>
      <c r="I1312" s="4"/>
      <c r="J1312" s="3"/>
      <c r="K1312" s="8" t="str">
        <f t="shared" si="20"/>
        <v/>
      </c>
      <c r="L1312" s="1" t="str">
        <f>IF(COUNTA(A1312:J1312)=0,"",IF(OR(AND(C1312&lt;&gt;"Gasto",C1312&lt;&gt;"Pago proveedor",C1312&lt;&gt;"Retiro familiar",C1312&lt;&gt;"Aportación",C1312&lt;&gt;"Pago activo",C1312&lt;&gt;"ISR devengado",C1312&lt;&gt;"Pago ISR",C1312&lt;&gt;"Pago IVA",C1312&lt;&gt;"Compensación ISR",C1312&lt;&gt;"Compensación IVA"),AND(C1312="Gasto",D1312&lt;&gt;"Costos clínicos",D1312&lt;&gt;"Remuneración familiar",D1312&lt;&gt;"Nómina y honorarios",D1312&lt;&gt;"Renta",D1312&lt;&gt;"Marketing",D1312&lt;&gt;"Servicios y software",D1312&lt;&gt;"Mantenimiento",D1312&lt;&gt;"Otros",D1312&lt;&gt;"Intereses")),"Tipo o categoría inválido",IF(COUNTA(A1312:J1312)=0,"",IF(OR(A1312="",B1312="",C1312="",H1312=""),"Faltan datos",IF(COUNTIF($A$7:$A$2006,A1312)&gt;1,"ID duplicado",IF(OR(B1312&lt;DATE(Configuración!$C$5,1,1),B1312&gt;=DATE(Configuración!$C$5+1,1,1)),"Fecha fuera del año",IF(OR(H1312&lt;0,I1312&lt;0),"Revisar signo",IF(AND(C1312&lt;&gt;"Gasto",I1312&lt;&gt;0),"IVA solo en Gasto",IF(AND(C1312="Gasto",D1312=""),"Falta categoría","OK")))))))))</f>
        <v/>
      </c>
    </row>
    <row r="1313" spans="1:12" ht="22" customHeight="1">
      <c r="A1313" s="3"/>
      <c r="B1313" s="7"/>
      <c r="C1313" s="3"/>
      <c r="D1313" s="3"/>
      <c r="E1313" s="3"/>
      <c r="F1313" s="3"/>
      <c r="G1313" s="3"/>
      <c r="H1313" s="4"/>
      <c r="I1313" s="4"/>
      <c r="J1313" s="3"/>
      <c r="K1313" s="8" t="str">
        <f t="shared" si="20"/>
        <v/>
      </c>
      <c r="L1313" s="1" t="str">
        <f>IF(COUNTA(A1313:J1313)=0,"",IF(OR(AND(C1313&lt;&gt;"Gasto",C1313&lt;&gt;"Pago proveedor",C1313&lt;&gt;"Retiro familiar",C1313&lt;&gt;"Aportación",C1313&lt;&gt;"Pago activo",C1313&lt;&gt;"ISR devengado",C1313&lt;&gt;"Pago ISR",C1313&lt;&gt;"Pago IVA",C1313&lt;&gt;"Compensación ISR",C1313&lt;&gt;"Compensación IVA"),AND(C1313="Gasto",D1313&lt;&gt;"Costos clínicos",D1313&lt;&gt;"Remuneración familiar",D1313&lt;&gt;"Nómina y honorarios",D1313&lt;&gt;"Renta",D1313&lt;&gt;"Marketing",D1313&lt;&gt;"Servicios y software",D1313&lt;&gt;"Mantenimiento",D1313&lt;&gt;"Otros",D1313&lt;&gt;"Intereses")),"Tipo o categoría inválido",IF(COUNTA(A1313:J1313)=0,"",IF(OR(A1313="",B1313="",C1313="",H1313=""),"Faltan datos",IF(COUNTIF($A$7:$A$2006,A1313)&gt;1,"ID duplicado",IF(OR(B1313&lt;DATE(Configuración!$C$5,1,1),B1313&gt;=DATE(Configuración!$C$5+1,1,1)),"Fecha fuera del año",IF(OR(H1313&lt;0,I1313&lt;0),"Revisar signo",IF(AND(C1313&lt;&gt;"Gasto",I1313&lt;&gt;0),"IVA solo en Gasto",IF(AND(C1313="Gasto",D1313=""),"Falta categoría","OK")))))))))</f>
        <v/>
      </c>
    </row>
    <row r="1314" spans="1:12" ht="22" customHeight="1">
      <c r="A1314" s="3"/>
      <c r="B1314" s="7"/>
      <c r="C1314" s="3"/>
      <c r="D1314" s="3"/>
      <c r="E1314" s="3"/>
      <c r="F1314" s="3"/>
      <c r="G1314" s="3"/>
      <c r="H1314" s="4"/>
      <c r="I1314" s="4"/>
      <c r="J1314" s="3"/>
      <c r="K1314" s="8" t="str">
        <f t="shared" si="20"/>
        <v/>
      </c>
      <c r="L1314" s="1" t="str">
        <f>IF(COUNTA(A1314:J1314)=0,"",IF(OR(AND(C1314&lt;&gt;"Gasto",C1314&lt;&gt;"Pago proveedor",C1314&lt;&gt;"Retiro familiar",C1314&lt;&gt;"Aportación",C1314&lt;&gt;"Pago activo",C1314&lt;&gt;"ISR devengado",C1314&lt;&gt;"Pago ISR",C1314&lt;&gt;"Pago IVA",C1314&lt;&gt;"Compensación ISR",C1314&lt;&gt;"Compensación IVA"),AND(C1314="Gasto",D1314&lt;&gt;"Costos clínicos",D1314&lt;&gt;"Remuneración familiar",D1314&lt;&gt;"Nómina y honorarios",D1314&lt;&gt;"Renta",D1314&lt;&gt;"Marketing",D1314&lt;&gt;"Servicios y software",D1314&lt;&gt;"Mantenimiento",D1314&lt;&gt;"Otros",D1314&lt;&gt;"Intereses")),"Tipo o categoría inválido",IF(COUNTA(A1314:J1314)=0,"",IF(OR(A1314="",B1314="",C1314="",H1314=""),"Faltan datos",IF(COUNTIF($A$7:$A$2006,A1314)&gt;1,"ID duplicado",IF(OR(B1314&lt;DATE(Configuración!$C$5,1,1),B1314&gt;=DATE(Configuración!$C$5+1,1,1)),"Fecha fuera del año",IF(OR(H1314&lt;0,I1314&lt;0),"Revisar signo",IF(AND(C1314&lt;&gt;"Gasto",I1314&lt;&gt;0),"IVA solo en Gasto",IF(AND(C1314="Gasto",D1314=""),"Falta categoría","OK")))))))))</f>
        <v/>
      </c>
    </row>
    <row r="1315" spans="1:12" ht="22" customHeight="1">
      <c r="A1315" s="3"/>
      <c r="B1315" s="7"/>
      <c r="C1315" s="3"/>
      <c r="D1315" s="3"/>
      <c r="E1315" s="3"/>
      <c r="F1315" s="3"/>
      <c r="G1315" s="3"/>
      <c r="H1315" s="4"/>
      <c r="I1315" s="4"/>
      <c r="J1315" s="3"/>
      <c r="K1315" s="8" t="str">
        <f t="shared" si="20"/>
        <v/>
      </c>
      <c r="L1315" s="1" t="str">
        <f>IF(COUNTA(A1315:J1315)=0,"",IF(OR(AND(C1315&lt;&gt;"Gasto",C1315&lt;&gt;"Pago proveedor",C1315&lt;&gt;"Retiro familiar",C1315&lt;&gt;"Aportación",C1315&lt;&gt;"Pago activo",C1315&lt;&gt;"ISR devengado",C1315&lt;&gt;"Pago ISR",C1315&lt;&gt;"Pago IVA",C1315&lt;&gt;"Compensación ISR",C1315&lt;&gt;"Compensación IVA"),AND(C1315="Gasto",D1315&lt;&gt;"Costos clínicos",D1315&lt;&gt;"Remuneración familiar",D1315&lt;&gt;"Nómina y honorarios",D1315&lt;&gt;"Renta",D1315&lt;&gt;"Marketing",D1315&lt;&gt;"Servicios y software",D1315&lt;&gt;"Mantenimiento",D1315&lt;&gt;"Otros",D1315&lt;&gt;"Intereses")),"Tipo o categoría inválido",IF(COUNTA(A1315:J1315)=0,"",IF(OR(A1315="",B1315="",C1315="",H1315=""),"Faltan datos",IF(COUNTIF($A$7:$A$2006,A1315)&gt;1,"ID duplicado",IF(OR(B1315&lt;DATE(Configuración!$C$5,1,1),B1315&gt;=DATE(Configuración!$C$5+1,1,1)),"Fecha fuera del año",IF(OR(H1315&lt;0,I1315&lt;0),"Revisar signo",IF(AND(C1315&lt;&gt;"Gasto",I1315&lt;&gt;0),"IVA solo en Gasto",IF(AND(C1315="Gasto",D1315=""),"Falta categoría","OK")))))))))</f>
        <v/>
      </c>
    </row>
    <row r="1316" spans="1:12" ht="22" customHeight="1">
      <c r="A1316" s="3"/>
      <c r="B1316" s="7"/>
      <c r="C1316" s="3"/>
      <c r="D1316" s="3"/>
      <c r="E1316" s="3"/>
      <c r="F1316" s="3"/>
      <c r="G1316" s="3"/>
      <c r="H1316" s="4"/>
      <c r="I1316" s="4"/>
      <c r="J1316" s="3"/>
      <c r="K1316" s="8" t="str">
        <f t="shared" si="20"/>
        <v/>
      </c>
      <c r="L1316" s="1" t="str">
        <f>IF(COUNTA(A1316:J1316)=0,"",IF(OR(AND(C1316&lt;&gt;"Gasto",C1316&lt;&gt;"Pago proveedor",C1316&lt;&gt;"Retiro familiar",C1316&lt;&gt;"Aportación",C1316&lt;&gt;"Pago activo",C1316&lt;&gt;"ISR devengado",C1316&lt;&gt;"Pago ISR",C1316&lt;&gt;"Pago IVA",C1316&lt;&gt;"Compensación ISR",C1316&lt;&gt;"Compensación IVA"),AND(C1316="Gasto",D1316&lt;&gt;"Costos clínicos",D1316&lt;&gt;"Remuneración familiar",D1316&lt;&gt;"Nómina y honorarios",D1316&lt;&gt;"Renta",D1316&lt;&gt;"Marketing",D1316&lt;&gt;"Servicios y software",D1316&lt;&gt;"Mantenimiento",D1316&lt;&gt;"Otros",D1316&lt;&gt;"Intereses")),"Tipo o categoría inválido",IF(COUNTA(A1316:J1316)=0,"",IF(OR(A1316="",B1316="",C1316="",H1316=""),"Faltan datos",IF(COUNTIF($A$7:$A$2006,A1316)&gt;1,"ID duplicado",IF(OR(B1316&lt;DATE(Configuración!$C$5,1,1),B1316&gt;=DATE(Configuración!$C$5+1,1,1)),"Fecha fuera del año",IF(OR(H1316&lt;0,I1316&lt;0),"Revisar signo",IF(AND(C1316&lt;&gt;"Gasto",I1316&lt;&gt;0),"IVA solo en Gasto",IF(AND(C1316="Gasto",D1316=""),"Falta categoría","OK")))))))))</f>
        <v/>
      </c>
    </row>
    <row r="1317" spans="1:12" ht="22" customHeight="1">
      <c r="A1317" s="3"/>
      <c r="B1317" s="7"/>
      <c r="C1317" s="3"/>
      <c r="D1317" s="3"/>
      <c r="E1317" s="3"/>
      <c r="F1317" s="3"/>
      <c r="G1317" s="3"/>
      <c r="H1317" s="4"/>
      <c r="I1317" s="4"/>
      <c r="J1317" s="3"/>
      <c r="K1317" s="8" t="str">
        <f t="shared" si="20"/>
        <v/>
      </c>
      <c r="L1317" s="1" t="str">
        <f>IF(COUNTA(A1317:J1317)=0,"",IF(OR(AND(C1317&lt;&gt;"Gasto",C1317&lt;&gt;"Pago proveedor",C1317&lt;&gt;"Retiro familiar",C1317&lt;&gt;"Aportación",C1317&lt;&gt;"Pago activo",C1317&lt;&gt;"ISR devengado",C1317&lt;&gt;"Pago ISR",C1317&lt;&gt;"Pago IVA",C1317&lt;&gt;"Compensación ISR",C1317&lt;&gt;"Compensación IVA"),AND(C1317="Gasto",D1317&lt;&gt;"Costos clínicos",D1317&lt;&gt;"Remuneración familiar",D1317&lt;&gt;"Nómina y honorarios",D1317&lt;&gt;"Renta",D1317&lt;&gt;"Marketing",D1317&lt;&gt;"Servicios y software",D1317&lt;&gt;"Mantenimiento",D1317&lt;&gt;"Otros",D1317&lt;&gt;"Intereses")),"Tipo o categoría inválido",IF(COUNTA(A1317:J1317)=0,"",IF(OR(A1317="",B1317="",C1317="",H1317=""),"Faltan datos",IF(COUNTIF($A$7:$A$2006,A1317)&gt;1,"ID duplicado",IF(OR(B1317&lt;DATE(Configuración!$C$5,1,1),B1317&gt;=DATE(Configuración!$C$5+1,1,1)),"Fecha fuera del año",IF(OR(H1317&lt;0,I1317&lt;0),"Revisar signo",IF(AND(C1317&lt;&gt;"Gasto",I1317&lt;&gt;0),"IVA solo en Gasto",IF(AND(C1317="Gasto",D1317=""),"Falta categoría","OK")))))))))</f>
        <v/>
      </c>
    </row>
    <row r="1318" spans="1:12" ht="22" customHeight="1">
      <c r="A1318" s="3"/>
      <c r="B1318" s="7"/>
      <c r="C1318" s="3"/>
      <c r="D1318" s="3"/>
      <c r="E1318" s="3"/>
      <c r="F1318" s="3"/>
      <c r="G1318" s="3"/>
      <c r="H1318" s="4"/>
      <c r="I1318" s="4"/>
      <c r="J1318" s="3"/>
      <c r="K1318" s="8" t="str">
        <f t="shared" si="20"/>
        <v/>
      </c>
      <c r="L1318" s="1" t="str">
        <f>IF(COUNTA(A1318:J1318)=0,"",IF(OR(AND(C1318&lt;&gt;"Gasto",C1318&lt;&gt;"Pago proveedor",C1318&lt;&gt;"Retiro familiar",C1318&lt;&gt;"Aportación",C1318&lt;&gt;"Pago activo",C1318&lt;&gt;"ISR devengado",C1318&lt;&gt;"Pago ISR",C1318&lt;&gt;"Pago IVA",C1318&lt;&gt;"Compensación ISR",C1318&lt;&gt;"Compensación IVA"),AND(C1318="Gasto",D1318&lt;&gt;"Costos clínicos",D1318&lt;&gt;"Remuneración familiar",D1318&lt;&gt;"Nómina y honorarios",D1318&lt;&gt;"Renta",D1318&lt;&gt;"Marketing",D1318&lt;&gt;"Servicios y software",D1318&lt;&gt;"Mantenimiento",D1318&lt;&gt;"Otros",D1318&lt;&gt;"Intereses")),"Tipo o categoría inválido",IF(COUNTA(A1318:J1318)=0,"",IF(OR(A1318="",B1318="",C1318="",H1318=""),"Faltan datos",IF(COUNTIF($A$7:$A$2006,A1318)&gt;1,"ID duplicado",IF(OR(B1318&lt;DATE(Configuración!$C$5,1,1),B1318&gt;=DATE(Configuración!$C$5+1,1,1)),"Fecha fuera del año",IF(OR(H1318&lt;0,I1318&lt;0),"Revisar signo",IF(AND(C1318&lt;&gt;"Gasto",I1318&lt;&gt;0),"IVA solo en Gasto",IF(AND(C1318="Gasto",D1318=""),"Falta categoría","OK")))))))))</f>
        <v/>
      </c>
    </row>
    <row r="1319" spans="1:12" ht="22" customHeight="1">
      <c r="A1319" s="3"/>
      <c r="B1319" s="7"/>
      <c r="C1319" s="3"/>
      <c r="D1319" s="3"/>
      <c r="E1319" s="3"/>
      <c r="F1319" s="3"/>
      <c r="G1319" s="3"/>
      <c r="H1319" s="4"/>
      <c r="I1319" s="4"/>
      <c r="J1319" s="3"/>
      <c r="K1319" s="8" t="str">
        <f t="shared" si="20"/>
        <v/>
      </c>
      <c r="L1319" s="1" t="str">
        <f>IF(COUNTA(A1319:J1319)=0,"",IF(OR(AND(C1319&lt;&gt;"Gasto",C1319&lt;&gt;"Pago proveedor",C1319&lt;&gt;"Retiro familiar",C1319&lt;&gt;"Aportación",C1319&lt;&gt;"Pago activo",C1319&lt;&gt;"ISR devengado",C1319&lt;&gt;"Pago ISR",C1319&lt;&gt;"Pago IVA",C1319&lt;&gt;"Compensación ISR",C1319&lt;&gt;"Compensación IVA"),AND(C1319="Gasto",D1319&lt;&gt;"Costos clínicos",D1319&lt;&gt;"Remuneración familiar",D1319&lt;&gt;"Nómina y honorarios",D1319&lt;&gt;"Renta",D1319&lt;&gt;"Marketing",D1319&lt;&gt;"Servicios y software",D1319&lt;&gt;"Mantenimiento",D1319&lt;&gt;"Otros",D1319&lt;&gt;"Intereses")),"Tipo o categoría inválido",IF(COUNTA(A1319:J1319)=0,"",IF(OR(A1319="",B1319="",C1319="",H1319=""),"Faltan datos",IF(COUNTIF($A$7:$A$2006,A1319)&gt;1,"ID duplicado",IF(OR(B1319&lt;DATE(Configuración!$C$5,1,1),B1319&gt;=DATE(Configuración!$C$5+1,1,1)),"Fecha fuera del año",IF(OR(H1319&lt;0,I1319&lt;0),"Revisar signo",IF(AND(C1319&lt;&gt;"Gasto",I1319&lt;&gt;0),"IVA solo en Gasto",IF(AND(C1319="Gasto",D1319=""),"Falta categoría","OK")))))))))</f>
        <v/>
      </c>
    </row>
    <row r="1320" spans="1:12" ht="22" customHeight="1">
      <c r="A1320" s="3"/>
      <c r="B1320" s="7"/>
      <c r="C1320" s="3"/>
      <c r="D1320" s="3"/>
      <c r="E1320" s="3"/>
      <c r="F1320" s="3"/>
      <c r="G1320" s="3"/>
      <c r="H1320" s="4"/>
      <c r="I1320" s="4"/>
      <c r="J1320" s="3"/>
      <c r="K1320" s="8" t="str">
        <f t="shared" si="20"/>
        <v/>
      </c>
      <c r="L1320" s="1" t="str">
        <f>IF(COUNTA(A1320:J1320)=0,"",IF(OR(AND(C1320&lt;&gt;"Gasto",C1320&lt;&gt;"Pago proveedor",C1320&lt;&gt;"Retiro familiar",C1320&lt;&gt;"Aportación",C1320&lt;&gt;"Pago activo",C1320&lt;&gt;"ISR devengado",C1320&lt;&gt;"Pago ISR",C1320&lt;&gt;"Pago IVA",C1320&lt;&gt;"Compensación ISR",C1320&lt;&gt;"Compensación IVA"),AND(C1320="Gasto",D1320&lt;&gt;"Costos clínicos",D1320&lt;&gt;"Remuneración familiar",D1320&lt;&gt;"Nómina y honorarios",D1320&lt;&gt;"Renta",D1320&lt;&gt;"Marketing",D1320&lt;&gt;"Servicios y software",D1320&lt;&gt;"Mantenimiento",D1320&lt;&gt;"Otros",D1320&lt;&gt;"Intereses")),"Tipo o categoría inválido",IF(COUNTA(A1320:J1320)=0,"",IF(OR(A1320="",B1320="",C1320="",H1320=""),"Faltan datos",IF(COUNTIF($A$7:$A$2006,A1320)&gt;1,"ID duplicado",IF(OR(B1320&lt;DATE(Configuración!$C$5,1,1),B1320&gt;=DATE(Configuración!$C$5+1,1,1)),"Fecha fuera del año",IF(OR(H1320&lt;0,I1320&lt;0),"Revisar signo",IF(AND(C1320&lt;&gt;"Gasto",I1320&lt;&gt;0),"IVA solo en Gasto",IF(AND(C1320="Gasto",D1320=""),"Falta categoría","OK")))))))))</f>
        <v/>
      </c>
    </row>
    <row r="1321" spans="1:12" ht="22" customHeight="1">
      <c r="A1321" s="3"/>
      <c r="B1321" s="7"/>
      <c r="C1321" s="3"/>
      <c r="D1321" s="3"/>
      <c r="E1321" s="3"/>
      <c r="F1321" s="3"/>
      <c r="G1321" s="3"/>
      <c r="H1321" s="4"/>
      <c r="I1321" s="4"/>
      <c r="J1321" s="3"/>
      <c r="K1321" s="8" t="str">
        <f t="shared" si="20"/>
        <v/>
      </c>
      <c r="L1321" s="1" t="str">
        <f>IF(COUNTA(A1321:J1321)=0,"",IF(OR(AND(C1321&lt;&gt;"Gasto",C1321&lt;&gt;"Pago proveedor",C1321&lt;&gt;"Retiro familiar",C1321&lt;&gt;"Aportación",C1321&lt;&gt;"Pago activo",C1321&lt;&gt;"ISR devengado",C1321&lt;&gt;"Pago ISR",C1321&lt;&gt;"Pago IVA",C1321&lt;&gt;"Compensación ISR",C1321&lt;&gt;"Compensación IVA"),AND(C1321="Gasto",D1321&lt;&gt;"Costos clínicos",D1321&lt;&gt;"Remuneración familiar",D1321&lt;&gt;"Nómina y honorarios",D1321&lt;&gt;"Renta",D1321&lt;&gt;"Marketing",D1321&lt;&gt;"Servicios y software",D1321&lt;&gt;"Mantenimiento",D1321&lt;&gt;"Otros",D1321&lt;&gt;"Intereses")),"Tipo o categoría inválido",IF(COUNTA(A1321:J1321)=0,"",IF(OR(A1321="",B1321="",C1321="",H1321=""),"Faltan datos",IF(COUNTIF($A$7:$A$2006,A1321)&gt;1,"ID duplicado",IF(OR(B1321&lt;DATE(Configuración!$C$5,1,1),B1321&gt;=DATE(Configuración!$C$5+1,1,1)),"Fecha fuera del año",IF(OR(H1321&lt;0,I1321&lt;0),"Revisar signo",IF(AND(C1321&lt;&gt;"Gasto",I1321&lt;&gt;0),"IVA solo en Gasto",IF(AND(C1321="Gasto",D1321=""),"Falta categoría","OK")))))))))</f>
        <v/>
      </c>
    </row>
    <row r="1322" spans="1:12" ht="22" customHeight="1">
      <c r="A1322" s="3"/>
      <c r="B1322" s="7"/>
      <c r="C1322" s="3"/>
      <c r="D1322" s="3"/>
      <c r="E1322" s="3"/>
      <c r="F1322" s="3"/>
      <c r="G1322" s="3"/>
      <c r="H1322" s="4"/>
      <c r="I1322" s="4"/>
      <c r="J1322" s="3"/>
      <c r="K1322" s="8" t="str">
        <f t="shared" si="20"/>
        <v/>
      </c>
      <c r="L1322" s="1" t="str">
        <f>IF(COUNTA(A1322:J1322)=0,"",IF(OR(AND(C1322&lt;&gt;"Gasto",C1322&lt;&gt;"Pago proveedor",C1322&lt;&gt;"Retiro familiar",C1322&lt;&gt;"Aportación",C1322&lt;&gt;"Pago activo",C1322&lt;&gt;"ISR devengado",C1322&lt;&gt;"Pago ISR",C1322&lt;&gt;"Pago IVA",C1322&lt;&gt;"Compensación ISR",C1322&lt;&gt;"Compensación IVA"),AND(C1322="Gasto",D1322&lt;&gt;"Costos clínicos",D1322&lt;&gt;"Remuneración familiar",D1322&lt;&gt;"Nómina y honorarios",D1322&lt;&gt;"Renta",D1322&lt;&gt;"Marketing",D1322&lt;&gt;"Servicios y software",D1322&lt;&gt;"Mantenimiento",D1322&lt;&gt;"Otros",D1322&lt;&gt;"Intereses")),"Tipo o categoría inválido",IF(COUNTA(A1322:J1322)=0,"",IF(OR(A1322="",B1322="",C1322="",H1322=""),"Faltan datos",IF(COUNTIF($A$7:$A$2006,A1322)&gt;1,"ID duplicado",IF(OR(B1322&lt;DATE(Configuración!$C$5,1,1),B1322&gt;=DATE(Configuración!$C$5+1,1,1)),"Fecha fuera del año",IF(OR(H1322&lt;0,I1322&lt;0),"Revisar signo",IF(AND(C1322&lt;&gt;"Gasto",I1322&lt;&gt;0),"IVA solo en Gasto",IF(AND(C1322="Gasto",D1322=""),"Falta categoría","OK")))))))))</f>
        <v/>
      </c>
    </row>
    <row r="1323" spans="1:12" ht="22" customHeight="1">
      <c r="A1323" s="3"/>
      <c r="B1323" s="7"/>
      <c r="C1323" s="3"/>
      <c r="D1323" s="3"/>
      <c r="E1323" s="3"/>
      <c r="F1323" s="3"/>
      <c r="G1323" s="3"/>
      <c r="H1323" s="4"/>
      <c r="I1323" s="4"/>
      <c r="J1323" s="3"/>
      <c r="K1323" s="8" t="str">
        <f t="shared" si="20"/>
        <v/>
      </c>
      <c r="L1323" s="1" t="str">
        <f>IF(COUNTA(A1323:J1323)=0,"",IF(OR(AND(C1323&lt;&gt;"Gasto",C1323&lt;&gt;"Pago proveedor",C1323&lt;&gt;"Retiro familiar",C1323&lt;&gt;"Aportación",C1323&lt;&gt;"Pago activo",C1323&lt;&gt;"ISR devengado",C1323&lt;&gt;"Pago ISR",C1323&lt;&gt;"Pago IVA",C1323&lt;&gt;"Compensación ISR",C1323&lt;&gt;"Compensación IVA"),AND(C1323="Gasto",D1323&lt;&gt;"Costos clínicos",D1323&lt;&gt;"Remuneración familiar",D1323&lt;&gt;"Nómina y honorarios",D1323&lt;&gt;"Renta",D1323&lt;&gt;"Marketing",D1323&lt;&gt;"Servicios y software",D1323&lt;&gt;"Mantenimiento",D1323&lt;&gt;"Otros",D1323&lt;&gt;"Intereses")),"Tipo o categoría inválido",IF(COUNTA(A1323:J1323)=0,"",IF(OR(A1323="",B1323="",C1323="",H1323=""),"Faltan datos",IF(COUNTIF($A$7:$A$2006,A1323)&gt;1,"ID duplicado",IF(OR(B1323&lt;DATE(Configuración!$C$5,1,1),B1323&gt;=DATE(Configuración!$C$5+1,1,1)),"Fecha fuera del año",IF(OR(H1323&lt;0,I1323&lt;0),"Revisar signo",IF(AND(C1323&lt;&gt;"Gasto",I1323&lt;&gt;0),"IVA solo en Gasto",IF(AND(C1323="Gasto",D1323=""),"Falta categoría","OK")))))))))</f>
        <v/>
      </c>
    </row>
    <row r="1324" spans="1:12" ht="22" customHeight="1">
      <c r="A1324" s="3"/>
      <c r="B1324" s="7"/>
      <c r="C1324" s="3"/>
      <c r="D1324" s="3"/>
      <c r="E1324" s="3"/>
      <c r="F1324" s="3"/>
      <c r="G1324" s="3"/>
      <c r="H1324" s="4"/>
      <c r="I1324" s="4"/>
      <c r="J1324" s="3"/>
      <c r="K1324" s="8" t="str">
        <f t="shared" si="20"/>
        <v/>
      </c>
      <c r="L1324" s="1" t="str">
        <f>IF(COUNTA(A1324:J1324)=0,"",IF(OR(AND(C1324&lt;&gt;"Gasto",C1324&lt;&gt;"Pago proveedor",C1324&lt;&gt;"Retiro familiar",C1324&lt;&gt;"Aportación",C1324&lt;&gt;"Pago activo",C1324&lt;&gt;"ISR devengado",C1324&lt;&gt;"Pago ISR",C1324&lt;&gt;"Pago IVA",C1324&lt;&gt;"Compensación ISR",C1324&lt;&gt;"Compensación IVA"),AND(C1324="Gasto",D1324&lt;&gt;"Costos clínicos",D1324&lt;&gt;"Remuneración familiar",D1324&lt;&gt;"Nómina y honorarios",D1324&lt;&gt;"Renta",D1324&lt;&gt;"Marketing",D1324&lt;&gt;"Servicios y software",D1324&lt;&gt;"Mantenimiento",D1324&lt;&gt;"Otros",D1324&lt;&gt;"Intereses")),"Tipo o categoría inválido",IF(COUNTA(A1324:J1324)=0,"",IF(OR(A1324="",B1324="",C1324="",H1324=""),"Faltan datos",IF(COUNTIF($A$7:$A$2006,A1324)&gt;1,"ID duplicado",IF(OR(B1324&lt;DATE(Configuración!$C$5,1,1),B1324&gt;=DATE(Configuración!$C$5+1,1,1)),"Fecha fuera del año",IF(OR(H1324&lt;0,I1324&lt;0),"Revisar signo",IF(AND(C1324&lt;&gt;"Gasto",I1324&lt;&gt;0),"IVA solo en Gasto",IF(AND(C1324="Gasto",D1324=""),"Falta categoría","OK")))))))))</f>
        <v/>
      </c>
    </row>
    <row r="1325" spans="1:12" ht="22" customHeight="1">
      <c r="A1325" s="3"/>
      <c r="B1325" s="7"/>
      <c r="C1325" s="3"/>
      <c r="D1325" s="3"/>
      <c r="E1325" s="3"/>
      <c r="F1325" s="3"/>
      <c r="G1325" s="3"/>
      <c r="H1325" s="4"/>
      <c r="I1325" s="4"/>
      <c r="J1325" s="3"/>
      <c r="K1325" s="8" t="str">
        <f t="shared" si="20"/>
        <v/>
      </c>
      <c r="L1325" s="1" t="str">
        <f>IF(COUNTA(A1325:J1325)=0,"",IF(OR(AND(C1325&lt;&gt;"Gasto",C1325&lt;&gt;"Pago proveedor",C1325&lt;&gt;"Retiro familiar",C1325&lt;&gt;"Aportación",C1325&lt;&gt;"Pago activo",C1325&lt;&gt;"ISR devengado",C1325&lt;&gt;"Pago ISR",C1325&lt;&gt;"Pago IVA",C1325&lt;&gt;"Compensación ISR",C1325&lt;&gt;"Compensación IVA"),AND(C1325="Gasto",D1325&lt;&gt;"Costos clínicos",D1325&lt;&gt;"Remuneración familiar",D1325&lt;&gt;"Nómina y honorarios",D1325&lt;&gt;"Renta",D1325&lt;&gt;"Marketing",D1325&lt;&gt;"Servicios y software",D1325&lt;&gt;"Mantenimiento",D1325&lt;&gt;"Otros",D1325&lt;&gt;"Intereses")),"Tipo o categoría inválido",IF(COUNTA(A1325:J1325)=0,"",IF(OR(A1325="",B1325="",C1325="",H1325=""),"Faltan datos",IF(COUNTIF($A$7:$A$2006,A1325)&gt;1,"ID duplicado",IF(OR(B1325&lt;DATE(Configuración!$C$5,1,1),B1325&gt;=DATE(Configuración!$C$5+1,1,1)),"Fecha fuera del año",IF(OR(H1325&lt;0,I1325&lt;0),"Revisar signo",IF(AND(C1325&lt;&gt;"Gasto",I1325&lt;&gt;0),"IVA solo en Gasto",IF(AND(C1325="Gasto",D1325=""),"Falta categoría","OK")))))))))</f>
        <v/>
      </c>
    </row>
    <row r="1326" spans="1:12" ht="22" customHeight="1">
      <c r="A1326" s="3"/>
      <c r="B1326" s="7"/>
      <c r="C1326" s="3"/>
      <c r="D1326" s="3"/>
      <c r="E1326" s="3"/>
      <c r="F1326" s="3"/>
      <c r="G1326" s="3"/>
      <c r="H1326" s="4"/>
      <c r="I1326" s="4"/>
      <c r="J1326" s="3"/>
      <c r="K1326" s="8" t="str">
        <f t="shared" si="20"/>
        <v/>
      </c>
      <c r="L1326" s="1" t="str">
        <f>IF(COUNTA(A1326:J1326)=0,"",IF(OR(AND(C1326&lt;&gt;"Gasto",C1326&lt;&gt;"Pago proveedor",C1326&lt;&gt;"Retiro familiar",C1326&lt;&gt;"Aportación",C1326&lt;&gt;"Pago activo",C1326&lt;&gt;"ISR devengado",C1326&lt;&gt;"Pago ISR",C1326&lt;&gt;"Pago IVA",C1326&lt;&gt;"Compensación ISR",C1326&lt;&gt;"Compensación IVA"),AND(C1326="Gasto",D1326&lt;&gt;"Costos clínicos",D1326&lt;&gt;"Remuneración familiar",D1326&lt;&gt;"Nómina y honorarios",D1326&lt;&gt;"Renta",D1326&lt;&gt;"Marketing",D1326&lt;&gt;"Servicios y software",D1326&lt;&gt;"Mantenimiento",D1326&lt;&gt;"Otros",D1326&lt;&gt;"Intereses")),"Tipo o categoría inválido",IF(COUNTA(A1326:J1326)=0,"",IF(OR(A1326="",B1326="",C1326="",H1326=""),"Faltan datos",IF(COUNTIF($A$7:$A$2006,A1326)&gt;1,"ID duplicado",IF(OR(B1326&lt;DATE(Configuración!$C$5,1,1),B1326&gt;=DATE(Configuración!$C$5+1,1,1)),"Fecha fuera del año",IF(OR(H1326&lt;0,I1326&lt;0),"Revisar signo",IF(AND(C1326&lt;&gt;"Gasto",I1326&lt;&gt;0),"IVA solo en Gasto",IF(AND(C1326="Gasto",D1326=""),"Falta categoría","OK")))))))))</f>
        <v/>
      </c>
    </row>
    <row r="1327" spans="1:12" ht="22" customHeight="1">
      <c r="A1327" s="3"/>
      <c r="B1327" s="7"/>
      <c r="C1327" s="3"/>
      <c r="D1327" s="3"/>
      <c r="E1327" s="3"/>
      <c r="F1327" s="3"/>
      <c r="G1327" s="3"/>
      <c r="H1327" s="4"/>
      <c r="I1327" s="4"/>
      <c r="J1327" s="3"/>
      <c r="K1327" s="8" t="str">
        <f t="shared" si="20"/>
        <v/>
      </c>
      <c r="L1327" s="1" t="str">
        <f>IF(COUNTA(A1327:J1327)=0,"",IF(OR(AND(C1327&lt;&gt;"Gasto",C1327&lt;&gt;"Pago proveedor",C1327&lt;&gt;"Retiro familiar",C1327&lt;&gt;"Aportación",C1327&lt;&gt;"Pago activo",C1327&lt;&gt;"ISR devengado",C1327&lt;&gt;"Pago ISR",C1327&lt;&gt;"Pago IVA",C1327&lt;&gt;"Compensación ISR",C1327&lt;&gt;"Compensación IVA"),AND(C1327="Gasto",D1327&lt;&gt;"Costos clínicos",D1327&lt;&gt;"Remuneración familiar",D1327&lt;&gt;"Nómina y honorarios",D1327&lt;&gt;"Renta",D1327&lt;&gt;"Marketing",D1327&lt;&gt;"Servicios y software",D1327&lt;&gt;"Mantenimiento",D1327&lt;&gt;"Otros",D1327&lt;&gt;"Intereses")),"Tipo o categoría inválido",IF(COUNTA(A1327:J1327)=0,"",IF(OR(A1327="",B1327="",C1327="",H1327=""),"Faltan datos",IF(COUNTIF($A$7:$A$2006,A1327)&gt;1,"ID duplicado",IF(OR(B1327&lt;DATE(Configuración!$C$5,1,1),B1327&gt;=DATE(Configuración!$C$5+1,1,1)),"Fecha fuera del año",IF(OR(H1327&lt;0,I1327&lt;0),"Revisar signo",IF(AND(C1327&lt;&gt;"Gasto",I1327&lt;&gt;0),"IVA solo en Gasto",IF(AND(C1327="Gasto",D1327=""),"Falta categoría","OK")))))))))</f>
        <v/>
      </c>
    </row>
    <row r="1328" spans="1:12" ht="22" customHeight="1">
      <c r="A1328" s="3"/>
      <c r="B1328" s="7"/>
      <c r="C1328" s="3"/>
      <c r="D1328" s="3"/>
      <c r="E1328" s="3"/>
      <c r="F1328" s="3"/>
      <c r="G1328" s="3"/>
      <c r="H1328" s="4"/>
      <c r="I1328" s="4"/>
      <c r="J1328" s="3"/>
      <c r="K1328" s="8" t="str">
        <f t="shared" si="20"/>
        <v/>
      </c>
      <c r="L1328" s="1" t="str">
        <f>IF(COUNTA(A1328:J1328)=0,"",IF(OR(AND(C1328&lt;&gt;"Gasto",C1328&lt;&gt;"Pago proveedor",C1328&lt;&gt;"Retiro familiar",C1328&lt;&gt;"Aportación",C1328&lt;&gt;"Pago activo",C1328&lt;&gt;"ISR devengado",C1328&lt;&gt;"Pago ISR",C1328&lt;&gt;"Pago IVA",C1328&lt;&gt;"Compensación ISR",C1328&lt;&gt;"Compensación IVA"),AND(C1328="Gasto",D1328&lt;&gt;"Costos clínicos",D1328&lt;&gt;"Remuneración familiar",D1328&lt;&gt;"Nómina y honorarios",D1328&lt;&gt;"Renta",D1328&lt;&gt;"Marketing",D1328&lt;&gt;"Servicios y software",D1328&lt;&gt;"Mantenimiento",D1328&lt;&gt;"Otros",D1328&lt;&gt;"Intereses")),"Tipo o categoría inválido",IF(COUNTA(A1328:J1328)=0,"",IF(OR(A1328="",B1328="",C1328="",H1328=""),"Faltan datos",IF(COUNTIF($A$7:$A$2006,A1328)&gt;1,"ID duplicado",IF(OR(B1328&lt;DATE(Configuración!$C$5,1,1),B1328&gt;=DATE(Configuración!$C$5+1,1,1)),"Fecha fuera del año",IF(OR(H1328&lt;0,I1328&lt;0),"Revisar signo",IF(AND(C1328&lt;&gt;"Gasto",I1328&lt;&gt;0),"IVA solo en Gasto",IF(AND(C1328="Gasto",D1328=""),"Falta categoría","OK")))))))))</f>
        <v/>
      </c>
    </row>
    <row r="1329" spans="1:12" ht="22" customHeight="1">
      <c r="A1329" s="3"/>
      <c r="B1329" s="7"/>
      <c r="C1329" s="3"/>
      <c r="D1329" s="3"/>
      <c r="E1329" s="3"/>
      <c r="F1329" s="3"/>
      <c r="G1329" s="3"/>
      <c r="H1329" s="4"/>
      <c r="I1329" s="4"/>
      <c r="J1329" s="3"/>
      <c r="K1329" s="8" t="str">
        <f t="shared" si="20"/>
        <v/>
      </c>
      <c r="L1329" s="1" t="str">
        <f>IF(COUNTA(A1329:J1329)=0,"",IF(OR(AND(C1329&lt;&gt;"Gasto",C1329&lt;&gt;"Pago proveedor",C1329&lt;&gt;"Retiro familiar",C1329&lt;&gt;"Aportación",C1329&lt;&gt;"Pago activo",C1329&lt;&gt;"ISR devengado",C1329&lt;&gt;"Pago ISR",C1329&lt;&gt;"Pago IVA",C1329&lt;&gt;"Compensación ISR",C1329&lt;&gt;"Compensación IVA"),AND(C1329="Gasto",D1329&lt;&gt;"Costos clínicos",D1329&lt;&gt;"Remuneración familiar",D1329&lt;&gt;"Nómina y honorarios",D1329&lt;&gt;"Renta",D1329&lt;&gt;"Marketing",D1329&lt;&gt;"Servicios y software",D1329&lt;&gt;"Mantenimiento",D1329&lt;&gt;"Otros",D1329&lt;&gt;"Intereses")),"Tipo o categoría inválido",IF(COUNTA(A1329:J1329)=0,"",IF(OR(A1329="",B1329="",C1329="",H1329=""),"Faltan datos",IF(COUNTIF($A$7:$A$2006,A1329)&gt;1,"ID duplicado",IF(OR(B1329&lt;DATE(Configuración!$C$5,1,1),B1329&gt;=DATE(Configuración!$C$5+1,1,1)),"Fecha fuera del año",IF(OR(H1329&lt;0,I1329&lt;0),"Revisar signo",IF(AND(C1329&lt;&gt;"Gasto",I1329&lt;&gt;0),"IVA solo en Gasto",IF(AND(C1329="Gasto",D1329=""),"Falta categoría","OK")))))))))</f>
        <v/>
      </c>
    </row>
    <row r="1330" spans="1:12" ht="22" customHeight="1">
      <c r="A1330" s="3"/>
      <c r="B1330" s="7"/>
      <c r="C1330" s="3"/>
      <c r="D1330" s="3"/>
      <c r="E1330" s="3"/>
      <c r="F1330" s="3"/>
      <c r="G1330" s="3"/>
      <c r="H1330" s="4"/>
      <c r="I1330" s="4"/>
      <c r="J1330" s="3"/>
      <c r="K1330" s="8" t="str">
        <f t="shared" si="20"/>
        <v/>
      </c>
      <c r="L1330" s="1" t="str">
        <f>IF(COUNTA(A1330:J1330)=0,"",IF(OR(AND(C1330&lt;&gt;"Gasto",C1330&lt;&gt;"Pago proveedor",C1330&lt;&gt;"Retiro familiar",C1330&lt;&gt;"Aportación",C1330&lt;&gt;"Pago activo",C1330&lt;&gt;"ISR devengado",C1330&lt;&gt;"Pago ISR",C1330&lt;&gt;"Pago IVA",C1330&lt;&gt;"Compensación ISR",C1330&lt;&gt;"Compensación IVA"),AND(C1330="Gasto",D1330&lt;&gt;"Costos clínicos",D1330&lt;&gt;"Remuneración familiar",D1330&lt;&gt;"Nómina y honorarios",D1330&lt;&gt;"Renta",D1330&lt;&gt;"Marketing",D1330&lt;&gt;"Servicios y software",D1330&lt;&gt;"Mantenimiento",D1330&lt;&gt;"Otros",D1330&lt;&gt;"Intereses")),"Tipo o categoría inválido",IF(COUNTA(A1330:J1330)=0,"",IF(OR(A1330="",B1330="",C1330="",H1330=""),"Faltan datos",IF(COUNTIF($A$7:$A$2006,A1330)&gt;1,"ID duplicado",IF(OR(B1330&lt;DATE(Configuración!$C$5,1,1),B1330&gt;=DATE(Configuración!$C$5+1,1,1)),"Fecha fuera del año",IF(OR(H1330&lt;0,I1330&lt;0),"Revisar signo",IF(AND(C1330&lt;&gt;"Gasto",I1330&lt;&gt;0),"IVA solo en Gasto",IF(AND(C1330="Gasto",D1330=""),"Falta categoría","OK")))))))))</f>
        <v/>
      </c>
    </row>
    <row r="1331" spans="1:12" ht="22" customHeight="1">
      <c r="A1331" s="3"/>
      <c r="B1331" s="7"/>
      <c r="C1331" s="3"/>
      <c r="D1331" s="3"/>
      <c r="E1331" s="3"/>
      <c r="F1331" s="3"/>
      <c r="G1331" s="3"/>
      <c r="H1331" s="4"/>
      <c r="I1331" s="4"/>
      <c r="J1331" s="3"/>
      <c r="K1331" s="8" t="str">
        <f t="shared" si="20"/>
        <v/>
      </c>
      <c r="L1331" s="1" t="str">
        <f>IF(COUNTA(A1331:J1331)=0,"",IF(OR(AND(C1331&lt;&gt;"Gasto",C1331&lt;&gt;"Pago proveedor",C1331&lt;&gt;"Retiro familiar",C1331&lt;&gt;"Aportación",C1331&lt;&gt;"Pago activo",C1331&lt;&gt;"ISR devengado",C1331&lt;&gt;"Pago ISR",C1331&lt;&gt;"Pago IVA",C1331&lt;&gt;"Compensación ISR",C1331&lt;&gt;"Compensación IVA"),AND(C1331="Gasto",D1331&lt;&gt;"Costos clínicos",D1331&lt;&gt;"Remuneración familiar",D1331&lt;&gt;"Nómina y honorarios",D1331&lt;&gt;"Renta",D1331&lt;&gt;"Marketing",D1331&lt;&gt;"Servicios y software",D1331&lt;&gt;"Mantenimiento",D1331&lt;&gt;"Otros",D1331&lt;&gt;"Intereses")),"Tipo o categoría inválido",IF(COUNTA(A1331:J1331)=0,"",IF(OR(A1331="",B1331="",C1331="",H1331=""),"Faltan datos",IF(COUNTIF($A$7:$A$2006,A1331)&gt;1,"ID duplicado",IF(OR(B1331&lt;DATE(Configuración!$C$5,1,1),B1331&gt;=DATE(Configuración!$C$5+1,1,1)),"Fecha fuera del año",IF(OR(H1331&lt;0,I1331&lt;0),"Revisar signo",IF(AND(C1331&lt;&gt;"Gasto",I1331&lt;&gt;0),"IVA solo en Gasto",IF(AND(C1331="Gasto",D1331=""),"Falta categoría","OK")))))))))</f>
        <v/>
      </c>
    </row>
    <row r="1332" spans="1:12" ht="22" customHeight="1">
      <c r="A1332" s="3"/>
      <c r="B1332" s="7"/>
      <c r="C1332" s="3"/>
      <c r="D1332" s="3"/>
      <c r="E1332" s="3"/>
      <c r="F1332" s="3"/>
      <c r="G1332" s="3"/>
      <c r="H1332" s="4"/>
      <c r="I1332" s="4"/>
      <c r="J1332" s="3"/>
      <c r="K1332" s="8" t="str">
        <f t="shared" si="20"/>
        <v/>
      </c>
      <c r="L1332" s="1" t="str">
        <f>IF(COUNTA(A1332:J1332)=0,"",IF(OR(AND(C1332&lt;&gt;"Gasto",C1332&lt;&gt;"Pago proveedor",C1332&lt;&gt;"Retiro familiar",C1332&lt;&gt;"Aportación",C1332&lt;&gt;"Pago activo",C1332&lt;&gt;"ISR devengado",C1332&lt;&gt;"Pago ISR",C1332&lt;&gt;"Pago IVA",C1332&lt;&gt;"Compensación ISR",C1332&lt;&gt;"Compensación IVA"),AND(C1332="Gasto",D1332&lt;&gt;"Costos clínicos",D1332&lt;&gt;"Remuneración familiar",D1332&lt;&gt;"Nómina y honorarios",D1332&lt;&gt;"Renta",D1332&lt;&gt;"Marketing",D1332&lt;&gt;"Servicios y software",D1332&lt;&gt;"Mantenimiento",D1332&lt;&gt;"Otros",D1332&lt;&gt;"Intereses")),"Tipo o categoría inválido",IF(COUNTA(A1332:J1332)=0,"",IF(OR(A1332="",B1332="",C1332="",H1332=""),"Faltan datos",IF(COUNTIF($A$7:$A$2006,A1332)&gt;1,"ID duplicado",IF(OR(B1332&lt;DATE(Configuración!$C$5,1,1),B1332&gt;=DATE(Configuración!$C$5+1,1,1)),"Fecha fuera del año",IF(OR(H1332&lt;0,I1332&lt;0),"Revisar signo",IF(AND(C1332&lt;&gt;"Gasto",I1332&lt;&gt;0),"IVA solo en Gasto",IF(AND(C1332="Gasto",D1332=""),"Falta categoría","OK")))))))))</f>
        <v/>
      </c>
    </row>
    <row r="1333" spans="1:12" ht="22" customHeight="1">
      <c r="A1333" s="3"/>
      <c r="B1333" s="7"/>
      <c r="C1333" s="3"/>
      <c r="D1333" s="3"/>
      <c r="E1333" s="3"/>
      <c r="F1333" s="3"/>
      <c r="G1333" s="3"/>
      <c r="H1333" s="4"/>
      <c r="I1333" s="4"/>
      <c r="J1333" s="3"/>
      <c r="K1333" s="8" t="str">
        <f t="shared" si="20"/>
        <v/>
      </c>
      <c r="L1333" s="1" t="str">
        <f>IF(COUNTA(A1333:J1333)=0,"",IF(OR(AND(C1333&lt;&gt;"Gasto",C1333&lt;&gt;"Pago proveedor",C1333&lt;&gt;"Retiro familiar",C1333&lt;&gt;"Aportación",C1333&lt;&gt;"Pago activo",C1333&lt;&gt;"ISR devengado",C1333&lt;&gt;"Pago ISR",C1333&lt;&gt;"Pago IVA",C1333&lt;&gt;"Compensación ISR",C1333&lt;&gt;"Compensación IVA"),AND(C1333="Gasto",D1333&lt;&gt;"Costos clínicos",D1333&lt;&gt;"Remuneración familiar",D1333&lt;&gt;"Nómina y honorarios",D1333&lt;&gt;"Renta",D1333&lt;&gt;"Marketing",D1333&lt;&gt;"Servicios y software",D1333&lt;&gt;"Mantenimiento",D1333&lt;&gt;"Otros",D1333&lt;&gt;"Intereses")),"Tipo o categoría inválido",IF(COUNTA(A1333:J1333)=0,"",IF(OR(A1333="",B1333="",C1333="",H1333=""),"Faltan datos",IF(COUNTIF($A$7:$A$2006,A1333)&gt;1,"ID duplicado",IF(OR(B1333&lt;DATE(Configuración!$C$5,1,1),B1333&gt;=DATE(Configuración!$C$5+1,1,1)),"Fecha fuera del año",IF(OR(H1333&lt;0,I1333&lt;0),"Revisar signo",IF(AND(C1333&lt;&gt;"Gasto",I1333&lt;&gt;0),"IVA solo en Gasto",IF(AND(C1333="Gasto",D1333=""),"Falta categoría","OK")))))))))</f>
        <v/>
      </c>
    </row>
    <row r="1334" spans="1:12" ht="22" customHeight="1">
      <c r="A1334" s="3"/>
      <c r="B1334" s="7"/>
      <c r="C1334" s="3"/>
      <c r="D1334" s="3"/>
      <c r="E1334" s="3"/>
      <c r="F1334" s="3"/>
      <c r="G1334" s="3"/>
      <c r="H1334" s="4"/>
      <c r="I1334" s="4"/>
      <c r="J1334" s="3"/>
      <c r="K1334" s="8" t="str">
        <f t="shared" si="20"/>
        <v/>
      </c>
      <c r="L1334" s="1" t="str">
        <f>IF(COUNTA(A1334:J1334)=0,"",IF(OR(AND(C1334&lt;&gt;"Gasto",C1334&lt;&gt;"Pago proveedor",C1334&lt;&gt;"Retiro familiar",C1334&lt;&gt;"Aportación",C1334&lt;&gt;"Pago activo",C1334&lt;&gt;"ISR devengado",C1334&lt;&gt;"Pago ISR",C1334&lt;&gt;"Pago IVA",C1334&lt;&gt;"Compensación ISR",C1334&lt;&gt;"Compensación IVA"),AND(C1334="Gasto",D1334&lt;&gt;"Costos clínicos",D1334&lt;&gt;"Remuneración familiar",D1334&lt;&gt;"Nómina y honorarios",D1334&lt;&gt;"Renta",D1334&lt;&gt;"Marketing",D1334&lt;&gt;"Servicios y software",D1334&lt;&gt;"Mantenimiento",D1334&lt;&gt;"Otros",D1334&lt;&gt;"Intereses")),"Tipo o categoría inválido",IF(COUNTA(A1334:J1334)=0,"",IF(OR(A1334="",B1334="",C1334="",H1334=""),"Faltan datos",IF(COUNTIF($A$7:$A$2006,A1334)&gt;1,"ID duplicado",IF(OR(B1334&lt;DATE(Configuración!$C$5,1,1),B1334&gt;=DATE(Configuración!$C$5+1,1,1)),"Fecha fuera del año",IF(OR(H1334&lt;0,I1334&lt;0),"Revisar signo",IF(AND(C1334&lt;&gt;"Gasto",I1334&lt;&gt;0),"IVA solo en Gasto",IF(AND(C1334="Gasto",D1334=""),"Falta categoría","OK")))))))))</f>
        <v/>
      </c>
    </row>
    <row r="1335" spans="1:12" ht="22" customHeight="1">
      <c r="A1335" s="3"/>
      <c r="B1335" s="7"/>
      <c r="C1335" s="3"/>
      <c r="D1335" s="3"/>
      <c r="E1335" s="3"/>
      <c r="F1335" s="3"/>
      <c r="G1335" s="3"/>
      <c r="H1335" s="4"/>
      <c r="I1335" s="4"/>
      <c r="J1335" s="3"/>
      <c r="K1335" s="8" t="str">
        <f t="shared" si="20"/>
        <v/>
      </c>
      <c r="L1335" s="1" t="str">
        <f>IF(COUNTA(A1335:J1335)=0,"",IF(OR(AND(C1335&lt;&gt;"Gasto",C1335&lt;&gt;"Pago proveedor",C1335&lt;&gt;"Retiro familiar",C1335&lt;&gt;"Aportación",C1335&lt;&gt;"Pago activo",C1335&lt;&gt;"ISR devengado",C1335&lt;&gt;"Pago ISR",C1335&lt;&gt;"Pago IVA",C1335&lt;&gt;"Compensación ISR",C1335&lt;&gt;"Compensación IVA"),AND(C1335="Gasto",D1335&lt;&gt;"Costos clínicos",D1335&lt;&gt;"Remuneración familiar",D1335&lt;&gt;"Nómina y honorarios",D1335&lt;&gt;"Renta",D1335&lt;&gt;"Marketing",D1335&lt;&gt;"Servicios y software",D1335&lt;&gt;"Mantenimiento",D1335&lt;&gt;"Otros",D1335&lt;&gt;"Intereses")),"Tipo o categoría inválido",IF(COUNTA(A1335:J1335)=0,"",IF(OR(A1335="",B1335="",C1335="",H1335=""),"Faltan datos",IF(COUNTIF($A$7:$A$2006,A1335)&gt;1,"ID duplicado",IF(OR(B1335&lt;DATE(Configuración!$C$5,1,1),B1335&gt;=DATE(Configuración!$C$5+1,1,1)),"Fecha fuera del año",IF(OR(H1335&lt;0,I1335&lt;0),"Revisar signo",IF(AND(C1335&lt;&gt;"Gasto",I1335&lt;&gt;0),"IVA solo en Gasto",IF(AND(C1335="Gasto",D1335=""),"Falta categoría","OK")))))))))</f>
        <v/>
      </c>
    </row>
    <row r="1336" spans="1:12" ht="22" customHeight="1">
      <c r="A1336" s="3"/>
      <c r="B1336" s="7"/>
      <c r="C1336" s="3"/>
      <c r="D1336" s="3"/>
      <c r="E1336" s="3"/>
      <c r="F1336" s="3"/>
      <c r="G1336" s="3"/>
      <c r="H1336" s="4"/>
      <c r="I1336" s="4"/>
      <c r="J1336" s="3"/>
      <c r="K1336" s="8" t="str">
        <f t="shared" si="20"/>
        <v/>
      </c>
      <c r="L1336" s="1" t="str">
        <f>IF(COUNTA(A1336:J1336)=0,"",IF(OR(AND(C1336&lt;&gt;"Gasto",C1336&lt;&gt;"Pago proveedor",C1336&lt;&gt;"Retiro familiar",C1336&lt;&gt;"Aportación",C1336&lt;&gt;"Pago activo",C1336&lt;&gt;"ISR devengado",C1336&lt;&gt;"Pago ISR",C1336&lt;&gt;"Pago IVA",C1336&lt;&gt;"Compensación ISR",C1336&lt;&gt;"Compensación IVA"),AND(C1336="Gasto",D1336&lt;&gt;"Costos clínicos",D1336&lt;&gt;"Remuneración familiar",D1336&lt;&gt;"Nómina y honorarios",D1336&lt;&gt;"Renta",D1336&lt;&gt;"Marketing",D1336&lt;&gt;"Servicios y software",D1336&lt;&gt;"Mantenimiento",D1336&lt;&gt;"Otros",D1336&lt;&gt;"Intereses")),"Tipo o categoría inválido",IF(COUNTA(A1336:J1336)=0,"",IF(OR(A1336="",B1336="",C1336="",H1336=""),"Faltan datos",IF(COUNTIF($A$7:$A$2006,A1336)&gt;1,"ID duplicado",IF(OR(B1336&lt;DATE(Configuración!$C$5,1,1),B1336&gt;=DATE(Configuración!$C$5+1,1,1)),"Fecha fuera del año",IF(OR(H1336&lt;0,I1336&lt;0),"Revisar signo",IF(AND(C1336&lt;&gt;"Gasto",I1336&lt;&gt;0),"IVA solo en Gasto",IF(AND(C1336="Gasto",D1336=""),"Falta categoría","OK")))))))))</f>
        <v/>
      </c>
    </row>
    <row r="1337" spans="1:12" ht="22" customHeight="1">
      <c r="A1337" s="3"/>
      <c r="B1337" s="7"/>
      <c r="C1337" s="3"/>
      <c r="D1337" s="3"/>
      <c r="E1337" s="3"/>
      <c r="F1337" s="3"/>
      <c r="G1337" s="3"/>
      <c r="H1337" s="4"/>
      <c r="I1337" s="4"/>
      <c r="J1337" s="3"/>
      <c r="K1337" s="8" t="str">
        <f t="shared" si="20"/>
        <v/>
      </c>
      <c r="L1337" s="1" t="str">
        <f>IF(COUNTA(A1337:J1337)=0,"",IF(OR(AND(C1337&lt;&gt;"Gasto",C1337&lt;&gt;"Pago proveedor",C1337&lt;&gt;"Retiro familiar",C1337&lt;&gt;"Aportación",C1337&lt;&gt;"Pago activo",C1337&lt;&gt;"ISR devengado",C1337&lt;&gt;"Pago ISR",C1337&lt;&gt;"Pago IVA",C1337&lt;&gt;"Compensación ISR",C1337&lt;&gt;"Compensación IVA"),AND(C1337="Gasto",D1337&lt;&gt;"Costos clínicos",D1337&lt;&gt;"Remuneración familiar",D1337&lt;&gt;"Nómina y honorarios",D1337&lt;&gt;"Renta",D1337&lt;&gt;"Marketing",D1337&lt;&gt;"Servicios y software",D1337&lt;&gt;"Mantenimiento",D1337&lt;&gt;"Otros",D1337&lt;&gt;"Intereses")),"Tipo o categoría inválido",IF(COUNTA(A1337:J1337)=0,"",IF(OR(A1337="",B1337="",C1337="",H1337=""),"Faltan datos",IF(COUNTIF($A$7:$A$2006,A1337)&gt;1,"ID duplicado",IF(OR(B1337&lt;DATE(Configuración!$C$5,1,1),B1337&gt;=DATE(Configuración!$C$5+1,1,1)),"Fecha fuera del año",IF(OR(H1337&lt;0,I1337&lt;0),"Revisar signo",IF(AND(C1337&lt;&gt;"Gasto",I1337&lt;&gt;0),"IVA solo en Gasto",IF(AND(C1337="Gasto",D1337=""),"Falta categoría","OK")))))))))</f>
        <v/>
      </c>
    </row>
    <row r="1338" spans="1:12" ht="22" customHeight="1">
      <c r="A1338" s="3"/>
      <c r="B1338" s="7"/>
      <c r="C1338" s="3"/>
      <c r="D1338" s="3"/>
      <c r="E1338" s="3"/>
      <c r="F1338" s="3"/>
      <c r="G1338" s="3"/>
      <c r="H1338" s="4"/>
      <c r="I1338" s="4"/>
      <c r="J1338" s="3"/>
      <c r="K1338" s="8" t="str">
        <f t="shared" si="20"/>
        <v/>
      </c>
      <c r="L1338" s="1" t="str">
        <f>IF(COUNTA(A1338:J1338)=0,"",IF(OR(AND(C1338&lt;&gt;"Gasto",C1338&lt;&gt;"Pago proveedor",C1338&lt;&gt;"Retiro familiar",C1338&lt;&gt;"Aportación",C1338&lt;&gt;"Pago activo",C1338&lt;&gt;"ISR devengado",C1338&lt;&gt;"Pago ISR",C1338&lt;&gt;"Pago IVA",C1338&lt;&gt;"Compensación ISR",C1338&lt;&gt;"Compensación IVA"),AND(C1338="Gasto",D1338&lt;&gt;"Costos clínicos",D1338&lt;&gt;"Remuneración familiar",D1338&lt;&gt;"Nómina y honorarios",D1338&lt;&gt;"Renta",D1338&lt;&gt;"Marketing",D1338&lt;&gt;"Servicios y software",D1338&lt;&gt;"Mantenimiento",D1338&lt;&gt;"Otros",D1338&lt;&gt;"Intereses")),"Tipo o categoría inválido",IF(COUNTA(A1338:J1338)=0,"",IF(OR(A1338="",B1338="",C1338="",H1338=""),"Faltan datos",IF(COUNTIF($A$7:$A$2006,A1338)&gt;1,"ID duplicado",IF(OR(B1338&lt;DATE(Configuración!$C$5,1,1),B1338&gt;=DATE(Configuración!$C$5+1,1,1)),"Fecha fuera del año",IF(OR(H1338&lt;0,I1338&lt;0),"Revisar signo",IF(AND(C1338&lt;&gt;"Gasto",I1338&lt;&gt;0),"IVA solo en Gasto",IF(AND(C1338="Gasto",D1338=""),"Falta categoría","OK")))))))))</f>
        <v/>
      </c>
    </row>
    <row r="1339" spans="1:12" ht="22" customHeight="1">
      <c r="A1339" s="3"/>
      <c r="B1339" s="7"/>
      <c r="C1339" s="3"/>
      <c r="D1339" s="3"/>
      <c r="E1339" s="3"/>
      <c r="F1339" s="3"/>
      <c r="G1339" s="3"/>
      <c r="H1339" s="4"/>
      <c r="I1339" s="4"/>
      <c r="J1339" s="3"/>
      <c r="K1339" s="8" t="str">
        <f t="shared" si="20"/>
        <v/>
      </c>
      <c r="L1339" s="1" t="str">
        <f>IF(COUNTA(A1339:J1339)=0,"",IF(OR(AND(C1339&lt;&gt;"Gasto",C1339&lt;&gt;"Pago proveedor",C1339&lt;&gt;"Retiro familiar",C1339&lt;&gt;"Aportación",C1339&lt;&gt;"Pago activo",C1339&lt;&gt;"ISR devengado",C1339&lt;&gt;"Pago ISR",C1339&lt;&gt;"Pago IVA",C1339&lt;&gt;"Compensación ISR",C1339&lt;&gt;"Compensación IVA"),AND(C1339="Gasto",D1339&lt;&gt;"Costos clínicos",D1339&lt;&gt;"Remuneración familiar",D1339&lt;&gt;"Nómina y honorarios",D1339&lt;&gt;"Renta",D1339&lt;&gt;"Marketing",D1339&lt;&gt;"Servicios y software",D1339&lt;&gt;"Mantenimiento",D1339&lt;&gt;"Otros",D1339&lt;&gt;"Intereses")),"Tipo o categoría inválido",IF(COUNTA(A1339:J1339)=0,"",IF(OR(A1339="",B1339="",C1339="",H1339=""),"Faltan datos",IF(COUNTIF($A$7:$A$2006,A1339)&gt;1,"ID duplicado",IF(OR(B1339&lt;DATE(Configuración!$C$5,1,1),B1339&gt;=DATE(Configuración!$C$5+1,1,1)),"Fecha fuera del año",IF(OR(H1339&lt;0,I1339&lt;0),"Revisar signo",IF(AND(C1339&lt;&gt;"Gasto",I1339&lt;&gt;0),"IVA solo en Gasto",IF(AND(C1339="Gasto",D1339=""),"Falta categoría","OK")))))))))</f>
        <v/>
      </c>
    </row>
    <row r="1340" spans="1:12" ht="22" customHeight="1">
      <c r="A1340" s="3"/>
      <c r="B1340" s="7"/>
      <c r="C1340" s="3"/>
      <c r="D1340" s="3"/>
      <c r="E1340" s="3"/>
      <c r="F1340" s="3"/>
      <c r="G1340" s="3"/>
      <c r="H1340" s="4"/>
      <c r="I1340" s="4"/>
      <c r="J1340" s="3"/>
      <c r="K1340" s="8" t="str">
        <f t="shared" si="20"/>
        <v/>
      </c>
      <c r="L1340" s="1" t="str">
        <f>IF(COUNTA(A1340:J1340)=0,"",IF(OR(AND(C1340&lt;&gt;"Gasto",C1340&lt;&gt;"Pago proveedor",C1340&lt;&gt;"Retiro familiar",C1340&lt;&gt;"Aportación",C1340&lt;&gt;"Pago activo",C1340&lt;&gt;"ISR devengado",C1340&lt;&gt;"Pago ISR",C1340&lt;&gt;"Pago IVA",C1340&lt;&gt;"Compensación ISR",C1340&lt;&gt;"Compensación IVA"),AND(C1340="Gasto",D1340&lt;&gt;"Costos clínicos",D1340&lt;&gt;"Remuneración familiar",D1340&lt;&gt;"Nómina y honorarios",D1340&lt;&gt;"Renta",D1340&lt;&gt;"Marketing",D1340&lt;&gt;"Servicios y software",D1340&lt;&gt;"Mantenimiento",D1340&lt;&gt;"Otros",D1340&lt;&gt;"Intereses")),"Tipo o categoría inválido",IF(COUNTA(A1340:J1340)=0,"",IF(OR(A1340="",B1340="",C1340="",H1340=""),"Faltan datos",IF(COUNTIF($A$7:$A$2006,A1340)&gt;1,"ID duplicado",IF(OR(B1340&lt;DATE(Configuración!$C$5,1,1),B1340&gt;=DATE(Configuración!$C$5+1,1,1)),"Fecha fuera del año",IF(OR(H1340&lt;0,I1340&lt;0),"Revisar signo",IF(AND(C1340&lt;&gt;"Gasto",I1340&lt;&gt;0),"IVA solo en Gasto",IF(AND(C1340="Gasto",D1340=""),"Falta categoría","OK")))))))))</f>
        <v/>
      </c>
    </row>
    <row r="1341" spans="1:12" ht="22" customHeight="1">
      <c r="A1341" s="3"/>
      <c r="B1341" s="7"/>
      <c r="C1341" s="3"/>
      <c r="D1341" s="3"/>
      <c r="E1341" s="3"/>
      <c r="F1341" s="3"/>
      <c r="G1341" s="3"/>
      <c r="H1341" s="4"/>
      <c r="I1341" s="4"/>
      <c r="J1341" s="3"/>
      <c r="K1341" s="8" t="str">
        <f t="shared" si="20"/>
        <v/>
      </c>
      <c r="L1341" s="1" t="str">
        <f>IF(COUNTA(A1341:J1341)=0,"",IF(OR(AND(C1341&lt;&gt;"Gasto",C1341&lt;&gt;"Pago proveedor",C1341&lt;&gt;"Retiro familiar",C1341&lt;&gt;"Aportación",C1341&lt;&gt;"Pago activo",C1341&lt;&gt;"ISR devengado",C1341&lt;&gt;"Pago ISR",C1341&lt;&gt;"Pago IVA",C1341&lt;&gt;"Compensación ISR",C1341&lt;&gt;"Compensación IVA"),AND(C1341="Gasto",D1341&lt;&gt;"Costos clínicos",D1341&lt;&gt;"Remuneración familiar",D1341&lt;&gt;"Nómina y honorarios",D1341&lt;&gt;"Renta",D1341&lt;&gt;"Marketing",D1341&lt;&gt;"Servicios y software",D1341&lt;&gt;"Mantenimiento",D1341&lt;&gt;"Otros",D1341&lt;&gt;"Intereses")),"Tipo o categoría inválido",IF(COUNTA(A1341:J1341)=0,"",IF(OR(A1341="",B1341="",C1341="",H1341=""),"Faltan datos",IF(COUNTIF($A$7:$A$2006,A1341)&gt;1,"ID duplicado",IF(OR(B1341&lt;DATE(Configuración!$C$5,1,1),B1341&gt;=DATE(Configuración!$C$5+1,1,1)),"Fecha fuera del año",IF(OR(H1341&lt;0,I1341&lt;0),"Revisar signo",IF(AND(C1341&lt;&gt;"Gasto",I1341&lt;&gt;0),"IVA solo en Gasto",IF(AND(C1341="Gasto",D1341=""),"Falta categoría","OK")))))))))</f>
        <v/>
      </c>
    </row>
    <row r="1342" spans="1:12" ht="22" customHeight="1">
      <c r="A1342" s="3"/>
      <c r="B1342" s="7"/>
      <c r="C1342" s="3"/>
      <c r="D1342" s="3"/>
      <c r="E1342" s="3"/>
      <c r="F1342" s="3"/>
      <c r="G1342" s="3"/>
      <c r="H1342" s="4"/>
      <c r="I1342" s="4"/>
      <c r="J1342" s="3"/>
      <c r="K1342" s="8" t="str">
        <f t="shared" si="20"/>
        <v/>
      </c>
      <c r="L1342" s="1" t="str">
        <f>IF(COUNTA(A1342:J1342)=0,"",IF(OR(AND(C1342&lt;&gt;"Gasto",C1342&lt;&gt;"Pago proveedor",C1342&lt;&gt;"Retiro familiar",C1342&lt;&gt;"Aportación",C1342&lt;&gt;"Pago activo",C1342&lt;&gt;"ISR devengado",C1342&lt;&gt;"Pago ISR",C1342&lt;&gt;"Pago IVA",C1342&lt;&gt;"Compensación ISR",C1342&lt;&gt;"Compensación IVA"),AND(C1342="Gasto",D1342&lt;&gt;"Costos clínicos",D1342&lt;&gt;"Remuneración familiar",D1342&lt;&gt;"Nómina y honorarios",D1342&lt;&gt;"Renta",D1342&lt;&gt;"Marketing",D1342&lt;&gt;"Servicios y software",D1342&lt;&gt;"Mantenimiento",D1342&lt;&gt;"Otros",D1342&lt;&gt;"Intereses")),"Tipo o categoría inválido",IF(COUNTA(A1342:J1342)=0,"",IF(OR(A1342="",B1342="",C1342="",H1342=""),"Faltan datos",IF(COUNTIF($A$7:$A$2006,A1342)&gt;1,"ID duplicado",IF(OR(B1342&lt;DATE(Configuración!$C$5,1,1),B1342&gt;=DATE(Configuración!$C$5+1,1,1)),"Fecha fuera del año",IF(OR(H1342&lt;0,I1342&lt;0),"Revisar signo",IF(AND(C1342&lt;&gt;"Gasto",I1342&lt;&gt;0),"IVA solo en Gasto",IF(AND(C1342="Gasto",D1342=""),"Falta categoría","OK")))))))))</f>
        <v/>
      </c>
    </row>
    <row r="1343" spans="1:12" ht="22" customHeight="1">
      <c r="A1343" s="3"/>
      <c r="B1343" s="7"/>
      <c r="C1343" s="3"/>
      <c r="D1343" s="3"/>
      <c r="E1343" s="3"/>
      <c r="F1343" s="3"/>
      <c r="G1343" s="3"/>
      <c r="H1343" s="4"/>
      <c r="I1343" s="4"/>
      <c r="J1343" s="3"/>
      <c r="K1343" s="8" t="str">
        <f t="shared" si="20"/>
        <v/>
      </c>
      <c r="L1343" s="1" t="str">
        <f>IF(COUNTA(A1343:J1343)=0,"",IF(OR(AND(C1343&lt;&gt;"Gasto",C1343&lt;&gt;"Pago proveedor",C1343&lt;&gt;"Retiro familiar",C1343&lt;&gt;"Aportación",C1343&lt;&gt;"Pago activo",C1343&lt;&gt;"ISR devengado",C1343&lt;&gt;"Pago ISR",C1343&lt;&gt;"Pago IVA",C1343&lt;&gt;"Compensación ISR",C1343&lt;&gt;"Compensación IVA"),AND(C1343="Gasto",D1343&lt;&gt;"Costos clínicos",D1343&lt;&gt;"Remuneración familiar",D1343&lt;&gt;"Nómina y honorarios",D1343&lt;&gt;"Renta",D1343&lt;&gt;"Marketing",D1343&lt;&gt;"Servicios y software",D1343&lt;&gt;"Mantenimiento",D1343&lt;&gt;"Otros",D1343&lt;&gt;"Intereses")),"Tipo o categoría inválido",IF(COUNTA(A1343:J1343)=0,"",IF(OR(A1343="",B1343="",C1343="",H1343=""),"Faltan datos",IF(COUNTIF($A$7:$A$2006,A1343)&gt;1,"ID duplicado",IF(OR(B1343&lt;DATE(Configuración!$C$5,1,1),B1343&gt;=DATE(Configuración!$C$5+1,1,1)),"Fecha fuera del año",IF(OR(H1343&lt;0,I1343&lt;0),"Revisar signo",IF(AND(C1343&lt;&gt;"Gasto",I1343&lt;&gt;0),"IVA solo en Gasto",IF(AND(C1343="Gasto",D1343=""),"Falta categoría","OK")))))))))</f>
        <v/>
      </c>
    </row>
    <row r="1344" spans="1:12" ht="22" customHeight="1">
      <c r="A1344" s="3"/>
      <c r="B1344" s="7"/>
      <c r="C1344" s="3"/>
      <c r="D1344" s="3"/>
      <c r="E1344" s="3"/>
      <c r="F1344" s="3"/>
      <c r="G1344" s="3"/>
      <c r="H1344" s="4"/>
      <c r="I1344" s="4"/>
      <c r="J1344" s="3"/>
      <c r="K1344" s="8" t="str">
        <f t="shared" si="20"/>
        <v/>
      </c>
      <c r="L1344" s="1" t="str">
        <f>IF(COUNTA(A1344:J1344)=0,"",IF(OR(AND(C1344&lt;&gt;"Gasto",C1344&lt;&gt;"Pago proveedor",C1344&lt;&gt;"Retiro familiar",C1344&lt;&gt;"Aportación",C1344&lt;&gt;"Pago activo",C1344&lt;&gt;"ISR devengado",C1344&lt;&gt;"Pago ISR",C1344&lt;&gt;"Pago IVA",C1344&lt;&gt;"Compensación ISR",C1344&lt;&gt;"Compensación IVA"),AND(C1344="Gasto",D1344&lt;&gt;"Costos clínicos",D1344&lt;&gt;"Remuneración familiar",D1344&lt;&gt;"Nómina y honorarios",D1344&lt;&gt;"Renta",D1344&lt;&gt;"Marketing",D1344&lt;&gt;"Servicios y software",D1344&lt;&gt;"Mantenimiento",D1344&lt;&gt;"Otros",D1344&lt;&gt;"Intereses")),"Tipo o categoría inválido",IF(COUNTA(A1344:J1344)=0,"",IF(OR(A1344="",B1344="",C1344="",H1344=""),"Faltan datos",IF(COUNTIF($A$7:$A$2006,A1344)&gt;1,"ID duplicado",IF(OR(B1344&lt;DATE(Configuración!$C$5,1,1),B1344&gt;=DATE(Configuración!$C$5+1,1,1)),"Fecha fuera del año",IF(OR(H1344&lt;0,I1344&lt;0),"Revisar signo",IF(AND(C1344&lt;&gt;"Gasto",I1344&lt;&gt;0),"IVA solo en Gasto",IF(AND(C1344="Gasto",D1344=""),"Falta categoría","OK")))))))))</f>
        <v/>
      </c>
    </row>
    <row r="1345" spans="1:12" ht="22" customHeight="1">
      <c r="A1345" s="3"/>
      <c r="B1345" s="7"/>
      <c r="C1345" s="3"/>
      <c r="D1345" s="3"/>
      <c r="E1345" s="3"/>
      <c r="F1345" s="3"/>
      <c r="G1345" s="3"/>
      <c r="H1345" s="4"/>
      <c r="I1345" s="4"/>
      <c r="J1345" s="3"/>
      <c r="K1345" s="8" t="str">
        <f t="shared" si="20"/>
        <v/>
      </c>
      <c r="L1345" s="1" t="str">
        <f>IF(COUNTA(A1345:J1345)=0,"",IF(OR(AND(C1345&lt;&gt;"Gasto",C1345&lt;&gt;"Pago proveedor",C1345&lt;&gt;"Retiro familiar",C1345&lt;&gt;"Aportación",C1345&lt;&gt;"Pago activo",C1345&lt;&gt;"ISR devengado",C1345&lt;&gt;"Pago ISR",C1345&lt;&gt;"Pago IVA",C1345&lt;&gt;"Compensación ISR",C1345&lt;&gt;"Compensación IVA"),AND(C1345="Gasto",D1345&lt;&gt;"Costos clínicos",D1345&lt;&gt;"Remuneración familiar",D1345&lt;&gt;"Nómina y honorarios",D1345&lt;&gt;"Renta",D1345&lt;&gt;"Marketing",D1345&lt;&gt;"Servicios y software",D1345&lt;&gt;"Mantenimiento",D1345&lt;&gt;"Otros",D1345&lt;&gt;"Intereses")),"Tipo o categoría inválido",IF(COUNTA(A1345:J1345)=0,"",IF(OR(A1345="",B1345="",C1345="",H1345=""),"Faltan datos",IF(COUNTIF($A$7:$A$2006,A1345)&gt;1,"ID duplicado",IF(OR(B1345&lt;DATE(Configuración!$C$5,1,1),B1345&gt;=DATE(Configuración!$C$5+1,1,1)),"Fecha fuera del año",IF(OR(H1345&lt;0,I1345&lt;0),"Revisar signo",IF(AND(C1345&lt;&gt;"Gasto",I1345&lt;&gt;0),"IVA solo en Gasto",IF(AND(C1345="Gasto",D1345=""),"Falta categoría","OK")))))))))</f>
        <v/>
      </c>
    </row>
    <row r="1346" spans="1:12" ht="22" customHeight="1">
      <c r="A1346" s="3"/>
      <c r="B1346" s="7"/>
      <c r="C1346" s="3"/>
      <c r="D1346" s="3"/>
      <c r="E1346" s="3"/>
      <c r="F1346" s="3"/>
      <c r="G1346" s="3"/>
      <c r="H1346" s="4"/>
      <c r="I1346" s="4"/>
      <c r="J1346" s="3"/>
      <c r="K1346" s="8" t="str">
        <f t="shared" si="20"/>
        <v/>
      </c>
      <c r="L1346" s="1" t="str">
        <f>IF(COUNTA(A1346:J1346)=0,"",IF(OR(AND(C1346&lt;&gt;"Gasto",C1346&lt;&gt;"Pago proveedor",C1346&lt;&gt;"Retiro familiar",C1346&lt;&gt;"Aportación",C1346&lt;&gt;"Pago activo",C1346&lt;&gt;"ISR devengado",C1346&lt;&gt;"Pago ISR",C1346&lt;&gt;"Pago IVA",C1346&lt;&gt;"Compensación ISR",C1346&lt;&gt;"Compensación IVA"),AND(C1346="Gasto",D1346&lt;&gt;"Costos clínicos",D1346&lt;&gt;"Remuneración familiar",D1346&lt;&gt;"Nómina y honorarios",D1346&lt;&gt;"Renta",D1346&lt;&gt;"Marketing",D1346&lt;&gt;"Servicios y software",D1346&lt;&gt;"Mantenimiento",D1346&lt;&gt;"Otros",D1346&lt;&gt;"Intereses")),"Tipo o categoría inválido",IF(COUNTA(A1346:J1346)=0,"",IF(OR(A1346="",B1346="",C1346="",H1346=""),"Faltan datos",IF(COUNTIF($A$7:$A$2006,A1346)&gt;1,"ID duplicado",IF(OR(B1346&lt;DATE(Configuración!$C$5,1,1),B1346&gt;=DATE(Configuración!$C$5+1,1,1)),"Fecha fuera del año",IF(OR(H1346&lt;0,I1346&lt;0),"Revisar signo",IF(AND(C1346&lt;&gt;"Gasto",I1346&lt;&gt;0),"IVA solo en Gasto",IF(AND(C1346="Gasto",D1346=""),"Falta categoría","OK")))))))))</f>
        <v/>
      </c>
    </row>
    <row r="1347" spans="1:12" ht="22" customHeight="1">
      <c r="A1347" s="3"/>
      <c r="B1347" s="7"/>
      <c r="C1347" s="3"/>
      <c r="D1347" s="3"/>
      <c r="E1347" s="3"/>
      <c r="F1347" s="3"/>
      <c r="G1347" s="3"/>
      <c r="H1347" s="4"/>
      <c r="I1347" s="4"/>
      <c r="J1347" s="3"/>
      <c r="K1347" s="8" t="str">
        <f t="shared" si="20"/>
        <v/>
      </c>
      <c r="L1347" s="1" t="str">
        <f>IF(COUNTA(A1347:J1347)=0,"",IF(OR(AND(C1347&lt;&gt;"Gasto",C1347&lt;&gt;"Pago proveedor",C1347&lt;&gt;"Retiro familiar",C1347&lt;&gt;"Aportación",C1347&lt;&gt;"Pago activo",C1347&lt;&gt;"ISR devengado",C1347&lt;&gt;"Pago ISR",C1347&lt;&gt;"Pago IVA",C1347&lt;&gt;"Compensación ISR",C1347&lt;&gt;"Compensación IVA"),AND(C1347="Gasto",D1347&lt;&gt;"Costos clínicos",D1347&lt;&gt;"Remuneración familiar",D1347&lt;&gt;"Nómina y honorarios",D1347&lt;&gt;"Renta",D1347&lt;&gt;"Marketing",D1347&lt;&gt;"Servicios y software",D1347&lt;&gt;"Mantenimiento",D1347&lt;&gt;"Otros",D1347&lt;&gt;"Intereses")),"Tipo o categoría inválido",IF(COUNTA(A1347:J1347)=0,"",IF(OR(A1347="",B1347="",C1347="",H1347=""),"Faltan datos",IF(COUNTIF($A$7:$A$2006,A1347)&gt;1,"ID duplicado",IF(OR(B1347&lt;DATE(Configuración!$C$5,1,1),B1347&gt;=DATE(Configuración!$C$5+1,1,1)),"Fecha fuera del año",IF(OR(H1347&lt;0,I1347&lt;0),"Revisar signo",IF(AND(C1347&lt;&gt;"Gasto",I1347&lt;&gt;0),"IVA solo en Gasto",IF(AND(C1347="Gasto",D1347=""),"Falta categoría","OK")))))))))</f>
        <v/>
      </c>
    </row>
    <row r="1348" spans="1:12" ht="22" customHeight="1">
      <c r="A1348" s="3"/>
      <c r="B1348" s="7"/>
      <c r="C1348" s="3"/>
      <c r="D1348" s="3"/>
      <c r="E1348" s="3"/>
      <c r="F1348" s="3"/>
      <c r="G1348" s="3"/>
      <c r="H1348" s="4"/>
      <c r="I1348" s="4"/>
      <c r="J1348" s="3"/>
      <c r="K1348" s="8" t="str">
        <f t="shared" si="20"/>
        <v/>
      </c>
      <c r="L1348" s="1" t="str">
        <f>IF(COUNTA(A1348:J1348)=0,"",IF(OR(AND(C1348&lt;&gt;"Gasto",C1348&lt;&gt;"Pago proveedor",C1348&lt;&gt;"Retiro familiar",C1348&lt;&gt;"Aportación",C1348&lt;&gt;"Pago activo",C1348&lt;&gt;"ISR devengado",C1348&lt;&gt;"Pago ISR",C1348&lt;&gt;"Pago IVA",C1348&lt;&gt;"Compensación ISR",C1348&lt;&gt;"Compensación IVA"),AND(C1348="Gasto",D1348&lt;&gt;"Costos clínicos",D1348&lt;&gt;"Remuneración familiar",D1348&lt;&gt;"Nómina y honorarios",D1348&lt;&gt;"Renta",D1348&lt;&gt;"Marketing",D1348&lt;&gt;"Servicios y software",D1348&lt;&gt;"Mantenimiento",D1348&lt;&gt;"Otros",D1348&lt;&gt;"Intereses")),"Tipo o categoría inválido",IF(COUNTA(A1348:J1348)=0,"",IF(OR(A1348="",B1348="",C1348="",H1348=""),"Faltan datos",IF(COUNTIF($A$7:$A$2006,A1348)&gt;1,"ID duplicado",IF(OR(B1348&lt;DATE(Configuración!$C$5,1,1),B1348&gt;=DATE(Configuración!$C$5+1,1,1)),"Fecha fuera del año",IF(OR(H1348&lt;0,I1348&lt;0),"Revisar signo",IF(AND(C1348&lt;&gt;"Gasto",I1348&lt;&gt;0),"IVA solo en Gasto",IF(AND(C1348="Gasto",D1348=""),"Falta categoría","OK")))))))))</f>
        <v/>
      </c>
    </row>
    <row r="1349" spans="1:12" ht="22" customHeight="1">
      <c r="A1349" s="3"/>
      <c r="B1349" s="7"/>
      <c r="C1349" s="3"/>
      <c r="D1349" s="3"/>
      <c r="E1349" s="3"/>
      <c r="F1349" s="3"/>
      <c r="G1349" s="3"/>
      <c r="H1349" s="4"/>
      <c r="I1349" s="4"/>
      <c r="J1349" s="3"/>
      <c r="K1349" s="8" t="str">
        <f t="shared" si="20"/>
        <v/>
      </c>
      <c r="L1349" s="1" t="str">
        <f>IF(COUNTA(A1349:J1349)=0,"",IF(OR(AND(C1349&lt;&gt;"Gasto",C1349&lt;&gt;"Pago proveedor",C1349&lt;&gt;"Retiro familiar",C1349&lt;&gt;"Aportación",C1349&lt;&gt;"Pago activo",C1349&lt;&gt;"ISR devengado",C1349&lt;&gt;"Pago ISR",C1349&lt;&gt;"Pago IVA",C1349&lt;&gt;"Compensación ISR",C1349&lt;&gt;"Compensación IVA"),AND(C1349="Gasto",D1349&lt;&gt;"Costos clínicos",D1349&lt;&gt;"Remuneración familiar",D1349&lt;&gt;"Nómina y honorarios",D1349&lt;&gt;"Renta",D1349&lt;&gt;"Marketing",D1349&lt;&gt;"Servicios y software",D1349&lt;&gt;"Mantenimiento",D1349&lt;&gt;"Otros",D1349&lt;&gt;"Intereses")),"Tipo o categoría inválido",IF(COUNTA(A1349:J1349)=0,"",IF(OR(A1349="",B1349="",C1349="",H1349=""),"Faltan datos",IF(COUNTIF($A$7:$A$2006,A1349)&gt;1,"ID duplicado",IF(OR(B1349&lt;DATE(Configuración!$C$5,1,1),B1349&gt;=DATE(Configuración!$C$5+1,1,1)),"Fecha fuera del año",IF(OR(H1349&lt;0,I1349&lt;0),"Revisar signo",IF(AND(C1349&lt;&gt;"Gasto",I1349&lt;&gt;0),"IVA solo en Gasto",IF(AND(C1349="Gasto",D1349=""),"Falta categoría","OK")))))))))</f>
        <v/>
      </c>
    </row>
    <row r="1350" spans="1:12" ht="22" customHeight="1">
      <c r="A1350" s="3"/>
      <c r="B1350" s="7"/>
      <c r="C1350" s="3"/>
      <c r="D1350" s="3"/>
      <c r="E1350" s="3"/>
      <c r="F1350" s="3"/>
      <c r="G1350" s="3"/>
      <c r="H1350" s="4"/>
      <c r="I1350" s="4"/>
      <c r="J1350" s="3"/>
      <c r="K1350" s="8" t="str">
        <f t="shared" si="20"/>
        <v/>
      </c>
      <c r="L1350" s="1" t="str">
        <f>IF(COUNTA(A1350:J1350)=0,"",IF(OR(AND(C1350&lt;&gt;"Gasto",C1350&lt;&gt;"Pago proveedor",C1350&lt;&gt;"Retiro familiar",C1350&lt;&gt;"Aportación",C1350&lt;&gt;"Pago activo",C1350&lt;&gt;"ISR devengado",C1350&lt;&gt;"Pago ISR",C1350&lt;&gt;"Pago IVA",C1350&lt;&gt;"Compensación ISR",C1350&lt;&gt;"Compensación IVA"),AND(C1350="Gasto",D1350&lt;&gt;"Costos clínicos",D1350&lt;&gt;"Remuneración familiar",D1350&lt;&gt;"Nómina y honorarios",D1350&lt;&gt;"Renta",D1350&lt;&gt;"Marketing",D1350&lt;&gt;"Servicios y software",D1350&lt;&gt;"Mantenimiento",D1350&lt;&gt;"Otros",D1350&lt;&gt;"Intereses")),"Tipo o categoría inválido",IF(COUNTA(A1350:J1350)=0,"",IF(OR(A1350="",B1350="",C1350="",H1350=""),"Faltan datos",IF(COUNTIF($A$7:$A$2006,A1350)&gt;1,"ID duplicado",IF(OR(B1350&lt;DATE(Configuración!$C$5,1,1),B1350&gt;=DATE(Configuración!$C$5+1,1,1)),"Fecha fuera del año",IF(OR(H1350&lt;0,I1350&lt;0),"Revisar signo",IF(AND(C1350&lt;&gt;"Gasto",I1350&lt;&gt;0),"IVA solo en Gasto",IF(AND(C1350="Gasto",D1350=""),"Falta categoría","OK")))))))))</f>
        <v/>
      </c>
    </row>
    <row r="1351" spans="1:12" ht="22" customHeight="1">
      <c r="A1351" s="3"/>
      <c r="B1351" s="7"/>
      <c r="C1351" s="3"/>
      <c r="D1351" s="3"/>
      <c r="E1351" s="3"/>
      <c r="F1351" s="3"/>
      <c r="G1351" s="3"/>
      <c r="H1351" s="4"/>
      <c r="I1351" s="4"/>
      <c r="J1351" s="3"/>
      <c r="K1351" s="8" t="str">
        <f t="shared" ref="K1351:K1414" si="21">IF(A1351="","",H1351+I1351)</f>
        <v/>
      </c>
      <c r="L1351" s="1" t="str">
        <f>IF(COUNTA(A1351:J1351)=0,"",IF(OR(AND(C1351&lt;&gt;"Gasto",C1351&lt;&gt;"Pago proveedor",C1351&lt;&gt;"Retiro familiar",C1351&lt;&gt;"Aportación",C1351&lt;&gt;"Pago activo",C1351&lt;&gt;"ISR devengado",C1351&lt;&gt;"Pago ISR",C1351&lt;&gt;"Pago IVA",C1351&lt;&gt;"Compensación ISR",C1351&lt;&gt;"Compensación IVA"),AND(C1351="Gasto",D1351&lt;&gt;"Costos clínicos",D1351&lt;&gt;"Remuneración familiar",D1351&lt;&gt;"Nómina y honorarios",D1351&lt;&gt;"Renta",D1351&lt;&gt;"Marketing",D1351&lt;&gt;"Servicios y software",D1351&lt;&gt;"Mantenimiento",D1351&lt;&gt;"Otros",D1351&lt;&gt;"Intereses")),"Tipo o categoría inválido",IF(COUNTA(A1351:J1351)=0,"",IF(OR(A1351="",B1351="",C1351="",H1351=""),"Faltan datos",IF(COUNTIF($A$7:$A$2006,A1351)&gt;1,"ID duplicado",IF(OR(B1351&lt;DATE(Configuración!$C$5,1,1),B1351&gt;=DATE(Configuración!$C$5+1,1,1)),"Fecha fuera del año",IF(OR(H1351&lt;0,I1351&lt;0),"Revisar signo",IF(AND(C1351&lt;&gt;"Gasto",I1351&lt;&gt;0),"IVA solo en Gasto",IF(AND(C1351="Gasto",D1351=""),"Falta categoría","OK")))))))))</f>
        <v/>
      </c>
    </row>
    <row r="1352" spans="1:12" ht="22" customHeight="1">
      <c r="A1352" s="3"/>
      <c r="B1352" s="7"/>
      <c r="C1352" s="3"/>
      <c r="D1352" s="3"/>
      <c r="E1352" s="3"/>
      <c r="F1352" s="3"/>
      <c r="G1352" s="3"/>
      <c r="H1352" s="4"/>
      <c r="I1352" s="4"/>
      <c r="J1352" s="3"/>
      <c r="K1352" s="8" t="str">
        <f t="shared" si="21"/>
        <v/>
      </c>
      <c r="L1352" s="1" t="str">
        <f>IF(COUNTA(A1352:J1352)=0,"",IF(OR(AND(C1352&lt;&gt;"Gasto",C1352&lt;&gt;"Pago proveedor",C1352&lt;&gt;"Retiro familiar",C1352&lt;&gt;"Aportación",C1352&lt;&gt;"Pago activo",C1352&lt;&gt;"ISR devengado",C1352&lt;&gt;"Pago ISR",C1352&lt;&gt;"Pago IVA",C1352&lt;&gt;"Compensación ISR",C1352&lt;&gt;"Compensación IVA"),AND(C1352="Gasto",D1352&lt;&gt;"Costos clínicos",D1352&lt;&gt;"Remuneración familiar",D1352&lt;&gt;"Nómina y honorarios",D1352&lt;&gt;"Renta",D1352&lt;&gt;"Marketing",D1352&lt;&gt;"Servicios y software",D1352&lt;&gt;"Mantenimiento",D1352&lt;&gt;"Otros",D1352&lt;&gt;"Intereses")),"Tipo o categoría inválido",IF(COUNTA(A1352:J1352)=0,"",IF(OR(A1352="",B1352="",C1352="",H1352=""),"Faltan datos",IF(COUNTIF($A$7:$A$2006,A1352)&gt;1,"ID duplicado",IF(OR(B1352&lt;DATE(Configuración!$C$5,1,1),B1352&gt;=DATE(Configuración!$C$5+1,1,1)),"Fecha fuera del año",IF(OR(H1352&lt;0,I1352&lt;0),"Revisar signo",IF(AND(C1352&lt;&gt;"Gasto",I1352&lt;&gt;0),"IVA solo en Gasto",IF(AND(C1352="Gasto",D1352=""),"Falta categoría","OK")))))))))</f>
        <v/>
      </c>
    </row>
    <row r="1353" spans="1:12" ht="22" customHeight="1">
      <c r="A1353" s="3"/>
      <c r="B1353" s="7"/>
      <c r="C1353" s="3"/>
      <c r="D1353" s="3"/>
      <c r="E1353" s="3"/>
      <c r="F1353" s="3"/>
      <c r="G1353" s="3"/>
      <c r="H1353" s="4"/>
      <c r="I1353" s="4"/>
      <c r="J1353" s="3"/>
      <c r="K1353" s="8" t="str">
        <f t="shared" si="21"/>
        <v/>
      </c>
      <c r="L1353" s="1" t="str">
        <f>IF(COUNTA(A1353:J1353)=0,"",IF(OR(AND(C1353&lt;&gt;"Gasto",C1353&lt;&gt;"Pago proveedor",C1353&lt;&gt;"Retiro familiar",C1353&lt;&gt;"Aportación",C1353&lt;&gt;"Pago activo",C1353&lt;&gt;"ISR devengado",C1353&lt;&gt;"Pago ISR",C1353&lt;&gt;"Pago IVA",C1353&lt;&gt;"Compensación ISR",C1353&lt;&gt;"Compensación IVA"),AND(C1353="Gasto",D1353&lt;&gt;"Costos clínicos",D1353&lt;&gt;"Remuneración familiar",D1353&lt;&gt;"Nómina y honorarios",D1353&lt;&gt;"Renta",D1353&lt;&gt;"Marketing",D1353&lt;&gt;"Servicios y software",D1353&lt;&gt;"Mantenimiento",D1353&lt;&gt;"Otros",D1353&lt;&gt;"Intereses")),"Tipo o categoría inválido",IF(COUNTA(A1353:J1353)=0,"",IF(OR(A1353="",B1353="",C1353="",H1353=""),"Faltan datos",IF(COUNTIF($A$7:$A$2006,A1353)&gt;1,"ID duplicado",IF(OR(B1353&lt;DATE(Configuración!$C$5,1,1),B1353&gt;=DATE(Configuración!$C$5+1,1,1)),"Fecha fuera del año",IF(OR(H1353&lt;0,I1353&lt;0),"Revisar signo",IF(AND(C1353&lt;&gt;"Gasto",I1353&lt;&gt;0),"IVA solo en Gasto",IF(AND(C1353="Gasto",D1353=""),"Falta categoría","OK")))))))))</f>
        <v/>
      </c>
    </row>
    <row r="1354" spans="1:12" ht="22" customHeight="1">
      <c r="A1354" s="3"/>
      <c r="B1354" s="7"/>
      <c r="C1354" s="3"/>
      <c r="D1354" s="3"/>
      <c r="E1354" s="3"/>
      <c r="F1354" s="3"/>
      <c r="G1354" s="3"/>
      <c r="H1354" s="4"/>
      <c r="I1354" s="4"/>
      <c r="J1354" s="3"/>
      <c r="K1354" s="8" t="str">
        <f t="shared" si="21"/>
        <v/>
      </c>
      <c r="L1354" s="1" t="str">
        <f>IF(COUNTA(A1354:J1354)=0,"",IF(OR(AND(C1354&lt;&gt;"Gasto",C1354&lt;&gt;"Pago proveedor",C1354&lt;&gt;"Retiro familiar",C1354&lt;&gt;"Aportación",C1354&lt;&gt;"Pago activo",C1354&lt;&gt;"ISR devengado",C1354&lt;&gt;"Pago ISR",C1354&lt;&gt;"Pago IVA",C1354&lt;&gt;"Compensación ISR",C1354&lt;&gt;"Compensación IVA"),AND(C1354="Gasto",D1354&lt;&gt;"Costos clínicos",D1354&lt;&gt;"Remuneración familiar",D1354&lt;&gt;"Nómina y honorarios",D1354&lt;&gt;"Renta",D1354&lt;&gt;"Marketing",D1354&lt;&gt;"Servicios y software",D1354&lt;&gt;"Mantenimiento",D1354&lt;&gt;"Otros",D1354&lt;&gt;"Intereses")),"Tipo o categoría inválido",IF(COUNTA(A1354:J1354)=0,"",IF(OR(A1354="",B1354="",C1354="",H1354=""),"Faltan datos",IF(COUNTIF($A$7:$A$2006,A1354)&gt;1,"ID duplicado",IF(OR(B1354&lt;DATE(Configuración!$C$5,1,1),B1354&gt;=DATE(Configuración!$C$5+1,1,1)),"Fecha fuera del año",IF(OR(H1354&lt;0,I1354&lt;0),"Revisar signo",IF(AND(C1354&lt;&gt;"Gasto",I1354&lt;&gt;0),"IVA solo en Gasto",IF(AND(C1354="Gasto",D1354=""),"Falta categoría","OK")))))))))</f>
        <v/>
      </c>
    </row>
    <row r="1355" spans="1:12" ht="22" customHeight="1">
      <c r="A1355" s="3"/>
      <c r="B1355" s="7"/>
      <c r="C1355" s="3"/>
      <c r="D1355" s="3"/>
      <c r="E1355" s="3"/>
      <c r="F1355" s="3"/>
      <c r="G1355" s="3"/>
      <c r="H1355" s="4"/>
      <c r="I1355" s="4"/>
      <c r="J1355" s="3"/>
      <c r="K1355" s="8" t="str">
        <f t="shared" si="21"/>
        <v/>
      </c>
      <c r="L1355" s="1" t="str">
        <f>IF(COUNTA(A1355:J1355)=0,"",IF(OR(AND(C1355&lt;&gt;"Gasto",C1355&lt;&gt;"Pago proveedor",C1355&lt;&gt;"Retiro familiar",C1355&lt;&gt;"Aportación",C1355&lt;&gt;"Pago activo",C1355&lt;&gt;"ISR devengado",C1355&lt;&gt;"Pago ISR",C1355&lt;&gt;"Pago IVA",C1355&lt;&gt;"Compensación ISR",C1355&lt;&gt;"Compensación IVA"),AND(C1355="Gasto",D1355&lt;&gt;"Costos clínicos",D1355&lt;&gt;"Remuneración familiar",D1355&lt;&gt;"Nómina y honorarios",D1355&lt;&gt;"Renta",D1355&lt;&gt;"Marketing",D1355&lt;&gt;"Servicios y software",D1355&lt;&gt;"Mantenimiento",D1355&lt;&gt;"Otros",D1355&lt;&gt;"Intereses")),"Tipo o categoría inválido",IF(COUNTA(A1355:J1355)=0,"",IF(OR(A1355="",B1355="",C1355="",H1355=""),"Faltan datos",IF(COUNTIF($A$7:$A$2006,A1355)&gt;1,"ID duplicado",IF(OR(B1355&lt;DATE(Configuración!$C$5,1,1),B1355&gt;=DATE(Configuración!$C$5+1,1,1)),"Fecha fuera del año",IF(OR(H1355&lt;0,I1355&lt;0),"Revisar signo",IF(AND(C1355&lt;&gt;"Gasto",I1355&lt;&gt;0),"IVA solo en Gasto",IF(AND(C1355="Gasto",D1355=""),"Falta categoría","OK")))))))))</f>
        <v/>
      </c>
    </row>
    <row r="1356" spans="1:12" ht="22" customHeight="1">
      <c r="A1356" s="3"/>
      <c r="B1356" s="7"/>
      <c r="C1356" s="3"/>
      <c r="D1356" s="3"/>
      <c r="E1356" s="3"/>
      <c r="F1356" s="3"/>
      <c r="G1356" s="3"/>
      <c r="H1356" s="4"/>
      <c r="I1356" s="4"/>
      <c r="J1356" s="3"/>
      <c r="K1356" s="8" t="str">
        <f t="shared" si="21"/>
        <v/>
      </c>
      <c r="L1356" s="1" t="str">
        <f>IF(COUNTA(A1356:J1356)=0,"",IF(OR(AND(C1356&lt;&gt;"Gasto",C1356&lt;&gt;"Pago proveedor",C1356&lt;&gt;"Retiro familiar",C1356&lt;&gt;"Aportación",C1356&lt;&gt;"Pago activo",C1356&lt;&gt;"ISR devengado",C1356&lt;&gt;"Pago ISR",C1356&lt;&gt;"Pago IVA",C1356&lt;&gt;"Compensación ISR",C1356&lt;&gt;"Compensación IVA"),AND(C1356="Gasto",D1356&lt;&gt;"Costos clínicos",D1356&lt;&gt;"Remuneración familiar",D1356&lt;&gt;"Nómina y honorarios",D1356&lt;&gt;"Renta",D1356&lt;&gt;"Marketing",D1356&lt;&gt;"Servicios y software",D1356&lt;&gt;"Mantenimiento",D1356&lt;&gt;"Otros",D1356&lt;&gt;"Intereses")),"Tipo o categoría inválido",IF(COUNTA(A1356:J1356)=0,"",IF(OR(A1356="",B1356="",C1356="",H1356=""),"Faltan datos",IF(COUNTIF($A$7:$A$2006,A1356)&gt;1,"ID duplicado",IF(OR(B1356&lt;DATE(Configuración!$C$5,1,1),B1356&gt;=DATE(Configuración!$C$5+1,1,1)),"Fecha fuera del año",IF(OR(H1356&lt;0,I1356&lt;0),"Revisar signo",IF(AND(C1356&lt;&gt;"Gasto",I1356&lt;&gt;0),"IVA solo en Gasto",IF(AND(C1356="Gasto",D1356=""),"Falta categoría","OK")))))))))</f>
        <v/>
      </c>
    </row>
    <row r="1357" spans="1:12" ht="22" customHeight="1">
      <c r="A1357" s="3"/>
      <c r="B1357" s="7"/>
      <c r="C1357" s="3"/>
      <c r="D1357" s="3"/>
      <c r="E1357" s="3"/>
      <c r="F1357" s="3"/>
      <c r="G1357" s="3"/>
      <c r="H1357" s="4"/>
      <c r="I1357" s="4"/>
      <c r="J1357" s="3"/>
      <c r="K1357" s="8" t="str">
        <f t="shared" si="21"/>
        <v/>
      </c>
      <c r="L1357" s="1" t="str">
        <f>IF(COUNTA(A1357:J1357)=0,"",IF(OR(AND(C1357&lt;&gt;"Gasto",C1357&lt;&gt;"Pago proveedor",C1357&lt;&gt;"Retiro familiar",C1357&lt;&gt;"Aportación",C1357&lt;&gt;"Pago activo",C1357&lt;&gt;"ISR devengado",C1357&lt;&gt;"Pago ISR",C1357&lt;&gt;"Pago IVA",C1357&lt;&gt;"Compensación ISR",C1357&lt;&gt;"Compensación IVA"),AND(C1357="Gasto",D1357&lt;&gt;"Costos clínicos",D1357&lt;&gt;"Remuneración familiar",D1357&lt;&gt;"Nómina y honorarios",D1357&lt;&gt;"Renta",D1357&lt;&gt;"Marketing",D1357&lt;&gt;"Servicios y software",D1357&lt;&gt;"Mantenimiento",D1357&lt;&gt;"Otros",D1357&lt;&gt;"Intereses")),"Tipo o categoría inválido",IF(COUNTA(A1357:J1357)=0,"",IF(OR(A1357="",B1357="",C1357="",H1357=""),"Faltan datos",IF(COUNTIF($A$7:$A$2006,A1357)&gt;1,"ID duplicado",IF(OR(B1357&lt;DATE(Configuración!$C$5,1,1),B1357&gt;=DATE(Configuración!$C$5+1,1,1)),"Fecha fuera del año",IF(OR(H1357&lt;0,I1357&lt;0),"Revisar signo",IF(AND(C1357&lt;&gt;"Gasto",I1357&lt;&gt;0),"IVA solo en Gasto",IF(AND(C1357="Gasto",D1357=""),"Falta categoría","OK")))))))))</f>
        <v/>
      </c>
    </row>
    <row r="1358" spans="1:12" ht="22" customHeight="1">
      <c r="A1358" s="3"/>
      <c r="B1358" s="7"/>
      <c r="C1358" s="3"/>
      <c r="D1358" s="3"/>
      <c r="E1358" s="3"/>
      <c r="F1358" s="3"/>
      <c r="G1358" s="3"/>
      <c r="H1358" s="4"/>
      <c r="I1358" s="4"/>
      <c r="J1358" s="3"/>
      <c r="K1358" s="8" t="str">
        <f t="shared" si="21"/>
        <v/>
      </c>
      <c r="L1358" s="1" t="str">
        <f>IF(COUNTA(A1358:J1358)=0,"",IF(OR(AND(C1358&lt;&gt;"Gasto",C1358&lt;&gt;"Pago proveedor",C1358&lt;&gt;"Retiro familiar",C1358&lt;&gt;"Aportación",C1358&lt;&gt;"Pago activo",C1358&lt;&gt;"ISR devengado",C1358&lt;&gt;"Pago ISR",C1358&lt;&gt;"Pago IVA",C1358&lt;&gt;"Compensación ISR",C1358&lt;&gt;"Compensación IVA"),AND(C1358="Gasto",D1358&lt;&gt;"Costos clínicos",D1358&lt;&gt;"Remuneración familiar",D1358&lt;&gt;"Nómina y honorarios",D1358&lt;&gt;"Renta",D1358&lt;&gt;"Marketing",D1358&lt;&gt;"Servicios y software",D1358&lt;&gt;"Mantenimiento",D1358&lt;&gt;"Otros",D1358&lt;&gt;"Intereses")),"Tipo o categoría inválido",IF(COUNTA(A1358:J1358)=0,"",IF(OR(A1358="",B1358="",C1358="",H1358=""),"Faltan datos",IF(COUNTIF($A$7:$A$2006,A1358)&gt;1,"ID duplicado",IF(OR(B1358&lt;DATE(Configuración!$C$5,1,1),B1358&gt;=DATE(Configuración!$C$5+1,1,1)),"Fecha fuera del año",IF(OR(H1358&lt;0,I1358&lt;0),"Revisar signo",IF(AND(C1358&lt;&gt;"Gasto",I1358&lt;&gt;0),"IVA solo en Gasto",IF(AND(C1358="Gasto",D1358=""),"Falta categoría","OK")))))))))</f>
        <v/>
      </c>
    </row>
    <row r="1359" spans="1:12" ht="22" customHeight="1">
      <c r="A1359" s="3"/>
      <c r="B1359" s="7"/>
      <c r="C1359" s="3"/>
      <c r="D1359" s="3"/>
      <c r="E1359" s="3"/>
      <c r="F1359" s="3"/>
      <c r="G1359" s="3"/>
      <c r="H1359" s="4"/>
      <c r="I1359" s="4"/>
      <c r="J1359" s="3"/>
      <c r="K1359" s="8" t="str">
        <f t="shared" si="21"/>
        <v/>
      </c>
      <c r="L1359" s="1" t="str">
        <f>IF(COUNTA(A1359:J1359)=0,"",IF(OR(AND(C1359&lt;&gt;"Gasto",C1359&lt;&gt;"Pago proveedor",C1359&lt;&gt;"Retiro familiar",C1359&lt;&gt;"Aportación",C1359&lt;&gt;"Pago activo",C1359&lt;&gt;"ISR devengado",C1359&lt;&gt;"Pago ISR",C1359&lt;&gt;"Pago IVA",C1359&lt;&gt;"Compensación ISR",C1359&lt;&gt;"Compensación IVA"),AND(C1359="Gasto",D1359&lt;&gt;"Costos clínicos",D1359&lt;&gt;"Remuneración familiar",D1359&lt;&gt;"Nómina y honorarios",D1359&lt;&gt;"Renta",D1359&lt;&gt;"Marketing",D1359&lt;&gt;"Servicios y software",D1359&lt;&gt;"Mantenimiento",D1359&lt;&gt;"Otros",D1359&lt;&gt;"Intereses")),"Tipo o categoría inválido",IF(COUNTA(A1359:J1359)=0,"",IF(OR(A1359="",B1359="",C1359="",H1359=""),"Faltan datos",IF(COUNTIF($A$7:$A$2006,A1359)&gt;1,"ID duplicado",IF(OR(B1359&lt;DATE(Configuración!$C$5,1,1),B1359&gt;=DATE(Configuración!$C$5+1,1,1)),"Fecha fuera del año",IF(OR(H1359&lt;0,I1359&lt;0),"Revisar signo",IF(AND(C1359&lt;&gt;"Gasto",I1359&lt;&gt;0),"IVA solo en Gasto",IF(AND(C1359="Gasto",D1359=""),"Falta categoría","OK")))))))))</f>
        <v/>
      </c>
    </row>
    <row r="1360" spans="1:12" ht="22" customHeight="1">
      <c r="A1360" s="3"/>
      <c r="B1360" s="7"/>
      <c r="C1360" s="3"/>
      <c r="D1360" s="3"/>
      <c r="E1360" s="3"/>
      <c r="F1360" s="3"/>
      <c r="G1360" s="3"/>
      <c r="H1360" s="4"/>
      <c r="I1360" s="4"/>
      <c r="J1360" s="3"/>
      <c r="K1360" s="8" t="str">
        <f t="shared" si="21"/>
        <v/>
      </c>
      <c r="L1360" s="1" t="str">
        <f>IF(COUNTA(A1360:J1360)=0,"",IF(OR(AND(C1360&lt;&gt;"Gasto",C1360&lt;&gt;"Pago proveedor",C1360&lt;&gt;"Retiro familiar",C1360&lt;&gt;"Aportación",C1360&lt;&gt;"Pago activo",C1360&lt;&gt;"ISR devengado",C1360&lt;&gt;"Pago ISR",C1360&lt;&gt;"Pago IVA",C1360&lt;&gt;"Compensación ISR",C1360&lt;&gt;"Compensación IVA"),AND(C1360="Gasto",D1360&lt;&gt;"Costos clínicos",D1360&lt;&gt;"Remuneración familiar",D1360&lt;&gt;"Nómina y honorarios",D1360&lt;&gt;"Renta",D1360&lt;&gt;"Marketing",D1360&lt;&gt;"Servicios y software",D1360&lt;&gt;"Mantenimiento",D1360&lt;&gt;"Otros",D1360&lt;&gt;"Intereses")),"Tipo o categoría inválido",IF(COUNTA(A1360:J1360)=0,"",IF(OR(A1360="",B1360="",C1360="",H1360=""),"Faltan datos",IF(COUNTIF($A$7:$A$2006,A1360)&gt;1,"ID duplicado",IF(OR(B1360&lt;DATE(Configuración!$C$5,1,1),B1360&gt;=DATE(Configuración!$C$5+1,1,1)),"Fecha fuera del año",IF(OR(H1360&lt;0,I1360&lt;0),"Revisar signo",IF(AND(C1360&lt;&gt;"Gasto",I1360&lt;&gt;0),"IVA solo en Gasto",IF(AND(C1360="Gasto",D1360=""),"Falta categoría","OK")))))))))</f>
        <v/>
      </c>
    </row>
    <row r="1361" spans="1:12" ht="22" customHeight="1">
      <c r="A1361" s="3"/>
      <c r="B1361" s="7"/>
      <c r="C1361" s="3"/>
      <c r="D1361" s="3"/>
      <c r="E1361" s="3"/>
      <c r="F1361" s="3"/>
      <c r="G1361" s="3"/>
      <c r="H1361" s="4"/>
      <c r="I1361" s="4"/>
      <c r="J1361" s="3"/>
      <c r="K1361" s="8" t="str">
        <f t="shared" si="21"/>
        <v/>
      </c>
      <c r="L1361" s="1" t="str">
        <f>IF(COUNTA(A1361:J1361)=0,"",IF(OR(AND(C1361&lt;&gt;"Gasto",C1361&lt;&gt;"Pago proveedor",C1361&lt;&gt;"Retiro familiar",C1361&lt;&gt;"Aportación",C1361&lt;&gt;"Pago activo",C1361&lt;&gt;"ISR devengado",C1361&lt;&gt;"Pago ISR",C1361&lt;&gt;"Pago IVA",C1361&lt;&gt;"Compensación ISR",C1361&lt;&gt;"Compensación IVA"),AND(C1361="Gasto",D1361&lt;&gt;"Costos clínicos",D1361&lt;&gt;"Remuneración familiar",D1361&lt;&gt;"Nómina y honorarios",D1361&lt;&gt;"Renta",D1361&lt;&gt;"Marketing",D1361&lt;&gt;"Servicios y software",D1361&lt;&gt;"Mantenimiento",D1361&lt;&gt;"Otros",D1361&lt;&gt;"Intereses")),"Tipo o categoría inválido",IF(COUNTA(A1361:J1361)=0,"",IF(OR(A1361="",B1361="",C1361="",H1361=""),"Faltan datos",IF(COUNTIF($A$7:$A$2006,A1361)&gt;1,"ID duplicado",IF(OR(B1361&lt;DATE(Configuración!$C$5,1,1),B1361&gt;=DATE(Configuración!$C$5+1,1,1)),"Fecha fuera del año",IF(OR(H1361&lt;0,I1361&lt;0),"Revisar signo",IF(AND(C1361&lt;&gt;"Gasto",I1361&lt;&gt;0),"IVA solo en Gasto",IF(AND(C1361="Gasto",D1361=""),"Falta categoría","OK")))))))))</f>
        <v/>
      </c>
    </row>
    <row r="1362" spans="1:12" ht="22" customHeight="1">
      <c r="A1362" s="3"/>
      <c r="B1362" s="7"/>
      <c r="C1362" s="3"/>
      <c r="D1362" s="3"/>
      <c r="E1362" s="3"/>
      <c r="F1362" s="3"/>
      <c r="G1362" s="3"/>
      <c r="H1362" s="4"/>
      <c r="I1362" s="4"/>
      <c r="J1362" s="3"/>
      <c r="K1362" s="8" t="str">
        <f t="shared" si="21"/>
        <v/>
      </c>
      <c r="L1362" s="1" t="str">
        <f>IF(COUNTA(A1362:J1362)=0,"",IF(OR(AND(C1362&lt;&gt;"Gasto",C1362&lt;&gt;"Pago proveedor",C1362&lt;&gt;"Retiro familiar",C1362&lt;&gt;"Aportación",C1362&lt;&gt;"Pago activo",C1362&lt;&gt;"ISR devengado",C1362&lt;&gt;"Pago ISR",C1362&lt;&gt;"Pago IVA",C1362&lt;&gt;"Compensación ISR",C1362&lt;&gt;"Compensación IVA"),AND(C1362="Gasto",D1362&lt;&gt;"Costos clínicos",D1362&lt;&gt;"Remuneración familiar",D1362&lt;&gt;"Nómina y honorarios",D1362&lt;&gt;"Renta",D1362&lt;&gt;"Marketing",D1362&lt;&gt;"Servicios y software",D1362&lt;&gt;"Mantenimiento",D1362&lt;&gt;"Otros",D1362&lt;&gt;"Intereses")),"Tipo o categoría inválido",IF(COUNTA(A1362:J1362)=0,"",IF(OR(A1362="",B1362="",C1362="",H1362=""),"Faltan datos",IF(COUNTIF($A$7:$A$2006,A1362)&gt;1,"ID duplicado",IF(OR(B1362&lt;DATE(Configuración!$C$5,1,1),B1362&gt;=DATE(Configuración!$C$5+1,1,1)),"Fecha fuera del año",IF(OR(H1362&lt;0,I1362&lt;0),"Revisar signo",IF(AND(C1362&lt;&gt;"Gasto",I1362&lt;&gt;0),"IVA solo en Gasto",IF(AND(C1362="Gasto",D1362=""),"Falta categoría","OK")))))))))</f>
        <v/>
      </c>
    </row>
    <row r="1363" spans="1:12" ht="22" customHeight="1">
      <c r="A1363" s="3"/>
      <c r="B1363" s="7"/>
      <c r="C1363" s="3"/>
      <c r="D1363" s="3"/>
      <c r="E1363" s="3"/>
      <c r="F1363" s="3"/>
      <c r="G1363" s="3"/>
      <c r="H1363" s="4"/>
      <c r="I1363" s="4"/>
      <c r="J1363" s="3"/>
      <c r="K1363" s="8" t="str">
        <f t="shared" si="21"/>
        <v/>
      </c>
      <c r="L1363" s="1" t="str">
        <f>IF(COUNTA(A1363:J1363)=0,"",IF(OR(AND(C1363&lt;&gt;"Gasto",C1363&lt;&gt;"Pago proveedor",C1363&lt;&gt;"Retiro familiar",C1363&lt;&gt;"Aportación",C1363&lt;&gt;"Pago activo",C1363&lt;&gt;"ISR devengado",C1363&lt;&gt;"Pago ISR",C1363&lt;&gt;"Pago IVA",C1363&lt;&gt;"Compensación ISR",C1363&lt;&gt;"Compensación IVA"),AND(C1363="Gasto",D1363&lt;&gt;"Costos clínicos",D1363&lt;&gt;"Remuneración familiar",D1363&lt;&gt;"Nómina y honorarios",D1363&lt;&gt;"Renta",D1363&lt;&gt;"Marketing",D1363&lt;&gt;"Servicios y software",D1363&lt;&gt;"Mantenimiento",D1363&lt;&gt;"Otros",D1363&lt;&gt;"Intereses")),"Tipo o categoría inválido",IF(COUNTA(A1363:J1363)=0,"",IF(OR(A1363="",B1363="",C1363="",H1363=""),"Faltan datos",IF(COUNTIF($A$7:$A$2006,A1363)&gt;1,"ID duplicado",IF(OR(B1363&lt;DATE(Configuración!$C$5,1,1),B1363&gt;=DATE(Configuración!$C$5+1,1,1)),"Fecha fuera del año",IF(OR(H1363&lt;0,I1363&lt;0),"Revisar signo",IF(AND(C1363&lt;&gt;"Gasto",I1363&lt;&gt;0),"IVA solo en Gasto",IF(AND(C1363="Gasto",D1363=""),"Falta categoría","OK")))))))))</f>
        <v/>
      </c>
    </row>
    <row r="1364" spans="1:12" ht="22" customHeight="1">
      <c r="A1364" s="3"/>
      <c r="B1364" s="7"/>
      <c r="C1364" s="3"/>
      <c r="D1364" s="3"/>
      <c r="E1364" s="3"/>
      <c r="F1364" s="3"/>
      <c r="G1364" s="3"/>
      <c r="H1364" s="4"/>
      <c r="I1364" s="4"/>
      <c r="J1364" s="3"/>
      <c r="K1364" s="8" t="str">
        <f t="shared" si="21"/>
        <v/>
      </c>
      <c r="L1364" s="1" t="str">
        <f>IF(COUNTA(A1364:J1364)=0,"",IF(OR(AND(C1364&lt;&gt;"Gasto",C1364&lt;&gt;"Pago proveedor",C1364&lt;&gt;"Retiro familiar",C1364&lt;&gt;"Aportación",C1364&lt;&gt;"Pago activo",C1364&lt;&gt;"ISR devengado",C1364&lt;&gt;"Pago ISR",C1364&lt;&gt;"Pago IVA",C1364&lt;&gt;"Compensación ISR",C1364&lt;&gt;"Compensación IVA"),AND(C1364="Gasto",D1364&lt;&gt;"Costos clínicos",D1364&lt;&gt;"Remuneración familiar",D1364&lt;&gt;"Nómina y honorarios",D1364&lt;&gt;"Renta",D1364&lt;&gt;"Marketing",D1364&lt;&gt;"Servicios y software",D1364&lt;&gt;"Mantenimiento",D1364&lt;&gt;"Otros",D1364&lt;&gt;"Intereses")),"Tipo o categoría inválido",IF(COUNTA(A1364:J1364)=0,"",IF(OR(A1364="",B1364="",C1364="",H1364=""),"Faltan datos",IF(COUNTIF($A$7:$A$2006,A1364)&gt;1,"ID duplicado",IF(OR(B1364&lt;DATE(Configuración!$C$5,1,1),B1364&gt;=DATE(Configuración!$C$5+1,1,1)),"Fecha fuera del año",IF(OR(H1364&lt;0,I1364&lt;0),"Revisar signo",IF(AND(C1364&lt;&gt;"Gasto",I1364&lt;&gt;0),"IVA solo en Gasto",IF(AND(C1364="Gasto",D1364=""),"Falta categoría","OK")))))))))</f>
        <v/>
      </c>
    </row>
    <row r="1365" spans="1:12" ht="22" customHeight="1">
      <c r="A1365" s="3"/>
      <c r="B1365" s="7"/>
      <c r="C1365" s="3"/>
      <c r="D1365" s="3"/>
      <c r="E1365" s="3"/>
      <c r="F1365" s="3"/>
      <c r="G1365" s="3"/>
      <c r="H1365" s="4"/>
      <c r="I1365" s="4"/>
      <c r="J1365" s="3"/>
      <c r="K1365" s="8" t="str">
        <f t="shared" si="21"/>
        <v/>
      </c>
      <c r="L1365" s="1" t="str">
        <f>IF(COUNTA(A1365:J1365)=0,"",IF(OR(AND(C1365&lt;&gt;"Gasto",C1365&lt;&gt;"Pago proveedor",C1365&lt;&gt;"Retiro familiar",C1365&lt;&gt;"Aportación",C1365&lt;&gt;"Pago activo",C1365&lt;&gt;"ISR devengado",C1365&lt;&gt;"Pago ISR",C1365&lt;&gt;"Pago IVA",C1365&lt;&gt;"Compensación ISR",C1365&lt;&gt;"Compensación IVA"),AND(C1365="Gasto",D1365&lt;&gt;"Costos clínicos",D1365&lt;&gt;"Remuneración familiar",D1365&lt;&gt;"Nómina y honorarios",D1365&lt;&gt;"Renta",D1365&lt;&gt;"Marketing",D1365&lt;&gt;"Servicios y software",D1365&lt;&gt;"Mantenimiento",D1365&lt;&gt;"Otros",D1365&lt;&gt;"Intereses")),"Tipo o categoría inválido",IF(COUNTA(A1365:J1365)=0,"",IF(OR(A1365="",B1365="",C1365="",H1365=""),"Faltan datos",IF(COUNTIF($A$7:$A$2006,A1365)&gt;1,"ID duplicado",IF(OR(B1365&lt;DATE(Configuración!$C$5,1,1),B1365&gt;=DATE(Configuración!$C$5+1,1,1)),"Fecha fuera del año",IF(OR(H1365&lt;0,I1365&lt;0),"Revisar signo",IF(AND(C1365&lt;&gt;"Gasto",I1365&lt;&gt;0),"IVA solo en Gasto",IF(AND(C1365="Gasto",D1365=""),"Falta categoría","OK")))))))))</f>
        <v/>
      </c>
    </row>
    <row r="1366" spans="1:12" ht="22" customHeight="1">
      <c r="A1366" s="3"/>
      <c r="B1366" s="7"/>
      <c r="C1366" s="3"/>
      <c r="D1366" s="3"/>
      <c r="E1366" s="3"/>
      <c r="F1366" s="3"/>
      <c r="G1366" s="3"/>
      <c r="H1366" s="4"/>
      <c r="I1366" s="4"/>
      <c r="J1366" s="3"/>
      <c r="K1366" s="8" t="str">
        <f t="shared" si="21"/>
        <v/>
      </c>
      <c r="L1366" s="1" t="str">
        <f>IF(COUNTA(A1366:J1366)=0,"",IF(OR(AND(C1366&lt;&gt;"Gasto",C1366&lt;&gt;"Pago proveedor",C1366&lt;&gt;"Retiro familiar",C1366&lt;&gt;"Aportación",C1366&lt;&gt;"Pago activo",C1366&lt;&gt;"ISR devengado",C1366&lt;&gt;"Pago ISR",C1366&lt;&gt;"Pago IVA",C1366&lt;&gt;"Compensación ISR",C1366&lt;&gt;"Compensación IVA"),AND(C1366="Gasto",D1366&lt;&gt;"Costos clínicos",D1366&lt;&gt;"Remuneración familiar",D1366&lt;&gt;"Nómina y honorarios",D1366&lt;&gt;"Renta",D1366&lt;&gt;"Marketing",D1366&lt;&gt;"Servicios y software",D1366&lt;&gt;"Mantenimiento",D1366&lt;&gt;"Otros",D1366&lt;&gt;"Intereses")),"Tipo o categoría inválido",IF(COUNTA(A1366:J1366)=0,"",IF(OR(A1366="",B1366="",C1366="",H1366=""),"Faltan datos",IF(COUNTIF($A$7:$A$2006,A1366)&gt;1,"ID duplicado",IF(OR(B1366&lt;DATE(Configuración!$C$5,1,1),B1366&gt;=DATE(Configuración!$C$5+1,1,1)),"Fecha fuera del año",IF(OR(H1366&lt;0,I1366&lt;0),"Revisar signo",IF(AND(C1366&lt;&gt;"Gasto",I1366&lt;&gt;0),"IVA solo en Gasto",IF(AND(C1366="Gasto",D1366=""),"Falta categoría","OK")))))))))</f>
        <v/>
      </c>
    </row>
    <row r="1367" spans="1:12" ht="22" customHeight="1">
      <c r="A1367" s="3"/>
      <c r="B1367" s="7"/>
      <c r="C1367" s="3"/>
      <c r="D1367" s="3"/>
      <c r="E1367" s="3"/>
      <c r="F1367" s="3"/>
      <c r="G1367" s="3"/>
      <c r="H1367" s="4"/>
      <c r="I1367" s="4"/>
      <c r="J1367" s="3"/>
      <c r="K1367" s="8" t="str">
        <f t="shared" si="21"/>
        <v/>
      </c>
      <c r="L1367" s="1" t="str">
        <f>IF(COUNTA(A1367:J1367)=0,"",IF(OR(AND(C1367&lt;&gt;"Gasto",C1367&lt;&gt;"Pago proveedor",C1367&lt;&gt;"Retiro familiar",C1367&lt;&gt;"Aportación",C1367&lt;&gt;"Pago activo",C1367&lt;&gt;"ISR devengado",C1367&lt;&gt;"Pago ISR",C1367&lt;&gt;"Pago IVA",C1367&lt;&gt;"Compensación ISR",C1367&lt;&gt;"Compensación IVA"),AND(C1367="Gasto",D1367&lt;&gt;"Costos clínicos",D1367&lt;&gt;"Remuneración familiar",D1367&lt;&gt;"Nómina y honorarios",D1367&lt;&gt;"Renta",D1367&lt;&gt;"Marketing",D1367&lt;&gt;"Servicios y software",D1367&lt;&gt;"Mantenimiento",D1367&lt;&gt;"Otros",D1367&lt;&gt;"Intereses")),"Tipo o categoría inválido",IF(COUNTA(A1367:J1367)=0,"",IF(OR(A1367="",B1367="",C1367="",H1367=""),"Faltan datos",IF(COUNTIF($A$7:$A$2006,A1367)&gt;1,"ID duplicado",IF(OR(B1367&lt;DATE(Configuración!$C$5,1,1),B1367&gt;=DATE(Configuración!$C$5+1,1,1)),"Fecha fuera del año",IF(OR(H1367&lt;0,I1367&lt;0),"Revisar signo",IF(AND(C1367&lt;&gt;"Gasto",I1367&lt;&gt;0),"IVA solo en Gasto",IF(AND(C1367="Gasto",D1367=""),"Falta categoría","OK")))))))))</f>
        <v/>
      </c>
    </row>
    <row r="1368" spans="1:12" ht="22" customHeight="1">
      <c r="A1368" s="3"/>
      <c r="B1368" s="7"/>
      <c r="C1368" s="3"/>
      <c r="D1368" s="3"/>
      <c r="E1368" s="3"/>
      <c r="F1368" s="3"/>
      <c r="G1368" s="3"/>
      <c r="H1368" s="4"/>
      <c r="I1368" s="4"/>
      <c r="J1368" s="3"/>
      <c r="K1368" s="8" t="str">
        <f t="shared" si="21"/>
        <v/>
      </c>
      <c r="L1368" s="1" t="str">
        <f>IF(COUNTA(A1368:J1368)=0,"",IF(OR(AND(C1368&lt;&gt;"Gasto",C1368&lt;&gt;"Pago proveedor",C1368&lt;&gt;"Retiro familiar",C1368&lt;&gt;"Aportación",C1368&lt;&gt;"Pago activo",C1368&lt;&gt;"ISR devengado",C1368&lt;&gt;"Pago ISR",C1368&lt;&gt;"Pago IVA",C1368&lt;&gt;"Compensación ISR",C1368&lt;&gt;"Compensación IVA"),AND(C1368="Gasto",D1368&lt;&gt;"Costos clínicos",D1368&lt;&gt;"Remuneración familiar",D1368&lt;&gt;"Nómina y honorarios",D1368&lt;&gt;"Renta",D1368&lt;&gt;"Marketing",D1368&lt;&gt;"Servicios y software",D1368&lt;&gt;"Mantenimiento",D1368&lt;&gt;"Otros",D1368&lt;&gt;"Intereses")),"Tipo o categoría inválido",IF(COUNTA(A1368:J1368)=0,"",IF(OR(A1368="",B1368="",C1368="",H1368=""),"Faltan datos",IF(COUNTIF($A$7:$A$2006,A1368)&gt;1,"ID duplicado",IF(OR(B1368&lt;DATE(Configuración!$C$5,1,1),B1368&gt;=DATE(Configuración!$C$5+1,1,1)),"Fecha fuera del año",IF(OR(H1368&lt;0,I1368&lt;0),"Revisar signo",IF(AND(C1368&lt;&gt;"Gasto",I1368&lt;&gt;0),"IVA solo en Gasto",IF(AND(C1368="Gasto",D1368=""),"Falta categoría","OK")))))))))</f>
        <v/>
      </c>
    </row>
    <row r="1369" spans="1:12" ht="22" customHeight="1">
      <c r="A1369" s="3"/>
      <c r="B1369" s="7"/>
      <c r="C1369" s="3"/>
      <c r="D1369" s="3"/>
      <c r="E1369" s="3"/>
      <c r="F1369" s="3"/>
      <c r="G1369" s="3"/>
      <c r="H1369" s="4"/>
      <c r="I1369" s="4"/>
      <c r="J1369" s="3"/>
      <c r="K1369" s="8" t="str">
        <f t="shared" si="21"/>
        <v/>
      </c>
      <c r="L1369" s="1" t="str">
        <f>IF(COUNTA(A1369:J1369)=0,"",IF(OR(AND(C1369&lt;&gt;"Gasto",C1369&lt;&gt;"Pago proveedor",C1369&lt;&gt;"Retiro familiar",C1369&lt;&gt;"Aportación",C1369&lt;&gt;"Pago activo",C1369&lt;&gt;"ISR devengado",C1369&lt;&gt;"Pago ISR",C1369&lt;&gt;"Pago IVA",C1369&lt;&gt;"Compensación ISR",C1369&lt;&gt;"Compensación IVA"),AND(C1369="Gasto",D1369&lt;&gt;"Costos clínicos",D1369&lt;&gt;"Remuneración familiar",D1369&lt;&gt;"Nómina y honorarios",D1369&lt;&gt;"Renta",D1369&lt;&gt;"Marketing",D1369&lt;&gt;"Servicios y software",D1369&lt;&gt;"Mantenimiento",D1369&lt;&gt;"Otros",D1369&lt;&gt;"Intereses")),"Tipo o categoría inválido",IF(COUNTA(A1369:J1369)=0,"",IF(OR(A1369="",B1369="",C1369="",H1369=""),"Faltan datos",IF(COUNTIF($A$7:$A$2006,A1369)&gt;1,"ID duplicado",IF(OR(B1369&lt;DATE(Configuración!$C$5,1,1),B1369&gt;=DATE(Configuración!$C$5+1,1,1)),"Fecha fuera del año",IF(OR(H1369&lt;0,I1369&lt;0),"Revisar signo",IF(AND(C1369&lt;&gt;"Gasto",I1369&lt;&gt;0),"IVA solo en Gasto",IF(AND(C1369="Gasto",D1369=""),"Falta categoría","OK")))))))))</f>
        <v/>
      </c>
    </row>
    <row r="1370" spans="1:12" ht="22" customHeight="1">
      <c r="A1370" s="3"/>
      <c r="B1370" s="7"/>
      <c r="C1370" s="3"/>
      <c r="D1370" s="3"/>
      <c r="E1370" s="3"/>
      <c r="F1370" s="3"/>
      <c r="G1370" s="3"/>
      <c r="H1370" s="4"/>
      <c r="I1370" s="4"/>
      <c r="J1370" s="3"/>
      <c r="K1370" s="8" t="str">
        <f t="shared" si="21"/>
        <v/>
      </c>
      <c r="L1370" s="1" t="str">
        <f>IF(COUNTA(A1370:J1370)=0,"",IF(OR(AND(C1370&lt;&gt;"Gasto",C1370&lt;&gt;"Pago proveedor",C1370&lt;&gt;"Retiro familiar",C1370&lt;&gt;"Aportación",C1370&lt;&gt;"Pago activo",C1370&lt;&gt;"ISR devengado",C1370&lt;&gt;"Pago ISR",C1370&lt;&gt;"Pago IVA",C1370&lt;&gt;"Compensación ISR",C1370&lt;&gt;"Compensación IVA"),AND(C1370="Gasto",D1370&lt;&gt;"Costos clínicos",D1370&lt;&gt;"Remuneración familiar",D1370&lt;&gt;"Nómina y honorarios",D1370&lt;&gt;"Renta",D1370&lt;&gt;"Marketing",D1370&lt;&gt;"Servicios y software",D1370&lt;&gt;"Mantenimiento",D1370&lt;&gt;"Otros",D1370&lt;&gt;"Intereses")),"Tipo o categoría inválido",IF(COUNTA(A1370:J1370)=0,"",IF(OR(A1370="",B1370="",C1370="",H1370=""),"Faltan datos",IF(COUNTIF($A$7:$A$2006,A1370)&gt;1,"ID duplicado",IF(OR(B1370&lt;DATE(Configuración!$C$5,1,1),B1370&gt;=DATE(Configuración!$C$5+1,1,1)),"Fecha fuera del año",IF(OR(H1370&lt;0,I1370&lt;0),"Revisar signo",IF(AND(C1370&lt;&gt;"Gasto",I1370&lt;&gt;0),"IVA solo en Gasto",IF(AND(C1370="Gasto",D1370=""),"Falta categoría","OK")))))))))</f>
        <v/>
      </c>
    </row>
    <row r="1371" spans="1:12" ht="22" customHeight="1">
      <c r="A1371" s="3"/>
      <c r="B1371" s="7"/>
      <c r="C1371" s="3"/>
      <c r="D1371" s="3"/>
      <c r="E1371" s="3"/>
      <c r="F1371" s="3"/>
      <c r="G1371" s="3"/>
      <c r="H1371" s="4"/>
      <c r="I1371" s="4"/>
      <c r="J1371" s="3"/>
      <c r="K1371" s="8" t="str">
        <f t="shared" si="21"/>
        <v/>
      </c>
      <c r="L1371" s="1" t="str">
        <f>IF(COUNTA(A1371:J1371)=0,"",IF(OR(AND(C1371&lt;&gt;"Gasto",C1371&lt;&gt;"Pago proveedor",C1371&lt;&gt;"Retiro familiar",C1371&lt;&gt;"Aportación",C1371&lt;&gt;"Pago activo",C1371&lt;&gt;"ISR devengado",C1371&lt;&gt;"Pago ISR",C1371&lt;&gt;"Pago IVA",C1371&lt;&gt;"Compensación ISR",C1371&lt;&gt;"Compensación IVA"),AND(C1371="Gasto",D1371&lt;&gt;"Costos clínicos",D1371&lt;&gt;"Remuneración familiar",D1371&lt;&gt;"Nómina y honorarios",D1371&lt;&gt;"Renta",D1371&lt;&gt;"Marketing",D1371&lt;&gt;"Servicios y software",D1371&lt;&gt;"Mantenimiento",D1371&lt;&gt;"Otros",D1371&lt;&gt;"Intereses")),"Tipo o categoría inválido",IF(COUNTA(A1371:J1371)=0,"",IF(OR(A1371="",B1371="",C1371="",H1371=""),"Faltan datos",IF(COUNTIF($A$7:$A$2006,A1371)&gt;1,"ID duplicado",IF(OR(B1371&lt;DATE(Configuración!$C$5,1,1),B1371&gt;=DATE(Configuración!$C$5+1,1,1)),"Fecha fuera del año",IF(OR(H1371&lt;0,I1371&lt;0),"Revisar signo",IF(AND(C1371&lt;&gt;"Gasto",I1371&lt;&gt;0),"IVA solo en Gasto",IF(AND(C1371="Gasto",D1371=""),"Falta categoría","OK")))))))))</f>
        <v/>
      </c>
    </row>
    <row r="1372" spans="1:12" ht="22" customHeight="1">
      <c r="A1372" s="3"/>
      <c r="B1372" s="7"/>
      <c r="C1372" s="3"/>
      <c r="D1372" s="3"/>
      <c r="E1372" s="3"/>
      <c r="F1372" s="3"/>
      <c r="G1372" s="3"/>
      <c r="H1372" s="4"/>
      <c r="I1372" s="4"/>
      <c r="J1372" s="3"/>
      <c r="K1372" s="8" t="str">
        <f t="shared" si="21"/>
        <v/>
      </c>
      <c r="L1372" s="1" t="str">
        <f>IF(COUNTA(A1372:J1372)=0,"",IF(OR(AND(C1372&lt;&gt;"Gasto",C1372&lt;&gt;"Pago proveedor",C1372&lt;&gt;"Retiro familiar",C1372&lt;&gt;"Aportación",C1372&lt;&gt;"Pago activo",C1372&lt;&gt;"ISR devengado",C1372&lt;&gt;"Pago ISR",C1372&lt;&gt;"Pago IVA",C1372&lt;&gt;"Compensación ISR",C1372&lt;&gt;"Compensación IVA"),AND(C1372="Gasto",D1372&lt;&gt;"Costos clínicos",D1372&lt;&gt;"Remuneración familiar",D1372&lt;&gt;"Nómina y honorarios",D1372&lt;&gt;"Renta",D1372&lt;&gt;"Marketing",D1372&lt;&gt;"Servicios y software",D1372&lt;&gt;"Mantenimiento",D1372&lt;&gt;"Otros",D1372&lt;&gt;"Intereses")),"Tipo o categoría inválido",IF(COUNTA(A1372:J1372)=0,"",IF(OR(A1372="",B1372="",C1372="",H1372=""),"Faltan datos",IF(COUNTIF($A$7:$A$2006,A1372)&gt;1,"ID duplicado",IF(OR(B1372&lt;DATE(Configuración!$C$5,1,1),B1372&gt;=DATE(Configuración!$C$5+1,1,1)),"Fecha fuera del año",IF(OR(H1372&lt;0,I1372&lt;0),"Revisar signo",IF(AND(C1372&lt;&gt;"Gasto",I1372&lt;&gt;0),"IVA solo en Gasto",IF(AND(C1372="Gasto",D1372=""),"Falta categoría","OK")))))))))</f>
        <v/>
      </c>
    </row>
    <row r="1373" spans="1:12" ht="22" customHeight="1">
      <c r="A1373" s="3"/>
      <c r="B1373" s="7"/>
      <c r="C1373" s="3"/>
      <c r="D1373" s="3"/>
      <c r="E1373" s="3"/>
      <c r="F1373" s="3"/>
      <c r="G1373" s="3"/>
      <c r="H1373" s="4"/>
      <c r="I1373" s="4"/>
      <c r="J1373" s="3"/>
      <c r="K1373" s="8" t="str">
        <f t="shared" si="21"/>
        <v/>
      </c>
      <c r="L1373" s="1" t="str">
        <f>IF(COUNTA(A1373:J1373)=0,"",IF(OR(AND(C1373&lt;&gt;"Gasto",C1373&lt;&gt;"Pago proveedor",C1373&lt;&gt;"Retiro familiar",C1373&lt;&gt;"Aportación",C1373&lt;&gt;"Pago activo",C1373&lt;&gt;"ISR devengado",C1373&lt;&gt;"Pago ISR",C1373&lt;&gt;"Pago IVA",C1373&lt;&gt;"Compensación ISR",C1373&lt;&gt;"Compensación IVA"),AND(C1373="Gasto",D1373&lt;&gt;"Costos clínicos",D1373&lt;&gt;"Remuneración familiar",D1373&lt;&gt;"Nómina y honorarios",D1373&lt;&gt;"Renta",D1373&lt;&gt;"Marketing",D1373&lt;&gt;"Servicios y software",D1373&lt;&gt;"Mantenimiento",D1373&lt;&gt;"Otros",D1373&lt;&gt;"Intereses")),"Tipo o categoría inválido",IF(COUNTA(A1373:J1373)=0,"",IF(OR(A1373="",B1373="",C1373="",H1373=""),"Faltan datos",IF(COUNTIF($A$7:$A$2006,A1373)&gt;1,"ID duplicado",IF(OR(B1373&lt;DATE(Configuración!$C$5,1,1),B1373&gt;=DATE(Configuración!$C$5+1,1,1)),"Fecha fuera del año",IF(OR(H1373&lt;0,I1373&lt;0),"Revisar signo",IF(AND(C1373&lt;&gt;"Gasto",I1373&lt;&gt;0),"IVA solo en Gasto",IF(AND(C1373="Gasto",D1373=""),"Falta categoría","OK")))))))))</f>
        <v/>
      </c>
    </row>
    <row r="1374" spans="1:12" ht="22" customHeight="1">
      <c r="A1374" s="3"/>
      <c r="B1374" s="7"/>
      <c r="C1374" s="3"/>
      <c r="D1374" s="3"/>
      <c r="E1374" s="3"/>
      <c r="F1374" s="3"/>
      <c r="G1374" s="3"/>
      <c r="H1374" s="4"/>
      <c r="I1374" s="4"/>
      <c r="J1374" s="3"/>
      <c r="K1374" s="8" t="str">
        <f t="shared" si="21"/>
        <v/>
      </c>
      <c r="L1374" s="1" t="str">
        <f>IF(COUNTA(A1374:J1374)=0,"",IF(OR(AND(C1374&lt;&gt;"Gasto",C1374&lt;&gt;"Pago proveedor",C1374&lt;&gt;"Retiro familiar",C1374&lt;&gt;"Aportación",C1374&lt;&gt;"Pago activo",C1374&lt;&gt;"ISR devengado",C1374&lt;&gt;"Pago ISR",C1374&lt;&gt;"Pago IVA",C1374&lt;&gt;"Compensación ISR",C1374&lt;&gt;"Compensación IVA"),AND(C1374="Gasto",D1374&lt;&gt;"Costos clínicos",D1374&lt;&gt;"Remuneración familiar",D1374&lt;&gt;"Nómina y honorarios",D1374&lt;&gt;"Renta",D1374&lt;&gt;"Marketing",D1374&lt;&gt;"Servicios y software",D1374&lt;&gt;"Mantenimiento",D1374&lt;&gt;"Otros",D1374&lt;&gt;"Intereses")),"Tipo o categoría inválido",IF(COUNTA(A1374:J1374)=0,"",IF(OR(A1374="",B1374="",C1374="",H1374=""),"Faltan datos",IF(COUNTIF($A$7:$A$2006,A1374)&gt;1,"ID duplicado",IF(OR(B1374&lt;DATE(Configuración!$C$5,1,1),B1374&gt;=DATE(Configuración!$C$5+1,1,1)),"Fecha fuera del año",IF(OR(H1374&lt;0,I1374&lt;0),"Revisar signo",IF(AND(C1374&lt;&gt;"Gasto",I1374&lt;&gt;0),"IVA solo en Gasto",IF(AND(C1374="Gasto",D1374=""),"Falta categoría","OK")))))))))</f>
        <v/>
      </c>
    </row>
    <row r="1375" spans="1:12" ht="22" customHeight="1">
      <c r="A1375" s="3"/>
      <c r="B1375" s="7"/>
      <c r="C1375" s="3"/>
      <c r="D1375" s="3"/>
      <c r="E1375" s="3"/>
      <c r="F1375" s="3"/>
      <c r="G1375" s="3"/>
      <c r="H1375" s="4"/>
      <c r="I1375" s="4"/>
      <c r="J1375" s="3"/>
      <c r="K1375" s="8" t="str">
        <f t="shared" si="21"/>
        <v/>
      </c>
      <c r="L1375" s="1" t="str">
        <f>IF(COUNTA(A1375:J1375)=0,"",IF(OR(AND(C1375&lt;&gt;"Gasto",C1375&lt;&gt;"Pago proveedor",C1375&lt;&gt;"Retiro familiar",C1375&lt;&gt;"Aportación",C1375&lt;&gt;"Pago activo",C1375&lt;&gt;"ISR devengado",C1375&lt;&gt;"Pago ISR",C1375&lt;&gt;"Pago IVA",C1375&lt;&gt;"Compensación ISR",C1375&lt;&gt;"Compensación IVA"),AND(C1375="Gasto",D1375&lt;&gt;"Costos clínicos",D1375&lt;&gt;"Remuneración familiar",D1375&lt;&gt;"Nómina y honorarios",D1375&lt;&gt;"Renta",D1375&lt;&gt;"Marketing",D1375&lt;&gt;"Servicios y software",D1375&lt;&gt;"Mantenimiento",D1375&lt;&gt;"Otros",D1375&lt;&gt;"Intereses")),"Tipo o categoría inválido",IF(COUNTA(A1375:J1375)=0,"",IF(OR(A1375="",B1375="",C1375="",H1375=""),"Faltan datos",IF(COUNTIF($A$7:$A$2006,A1375)&gt;1,"ID duplicado",IF(OR(B1375&lt;DATE(Configuración!$C$5,1,1),B1375&gt;=DATE(Configuración!$C$5+1,1,1)),"Fecha fuera del año",IF(OR(H1375&lt;0,I1375&lt;0),"Revisar signo",IF(AND(C1375&lt;&gt;"Gasto",I1375&lt;&gt;0),"IVA solo en Gasto",IF(AND(C1375="Gasto",D1375=""),"Falta categoría","OK")))))))))</f>
        <v/>
      </c>
    </row>
    <row r="1376" spans="1:12" ht="22" customHeight="1">
      <c r="A1376" s="3"/>
      <c r="B1376" s="7"/>
      <c r="C1376" s="3"/>
      <c r="D1376" s="3"/>
      <c r="E1376" s="3"/>
      <c r="F1376" s="3"/>
      <c r="G1376" s="3"/>
      <c r="H1376" s="4"/>
      <c r="I1376" s="4"/>
      <c r="J1376" s="3"/>
      <c r="K1376" s="8" t="str">
        <f t="shared" si="21"/>
        <v/>
      </c>
      <c r="L1376" s="1" t="str">
        <f>IF(COUNTA(A1376:J1376)=0,"",IF(OR(AND(C1376&lt;&gt;"Gasto",C1376&lt;&gt;"Pago proveedor",C1376&lt;&gt;"Retiro familiar",C1376&lt;&gt;"Aportación",C1376&lt;&gt;"Pago activo",C1376&lt;&gt;"ISR devengado",C1376&lt;&gt;"Pago ISR",C1376&lt;&gt;"Pago IVA",C1376&lt;&gt;"Compensación ISR",C1376&lt;&gt;"Compensación IVA"),AND(C1376="Gasto",D1376&lt;&gt;"Costos clínicos",D1376&lt;&gt;"Remuneración familiar",D1376&lt;&gt;"Nómina y honorarios",D1376&lt;&gt;"Renta",D1376&lt;&gt;"Marketing",D1376&lt;&gt;"Servicios y software",D1376&lt;&gt;"Mantenimiento",D1376&lt;&gt;"Otros",D1376&lt;&gt;"Intereses")),"Tipo o categoría inválido",IF(COUNTA(A1376:J1376)=0,"",IF(OR(A1376="",B1376="",C1376="",H1376=""),"Faltan datos",IF(COUNTIF($A$7:$A$2006,A1376)&gt;1,"ID duplicado",IF(OR(B1376&lt;DATE(Configuración!$C$5,1,1),B1376&gt;=DATE(Configuración!$C$5+1,1,1)),"Fecha fuera del año",IF(OR(H1376&lt;0,I1376&lt;0),"Revisar signo",IF(AND(C1376&lt;&gt;"Gasto",I1376&lt;&gt;0),"IVA solo en Gasto",IF(AND(C1376="Gasto",D1376=""),"Falta categoría","OK")))))))))</f>
        <v/>
      </c>
    </row>
    <row r="1377" spans="1:12" ht="22" customHeight="1">
      <c r="A1377" s="3"/>
      <c r="B1377" s="7"/>
      <c r="C1377" s="3"/>
      <c r="D1377" s="3"/>
      <c r="E1377" s="3"/>
      <c r="F1377" s="3"/>
      <c r="G1377" s="3"/>
      <c r="H1377" s="4"/>
      <c r="I1377" s="4"/>
      <c r="J1377" s="3"/>
      <c r="K1377" s="8" t="str">
        <f t="shared" si="21"/>
        <v/>
      </c>
      <c r="L1377" s="1" t="str">
        <f>IF(COUNTA(A1377:J1377)=0,"",IF(OR(AND(C1377&lt;&gt;"Gasto",C1377&lt;&gt;"Pago proveedor",C1377&lt;&gt;"Retiro familiar",C1377&lt;&gt;"Aportación",C1377&lt;&gt;"Pago activo",C1377&lt;&gt;"ISR devengado",C1377&lt;&gt;"Pago ISR",C1377&lt;&gt;"Pago IVA",C1377&lt;&gt;"Compensación ISR",C1377&lt;&gt;"Compensación IVA"),AND(C1377="Gasto",D1377&lt;&gt;"Costos clínicos",D1377&lt;&gt;"Remuneración familiar",D1377&lt;&gt;"Nómina y honorarios",D1377&lt;&gt;"Renta",D1377&lt;&gt;"Marketing",D1377&lt;&gt;"Servicios y software",D1377&lt;&gt;"Mantenimiento",D1377&lt;&gt;"Otros",D1377&lt;&gt;"Intereses")),"Tipo o categoría inválido",IF(COUNTA(A1377:J1377)=0,"",IF(OR(A1377="",B1377="",C1377="",H1377=""),"Faltan datos",IF(COUNTIF($A$7:$A$2006,A1377)&gt;1,"ID duplicado",IF(OR(B1377&lt;DATE(Configuración!$C$5,1,1),B1377&gt;=DATE(Configuración!$C$5+1,1,1)),"Fecha fuera del año",IF(OR(H1377&lt;0,I1377&lt;0),"Revisar signo",IF(AND(C1377&lt;&gt;"Gasto",I1377&lt;&gt;0),"IVA solo en Gasto",IF(AND(C1377="Gasto",D1377=""),"Falta categoría","OK")))))))))</f>
        <v/>
      </c>
    </row>
    <row r="1378" spans="1:12" ht="22" customHeight="1">
      <c r="A1378" s="3"/>
      <c r="B1378" s="7"/>
      <c r="C1378" s="3"/>
      <c r="D1378" s="3"/>
      <c r="E1378" s="3"/>
      <c r="F1378" s="3"/>
      <c r="G1378" s="3"/>
      <c r="H1378" s="4"/>
      <c r="I1378" s="4"/>
      <c r="J1378" s="3"/>
      <c r="K1378" s="8" t="str">
        <f t="shared" si="21"/>
        <v/>
      </c>
      <c r="L1378" s="1" t="str">
        <f>IF(COUNTA(A1378:J1378)=0,"",IF(OR(AND(C1378&lt;&gt;"Gasto",C1378&lt;&gt;"Pago proveedor",C1378&lt;&gt;"Retiro familiar",C1378&lt;&gt;"Aportación",C1378&lt;&gt;"Pago activo",C1378&lt;&gt;"ISR devengado",C1378&lt;&gt;"Pago ISR",C1378&lt;&gt;"Pago IVA",C1378&lt;&gt;"Compensación ISR",C1378&lt;&gt;"Compensación IVA"),AND(C1378="Gasto",D1378&lt;&gt;"Costos clínicos",D1378&lt;&gt;"Remuneración familiar",D1378&lt;&gt;"Nómina y honorarios",D1378&lt;&gt;"Renta",D1378&lt;&gt;"Marketing",D1378&lt;&gt;"Servicios y software",D1378&lt;&gt;"Mantenimiento",D1378&lt;&gt;"Otros",D1378&lt;&gt;"Intereses")),"Tipo o categoría inválido",IF(COUNTA(A1378:J1378)=0,"",IF(OR(A1378="",B1378="",C1378="",H1378=""),"Faltan datos",IF(COUNTIF($A$7:$A$2006,A1378)&gt;1,"ID duplicado",IF(OR(B1378&lt;DATE(Configuración!$C$5,1,1),B1378&gt;=DATE(Configuración!$C$5+1,1,1)),"Fecha fuera del año",IF(OR(H1378&lt;0,I1378&lt;0),"Revisar signo",IF(AND(C1378&lt;&gt;"Gasto",I1378&lt;&gt;0),"IVA solo en Gasto",IF(AND(C1378="Gasto",D1378=""),"Falta categoría","OK")))))))))</f>
        <v/>
      </c>
    </row>
    <row r="1379" spans="1:12" ht="22" customHeight="1">
      <c r="A1379" s="3"/>
      <c r="B1379" s="7"/>
      <c r="C1379" s="3"/>
      <c r="D1379" s="3"/>
      <c r="E1379" s="3"/>
      <c r="F1379" s="3"/>
      <c r="G1379" s="3"/>
      <c r="H1379" s="4"/>
      <c r="I1379" s="4"/>
      <c r="J1379" s="3"/>
      <c r="K1379" s="8" t="str">
        <f t="shared" si="21"/>
        <v/>
      </c>
      <c r="L1379" s="1" t="str">
        <f>IF(COUNTA(A1379:J1379)=0,"",IF(OR(AND(C1379&lt;&gt;"Gasto",C1379&lt;&gt;"Pago proveedor",C1379&lt;&gt;"Retiro familiar",C1379&lt;&gt;"Aportación",C1379&lt;&gt;"Pago activo",C1379&lt;&gt;"ISR devengado",C1379&lt;&gt;"Pago ISR",C1379&lt;&gt;"Pago IVA",C1379&lt;&gt;"Compensación ISR",C1379&lt;&gt;"Compensación IVA"),AND(C1379="Gasto",D1379&lt;&gt;"Costos clínicos",D1379&lt;&gt;"Remuneración familiar",D1379&lt;&gt;"Nómina y honorarios",D1379&lt;&gt;"Renta",D1379&lt;&gt;"Marketing",D1379&lt;&gt;"Servicios y software",D1379&lt;&gt;"Mantenimiento",D1379&lt;&gt;"Otros",D1379&lt;&gt;"Intereses")),"Tipo o categoría inválido",IF(COUNTA(A1379:J1379)=0,"",IF(OR(A1379="",B1379="",C1379="",H1379=""),"Faltan datos",IF(COUNTIF($A$7:$A$2006,A1379)&gt;1,"ID duplicado",IF(OR(B1379&lt;DATE(Configuración!$C$5,1,1),B1379&gt;=DATE(Configuración!$C$5+1,1,1)),"Fecha fuera del año",IF(OR(H1379&lt;0,I1379&lt;0),"Revisar signo",IF(AND(C1379&lt;&gt;"Gasto",I1379&lt;&gt;0),"IVA solo en Gasto",IF(AND(C1379="Gasto",D1379=""),"Falta categoría","OK")))))))))</f>
        <v/>
      </c>
    </row>
    <row r="1380" spans="1:12" ht="22" customHeight="1">
      <c r="A1380" s="3"/>
      <c r="B1380" s="7"/>
      <c r="C1380" s="3"/>
      <c r="D1380" s="3"/>
      <c r="E1380" s="3"/>
      <c r="F1380" s="3"/>
      <c r="G1380" s="3"/>
      <c r="H1380" s="4"/>
      <c r="I1380" s="4"/>
      <c r="J1380" s="3"/>
      <c r="K1380" s="8" t="str">
        <f t="shared" si="21"/>
        <v/>
      </c>
      <c r="L1380" s="1" t="str">
        <f>IF(COUNTA(A1380:J1380)=0,"",IF(OR(AND(C1380&lt;&gt;"Gasto",C1380&lt;&gt;"Pago proveedor",C1380&lt;&gt;"Retiro familiar",C1380&lt;&gt;"Aportación",C1380&lt;&gt;"Pago activo",C1380&lt;&gt;"ISR devengado",C1380&lt;&gt;"Pago ISR",C1380&lt;&gt;"Pago IVA",C1380&lt;&gt;"Compensación ISR",C1380&lt;&gt;"Compensación IVA"),AND(C1380="Gasto",D1380&lt;&gt;"Costos clínicos",D1380&lt;&gt;"Remuneración familiar",D1380&lt;&gt;"Nómina y honorarios",D1380&lt;&gt;"Renta",D1380&lt;&gt;"Marketing",D1380&lt;&gt;"Servicios y software",D1380&lt;&gt;"Mantenimiento",D1380&lt;&gt;"Otros",D1380&lt;&gt;"Intereses")),"Tipo o categoría inválido",IF(COUNTA(A1380:J1380)=0,"",IF(OR(A1380="",B1380="",C1380="",H1380=""),"Faltan datos",IF(COUNTIF($A$7:$A$2006,A1380)&gt;1,"ID duplicado",IF(OR(B1380&lt;DATE(Configuración!$C$5,1,1),B1380&gt;=DATE(Configuración!$C$5+1,1,1)),"Fecha fuera del año",IF(OR(H1380&lt;0,I1380&lt;0),"Revisar signo",IF(AND(C1380&lt;&gt;"Gasto",I1380&lt;&gt;0),"IVA solo en Gasto",IF(AND(C1380="Gasto",D1380=""),"Falta categoría","OK")))))))))</f>
        <v/>
      </c>
    </row>
    <row r="1381" spans="1:12" ht="22" customHeight="1">
      <c r="A1381" s="3"/>
      <c r="B1381" s="7"/>
      <c r="C1381" s="3"/>
      <c r="D1381" s="3"/>
      <c r="E1381" s="3"/>
      <c r="F1381" s="3"/>
      <c r="G1381" s="3"/>
      <c r="H1381" s="4"/>
      <c r="I1381" s="4"/>
      <c r="J1381" s="3"/>
      <c r="K1381" s="8" t="str">
        <f t="shared" si="21"/>
        <v/>
      </c>
      <c r="L1381" s="1" t="str">
        <f>IF(COUNTA(A1381:J1381)=0,"",IF(OR(AND(C1381&lt;&gt;"Gasto",C1381&lt;&gt;"Pago proveedor",C1381&lt;&gt;"Retiro familiar",C1381&lt;&gt;"Aportación",C1381&lt;&gt;"Pago activo",C1381&lt;&gt;"ISR devengado",C1381&lt;&gt;"Pago ISR",C1381&lt;&gt;"Pago IVA",C1381&lt;&gt;"Compensación ISR",C1381&lt;&gt;"Compensación IVA"),AND(C1381="Gasto",D1381&lt;&gt;"Costos clínicos",D1381&lt;&gt;"Remuneración familiar",D1381&lt;&gt;"Nómina y honorarios",D1381&lt;&gt;"Renta",D1381&lt;&gt;"Marketing",D1381&lt;&gt;"Servicios y software",D1381&lt;&gt;"Mantenimiento",D1381&lt;&gt;"Otros",D1381&lt;&gt;"Intereses")),"Tipo o categoría inválido",IF(COUNTA(A1381:J1381)=0,"",IF(OR(A1381="",B1381="",C1381="",H1381=""),"Faltan datos",IF(COUNTIF($A$7:$A$2006,A1381)&gt;1,"ID duplicado",IF(OR(B1381&lt;DATE(Configuración!$C$5,1,1),B1381&gt;=DATE(Configuración!$C$5+1,1,1)),"Fecha fuera del año",IF(OR(H1381&lt;0,I1381&lt;0),"Revisar signo",IF(AND(C1381&lt;&gt;"Gasto",I1381&lt;&gt;0),"IVA solo en Gasto",IF(AND(C1381="Gasto",D1381=""),"Falta categoría","OK")))))))))</f>
        <v/>
      </c>
    </row>
    <row r="1382" spans="1:12" ht="22" customHeight="1">
      <c r="A1382" s="3"/>
      <c r="B1382" s="7"/>
      <c r="C1382" s="3"/>
      <c r="D1382" s="3"/>
      <c r="E1382" s="3"/>
      <c r="F1382" s="3"/>
      <c r="G1382" s="3"/>
      <c r="H1382" s="4"/>
      <c r="I1382" s="4"/>
      <c r="J1382" s="3"/>
      <c r="K1382" s="8" t="str">
        <f t="shared" si="21"/>
        <v/>
      </c>
      <c r="L1382" s="1" t="str">
        <f>IF(COUNTA(A1382:J1382)=0,"",IF(OR(AND(C1382&lt;&gt;"Gasto",C1382&lt;&gt;"Pago proveedor",C1382&lt;&gt;"Retiro familiar",C1382&lt;&gt;"Aportación",C1382&lt;&gt;"Pago activo",C1382&lt;&gt;"ISR devengado",C1382&lt;&gt;"Pago ISR",C1382&lt;&gt;"Pago IVA",C1382&lt;&gt;"Compensación ISR",C1382&lt;&gt;"Compensación IVA"),AND(C1382="Gasto",D1382&lt;&gt;"Costos clínicos",D1382&lt;&gt;"Remuneración familiar",D1382&lt;&gt;"Nómina y honorarios",D1382&lt;&gt;"Renta",D1382&lt;&gt;"Marketing",D1382&lt;&gt;"Servicios y software",D1382&lt;&gt;"Mantenimiento",D1382&lt;&gt;"Otros",D1382&lt;&gt;"Intereses")),"Tipo o categoría inválido",IF(COUNTA(A1382:J1382)=0,"",IF(OR(A1382="",B1382="",C1382="",H1382=""),"Faltan datos",IF(COUNTIF($A$7:$A$2006,A1382)&gt;1,"ID duplicado",IF(OR(B1382&lt;DATE(Configuración!$C$5,1,1),B1382&gt;=DATE(Configuración!$C$5+1,1,1)),"Fecha fuera del año",IF(OR(H1382&lt;0,I1382&lt;0),"Revisar signo",IF(AND(C1382&lt;&gt;"Gasto",I1382&lt;&gt;0),"IVA solo en Gasto",IF(AND(C1382="Gasto",D1382=""),"Falta categoría","OK")))))))))</f>
        <v/>
      </c>
    </row>
    <row r="1383" spans="1:12" ht="22" customHeight="1">
      <c r="A1383" s="3"/>
      <c r="B1383" s="7"/>
      <c r="C1383" s="3"/>
      <c r="D1383" s="3"/>
      <c r="E1383" s="3"/>
      <c r="F1383" s="3"/>
      <c r="G1383" s="3"/>
      <c r="H1383" s="4"/>
      <c r="I1383" s="4"/>
      <c r="J1383" s="3"/>
      <c r="K1383" s="8" t="str">
        <f t="shared" si="21"/>
        <v/>
      </c>
      <c r="L1383" s="1" t="str">
        <f>IF(COUNTA(A1383:J1383)=0,"",IF(OR(AND(C1383&lt;&gt;"Gasto",C1383&lt;&gt;"Pago proveedor",C1383&lt;&gt;"Retiro familiar",C1383&lt;&gt;"Aportación",C1383&lt;&gt;"Pago activo",C1383&lt;&gt;"ISR devengado",C1383&lt;&gt;"Pago ISR",C1383&lt;&gt;"Pago IVA",C1383&lt;&gt;"Compensación ISR",C1383&lt;&gt;"Compensación IVA"),AND(C1383="Gasto",D1383&lt;&gt;"Costos clínicos",D1383&lt;&gt;"Remuneración familiar",D1383&lt;&gt;"Nómina y honorarios",D1383&lt;&gt;"Renta",D1383&lt;&gt;"Marketing",D1383&lt;&gt;"Servicios y software",D1383&lt;&gt;"Mantenimiento",D1383&lt;&gt;"Otros",D1383&lt;&gt;"Intereses")),"Tipo o categoría inválido",IF(COUNTA(A1383:J1383)=0,"",IF(OR(A1383="",B1383="",C1383="",H1383=""),"Faltan datos",IF(COUNTIF($A$7:$A$2006,A1383)&gt;1,"ID duplicado",IF(OR(B1383&lt;DATE(Configuración!$C$5,1,1),B1383&gt;=DATE(Configuración!$C$5+1,1,1)),"Fecha fuera del año",IF(OR(H1383&lt;0,I1383&lt;0),"Revisar signo",IF(AND(C1383&lt;&gt;"Gasto",I1383&lt;&gt;0),"IVA solo en Gasto",IF(AND(C1383="Gasto",D1383=""),"Falta categoría","OK")))))))))</f>
        <v/>
      </c>
    </row>
    <row r="1384" spans="1:12" ht="22" customHeight="1">
      <c r="A1384" s="3"/>
      <c r="B1384" s="7"/>
      <c r="C1384" s="3"/>
      <c r="D1384" s="3"/>
      <c r="E1384" s="3"/>
      <c r="F1384" s="3"/>
      <c r="G1384" s="3"/>
      <c r="H1384" s="4"/>
      <c r="I1384" s="4"/>
      <c r="J1384" s="3"/>
      <c r="K1384" s="8" t="str">
        <f t="shared" si="21"/>
        <v/>
      </c>
      <c r="L1384" s="1" t="str">
        <f>IF(COUNTA(A1384:J1384)=0,"",IF(OR(AND(C1384&lt;&gt;"Gasto",C1384&lt;&gt;"Pago proveedor",C1384&lt;&gt;"Retiro familiar",C1384&lt;&gt;"Aportación",C1384&lt;&gt;"Pago activo",C1384&lt;&gt;"ISR devengado",C1384&lt;&gt;"Pago ISR",C1384&lt;&gt;"Pago IVA",C1384&lt;&gt;"Compensación ISR",C1384&lt;&gt;"Compensación IVA"),AND(C1384="Gasto",D1384&lt;&gt;"Costos clínicos",D1384&lt;&gt;"Remuneración familiar",D1384&lt;&gt;"Nómina y honorarios",D1384&lt;&gt;"Renta",D1384&lt;&gt;"Marketing",D1384&lt;&gt;"Servicios y software",D1384&lt;&gt;"Mantenimiento",D1384&lt;&gt;"Otros",D1384&lt;&gt;"Intereses")),"Tipo o categoría inválido",IF(COUNTA(A1384:J1384)=0,"",IF(OR(A1384="",B1384="",C1384="",H1384=""),"Faltan datos",IF(COUNTIF($A$7:$A$2006,A1384)&gt;1,"ID duplicado",IF(OR(B1384&lt;DATE(Configuración!$C$5,1,1),B1384&gt;=DATE(Configuración!$C$5+1,1,1)),"Fecha fuera del año",IF(OR(H1384&lt;0,I1384&lt;0),"Revisar signo",IF(AND(C1384&lt;&gt;"Gasto",I1384&lt;&gt;0),"IVA solo en Gasto",IF(AND(C1384="Gasto",D1384=""),"Falta categoría","OK")))))))))</f>
        <v/>
      </c>
    </row>
    <row r="1385" spans="1:12" ht="22" customHeight="1">
      <c r="A1385" s="3"/>
      <c r="B1385" s="7"/>
      <c r="C1385" s="3"/>
      <c r="D1385" s="3"/>
      <c r="E1385" s="3"/>
      <c r="F1385" s="3"/>
      <c r="G1385" s="3"/>
      <c r="H1385" s="4"/>
      <c r="I1385" s="4"/>
      <c r="J1385" s="3"/>
      <c r="K1385" s="8" t="str">
        <f t="shared" si="21"/>
        <v/>
      </c>
      <c r="L1385" s="1" t="str">
        <f>IF(COUNTA(A1385:J1385)=0,"",IF(OR(AND(C1385&lt;&gt;"Gasto",C1385&lt;&gt;"Pago proveedor",C1385&lt;&gt;"Retiro familiar",C1385&lt;&gt;"Aportación",C1385&lt;&gt;"Pago activo",C1385&lt;&gt;"ISR devengado",C1385&lt;&gt;"Pago ISR",C1385&lt;&gt;"Pago IVA",C1385&lt;&gt;"Compensación ISR",C1385&lt;&gt;"Compensación IVA"),AND(C1385="Gasto",D1385&lt;&gt;"Costos clínicos",D1385&lt;&gt;"Remuneración familiar",D1385&lt;&gt;"Nómina y honorarios",D1385&lt;&gt;"Renta",D1385&lt;&gt;"Marketing",D1385&lt;&gt;"Servicios y software",D1385&lt;&gt;"Mantenimiento",D1385&lt;&gt;"Otros",D1385&lt;&gt;"Intereses")),"Tipo o categoría inválido",IF(COUNTA(A1385:J1385)=0,"",IF(OR(A1385="",B1385="",C1385="",H1385=""),"Faltan datos",IF(COUNTIF($A$7:$A$2006,A1385)&gt;1,"ID duplicado",IF(OR(B1385&lt;DATE(Configuración!$C$5,1,1),B1385&gt;=DATE(Configuración!$C$5+1,1,1)),"Fecha fuera del año",IF(OR(H1385&lt;0,I1385&lt;0),"Revisar signo",IF(AND(C1385&lt;&gt;"Gasto",I1385&lt;&gt;0),"IVA solo en Gasto",IF(AND(C1385="Gasto",D1385=""),"Falta categoría","OK")))))))))</f>
        <v/>
      </c>
    </row>
    <row r="1386" spans="1:12" ht="22" customHeight="1">
      <c r="A1386" s="3"/>
      <c r="B1386" s="7"/>
      <c r="C1386" s="3"/>
      <c r="D1386" s="3"/>
      <c r="E1386" s="3"/>
      <c r="F1386" s="3"/>
      <c r="G1386" s="3"/>
      <c r="H1386" s="4"/>
      <c r="I1386" s="4"/>
      <c r="J1386" s="3"/>
      <c r="K1386" s="8" t="str">
        <f t="shared" si="21"/>
        <v/>
      </c>
      <c r="L1386" s="1" t="str">
        <f>IF(COUNTA(A1386:J1386)=0,"",IF(OR(AND(C1386&lt;&gt;"Gasto",C1386&lt;&gt;"Pago proveedor",C1386&lt;&gt;"Retiro familiar",C1386&lt;&gt;"Aportación",C1386&lt;&gt;"Pago activo",C1386&lt;&gt;"ISR devengado",C1386&lt;&gt;"Pago ISR",C1386&lt;&gt;"Pago IVA",C1386&lt;&gt;"Compensación ISR",C1386&lt;&gt;"Compensación IVA"),AND(C1386="Gasto",D1386&lt;&gt;"Costos clínicos",D1386&lt;&gt;"Remuneración familiar",D1386&lt;&gt;"Nómina y honorarios",D1386&lt;&gt;"Renta",D1386&lt;&gt;"Marketing",D1386&lt;&gt;"Servicios y software",D1386&lt;&gt;"Mantenimiento",D1386&lt;&gt;"Otros",D1386&lt;&gt;"Intereses")),"Tipo o categoría inválido",IF(COUNTA(A1386:J1386)=0,"",IF(OR(A1386="",B1386="",C1386="",H1386=""),"Faltan datos",IF(COUNTIF($A$7:$A$2006,A1386)&gt;1,"ID duplicado",IF(OR(B1386&lt;DATE(Configuración!$C$5,1,1),B1386&gt;=DATE(Configuración!$C$5+1,1,1)),"Fecha fuera del año",IF(OR(H1386&lt;0,I1386&lt;0),"Revisar signo",IF(AND(C1386&lt;&gt;"Gasto",I1386&lt;&gt;0),"IVA solo en Gasto",IF(AND(C1386="Gasto",D1386=""),"Falta categoría","OK")))))))))</f>
        <v/>
      </c>
    </row>
    <row r="1387" spans="1:12" ht="22" customHeight="1">
      <c r="A1387" s="3"/>
      <c r="B1387" s="7"/>
      <c r="C1387" s="3"/>
      <c r="D1387" s="3"/>
      <c r="E1387" s="3"/>
      <c r="F1387" s="3"/>
      <c r="G1387" s="3"/>
      <c r="H1387" s="4"/>
      <c r="I1387" s="4"/>
      <c r="J1387" s="3"/>
      <c r="K1387" s="8" t="str">
        <f t="shared" si="21"/>
        <v/>
      </c>
      <c r="L1387" s="1" t="str">
        <f>IF(COUNTA(A1387:J1387)=0,"",IF(OR(AND(C1387&lt;&gt;"Gasto",C1387&lt;&gt;"Pago proveedor",C1387&lt;&gt;"Retiro familiar",C1387&lt;&gt;"Aportación",C1387&lt;&gt;"Pago activo",C1387&lt;&gt;"ISR devengado",C1387&lt;&gt;"Pago ISR",C1387&lt;&gt;"Pago IVA",C1387&lt;&gt;"Compensación ISR",C1387&lt;&gt;"Compensación IVA"),AND(C1387="Gasto",D1387&lt;&gt;"Costos clínicos",D1387&lt;&gt;"Remuneración familiar",D1387&lt;&gt;"Nómina y honorarios",D1387&lt;&gt;"Renta",D1387&lt;&gt;"Marketing",D1387&lt;&gt;"Servicios y software",D1387&lt;&gt;"Mantenimiento",D1387&lt;&gt;"Otros",D1387&lt;&gt;"Intereses")),"Tipo o categoría inválido",IF(COUNTA(A1387:J1387)=0,"",IF(OR(A1387="",B1387="",C1387="",H1387=""),"Faltan datos",IF(COUNTIF($A$7:$A$2006,A1387)&gt;1,"ID duplicado",IF(OR(B1387&lt;DATE(Configuración!$C$5,1,1),B1387&gt;=DATE(Configuración!$C$5+1,1,1)),"Fecha fuera del año",IF(OR(H1387&lt;0,I1387&lt;0),"Revisar signo",IF(AND(C1387&lt;&gt;"Gasto",I1387&lt;&gt;0),"IVA solo en Gasto",IF(AND(C1387="Gasto",D1387=""),"Falta categoría","OK")))))))))</f>
        <v/>
      </c>
    </row>
    <row r="1388" spans="1:12" ht="22" customHeight="1">
      <c r="A1388" s="3"/>
      <c r="B1388" s="7"/>
      <c r="C1388" s="3"/>
      <c r="D1388" s="3"/>
      <c r="E1388" s="3"/>
      <c r="F1388" s="3"/>
      <c r="G1388" s="3"/>
      <c r="H1388" s="4"/>
      <c r="I1388" s="4"/>
      <c r="J1388" s="3"/>
      <c r="K1388" s="8" t="str">
        <f t="shared" si="21"/>
        <v/>
      </c>
      <c r="L1388" s="1" t="str">
        <f>IF(COUNTA(A1388:J1388)=0,"",IF(OR(AND(C1388&lt;&gt;"Gasto",C1388&lt;&gt;"Pago proveedor",C1388&lt;&gt;"Retiro familiar",C1388&lt;&gt;"Aportación",C1388&lt;&gt;"Pago activo",C1388&lt;&gt;"ISR devengado",C1388&lt;&gt;"Pago ISR",C1388&lt;&gt;"Pago IVA",C1388&lt;&gt;"Compensación ISR",C1388&lt;&gt;"Compensación IVA"),AND(C1388="Gasto",D1388&lt;&gt;"Costos clínicos",D1388&lt;&gt;"Remuneración familiar",D1388&lt;&gt;"Nómina y honorarios",D1388&lt;&gt;"Renta",D1388&lt;&gt;"Marketing",D1388&lt;&gt;"Servicios y software",D1388&lt;&gt;"Mantenimiento",D1388&lt;&gt;"Otros",D1388&lt;&gt;"Intereses")),"Tipo o categoría inválido",IF(COUNTA(A1388:J1388)=0,"",IF(OR(A1388="",B1388="",C1388="",H1388=""),"Faltan datos",IF(COUNTIF($A$7:$A$2006,A1388)&gt;1,"ID duplicado",IF(OR(B1388&lt;DATE(Configuración!$C$5,1,1),B1388&gt;=DATE(Configuración!$C$5+1,1,1)),"Fecha fuera del año",IF(OR(H1388&lt;0,I1388&lt;0),"Revisar signo",IF(AND(C1388&lt;&gt;"Gasto",I1388&lt;&gt;0),"IVA solo en Gasto",IF(AND(C1388="Gasto",D1388=""),"Falta categoría","OK")))))))))</f>
        <v/>
      </c>
    </row>
    <row r="1389" spans="1:12" ht="22" customHeight="1">
      <c r="A1389" s="3"/>
      <c r="B1389" s="7"/>
      <c r="C1389" s="3"/>
      <c r="D1389" s="3"/>
      <c r="E1389" s="3"/>
      <c r="F1389" s="3"/>
      <c r="G1389" s="3"/>
      <c r="H1389" s="4"/>
      <c r="I1389" s="4"/>
      <c r="J1389" s="3"/>
      <c r="K1389" s="8" t="str">
        <f t="shared" si="21"/>
        <v/>
      </c>
      <c r="L1389" s="1" t="str">
        <f>IF(COUNTA(A1389:J1389)=0,"",IF(OR(AND(C1389&lt;&gt;"Gasto",C1389&lt;&gt;"Pago proveedor",C1389&lt;&gt;"Retiro familiar",C1389&lt;&gt;"Aportación",C1389&lt;&gt;"Pago activo",C1389&lt;&gt;"ISR devengado",C1389&lt;&gt;"Pago ISR",C1389&lt;&gt;"Pago IVA",C1389&lt;&gt;"Compensación ISR",C1389&lt;&gt;"Compensación IVA"),AND(C1389="Gasto",D1389&lt;&gt;"Costos clínicos",D1389&lt;&gt;"Remuneración familiar",D1389&lt;&gt;"Nómina y honorarios",D1389&lt;&gt;"Renta",D1389&lt;&gt;"Marketing",D1389&lt;&gt;"Servicios y software",D1389&lt;&gt;"Mantenimiento",D1389&lt;&gt;"Otros",D1389&lt;&gt;"Intereses")),"Tipo o categoría inválido",IF(COUNTA(A1389:J1389)=0,"",IF(OR(A1389="",B1389="",C1389="",H1389=""),"Faltan datos",IF(COUNTIF($A$7:$A$2006,A1389)&gt;1,"ID duplicado",IF(OR(B1389&lt;DATE(Configuración!$C$5,1,1),B1389&gt;=DATE(Configuración!$C$5+1,1,1)),"Fecha fuera del año",IF(OR(H1389&lt;0,I1389&lt;0),"Revisar signo",IF(AND(C1389&lt;&gt;"Gasto",I1389&lt;&gt;0),"IVA solo en Gasto",IF(AND(C1389="Gasto",D1389=""),"Falta categoría","OK")))))))))</f>
        <v/>
      </c>
    </row>
    <row r="1390" spans="1:12" ht="22" customHeight="1">
      <c r="A1390" s="3"/>
      <c r="B1390" s="7"/>
      <c r="C1390" s="3"/>
      <c r="D1390" s="3"/>
      <c r="E1390" s="3"/>
      <c r="F1390" s="3"/>
      <c r="G1390" s="3"/>
      <c r="H1390" s="4"/>
      <c r="I1390" s="4"/>
      <c r="J1390" s="3"/>
      <c r="K1390" s="8" t="str">
        <f t="shared" si="21"/>
        <v/>
      </c>
      <c r="L1390" s="1" t="str">
        <f>IF(COUNTA(A1390:J1390)=0,"",IF(OR(AND(C1390&lt;&gt;"Gasto",C1390&lt;&gt;"Pago proveedor",C1390&lt;&gt;"Retiro familiar",C1390&lt;&gt;"Aportación",C1390&lt;&gt;"Pago activo",C1390&lt;&gt;"ISR devengado",C1390&lt;&gt;"Pago ISR",C1390&lt;&gt;"Pago IVA",C1390&lt;&gt;"Compensación ISR",C1390&lt;&gt;"Compensación IVA"),AND(C1390="Gasto",D1390&lt;&gt;"Costos clínicos",D1390&lt;&gt;"Remuneración familiar",D1390&lt;&gt;"Nómina y honorarios",D1390&lt;&gt;"Renta",D1390&lt;&gt;"Marketing",D1390&lt;&gt;"Servicios y software",D1390&lt;&gt;"Mantenimiento",D1390&lt;&gt;"Otros",D1390&lt;&gt;"Intereses")),"Tipo o categoría inválido",IF(COUNTA(A1390:J1390)=0,"",IF(OR(A1390="",B1390="",C1390="",H1390=""),"Faltan datos",IF(COUNTIF($A$7:$A$2006,A1390)&gt;1,"ID duplicado",IF(OR(B1390&lt;DATE(Configuración!$C$5,1,1),B1390&gt;=DATE(Configuración!$C$5+1,1,1)),"Fecha fuera del año",IF(OR(H1390&lt;0,I1390&lt;0),"Revisar signo",IF(AND(C1390&lt;&gt;"Gasto",I1390&lt;&gt;0),"IVA solo en Gasto",IF(AND(C1390="Gasto",D1390=""),"Falta categoría","OK")))))))))</f>
        <v/>
      </c>
    </row>
    <row r="1391" spans="1:12" ht="22" customHeight="1">
      <c r="A1391" s="3"/>
      <c r="B1391" s="7"/>
      <c r="C1391" s="3"/>
      <c r="D1391" s="3"/>
      <c r="E1391" s="3"/>
      <c r="F1391" s="3"/>
      <c r="G1391" s="3"/>
      <c r="H1391" s="4"/>
      <c r="I1391" s="4"/>
      <c r="J1391" s="3"/>
      <c r="K1391" s="8" t="str">
        <f t="shared" si="21"/>
        <v/>
      </c>
      <c r="L1391" s="1" t="str">
        <f>IF(COUNTA(A1391:J1391)=0,"",IF(OR(AND(C1391&lt;&gt;"Gasto",C1391&lt;&gt;"Pago proveedor",C1391&lt;&gt;"Retiro familiar",C1391&lt;&gt;"Aportación",C1391&lt;&gt;"Pago activo",C1391&lt;&gt;"ISR devengado",C1391&lt;&gt;"Pago ISR",C1391&lt;&gt;"Pago IVA",C1391&lt;&gt;"Compensación ISR",C1391&lt;&gt;"Compensación IVA"),AND(C1391="Gasto",D1391&lt;&gt;"Costos clínicos",D1391&lt;&gt;"Remuneración familiar",D1391&lt;&gt;"Nómina y honorarios",D1391&lt;&gt;"Renta",D1391&lt;&gt;"Marketing",D1391&lt;&gt;"Servicios y software",D1391&lt;&gt;"Mantenimiento",D1391&lt;&gt;"Otros",D1391&lt;&gt;"Intereses")),"Tipo o categoría inválido",IF(COUNTA(A1391:J1391)=0,"",IF(OR(A1391="",B1391="",C1391="",H1391=""),"Faltan datos",IF(COUNTIF($A$7:$A$2006,A1391)&gt;1,"ID duplicado",IF(OR(B1391&lt;DATE(Configuración!$C$5,1,1),B1391&gt;=DATE(Configuración!$C$5+1,1,1)),"Fecha fuera del año",IF(OR(H1391&lt;0,I1391&lt;0),"Revisar signo",IF(AND(C1391&lt;&gt;"Gasto",I1391&lt;&gt;0),"IVA solo en Gasto",IF(AND(C1391="Gasto",D1391=""),"Falta categoría","OK")))))))))</f>
        <v/>
      </c>
    </row>
    <row r="1392" spans="1:12" ht="22" customHeight="1">
      <c r="A1392" s="3"/>
      <c r="B1392" s="7"/>
      <c r="C1392" s="3"/>
      <c r="D1392" s="3"/>
      <c r="E1392" s="3"/>
      <c r="F1392" s="3"/>
      <c r="G1392" s="3"/>
      <c r="H1392" s="4"/>
      <c r="I1392" s="4"/>
      <c r="J1392" s="3"/>
      <c r="K1392" s="8" t="str">
        <f t="shared" si="21"/>
        <v/>
      </c>
      <c r="L1392" s="1" t="str">
        <f>IF(COUNTA(A1392:J1392)=0,"",IF(OR(AND(C1392&lt;&gt;"Gasto",C1392&lt;&gt;"Pago proveedor",C1392&lt;&gt;"Retiro familiar",C1392&lt;&gt;"Aportación",C1392&lt;&gt;"Pago activo",C1392&lt;&gt;"ISR devengado",C1392&lt;&gt;"Pago ISR",C1392&lt;&gt;"Pago IVA",C1392&lt;&gt;"Compensación ISR",C1392&lt;&gt;"Compensación IVA"),AND(C1392="Gasto",D1392&lt;&gt;"Costos clínicos",D1392&lt;&gt;"Remuneración familiar",D1392&lt;&gt;"Nómina y honorarios",D1392&lt;&gt;"Renta",D1392&lt;&gt;"Marketing",D1392&lt;&gt;"Servicios y software",D1392&lt;&gt;"Mantenimiento",D1392&lt;&gt;"Otros",D1392&lt;&gt;"Intereses")),"Tipo o categoría inválido",IF(COUNTA(A1392:J1392)=0,"",IF(OR(A1392="",B1392="",C1392="",H1392=""),"Faltan datos",IF(COUNTIF($A$7:$A$2006,A1392)&gt;1,"ID duplicado",IF(OR(B1392&lt;DATE(Configuración!$C$5,1,1),B1392&gt;=DATE(Configuración!$C$5+1,1,1)),"Fecha fuera del año",IF(OR(H1392&lt;0,I1392&lt;0),"Revisar signo",IF(AND(C1392&lt;&gt;"Gasto",I1392&lt;&gt;0),"IVA solo en Gasto",IF(AND(C1392="Gasto",D1392=""),"Falta categoría","OK")))))))))</f>
        <v/>
      </c>
    </row>
    <row r="1393" spans="1:12" ht="22" customHeight="1">
      <c r="A1393" s="3"/>
      <c r="B1393" s="7"/>
      <c r="C1393" s="3"/>
      <c r="D1393" s="3"/>
      <c r="E1393" s="3"/>
      <c r="F1393" s="3"/>
      <c r="G1393" s="3"/>
      <c r="H1393" s="4"/>
      <c r="I1393" s="4"/>
      <c r="J1393" s="3"/>
      <c r="K1393" s="8" t="str">
        <f t="shared" si="21"/>
        <v/>
      </c>
      <c r="L1393" s="1" t="str">
        <f>IF(COUNTA(A1393:J1393)=0,"",IF(OR(AND(C1393&lt;&gt;"Gasto",C1393&lt;&gt;"Pago proveedor",C1393&lt;&gt;"Retiro familiar",C1393&lt;&gt;"Aportación",C1393&lt;&gt;"Pago activo",C1393&lt;&gt;"ISR devengado",C1393&lt;&gt;"Pago ISR",C1393&lt;&gt;"Pago IVA",C1393&lt;&gt;"Compensación ISR",C1393&lt;&gt;"Compensación IVA"),AND(C1393="Gasto",D1393&lt;&gt;"Costos clínicos",D1393&lt;&gt;"Remuneración familiar",D1393&lt;&gt;"Nómina y honorarios",D1393&lt;&gt;"Renta",D1393&lt;&gt;"Marketing",D1393&lt;&gt;"Servicios y software",D1393&lt;&gt;"Mantenimiento",D1393&lt;&gt;"Otros",D1393&lt;&gt;"Intereses")),"Tipo o categoría inválido",IF(COUNTA(A1393:J1393)=0,"",IF(OR(A1393="",B1393="",C1393="",H1393=""),"Faltan datos",IF(COUNTIF($A$7:$A$2006,A1393)&gt;1,"ID duplicado",IF(OR(B1393&lt;DATE(Configuración!$C$5,1,1),B1393&gt;=DATE(Configuración!$C$5+1,1,1)),"Fecha fuera del año",IF(OR(H1393&lt;0,I1393&lt;0),"Revisar signo",IF(AND(C1393&lt;&gt;"Gasto",I1393&lt;&gt;0),"IVA solo en Gasto",IF(AND(C1393="Gasto",D1393=""),"Falta categoría","OK")))))))))</f>
        <v/>
      </c>
    </row>
    <row r="1394" spans="1:12" ht="22" customHeight="1">
      <c r="A1394" s="3"/>
      <c r="B1394" s="7"/>
      <c r="C1394" s="3"/>
      <c r="D1394" s="3"/>
      <c r="E1394" s="3"/>
      <c r="F1394" s="3"/>
      <c r="G1394" s="3"/>
      <c r="H1394" s="4"/>
      <c r="I1394" s="4"/>
      <c r="J1394" s="3"/>
      <c r="K1394" s="8" t="str">
        <f t="shared" si="21"/>
        <v/>
      </c>
      <c r="L1394" s="1" t="str">
        <f>IF(COUNTA(A1394:J1394)=0,"",IF(OR(AND(C1394&lt;&gt;"Gasto",C1394&lt;&gt;"Pago proveedor",C1394&lt;&gt;"Retiro familiar",C1394&lt;&gt;"Aportación",C1394&lt;&gt;"Pago activo",C1394&lt;&gt;"ISR devengado",C1394&lt;&gt;"Pago ISR",C1394&lt;&gt;"Pago IVA",C1394&lt;&gt;"Compensación ISR",C1394&lt;&gt;"Compensación IVA"),AND(C1394="Gasto",D1394&lt;&gt;"Costos clínicos",D1394&lt;&gt;"Remuneración familiar",D1394&lt;&gt;"Nómina y honorarios",D1394&lt;&gt;"Renta",D1394&lt;&gt;"Marketing",D1394&lt;&gt;"Servicios y software",D1394&lt;&gt;"Mantenimiento",D1394&lt;&gt;"Otros",D1394&lt;&gt;"Intereses")),"Tipo o categoría inválido",IF(COUNTA(A1394:J1394)=0,"",IF(OR(A1394="",B1394="",C1394="",H1394=""),"Faltan datos",IF(COUNTIF($A$7:$A$2006,A1394)&gt;1,"ID duplicado",IF(OR(B1394&lt;DATE(Configuración!$C$5,1,1),B1394&gt;=DATE(Configuración!$C$5+1,1,1)),"Fecha fuera del año",IF(OR(H1394&lt;0,I1394&lt;0),"Revisar signo",IF(AND(C1394&lt;&gt;"Gasto",I1394&lt;&gt;0),"IVA solo en Gasto",IF(AND(C1394="Gasto",D1394=""),"Falta categoría","OK")))))))))</f>
        <v/>
      </c>
    </row>
    <row r="1395" spans="1:12" ht="22" customHeight="1">
      <c r="A1395" s="3"/>
      <c r="B1395" s="7"/>
      <c r="C1395" s="3"/>
      <c r="D1395" s="3"/>
      <c r="E1395" s="3"/>
      <c r="F1395" s="3"/>
      <c r="G1395" s="3"/>
      <c r="H1395" s="4"/>
      <c r="I1395" s="4"/>
      <c r="J1395" s="3"/>
      <c r="K1395" s="8" t="str">
        <f t="shared" si="21"/>
        <v/>
      </c>
      <c r="L1395" s="1" t="str">
        <f>IF(COUNTA(A1395:J1395)=0,"",IF(OR(AND(C1395&lt;&gt;"Gasto",C1395&lt;&gt;"Pago proveedor",C1395&lt;&gt;"Retiro familiar",C1395&lt;&gt;"Aportación",C1395&lt;&gt;"Pago activo",C1395&lt;&gt;"ISR devengado",C1395&lt;&gt;"Pago ISR",C1395&lt;&gt;"Pago IVA",C1395&lt;&gt;"Compensación ISR",C1395&lt;&gt;"Compensación IVA"),AND(C1395="Gasto",D1395&lt;&gt;"Costos clínicos",D1395&lt;&gt;"Remuneración familiar",D1395&lt;&gt;"Nómina y honorarios",D1395&lt;&gt;"Renta",D1395&lt;&gt;"Marketing",D1395&lt;&gt;"Servicios y software",D1395&lt;&gt;"Mantenimiento",D1395&lt;&gt;"Otros",D1395&lt;&gt;"Intereses")),"Tipo o categoría inválido",IF(COUNTA(A1395:J1395)=0,"",IF(OR(A1395="",B1395="",C1395="",H1395=""),"Faltan datos",IF(COUNTIF($A$7:$A$2006,A1395)&gt;1,"ID duplicado",IF(OR(B1395&lt;DATE(Configuración!$C$5,1,1),B1395&gt;=DATE(Configuración!$C$5+1,1,1)),"Fecha fuera del año",IF(OR(H1395&lt;0,I1395&lt;0),"Revisar signo",IF(AND(C1395&lt;&gt;"Gasto",I1395&lt;&gt;0),"IVA solo en Gasto",IF(AND(C1395="Gasto",D1395=""),"Falta categoría","OK")))))))))</f>
        <v/>
      </c>
    </row>
    <row r="1396" spans="1:12" ht="22" customHeight="1">
      <c r="A1396" s="3"/>
      <c r="B1396" s="7"/>
      <c r="C1396" s="3"/>
      <c r="D1396" s="3"/>
      <c r="E1396" s="3"/>
      <c r="F1396" s="3"/>
      <c r="G1396" s="3"/>
      <c r="H1396" s="4"/>
      <c r="I1396" s="4"/>
      <c r="J1396" s="3"/>
      <c r="K1396" s="8" t="str">
        <f t="shared" si="21"/>
        <v/>
      </c>
      <c r="L1396" s="1" t="str">
        <f>IF(COUNTA(A1396:J1396)=0,"",IF(OR(AND(C1396&lt;&gt;"Gasto",C1396&lt;&gt;"Pago proveedor",C1396&lt;&gt;"Retiro familiar",C1396&lt;&gt;"Aportación",C1396&lt;&gt;"Pago activo",C1396&lt;&gt;"ISR devengado",C1396&lt;&gt;"Pago ISR",C1396&lt;&gt;"Pago IVA",C1396&lt;&gt;"Compensación ISR",C1396&lt;&gt;"Compensación IVA"),AND(C1396="Gasto",D1396&lt;&gt;"Costos clínicos",D1396&lt;&gt;"Remuneración familiar",D1396&lt;&gt;"Nómina y honorarios",D1396&lt;&gt;"Renta",D1396&lt;&gt;"Marketing",D1396&lt;&gt;"Servicios y software",D1396&lt;&gt;"Mantenimiento",D1396&lt;&gt;"Otros",D1396&lt;&gt;"Intereses")),"Tipo o categoría inválido",IF(COUNTA(A1396:J1396)=0,"",IF(OR(A1396="",B1396="",C1396="",H1396=""),"Faltan datos",IF(COUNTIF($A$7:$A$2006,A1396)&gt;1,"ID duplicado",IF(OR(B1396&lt;DATE(Configuración!$C$5,1,1),B1396&gt;=DATE(Configuración!$C$5+1,1,1)),"Fecha fuera del año",IF(OR(H1396&lt;0,I1396&lt;0),"Revisar signo",IF(AND(C1396&lt;&gt;"Gasto",I1396&lt;&gt;0),"IVA solo en Gasto",IF(AND(C1396="Gasto",D1396=""),"Falta categoría","OK")))))))))</f>
        <v/>
      </c>
    </row>
    <row r="1397" spans="1:12" ht="22" customHeight="1">
      <c r="A1397" s="3"/>
      <c r="B1397" s="7"/>
      <c r="C1397" s="3"/>
      <c r="D1397" s="3"/>
      <c r="E1397" s="3"/>
      <c r="F1397" s="3"/>
      <c r="G1397" s="3"/>
      <c r="H1397" s="4"/>
      <c r="I1397" s="4"/>
      <c r="J1397" s="3"/>
      <c r="K1397" s="8" t="str">
        <f t="shared" si="21"/>
        <v/>
      </c>
      <c r="L1397" s="1" t="str">
        <f>IF(COUNTA(A1397:J1397)=0,"",IF(OR(AND(C1397&lt;&gt;"Gasto",C1397&lt;&gt;"Pago proveedor",C1397&lt;&gt;"Retiro familiar",C1397&lt;&gt;"Aportación",C1397&lt;&gt;"Pago activo",C1397&lt;&gt;"ISR devengado",C1397&lt;&gt;"Pago ISR",C1397&lt;&gt;"Pago IVA",C1397&lt;&gt;"Compensación ISR",C1397&lt;&gt;"Compensación IVA"),AND(C1397="Gasto",D1397&lt;&gt;"Costos clínicos",D1397&lt;&gt;"Remuneración familiar",D1397&lt;&gt;"Nómina y honorarios",D1397&lt;&gt;"Renta",D1397&lt;&gt;"Marketing",D1397&lt;&gt;"Servicios y software",D1397&lt;&gt;"Mantenimiento",D1397&lt;&gt;"Otros",D1397&lt;&gt;"Intereses")),"Tipo o categoría inválido",IF(COUNTA(A1397:J1397)=0,"",IF(OR(A1397="",B1397="",C1397="",H1397=""),"Faltan datos",IF(COUNTIF($A$7:$A$2006,A1397)&gt;1,"ID duplicado",IF(OR(B1397&lt;DATE(Configuración!$C$5,1,1),B1397&gt;=DATE(Configuración!$C$5+1,1,1)),"Fecha fuera del año",IF(OR(H1397&lt;0,I1397&lt;0),"Revisar signo",IF(AND(C1397&lt;&gt;"Gasto",I1397&lt;&gt;0),"IVA solo en Gasto",IF(AND(C1397="Gasto",D1397=""),"Falta categoría","OK")))))))))</f>
        <v/>
      </c>
    </row>
    <row r="1398" spans="1:12" ht="22" customHeight="1">
      <c r="A1398" s="3"/>
      <c r="B1398" s="7"/>
      <c r="C1398" s="3"/>
      <c r="D1398" s="3"/>
      <c r="E1398" s="3"/>
      <c r="F1398" s="3"/>
      <c r="G1398" s="3"/>
      <c r="H1398" s="4"/>
      <c r="I1398" s="4"/>
      <c r="J1398" s="3"/>
      <c r="K1398" s="8" t="str">
        <f t="shared" si="21"/>
        <v/>
      </c>
      <c r="L1398" s="1" t="str">
        <f>IF(COUNTA(A1398:J1398)=0,"",IF(OR(AND(C1398&lt;&gt;"Gasto",C1398&lt;&gt;"Pago proveedor",C1398&lt;&gt;"Retiro familiar",C1398&lt;&gt;"Aportación",C1398&lt;&gt;"Pago activo",C1398&lt;&gt;"ISR devengado",C1398&lt;&gt;"Pago ISR",C1398&lt;&gt;"Pago IVA",C1398&lt;&gt;"Compensación ISR",C1398&lt;&gt;"Compensación IVA"),AND(C1398="Gasto",D1398&lt;&gt;"Costos clínicos",D1398&lt;&gt;"Remuneración familiar",D1398&lt;&gt;"Nómina y honorarios",D1398&lt;&gt;"Renta",D1398&lt;&gt;"Marketing",D1398&lt;&gt;"Servicios y software",D1398&lt;&gt;"Mantenimiento",D1398&lt;&gt;"Otros",D1398&lt;&gt;"Intereses")),"Tipo o categoría inválido",IF(COUNTA(A1398:J1398)=0,"",IF(OR(A1398="",B1398="",C1398="",H1398=""),"Faltan datos",IF(COUNTIF($A$7:$A$2006,A1398)&gt;1,"ID duplicado",IF(OR(B1398&lt;DATE(Configuración!$C$5,1,1),B1398&gt;=DATE(Configuración!$C$5+1,1,1)),"Fecha fuera del año",IF(OR(H1398&lt;0,I1398&lt;0),"Revisar signo",IF(AND(C1398&lt;&gt;"Gasto",I1398&lt;&gt;0),"IVA solo en Gasto",IF(AND(C1398="Gasto",D1398=""),"Falta categoría","OK")))))))))</f>
        <v/>
      </c>
    </row>
    <row r="1399" spans="1:12" ht="22" customHeight="1">
      <c r="A1399" s="3"/>
      <c r="B1399" s="7"/>
      <c r="C1399" s="3"/>
      <c r="D1399" s="3"/>
      <c r="E1399" s="3"/>
      <c r="F1399" s="3"/>
      <c r="G1399" s="3"/>
      <c r="H1399" s="4"/>
      <c r="I1399" s="4"/>
      <c r="J1399" s="3"/>
      <c r="K1399" s="8" t="str">
        <f t="shared" si="21"/>
        <v/>
      </c>
      <c r="L1399" s="1" t="str">
        <f>IF(COUNTA(A1399:J1399)=0,"",IF(OR(AND(C1399&lt;&gt;"Gasto",C1399&lt;&gt;"Pago proveedor",C1399&lt;&gt;"Retiro familiar",C1399&lt;&gt;"Aportación",C1399&lt;&gt;"Pago activo",C1399&lt;&gt;"ISR devengado",C1399&lt;&gt;"Pago ISR",C1399&lt;&gt;"Pago IVA",C1399&lt;&gt;"Compensación ISR",C1399&lt;&gt;"Compensación IVA"),AND(C1399="Gasto",D1399&lt;&gt;"Costos clínicos",D1399&lt;&gt;"Remuneración familiar",D1399&lt;&gt;"Nómina y honorarios",D1399&lt;&gt;"Renta",D1399&lt;&gt;"Marketing",D1399&lt;&gt;"Servicios y software",D1399&lt;&gt;"Mantenimiento",D1399&lt;&gt;"Otros",D1399&lt;&gt;"Intereses")),"Tipo o categoría inválido",IF(COUNTA(A1399:J1399)=0,"",IF(OR(A1399="",B1399="",C1399="",H1399=""),"Faltan datos",IF(COUNTIF($A$7:$A$2006,A1399)&gt;1,"ID duplicado",IF(OR(B1399&lt;DATE(Configuración!$C$5,1,1),B1399&gt;=DATE(Configuración!$C$5+1,1,1)),"Fecha fuera del año",IF(OR(H1399&lt;0,I1399&lt;0),"Revisar signo",IF(AND(C1399&lt;&gt;"Gasto",I1399&lt;&gt;0),"IVA solo en Gasto",IF(AND(C1399="Gasto",D1399=""),"Falta categoría","OK")))))))))</f>
        <v/>
      </c>
    </row>
    <row r="1400" spans="1:12" ht="22" customHeight="1">
      <c r="A1400" s="3"/>
      <c r="B1400" s="7"/>
      <c r="C1400" s="3"/>
      <c r="D1400" s="3"/>
      <c r="E1400" s="3"/>
      <c r="F1400" s="3"/>
      <c r="G1400" s="3"/>
      <c r="H1400" s="4"/>
      <c r="I1400" s="4"/>
      <c r="J1400" s="3"/>
      <c r="K1400" s="8" t="str">
        <f t="shared" si="21"/>
        <v/>
      </c>
      <c r="L1400" s="1" t="str">
        <f>IF(COUNTA(A1400:J1400)=0,"",IF(OR(AND(C1400&lt;&gt;"Gasto",C1400&lt;&gt;"Pago proveedor",C1400&lt;&gt;"Retiro familiar",C1400&lt;&gt;"Aportación",C1400&lt;&gt;"Pago activo",C1400&lt;&gt;"ISR devengado",C1400&lt;&gt;"Pago ISR",C1400&lt;&gt;"Pago IVA",C1400&lt;&gt;"Compensación ISR",C1400&lt;&gt;"Compensación IVA"),AND(C1400="Gasto",D1400&lt;&gt;"Costos clínicos",D1400&lt;&gt;"Remuneración familiar",D1400&lt;&gt;"Nómina y honorarios",D1400&lt;&gt;"Renta",D1400&lt;&gt;"Marketing",D1400&lt;&gt;"Servicios y software",D1400&lt;&gt;"Mantenimiento",D1400&lt;&gt;"Otros",D1400&lt;&gt;"Intereses")),"Tipo o categoría inválido",IF(COUNTA(A1400:J1400)=0,"",IF(OR(A1400="",B1400="",C1400="",H1400=""),"Faltan datos",IF(COUNTIF($A$7:$A$2006,A1400)&gt;1,"ID duplicado",IF(OR(B1400&lt;DATE(Configuración!$C$5,1,1),B1400&gt;=DATE(Configuración!$C$5+1,1,1)),"Fecha fuera del año",IF(OR(H1400&lt;0,I1400&lt;0),"Revisar signo",IF(AND(C1400&lt;&gt;"Gasto",I1400&lt;&gt;0),"IVA solo en Gasto",IF(AND(C1400="Gasto",D1400=""),"Falta categoría","OK")))))))))</f>
        <v/>
      </c>
    </row>
    <row r="1401" spans="1:12" ht="22" customHeight="1">
      <c r="A1401" s="3"/>
      <c r="B1401" s="7"/>
      <c r="C1401" s="3"/>
      <c r="D1401" s="3"/>
      <c r="E1401" s="3"/>
      <c r="F1401" s="3"/>
      <c r="G1401" s="3"/>
      <c r="H1401" s="4"/>
      <c r="I1401" s="4"/>
      <c r="J1401" s="3"/>
      <c r="K1401" s="8" t="str">
        <f t="shared" si="21"/>
        <v/>
      </c>
      <c r="L1401" s="1" t="str">
        <f>IF(COUNTA(A1401:J1401)=0,"",IF(OR(AND(C1401&lt;&gt;"Gasto",C1401&lt;&gt;"Pago proveedor",C1401&lt;&gt;"Retiro familiar",C1401&lt;&gt;"Aportación",C1401&lt;&gt;"Pago activo",C1401&lt;&gt;"ISR devengado",C1401&lt;&gt;"Pago ISR",C1401&lt;&gt;"Pago IVA",C1401&lt;&gt;"Compensación ISR",C1401&lt;&gt;"Compensación IVA"),AND(C1401="Gasto",D1401&lt;&gt;"Costos clínicos",D1401&lt;&gt;"Remuneración familiar",D1401&lt;&gt;"Nómina y honorarios",D1401&lt;&gt;"Renta",D1401&lt;&gt;"Marketing",D1401&lt;&gt;"Servicios y software",D1401&lt;&gt;"Mantenimiento",D1401&lt;&gt;"Otros",D1401&lt;&gt;"Intereses")),"Tipo o categoría inválido",IF(COUNTA(A1401:J1401)=0,"",IF(OR(A1401="",B1401="",C1401="",H1401=""),"Faltan datos",IF(COUNTIF($A$7:$A$2006,A1401)&gt;1,"ID duplicado",IF(OR(B1401&lt;DATE(Configuración!$C$5,1,1),B1401&gt;=DATE(Configuración!$C$5+1,1,1)),"Fecha fuera del año",IF(OR(H1401&lt;0,I1401&lt;0),"Revisar signo",IF(AND(C1401&lt;&gt;"Gasto",I1401&lt;&gt;0),"IVA solo en Gasto",IF(AND(C1401="Gasto",D1401=""),"Falta categoría","OK")))))))))</f>
        <v/>
      </c>
    </row>
    <row r="1402" spans="1:12" ht="22" customHeight="1">
      <c r="A1402" s="3"/>
      <c r="B1402" s="7"/>
      <c r="C1402" s="3"/>
      <c r="D1402" s="3"/>
      <c r="E1402" s="3"/>
      <c r="F1402" s="3"/>
      <c r="G1402" s="3"/>
      <c r="H1402" s="4"/>
      <c r="I1402" s="4"/>
      <c r="J1402" s="3"/>
      <c r="K1402" s="8" t="str">
        <f t="shared" si="21"/>
        <v/>
      </c>
      <c r="L1402" s="1" t="str">
        <f>IF(COUNTA(A1402:J1402)=0,"",IF(OR(AND(C1402&lt;&gt;"Gasto",C1402&lt;&gt;"Pago proveedor",C1402&lt;&gt;"Retiro familiar",C1402&lt;&gt;"Aportación",C1402&lt;&gt;"Pago activo",C1402&lt;&gt;"ISR devengado",C1402&lt;&gt;"Pago ISR",C1402&lt;&gt;"Pago IVA",C1402&lt;&gt;"Compensación ISR",C1402&lt;&gt;"Compensación IVA"),AND(C1402="Gasto",D1402&lt;&gt;"Costos clínicos",D1402&lt;&gt;"Remuneración familiar",D1402&lt;&gt;"Nómina y honorarios",D1402&lt;&gt;"Renta",D1402&lt;&gt;"Marketing",D1402&lt;&gt;"Servicios y software",D1402&lt;&gt;"Mantenimiento",D1402&lt;&gt;"Otros",D1402&lt;&gt;"Intereses")),"Tipo o categoría inválido",IF(COUNTA(A1402:J1402)=0,"",IF(OR(A1402="",B1402="",C1402="",H1402=""),"Faltan datos",IF(COUNTIF($A$7:$A$2006,A1402)&gt;1,"ID duplicado",IF(OR(B1402&lt;DATE(Configuración!$C$5,1,1),B1402&gt;=DATE(Configuración!$C$5+1,1,1)),"Fecha fuera del año",IF(OR(H1402&lt;0,I1402&lt;0),"Revisar signo",IF(AND(C1402&lt;&gt;"Gasto",I1402&lt;&gt;0),"IVA solo en Gasto",IF(AND(C1402="Gasto",D1402=""),"Falta categoría","OK")))))))))</f>
        <v/>
      </c>
    </row>
    <row r="1403" spans="1:12" ht="22" customHeight="1">
      <c r="A1403" s="3"/>
      <c r="B1403" s="7"/>
      <c r="C1403" s="3"/>
      <c r="D1403" s="3"/>
      <c r="E1403" s="3"/>
      <c r="F1403" s="3"/>
      <c r="G1403" s="3"/>
      <c r="H1403" s="4"/>
      <c r="I1403" s="4"/>
      <c r="J1403" s="3"/>
      <c r="K1403" s="8" t="str">
        <f t="shared" si="21"/>
        <v/>
      </c>
      <c r="L1403" s="1" t="str">
        <f>IF(COUNTA(A1403:J1403)=0,"",IF(OR(AND(C1403&lt;&gt;"Gasto",C1403&lt;&gt;"Pago proveedor",C1403&lt;&gt;"Retiro familiar",C1403&lt;&gt;"Aportación",C1403&lt;&gt;"Pago activo",C1403&lt;&gt;"ISR devengado",C1403&lt;&gt;"Pago ISR",C1403&lt;&gt;"Pago IVA",C1403&lt;&gt;"Compensación ISR",C1403&lt;&gt;"Compensación IVA"),AND(C1403="Gasto",D1403&lt;&gt;"Costos clínicos",D1403&lt;&gt;"Remuneración familiar",D1403&lt;&gt;"Nómina y honorarios",D1403&lt;&gt;"Renta",D1403&lt;&gt;"Marketing",D1403&lt;&gt;"Servicios y software",D1403&lt;&gt;"Mantenimiento",D1403&lt;&gt;"Otros",D1403&lt;&gt;"Intereses")),"Tipo o categoría inválido",IF(COUNTA(A1403:J1403)=0,"",IF(OR(A1403="",B1403="",C1403="",H1403=""),"Faltan datos",IF(COUNTIF($A$7:$A$2006,A1403)&gt;1,"ID duplicado",IF(OR(B1403&lt;DATE(Configuración!$C$5,1,1),B1403&gt;=DATE(Configuración!$C$5+1,1,1)),"Fecha fuera del año",IF(OR(H1403&lt;0,I1403&lt;0),"Revisar signo",IF(AND(C1403&lt;&gt;"Gasto",I1403&lt;&gt;0),"IVA solo en Gasto",IF(AND(C1403="Gasto",D1403=""),"Falta categoría","OK")))))))))</f>
        <v/>
      </c>
    </row>
    <row r="1404" spans="1:12" ht="22" customHeight="1">
      <c r="A1404" s="3"/>
      <c r="B1404" s="7"/>
      <c r="C1404" s="3"/>
      <c r="D1404" s="3"/>
      <c r="E1404" s="3"/>
      <c r="F1404" s="3"/>
      <c r="G1404" s="3"/>
      <c r="H1404" s="4"/>
      <c r="I1404" s="4"/>
      <c r="J1404" s="3"/>
      <c r="K1404" s="8" t="str">
        <f t="shared" si="21"/>
        <v/>
      </c>
      <c r="L1404" s="1" t="str">
        <f>IF(COUNTA(A1404:J1404)=0,"",IF(OR(AND(C1404&lt;&gt;"Gasto",C1404&lt;&gt;"Pago proveedor",C1404&lt;&gt;"Retiro familiar",C1404&lt;&gt;"Aportación",C1404&lt;&gt;"Pago activo",C1404&lt;&gt;"ISR devengado",C1404&lt;&gt;"Pago ISR",C1404&lt;&gt;"Pago IVA",C1404&lt;&gt;"Compensación ISR",C1404&lt;&gt;"Compensación IVA"),AND(C1404="Gasto",D1404&lt;&gt;"Costos clínicos",D1404&lt;&gt;"Remuneración familiar",D1404&lt;&gt;"Nómina y honorarios",D1404&lt;&gt;"Renta",D1404&lt;&gt;"Marketing",D1404&lt;&gt;"Servicios y software",D1404&lt;&gt;"Mantenimiento",D1404&lt;&gt;"Otros",D1404&lt;&gt;"Intereses")),"Tipo o categoría inválido",IF(COUNTA(A1404:J1404)=0,"",IF(OR(A1404="",B1404="",C1404="",H1404=""),"Faltan datos",IF(COUNTIF($A$7:$A$2006,A1404)&gt;1,"ID duplicado",IF(OR(B1404&lt;DATE(Configuración!$C$5,1,1),B1404&gt;=DATE(Configuración!$C$5+1,1,1)),"Fecha fuera del año",IF(OR(H1404&lt;0,I1404&lt;0),"Revisar signo",IF(AND(C1404&lt;&gt;"Gasto",I1404&lt;&gt;0),"IVA solo en Gasto",IF(AND(C1404="Gasto",D1404=""),"Falta categoría","OK")))))))))</f>
        <v/>
      </c>
    </row>
    <row r="1405" spans="1:12" ht="22" customHeight="1">
      <c r="A1405" s="3"/>
      <c r="B1405" s="7"/>
      <c r="C1405" s="3"/>
      <c r="D1405" s="3"/>
      <c r="E1405" s="3"/>
      <c r="F1405" s="3"/>
      <c r="G1405" s="3"/>
      <c r="H1405" s="4"/>
      <c r="I1405" s="4"/>
      <c r="J1405" s="3"/>
      <c r="K1405" s="8" t="str">
        <f t="shared" si="21"/>
        <v/>
      </c>
      <c r="L1405" s="1" t="str">
        <f>IF(COUNTA(A1405:J1405)=0,"",IF(OR(AND(C1405&lt;&gt;"Gasto",C1405&lt;&gt;"Pago proveedor",C1405&lt;&gt;"Retiro familiar",C1405&lt;&gt;"Aportación",C1405&lt;&gt;"Pago activo",C1405&lt;&gt;"ISR devengado",C1405&lt;&gt;"Pago ISR",C1405&lt;&gt;"Pago IVA",C1405&lt;&gt;"Compensación ISR",C1405&lt;&gt;"Compensación IVA"),AND(C1405="Gasto",D1405&lt;&gt;"Costos clínicos",D1405&lt;&gt;"Remuneración familiar",D1405&lt;&gt;"Nómina y honorarios",D1405&lt;&gt;"Renta",D1405&lt;&gt;"Marketing",D1405&lt;&gt;"Servicios y software",D1405&lt;&gt;"Mantenimiento",D1405&lt;&gt;"Otros",D1405&lt;&gt;"Intereses")),"Tipo o categoría inválido",IF(COUNTA(A1405:J1405)=0,"",IF(OR(A1405="",B1405="",C1405="",H1405=""),"Faltan datos",IF(COUNTIF($A$7:$A$2006,A1405)&gt;1,"ID duplicado",IF(OR(B1405&lt;DATE(Configuración!$C$5,1,1),B1405&gt;=DATE(Configuración!$C$5+1,1,1)),"Fecha fuera del año",IF(OR(H1405&lt;0,I1405&lt;0),"Revisar signo",IF(AND(C1405&lt;&gt;"Gasto",I1405&lt;&gt;0),"IVA solo en Gasto",IF(AND(C1405="Gasto",D1405=""),"Falta categoría","OK")))))))))</f>
        <v/>
      </c>
    </row>
    <row r="1406" spans="1:12" ht="22" customHeight="1">
      <c r="A1406" s="3"/>
      <c r="B1406" s="7"/>
      <c r="C1406" s="3"/>
      <c r="D1406" s="3"/>
      <c r="E1406" s="3"/>
      <c r="F1406" s="3"/>
      <c r="G1406" s="3"/>
      <c r="H1406" s="4"/>
      <c r="I1406" s="4"/>
      <c r="J1406" s="3"/>
      <c r="K1406" s="8" t="str">
        <f t="shared" si="21"/>
        <v/>
      </c>
      <c r="L1406" s="1" t="str">
        <f>IF(COUNTA(A1406:J1406)=0,"",IF(OR(AND(C1406&lt;&gt;"Gasto",C1406&lt;&gt;"Pago proveedor",C1406&lt;&gt;"Retiro familiar",C1406&lt;&gt;"Aportación",C1406&lt;&gt;"Pago activo",C1406&lt;&gt;"ISR devengado",C1406&lt;&gt;"Pago ISR",C1406&lt;&gt;"Pago IVA",C1406&lt;&gt;"Compensación ISR",C1406&lt;&gt;"Compensación IVA"),AND(C1406="Gasto",D1406&lt;&gt;"Costos clínicos",D1406&lt;&gt;"Remuneración familiar",D1406&lt;&gt;"Nómina y honorarios",D1406&lt;&gt;"Renta",D1406&lt;&gt;"Marketing",D1406&lt;&gt;"Servicios y software",D1406&lt;&gt;"Mantenimiento",D1406&lt;&gt;"Otros",D1406&lt;&gt;"Intereses")),"Tipo o categoría inválido",IF(COUNTA(A1406:J1406)=0,"",IF(OR(A1406="",B1406="",C1406="",H1406=""),"Faltan datos",IF(COUNTIF($A$7:$A$2006,A1406)&gt;1,"ID duplicado",IF(OR(B1406&lt;DATE(Configuración!$C$5,1,1),B1406&gt;=DATE(Configuración!$C$5+1,1,1)),"Fecha fuera del año",IF(OR(H1406&lt;0,I1406&lt;0),"Revisar signo",IF(AND(C1406&lt;&gt;"Gasto",I1406&lt;&gt;0),"IVA solo en Gasto",IF(AND(C1406="Gasto",D1406=""),"Falta categoría","OK")))))))))</f>
        <v/>
      </c>
    </row>
    <row r="1407" spans="1:12" ht="22" customHeight="1">
      <c r="A1407" s="3"/>
      <c r="B1407" s="7"/>
      <c r="C1407" s="3"/>
      <c r="D1407" s="3"/>
      <c r="E1407" s="3"/>
      <c r="F1407" s="3"/>
      <c r="G1407" s="3"/>
      <c r="H1407" s="4"/>
      <c r="I1407" s="4"/>
      <c r="J1407" s="3"/>
      <c r="K1407" s="8" t="str">
        <f t="shared" si="21"/>
        <v/>
      </c>
      <c r="L1407" s="1" t="str">
        <f>IF(COUNTA(A1407:J1407)=0,"",IF(OR(AND(C1407&lt;&gt;"Gasto",C1407&lt;&gt;"Pago proveedor",C1407&lt;&gt;"Retiro familiar",C1407&lt;&gt;"Aportación",C1407&lt;&gt;"Pago activo",C1407&lt;&gt;"ISR devengado",C1407&lt;&gt;"Pago ISR",C1407&lt;&gt;"Pago IVA",C1407&lt;&gt;"Compensación ISR",C1407&lt;&gt;"Compensación IVA"),AND(C1407="Gasto",D1407&lt;&gt;"Costos clínicos",D1407&lt;&gt;"Remuneración familiar",D1407&lt;&gt;"Nómina y honorarios",D1407&lt;&gt;"Renta",D1407&lt;&gt;"Marketing",D1407&lt;&gt;"Servicios y software",D1407&lt;&gt;"Mantenimiento",D1407&lt;&gt;"Otros",D1407&lt;&gt;"Intereses")),"Tipo o categoría inválido",IF(COUNTA(A1407:J1407)=0,"",IF(OR(A1407="",B1407="",C1407="",H1407=""),"Faltan datos",IF(COUNTIF($A$7:$A$2006,A1407)&gt;1,"ID duplicado",IF(OR(B1407&lt;DATE(Configuración!$C$5,1,1),B1407&gt;=DATE(Configuración!$C$5+1,1,1)),"Fecha fuera del año",IF(OR(H1407&lt;0,I1407&lt;0),"Revisar signo",IF(AND(C1407&lt;&gt;"Gasto",I1407&lt;&gt;0),"IVA solo en Gasto",IF(AND(C1407="Gasto",D1407=""),"Falta categoría","OK")))))))))</f>
        <v/>
      </c>
    </row>
    <row r="1408" spans="1:12" ht="22" customHeight="1">
      <c r="A1408" s="3"/>
      <c r="B1408" s="7"/>
      <c r="C1408" s="3"/>
      <c r="D1408" s="3"/>
      <c r="E1408" s="3"/>
      <c r="F1408" s="3"/>
      <c r="G1408" s="3"/>
      <c r="H1408" s="4"/>
      <c r="I1408" s="4"/>
      <c r="J1408" s="3"/>
      <c r="K1408" s="8" t="str">
        <f t="shared" si="21"/>
        <v/>
      </c>
      <c r="L1408" s="1" t="str">
        <f>IF(COUNTA(A1408:J1408)=0,"",IF(OR(AND(C1408&lt;&gt;"Gasto",C1408&lt;&gt;"Pago proveedor",C1408&lt;&gt;"Retiro familiar",C1408&lt;&gt;"Aportación",C1408&lt;&gt;"Pago activo",C1408&lt;&gt;"ISR devengado",C1408&lt;&gt;"Pago ISR",C1408&lt;&gt;"Pago IVA",C1408&lt;&gt;"Compensación ISR",C1408&lt;&gt;"Compensación IVA"),AND(C1408="Gasto",D1408&lt;&gt;"Costos clínicos",D1408&lt;&gt;"Remuneración familiar",D1408&lt;&gt;"Nómina y honorarios",D1408&lt;&gt;"Renta",D1408&lt;&gt;"Marketing",D1408&lt;&gt;"Servicios y software",D1408&lt;&gt;"Mantenimiento",D1408&lt;&gt;"Otros",D1408&lt;&gt;"Intereses")),"Tipo o categoría inválido",IF(COUNTA(A1408:J1408)=0,"",IF(OR(A1408="",B1408="",C1408="",H1408=""),"Faltan datos",IF(COUNTIF($A$7:$A$2006,A1408)&gt;1,"ID duplicado",IF(OR(B1408&lt;DATE(Configuración!$C$5,1,1),B1408&gt;=DATE(Configuración!$C$5+1,1,1)),"Fecha fuera del año",IF(OR(H1408&lt;0,I1408&lt;0),"Revisar signo",IF(AND(C1408&lt;&gt;"Gasto",I1408&lt;&gt;0),"IVA solo en Gasto",IF(AND(C1408="Gasto",D1408=""),"Falta categoría","OK")))))))))</f>
        <v/>
      </c>
    </row>
    <row r="1409" spans="1:12" ht="22" customHeight="1">
      <c r="A1409" s="3"/>
      <c r="B1409" s="7"/>
      <c r="C1409" s="3"/>
      <c r="D1409" s="3"/>
      <c r="E1409" s="3"/>
      <c r="F1409" s="3"/>
      <c r="G1409" s="3"/>
      <c r="H1409" s="4"/>
      <c r="I1409" s="4"/>
      <c r="J1409" s="3"/>
      <c r="K1409" s="8" t="str">
        <f t="shared" si="21"/>
        <v/>
      </c>
      <c r="L1409" s="1" t="str">
        <f>IF(COUNTA(A1409:J1409)=0,"",IF(OR(AND(C1409&lt;&gt;"Gasto",C1409&lt;&gt;"Pago proveedor",C1409&lt;&gt;"Retiro familiar",C1409&lt;&gt;"Aportación",C1409&lt;&gt;"Pago activo",C1409&lt;&gt;"ISR devengado",C1409&lt;&gt;"Pago ISR",C1409&lt;&gt;"Pago IVA",C1409&lt;&gt;"Compensación ISR",C1409&lt;&gt;"Compensación IVA"),AND(C1409="Gasto",D1409&lt;&gt;"Costos clínicos",D1409&lt;&gt;"Remuneración familiar",D1409&lt;&gt;"Nómina y honorarios",D1409&lt;&gt;"Renta",D1409&lt;&gt;"Marketing",D1409&lt;&gt;"Servicios y software",D1409&lt;&gt;"Mantenimiento",D1409&lt;&gt;"Otros",D1409&lt;&gt;"Intereses")),"Tipo o categoría inválido",IF(COUNTA(A1409:J1409)=0,"",IF(OR(A1409="",B1409="",C1409="",H1409=""),"Faltan datos",IF(COUNTIF($A$7:$A$2006,A1409)&gt;1,"ID duplicado",IF(OR(B1409&lt;DATE(Configuración!$C$5,1,1),B1409&gt;=DATE(Configuración!$C$5+1,1,1)),"Fecha fuera del año",IF(OR(H1409&lt;0,I1409&lt;0),"Revisar signo",IF(AND(C1409&lt;&gt;"Gasto",I1409&lt;&gt;0),"IVA solo en Gasto",IF(AND(C1409="Gasto",D1409=""),"Falta categoría","OK")))))))))</f>
        <v/>
      </c>
    </row>
    <row r="1410" spans="1:12" ht="22" customHeight="1">
      <c r="A1410" s="3"/>
      <c r="B1410" s="7"/>
      <c r="C1410" s="3"/>
      <c r="D1410" s="3"/>
      <c r="E1410" s="3"/>
      <c r="F1410" s="3"/>
      <c r="G1410" s="3"/>
      <c r="H1410" s="4"/>
      <c r="I1410" s="4"/>
      <c r="J1410" s="3"/>
      <c r="K1410" s="8" t="str">
        <f t="shared" si="21"/>
        <v/>
      </c>
      <c r="L1410" s="1" t="str">
        <f>IF(COUNTA(A1410:J1410)=0,"",IF(OR(AND(C1410&lt;&gt;"Gasto",C1410&lt;&gt;"Pago proveedor",C1410&lt;&gt;"Retiro familiar",C1410&lt;&gt;"Aportación",C1410&lt;&gt;"Pago activo",C1410&lt;&gt;"ISR devengado",C1410&lt;&gt;"Pago ISR",C1410&lt;&gt;"Pago IVA",C1410&lt;&gt;"Compensación ISR",C1410&lt;&gt;"Compensación IVA"),AND(C1410="Gasto",D1410&lt;&gt;"Costos clínicos",D1410&lt;&gt;"Remuneración familiar",D1410&lt;&gt;"Nómina y honorarios",D1410&lt;&gt;"Renta",D1410&lt;&gt;"Marketing",D1410&lt;&gt;"Servicios y software",D1410&lt;&gt;"Mantenimiento",D1410&lt;&gt;"Otros",D1410&lt;&gt;"Intereses")),"Tipo o categoría inválido",IF(COUNTA(A1410:J1410)=0,"",IF(OR(A1410="",B1410="",C1410="",H1410=""),"Faltan datos",IF(COUNTIF($A$7:$A$2006,A1410)&gt;1,"ID duplicado",IF(OR(B1410&lt;DATE(Configuración!$C$5,1,1),B1410&gt;=DATE(Configuración!$C$5+1,1,1)),"Fecha fuera del año",IF(OR(H1410&lt;0,I1410&lt;0),"Revisar signo",IF(AND(C1410&lt;&gt;"Gasto",I1410&lt;&gt;0),"IVA solo en Gasto",IF(AND(C1410="Gasto",D1410=""),"Falta categoría","OK")))))))))</f>
        <v/>
      </c>
    </row>
    <row r="1411" spans="1:12" ht="22" customHeight="1">
      <c r="A1411" s="3"/>
      <c r="B1411" s="7"/>
      <c r="C1411" s="3"/>
      <c r="D1411" s="3"/>
      <c r="E1411" s="3"/>
      <c r="F1411" s="3"/>
      <c r="G1411" s="3"/>
      <c r="H1411" s="4"/>
      <c r="I1411" s="4"/>
      <c r="J1411" s="3"/>
      <c r="K1411" s="8" t="str">
        <f t="shared" si="21"/>
        <v/>
      </c>
      <c r="L1411" s="1" t="str">
        <f>IF(COUNTA(A1411:J1411)=0,"",IF(OR(AND(C1411&lt;&gt;"Gasto",C1411&lt;&gt;"Pago proveedor",C1411&lt;&gt;"Retiro familiar",C1411&lt;&gt;"Aportación",C1411&lt;&gt;"Pago activo",C1411&lt;&gt;"ISR devengado",C1411&lt;&gt;"Pago ISR",C1411&lt;&gt;"Pago IVA",C1411&lt;&gt;"Compensación ISR",C1411&lt;&gt;"Compensación IVA"),AND(C1411="Gasto",D1411&lt;&gt;"Costos clínicos",D1411&lt;&gt;"Remuneración familiar",D1411&lt;&gt;"Nómina y honorarios",D1411&lt;&gt;"Renta",D1411&lt;&gt;"Marketing",D1411&lt;&gt;"Servicios y software",D1411&lt;&gt;"Mantenimiento",D1411&lt;&gt;"Otros",D1411&lt;&gt;"Intereses")),"Tipo o categoría inválido",IF(COUNTA(A1411:J1411)=0,"",IF(OR(A1411="",B1411="",C1411="",H1411=""),"Faltan datos",IF(COUNTIF($A$7:$A$2006,A1411)&gt;1,"ID duplicado",IF(OR(B1411&lt;DATE(Configuración!$C$5,1,1),B1411&gt;=DATE(Configuración!$C$5+1,1,1)),"Fecha fuera del año",IF(OR(H1411&lt;0,I1411&lt;0),"Revisar signo",IF(AND(C1411&lt;&gt;"Gasto",I1411&lt;&gt;0),"IVA solo en Gasto",IF(AND(C1411="Gasto",D1411=""),"Falta categoría","OK")))))))))</f>
        <v/>
      </c>
    </row>
    <row r="1412" spans="1:12" ht="22" customHeight="1">
      <c r="A1412" s="3"/>
      <c r="B1412" s="7"/>
      <c r="C1412" s="3"/>
      <c r="D1412" s="3"/>
      <c r="E1412" s="3"/>
      <c r="F1412" s="3"/>
      <c r="G1412" s="3"/>
      <c r="H1412" s="4"/>
      <c r="I1412" s="4"/>
      <c r="J1412" s="3"/>
      <c r="K1412" s="8" t="str">
        <f t="shared" si="21"/>
        <v/>
      </c>
      <c r="L1412" s="1" t="str">
        <f>IF(COUNTA(A1412:J1412)=0,"",IF(OR(AND(C1412&lt;&gt;"Gasto",C1412&lt;&gt;"Pago proveedor",C1412&lt;&gt;"Retiro familiar",C1412&lt;&gt;"Aportación",C1412&lt;&gt;"Pago activo",C1412&lt;&gt;"ISR devengado",C1412&lt;&gt;"Pago ISR",C1412&lt;&gt;"Pago IVA",C1412&lt;&gt;"Compensación ISR",C1412&lt;&gt;"Compensación IVA"),AND(C1412="Gasto",D1412&lt;&gt;"Costos clínicos",D1412&lt;&gt;"Remuneración familiar",D1412&lt;&gt;"Nómina y honorarios",D1412&lt;&gt;"Renta",D1412&lt;&gt;"Marketing",D1412&lt;&gt;"Servicios y software",D1412&lt;&gt;"Mantenimiento",D1412&lt;&gt;"Otros",D1412&lt;&gt;"Intereses")),"Tipo o categoría inválido",IF(COUNTA(A1412:J1412)=0,"",IF(OR(A1412="",B1412="",C1412="",H1412=""),"Faltan datos",IF(COUNTIF($A$7:$A$2006,A1412)&gt;1,"ID duplicado",IF(OR(B1412&lt;DATE(Configuración!$C$5,1,1),B1412&gt;=DATE(Configuración!$C$5+1,1,1)),"Fecha fuera del año",IF(OR(H1412&lt;0,I1412&lt;0),"Revisar signo",IF(AND(C1412&lt;&gt;"Gasto",I1412&lt;&gt;0),"IVA solo en Gasto",IF(AND(C1412="Gasto",D1412=""),"Falta categoría","OK")))))))))</f>
        <v/>
      </c>
    </row>
    <row r="1413" spans="1:12" ht="22" customHeight="1">
      <c r="A1413" s="3"/>
      <c r="B1413" s="7"/>
      <c r="C1413" s="3"/>
      <c r="D1413" s="3"/>
      <c r="E1413" s="3"/>
      <c r="F1413" s="3"/>
      <c r="G1413" s="3"/>
      <c r="H1413" s="4"/>
      <c r="I1413" s="4"/>
      <c r="J1413" s="3"/>
      <c r="K1413" s="8" t="str">
        <f t="shared" si="21"/>
        <v/>
      </c>
      <c r="L1413" s="1" t="str">
        <f>IF(COUNTA(A1413:J1413)=0,"",IF(OR(AND(C1413&lt;&gt;"Gasto",C1413&lt;&gt;"Pago proveedor",C1413&lt;&gt;"Retiro familiar",C1413&lt;&gt;"Aportación",C1413&lt;&gt;"Pago activo",C1413&lt;&gt;"ISR devengado",C1413&lt;&gt;"Pago ISR",C1413&lt;&gt;"Pago IVA",C1413&lt;&gt;"Compensación ISR",C1413&lt;&gt;"Compensación IVA"),AND(C1413="Gasto",D1413&lt;&gt;"Costos clínicos",D1413&lt;&gt;"Remuneración familiar",D1413&lt;&gt;"Nómina y honorarios",D1413&lt;&gt;"Renta",D1413&lt;&gt;"Marketing",D1413&lt;&gt;"Servicios y software",D1413&lt;&gt;"Mantenimiento",D1413&lt;&gt;"Otros",D1413&lt;&gt;"Intereses")),"Tipo o categoría inválido",IF(COUNTA(A1413:J1413)=0,"",IF(OR(A1413="",B1413="",C1413="",H1413=""),"Faltan datos",IF(COUNTIF($A$7:$A$2006,A1413)&gt;1,"ID duplicado",IF(OR(B1413&lt;DATE(Configuración!$C$5,1,1),B1413&gt;=DATE(Configuración!$C$5+1,1,1)),"Fecha fuera del año",IF(OR(H1413&lt;0,I1413&lt;0),"Revisar signo",IF(AND(C1413&lt;&gt;"Gasto",I1413&lt;&gt;0),"IVA solo en Gasto",IF(AND(C1413="Gasto",D1413=""),"Falta categoría","OK")))))))))</f>
        <v/>
      </c>
    </row>
    <row r="1414" spans="1:12" ht="22" customHeight="1">
      <c r="A1414" s="3"/>
      <c r="B1414" s="7"/>
      <c r="C1414" s="3"/>
      <c r="D1414" s="3"/>
      <c r="E1414" s="3"/>
      <c r="F1414" s="3"/>
      <c r="G1414" s="3"/>
      <c r="H1414" s="4"/>
      <c r="I1414" s="4"/>
      <c r="J1414" s="3"/>
      <c r="K1414" s="8" t="str">
        <f t="shared" si="21"/>
        <v/>
      </c>
      <c r="L1414" s="1" t="str">
        <f>IF(COUNTA(A1414:J1414)=0,"",IF(OR(AND(C1414&lt;&gt;"Gasto",C1414&lt;&gt;"Pago proveedor",C1414&lt;&gt;"Retiro familiar",C1414&lt;&gt;"Aportación",C1414&lt;&gt;"Pago activo",C1414&lt;&gt;"ISR devengado",C1414&lt;&gt;"Pago ISR",C1414&lt;&gt;"Pago IVA",C1414&lt;&gt;"Compensación ISR",C1414&lt;&gt;"Compensación IVA"),AND(C1414="Gasto",D1414&lt;&gt;"Costos clínicos",D1414&lt;&gt;"Remuneración familiar",D1414&lt;&gt;"Nómina y honorarios",D1414&lt;&gt;"Renta",D1414&lt;&gt;"Marketing",D1414&lt;&gt;"Servicios y software",D1414&lt;&gt;"Mantenimiento",D1414&lt;&gt;"Otros",D1414&lt;&gt;"Intereses")),"Tipo o categoría inválido",IF(COUNTA(A1414:J1414)=0,"",IF(OR(A1414="",B1414="",C1414="",H1414=""),"Faltan datos",IF(COUNTIF($A$7:$A$2006,A1414)&gt;1,"ID duplicado",IF(OR(B1414&lt;DATE(Configuración!$C$5,1,1),B1414&gt;=DATE(Configuración!$C$5+1,1,1)),"Fecha fuera del año",IF(OR(H1414&lt;0,I1414&lt;0),"Revisar signo",IF(AND(C1414&lt;&gt;"Gasto",I1414&lt;&gt;0),"IVA solo en Gasto",IF(AND(C1414="Gasto",D1414=""),"Falta categoría","OK")))))))))</f>
        <v/>
      </c>
    </row>
    <row r="1415" spans="1:12" ht="22" customHeight="1">
      <c r="A1415" s="3"/>
      <c r="B1415" s="7"/>
      <c r="C1415" s="3"/>
      <c r="D1415" s="3"/>
      <c r="E1415" s="3"/>
      <c r="F1415" s="3"/>
      <c r="G1415" s="3"/>
      <c r="H1415" s="4"/>
      <c r="I1415" s="4"/>
      <c r="J1415" s="3"/>
      <c r="K1415" s="8" t="str">
        <f t="shared" ref="K1415:K1478" si="22">IF(A1415="","",H1415+I1415)</f>
        <v/>
      </c>
      <c r="L1415" s="1" t="str">
        <f>IF(COUNTA(A1415:J1415)=0,"",IF(OR(AND(C1415&lt;&gt;"Gasto",C1415&lt;&gt;"Pago proveedor",C1415&lt;&gt;"Retiro familiar",C1415&lt;&gt;"Aportación",C1415&lt;&gt;"Pago activo",C1415&lt;&gt;"ISR devengado",C1415&lt;&gt;"Pago ISR",C1415&lt;&gt;"Pago IVA",C1415&lt;&gt;"Compensación ISR",C1415&lt;&gt;"Compensación IVA"),AND(C1415="Gasto",D1415&lt;&gt;"Costos clínicos",D1415&lt;&gt;"Remuneración familiar",D1415&lt;&gt;"Nómina y honorarios",D1415&lt;&gt;"Renta",D1415&lt;&gt;"Marketing",D1415&lt;&gt;"Servicios y software",D1415&lt;&gt;"Mantenimiento",D1415&lt;&gt;"Otros",D1415&lt;&gt;"Intereses")),"Tipo o categoría inválido",IF(COUNTA(A1415:J1415)=0,"",IF(OR(A1415="",B1415="",C1415="",H1415=""),"Faltan datos",IF(COUNTIF($A$7:$A$2006,A1415)&gt;1,"ID duplicado",IF(OR(B1415&lt;DATE(Configuración!$C$5,1,1),B1415&gt;=DATE(Configuración!$C$5+1,1,1)),"Fecha fuera del año",IF(OR(H1415&lt;0,I1415&lt;0),"Revisar signo",IF(AND(C1415&lt;&gt;"Gasto",I1415&lt;&gt;0),"IVA solo en Gasto",IF(AND(C1415="Gasto",D1415=""),"Falta categoría","OK")))))))))</f>
        <v/>
      </c>
    </row>
    <row r="1416" spans="1:12" ht="22" customHeight="1">
      <c r="A1416" s="3"/>
      <c r="B1416" s="7"/>
      <c r="C1416" s="3"/>
      <c r="D1416" s="3"/>
      <c r="E1416" s="3"/>
      <c r="F1416" s="3"/>
      <c r="G1416" s="3"/>
      <c r="H1416" s="4"/>
      <c r="I1416" s="4"/>
      <c r="J1416" s="3"/>
      <c r="K1416" s="8" t="str">
        <f t="shared" si="22"/>
        <v/>
      </c>
      <c r="L1416" s="1" t="str">
        <f>IF(COUNTA(A1416:J1416)=0,"",IF(OR(AND(C1416&lt;&gt;"Gasto",C1416&lt;&gt;"Pago proveedor",C1416&lt;&gt;"Retiro familiar",C1416&lt;&gt;"Aportación",C1416&lt;&gt;"Pago activo",C1416&lt;&gt;"ISR devengado",C1416&lt;&gt;"Pago ISR",C1416&lt;&gt;"Pago IVA",C1416&lt;&gt;"Compensación ISR",C1416&lt;&gt;"Compensación IVA"),AND(C1416="Gasto",D1416&lt;&gt;"Costos clínicos",D1416&lt;&gt;"Remuneración familiar",D1416&lt;&gt;"Nómina y honorarios",D1416&lt;&gt;"Renta",D1416&lt;&gt;"Marketing",D1416&lt;&gt;"Servicios y software",D1416&lt;&gt;"Mantenimiento",D1416&lt;&gt;"Otros",D1416&lt;&gt;"Intereses")),"Tipo o categoría inválido",IF(COUNTA(A1416:J1416)=0,"",IF(OR(A1416="",B1416="",C1416="",H1416=""),"Faltan datos",IF(COUNTIF($A$7:$A$2006,A1416)&gt;1,"ID duplicado",IF(OR(B1416&lt;DATE(Configuración!$C$5,1,1),B1416&gt;=DATE(Configuración!$C$5+1,1,1)),"Fecha fuera del año",IF(OR(H1416&lt;0,I1416&lt;0),"Revisar signo",IF(AND(C1416&lt;&gt;"Gasto",I1416&lt;&gt;0),"IVA solo en Gasto",IF(AND(C1416="Gasto",D1416=""),"Falta categoría","OK")))))))))</f>
        <v/>
      </c>
    </row>
    <row r="1417" spans="1:12" ht="22" customHeight="1">
      <c r="A1417" s="3"/>
      <c r="B1417" s="7"/>
      <c r="C1417" s="3"/>
      <c r="D1417" s="3"/>
      <c r="E1417" s="3"/>
      <c r="F1417" s="3"/>
      <c r="G1417" s="3"/>
      <c r="H1417" s="4"/>
      <c r="I1417" s="4"/>
      <c r="J1417" s="3"/>
      <c r="K1417" s="8" t="str">
        <f t="shared" si="22"/>
        <v/>
      </c>
      <c r="L1417" s="1" t="str">
        <f>IF(COUNTA(A1417:J1417)=0,"",IF(OR(AND(C1417&lt;&gt;"Gasto",C1417&lt;&gt;"Pago proveedor",C1417&lt;&gt;"Retiro familiar",C1417&lt;&gt;"Aportación",C1417&lt;&gt;"Pago activo",C1417&lt;&gt;"ISR devengado",C1417&lt;&gt;"Pago ISR",C1417&lt;&gt;"Pago IVA",C1417&lt;&gt;"Compensación ISR",C1417&lt;&gt;"Compensación IVA"),AND(C1417="Gasto",D1417&lt;&gt;"Costos clínicos",D1417&lt;&gt;"Remuneración familiar",D1417&lt;&gt;"Nómina y honorarios",D1417&lt;&gt;"Renta",D1417&lt;&gt;"Marketing",D1417&lt;&gt;"Servicios y software",D1417&lt;&gt;"Mantenimiento",D1417&lt;&gt;"Otros",D1417&lt;&gt;"Intereses")),"Tipo o categoría inválido",IF(COUNTA(A1417:J1417)=0,"",IF(OR(A1417="",B1417="",C1417="",H1417=""),"Faltan datos",IF(COUNTIF($A$7:$A$2006,A1417)&gt;1,"ID duplicado",IF(OR(B1417&lt;DATE(Configuración!$C$5,1,1),B1417&gt;=DATE(Configuración!$C$5+1,1,1)),"Fecha fuera del año",IF(OR(H1417&lt;0,I1417&lt;0),"Revisar signo",IF(AND(C1417&lt;&gt;"Gasto",I1417&lt;&gt;0),"IVA solo en Gasto",IF(AND(C1417="Gasto",D1417=""),"Falta categoría","OK")))))))))</f>
        <v/>
      </c>
    </row>
    <row r="1418" spans="1:12" ht="22" customHeight="1">
      <c r="A1418" s="3"/>
      <c r="B1418" s="7"/>
      <c r="C1418" s="3"/>
      <c r="D1418" s="3"/>
      <c r="E1418" s="3"/>
      <c r="F1418" s="3"/>
      <c r="G1418" s="3"/>
      <c r="H1418" s="4"/>
      <c r="I1418" s="4"/>
      <c r="J1418" s="3"/>
      <c r="K1418" s="8" t="str">
        <f t="shared" si="22"/>
        <v/>
      </c>
      <c r="L1418" s="1" t="str">
        <f>IF(COUNTA(A1418:J1418)=0,"",IF(OR(AND(C1418&lt;&gt;"Gasto",C1418&lt;&gt;"Pago proveedor",C1418&lt;&gt;"Retiro familiar",C1418&lt;&gt;"Aportación",C1418&lt;&gt;"Pago activo",C1418&lt;&gt;"ISR devengado",C1418&lt;&gt;"Pago ISR",C1418&lt;&gt;"Pago IVA",C1418&lt;&gt;"Compensación ISR",C1418&lt;&gt;"Compensación IVA"),AND(C1418="Gasto",D1418&lt;&gt;"Costos clínicos",D1418&lt;&gt;"Remuneración familiar",D1418&lt;&gt;"Nómina y honorarios",D1418&lt;&gt;"Renta",D1418&lt;&gt;"Marketing",D1418&lt;&gt;"Servicios y software",D1418&lt;&gt;"Mantenimiento",D1418&lt;&gt;"Otros",D1418&lt;&gt;"Intereses")),"Tipo o categoría inválido",IF(COUNTA(A1418:J1418)=0,"",IF(OR(A1418="",B1418="",C1418="",H1418=""),"Faltan datos",IF(COUNTIF($A$7:$A$2006,A1418)&gt;1,"ID duplicado",IF(OR(B1418&lt;DATE(Configuración!$C$5,1,1),B1418&gt;=DATE(Configuración!$C$5+1,1,1)),"Fecha fuera del año",IF(OR(H1418&lt;0,I1418&lt;0),"Revisar signo",IF(AND(C1418&lt;&gt;"Gasto",I1418&lt;&gt;0),"IVA solo en Gasto",IF(AND(C1418="Gasto",D1418=""),"Falta categoría","OK")))))))))</f>
        <v/>
      </c>
    </row>
    <row r="1419" spans="1:12" ht="22" customHeight="1">
      <c r="A1419" s="3"/>
      <c r="B1419" s="7"/>
      <c r="C1419" s="3"/>
      <c r="D1419" s="3"/>
      <c r="E1419" s="3"/>
      <c r="F1419" s="3"/>
      <c r="G1419" s="3"/>
      <c r="H1419" s="4"/>
      <c r="I1419" s="4"/>
      <c r="J1419" s="3"/>
      <c r="K1419" s="8" t="str">
        <f t="shared" si="22"/>
        <v/>
      </c>
      <c r="L1419" s="1" t="str">
        <f>IF(COUNTA(A1419:J1419)=0,"",IF(OR(AND(C1419&lt;&gt;"Gasto",C1419&lt;&gt;"Pago proveedor",C1419&lt;&gt;"Retiro familiar",C1419&lt;&gt;"Aportación",C1419&lt;&gt;"Pago activo",C1419&lt;&gt;"ISR devengado",C1419&lt;&gt;"Pago ISR",C1419&lt;&gt;"Pago IVA",C1419&lt;&gt;"Compensación ISR",C1419&lt;&gt;"Compensación IVA"),AND(C1419="Gasto",D1419&lt;&gt;"Costos clínicos",D1419&lt;&gt;"Remuneración familiar",D1419&lt;&gt;"Nómina y honorarios",D1419&lt;&gt;"Renta",D1419&lt;&gt;"Marketing",D1419&lt;&gt;"Servicios y software",D1419&lt;&gt;"Mantenimiento",D1419&lt;&gt;"Otros",D1419&lt;&gt;"Intereses")),"Tipo o categoría inválido",IF(COUNTA(A1419:J1419)=0,"",IF(OR(A1419="",B1419="",C1419="",H1419=""),"Faltan datos",IF(COUNTIF($A$7:$A$2006,A1419)&gt;1,"ID duplicado",IF(OR(B1419&lt;DATE(Configuración!$C$5,1,1),B1419&gt;=DATE(Configuración!$C$5+1,1,1)),"Fecha fuera del año",IF(OR(H1419&lt;0,I1419&lt;0),"Revisar signo",IF(AND(C1419&lt;&gt;"Gasto",I1419&lt;&gt;0),"IVA solo en Gasto",IF(AND(C1419="Gasto",D1419=""),"Falta categoría","OK")))))))))</f>
        <v/>
      </c>
    </row>
    <row r="1420" spans="1:12" ht="22" customHeight="1">
      <c r="A1420" s="3"/>
      <c r="B1420" s="7"/>
      <c r="C1420" s="3"/>
      <c r="D1420" s="3"/>
      <c r="E1420" s="3"/>
      <c r="F1420" s="3"/>
      <c r="G1420" s="3"/>
      <c r="H1420" s="4"/>
      <c r="I1420" s="4"/>
      <c r="J1420" s="3"/>
      <c r="K1420" s="8" t="str">
        <f t="shared" si="22"/>
        <v/>
      </c>
      <c r="L1420" s="1" t="str">
        <f>IF(COUNTA(A1420:J1420)=0,"",IF(OR(AND(C1420&lt;&gt;"Gasto",C1420&lt;&gt;"Pago proveedor",C1420&lt;&gt;"Retiro familiar",C1420&lt;&gt;"Aportación",C1420&lt;&gt;"Pago activo",C1420&lt;&gt;"ISR devengado",C1420&lt;&gt;"Pago ISR",C1420&lt;&gt;"Pago IVA",C1420&lt;&gt;"Compensación ISR",C1420&lt;&gt;"Compensación IVA"),AND(C1420="Gasto",D1420&lt;&gt;"Costos clínicos",D1420&lt;&gt;"Remuneración familiar",D1420&lt;&gt;"Nómina y honorarios",D1420&lt;&gt;"Renta",D1420&lt;&gt;"Marketing",D1420&lt;&gt;"Servicios y software",D1420&lt;&gt;"Mantenimiento",D1420&lt;&gt;"Otros",D1420&lt;&gt;"Intereses")),"Tipo o categoría inválido",IF(COUNTA(A1420:J1420)=0,"",IF(OR(A1420="",B1420="",C1420="",H1420=""),"Faltan datos",IF(COUNTIF($A$7:$A$2006,A1420)&gt;1,"ID duplicado",IF(OR(B1420&lt;DATE(Configuración!$C$5,1,1),B1420&gt;=DATE(Configuración!$C$5+1,1,1)),"Fecha fuera del año",IF(OR(H1420&lt;0,I1420&lt;0),"Revisar signo",IF(AND(C1420&lt;&gt;"Gasto",I1420&lt;&gt;0),"IVA solo en Gasto",IF(AND(C1420="Gasto",D1420=""),"Falta categoría","OK")))))))))</f>
        <v/>
      </c>
    </row>
    <row r="1421" spans="1:12" ht="22" customHeight="1">
      <c r="A1421" s="3"/>
      <c r="B1421" s="7"/>
      <c r="C1421" s="3"/>
      <c r="D1421" s="3"/>
      <c r="E1421" s="3"/>
      <c r="F1421" s="3"/>
      <c r="G1421" s="3"/>
      <c r="H1421" s="4"/>
      <c r="I1421" s="4"/>
      <c r="J1421" s="3"/>
      <c r="K1421" s="8" t="str">
        <f t="shared" si="22"/>
        <v/>
      </c>
      <c r="L1421" s="1" t="str">
        <f>IF(COUNTA(A1421:J1421)=0,"",IF(OR(AND(C1421&lt;&gt;"Gasto",C1421&lt;&gt;"Pago proveedor",C1421&lt;&gt;"Retiro familiar",C1421&lt;&gt;"Aportación",C1421&lt;&gt;"Pago activo",C1421&lt;&gt;"ISR devengado",C1421&lt;&gt;"Pago ISR",C1421&lt;&gt;"Pago IVA",C1421&lt;&gt;"Compensación ISR",C1421&lt;&gt;"Compensación IVA"),AND(C1421="Gasto",D1421&lt;&gt;"Costos clínicos",D1421&lt;&gt;"Remuneración familiar",D1421&lt;&gt;"Nómina y honorarios",D1421&lt;&gt;"Renta",D1421&lt;&gt;"Marketing",D1421&lt;&gt;"Servicios y software",D1421&lt;&gt;"Mantenimiento",D1421&lt;&gt;"Otros",D1421&lt;&gt;"Intereses")),"Tipo o categoría inválido",IF(COUNTA(A1421:J1421)=0,"",IF(OR(A1421="",B1421="",C1421="",H1421=""),"Faltan datos",IF(COUNTIF($A$7:$A$2006,A1421)&gt;1,"ID duplicado",IF(OR(B1421&lt;DATE(Configuración!$C$5,1,1),B1421&gt;=DATE(Configuración!$C$5+1,1,1)),"Fecha fuera del año",IF(OR(H1421&lt;0,I1421&lt;0),"Revisar signo",IF(AND(C1421&lt;&gt;"Gasto",I1421&lt;&gt;0),"IVA solo en Gasto",IF(AND(C1421="Gasto",D1421=""),"Falta categoría","OK")))))))))</f>
        <v/>
      </c>
    </row>
    <row r="1422" spans="1:12" ht="22" customHeight="1">
      <c r="A1422" s="3"/>
      <c r="B1422" s="7"/>
      <c r="C1422" s="3"/>
      <c r="D1422" s="3"/>
      <c r="E1422" s="3"/>
      <c r="F1422" s="3"/>
      <c r="G1422" s="3"/>
      <c r="H1422" s="4"/>
      <c r="I1422" s="4"/>
      <c r="J1422" s="3"/>
      <c r="K1422" s="8" t="str">
        <f t="shared" si="22"/>
        <v/>
      </c>
      <c r="L1422" s="1" t="str">
        <f>IF(COUNTA(A1422:J1422)=0,"",IF(OR(AND(C1422&lt;&gt;"Gasto",C1422&lt;&gt;"Pago proveedor",C1422&lt;&gt;"Retiro familiar",C1422&lt;&gt;"Aportación",C1422&lt;&gt;"Pago activo",C1422&lt;&gt;"ISR devengado",C1422&lt;&gt;"Pago ISR",C1422&lt;&gt;"Pago IVA",C1422&lt;&gt;"Compensación ISR",C1422&lt;&gt;"Compensación IVA"),AND(C1422="Gasto",D1422&lt;&gt;"Costos clínicos",D1422&lt;&gt;"Remuneración familiar",D1422&lt;&gt;"Nómina y honorarios",D1422&lt;&gt;"Renta",D1422&lt;&gt;"Marketing",D1422&lt;&gt;"Servicios y software",D1422&lt;&gt;"Mantenimiento",D1422&lt;&gt;"Otros",D1422&lt;&gt;"Intereses")),"Tipo o categoría inválido",IF(COUNTA(A1422:J1422)=0,"",IF(OR(A1422="",B1422="",C1422="",H1422=""),"Faltan datos",IF(COUNTIF($A$7:$A$2006,A1422)&gt;1,"ID duplicado",IF(OR(B1422&lt;DATE(Configuración!$C$5,1,1),B1422&gt;=DATE(Configuración!$C$5+1,1,1)),"Fecha fuera del año",IF(OR(H1422&lt;0,I1422&lt;0),"Revisar signo",IF(AND(C1422&lt;&gt;"Gasto",I1422&lt;&gt;0),"IVA solo en Gasto",IF(AND(C1422="Gasto",D1422=""),"Falta categoría","OK")))))))))</f>
        <v/>
      </c>
    </row>
    <row r="1423" spans="1:12" ht="22" customHeight="1">
      <c r="A1423" s="3"/>
      <c r="B1423" s="7"/>
      <c r="C1423" s="3"/>
      <c r="D1423" s="3"/>
      <c r="E1423" s="3"/>
      <c r="F1423" s="3"/>
      <c r="G1423" s="3"/>
      <c r="H1423" s="4"/>
      <c r="I1423" s="4"/>
      <c r="J1423" s="3"/>
      <c r="K1423" s="8" t="str">
        <f t="shared" si="22"/>
        <v/>
      </c>
      <c r="L1423" s="1" t="str">
        <f>IF(COUNTA(A1423:J1423)=0,"",IF(OR(AND(C1423&lt;&gt;"Gasto",C1423&lt;&gt;"Pago proveedor",C1423&lt;&gt;"Retiro familiar",C1423&lt;&gt;"Aportación",C1423&lt;&gt;"Pago activo",C1423&lt;&gt;"ISR devengado",C1423&lt;&gt;"Pago ISR",C1423&lt;&gt;"Pago IVA",C1423&lt;&gt;"Compensación ISR",C1423&lt;&gt;"Compensación IVA"),AND(C1423="Gasto",D1423&lt;&gt;"Costos clínicos",D1423&lt;&gt;"Remuneración familiar",D1423&lt;&gt;"Nómina y honorarios",D1423&lt;&gt;"Renta",D1423&lt;&gt;"Marketing",D1423&lt;&gt;"Servicios y software",D1423&lt;&gt;"Mantenimiento",D1423&lt;&gt;"Otros",D1423&lt;&gt;"Intereses")),"Tipo o categoría inválido",IF(COUNTA(A1423:J1423)=0,"",IF(OR(A1423="",B1423="",C1423="",H1423=""),"Faltan datos",IF(COUNTIF($A$7:$A$2006,A1423)&gt;1,"ID duplicado",IF(OR(B1423&lt;DATE(Configuración!$C$5,1,1),B1423&gt;=DATE(Configuración!$C$5+1,1,1)),"Fecha fuera del año",IF(OR(H1423&lt;0,I1423&lt;0),"Revisar signo",IF(AND(C1423&lt;&gt;"Gasto",I1423&lt;&gt;0),"IVA solo en Gasto",IF(AND(C1423="Gasto",D1423=""),"Falta categoría","OK")))))))))</f>
        <v/>
      </c>
    </row>
    <row r="1424" spans="1:12" ht="22" customHeight="1">
      <c r="A1424" s="3"/>
      <c r="B1424" s="7"/>
      <c r="C1424" s="3"/>
      <c r="D1424" s="3"/>
      <c r="E1424" s="3"/>
      <c r="F1424" s="3"/>
      <c r="G1424" s="3"/>
      <c r="H1424" s="4"/>
      <c r="I1424" s="4"/>
      <c r="J1424" s="3"/>
      <c r="K1424" s="8" t="str">
        <f t="shared" si="22"/>
        <v/>
      </c>
      <c r="L1424" s="1" t="str">
        <f>IF(COUNTA(A1424:J1424)=0,"",IF(OR(AND(C1424&lt;&gt;"Gasto",C1424&lt;&gt;"Pago proveedor",C1424&lt;&gt;"Retiro familiar",C1424&lt;&gt;"Aportación",C1424&lt;&gt;"Pago activo",C1424&lt;&gt;"ISR devengado",C1424&lt;&gt;"Pago ISR",C1424&lt;&gt;"Pago IVA",C1424&lt;&gt;"Compensación ISR",C1424&lt;&gt;"Compensación IVA"),AND(C1424="Gasto",D1424&lt;&gt;"Costos clínicos",D1424&lt;&gt;"Remuneración familiar",D1424&lt;&gt;"Nómina y honorarios",D1424&lt;&gt;"Renta",D1424&lt;&gt;"Marketing",D1424&lt;&gt;"Servicios y software",D1424&lt;&gt;"Mantenimiento",D1424&lt;&gt;"Otros",D1424&lt;&gt;"Intereses")),"Tipo o categoría inválido",IF(COUNTA(A1424:J1424)=0,"",IF(OR(A1424="",B1424="",C1424="",H1424=""),"Faltan datos",IF(COUNTIF($A$7:$A$2006,A1424)&gt;1,"ID duplicado",IF(OR(B1424&lt;DATE(Configuración!$C$5,1,1),B1424&gt;=DATE(Configuración!$C$5+1,1,1)),"Fecha fuera del año",IF(OR(H1424&lt;0,I1424&lt;0),"Revisar signo",IF(AND(C1424&lt;&gt;"Gasto",I1424&lt;&gt;0),"IVA solo en Gasto",IF(AND(C1424="Gasto",D1424=""),"Falta categoría","OK")))))))))</f>
        <v/>
      </c>
    </row>
    <row r="1425" spans="1:12" ht="22" customHeight="1">
      <c r="A1425" s="3"/>
      <c r="B1425" s="7"/>
      <c r="C1425" s="3"/>
      <c r="D1425" s="3"/>
      <c r="E1425" s="3"/>
      <c r="F1425" s="3"/>
      <c r="G1425" s="3"/>
      <c r="H1425" s="4"/>
      <c r="I1425" s="4"/>
      <c r="J1425" s="3"/>
      <c r="K1425" s="8" t="str">
        <f t="shared" si="22"/>
        <v/>
      </c>
      <c r="L1425" s="1" t="str">
        <f>IF(COUNTA(A1425:J1425)=0,"",IF(OR(AND(C1425&lt;&gt;"Gasto",C1425&lt;&gt;"Pago proveedor",C1425&lt;&gt;"Retiro familiar",C1425&lt;&gt;"Aportación",C1425&lt;&gt;"Pago activo",C1425&lt;&gt;"ISR devengado",C1425&lt;&gt;"Pago ISR",C1425&lt;&gt;"Pago IVA",C1425&lt;&gt;"Compensación ISR",C1425&lt;&gt;"Compensación IVA"),AND(C1425="Gasto",D1425&lt;&gt;"Costos clínicos",D1425&lt;&gt;"Remuneración familiar",D1425&lt;&gt;"Nómina y honorarios",D1425&lt;&gt;"Renta",D1425&lt;&gt;"Marketing",D1425&lt;&gt;"Servicios y software",D1425&lt;&gt;"Mantenimiento",D1425&lt;&gt;"Otros",D1425&lt;&gt;"Intereses")),"Tipo o categoría inválido",IF(COUNTA(A1425:J1425)=0,"",IF(OR(A1425="",B1425="",C1425="",H1425=""),"Faltan datos",IF(COUNTIF($A$7:$A$2006,A1425)&gt;1,"ID duplicado",IF(OR(B1425&lt;DATE(Configuración!$C$5,1,1),B1425&gt;=DATE(Configuración!$C$5+1,1,1)),"Fecha fuera del año",IF(OR(H1425&lt;0,I1425&lt;0),"Revisar signo",IF(AND(C1425&lt;&gt;"Gasto",I1425&lt;&gt;0),"IVA solo en Gasto",IF(AND(C1425="Gasto",D1425=""),"Falta categoría","OK")))))))))</f>
        <v/>
      </c>
    </row>
    <row r="1426" spans="1:12" ht="22" customHeight="1">
      <c r="A1426" s="3"/>
      <c r="B1426" s="7"/>
      <c r="C1426" s="3"/>
      <c r="D1426" s="3"/>
      <c r="E1426" s="3"/>
      <c r="F1426" s="3"/>
      <c r="G1426" s="3"/>
      <c r="H1426" s="4"/>
      <c r="I1426" s="4"/>
      <c r="J1426" s="3"/>
      <c r="K1426" s="8" t="str">
        <f t="shared" si="22"/>
        <v/>
      </c>
      <c r="L1426" s="1" t="str">
        <f>IF(COUNTA(A1426:J1426)=0,"",IF(OR(AND(C1426&lt;&gt;"Gasto",C1426&lt;&gt;"Pago proveedor",C1426&lt;&gt;"Retiro familiar",C1426&lt;&gt;"Aportación",C1426&lt;&gt;"Pago activo",C1426&lt;&gt;"ISR devengado",C1426&lt;&gt;"Pago ISR",C1426&lt;&gt;"Pago IVA",C1426&lt;&gt;"Compensación ISR",C1426&lt;&gt;"Compensación IVA"),AND(C1426="Gasto",D1426&lt;&gt;"Costos clínicos",D1426&lt;&gt;"Remuneración familiar",D1426&lt;&gt;"Nómina y honorarios",D1426&lt;&gt;"Renta",D1426&lt;&gt;"Marketing",D1426&lt;&gt;"Servicios y software",D1426&lt;&gt;"Mantenimiento",D1426&lt;&gt;"Otros",D1426&lt;&gt;"Intereses")),"Tipo o categoría inválido",IF(COUNTA(A1426:J1426)=0,"",IF(OR(A1426="",B1426="",C1426="",H1426=""),"Faltan datos",IF(COUNTIF($A$7:$A$2006,A1426)&gt;1,"ID duplicado",IF(OR(B1426&lt;DATE(Configuración!$C$5,1,1),B1426&gt;=DATE(Configuración!$C$5+1,1,1)),"Fecha fuera del año",IF(OR(H1426&lt;0,I1426&lt;0),"Revisar signo",IF(AND(C1426&lt;&gt;"Gasto",I1426&lt;&gt;0),"IVA solo en Gasto",IF(AND(C1426="Gasto",D1426=""),"Falta categoría","OK")))))))))</f>
        <v/>
      </c>
    </row>
    <row r="1427" spans="1:12" ht="22" customHeight="1">
      <c r="A1427" s="3"/>
      <c r="B1427" s="7"/>
      <c r="C1427" s="3"/>
      <c r="D1427" s="3"/>
      <c r="E1427" s="3"/>
      <c r="F1427" s="3"/>
      <c r="G1427" s="3"/>
      <c r="H1427" s="4"/>
      <c r="I1427" s="4"/>
      <c r="J1427" s="3"/>
      <c r="K1427" s="8" t="str">
        <f t="shared" si="22"/>
        <v/>
      </c>
      <c r="L1427" s="1" t="str">
        <f>IF(COUNTA(A1427:J1427)=0,"",IF(OR(AND(C1427&lt;&gt;"Gasto",C1427&lt;&gt;"Pago proveedor",C1427&lt;&gt;"Retiro familiar",C1427&lt;&gt;"Aportación",C1427&lt;&gt;"Pago activo",C1427&lt;&gt;"ISR devengado",C1427&lt;&gt;"Pago ISR",C1427&lt;&gt;"Pago IVA",C1427&lt;&gt;"Compensación ISR",C1427&lt;&gt;"Compensación IVA"),AND(C1427="Gasto",D1427&lt;&gt;"Costos clínicos",D1427&lt;&gt;"Remuneración familiar",D1427&lt;&gt;"Nómina y honorarios",D1427&lt;&gt;"Renta",D1427&lt;&gt;"Marketing",D1427&lt;&gt;"Servicios y software",D1427&lt;&gt;"Mantenimiento",D1427&lt;&gt;"Otros",D1427&lt;&gt;"Intereses")),"Tipo o categoría inválido",IF(COUNTA(A1427:J1427)=0,"",IF(OR(A1427="",B1427="",C1427="",H1427=""),"Faltan datos",IF(COUNTIF($A$7:$A$2006,A1427)&gt;1,"ID duplicado",IF(OR(B1427&lt;DATE(Configuración!$C$5,1,1),B1427&gt;=DATE(Configuración!$C$5+1,1,1)),"Fecha fuera del año",IF(OR(H1427&lt;0,I1427&lt;0),"Revisar signo",IF(AND(C1427&lt;&gt;"Gasto",I1427&lt;&gt;0),"IVA solo en Gasto",IF(AND(C1427="Gasto",D1427=""),"Falta categoría","OK")))))))))</f>
        <v/>
      </c>
    </row>
    <row r="1428" spans="1:12" ht="22" customHeight="1">
      <c r="A1428" s="3"/>
      <c r="B1428" s="7"/>
      <c r="C1428" s="3"/>
      <c r="D1428" s="3"/>
      <c r="E1428" s="3"/>
      <c r="F1428" s="3"/>
      <c r="G1428" s="3"/>
      <c r="H1428" s="4"/>
      <c r="I1428" s="4"/>
      <c r="J1428" s="3"/>
      <c r="K1428" s="8" t="str">
        <f t="shared" si="22"/>
        <v/>
      </c>
      <c r="L1428" s="1" t="str">
        <f>IF(COUNTA(A1428:J1428)=0,"",IF(OR(AND(C1428&lt;&gt;"Gasto",C1428&lt;&gt;"Pago proveedor",C1428&lt;&gt;"Retiro familiar",C1428&lt;&gt;"Aportación",C1428&lt;&gt;"Pago activo",C1428&lt;&gt;"ISR devengado",C1428&lt;&gt;"Pago ISR",C1428&lt;&gt;"Pago IVA",C1428&lt;&gt;"Compensación ISR",C1428&lt;&gt;"Compensación IVA"),AND(C1428="Gasto",D1428&lt;&gt;"Costos clínicos",D1428&lt;&gt;"Remuneración familiar",D1428&lt;&gt;"Nómina y honorarios",D1428&lt;&gt;"Renta",D1428&lt;&gt;"Marketing",D1428&lt;&gt;"Servicios y software",D1428&lt;&gt;"Mantenimiento",D1428&lt;&gt;"Otros",D1428&lt;&gt;"Intereses")),"Tipo o categoría inválido",IF(COUNTA(A1428:J1428)=0,"",IF(OR(A1428="",B1428="",C1428="",H1428=""),"Faltan datos",IF(COUNTIF($A$7:$A$2006,A1428)&gt;1,"ID duplicado",IF(OR(B1428&lt;DATE(Configuración!$C$5,1,1),B1428&gt;=DATE(Configuración!$C$5+1,1,1)),"Fecha fuera del año",IF(OR(H1428&lt;0,I1428&lt;0),"Revisar signo",IF(AND(C1428&lt;&gt;"Gasto",I1428&lt;&gt;0),"IVA solo en Gasto",IF(AND(C1428="Gasto",D1428=""),"Falta categoría","OK")))))))))</f>
        <v/>
      </c>
    </row>
    <row r="1429" spans="1:12" ht="22" customHeight="1">
      <c r="A1429" s="3"/>
      <c r="B1429" s="7"/>
      <c r="C1429" s="3"/>
      <c r="D1429" s="3"/>
      <c r="E1429" s="3"/>
      <c r="F1429" s="3"/>
      <c r="G1429" s="3"/>
      <c r="H1429" s="4"/>
      <c r="I1429" s="4"/>
      <c r="J1429" s="3"/>
      <c r="K1429" s="8" t="str">
        <f t="shared" si="22"/>
        <v/>
      </c>
      <c r="L1429" s="1" t="str">
        <f>IF(COUNTA(A1429:J1429)=0,"",IF(OR(AND(C1429&lt;&gt;"Gasto",C1429&lt;&gt;"Pago proveedor",C1429&lt;&gt;"Retiro familiar",C1429&lt;&gt;"Aportación",C1429&lt;&gt;"Pago activo",C1429&lt;&gt;"ISR devengado",C1429&lt;&gt;"Pago ISR",C1429&lt;&gt;"Pago IVA",C1429&lt;&gt;"Compensación ISR",C1429&lt;&gt;"Compensación IVA"),AND(C1429="Gasto",D1429&lt;&gt;"Costos clínicos",D1429&lt;&gt;"Remuneración familiar",D1429&lt;&gt;"Nómina y honorarios",D1429&lt;&gt;"Renta",D1429&lt;&gt;"Marketing",D1429&lt;&gt;"Servicios y software",D1429&lt;&gt;"Mantenimiento",D1429&lt;&gt;"Otros",D1429&lt;&gt;"Intereses")),"Tipo o categoría inválido",IF(COUNTA(A1429:J1429)=0,"",IF(OR(A1429="",B1429="",C1429="",H1429=""),"Faltan datos",IF(COUNTIF($A$7:$A$2006,A1429)&gt;1,"ID duplicado",IF(OR(B1429&lt;DATE(Configuración!$C$5,1,1),B1429&gt;=DATE(Configuración!$C$5+1,1,1)),"Fecha fuera del año",IF(OR(H1429&lt;0,I1429&lt;0),"Revisar signo",IF(AND(C1429&lt;&gt;"Gasto",I1429&lt;&gt;0),"IVA solo en Gasto",IF(AND(C1429="Gasto",D1429=""),"Falta categoría","OK")))))))))</f>
        <v/>
      </c>
    </row>
    <row r="1430" spans="1:12" ht="22" customHeight="1">
      <c r="A1430" s="3"/>
      <c r="B1430" s="7"/>
      <c r="C1430" s="3"/>
      <c r="D1430" s="3"/>
      <c r="E1430" s="3"/>
      <c r="F1430" s="3"/>
      <c r="G1430" s="3"/>
      <c r="H1430" s="4"/>
      <c r="I1430" s="4"/>
      <c r="J1430" s="3"/>
      <c r="K1430" s="8" t="str">
        <f t="shared" si="22"/>
        <v/>
      </c>
      <c r="L1430" s="1" t="str">
        <f>IF(COUNTA(A1430:J1430)=0,"",IF(OR(AND(C1430&lt;&gt;"Gasto",C1430&lt;&gt;"Pago proveedor",C1430&lt;&gt;"Retiro familiar",C1430&lt;&gt;"Aportación",C1430&lt;&gt;"Pago activo",C1430&lt;&gt;"ISR devengado",C1430&lt;&gt;"Pago ISR",C1430&lt;&gt;"Pago IVA",C1430&lt;&gt;"Compensación ISR",C1430&lt;&gt;"Compensación IVA"),AND(C1430="Gasto",D1430&lt;&gt;"Costos clínicos",D1430&lt;&gt;"Remuneración familiar",D1430&lt;&gt;"Nómina y honorarios",D1430&lt;&gt;"Renta",D1430&lt;&gt;"Marketing",D1430&lt;&gt;"Servicios y software",D1430&lt;&gt;"Mantenimiento",D1430&lt;&gt;"Otros",D1430&lt;&gt;"Intereses")),"Tipo o categoría inválido",IF(COUNTA(A1430:J1430)=0,"",IF(OR(A1430="",B1430="",C1430="",H1430=""),"Faltan datos",IF(COUNTIF($A$7:$A$2006,A1430)&gt;1,"ID duplicado",IF(OR(B1430&lt;DATE(Configuración!$C$5,1,1),B1430&gt;=DATE(Configuración!$C$5+1,1,1)),"Fecha fuera del año",IF(OR(H1430&lt;0,I1430&lt;0),"Revisar signo",IF(AND(C1430&lt;&gt;"Gasto",I1430&lt;&gt;0),"IVA solo en Gasto",IF(AND(C1430="Gasto",D1430=""),"Falta categoría","OK")))))))))</f>
        <v/>
      </c>
    </row>
    <row r="1431" spans="1:12" ht="22" customHeight="1">
      <c r="A1431" s="3"/>
      <c r="B1431" s="7"/>
      <c r="C1431" s="3"/>
      <c r="D1431" s="3"/>
      <c r="E1431" s="3"/>
      <c r="F1431" s="3"/>
      <c r="G1431" s="3"/>
      <c r="H1431" s="4"/>
      <c r="I1431" s="4"/>
      <c r="J1431" s="3"/>
      <c r="K1431" s="8" t="str">
        <f t="shared" si="22"/>
        <v/>
      </c>
      <c r="L1431" s="1" t="str">
        <f>IF(COUNTA(A1431:J1431)=0,"",IF(OR(AND(C1431&lt;&gt;"Gasto",C1431&lt;&gt;"Pago proveedor",C1431&lt;&gt;"Retiro familiar",C1431&lt;&gt;"Aportación",C1431&lt;&gt;"Pago activo",C1431&lt;&gt;"ISR devengado",C1431&lt;&gt;"Pago ISR",C1431&lt;&gt;"Pago IVA",C1431&lt;&gt;"Compensación ISR",C1431&lt;&gt;"Compensación IVA"),AND(C1431="Gasto",D1431&lt;&gt;"Costos clínicos",D1431&lt;&gt;"Remuneración familiar",D1431&lt;&gt;"Nómina y honorarios",D1431&lt;&gt;"Renta",D1431&lt;&gt;"Marketing",D1431&lt;&gt;"Servicios y software",D1431&lt;&gt;"Mantenimiento",D1431&lt;&gt;"Otros",D1431&lt;&gt;"Intereses")),"Tipo o categoría inválido",IF(COUNTA(A1431:J1431)=0,"",IF(OR(A1431="",B1431="",C1431="",H1431=""),"Faltan datos",IF(COUNTIF($A$7:$A$2006,A1431)&gt;1,"ID duplicado",IF(OR(B1431&lt;DATE(Configuración!$C$5,1,1),B1431&gt;=DATE(Configuración!$C$5+1,1,1)),"Fecha fuera del año",IF(OR(H1431&lt;0,I1431&lt;0),"Revisar signo",IF(AND(C1431&lt;&gt;"Gasto",I1431&lt;&gt;0),"IVA solo en Gasto",IF(AND(C1431="Gasto",D1431=""),"Falta categoría","OK")))))))))</f>
        <v/>
      </c>
    </row>
    <row r="1432" spans="1:12" ht="22" customHeight="1">
      <c r="A1432" s="3"/>
      <c r="B1432" s="7"/>
      <c r="C1432" s="3"/>
      <c r="D1432" s="3"/>
      <c r="E1432" s="3"/>
      <c r="F1432" s="3"/>
      <c r="G1432" s="3"/>
      <c r="H1432" s="4"/>
      <c r="I1432" s="4"/>
      <c r="J1432" s="3"/>
      <c r="K1432" s="8" t="str">
        <f t="shared" si="22"/>
        <v/>
      </c>
      <c r="L1432" s="1" t="str">
        <f>IF(COUNTA(A1432:J1432)=0,"",IF(OR(AND(C1432&lt;&gt;"Gasto",C1432&lt;&gt;"Pago proveedor",C1432&lt;&gt;"Retiro familiar",C1432&lt;&gt;"Aportación",C1432&lt;&gt;"Pago activo",C1432&lt;&gt;"ISR devengado",C1432&lt;&gt;"Pago ISR",C1432&lt;&gt;"Pago IVA",C1432&lt;&gt;"Compensación ISR",C1432&lt;&gt;"Compensación IVA"),AND(C1432="Gasto",D1432&lt;&gt;"Costos clínicos",D1432&lt;&gt;"Remuneración familiar",D1432&lt;&gt;"Nómina y honorarios",D1432&lt;&gt;"Renta",D1432&lt;&gt;"Marketing",D1432&lt;&gt;"Servicios y software",D1432&lt;&gt;"Mantenimiento",D1432&lt;&gt;"Otros",D1432&lt;&gt;"Intereses")),"Tipo o categoría inválido",IF(COUNTA(A1432:J1432)=0,"",IF(OR(A1432="",B1432="",C1432="",H1432=""),"Faltan datos",IF(COUNTIF($A$7:$A$2006,A1432)&gt;1,"ID duplicado",IF(OR(B1432&lt;DATE(Configuración!$C$5,1,1),B1432&gt;=DATE(Configuración!$C$5+1,1,1)),"Fecha fuera del año",IF(OR(H1432&lt;0,I1432&lt;0),"Revisar signo",IF(AND(C1432&lt;&gt;"Gasto",I1432&lt;&gt;0),"IVA solo en Gasto",IF(AND(C1432="Gasto",D1432=""),"Falta categoría","OK")))))))))</f>
        <v/>
      </c>
    </row>
    <row r="1433" spans="1:12" ht="22" customHeight="1">
      <c r="A1433" s="3"/>
      <c r="B1433" s="7"/>
      <c r="C1433" s="3"/>
      <c r="D1433" s="3"/>
      <c r="E1433" s="3"/>
      <c r="F1433" s="3"/>
      <c r="G1433" s="3"/>
      <c r="H1433" s="4"/>
      <c r="I1433" s="4"/>
      <c r="J1433" s="3"/>
      <c r="K1433" s="8" t="str">
        <f t="shared" si="22"/>
        <v/>
      </c>
      <c r="L1433" s="1" t="str">
        <f>IF(COUNTA(A1433:J1433)=0,"",IF(OR(AND(C1433&lt;&gt;"Gasto",C1433&lt;&gt;"Pago proveedor",C1433&lt;&gt;"Retiro familiar",C1433&lt;&gt;"Aportación",C1433&lt;&gt;"Pago activo",C1433&lt;&gt;"ISR devengado",C1433&lt;&gt;"Pago ISR",C1433&lt;&gt;"Pago IVA",C1433&lt;&gt;"Compensación ISR",C1433&lt;&gt;"Compensación IVA"),AND(C1433="Gasto",D1433&lt;&gt;"Costos clínicos",D1433&lt;&gt;"Remuneración familiar",D1433&lt;&gt;"Nómina y honorarios",D1433&lt;&gt;"Renta",D1433&lt;&gt;"Marketing",D1433&lt;&gt;"Servicios y software",D1433&lt;&gt;"Mantenimiento",D1433&lt;&gt;"Otros",D1433&lt;&gt;"Intereses")),"Tipo o categoría inválido",IF(COUNTA(A1433:J1433)=0,"",IF(OR(A1433="",B1433="",C1433="",H1433=""),"Faltan datos",IF(COUNTIF($A$7:$A$2006,A1433)&gt;1,"ID duplicado",IF(OR(B1433&lt;DATE(Configuración!$C$5,1,1),B1433&gt;=DATE(Configuración!$C$5+1,1,1)),"Fecha fuera del año",IF(OR(H1433&lt;0,I1433&lt;0),"Revisar signo",IF(AND(C1433&lt;&gt;"Gasto",I1433&lt;&gt;0),"IVA solo en Gasto",IF(AND(C1433="Gasto",D1433=""),"Falta categoría","OK")))))))))</f>
        <v/>
      </c>
    </row>
    <row r="1434" spans="1:12" ht="22" customHeight="1">
      <c r="A1434" s="3"/>
      <c r="B1434" s="7"/>
      <c r="C1434" s="3"/>
      <c r="D1434" s="3"/>
      <c r="E1434" s="3"/>
      <c r="F1434" s="3"/>
      <c r="G1434" s="3"/>
      <c r="H1434" s="4"/>
      <c r="I1434" s="4"/>
      <c r="J1434" s="3"/>
      <c r="K1434" s="8" t="str">
        <f t="shared" si="22"/>
        <v/>
      </c>
      <c r="L1434" s="1" t="str">
        <f>IF(COUNTA(A1434:J1434)=0,"",IF(OR(AND(C1434&lt;&gt;"Gasto",C1434&lt;&gt;"Pago proveedor",C1434&lt;&gt;"Retiro familiar",C1434&lt;&gt;"Aportación",C1434&lt;&gt;"Pago activo",C1434&lt;&gt;"ISR devengado",C1434&lt;&gt;"Pago ISR",C1434&lt;&gt;"Pago IVA",C1434&lt;&gt;"Compensación ISR",C1434&lt;&gt;"Compensación IVA"),AND(C1434="Gasto",D1434&lt;&gt;"Costos clínicos",D1434&lt;&gt;"Remuneración familiar",D1434&lt;&gt;"Nómina y honorarios",D1434&lt;&gt;"Renta",D1434&lt;&gt;"Marketing",D1434&lt;&gt;"Servicios y software",D1434&lt;&gt;"Mantenimiento",D1434&lt;&gt;"Otros",D1434&lt;&gt;"Intereses")),"Tipo o categoría inválido",IF(COUNTA(A1434:J1434)=0,"",IF(OR(A1434="",B1434="",C1434="",H1434=""),"Faltan datos",IF(COUNTIF($A$7:$A$2006,A1434)&gt;1,"ID duplicado",IF(OR(B1434&lt;DATE(Configuración!$C$5,1,1),B1434&gt;=DATE(Configuración!$C$5+1,1,1)),"Fecha fuera del año",IF(OR(H1434&lt;0,I1434&lt;0),"Revisar signo",IF(AND(C1434&lt;&gt;"Gasto",I1434&lt;&gt;0),"IVA solo en Gasto",IF(AND(C1434="Gasto",D1434=""),"Falta categoría","OK")))))))))</f>
        <v/>
      </c>
    </row>
    <row r="1435" spans="1:12" ht="22" customHeight="1">
      <c r="A1435" s="3"/>
      <c r="B1435" s="7"/>
      <c r="C1435" s="3"/>
      <c r="D1435" s="3"/>
      <c r="E1435" s="3"/>
      <c r="F1435" s="3"/>
      <c r="G1435" s="3"/>
      <c r="H1435" s="4"/>
      <c r="I1435" s="4"/>
      <c r="J1435" s="3"/>
      <c r="K1435" s="8" t="str">
        <f t="shared" si="22"/>
        <v/>
      </c>
      <c r="L1435" s="1" t="str">
        <f>IF(COUNTA(A1435:J1435)=0,"",IF(OR(AND(C1435&lt;&gt;"Gasto",C1435&lt;&gt;"Pago proveedor",C1435&lt;&gt;"Retiro familiar",C1435&lt;&gt;"Aportación",C1435&lt;&gt;"Pago activo",C1435&lt;&gt;"ISR devengado",C1435&lt;&gt;"Pago ISR",C1435&lt;&gt;"Pago IVA",C1435&lt;&gt;"Compensación ISR",C1435&lt;&gt;"Compensación IVA"),AND(C1435="Gasto",D1435&lt;&gt;"Costos clínicos",D1435&lt;&gt;"Remuneración familiar",D1435&lt;&gt;"Nómina y honorarios",D1435&lt;&gt;"Renta",D1435&lt;&gt;"Marketing",D1435&lt;&gt;"Servicios y software",D1435&lt;&gt;"Mantenimiento",D1435&lt;&gt;"Otros",D1435&lt;&gt;"Intereses")),"Tipo o categoría inválido",IF(COUNTA(A1435:J1435)=0,"",IF(OR(A1435="",B1435="",C1435="",H1435=""),"Faltan datos",IF(COUNTIF($A$7:$A$2006,A1435)&gt;1,"ID duplicado",IF(OR(B1435&lt;DATE(Configuración!$C$5,1,1),B1435&gt;=DATE(Configuración!$C$5+1,1,1)),"Fecha fuera del año",IF(OR(H1435&lt;0,I1435&lt;0),"Revisar signo",IF(AND(C1435&lt;&gt;"Gasto",I1435&lt;&gt;0),"IVA solo en Gasto",IF(AND(C1435="Gasto",D1435=""),"Falta categoría","OK")))))))))</f>
        <v/>
      </c>
    </row>
    <row r="1436" spans="1:12" ht="22" customHeight="1">
      <c r="A1436" s="3"/>
      <c r="B1436" s="7"/>
      <c r="C1436" s="3"/>
      <c r="D1436" s="3"/>
      <c r="E1436" s="3"/>
      <c r="F1436" s="3"/>
      <c r="G1436" s="3"/>
      <c r="H1436" s="4"/>
      <c r="I1436" s="4"/>
      <c r="J1436" s="3"/>
      <c r="K1436" s="8" t="str">
        <f t="shared" si="22"/>
        <v/>
      </c>
      <c r="L1436" s="1" t="str">
        <f>IF(COUNTA(A1436:J1436)=0,"",IF(OR(AND(C1436&lt;&gt;"Gasto",C1436&lt;&gt;"Pago proveedor",C1436&lt;&gt;"Retiro familiar",C1436&lt;&gt;"Aportación",C1436&lt;&gt;"Pago activo",C1436&lt;&gt;"ISR devengado",C1436&lt;&gt;"Pago ISR",C1436&lt;&gt;"Pago IVA",C1436&lt;&gt;"Compensación ISR",C1436&lt;&gt;"Compensación IVA"),AND(C1436="Gasto",D1436&lt;&gt;"Costos clínicos",D1436&lt;&gt;"Remuneración familiar",D1436&lt;&gt;"Nómina y honorarios",D1436&lt;&gt;"Renta",D1436&lt;&gt;"Marketing",D1436&lt;&gt;"Servicios y software",D1436&lt;&gt;"Mantenimiento",D1436&lt;&gt;"Otros",D1436&lt;&gt;"Intereses")),"Tipo o categoría inválido",IF(COUNTA(A1436:J1436)=0,"",IF(OR(A1436="",B1436="",C1436="",H1436=""),"Faltan datos",IF(COUNTIF($A$7:$A$2006,A1436)&gt;1,"ID duplicado",IF(OR(B1436&lt;DATE(Configuración!$C$5,1,1),B1436&gt;=DATE(Configuración!$C$5+1,1,1)),"Fecha fuera del año",IF(OR(H1436&lt;0,I1436&lt;0),"Revisar signo",IF(AND(C1436&lt;&gt;"Gasto",I1436&lt;&gt;0),"IVA solo en Gasto",IF(AND(C1436="Gasto",D1436=""),"Falta categoría","OK")))))))))</f>
        <v/>
      </c>
    </row>
    <row r="1437" spans="1:12" ht="22" customHeight="1">
      <c r="A1437" s="3"/>
      <c r="B1437" s="7"/>
      <c r="C1437" s="3"/>
      <c r="D1437" s="3"/>
      <c r="E1437" s="3"/>
      <c r="F1437" s="3"/>
      <c r="G1437" s="3"/>
      <c r="H1437" s="4"/>
      <c r="I1437" s="4"/>
      <c r="J1437" s="3"/>
      <c r="K1437" s="8" t="str">
        <f t="shared" si="22"/>
        <v/>
      </c>
      <c r="L1437" s="1" t="str">
        <f>IF(COUNTA(A1437:J1437)=0,"",IF(OR(AND(C1437&lt;&gt;"Gasto",C1437&lt;&gt;"Pago proveedor",C1437&lt;&gt;"Retiro familiar",C1437&lt;&gt;"Aportación",C1437&lt;&gt;"Pago activo",C1437&lt;&gt;"ISR devengado",C1437&lt;&gt;"Pago ISR",C1437&lt;&gt;"Pago IVA",C1437&lt;&gt;"Compensación ISR",C1437&lt;&gt;"Compensación IVA"),AND(C1437="Gasto",D1437&lt;&gt;"Costos clínicos",D1437&lt;&gt;"Remuneración familiar",D1437&lt;&gt;"Nómina y honorarios",D1437&lt;&gt;"Renta",D1437&lt;&gt;"Marketing",D1437&lt;&gt;"Servicios y software",D1437&lt;&gt;"Mantenimiento",D1437&lt;&gt;"Otros",D1437&lt;&gt;"Intereses")),"Tipo o categoría inválido",IF(COUNTA(A1437:J1437)=0,"",IF(OR(A1437="",B1437="",C1437="",H1437=""),"Faltan datos",IF(COUNTIF($A$7:$A$2006,A1437)&gt;1,"ID duplicado",IF(OR(B1437&lt;DATE(Configuración!$C$5,1,1),B1437&gt;=DATE(Configuración!$C$5+1,1,1)),"Fecha fuera del año",IF(OR(H1437&lt;0,I1437&lt;0),"Revisar signo",IF(AND(C1437&lt;&gt;"Gasto",I1437&lt;&gt;0),"IVA solo en Gasto",IF(AND(C1437="Gasto",D1437=""),"Falta categoría","OK")))))))))</f>
        <v/>
      </c>
    </row>
    <row r="1438" spans="1:12" ht="22" customHeight="1">
      <c r="A1438" s="3"/>
      <c r="B1438" s="7"/>
      <c r="C1438" s="3"/>
      <c r="D1438" s="3"/>
      <c r="E1438" s="3"/>
      <c r="F1438" s="3"/>
      <c r="G1438" s="3"/>
      <c r="H1438" s="4"/>
      <c r="I1438" s="4"/>
      <c r="J1438" s="3"/>
      <c r="K1438" s="8" t="str">
        <f t="shared" si="22"/>
        <v/>
      </c>
      <c r="L1438" s="1" t="str">
        <f>IF(COUNTA(A1438:J1438)=0,"",IF(OR(AND(C1438&lt;&gt;"Gasto",C1438&lt;&gt;"Pago proveedor",C1438&lt;&gt;"Retiro familiar",C1438&lt;&gt;"Aportación",C1438&lt;&gt;"Pago activo",C1438&lt;&gt;"ISR devengado",C1438&lt;&gt;"Pago ISR",C1438&lt;&gt;"Pago IVA",C1438&lt;&gt;"Compensación ISR",C1438&lt;&gt;"Compensación IVA"),AND(C1438="Gasto",D1438&lt;&gt;"Costos clínicos",D1438&lt;&gt;"Remuneración familiar",D1438&lt;&gt;"Nómina y honorarios",D1438&lt;&gt;"Renta",D1438&lt;&gt;"Marketing",D1438&lt;&gt;"Servicios y software",D1438&lt;&gt;"Mantenimiento",D1438&lt;&gt;"Otros",D1438&lt;&gt;"Intereses")),"Tipo o categoría inválido",IF(COUNTA(A1438:J1438)=0,"",IF(OR(A1438="",B1438="",C1438="",H1438=""),"Faltan datos",IF(COUNTIF($A$7:$A$2006,A1438)&gt;1,"ID duplicado",IF(OR(B1438&lt;DATE(Configuración!$C$5,1,1),B1438&gt;=DATE(Configuración!$C$5+1,1,1)),"Fecha fuera del año",IF(OR(H1438&lt;0,I1438&lt;0),"Revisar signo",IF(AND(C1438&lt;&gt;"Gasto",I1438&lt;&gt;0),"IVA solo en Gasto",IF(AND(C1438="Gasto",D1438=""),"Falta categoría","OK")))))))))</f>
        <v/>
      </c>
    </row>
    <row r="1439" spans="1:12" ht="22" customHeight="1">
      <c r="A1439" s="3"/>
      <c r="B1439" s="7"/>
      <c r="C1439" s="3"/>
      <c r="D1439" s="3"/>
      <c r="E1439" s="3"/>
      <c r="F1439" s="3"/>
      <c r="G1439" s="3"/>
      <c r="H1439" s="4"/>
      <c r="I1439" s="4"/>
      <c r="J1439" s="3"/>
      <c r="K1439" s="8" t="str">
        <f t="shared" si="22"/>
        <v/>
      </c>
      <c r="L1439" s="1" t="str">
        <f>IF(COUNTA(A1439:J1439)=0,"",IF(OR(AND(C1439&lt;&gt;"Gasto",C1439&lt;&gt;"Pago proveedor",C1439&lt;&gt;"Retiro familiar",C1439&lt;&gt;"Aportación",C1439&lt;&gt;"Pago activo",C1439&lt;&gt;"ISR devengado",C1439&lt;&gt;"Pago ISR",C1439&lt;&gt;"Pago IVA",C1439&lt;&gt;"Compensación ISR",C1439&lt;&gt;"Compensación IVA"),AND(C1439="Gasto",D1439&lt;&gt;"Costos clínicos",D1439&lt;&gt;"Remuneración familiar",D1439&lt;&gt;"Nómina y honorarios",D1439&lt;&gt;"Renta",D1439&lt;&gt;"Marketing",D1439&lt;&gt;"Servicios y software",D1439&lt;&gt;"Mantenimiento",D1439&lt;&gt;"Otros",D1439&lt;&gt;"Intereses")),"Tipo o categoría inválido",IF(COUNTA(A1439:J1439)=0,"",IF(OR(A1439="",B1439="",C1439="",H1439=""),"Faltan datos",IF(COUNTIF($A$7:$A$2006,A1439)&gt;1,"ID duplicado",IF(OR(B1439&lt;DATE(Configuración!$C$5,1,1),B1439&gt;=DATE(Configuración!$C$5+1,1,1)),"Fecha fuera del año",IF(OR(H1439&lt;0,I1439&lt;0),"Revisar signo",IF(AND(C1439&lt;&gt;"Gasto",I1439&lt;&gt;0),"IVA solo en Gasto",IF(AND(C1439="Gasto",D1439=""),"Falta categoría","OK")))))))))</f>
        <v/>
      </c>
    </row>
    <row r="1440" spans="1:12" ht="22" customHeight="1">
      <c r="A1440" s="3"/>
      <c r="B1440" s="7"/>
      <c r="C1440" s="3"/>
      <c r="D1440" s="3"/>
      <c r="E1440" s="3"/>
      <c r="F1440" s="3"/>
      <c r="G1440" s="3"/>
      <c r="H1440" s="4"/>
      <c r="I1440" s="4"/>
      <c r="J1440" s="3"/>
      <c r="K1440" s="8" t="str">
        <f t="shared" si="22"/>
        <v/>
      </c>
      <c r="L1440" s="1" t="str">
        <f>IF(COUNTA(A1440:J1440)=0,"",IF(OR(AND(C1440&lt;&gt;"Gasto",C1440&lt;&gt;"Pago proveedor",C1440&lt;&gt;"Retiro familiar",C1440&lt;&gt;"Aportación",C1440&lt;&gt;"Pago activo",C1440&lt;&gt;"ISR devengado",C1440&lt;&gt;"Pago ISR",C1440&lt;&gt;"Pago IVA",C1440&lt;&gt;"Compensación ISR",C1440&lt;&gt;"Compensación IVA"),AND(C1440="Gasto",D1440&lt;&gt;"Costos clínicos",D1440&lt;&gt;"Remuneración familiar",D1440&lt;&gt;"Nómina y honorarios",D1440&lt;&gt;"Renta",D1440&lt;&gt;"Marketing",D1440&lt;&gt;"Servicios y software",D1440&lt;&gt;"Mantenimiento",D1440&lt;&gt;"Otros",D1440&lt;&gt;"Intereses")),"Tipo o categoría inválido",IF(COUNTA(A1440:J1440)=0,"",IF(OR(A1440="",B1440="",C1440="",H1440=""),"Faltan datos",IF(COUNTIF($A$7:$A$2006,A1440)&gt;1,"ID duplicado",IF(OR(B1440&lt;DATE(Configuración!$C$5,1,1),B1440&gt;=DATE(Configuración!$C$5+1,1,1)),"Fecha fuera del año",IF(OR(H1440&lt;0,I1440&lt;0),"Revisar signo",IF(AND(C1440&lt;&gt;"Gasto",I1440&lt;&gt;0),"IVA solo en Gasto",IF(AND(C1440="Gasto",D1440=""),"Falta categoría","OK")))))))))</f>
        <v/>
      </c>
    </row>
    <row r="1441" spans="1:12" ht="22" customHeight="1">
      <c r="A1441" s="3"/>
      <c r="B1441" s="7"/>
      <c r="C1441" s="3"/>
      <c r="D1441" s="3"/>
      <c r="E1441" s="3"/>
      <c r="F1441" s="3"/>
      <c r="G1441" s="3"/>
      <c r="H1441" s="4"/>
      <c r="I1441" s="4"/>
      <c r="J1441" s="3"/>
      <c r="K1441" s="8" t="str">
        <f t="shared" si="22"/>
        <v/>
      </c>
      <c r="L1441" s="1" t="str">
        <f>IF(COUNTA(A1441:J1441)=0,"",IF(OR(AND(C1441&lt;&gt;"Gasto",C1441&lt;&gt;"Pago proveedor",C1441&lt;&gt;"Retiro familiar",C1441&lt;&gt;"Aportación",C1441&lt;&gt;"Pago activo",C1441&lt;&gt;"ISR devengado",C1441&lt;&gt;"Pago ISR",C1441&lt;&gt;"Pago IVA",C1441&lt;&gt;"Compensación ISR",C1441&lt;&gt;"Compensación IVA"),AND(C1441="Gasto",D1441&lt;&gt;"Costos clínicos",D1441&lt;&gt;"Remuneración familiar",D1441&lt;&gt;"Nómina y honorarios",D1441&lt;&gt;"Renta",D1441&lt;&gt;"Marketing",D1441&lt;&gt;"Servicios y software",D1441&lt;&gt;"Mantenimiento",D1441&lt;&gt;"Otros",D1441&lt;&gt;"Intereses")),"Tipo o categoría inválido",IF(COUNTA(A1441:J1441)=0,"",IF(OR(A1441="",B1441="",C1441="",H1441=""),"Faltan datos",IF(COUNTIF($A$7:$A$2006,A1441)&gt;1,"ID duplicado",IF(OR(B1441&lt;DATE(Configuración!$C$5,1,1),B1441&gt;=DATE(Configuración!$C$5+1,1,1)),"Fecha fuera del año",IF(OR(H1441&lt;0,I1441&lt;0),"Revisar signo",IF(AND(C1441&lt;&gt;"Gasto",I1441&lt;&gt;0),"IVA solo en Gasto",IF(AND(C1441="Gasto",D1441=""),"Falta categoría","OK")))))))))</f>
        <v/>
      </c>
    </row>
    <row r="1442" spans="1:12" ht="22" customHeight="1">
      <c r="A1442" s="3"/>
      <c r="B1442" s="7"/>
      <c r="C1442" s="3"/>
      <c r="D1442" s="3"/>
      <c r="E1442" s="3"/>
      <c r="F1442" s="3"/>
      <c r="G1442" s="3"/>
      <c r="H1442" s="4"/>
      <c r="I1442" s="4"/>
      <c r="J1442" s="3"/>
      <c r="K1442" s="8" t="str">
        <f t="shared" si="22"/>
        <v/>
      </c>
      <c r="L1442" s="1" t="str">
        <f>IF(COUNTA(A1442:J1442)=0,"",IF(OR(AND(C1442&lt;&gt;"Gasto",C1442&lt;&gt;"Pago proveedor",C1442&lt;&gt;"Retiro familiar",C1442&lt;&gt;"Aportación",C1442&lt;&gt;"Pago activo",C1442&lt;&gt;"ISR devengado",C1442&lt;&gt;"Pago ISR",C1442&lt;&gt;"Pago IVA",C1442&lt;&gt;"Compensación ISR",C1442&lt;&gt;"Compensación IVA"),AND(C1442="Gasto",D1442&lt;&gt;"Costos clínicos",D1442&lt;&gt;"Remuneración familiar",D1442&lt;&gt;"Nómina y honorarios",D1442&lt;&gt;"Renta",D1442&lt;&gt;"Marketing",D1442&lt;&gt;"Servicios y software",D1442&lt;&gt;"Mantenimiento",D1442&lt;&gt;"Otros",D1442&lt;&gt;"Intereses")),"Tipo o categoría inválido",IF(COUNTA(A1442:J1442)=0,"",IF(OR(A1442="",B1442="",C1442="",H1442=""),"Faltan datos",IF(COUNTIF($A$7:$A$2006,A1442)&gt;1,"ID duplicado",IF(OR(B1442&lt;DATE(Configuración!$C$5,1,1),B1442&gt;=DATE(Configuración!$C$5+1,1,1)),"Fecha fuera del año",IF(OR(H1442&lt;0,I1442&lt;0),"Revisar signo",IF(AND(C1442&lt;&gt;"Gasto",I1442&lt;&gt;0),"IVA solo en Gasto",IF(AND(C1442="Gasto",D1442=""),"Falta categoría","OK")))))))))</f>
        <v/>
      </c>
    </row>
    <row r="1443" spans="1:12" ht="22" customHeight="1">
      <c r="A1443" s="3"/>
      <c r="B1443" s="7"/>
      <c r="C1443" s="3"/>
      <c r="D1443" s="3"/>
      <c r="E1443" s="3"/>
      <c r="F1443" s="3"/>
      <c r="G1443" s="3"/>
      <c r="H1443" s="4"/>
      <c r="I1443" s="4"/>
      <c r="J1443" s="3"/>
      <c r="K1443" s="8" t="str">
        <f t="shared" si="22"/>
        <v/>
      </c>
      <c r="L1443" s="1" t="str">
        <f>IF(COUNTA(A1443:J1443)=0,"",IF(OR(AND(C1443&lt;&gt;"Gasto",C1443&lt;&gt;"Pago proveedor",C1443&lt;&gt;"Retiro familiar",C1443&lt;&gt;"Aportación",C1443&lt;&gt;"Pago activo",C1443&lt;&gt;"ISR devengado",C1443&lt;&gt;"Pago ISR",C1443&lt;&gt;"Pago IVA",C1443&lt;&gt;"Compensación ISR",C1443&lt;&gt;"Compensación IVA"),AND(C1443="Gasto",D1443&lt;&gt;"Costos clínicos",D1443&lt;&gt;"Remuneración familiar",D1443&lt;&gt;"Nómina y honorarios",D1443&lt;&gt;"Renta",D1443&lt;&gt;"Marketing",D1443&lt;&gt;"Servicios y software",D1443&lt;&gt;"Mantenimiento",D1443&lt;&gt;"Otros",D1443&lt;&gt;"Intereses")),"Tipo o categoría inválido",IF(COUNTA(A1443:J1443)=0,"",IF(OR(A1443="",B1443="",C1443="",H1443=""),"Faltan datos",IF(COUNTIF($A$7:$A$2006,A1443)&gt;1,"ID duplicado",IF(OR(B1443&lt;DATE(Configuración!$C$5,1,1),B1443&gt;=DATE(Configuración!$C$5+1,1,1)),"Fecha fuera del año",IF(OR(H1443&lt;0,I1443&lt;0),"Revisar signo",IF(AND(C1443&lt;&gt;"Gasto",I1443&lt;&gt;0),"IVA solo en Gasto",IF(AND(C1443="Gasto",D1443=""),"Falta categoría","OK")))))))))</f>
        <v/>
      </c>
    </row>
    <row r="1444" spans="1:12" ht="22" customHeight="1">
      <c r="A1444" s="3"/>
      <c r="B1444" s="7"/>
      <c r="C1444" s="3"/>
      <c r="D1444" s="3"/>
      <c r="E1444" s="3"/>
      <c r="F1444" s="3"/>
      <c r="G1444" s="3"/>
      <c r="H1444" s="4"/>
      <c r="I1444" s="4"/>
      <c r="J1444" s="3"/>
      <c r="K1444" s="8" t="str">
        <f t="shared" si="22"/>
        <v/>
      </c>
      <c r="L1444" s="1" t="str">
        <f>IF(COUNTA(A1444:J1444)=0,"",IF(OR(AND(C1444&lt;&gt;"Gasto",C1444&lt;&gt;"Pago proveedor",C1444&lt;&gt;"Retiro familiar",C1444&lt;&gt;"Aportación",C1444&lt;&gt;"Pago activo",C1444&lt;&gt;"ISR devengado",C1444&lt;&gt;"Pago ISR",C1444&lt;&gt;"Pago IVA",C1444&lt;&gt;"Compensación ISR",C1444&lt;&gt;"Compensación IVA"),AND(C1444="Gasto",D1444&lt;&gt;"Costos clínicos",D1444&lt;&gt;"Remuneración familiar",D1444&lt;&gt;"Nómina y honorarios",D1444&lt;&gt;"Renta",D1444&lt;&gt;"Marketing",D1444&lt;&gt;"Servicios y software",D1444&lt;&gt;"Mantenimiento",D1444&lt;&gt;"Otros",D1444&lt;&gt;"Intereses")),"Tipo o categoría inválido",IF(COUNTA(A1444:J1444)=0,"",IF(OR(A1444="",B1444="",C1444="",H1444=""),"Faltan datos",IF(COUNTIF($A$7:$A$2006,A1444)&gt;1,"ID duplicado",IF(OR(B1444&lt;DATE(Configuración!$C$5,1,1),B1444&gt;=DATE(Configuración!$C$5+1,1,1)),"Fecha fuera del año",IF(OR(H1444&lt;0,I1444&lt;0),"Revisar signo",IF(AND(C1444&lt;&gt;"Gasto",I1444&lt;&gt;0),"IVA solo en Gasto",IF(AND(C1444="Gasto",D1444=""),"Falta categoría","OK")))))))))</f>
        <v/>
      </c>
    </row>
    <row r="1445" spans="1:12" ht="22" customHeight="1">
      <c r="A1445" s="3"/>
      <c r="B1445" s="7"/>
      <c r="C1445" s="3"/>
      <c r="D1445" s="3"/>
      <c r="E1445" s="3"/>
      <c r="F1445" s="3"/>
      <c r="G1445" s="3"/>
      <c r="H1445" s="4"/>
      <c r="I1445" s="4"/>
      <c r="J1445" s="3"/>
      <c r="K1445" s="8" t="str">
        <f t="shared" si="22"/>
        <v/>
      </c>
      <c r="L1445" s="1" t="str">
        <f>IF(COUNTA(A1445:J1445)=0,"",IF(OR(AND(C1445&lt;&gt;"Gasto",C1445&lt;&gt;"Pago proveedor",C1445&lt;&gt;"Retiro familiar",C1445&lt;&gt;"Aportación",C1445&lt;&gt;"Pago activo",C1445&lt;&gt;"ISR devengado",C1445&lt;&gt;"Pago ISR",C1445&lt;&gt;"Pago IVA",C1445&lt;&gt;"Compensación ISR",C1445&lt;&gt;"Compensación IVA"),AND(C1445="Gasto",D1445&lt;&gt;"Costos clínicos",D1445&lt;&gt;"Remuneración familiar",D1445&lt;&gt;"Nómina y honorarios",D1445&lt;&gt;"Renta",D1445&lt;&gt;"Marketing",D1445&lt;&gt;"Servicios y software",D1445&lt;&gt;"Mantenimiento",D1445&lt;&gt;"Otros",D1445&lt;&gt;"Intereses")),"Tipo o categoría inválido",IF(COUNTA(A1445:J1445)=0,"",IF(OR(A1445="",B1445="",C1445="",H1445=""),"Faltan datos",IF(COUNTIF($A$7:$A$2006,A1445)&gt;1,"ID duplicado",IF(OR(B1445&lt;DATE(Configuración!$C$5,1,1),B1445&gt;=DATE(Configuración!$C$5+1,1,1)),"Fecha fuera del año",IF(OR(H1445&lt;0,I1445&lt;0),"Revisar signo",IF(AND(C1445&lt;&gt;"Gasto",I1445&lt;&gt;0),"IVA solo en Gasto",IF(AND(C1445="Gasto",D1445=""),"Falta categoría","OK")))))))))</f>
        <v/>
      </c>
    </row>
    <row r="1446" spans="1:12" ht="22" customHeight="1">
      <c r="A1446" s="3"/>
      <c r="B1446" s="7"/>
      <c r="C1446" s="3"/>
      <c r="D1446" s="3"/>
      <c r="E1446" s="3"/>
      <c r="F1446" s="3"/>
      <c r="G1446" s="3"/>
      <c r="H1446" s="4"/>
      <c r="I1446" s="4"/>
      <c r="J1446" s="3"/>
      <c r="K1446" s="8" t="str">
        <f t="shared" si="22"/>
        <v/>
      </c>
      <c r="L1446" s="1" t="str">
        <f>IF(COUNTA(A1446:J1446)=0,"",IF(OR(AND(C1446&lt;&gt;"Gasto",C1446&lt;&gt;"Pago proveedor",C1446&lt;&gt;"Retiro familiar",C1446&lt;&gt;"Aportación",C1446&lt;&gt;"Pago activo",C1446&lt;&gt;"ISR devengado",C1446&lt;&gt;"Pago ISR",C1446&lt;&gt;"Pago IVA",C1446&lt;&gt;"Compensación ISR",C1446&lt;&gt;"Compensación IVA"),AND(C1446="Gasto",D1446&lt;&gt;"Costos clínicos",D1446&lt;&gt;"Remuneración familiar",D1446&lt;&gt;"Nómina y honorarios",D1446&lt;&gt;"Renta",D1446&lt;&gt;"Marketing",D1446&lt;&gt;"Servicios y software",D1446&lt;&gt;"Mantenimiento",D1446&lt;&gt;"Otros",D1446&lt;&gt;"Intereses")),"Tipo o categoría inválido",IF(COUNTA(A1446:J1446)=0,"",IF(OR(A1446="",B1446="",C1446="",H1446=""),"Faltan datos",IF(COUNTIF($A$7:$A$2006,A1446)&gt;1,"ID duplicado",IF(OR(B1446&lt;DATE(Configuración!$C$5,1,1),B1446&gt;=DATE(Configuración!$C$5+1,1,1)),"Fecha fuera del año",IF(OR(H1446&lt;0,I1446&lt;0),"Revisar signo",IF(AND(C1446&lt;&gt;"Gasto",I1446&lt;&gt;0),"IVA solo en Gasto",IF(AND(C1446="Gasto",D1446=""),"Falta categoría","OK")))))))))</f>
        <v/>
      </c>
    </row>
    <row r="1447" spans="1:12" ht="22" customHeight="1">
      <c r="A1447" s="3"/>
      <c r="B1447" s="7"/>
      <c r="C1447" s="3"/>
      <c r="D1447" s="3"/>
      <c r="E1447" s="3"/>
      <c r="F1447" s="3"/>
      <c r="G1447" s="3"/>
      <c r="H1447" s="4"/>
      <c r="I1447" s="4"/>
      <c r="J1447" s="3"/>
      <c r="K1447" s="8" t="str">
        <f t="shared" si="22"/>
        <v/>
      </c>
      <c r="L1447" s="1" t="str">
        <f>IF(COUNTA(A1447:J1447)=0,"",IF(OR(AND(C1447&lt;&gt;"Gasto",C1447&lt;&gt;"Pago proveedor",C1447&lt;&gt;"Retiro familiar",C1447&lt;&gt;"Aportación",C1447&lt;&gt;"Pago activo",C1447&lt;&gt;"ISR devengado",C1447&lt;&gt;"Pago ISR",C1447&lt;&gt;"Pago IVA",C1447&lt;&gt;"Compensación ISR",C1447&lt;&gt;"Compensación IVA"),AND(C1447="Gasto",D1447&lt;&gt;"Costos clínicos",D1447&lt;&gt;"Remuneración familiar",D1447&lt;&gt;"Nómina y honorarios",D1447&lt;&gt;"Renta",D1447&lt;&gt;"Marketing",D1447&lt;&gt;"Servicios y software",D1447&lt;&gt;"Mantenimiento",D1447&lt;&gt;"Otros",D1447&lt;&gt;"Intereses")),"Tipo o categoría inválido",IF(COUNTA(A1447:J1447)=0,"",IF(OR(A1447="",B1447="",C1447="",H1447=""),"Faltan datos",IF(COUNTIF($A$7:$A$2006,A1447)&gt;1,"ID duplicado",IF(OR(B1447&lt;DATE(Configuración!$C$5,1,1),B1447&gt;=DATE(Configuración!$C$5+1,1,1)),"Fecha fuera del año",IF(OR(H1447&lt;0,I1447&lt;0),"Revisar signo",IF(AND(C1447&lt;&gt;"Gasto",I1447&lt;&gt;0),"IVA solo en Gasto",IF(AND(C1447="Gasto",D1447=""),"Falta categoría","OK")))))))))</f>
        <v/>
      </c>
    </row>
    <row r="1448" spans="1:12" ht="22" customHeight="1">
      <c r="A1448" s="3"/>
      <c r="B1448" s="7"/>
      <c r="C1448" s="3"/>
      <c r="D1448" s="3"/>
      <c r="E1448" s="3"/>
      <c r="F1448" s="3"/>
      <c r="G1448" s="3"/>
      <c r="H1448" s="4"/>
      <c r="I1448" s="4"/>
      <c r="J1448" s="3"/>
      <c r="K1448" s="8" t="str">
        <f t="shared" si="22"/>
        <v/>
      </c>
      <c r="L1448" s="1" t="str">
        <f>IF(COUNTA(A1448:J1448)=0,"",IF(OR(AND(C1448&lt;&gt;"Gasto",C1448&lt;&gt;"Pago proveedor",C1448&lt;&gt;"Retiro familiar",C1448&lt;&gt;"Aportación",C1448&lt;&gt;"Pago activo",C1448&lt;&gt;"ISR devengado",C1448&lt;&gt;"Pago ISR",C1448&lt;&gt;"Pago IVA",C1448&lt;&gt;"Compensación ISR",C1448&lt;&gt;"Compensación IVA"),AND(C1448="Gasto",D1448&lt;&gt;"Costos clínicos",D1448&lt;&gt;"Remuneración familiar",D1448&lt;&gt;"Nómina y honorarios",D1448&lt;&gt;"Renta",D1448&lt;&gt;"Marketing",D1448&lt;&gt;"Servicios y software",D1448&lt;&gt;"Mantenimiento",D1448&lt;&gt;"Otros",D1448&lt;&gt;"Intereses")),"Tipo o categoría inválido",IF(COUNTA(A1448:J1448)=0,"",IF(OR(A1448="",B1448="",C1448="",H1448=""),"Faltan datos",IF(COUNTIF($A$7:$A$2006,A1448)&gt;1,"ID duplicado",IF(OR(B1448&lt;DATE(Configuración!$C$5,1,1),B1448&gt;=DATE(Configuración!$C$5+1,1,1)),"Fecha fuera del año",IF(OR(H1448&lt;0,I1448&lt;0),"Revisar signo",IF(AND(C1448&lt;&gt;"Gasto",I1448&lt;&gt;0),"IVA solo en Gasto",IF(AND(C1448="Gasto",D1448=""),"Falta categoría","OK")))))))))</f>
        <v/>
      </c>
    </row>
    <row r="1449" spans="1:12" ht="22" customHeight="1">
      <c r="A1449" s="3"/>
      <c r="B1449" s="7"/>
      <c r="C1449" s="3"/>
      <c r="D1449" s="3"/>
      <c r="E1449" s="3"/>
      <c r="F1449" s="3"/>
      <c r="G1449" s="3"/>
      <c r="H1449" s="4"/>
      <c r="I1449" s="4"/>
      <c r="J1449" s="3"/>
      <c r="K1449" s="8" t="str">
        <f t="shared" si="22"/>
        <v/>
      </c>
      <c r="L1449" s="1" t="str">
        <f>IF(COUNTA(A1449:J1449)=0,"",IF(OR(AND(C1449&lt;&gt;"Gasto",C1449&lt;&gt;"Pago proveedor",C1449&lt;&gt;"Retiro familiar",C1449&lt;&gt;"Aportación",C1449&lt;&gt;"Pago activo",C1449&lt;&gt;"ISR devengado",C1449&lt;&gt;"Pago ISR",C1449&lt;&gt;"Pago IVA",C1449&lt;&gt;"Compensación ISR",C1449&lt;&gt;"Compensación IVA"),AND(C1449="Gasto",D1449&lt;&gt;"Costos clínicos",D1449&lt;&gt;"Remuneración familiar",D1449&lt;&gt;"Nómina y honorarios",D1449&lt;&gt;"Renta",D1449&lt;&gt;"Marketing",D1449&lt;&gt;"Servicios y software",D1449&lt;&gt;"Mantenimiento",D1449&lt;&gt;"Otros",D1449&lt;&gt;"Intereses")),"Tipo o categoría inválido",IF(COUNTA(A1449:J1449)=0,"",IF(OR(A1449="",B1449="",C1449="",H1449=""),"Faltan datos",IF(COUNTIF($A$7:$A$2006,A1449)&gt;1,"ID duplicado",IF(OR(B1449&lt;DATE(Configuración!$C$5,1,1),B1449&gt;=DATE(Configuración!$C$5+1,1,1)),"Fecha fuera del año",IF(OR(H1449&lt;0,I1449&lt;0),"Revisar signo",IF(AND(C1449&lt;&gt;"Gasto",I1449&lt;&gt;0),"IVA solo en Gasto",IF(AND(C1449="Gasto",D1449=""),"Falta categoría","OK")))))))))</f>
        <v/>
      </c>
    </row>
    <row r="1450" spans="1:12" ht="22" customHeight="1">
      <c r="A1450" s="3"/>
      <c r="B1450" s="7"/>
      <c r="C1450" s="3"/>
      <c r="D1450" s="3"/>
      <c r="E1450" s="3"/>
      <c r="F1450" s="3"/>
      <c r="G1450" s="3"/>
      <c r="H1450" s="4"/>
      <c r="I1450" s="4"/>
      <c r="J1450" s="3"/>
      <c r="K1450" s="8" t="str">
        <f t="shared" si="22"/>
        <v/>
      </c>
      <c r="L1450" s="1" t="str">
        <f>IF(COUNTA(A1450:J1450)=0,"",IF(OR(AND(C1450&lt;&gt;"Gasto",C1450&lt;&gt;"Pago proveedor",C1450&lt;&gt;"Retiro familiar",C1450&lt;&gt;"Aportación",C1450&lt;&gt;"Pago activo",C1450&lt;&gt;"ISR devengado",C1450&lt;&gt;"Pago ISR",C1450&lt;&gt;"Pago IVA",C1450&lt;&gt;"Compensación ISR",C1450&lt;&gt;"Compensación IVA"),AND(C1450="Gasto",D1450&lt;&gt;"Costos clínicos",D1450&lt;&gt;"Remuneración familiar",D1450&lt;&gt;"Nómina y honorarios",D1450&lt;&gt;"Renta",D1450&lt;&gt;"Marketing",D1450&lt;&gt;"Servicios y software",D1450&lt;&gt;"Mantenimiento",D1450&lt;&gt;"Otros",D1450&lt;&gt;"Intereses")),"Tipo o categoría inválido",IF(COUNTA(A1450:J1450)=0,"",IF(OR(A1450="",B1450="",C1450="",H1450=""),"Faltan datos",IF(COUNTIF($A$7:$A$2006,A1450)&gt;1,"ID duplicado",IF(OR(B1450&lt;DATE(Configuración!$C$5,1,1),B1450&gt;=DATE(Configuración!$C$5+1,1,1)),"Fecha fuera del año",IF(OR(H1450&lt;0,I1450&lt;0),"Revisar signo",IF(AND(C1450&lt;&gt;"Gasto",I1450&lt;&gt;0),"IVA solo en Gasto",IF(AND(C1450="Gasto",D1450=""),"Falta categoría","OK")))))))))</f>
        <v/>
      </c>
    </row>
    <row r="1451" spans="1:12" ht="22" customHeight="1">
      <c r="A1451" s="3"/>
      <c r="B1451" s="7"/>
      <c r="C1451" s="3"/>
      <c r="D1451" s="3"/>
      <c r="E1451" s="3"/>
      <c r="F1451" s="3"/>
      <c r="G1451" s="3"/>
      <c r="H1451" s="4"/>
      <c r="I1451" s="4"/>
      <c r="J1451" s="3"/>
      <c r="K1451" s="8" t="str">
        <f t="shared" si="22"/>
        <v/>
      </c>
      <c r="L1451" s="1" t="str">
        <f>IF(COUNTA(A1451:J1451)=0,"",IF(OR(AND(C1451&lt;&gt;"Gasto",C1451&lt;&gt;"Pago proveedor",C1451&lt;&gt;"Retiro familiar",C1451&lt;&gt;"Aportación",C1451&lt;&gt;"Pago activo",C1451&lt;&gt;"ISR devengado",C1451&lt;&gt;"Pago ISR",C1451&lt;&gt;"Pago IVA",C1451&lt;&gt;"Compensación ISR",C1451&lt;&gt;"Compensación IVA"),AND(C1451="Gasto",D1451&lt;&gt;"Costos clínicos",D1451&lt;&gt;"Remuneración familiar",D1451&lt;&gt;"Nómina y honorarios",D1451&lt;&gt;"Renta",D1451&lt;&gt;"Marketing",D1451&lt;&gt;"Servicios y software",D1451&lt;&gt;"Mantenimiento",D1451&lt;&gt;"Otros",D1451&lt;&gt;"Intereses")),"Tipo o categoría inválido",IF(COUNTA(A1451:J1451)=0,"",IF(OR(A1451="",B1451="",C1451="",H1451=""),"Faltan datos",IF(COUNTIF($A$7:$A$2006,A1451)&gt;1,"ID duplicado",IF(OR(B1451&lt;DATE(Configuración!$C$5,1,1),B1451&gt;=DATE(Configuración!$C$5+1,1,1)),"Fecha fuera del año",IF(OR(H1451&lt;0,I1451&lt;0),"Revisar signo",IF(AND(C1451&lt;&gt;"Gasto",I1451&lt;&gt;0),"IVA solo en Gasto",IF(AND(C1451="Gasto",D1451=""),"Falta categoría","OK")))))))))</f>
        <v/>
      </c>
    </row>
    <row r="1452" spans="1:12" ht="22" customHeight="1">
      <c r="A1452" s="3"/>
      <c r="B1452" s="7"/>
      <c r="C1452" s="3"/>
      <c r="D1452" s="3"/>
      <c r="E1452" s="3"/>
      <c r="F1452" s="3"/>
      <c r="G1452" s="3"/>
      <c r="H1452" s="4"/>
      <c r="I1452" s="4"/>
      <c r="J1452" s="3"/>
      <c r="K1452" s="8" t="str">
        <f t="shared" si="22"/>
        <v/>
      </c>
      <c r="L1452" s="1" t="str">
        <f>IF(COUNTA(A1452:J1452)=0,"",IF(OR(AND(C1452&lt;&gt;"Gasto",C1452&lt;&gt;"Pago proveedor",C1452&lt;&gt;"Retiro familiar",C1452&lt;&gt;"Aportación",C1452&lt;&gt;"Pago activo",C1452&lt;&gt;"ISR devengado",C1452&lt;&gt;"Pago ISR",C1452&lt;&gt;"Pago IVA",C1452&lt;&gt;"Compensación ISR",C1452&lt;&gt;"Compensación IVA"),AND(C1452="Gasto",D1452&lt;&gt;"Costos clínicos",D1452&lt;&gt;"Remuneración familiar",D1452&lt;&gt;"Nómina y honorarios",D1452&lt;&gt;"Renta",D1452&lt;&gt;"Marketing",D1452&lt;&gt;"Servicios y software",D1452&lt;&gt;"Mantenimiento",D1452&lt;&gt;"Otros",D1452&lt;&gt;"Intereses")),"Tipo o categoría inválido",IF(COUNTA(A1452:J1452)=0,"",IF(OR(A1452="",B1452="",C1452="",H1452=""),"Faltan datos",IF(COUNTIF($A$7:$A$2006,A1452)&gt;1,"ID duplicado",IF(OR(B1452&lt;DATE(Configuración!$C$5,1,1),B1452&gt;=DATE(Configuración!$C$5+1,1,1)),"Fecha fuera del año",IF(OR(H1452&lt;0,I1452&lt;0),"Revisar signo",IF(AND(C1452&lt;&gt;"Gasto",I1452&lt;&gt;0),"IVA solo en Gasto",IF(AND(C1452="Gasto",D1452=""),"Falta categoría","OK")))))))))</f>
        <v/>
      </c>
    </row>
    <row r="1453" spans="1:12" ht="22" customHeight="1">
      <c r="A1453" s="3"/>
      <c r="B1453" s="7"/>
      <c r="C1453" s="3"/>
      <c r="D1453" s="3"/>
      <c r="E1453" s="3"/>
      <c r="F1453" s="3"/>
      <c r="G1453" s="3"/>
      <c r="H1453" s="4"/>
      <c r="I1453" s="4"/>
      <c r="J1453" s="3"/>
      <c r="K1453" s="8" t="str">
        <f t="shared" si="22"/>
        <v/>
      </c>
      <c r="L1453" s="1" t="str">
        <f>IF(COUNTA(A1453:J1453)=0,"",IF(OR(AND(C1453&lt;&gt;"Gasto",C1453&lt;&gt;"Pago proveedor",C1453&lt;&gt;"Retiro familiar",C1453&lt;&gt;"Aportación",C1453&lt;&gt;"Pago activo",C1453&lt;&gt;"ISR devengado",C1453&lt;&gt;"Pago ISR",C1453&lt;&gt;"Pago IVA",C1453&lt;&gt;"Compensación ISR",C1453&lt;&gt;"Compensación IVA"),AND(C1453="Gasto",D1453&lt;&gt;"Costos clínicos",D1453&lt;&gt;"Remuneración familiar",D1453&lt;&gt;"Nómina y honorarios",D1453&lt;&gt;"Renta",D1453&lt;&gt;"Marketing",D1453&lt;&gt;"Servicios y software",D1453&lt;&gt;"Mantenimiento",D1453&lt;&gt;"Otros",D1453&lt;&gt;"Intereses")),"Tipo o categoría inválido",IF(COUNTA(A1453:J1453)=0,"",IF(OR(A1453="",B1453="",C1453="",H1453=""),"Faltan datos",IF(COUNTIF($A$7:$A$2006,A1453)&gt;1,"ID duplicado",IF(OR(B1453&lt;DATE(Configuración!$C$5,1,1),B1453&gt;=DATE(Configuración!$C$5+1,1,1)),"Fecha fuera del año",IF(OR(H1453&lt;0,I1453&lt;0),"Revisar signo",IF(AND(C1453&lt;&gt;"Gasto",I1453&lt;&gt;0),"IVA solo en Gasto",IF(AND(C1453="Gasto",D1453=""),"Falta categoría","OK")))))))))</f>
        <v/>
      </c>
    </row>
    <row r="1454" spans="1:12" ht="22" customHeight="1">
      <c r="A1454" s="3"/>
      <c r="B1454" s="7"/>
      <c r="C1454" s="3"/>
      <c r="D1454" s="3"/>
      <c r="E1454" s="3"/>
      <c r="F1454" s="3"/>
      <c r="G1454" s="3"/>
      <c r="H1454" s="4"/>
      <c r="I1454" s="4"/>
      <c r="J1454" s="3"/>
      <c r="K1454" s="8" t="str">
        <f t="shared" si="22"/>
        <v/>
      </c>
      <c r="L1454" s="1" t="str">
        <f>IF(COUNTA(A1454:J1454)=0,"",IF(OR(AND(C1454&lt;&gt;"Gasto",C1454&lt;&gt;"Pago proveedor",C1454&lt;&gt;"Retiro familiar",C1454&lt;&gt;"Aportación",C1454&lt;&gt;"Pago activo",C1454&lt;&gt;"ISR devengado",C1454&lt;&gt;"Pago ISR",C1454&lt;&gt;"Pago IVA",C1454&lt;&gt;"Compensación ISR",C1454&lt;&gt;"Compensación IVA"),AND(C1454="Gasto",D1454&lt;&gt;"Costos clínicos",D1454&lt;&gt;"Remuneración familiar",D1454&lt;&gt;"Nómina y honorarios",D1454&lt;&gt;"Renta",D1454&lt;&gt;"Marketing",D1454&lt;&gt;"Servicios y software",D1454&lt;&gt;"Mantenimiento",D1454&lt;&gt;"Otros",D1454&lt;&gt;"Intereses")),"Tipo o categoría inválido",IF(COUNTA(A1454:J1454)=0,"",IF(OR(A1454="",B1454="",C1454="",H1454=""),"Faltan datos",IF(COUNTIF($A$7:$A$2006,A1454)&gt;1,"ID duplicado",IF(OR(B1454&lt;DATE(Configuración!$C$5,1,1),B1454&gt;=DATE(Configuración!$C$5+1,1,1)),"Fecha fuera del año",IF(OR(H1454&lt;0,I1454&lt;0),"Revisar signo",IF(AND(C1454&lt;&gt;"Gasto",I1454&lt;&gt;0),"IVA solo en Gasto",IF(AND(C1454="Gasto",D1454=""),"Falta categoría","OK")))))))))</f>
        <v/>
      </c>
    </row>
    <row r="1455" spans="1:12" ht="22" customHeight="1">
      <c r="A1455" s="3"/>
      <c r="B1455" s="7"/>
      <c r="C1455" s="3"/>
      <c r="D1455" s="3"/>
      <c r="E1455" s="3"/>
      <c r="F1455" s="3"/>
      <c r="G1455" s="3"/>
      <c r="H1455" s="4"/>
      <c r="I1455" s="4"/>
      <c r="J1455" s="3"/>
      <c r="K1455" s="8" t="str">
        <f t="shared" si="22"/>
        <v/>
      </c>
      <c r="L1455" s="1" t="str">
        <f>IF(COUNTA(A1455:J1455)=0,"",IF(OR(AND(C1455&lt;&gt;"Gasto",C1455&lt;&gt;"Pago proveedor",C1455&lt;&gt;"Retiro familiar",C1455&lt;&gt;"Aportación",C1455&lt;&gt;"Pago activo",C1455&lt;&gt;"ISR devengado",C1455&lt;&gt;"Pago ISR",C1455&lt;&gt;"Pago IVA",C1455&lt;&gt;"Compensación ISR",C1455&lt;&gt;"Compensación IVA"),AND(C1455="Gasto",D1455&lt;&gt;"Costos clínicos",D1455&lt;&gt;"Remuneración familiar",D1455&lt;&gt;"Nómina y honorarios",D1455&lt;&gt;"Renta",D1455&lt;&gt;"Marketing",D1455&lt;&gt;"Servicios y software",D1455&lt;&gt;"Mantenimiento",D1455&lt;&gt;"Otros",D1455&lt;&gt;"Intereses")),"Tipo o categoría inválido",IF(COUNTA(A1455:J1455)=0,"",IF(OR(A1455="",B1455="",C1455="",H1455=""),"Faltan datos",IF(COUNTIF($A$7:$A$2006,A1455)&gt;1,"ID duplicado",IF(OR(B1455&lt;DATE(Configuración!$C$5,1,1),B1455&gt;=DATE(Configuración!$C$5+1,1,1)),"Fecha fuera del año",IF(OR(H1455&lt;0,I1455&lt;0),"Revisar signo",IF(AND(C1455&lt;&gt;"Gasto",I1455&lt;&gt;0),"IVA solo en Gasto",IF(AND(C1455="Gasto",D1455=""),"Falta categoría","OK")))))))))</f>
        <v/>
      </c>
    </row>
    <row r="1456" spans="1:12" ht="22" customHeight="1">
      <c r="A1456" s="3"/>
      <c r="B1456" s="7"/>
      <c r="C1456" s="3"/>
      <c r="D1456" s="3"/>
      <c r="E1456" s="3"/>
      <c r="F1456" s="3"/>
      <c r="G1456" s="3"/>
      <c r="H1456" s="4"/>
      <c r="I1456" s="4"/>
      <c r="J1456" s="3"/>
      <c r="K1456" s="8" t="str">
        <f t="shared" si="22"/>
        <v/>
      </c>
      <c r="L1456" s="1" t="str">
        <f>IF(COUNTA(A1456:J1456)=0,"",IF(OR(AND(C1456&lt;&gt;"Gasto",C1456&lt;&gt;"Pago proveedor",C1456&lt;&gt;"Retiro familiar",C1456&lt;&gt;"Aportación",C1456&lt;&gt;"Pago activo",C1456&lt;&gt;"ISR devengado",C1456&lt;&gt;"Pago ISR",C1456&lt;&gt;"Pago IVA",C1456&lt;&gt;"Compensación ISR",C1456&lt;&gt;"Compensación IVA"),AND(C1456="Gasto",D1456&lt;&gt;"Costos clínicos",D1456&lt;&gt;"Remuneración familiar",D1456&lt;&gt;"Nómina y honorarios",D1456&lt;&gt;"Renta",D1456&lt;&gt;"Marketing",D1456&lt;&gt;"Servicios y software",D1456&lt;&gt;"Mantenimiento",D1456&lt;&gt;"Otros",D1456&lt;&gt;"Intereses")),"Tipo o categoría inválido",IF(COUNTA(A1456:J1456)=0,"",IF(OR(A1456="",B1456="",C1456="",H1456=""),"Faltan datos",IF(COUNTIF($A$7:$A$2006,A1456)&gt;1,"ID duplicado",IF(OR(B1456&lt;DATE(Configuración!$C$5,1,1),B1456&gt;=DATE(Configuración!$C$5+1,1,1)),"Fecha fuera del año",IF(OR(H1456&lt;0,I1456&lt;0),"Revisar signo",IF(AND(C1456&lt;&gt;"Gasto",I1456&lt;&gt;0),"IVA solo en Gasto",IF(AND(C1456="Gasto",D1456=""),"Falta categoría","OK")))))))))</f>
        <v/>
      </c>
    </row>
    <row r="1457" spans="1:12" ht="22" customHeight="1">
      <c r="A1457" s="3"/>
      <c r="B1457" s="7"/>
      <c r="C1457" s="3"/>
      <c r="D1457" s="3"/>
      <c r="E1457" s="3"/>
      <c r="F1457" s="3"/>
      <c r="G1457" s="3"/>
      <c r="H1457" s="4"/>
      <c r="I1457" s="4"/>
      <c r="J1457" s="3"/>
      <c r="K1457" s="8" t="str">
        <f t="shared" si="22"/>
        <v/>
      </c>
      <c r="L1457" s="1" t="str">
        <f>IF(COUNTA(A1457:J1457)=0,"",IF(OR(AND(C1457&lt;&gt;"Gasto",C1457&lt;&gt;"Pago proveedor",C1457&lt;&gt;"Retiro familiar",C1457&lt;&gt;"Aportación",C1457&lt;&gt;"Pago activo",C1457&lt;&gt;"ISR devengado",C1457&lt;&gt;"Pago ISR",C1457&lt;&gt;"Pago IVA",C1457&lt;&gt;"Compensación ISR",C1457&lt;&gt;"Compensación IVA"),AND(C1457="Gasto",D1457&lt;&gt;"Costos clínicos",D1457&lt;&gt;"Remuneración familiar",D1457&lt;&gt;"Nómina y honorarios",D1457&lt;&gt;"Renta",D1457&lt;&gt;"Marketing",D1457&lt;&gt;"Servicios y software",D1457&lt;&gt;"Mantenimiento",D1457&lt;&gt;"Otros",D1457&lt;&gt;"Intereses")),"Tipo o categoría inválido",IF(COUNTA(A1457:J1457)=0,"",IF(OR(A1457="",B1457="",C1457="",H1457=""),"Faltan datos",IF(COUNTIF($A$7:$A$2006,A1457)&gt;1,"ID duplicado",IF(OR(B1457&lt;DATE(Configuración!$C$5,1,1),B1457&gt;=DATE(Configuración!$C$5+1,1,1)),"Fecha fuera del año",IF(OR(H1457&lt;0,I1457&lt;0),"Revisar signo",IF(AND(C1457&lt;&gt;"Gasto",I1457&lt;&gt;0),"IVA solo en Gasto",IF(AND(C1457="Gasto",D1457=""),"Falta categoría","OK")))))))))</f>
        <v/>
      </c>
    </row>
    <row r="1458" spans="1:12" ht="22" customHeight="1">
      <c r="A1458" s="3"/>
      <c r="B1458" s="7"/>
      <c r="C1458" s="3"/>
      <c r="D1458" s="3"/>
      <c r="E1458" s="3"/>
      <c r="F1458" s="3"/>
      <c r="G1458" s="3"/>
      <c r="H1458" s="4"/>
      <c r="I1458" s="4"/>
      <c r="J1458" s="3"/>
      <c r="K1458" s="8" t="str">
        <f t="shared" si="22"/>
        <v/>
      </c>
      <c r="L1458" s="1" t="str">
        <f>IF(COUNTA(A1458:J1458)=0,"",IF(OR(AND(C1458&lt;&gt;"Gasto",C1458&lt;&gt;"Pago proveedor",C1458&lt;&gt;"Retiro familiar",C1458&lt;&gt;"Aportación",C1458&lt;&gt;"Pago activo",C1458&lt;&gt;"ISR devengado",C1458&lt;&gt;"Pago ISR",C1458&lt;&gt;"Pago IVA",C1458&lt;&gt;"Compensación ISR",C1458&lt;&gt;"Compensación IVA"),AND(C1458="Gasto",D1458&lt;&gt;"Costos clínicos",D1458&lt;&gt;"Remuneración familiar",D1458&lt;&gt;"Nómina y honorarios",D1458&lt;&gt;"Renta",D1458&lt;&gt;"Marketing",D1458&lt;&gt;"Servicios y software",D1458&lt;&gt;"Mantenimiento",D1458&lt;&gt;"Otros",D1458&lt;&gt;"Intereses")),"Tipo o categoría inválido",IF(COUNTA(A1458:J1458)=0,"",IF(OR(A1458="",B1458="",C1458="",H1458=""),"Faltan datos",IF(COUNTIF($A$7:$A$2006,A1458)&gt;1,"ID duplicado",IF(OR(B1458&lt;DATE(Configuración!$C$5,1,1),B1458&gt;=DATE(Configuración!$C$5+1,1,1)),"Fecha fuera del año",IF(OR(H1458&lt;0,I1458&lt;0),"Revisar signo",IF(AND(C1458&lt;&gt;"Gasto",I1458&lt;&gt;0),"IVA solo en Gasto",IF(AND(C1458="Gasto",D1458=""),"Falta categoría","OK")))))))))</f>
        <v/>
      </c>
    </row>
    <row r="1459" spans="1:12" ht="22" customHeight="1">
      <c r="A1459" s="3"/>
      <c r="B1459" s="7"/>
      <c r="C1459" s="3"/>
      <c r="D1459" s="3"/>
      <c r="E1459" s="3"/>
      <c r="F1459" s="3"/>
      <c r="G1459" s="3"/>
      <c r="H1459" s="4"/>
      <c r="I1459" s="4"/>
      <c r="J1459" s="3"/>
      <c r="K1459" s="8" t="str">
        <f t="shared" si="22"/>
        <v/>
      </c>
      <c r="L1459" s="1" t="str">
        <f>IF(COUNTA(A1459:J1459)=0,"",IF(OR(AND(C1459&lt;&gt;"Gasto",C1459&lt;&gt;"Pago proveedor",C1459&lt;&gt;"Retiro familiar",C1459&lt;&gt;"Aportación",C1459&lt;&gt;"Pago activo",C1459&lt;&gt;"ISR devengado",C1459&lt;&gt;"Pago ISR",C1459&lt;&gt;"Pago IVA",C1459&lt;&gt;"Compensación ISR",C1459&lt;&gt;"Compensación IVA"),AND(C1459="Gasto",D1459&lt;&gt;"Costos clínicos",D1459&lt;&gt;"Remuneración familiar",D1459&lt;&gt;"Nómina y honorarios",D1459&lt;&gt;"Renta",D1459&lt;&gt;"Marketing",D1459&lt;&gt;"Servicios y software",D1459&lt;&gt;"Mantenimiento",D1459&lt;&gt;"Otros",D1459&lt;&gt;"Intereses")),"Tipo o categoría inválido",IF(COUNTA(A1459:J1459)=0,"",IF(OR(A1459="",B1459="",C1459="",H1459=""),"Faltan datos",IF(COUNTIF($A$7:$A$2006,A1459)&gt;1,"ID duplicado",IF(OR(B1459&lt;DATE(Configuración!$C$5,1,1),B1459&gt;=DATE(Configuración!$C$5+1,1,1)),"Fecha fuera del año",IF(OR(H1459&lt;0,I1459&lt;0),"Revisar signo",IF(AND(C1459&lt;&gt;"Gasto",I1459&lt;&gt;0),"IVA solo en Gasto",IF(AND(C1459="Gasto",D1459=""),"Falta categoría","OK")))))))))</f>
        <v/>
      </c>
    </row>
    <row r="1460" spans="1:12" ht="22" customHeight="1">
      <c r="A1460" s="3"/>
      <c r="B1460" s="7"/>
      <c r="C1460" s="3"/>
      <c r="D1460" s="3"/>
      <c r="E1460" s="3"/>
      <c r="F1460" s="3"/>
      <c r="G1460" s="3"/>
      <c r="H1460" s="4"/>
      <c r="I1460" s="4"/>
      <c r="J1460" s="3"/>
      <c r="K1460" s="8" t="str">
        <f t="shared" si="22"/>
        <v/>
      </c>
      <c r="L1460" s="1" t="str">
        <f>IF(COUNTA(A1460:J1460)=0,"",IF(OR(AND(C1460&lt;&gt;"Gasto",C1460&lt;&gt;"Pago proveedor",C1460&lt;&gt;"Retiro familiar",C1460&lt;&gt;"Aportación",C1460&lt;&gt;"Pago activo",C1460&lt;&gt;"ISR devengado",C1460&lt;&gt;"Pago ISR",C1460&lt;&gt;"Pago IVA",C1460&lt;&gt;"Compensación ISR",C1460&lt;&gt;"Compensación IVA"),AND(C1460="Gasto",D1460&lt;&gt;"Costos clínicos",D1460&lt;&gt;"Remuneración familiar",D1460&lt;&gt;"Nómina y honorarios",D1460&lt;&gt;"Renta",D1460&lt;&gt;"Marketing",D1460&lt;&gt;"Servicios y software",D1460&lt;&gt;"Mantenimiento",D1460&lt;&gt;"Otros",D1460&lt;&gt;"Intereses")),"Tipo o categoría inválido",IF(COUNTA(A1460:J1460)=0,"",IF(OR(A1460="",B1460="",C1460="",H1460=""),"Faltan datos",IF(COUNTIF($A$7:$A$2006,A1460)&gt;1,"ID duplicado",IF(OR(B1460&lt;DATE(Configuración!$C$5,1,1),B1460&gt;=DATE(Configuración!$C$5+1,1,1)),"Fecha fuera del año",IF(OR(H1460&lt;0,I1460&lt;0),"Revisar signo",IF(AND(C1460&lt;&gt;"Gasto",I1460&lt;&gt;0),"IVA solo en Gasto",IF(AND(C1460="Gasto",D1460=""),"Falta categoría","OK")))))))))</f>
        <v/>
      </c>
    </row>
    <row r="1461" spans="1:12" ht="22" customHeight="1">
      <c r="A1461" s="3"/>
      <c r="B1461" s="7"/>
      <c r="C1461" s="3"/>
      <c r="D1461" s="3"/>
      <c r="E1461" s="3"/>
      <c r="F1461" s="3"/>
      <c r="G1461" s="3"/>
      <c r="H1461" s="4"/>
      <c r="I1461" s="4"/>
      <c r="J1461" s="3"/>
      <c r="K1461" s="8" t="str">
        <f t="shared" si="22"/>
        <v/>
      </c>
      <c r="L1461" s="1" t="str">
        <f>IF(COUNTA(A1461:J1461)=0,"",IF(OR(AND(C1461&lt;&gt;"Gasto",C1461&lt;&gt;"Pago proveedor",C1461&lt;&gt;"Retiro familiar",C1461&lt;&gt;"Aportación",C1461&lt;&gt;"Pago activo",C1461&lt;&gt;"ISR devengado",C1461&lt;&gt;"Pago ISR",C1461&lt;&gt;"Pago IVA",C1461&lt;&gt;"Compensación ISR",C1461&lt;&gt;"Compensación IVA"),AND(C1461="Gasto",D1461&lt;&gt;"Costos clínicos",D1461&lt;&gt;"Remuneración familiar",D1461&lt;&gt;"Nómina y honorarios",D1461&lt;&gt;"Renta",D1461&lt;&gt;"Marketing",D1461&lt;&gt;"Servicios y software",D1461&lt;&gt;"Mantenimiento",D1461&lt;&gt;"Otros",D1461&lt;&gt;"Intereses")),"Tipo o categoría inválido",IF(COUNTA(A1461:J1461)=0,"",IF(OR(A1461="",B1461="",C1461="",H1461=""),"Faltan datos",IF(COUNTIF($A$7:$A$2006,A1461)&gt;1,"ID duplicado",IF(OR(B1461&lt;DATE(Configuración!$C$5,1,1),B1461&gt;=DATE(Configuración!$C$5+1,1,1)),"Fecha fuera del año",IF(OR(H1461&lt;0,I1461&lt;0),"Revisar signo",IF(AND(C1461&lt;&gt;"Gasto",I1461&lt;&gt;0),"IVA solo en Gasto",IF(AND(C1461="Gasto",D1461=""),"Falta categoría","OK")))))))))</f>
        <v/>
      </c>
    </row>
    <row r="1462" spans="1:12" ht="22" customHeight="1">
      <c r="A1462" s="3"/>
      <c r="B1462" s="7"/>
      <c r="C1462" s="3"/>
      <c r="D1462" s="3"/>
      <c r="E1462" s="3"/>
      <c r="F1462" s="3"/>
      <c r="G1462" s="3"/>
      <c r="H1462" s="4"/>
      <c r="I1462" s="4"/>
      <c r="J1462" s="3"/>
      <c r="K1462" s="8" t="str">
        <f t="shared" si="22"/>
        <v/>
      </c>
      <c r="L1462" s="1" t="str">
        <f>IF(COUNTA(A1462:J1462)=0,"",IF(OR(AND(C1462&lt;&gt;"Gasto",C1462&lt;&gt;"Pago proveedor",C1462&lt;&gt;"Retiro familiar",C1462&lt;&gt;"Aportación",C1462&lt;&gt;"Pago activo",C1462&lt;&gt;"ISR devengado",C1462&lt;&gt;"Pago ISR",C1462&lt;&gt;"Pago IVA",C1462&lt;&gt;"Compensación ISR",C1462&lt;&gt;"Compensación IVA"),AND(C1462="Gasto",D1462&lt;&gt;"Costos clínicos",D1462&lt;&gt;"Remuneración familiar",D1462&lt;&gt;"Nómina y honorarios",D1462&lt;&gt;"Renta",D1462&lt;&gt;"Marketing",D1462&lt;&gt;"Servicios y software",D1462&lt;&gt;"Mantenimiento",D1462&lt;&gt;"Otros",D1462&lt;&gt;"Intereses")),"Tipo o categoría inválido",IF(COUNTA(A1462:J1462)=0,"",IF(OR(A1462="",B1462="",C1462="",H1462=""),"Faltan datos",IF(COUNTIF($A$7:$A$2006,A1462)&gt;1,"ID duplicado",IF(OR(B1462&lt;DATE(Configuración!$C$5,1,1),B1462&gt;=DATE(Configuración!$C$5+1,1,1)),"Fecha fuera del año",IF(OR(H1462&lt;0,I1462&lt;0),"Revisar signo",IF(AND(C1462&lt;&gt;"Gasto",I1462&lt;&gt;0),"IVA solo en Gasto",IF(AND(C1462="Gasto",D1462=""),"Falta categoría","OK")))))))))</f>
        <v/>
      </c>
    </row>
    <row r="1463" spans="1:12" ht="22" customHeight="1">
      <c r="A1463" s="3"/>
      <c r="B1463" s="7"/>
      <c r="C1463" s="3"/>
      <c r="D1463" s="3"/>
      <c r="E1463" s="3"/>
      <c r="F1463" s="3"/>
      <c r="G1463" s="3"/>
      <c r="H1463" s="4"/>
      <c r="I1463" s="4"/>
      <c r="J1463" s="3"/>
      <c r="K1463" s="8" t="str">
        <f t="shared" si="22"/>
        <v/>
      </c>
      <c r="L1463" s="1" t="str">
        <f>IF(COUNTA(A1463:J1463)=0,"",IF(OR(AND(C1463&lt;&gt;"Gasto",C1463&lt;&gt;"Pago proveedor",C1463&lt;&gt;"Retiro familiar",C1463&lt;&gt;"Aportación",C1463&lt;&gt;"Pago activo",C1463&lt;&gt;"ISR devengado",C1463&lt;&gt;"Pago ISR",C1463&lt;&gt;"Pago IVA",C1463&lt;&gt;"Compensación ISR",C1463&lt;&gt;"Compensación IVA"),AND(C1463="Gasto",D1463&lt;&gt;"Costos clínicos",D1463&lt;&gt;"Remuneración familiar",D1463&lt;&gt;"Nómina y honorarios",D1463&lt;&gt;"Renta",D1463&lt;&gt;"Marketing",D1463&lt;&gt;"Servicios y software",D1463&lt;&gt;"Mantenimiento",D1463&lt;&gt;"Otros",D1463&lt;&gt;"Intereses")),"Tipo o categoría inválido",IF(COUNTA(A1463:J1463)=0,"",IF(OR(A1463="",B1463="",C1463="",H1463=""),"Faltan datos",IF(COUNTIF($A$7:$A$2006,A1463)&gt;1,"ID duplicado",IF(OR(B1463&lt;DATE(Configuración!$C$5,1,1),B1463&gt;=DATE(Configuración!$C$5+1,1,1)),"Fecha fuera del año",IF(OR(H1463&lt;0,I1463&lt;0),"Revisar signo",IF(AND(C1463&lt;&gt;"Gasto",I1463&lt;&gt;0),"IVA solo en Gasto",IF(AND(C1463="Gasto",D1463=""),"Falta categoría","OK")))))))))</f>
        <v/>
      </c>
    </row>
    <row r="1464" spans="1:12" ht="22" customHeight="1">
      <c r="A1464" s="3"/>
      <c r="B1464" s="7"/>
      <c r="C1464" s="3"/>
      <c r="D1464" s="3"/>
      <c r="E1464" s="3"/>
      <c r="F1464" s="3"/>
      <c r="G1464" s="3"/>
      <c r="H1464" s="4"/>
      <c r="I1464" s="4"/>
      <c r="J1464" s="3"/>
      <c r="K1464" s="8" t="str">
        <f t="shared" si="22"/>
        <v/>
      </c>
      <c r="L1464" s="1" t="str">
        <f>IF(COUNTA(A1464:J1464)=0,"",IF(OR(AND(C1464&lt;&gt;"Gasto",C1464&lt;&gt;"Pago proveedor",C1464&lt;&gt;"Retiro familiar",C1464&lt;&gt;"Aportación",C1464&lt;&gt;"Pago activo",C1464&lt;&gt;"ISR devengado",C1464&lt;&gt;"Pago ISR",C1464&lt;&gt;"Pago IVA",C1464&lt;&gt;"Compensación ISR",C1464&lt;&gt;"Compensación IVA"),AND(C1464="Gasto",D1464&lt;&gt;"Costos clínicos",D1464&lt;&gt;"Remuneración familiar",D1464&lt;&gt;"Nómina y honorarios",D1464&lt;&gt;"Renta",D1464&lt;&gt;"Marketing",D1464&lt;&gt;"Servicios y software",D1464&lt;&gt;"Mantenimiento",D1464&lt;&gt;"Otros",D1464&lt;&gt;"Intereses")),"Tipo o categoría inválido",IF(COUNTA(A1464:J1464)=0,"",IF(OR(A1464="",B1464="",C1464="",H1464=""),"Faltan datos",IF(COUNTIF($A$7:$A$2006,A1464)&gt;1,"ID duplicado",IF(OR(B1464&lt;DATE(Configuración!$C$5,1,1),B1464&gt;=DATE(Configuración!$C$5+1,1,1)),"Fecha fuera del año",IF(OR(H1464&lt;0,I1464&lt;0),"Revisar signo",IF(AND(C1464&lt;&gt;"Gasto",I1464&lt;&gt;0),"IVA solo en Gasto",IF(AND(C1464="Gasto",D1464=""),"Falta categoría","OK")))))))))</f>
        <v/>
      </c>
    </row>
    <row r="1465" spans="1:12" ht="22" customHeight="1">
      <c r="A1465" s="3"/>
      <c r="B1465" s="7"/>
      <c r="C1465" s="3"/>
      <c r="D1465" s="3"/>
      <c r="E1465" s="3"/>
      <c r="F1465" s="3"/>
      <c r="G1465" s="3"/>
      <c r="H1465" s="4"/>
      <c r="I1465" s="4"/>
      <c r="J1465" s="3"/>
      <c r="K1465" s="8" t="str">
        <f t="shared" si="22"/>
        <v/>
      </c>
      <c r="L1465" s="1" t="str">
        <f>IF(COUNTA(A1465:J1465)=0,"",IF(OR(AND(C1465&lt;&gt;"Gasto",C1465&lt;&gt;"Pago proveedor",C1465&lt;&gt;"Retiro familiar",C1465&lt;&gt;"Aportación",C1465&lt;&gt;"Pago activo",C1465&lt;&gt;"ISR devengado",C1465&lt;&gt;"Pago ISR",C1465&lt;&gt;"Pago IVA",C1465&lt;&gt;"Compensación ISR",C1465&lt;&gt;"Compensación IVA"),AND(C1465="Gasto",D1465&lt;&gt;"Costos clínicos",D1465&lt;&gt;"Remuneración familiar",D1465&lt;&gt;"Nómina y honorarios",D1465&lt;&gt;"Renta",D1465&lt;&gt;"Marketing",D1465&lt;&gt;"Servicios y software",D1465&lt;&gt;"Mantenimiento",D1465&lt;&gt;"Otros",D1465&lt;&gt;"Intereses")),"Tipo o categoría inválido",IF(COUNTA(A1465:J1465)=0,"",IF(OR(A1465="",B1465="",C1465="",H1465=""),"Faltan datos",IF(COUNTIF($A$7:$A$2006,A1465)&gt;1,"ID duplicado",IF(OR(B1465&lt;DATE(Configuración!$C$5,1,1),B1465&gt;=DATE(Configuración!$C$5+1,1,1)),"Fecha fuera del año",IF(OR(H1465&lt;0,I1465&lt;0),"Revisar signo",IF(AND(C1465&lt;&gt;"Gasto",I1465&lt;&gt;0),"IVA solo en Gasto",IF(AND(C1465="Gasto",D1465=""),"Falta categoría","OK")))))))))</f>
        <v/>
      </c>
    </row>
    <row r="1466" spans="1:12" ht="22" customHeight="1">
      <c r="A1466" s="3"/>
      <c r="B1466" s="7"/>
      <c r="C1466" s="3"/>
      <c r="D1466" s="3"/>
      <c r="E1466" s="3"/>
      <c r="F1466" s="3"/>
      <c r="G1466" s="3"/>
      <c r="H1466" s="4"/>
      <c r="I1466" s="4"/>
      <c r="J1466" s="3"/>
      <c r="K1466" s="8" t="str">
        <f t="shared" si="22"/>
        <v/>
      </c>
      <c r="L1466" s="1" t="str">
        <f>IF(COUNTA(A1466:J1466)=0,"",IF(OR(AND(C1466&lt;&gt;"Gasto",C1466&lt;&gt;"Pago proveedor",C1466&lt;&gt;"Retiro familiar",C1466&lt;&gt;"Aportación",C1466&lt;&gt;"Pago activo",C1466&lt;&gt;"ISR devengado",C1466&lt;&gt;"Pago ISR",C1466&lt;&gt;"Pago IVA",C1466&lt;&gt;"Compensación ISR",C1466&lt;&gt;"Compensación IVA"),AND(C1466="Gasto",D1466&lt;&gt;"Costos clínicos",D1466&lt;&gt;"Remuneración familiar",D1466&lt;&gt;"Nómina y honorarios",D1466&lt;&gt;"Renta",D1466&lt;&gt;"Marketing",D1466&lt;&gt;"Servicios y software",D1466&lt;&gt;"Mantenimiento",D1466&lt;&gt;"Otros",D1466&lt;&gt;"Intereses")),"Tipo o categoría inválido",IF(COUNTA(A1466:J1466)=0,"",IF(OR(A1466="",B1466="",C1466="",H1466=""),"Faltan datos",IF(COUNTIF($A$7:$A$2006,A1466)&gt;1,"ID duplicado",IF(OR(B1466&lt;DATE(Configuración!$C$5,1,1),B1466&gt;=DATE(Configuración!$C$5+1,1,1)),"Fecha fuera del año",IF(OR(H1466&lt;0,I1466&lt;0),"Revisar signo",IF(AND(C1466&lt;&gt;"Gasto",I1466&lt;&gt;0),"IVA solo en Gasto",IF(AND(C1466="Gasto",D1466=""),"Falta categoría","OK")))))))))</f>
        <v/>
      </c>
    </row>
    <row r="1467" spans="1:12" ht="22" customHeight="1">
      <c r="A1467" s="3"/>
      <c r="B1467" s="7"/>
      <c r="C1467" s="3"/>
      <c r="D1467" s="3"/>
      <c r="E1467" s="3"/>
      <c r="F1467" s="3"/>
      <c r="G1467" s="3"/>
      <c r="H1467" s="4"/>
      <c r="I1467" s="4"/>
      <c r="J1467" s="3"/>
      <c r="K1467" s="8" t="str">
        <f t="shared" si="22"/>
        <v/>
      </c>
      <c r="L1467" s="1" t="str">
        <f>IF(COUNTA(A1467:J1467)=0,"",IF(OR(AND(C1467&lt;&gt;"Gasto",C1467&lt;&gt;"Pago proveedor",C1467&lt;&gt;"Retiro familiar",C1467&lt;&gt;"Aportación",C1467&lt;&gt;"Pago activo",C1467&lt;&gt;"ISR devengado",C1467&lt;&gt;"Pago ISR",C1467&lt;&gt;"Pago IVA",C1467&lt;&gt;"Compensación ISR",C1467&lt;&gt;"Compensación IVA"),AND(C1467="Gasto",D1467&lt;&gt;"Costos clínicos",D1467&lt;&gt;"Remuneración familiar",D1467&lt;&gt;"Nómina y honorarios",D1467&lt;&gt;"Renta",D1467&lt;&gt;"Marketing",D1467&lt;&gt;"Servicios y software",D1467&lt;&gt;"Mantenimiento",D1467&lt;&gt;"Otros",D1467&lt;&gt;"Intereses")),"Tipo o categoría inválido",IF(COUNTA(A1467:J1467)=0,"",IF(OR(A1467="",B1467="",C1467="",H1467=""),"Faltan datos",IF(COUNTIF($A$7:$A$2006,A1467)&gt;1,"ID duplicado",IF(OR(B1467&lt;DATE(Configuración!$C$5,1,1),B1467&gt;=DATE(Configuración!$C$5+1,1,1)),"Fecha fuera del año",IF(OR(H1467&lt;0,I1467&lt;0),"Revisar signo",IF(AND(C1467&lt;&gt;"Gasto",I1467&lt;&gt;0),"IVA solo en Gasto",IF(AND(C1467="Gasto",D1467=""),"Falta categoría","OK")))))))))</f>
        <v/>
      </c>
    </row>
    <row r="1468" spans="1:12" ht="22" customHeight="1">
      <c r="A1468" s="3"/>
      <c r="B1468" s="7"/>
      <c r="C1468" s="3"/>
      <c r="D1468" s="3"/>
      <c r="E1468" s="3"/>
      <c r="F1468" s="3"/>
      <c r="G1468" s="3"/>
      <c r="H1468" s="4"/>
      <c r="I1468" s="4"/>
      <c r="J1468" s="3"/>
      <c r="K1468" s="8" t="str">
        <f t="shared" si="22"/>
        <v/>
      </c>
      <c r="L1468" s="1" t="str">
        <f>IF(COUNTA(A1468:J1468)=0,"",IF(OR(AND(C1468&lt;&gt;"Gasto",C1468&lt;&gt;"Pago proveedor",C1468&lt;&gt;"Retiro familiar",C1468&lt;&gt;"Aportación",C1468&lt;&gt;"Pago activo",C1468&lt;&gt;"ISR devengado",C1468&lt;&gt;"Pago ISR",C1468&lt;&gt;"Pago IVA",C1468&lt;&gt;"Compensación ISR",C1468&lt;&gt;"Compensación IVA"),AND(C1468="Gasto",D1468&lt;&gt;"Costos clínicos",D1468&lt;&gt;"Remuneración familiar",D1468&lt;&gt;"Nómina y honorarios",D1468&lt;&gt;"Renta",D1468&lt;&gt;"Marketing",D1468&lt;&gt;"Servicios y software",D1468&lt;&gt;"Mantenimiento",D1468&lt;&gt;"Otros",D1468&lt;&gt;"Intereses")),"Tipo o categoría inválido",IF(COUNTA(A1468:J1468)=0,"",IF(OR(A1468="",B1468="",C1468="",H1468=""),"Faltan datos",IF(COUNTIF($A$7:$A$2006,A1468)&gt;1,"ID duplicado",IF(OR(B1468&lt;DATE(Configuración!$C$5,1,1),B1468&gt;=DATE(Configuración!$C$5+1,1,1)),"Fecha fuera del año",IF(OR(H1468&lt;0,I1468&lt;0),"Revisar signo",IF(AND(C1468&lt;&gt;"Gasto",I1468&lt;&gt;0),"IVA solo en Gasto",IF(AND(C1468="Gasto",D1468=""),"Falta categoría","OK")))))))))</f>
        <v/>
      </c>
    </row>
    <row r="1469" spans="1:12" ht="22" customHeight="1">
      <c r="A1469" s="3"/>
      <c r="B1469" s="7"/>
      <c r="C1469" s="3"/>
      <c r="D1469" s="3"/>
      <c r="E1469" s="3"/>
      <c r="F1469" s="3"/>
      <c r="G1469" s="3"/>
      <c r="H1469" s="4"/>
      <c r="I1469" s="4"/>
      <c r="J1469" s="3"/>
      <c r="K1469" s="8" t="str">
        <f t="shared" si="22"/>
        <v/>
      </c>
      <c r="L1469" s="1" t="str">
        <f>IF(COUNTA(A1469:J1469)=0,"",IF(OR(AND(C1469&lt;&gt;"Gasto",C1469&lt;&gt;"Pago proveedor",C1469&lt;&gt;"Retiro familiar",C1469&lt;&gt;"Aportación",C1469&lt;&gt;"Pago activo",C1469&lt;&gt;"ISR devengado",C1469&lt;&gt;"Pago ISR",C1469&lt;&gt;"Pago IVA",C1469&lt;&gt;"Compensación ISR",C1469&lt;&gt;"Compensación IVA"),AND(C1469="Gasto",D1469&lt;&gt;"Costos clínicos",D1469&lt;&gt;"Remuneración familiar",D1469&lt;&gt;"Nómina y honorarios",D1469&lt;&gt;"Renta",D1469&lt;&gt;"Marketing",D1469&lt;&gt;"Servicios y software",D1469&lt;&gt;"Mantenimiento",D1469&lt;&gt;"Otros",D1469&lt;&gt;"Intereses")),"Tipo o categoría inválido",IF(COUNTA(A1469:J1469)=0,"",IF(OR(A1469="",B1469="",C1469="",H1469=""),"Faltan datos",IF(COUNTIF($A$7:$A$2006,A1469)&gt;1,"ID duplicado",IF(OR(B1469&lt;DATE(Configuración!$C$5,1,1),B1469&gt;=DATE(Configuración!$C$5+1,1,1)),"Fecha fuera del año",IF(OR(H1469&lt;0,I1469&lt;0),"Revisar signo",IF(AND(C1469&lt;&gt;"Gasto",I1469&lt;&gt;0),"IVA solo en Gasto",IF(AND(C1469="Gasto",D1469=""),"Falta categoría","OK")))))))))</f>
        <v/>
      </c>
    </row>
    <row r="1470" spans="1:12" ht="22" customHeight="1">
      <c r="A1470" s="3"/>
      <c r="B1470" s="7"/>
      <c r="C1470" s="3"/>
      <c r="D1470" s="3"/>
      <c r="E1470" s="3"/>
      <c r="F1470" s="3"/>
      <c r="G1470" s="3"/>
      <c r="H1470" s="4"/>
      <c r="I1470" s="4"/>
      <c r="J1470" s="3"/>
      <c r="K1470" s="8" t="str">
        <f t="shared" si="22"/>
        <v/>
      </c>
      <c r="L1470" s="1" t="str">
        <f>IF(COUNTA(A1470:J1470)=0,"",IF(OR(AND(C1470&lt;&gt;"Gasto",C1470&lt;&gt;"Pago proveedor",C1470&lt;&gt;"Retiro familiar",C1470&lt;&gt;"Aportación",C1470&lt;&gt;"Pago activo",C1470&lt;&gt;"ISR devengado",C1470&lt;&gt;"Pago ISR",C1470&lt;&gt;"Pago IVA",C1470&lt;&gt;"Compensación ISR",C1470&lt;&gt;"Compensación IVA"),AND(C1470="Gasto",D1470&lt;&gt;"Costos clínicos",D1470&lt;&gt;"Remuneración familiar",D1470&lt;&gt;"Nómina y honorarios",D1470&lt;&gt;"Renta",D1470&lt;&gt;"Marketing",D1470&lt;&gt;"Servicios y software",D1470&lt;&gt;"Mantenimiento",D1470&lt;&gt;"Otros",D1470&lt;&gt;"Intereses")),"Tipo o categoría inválido",IF(COUNTA(A1470:J1470)=0,"",IF(OR(A1470="",B1470="",C1470="",H1470=""),"Faltan datos",IF(COUNTIF($A$7:$A$2006,A1470)&gt;1,"ID duplicado",IF(OR(B1470&lt;DATE(Configuración!$C$5,1,1),B1470&gt;=DATE(Configuración!$C$5+1,1,1)),"Fecha fuera del año",IF(OR(H1470&lt;0,I1470&lt;0),"Revisar signo",IF(AND(C1470&lt;&gt;"Gasto",I1470&lt;&gt;0),"IVA solo en Gasto",IF(AND(C1470="Gasto",D1470=""),"Falta categoría","OK")))))))))</f>
        <v/>
      </c>
    </row>
    <row r="1471" spans="1:12" ht="22" customHeight="1">
      <c r="A1471" s="3"/>
      <c r="B1471" s="7"/>
      <c r="C1471" s="3"/>
      <c r="D1471" s="3"/>
      <c r="E1471" s="3"/>
      <c r="F1471" s="3"/>
      <c r="G1471" s="3"/>
      <c r="H1471" s="4"/>
      <c r="I1471" s="4"/>
      <c r="J1471" s="3"/>
      <c r="K1471" s="8" t="str">
        <f t="shared" si="22"/>
        <v/>
      </c>
      <c r="L1471" s="1" t="str">
        <f>IF(COUNTA(A1471:J1471)=0,"",IF(OR(AND(C1471&lt;&gt;"Gasto",C1471&lt;&gt;"Pago proveedor",C1471&lt;&gt;"Retiro familiar",C1471&lt;&gt;"Aportación",C1471&lt;&gt;"Pago activo",C1471&lt;&gt;"ISR devengado",C1471&lt;&gt;"Pago ISR",C1471&lt;&gt;"Pago IVA",C1471&lt;&gt;"Compensación ISR",C1471&lt;&gt;"Compensación IVA"),AND(C1471="Gasto",D1471&lt;&gt;"Costos clínicos",D1471&lt;&gt;"Remuneración familiar",D1471&lt;&gt;"Nómina y honorarios",D1471&lt;&gt;"Renta",D1471&lt;&gt;"Marketing",D1471&lt;&gt;"Servicios y software",D1471&lt;&gt;"Mantenimiento",D1471&lt;&gt;"Otros",D1471&lt;&gt;"Intereses")),"Tipo o categoría inválido",IF(COUNTA(A1471:J1471)=0,"",IF(OR(A1471="",B1471="",C1471="",H1471=""),"Faltan datos",IF(COUNTIF($A$7:$A$2006,A1471)&gt;1,"ID duplicado",IF(OR(B1471&lt;DATE(Configuración!$C$5,1,1),B1471&gt;=DATE(Configuración!$C$5+1,1,1)),"Fecha fuera del año",IF(OR(H1471&lt;0,I1471&lt;0),"Revisar signo",IF(AND(C1471&lt;&gt;"Gasto",I1471&lt;&gt;0),"IVA solo en Gasto",IF(AND(C1471="Gasto",D1471=""),"Falta categoría","OK")))))))))</f>
        <v/>
      </c>
    </row>
    <row r="1472" spans="1:12" ht="22" customHeight="1">
      <c r="A1472" s="3"/>
      <c r="B1472" s="7"/>
      <c r="C1472" s="3"/>
      <c r="D1472" s="3"/>
      <c r="E1472" s="3"/>
      <c r="F1472" s="3"/>
      <c r="G1472" s="3"/>
      <c r="H1472" s="4"/>
      <c r="I1472" s="4"/>
      <c r="J1472" s="3"/>
      <c r="K1472" s="8" t="str">
        <f t="shared" si="22"/>
        <v/>
      </c>
      <c r="L1472" s="1" t="str">
        <f>IF(COUNTA(A1472:J1472)=0,"",IF(OR(AND(C1472&lt;&gt;"Gasto",C1472&lt;&gt;"Pago proveedor",C1472&lt;&gt;"Retiro familiar",C1472&lt;&gt;"Aportación",C1472&lt;&gt;"Pago activo",C1472&lt;&gt;"ISR devengado",C1472&lt;&gt;"Pago ISR",C1472&lt;&gt;"Pago IVA",C1472&lt;&gt;"Compensación ISR",C1472&lt;&gt;"Compensación IVA"),AND(C1472="Gasto",D1472&lt;&gt;"Costos clínicos",D1472&lt;&gt;"Remuneración familiar",D1472&lt;&gt;"Nómina y honorarios",D1472&lt;&gt;"Renta",D1472&lt;&gt;"Marketing",D1472&lt;&gt;"Servicios y software",D1472&lt;&gt;"Mantenimiento",D1472&lt;&gt;"Otros",D1472&lt;&gt;"Intereses")),"Tipo o categoría inválido",IF(COUNTA(A1472:J1472)=0,"",IF(OR(A1472="",B1472="",C1472="",H1472=""),"Faltan datos",IF(COUNTIF($A$7:$A$2006,A1472)&gt;1,"ID duplicado",IF(OR(B1472&lt;DATE(Configuración!$C$5,1,1),B1472&gt;=DATE(Configuración!$C$5+1,1,1)),"Fecha fuera del año",IF(OR(H1472&lt;0,I1472&lt;0),"Revisar signo",IF(AND(C1472&lt;&gt;"Gasto",I1472&lt;&gt;0),"IVA solo en Gasto",IF(AND(C1472="Gasto",D1472=""),"Falta categoría","OK")))))))))</f>
        <v/>
      </c>
    </row>
    <row r="1473" spans="1:12" ht="22" customHeight="1">
      <c r="A1473" s="3"/>
      <c r="B1473" s="7"/>
      <c r="C1473" s="3"/>
      <c r="D1473" s="3"/>
      <c r="E1473" s="3"/>
      <c r="F1473" s="3"/>
      <c r="G1473" s="3"/>
      <c r="H1473" s="4"/>
      <c r="I1473" s="4"/>
      <c r="J1473" s="3"/>
      <c r="K1473" s="8" t="str">
        <f t="shared" si="22"/>
        <v/>
      </c>
      <c r="L1473" s="1" t="str">
        <f>IF(COUNTA(A1473:J1473)=0,"",IF(OR(AND(C1473&lt;&gt;"Gasto",C1473&lt;&gt;"Pago proveedor",C1473&lt;&gt;"Retiro familiar",C1473&lt;&gt;"Aportación",C1473&lt;&gt;"Pago activo",C1473&lt;&gt;"ISR devengado",C1473&lt;&gt;"Pago ISR",C1473&lt;&gt;"Pago IVA",C1473&lt;&gt;"Compensación ISR",C1473&lt;&gt;"Compensación IVA"),AND(C1473="Gasto",D1473&lt;&gt;"Costos clínicos",D1473&lt;&gt;"Remuneración familiar",D1473&lt;&gt;"Nómina y honorarios",D1473&lt;&gt;"Renta",D1473&lt;&gt;"Marketing",D1473&lt;&gt;"Servicios y software",D1473&lt;&gt;"Mantenimiento",D1473&lt;&gt;"Otros",D1473&lt;&gt;"Intereses")),"Tipo o categoría inválido",IF(COUNTA(A1473:J1473)=0,"",IF(OR(A1473="",B1473="",C1473="",H1473=""),"Faltan datos",IF(COUNTIF($A$7:$A$2006,A1473)&gt;1,"ID duplicado",IF(OR(B1473&lt;DATE(Configuración!$C$5,1,1),B1473&gt;=DATE(Configuración!$C$5+1,1,1)),"Fecha fuera del año",IF(OR(H1473&lt;0,I1473&lt;0),"Revisar signo",IF(AND(C1473&lt;&gt;"Gasto",I1473&lt;&gt;0),"IVA solo en Gasto",IF(AND(C1473="Gasto",D1473=""),"Falta categoría","OK")))))))))</f>
        <v/>
      </c>
    </row>
    <row r="1474" spans="1:12" ht="22" customHeight="1">
      <c r="A1474" s="3"/>
      <c r="B1474" s="7"/>
      <c r="C1474" s="3"/>
      <c r="D1474" s="3"/>
      <c r="E1474" s="3"/>
      <c r="F1474" s="3"/>
      <c r="G1474" s="3"/>
      <c r="H1474" s="4"/>
      <c r="I1474" s="4"/>
      <c r="J1474" s="3"/>
      <c r="K1474" s="8" t="str">
        <f t="shared" si="22"/>
        <v/>
      </c>
      <c r="L1474" s="1" t="str">
        <f>IF(COUNTA(A1474:J1474)=0,"",IF(OR(AND(C1474&lt;&gt;"Gasto",C1474&lt;&gt;"Pago proveedor",C1474&lt;&gt;"Retiro familiar",C1474&lt;&gt;"Aportación",C1474&lt;&gt;"Pago activo",C1474&lt;&gt;"ISR devengado",C1474&lt;&gt;"Pago ISR",C1474&lt;&gt;"Pago IVA",C1474&lt;&gt;"Compensación ISR",C1474&lt;&gt;"Compensación IVA"),AND(C1474="Gasto",D1474&lt;&gt;"Costos clínicos",D1474&lt;&gt;"Remuneración familiar",D1474&lt;&gt;"Nómina y honorarios",D1474&lt;&gt;"Renta",D1474&lt;&gt;"Marketing",D1474&lt;&gt;"Servicios y software",D1474&lt;&gt;"Mantenimiento",D1474&lt;&gt;"Otros",D1474&lt;&gt;"Intereses")),"Tipo o categoría inválido",IF(COUNTA(A1474:J1474)=0,"",IF(OR(A1474="",B1474="",C1474="",H1474=""),"Faltan datos",IF(COUNTIF($A$7:$A$2006,A1474)&gt;1,"ID duplicado",IF(OR(B1474&lt;DATE(Configuración!$C$5,1,1),B1474&gt;=DATE(Configuración!$C$5+1,1,1)),"Fecha fuera del año",IF(OR(H1474&lt;0,I1474&lt;0),"Revisar signo",IF(AND(C1474&lt;&gt;"Gasto",I1474&lt;&gt;0),"IVA solo en Gasto",IF(AND(C1474="Gasto",D1474=""),"Falta categoría","OK")))))))))</f>
        <v/>
      </c>
    </row>
    <row r="1475" spans="1:12" ht="22" customHeight="1">
      <c r="A1475" s="3"/>
      <c r="B1475" s="7"/>
      <c r="C1475" s="3"/>
      <c r="D1475" s="3"/>
      <c r="E1475" s="3"/>
      <c r="F1475" s="3"/>
      <c r="G1475" s="3"/>
      <c r="H1475" s="4"/>
      <c r="I1475" s="4"/>
      <c r="J1475" s="3"/>
      <c r="K1475" s="8" t="str">
        <f t="shared" si="22"/>
        <v/>
      </c>
      <c r="L1475" s="1" t="str">
        <f>IF(COUNTA(A1475:J1475)=0,"",IF(OR(AND(C1475&lt;&gt;"Gasto",C1475&lt;&gt;"Pago proveedor",C1475&lt;&gt;"Retiro familiar",C1475&lt;&gt;"Aportación",C1475&lt;&gt;"Pago activo",C1475&lt;&gt;"ISR devengado",C1475&lt;&gt;"Pago ISR",C1475&lt;&gt;"Pago IVA",C1475&lt;&gt;"Compensación ISR",C1475&lt;&gt;"Compensación IVA"),AND(C1475="Gasto",D1475&lt;&gt;"Costos clínicos",D1475&lt;&gt;"Remuneración familiar",D1475&lt;&gt;"Nómina y honorarios",D1475&lt;&gt;"Renta",D1475&lt;&gt;"Marketing",D1475&lt;&gt;"Servicios y software",D1475&lt;&gt;"Mantenimiento",D1475&lt;&gt;"Otros",D1475&lt;&gt;"Intereses")),"Tipo o categoría inválido",IF(COUNTA(A1475:J1475)=0,"",IF(OR(A1475="",B1475="",C1475="",H1475=""),"Faltan datos",IF(COUNTIF($A$7:$A$2006,A1475)&gt;1,"ID duplicado",IF(OR(B1475&lt;DATE(Configuración!$C$5,1,1),B1475&gt;=DATE(Configuración!$C$5+1,1,1)),"Fecha fuera del año",IF(OR(H1475&lt;0,I1475&lt;0),"Revisar signo",IF(AND(C1475&lt;&gt;"Gasto",I1475&lt;&gt;0),"IVA solo en Gasto",IF(AND(C1475="Gasto",D1475=""),"Falta categoría","OK")))))))))</f>
        <v/>
      </c>
    </row>
    <row r="1476" spans="1:12" ht="22" customHeight="1">
      <c r="A1476" s="3"/>
      <c r="B1476" s="7"/>
      <c r="C1476" s="3"/>
      <c r="D1476" s="3"/>
      <c r="E1476" s="3"/>
      <c r="F1476" s="3"/>
      <c r="G1476" s="3"/>
      <c r="H1476" s="4"/>
      <c r="I1476" s="4"/>
      <c r="J1476" s="3"/>
      <c r="K1476" s="8" t="str">
        <f t="shared" si="22"/>
        <v/>
      </c>
      <c r="L1476" s="1" t="str">
        <f>IF(COUNTA(A1476:J1476)=0,"",IF(OR(AND(C1476&lt;&gt;"Gasto",C1476&lt;&gt;"Pago proveedor",C1476&lt;&gt;"Retiro familiar",C1476&lt;&gt;"Aportación",C1476&lt;&gt;"Pago activo",C1476&lt;&gt;"ISR devengado",C1476&lt;&gt;"Pago ISR",C1476&lt;&gt;"Pago IVA",C1476&lt;&gt;"Compensación ISR",C1476&lt;&gt;"Compensación IVA"),AND(C1476="Gasto",D1476&lt;&gt;"Costos clínicos",D1476&lt;&gt;"Remuneración familiar",D1476&lt;&gt;"Nómina y honorarios",D1476&lt;&gt;"Renta",D1476&lt;&gt;"Marketing",D1476&lt;&gt;"Servicios y software",D1476&lt;&gt;"Mantenimiento",D1476&lt;&gt;"Otros",D1476&lt;&gt;"Intereses")),"Tipo o categoría inválido",IF(COUNTA(A1476:J1476)=0,"",IF(OR(A1476="",B1476="",C1476="",H1476=""),"Faltan datos",IF(COUNTIF($A$7:$A$2006,A1476)&gt;1,"ID duplicado",IF(OR(B1476&lt;DATE(Configuración!$C$5,1,1),B1476&gt;=DATE(Configuración!$C$5+1,1,1)),"Fecha fuera del año",IF(OR(H1476&lt;0,I1476&lt;0),"Revisar signo",IF(AND(C1476&lt;&gt;"Gasto",I1476&lt;&gt;0),"IVA solo en Gasto",IF(AND(C1476="Gasto",D1476=""),"Falta categoría","OK")))))))))</f>
        <v/>
      </c>
    </row>
    <row r="1477" spans="1:12" ht="22" customHeight="1">
      <c r="A1477" s="3"/>
      <c r="B1477" s="7"/>
      <c r="C1477" s="3"/>
      <c r="D1477" s="3"/>
      <c r="E1477" s="3"/>
      <c r="F1477" s="3"/>
      <c r="G1477" s="3"/>
      <c r="H1477" s="4"/>
      <c r="I1477" s="4"/>
      <c r="J1477" s="3"/>
      <c r="K1477" s="8" t="str">
        <f t="shared" si="22"/>
        <v/>
      </c>
      <c r="L1477" s="1" t="str">
        <f>IF(COUNTA(A1477:J1477)=0,"",IF(OR(AND(C1477&lt;&gt;"Gasto",C1477&lt;&gt;"Pago proveedor",C1477&lt;&gt;"Retiro familiar",C1477&lt;&gt;"Aportación",C1477&lt;&gt;"Pago activo",C1477&lt;&gt;"ISR devengado",C1477&lt;&gt;"Pago ISR",C1477&lt;&gt;"Pago IVA",C1477&lt;&gt;"Compensación ISR",C1477&lt;&gt;"Compensación IVA"),AND(C1477="Gasto",D1477&lt;&gt;"Costos clínicos",D1477&lt;&gt;"Remuneración familiar",D1477&lt;&gt;"Nómina y honorarios",D1477&lt;&gt;"Renta",D1477&lt;&gt;"Marketing",D1477&lt;&gt;"Servicios y software",D1477&lt;&gt;"Mantenimiento",D1477&lt;&gt;"Otros",D1477&lt;&gt;"Intereses")),"Tipo o categoría inválido",IF(COUNTA(A1477:J1477)=0,"",IF(OR(A1477="",B1477="",C1477="",H1477=""),"Faltan datos",IF(COUNTIF($A$7:$A$2006,A1477)&gt;1,"ID duplicado",IF(OR(B1477&lt;DATE(Configuración!$C$5,1,1),B1477&gt;=DATE(Configuración!$C$5+1,1,1)),"Fecha fuera del año",IF(OR(H1477&lt;0,I1477&lt;0),"Revisar signo",IF(AND(C1477&lt;&gt;"Gasto",I1477&lt;&gt;0),"IVA solo en Gasto",IF(AND(C1477="Gasto",D1477=""),"Falta categoría","OK")))))))))</f>
        <v/>
      </c>
    </row>
    <row r="1478" spans="1:12" ht="22" customHeight="1">
      <c r="A1478" s="3"/>
      <c r="B1478" s="7"/>
      <c r="C1478" s="3"/>
      <c r="D1478" s="3"/>
      <c r="E1478" s="3"/>
      <c r="F1478" s="3"/>
      <c r="G1478" s="3"/>
      <c r="H1478" s="4"/>
      <c r="I1478" s="4"/>
      <c r="J1478" s="3"/>
      <c r="K1478" s="8" t="str">
        <f t="shared" si="22"/>
        <v/>
      </c>
      <c r="L1478" s="1" t="str">
        <f>IF(COUNTA(A1478:J1478)=0,"",IF(OR(AND(C1478&lt;&gt;"Gasto",C1478&lt;&gt;"Pago proveedor",C1478&lt;&gt;"Retiro familiar",C1478&lt;&gt;"Aportación",C1478&lt;&gt;"Pago activo",C1478&lt;&gt;"ISR devengado",C1478&lt;&gt;"Pago ISR",C1478&lt;&gt;"Pago IVA",C1478&lt;&gt;"Compensación ISR",C1478&lt;&gt;"Compensación IVA"),AND(C1478="Gasto",D1478&lt;&gt;"Costos clínicos",D1478&lt;&gt;"Remuneración familiar",D1478&lt;&gt;"Nómina y honorarios",D1478&lt;&gt;"Renta",D1478&lt;&gt;"Marketing",D1478&lt;&gt;"Servicios y software",D1478&lt;&gt;"Mantenimiento",D1478&lt;&gt;"Otros",D1478&lt;&gt;"Intereses")),"Tipo o categoría inválido",IF(COUNTA(A1478:J1478)=0,"",IF(OR(A1478="",B1478="",C1478="",H1478=""),"Faltan datos",IF(COUNTIF($A$7:$A$2006,A1478)&gt;1,"ID duplicado",IF(OR(B1478&lt;DATE(Configuración!$C$5,1,1),B1478&gt;=DATE(Configuración!$C$5+1,1,1)),"Fecha fuera del año",IF(OR(H1478&lt;0,I1478&lt;0),"Revisar signo",IF(AND(C1478&lt;&gt;"Gasto",I1478&lt;&gt;0),"IVA solo en Gasto",IF(AND(C1478="Gasto",D1478=""),"Falta categoría","OK")))))))))</f>
        <v/>
      </c>
    </row>
    <row r="1479" spans="1:12" ht="22" customHeight="1">
      <c r="A1479" s="3"/>
      <c r="B1479" s="7"/>
      <c r="C1479" s="3"/>
      <c r="D1479" s="3"/>
      <c r="E1479" s="3"/>
      <c r="F1479" s="3"/>
      <c r="G1479" s="3"/>
      <c r="H1479" s="4"/>
      <c r="I1479" s="4"/>
      <c r="J1479" s="3"/>
      <c r="K1479" s="8" t="str">
        <f t="shared" ref="K1479:K1542" si="23">IF(A1479="","",H1479+I1479)</f>
        <v/>
      </c>
      <c r="L1479" s="1" t="str">
        <f>IF(COUNTA(A1479:J1479)=0,"",IF(OR(AND(C1479&lt;&gt;"Gasto",C1479&lt;&gt;"Pago proveedor",C1479&lt;&gt;"Retiro familiar",C1479&lt;&gt;"Aportación",C1479&lt;&gt;"Pago activo",C1479&lt;&gt;"ISR devengado",C1479&lt;&gt;"Pago ISR",C1479&lt;&gt;"Pago IVA",C1479&lt;&gt;"Compensación ISR",C1479&lt;&gt;"Compensación IVA"),AND(C1479="Gasto",D1479&lt;&gt;"Costos clínicos",D1479&lt;&gt;"Remuneración familiar",D1479&lt;&gt;"Nómina y honorarios",D1479&lt;&gt;"Renta",D1479&lt;&gt;"Marketing",D1479&lt;&gt;"Servicios y software",D1479&lt;&gt;"Mantenimiento",D1479&lt;&gt;"Otros",D1479&lt;&gt;"Intereses")),"Tipo o categoría inválido",IF(COUNTA(A1479:J1479)=0,"",IF(OR(A1479="",B1479="",C1479="",H1479=""),"Faltan datos",IF(COUNTIF($A$7:$A$2006,A1479)&gt;1,"ID duplicado",IF(OR(B1479&lt;DATE(Configuración!$C$5,1,1),B1479&gt;=DATE(Configuración!$C$5+1,1,1)),"Fecha fuera del año",IF(OR(H1479&lt;0,I1479&lt;0),"Revisar signo",IF(AND(C1479&lt;&gt;"Gasto",I1479&lt;&gt;0),"IVA solo en Gasto",IF(AND(C1479="Gasto",D1479=""),"Falta categoría","OK")))))))))</f>
        <v/>
      </c>
    </row>
    <row r="1480" spans="1:12" ht="22" customHeight="1">
      <c r="A1480" s="3"/>
      <c r="B1480" s="7"/>
      <c r="C1480" s="3"/>
      <c r="D1480" s="3"/>
      <c r="E1480" s="3"/>
      <c r="F1480" s="3"/>
      <c r="G1480" s="3"/>
      <c r="H1480" s="4"/>
      <c r="I1480" s="4"/>
      <c r="J1480" s="3"/>
      <c r="K1480" s="8" t="str">
        <f t="shared" si="23"/>
        <v/>
      </c>
      <c r="L1480" s="1" t="str">
        <f>IF(COUNTA(A1480:J1480)=0,"",IF(OR(AND(C1480&lt;&gt;"Gasto",C1480&lt;&gt;"Pago proveedor",C1480&lt;&gt;"Retiro familiar",C1480&lt;&gt;"Aportación",C1480&lt;&gt;"Pago activo",C1480&lt;&gt;"ISR devengado",C1480&lt;&gt;"Pago ISR",C1480&lt;&gt;"Pago IVA",C1480&lt;&gt;"Compensación ISR",C1480&lt;&gt;"Compensación IVA"),AND(C1480="Gasto",D1480&lt;&gt;"Costos clínicos",D1480&lt;&gt;"Remuneración familiar",D1480&lt;&gt;"Nómina y honorarios",D1480&lt;&gt;"Renta",D1480&lt;&gt;"Marketing",D1480&lt;&gt;"Servicios y software",D1480&lt;&gt;"Mantenimiento",D1480&lt;&gt;"Otros",D1480&lt;&gt;"Intereses")),"Tipo o categoría inválido",IF(COUNTA(A1480:J1480)=0,"",IF(OR(A1480="",B1480="",C1480="",H1480=""),"Faltan datos",IF(COUNTIF($A$7:$A$2006,A1480)&gt;1,"ID duplicado",IF(OR(B1480&lt;DATE(Configuración!$C$5,1,1),B1480&gt;=DATE(Configuración!$C$5+1,1,1)),"Fecha fuera del año",IF(OR(H1480&lt;0,I1480&lt;0),"Revisar signo",IF(AND(C1480&lt;&gt;"Gasto",I1480&lt;&gt;0),"IVA solo en Gasto",IF(AND(C1480="Gasto",D1480=""),"Falta categoría","OK")))))))))</f>
        <v/>
      </c>
    </row>
    <row r="1481" spans="1:12" ht="22" customHeight="1">
      <c r="A1481" s="3"/>
      <c r="B1481" s="7"/>
      <c r="C1481" s="3"/>
      <c r="D1481" s="3"/>
      <c r="E1481" s="3"/>
      <c r="F1481" s="3"/>
      <c r="G1481" s="3"/>
      <c r="H1481" s="4"/>
      <c r="I1481" s="4"/>
      <c r="J1481" s="3"/>
      <c r="K1481" s="8" t="str">
        <f t="shared" si="23"/>
        <v/>
      </c>
      <c r="L1481" s="1" t="str">
        <f>IF(COUNTA(A1481:J1481)=0,"",IF(OR(AND(C1481&lt;&gt;"Gasto",C1481&lt;&gt;"Pago proveedor",C1481&lt;&gt;"Retiro familiar",C1481&lt;&gt;"Aportación",C1481&lt;&gt;"Pago activo",C1481&lt;&gt;"ISR devengado",C1481&lt;&gt;"Pago ISR",C1481&lt;&gt;"Pago IVA",C1481&lt;&gt;"Compensación ISR",C1481&lt;&gt;"Compensación IVA"),AND(C1481="Gasto",D1481&lt;&gt;"Costos clínicos",D1481&lt;&gt;"Remuneración familiar",D1481&lt;&gt;"Nómina y honorarios",D1481&lt;&gt;"Renta",D1481&lt;&gt;"Marketing",D1481&lt;&gt;"Servicios y software",D1481&lt;&gt;"Mantenimiento",D1481&lt;&gt;"Otros",D1481&lt;&gt;"Intereses")),"Tipo o categoría inválido",IF(COUNTA(A1481:J1481)=0,"",IF(OR(A1481="",B1481="",C1481="",H1481=""),"Faltan datos",IF(COUNTIF($A$7:$A$2006,A1481)&gt;1,"ID duplicado",IF(OR(B1481&lt;DATE(Configuración!$C$5,1,1),B1481&gt;=DATE(Configuración!$C$5+1,1,1)),"Fecha fuera del año",IF(OR(H1481&lt;0,I1481&lt;0),"Revisar signo",IF(AND(C1481&lt;&gt;"Gasto",I1481&lt;&gt;0),"IVA solo en Gasto",IF(AND(C1481="Gasto",D1481=""),"Falta categoría","OK")))))))))</f>
        <v/>
      </c>
    </row>
    <row r="1482" spans="1:12" ht="22" customHeight="1">
      <c r="A1482" s="3"/>
      <c r="B1482" s="7"/>
      <c r="C1482" s="3"/>
      <c r="D1482" s="3"/>
      <c r="E1482" s="3"/>
      <c r="F1482" s="3"/>
      <c r="G1482" s="3"/>
      <c r="H1482" s="4"/>
      <c r="I1482" s="4"/>
      <c r="J1482" s="3"/>
      <c r="K1482" s="8" t="str">
        <f t="shared" si="23"/>
        <v/>
      </c>
      <c r="L1482" s="1" t="str">
        <f>IF(COUNTA(A1482:J1482)=0,"",IF(OR(AND(C1482&lt;&gt;"Gasto",C1482&lt;&gt;"Pago proveedor",C1482&lt;&gt;"Retiro familiar",C1482&lt;&gt;"Aportación",C1482&lt;&gt;"Pago activo",C1482&lt;&gt;"ISR devengado",C1482&lt;&gt;"Pago ISR",C1482&lt;&gt;"Pago IVA",C1482&lt;&gt;"Compensación ISR",C1482&lt;&gt;"Compensación IVA"),AND(C1482="Gasto",D1482&lt;&gt;"Costos clínicos",D1482&lt;&gt;"Remuneración familiar",D1482&lt;&gt;"Nómina y honorarios",D1482&lt;&gt;"Renta",D1482&lt;&gt;"Marketing",D1482&lt;&gt;"Servicios y software",D1482&lt;&gt;"Mantenimiento",D1482&lt;&gt;"Otros",D1482&lt;&gt;"Intereses")),"Tipo o categoría inválido",IF(COUNTA(A1482:J1482)=0,"",IF(OR(A1482="",B1482="",C1482="",H1482=""),"Faltan datos",IF(COUNTIF($A$7:$A$2006,A1482)&gt;1,"ID duplicado",IF(OR(B1482&lt;DATE(Configuración!$C$5,1,1),B1482&gt;=DATE(Configuración!$C$5+1,1,1)),"Fecha fuera del año",IF(OR(H1482&lt;0,I1482&lt;0),"Revisar signo",IF(AND(C1482&lt;&gt;"Gasto",I1482&lt;&gt;0),"IVA solo en Gasto",IF(AND(C1482="Gasto",D1482=""),"Falta categoría","OK")))))))))</f>
        <v/>
      </c>
    </row>
    <row r="1483" spans="1:12" ht="22" customHeight="1">
      <c r="A1483" s="3"/>
      <c r="B1483" s="7"/>
      <c r="C1483" s="3"/>
      <c r="D1483" s="3"/>
      <c r="E1483" s="3"/>
      <c r="F1483" s="3"/>
      <c r="G1483" s="3"/>
      <c r="H1483" s="4"/>
      <c r="I1483" s="4"/>
      <c r="J1483" s="3"/>
      <c r="K1483" s="8" t="str">
        <f t="shared" si="23"/>
        <v/>
      </c>
      <c r="L1483" s="1" t="str">
        <f>IF(COUNTA(A1483:J1483)=0,"",IF(OR(AND(C1483&lt;&gt;"Gasto",C1483&lt;&gt;"Pago proveedor",C1483&lt;&gt;"Retiro familiar",C1483&lt;&gt;"Aportación",C1483&lt;&gt;"Pago activo",C1483&lt;&gt;"ISR devengado",C1483&lt;&gt;"Pago ISR",C1483&lt;&gt;"Pago IVA",C1483&lt;&gt;"Compensación ISR",C1483&lt;&gt;"Compensación IVA"),AND(C1483="Gasto",D1483&lt;&gt;"Costos clínicos",D1483&lt;&gt;"Remuneración familiar",D1483&lt;&gt;"Nómina y honorarios",D1483&lt;&gt;"Renta",D1483&lt;&gt;"Marketing",D1483&lt;&gt;"Servicios y software",D1483&lt;&gt;"Mantenimiento",D1483&lt;&gt;"Otros",D1483&lt;&gt;"Intereses")),"Tipo o categoría inválido",IF(COUNTA(A1483:J1483)=0,"",IF(OR(A1483="",B1483="",C1483="",H1483=""),"Faltan datos",IF(COUNTIF($A$7:$A$2006,A1483)&gt;1,"ID duplicado",IF(OR(B1483&lt;DATE(Configuración!$C$5,1,1),B1483&gt;=DATE(Configuración!$C$5+1,1,1)),"Fecha fuera del año",IF(OR(H1483&lt;0,I1483&lt;0),"Revisar signo",IF(AND(C1483&lt;&gt;"Gasto",I1483&lt;&gt;0),"IVA solo en Gasto",IF(AND(C1483="Gasto",D1483=""),"Falta categoría","OK")))))))))</f>
        <v/>
      </c>
    </row>
    <row r="1484" spans="1:12" ht="22" customHeight="1">
      <c r="A1484" s="3"/>
      <c r="B1484" s="7"/>
      <c r="C1484" s="3"/>
      <c r="D1484" s="3"/>
      <c r="E1484" s="3"/>
      <c r="F1484" s="3"/>
      <c r="G1484" s="3"/>
      <c r="H1484" s="4"/>
      <c r="I1484" s="4"/>
      <c r="J1484" s="3"/>
      <c r="K1484" s="8" t="str">
        <f t="shared" si="23"/>
        <v/>
      </c>
      <c r="L1484" s="1" t="str">
        <f>IF(COUNTA(A1484:J1484)=0,"",IF(OR(AND(C1484&lt;&gt;"Gasto",C1484&lt;&gt;"Pago proveedor",C1484&lt;&gt;"Retiro familiar",C1484&lt;&gt;"Aportación",C1484&lt;&gt;"Pago activo",C1484&lt;&gt;"ISR devengado",C1484&lt;&gt;"Pago ISR",C1484&lt;&gt;"Pago IVA",C1484&lt;&gt;"Compensación ISR",C1484&lt;&gt;"Compensación IVA"),AND(C1484="Gasto",D1484&lt;&gt;"Costos clínicos",D1484&lt;&gt;"Remuneración familiar",D1484&lt;&gt;"Nómina y honorarios",D1484&lt;&gt;"Renta",D1484&lt;&gt;"Marketing",D1484&lt;&gt;"Servicios y software",D1484&lt;&gt;"Mantenimiento",D1484&lt;&gt;"Otros",D1484&lt;&gt;"Intereses")),"Tipo o categoría inválido",IF(COUNTA(A1484:J1484)=0,"",IF(OR(A1484="",B1484="",C1484="",H1484=""),"Faltan datos",IF(COUNTIF($A$7:$A$2006,A1484)&gt;1,"ID duplicado",IF(OR(B1484&lt;DATE(Configuración!$C$5,1,1),B1484&gt;=DATE(Configuración!$C$5+1,1,1)),"Fecha fuera del año",IF(OR(H1484&lt;0,I1484&lt;0),"Revisar signo",IF(AND(C1484&lt;&gt;"Gasto",I1484&lt;&gt;0),"IVA solo en Gasto",IF(AND(C1484="Gasto",D1484=""),"Falta categoría","OK")))))))))</f>
        <v/>
      </c>
    </row>
    <row r="1485" spans="1:12" ht="22" customHeight="1">
      <c r="A1485" s="3"/>
      <c r="B1485" s="7"/>
      <c r="C1485" s="3"/>
      <c r="D1485" s="3"/>
      <c r="E1485" s="3"/>
      <c r="F1485" s="3"/>
      <c r="G1485" s="3"/>
      <c r="H1485" s="4"/>
      <c r="I1485" s="4"/>
      <c r="J1485" s="3"/>
      <c r="K1485" s="8" t="str">
        <f t="shared" si="23"/>
        <v/>
      </c>
      <c r="L1485" s="1" t="str">
        <f>IF(COUNTA(A1485:J1485)=0,"",IF(OR(AND(C1485&lt;&gt;"Gasto",C1485&lt;&gt;"Pago proveedor",C1485&lt;&gt;"Retiro familiar",C1485&lt;&gt;"Aportación",C1485&lt;&gt;"Pago activo",C1485&lt;&gt;"ISR devengado",C1485&lt;&gt;"Pago ISR",C1485&lt;&gt;"Pago IVA",C1485&lt;&gt;"Compensación ISR",C1485&lt;&gt;"Compensación IVA"),AND(C1485="Gasto",D1485&lt;&gt;"Costos clínicos",D1485&lt;&gt;"Remuneración familiar",D1485&lt;&gt;"Nómina y honorarios",D1485&lt;&gt;"Renta",D1485&lt;&gt;"Marketing",D1485&lt;&gt;"Servicios y software",D1485&lt;&gt;"Mantenimiento",D1485&lt;&gt;"Otros",D1485&lt;&gt;"Intereses")),"Tipo o categoría inválido",IF(COUNTA(A1485:J1485)=0,"",IF(OR(A1485="",B1485="",C1485="",H1485=""),"Faltan datos",IF(COUNTIF($A$7:$A$2006,A1485)&gt;1,"ID duplicado",IF(OR(B1485&lt;DATE(Configuración!$C$5,1,1),B1485&gt;=DATE(Configuración!$C$5+1,1,1)),"Fecha fuera del año",IF(OR(H1485&lt;0,I1485&lt;0),"Revisar signo",IF(AND(C1485&lt;&gt;"Gasto",I1485&lt;&gt;0),"IVA solo en Gasto",IF(AND(C1485="Gasto",D1485=""),"Falta categoría","OK")))))))))</f>
        <v/>
      </c>
    </row>
    <row r="1486" spans="1:12" ht="22" customHeight="1">
      <c r="A1486" s="3"/>
      <c r="B1486" s="7"/>
      <c r="C1486" s="3"/>
      <c r="D1486" s="3"/>
      <c r="E1486" s="3"/>
      <c r="F1486" s="3"/>
      <c r="G1486" s="3"/>
      <c r="H1486" s="4"/>
      <c r="I1486" s="4"/>
      <c r="J1486" s="3"/>
      <c r="K1486" s="8" t="str">
        <f t="shared" si="23"/>
        <v/>
      </c>
      <c r="L1486" s="1" t="str">
        <f>IF(COUNTA(A1486:J1486)=0,"",IF(OR(AND(C1486&lt;&gt;"Gasto",C1486&lt;&gt;"Pago proveedor",C1486&lt;&gt;"Retiro familiar",C1486&lt;&gt;"Aportación",C1486&lt;&gt;"Pago activo",C1486&lt;&gt;"ISR devengado",C1486&lt;&gt;"Pago ISR",C1486&lt;&gt;"Pago IVA",C1486&lt;&gt;"Compensación ISR",C1486&lt;&gt;"Compensación IVA"),AND(C1486="Gasto",D1486&lt;&gt;"Costos clínicos",D1486&lt;&gt;"Remuneración familiar",D1486&lt;&gt;"Nómina y honorarios",D1486&lt;&gt;"Renta",D1486&lt;&gt;"Marketing",D1486&lt;&gt;"Servicios y software",D1486&lt;&gt;"Mantenimiento",D1486&lt;&gt;"Otros",D1486&lt;&gt;"Intereses")),"Tipo o categoría inválido",IF(COUNTA(A1486:J1486)=0,"",IF(OR(A1486="",B1486="",C1486="",H1486=""),"Faltan datos",IF(COUNTIF($A$7:$A$2006,A1486)&gt;1,"ID duplicado",IF(OR(B1486&lt;DATE(Configuración!$C$5,1,1),B1486&gt;=DATE(Configuración!$C$5+1,1,1)),"Fecha fuera del año",IF(OR(H1486&lt;0,I1486&lt;0),"Revisar signo",IF(AND(C1486&lt;&gt;"Gasto",I1486&lt;&gt;0),"IVA solo en Gasto",IF(AND(C1486="Gasto",D1486=""),"Falta categoría","OK")))))))))</f>
        <v/>
      </c>
    </row>
    <row r="1487" spans="1:12" ht="22" customHeight="1">
      <c r="A1487" s="3"/>
      <c r="B1487" s="7"/>
      <c r="C1487" s="3"/>
      <c r="D1487" s="3"/>
      <c r="E1487" s="3"/>
      <c r="F1487" s="3"/>
      <c r="G1487" s="3"/>
      <c r="H1487" s="4"/>
      <c r="I1487" s="4"/>
      <c r="J1487" s="3"/>
      <c r="K1487" s="8" t="str">
        <f t="shared" si="23"/>
        <v/>
      </c>
      <c r="L1487" s="1" t="str">
        <f>IF(COUNTA(A1487:J1487)=0,"",IF(OR(AND(C1487&lt;&gt;"Gasto",C1487&lt;&gt;"Pago proveedor",C1487&lt;&gt;"Retiro familiar",C1487&lt;&gt;"Aportación",C1487&lt;&gt;"Pago activo",C1487&lt;&gt;"ISR devengado",C1487&lt;&gt;"Pago ISR",C1487&lt;&gt;"Pago IVA",C1487&lt;&gt;"Compensación ISR",C1487&lt;&gt;"Compensación IVA"),AND(C1487="Gasto",D1487&lt;&gt;"Costos clínicos",D1487&lt;&gt;"Remuneración familiar",D1487&lt;&gt;"Nómina y honorarios",D1487&lt;&gt;"Renta",D1487&lt;&gt;"Marketing",D1487&lt;&gt;"Servicios y software",D1487&lt;&gt;"Mantenimiento",D1487&lt;&gt;"Otros",D1487&lt;&gt;"Intereses")),"Tipo o categoría inválido",IF(COUNTA(A1487:J1487)=0,"",IF(OR(A1487="",B1487="",C1487="",H1487=""),"Faltan datos",IF(COUNTIF($A$7:$A$2006,A1487)&gt;1,"ID duplicado",IF(OR(B1487&lt;DATE(Configuración!$C$5,1,1),B1487&gt;=DATE(Configuración!$C$5+1,1,1)),"Fecha fuera del año",IF(OR(H1487&lt;0,I1487&lt;0),"Revisar signo",IF(AND(C1487&lt;&gt;"Gasto",I1487&lt;&gt;0),"IVA solo en Gasto",IF(AND(C1487="Gasto",D1487=""),"Falta categoría","OK")))))))))</f>
        <v/>
      </c>
    </row>
    <row r="1488" spans="1:12" ht="22" customHeight="1">
      <c r="A1488" s="3"/>
      <c r="B1488" s="7"/>
      <c r="C1488" s="3"/>
      <c r="D1488" s="3"/>
      <c r="E1488" s="3"/>
      <c r="F1488" s="3"/>
      <c r="G1488" s="3"/>
      <c r="H1488" s="4"/>
      <c r="I1488" s="4"/>
      <c r="J1488" s="3"/>
      <c r="K1488" s="8" t="str">
        <f t="shared" si="23"/>
        <v/>
      </c>
      <c r="L1488" s="1" t="str">
        <f>IF(COUNTA(A1488:J1488)=0,"",IF(OR(AND(C1488&lt;&gt;"Gasto",C1488&lt;&gt;"Pago proveedor",C1488&lt;&gt;"Retiro familiar",C1488&lt;&gt;"Aportación",C1488&lt;&gt;"Pago activo",C1488&lt;&gt;"ISR devengado",C1488&lt;&gt;"Pago ISR",C1488&lt;&gt;"Pago IVA",C1488&lt;&gt;"Compensación ISR",C1488&lt;&gt;"Compensación IVA"),AND(C1488="Gasto",D1488&lt;&gt;"Costos clínicos",D1488&lt;&gt;"Remuneración familiar",D1488&lt;&gt;"Nómina y honorarios",D1488&lt;&gt;"Renta",D1488&lt;&gt;"Marketing",D1488&lt;&gt;"Servicios y software",D1488&lt;&gt;"Mantenimiento",D1488&lt;&gt;"Otros",D1488&lt;&gt;"Intereses")),"Tipo o categoría inválido",IF(COUNTA(A1488:J1488)=0,"",IF(OR(A1488="",B1488="",C1488="",H1488=""),"Faltan datos",IF(COUNTIF($A$7:$A$2006,A1488)&gt;1,"ID duplicado",IF(OR(B1488&lt;DATE(Configuración!$C$5,1,1),B1488&gt;=DATE(Configuración!$C$5+1,1,1)),"Fecha fuera del año",IF(OR(H1488&lt;0,I1488&lt;0),"Revisar signo",IF(AND(C1488&lt;&gt;"Gasto",I1488&lt;&gt;0),"IVA solo en Gasto",IF(AND(C1488="Gasto",D1488=""),"Falta categoría","OK")))))))))</f>
        <v/>
      </c>
    </row>
    <row r="1489" spans="1:12" ht="22" customHeight="1">
      <c r="A1489" s="3"/>
      <c r="B1489" s="7"/>
      <c r="C1489" s="3"/>
      <c r="D1489" s="3"/>
      <c r="E1489" s="3"/>
      <c r="F1489" s="3"/>
      <c r="G1489" s="3"/>
      <c r="H1489" s="4"/>
      <c r="I1489" s="4"/>
      <c r="J1489" s="3"/>
      <c r="K1489" s="8" t="str">
        <f t="shared" si="23"/>
        <v/>
      </c>
      <c r="L1489" s="1" t="str">
        <f>IF(COUNTA(A1489:J1489)=0,"",IF(OR(AND(C1489&lt;&gt;"Gasto",C1489&lt;&gt;"Pago proveedor",C1489&lt;&gt;"Retiro familiar",C1489&lt;&gt;"Aportación",C1489&lt;&gt;"Pago activo",C1489&lt;&gt;"ISR devengado",C1489&lt;&gt;"Pago ISR",C1489&lt;&gt;"Pago IVA",C1489&lt;&gt;"Compensación ISR",C1489&lt;&gt;"Compensación IVA"),AND(C1489="Gasto",D1489&lt;&gt;"Costos clínicos",D1489&lt;&gt;"Remuneración familiar",D1489&lt;&gt;"Nómina y honorarios",D1489&lt;&gt;"Renta",D1489&lt;&gt;"Marketing",D1489&lt;&gt;"Servicios y software",D1489&lt;&gt;"Mantenimiento",D1489&lt;&gt;"Otros",D1489&lt;&gt;"Intereses")),"Tipo o categoría inválido",IF(COUNTA(A1489:J1489)=0,"",IF(OR(A1489="",B1489="",C1489="",H1489=""),"Faltan datos",IF(COUNTIF($A$7:$A$2006,A1489)&gt;1,"ID duplicado",IF(OR(B1489&lt;DATE(Configuración!$C$5,1,1),B1489&gt;=DATE(Configuración!$C$5+1,1,1)),"Fecha fuera del año",IF(OR(H1489&lt;0,I1489&lt;0),"Revisar signo",IF(AND(C1489&lt;&gt;"Gasto",I1489&lt;&gt;0),"IVA solo en Gasto",IF(AND(C1489="Gasto",D1489=""),"Falta categoría","OK")))))))))</f>
        <v/>
      </c>
    </row>
    <row r="1490" spans="1:12" ht="22" customHeight="1">
      <c r="A1490" s="3"/>
      <c r="B1490" s="7"/>
      <c r="C1490" s="3"/>
      <c r="D1490" s="3"/>
      <c r="E1490" s="3"/>
      <c r="F1490" s="3"/>
      <c r="G1490" s="3"/>
      <c r="H1490" s="4"/>
      <c r="I1490" s="4"/>
      <c r="J1490" s="3"/>
      <c r="K1490" s="8" t="str">
        <f t="shared" si="23"/>
        <v/>
      </c>
      <c r="L1490" s="1" t="str">
        <f>IF(COUNTA(A1490:J1490)=0,"",IF(OR(AND(C1490&lt;&gt;"Gasto",C1490&lt;&gt;"Pago proveedor",C1490&lt;&gt;"Retiro familiar",C1490&lt;&gt;"Aportación",C1490&lt;&gt;"Pago activo",C1490&lt;&gt;"ISR devengado",C1490&lt;&gt;"Pago ISR",C1490&lt;&gt;"Pago IVA",C1490&lt;&gt;"Compensación ISR",C1490&lt;&gt;"Compensación IVA"),AND(C1490="Gasto",D1490&lt;&gt;"Costos clínicos",D1490&lt;&gt;"Remuneración familiar",D1490&lt;&gt;"Nómina y honorarios",D1490&lt;&gt;"Renta",D1490&lt;&gt;"Marketing",D1490&lt;&gt;"Servicios y software",D1490&lt;&gt;"Mantenimiento",D1490&lt;&gt;"Otros",D1490&lt;&gt;"Intereses")),"Tipo o categoría inválido",IF(COUNTA(A1490:J1490)=0,"",IF(OR(A1490="",B1490="",C1490="",H1490=""),"Faltan datos",IF(COUNTIF($A$7:$A$2006,A1490)&gt;1,"ID duplicado",IF(OR(B1490&lt;DATE(Configuración!$C$5,1,1),B1490&gt;=DATE(Configuración!$C$5+1,1,1)),"Fecha fuera del año",IF(OR(H1490&lt;0,I1490&lt;0),"Revisar signo",IF(AND(C1490&lt;&gt;"Gasto",I1490&lt;&gt;0),"IVA solo en Gasto",IF(AND(C1490="Gasto",D1490=""),"Falta categoría","OK")))))))))</f>
        <v/>
      </c>
    </row>
    <row r="1491" spans="1:12" ht="22" customHeight="1">
      <c r="A1491" s="3"/>
      <c r="B1491" s="7"/>
      <c r="C1491" s="3"/>
      <c r="D1491" s="3"/>
      <c r="E1491" s="3"/>
      <c r="F1491" s="3"/>
      <c r="G1491" s="3"/>
      <c r="H1491" s="4"/>
      <c r="I1491" s="4"/>
      <c r="J1491" s="3"/>
      <c r="K1491" s="8" t="str">
        <f t="shared" si="23"/>
        <v/>
      </c>
      <c r="L1491" s="1" t="str">
        <f>IF(COUNTA(A1491:J1491)=0,"",IF(OR(AND(C1491&lt;&gt;"Gasto",C1491&lt;&gt;"Pago proveedor",C1491&lt;&gt;"Retiro familiar",C1491&lt;&gt;"Aportación",C1491&lt;&gt;"Pago activo",C1491&lt;&gt;"ISR devengado",C1491&lt;&gt;"Pago ISR",C1491&lt;&gt;"Pago IVA",C1491&lt;&gt;"Compensación ISR",C1491&lt;&gt;"Compensación IVA"),AND(C1491="Gasto",D1491&lt;&gt;"Costos clínicos",D1491&lt;&gt;"Remuneración familiar",D1491&lt;&gt;"Nómina y honorarios",D1491&lt;&gt;"Renta",D1491&lt;&gt;"Marketing",D1491&lt;&gt;"Servicios y software",D1491&lt;&gt;"Mantenimiento",D1491&lt;&gt;"Otros",D1491&lt;&gt;"Intereses")),"Tipo o categoría inválido",IF(COUNTA(A1491:J1491)=0,"",IF(OR(A1491="",B1491="",C1491="",H1491=""),"Faltan datos",IF(COUNTIF($A$7:$A$2006,A1491)&gt;1,"ID duplicado",IF(OR(B1491&lt;DATE(Configuración!$C$5,1,1),B1491&gt;=DATE(Configuración!$C$5+1,1,1)),"Fecha fuera del año",IF(OR(H1491&lt;0,I1491&lt;0),"Revisar signo",IF(AND(C1491&lt;&gt;"Gasto",I1491&lt;&gt;0),"IVA solo en Gasto",IF(AND(C1491="Gasto",D1491=""),"Falta categoría","OK")))))))))</f>
        <v/>
      </c>
    </row>
    <row r="1492" spans="1:12" ht="22" customHeight="1">
      <c r="A1492" s="3"/>
      <c r="B1492" s="7"/>
      <c r="C1492" s="3"/>
      <c r="D1492" s="3"/>
      <c r="E1492" s="3"/>
      <c r="F1492" s="3"/>
      <c r="G1492" s="3"/>
      <c r="H1492" s="4"/>
      <c r="I1492" s="4"/>
      <c r="J1492" s="3"/>
      <c r="K1492" s="8" t="str">
        <f t="shared" si="23"/>
        <v/>
      </c>
      <c r="L1492" s="1" t="str">
        <f>IF(COUNTA(A1492:J1492)=0,"",IF(OR(AND(C1492&lt;&gt;"Gasto",C1492&lt;&gt;"Pago proveedor",C1492&lt;&gt;"Retiro familiar",C1492&lt;&gt;"Aportación",C1492&lt;&gt;"Pago activo",C1492&lt;&gt;"ISR devengado",C1492&lt;&gt;"Pago ISR",C1492&lt;&gt;"Pago IVA",C1492&lt;&gt;"Compensación ISR",C1492&lt;&gt;"Compensación IVA"),AND(C1492="Gasto",D1492&lt;&gt;"Costos clínicos",D1492&lt;&gt;"Remuneración familiar",D1492&lt;&gt;"Nómina y honorarios",D1492&lt;&gt;"Renta",D1492&lt;&gt;"Marketing",D1492&lt;&gt;"Servicios y software",D1492&lt;&gt;"Mantenimiento",D1492&lt;&gt;"Otros",D1492&lt;&gt;"Intereses")),"Tipo o categoría inválido",IF(COUNTA(A1492:J1492)=0,"",IF(OR(A1492="",B1492="",C1492="",H1492=""),"Faltan datos",IF(COUNTIF($A$7:$A$2006,A1492)&gt;1,"ID duplicado",IF(OR(B1492&lt;DATE(Configuración!$C$5,1,1),B1492&gt;=DATE(Configuración!$C$5+1,1,1)),"Fecha fuera del año",IF(OR(H1492&lt;0,I1492&lt;0),"Revisar signo",IF(AND(C1492&lt;&gt;"Gasto",I1492&lt;&gt;0),"IVA solo en Gasto",IF(AND(C1492="Gasto",D1492=""),"Falta categoría","OK")))))))))</f>
        <v/>
      </c>
    </row>
    <row r="1493" spans="1:12" ht="22" customHeight="1">
      <c r="A1493" s="3"/>
      <c r="B1493" s="7"/>
      <c r="C1493" s="3"/>
      <c r="D1493" s="3"/>
      <c r="E1493" s="3"/>
      <c r="F1493" s="3"/>
      <c r="G1493" s="3"/>
      <c r="H1493" s="4"/>
      <c r="I1493" s="4"/>
      <c r="J1493" s="3"/>
      <c r="K1493" s="8" t="str">
        <f t="shared" si="23"/>
        <v/>
      </c>
      <c r="L1493" s="1" t="str">
        <f>IF(COUNTA(A1493:J1493)=0,"",IF(OR(AND(C1493&lt;&gt;"Gasto",C1493&lt;&gt;"Pago proveedor",C1493&lt;&gt;"Retiro familiar",C1493&lt;&gt;"Aportación",C1493&lt;&gt;"Pago activo",C1493&lt;&gt;"ISR devengado",C1493&lt;&gt;"Pago ISR",C1493&lt;&gt;"Pago IVA",C1493&lt;&gt;"Compensación ISR",C1493&lt;&gt;"Compensación IVA"),AND(C1493="Gasto",D1493&lt;&gt;"Costos clínicos",D1493&lt;&gt;"Remuneración familiar",D1493&lt;&gt;"Nómina y honorarios",D1493&lt;&gt;"Renta",D1493&lt;&gt;"Marketing",D1493&lt;&gt;"Servicios y software",D1493&lt;&gt;"Mantenimiento",D1493&lt;&gt;"Otros",D1493&lt;&gt;"Intereses")),"Tipo o categoría inválido",IF(COUNTA(A1493:J1493)=0,"",IF(OR(A1493="",B1493="",C1493="",H1493=""),"Faltan datos",IF(COUNTIF($A$7:$A$2006,A1493)&gt;1,"ID duplicado",IF(OR(B1493&lt;DATE(Configuración!$C$5,1,1),B1493&gt;=DATE(Configuración!$C$5+1,1,1)),"Fecha fuera del año",IF(OR(H1493&lt;0,I1493&lt;0),"Revisar signo",IF(AND(C1493&lt;&gt;"Gasto",I1493&lt;&gt;0),"IVA solo en Gasto",IF(AND(C1493="Gasto",D1493=""),"Falta categoría","OK")))))))))</f>
        <v/>
      </c>
    </row>
    <row r="1494" spans="1:12" ht="22" customHeight="1">
      <c r="A1494" s="3"/>
      <c r="B1494" s="7"/>
      <c r="C1494" s="3"/>
      <c r="D1494" s="3"/>
      <c r="E1494" s="3"/>
      <c r="F1494" s="3"/>
      <c r="G1494" s="3"/>
      <c r="H1494" s="4"/>
      <c r="I1494" s="4"/>
      <c r="J1494" s="3"/>
      <c r="K1494" s="8" t="str">
        <f t="shared" si="23"/>
        <v/>
      </c>
      <c r="L1494" s="1" t="str">
        <f>IF(COUNTA(A1494:J1494)=0,"",IF(OR(AND(C1494&lt;&gt;"Gasto",C1494&lt;&gt;"Pago proveedor",C1494&lt;&gt;"Retiro familiar",C1494&lt;&gt;"Aportación",C1494&lt;&gt;"Pago activo",C1494&lt;&gt;"ISR devengado",C1494&lt;&gt;"Pago ISR",C1494&lt;&gt;"Pago IVA",C1494&lt;&gt;"Compensación ISR",C1494&lt;&gt;"Compensación IVA"),AND(C1494="Gasto",D1494&lt;&gt;"Costos clínicos",D1494&lt;&gt;"Remuneración familiar",D1494&lt;&gt;"Nómina y honorarios",D1494&lt;&gt;"Renta",D1494&lt;&gt;"Marketing",D1494&lt;&gt;"Servicios y software",D1494&lt;&gt;"Mantenimiento",D1494&lt;&gt;"Otros",D1494&lt;&gt;"Intereses")),"Tipo o categoría inválido",IF(COUNTA(A1494:J1494)=0,"",IF(OR(A1494="",B1494="",C1494="",H1494=""),"Faltan datos",IF(COUNTIF($A$7:$A$2006,A1494)&gt;1,"ID duplicado",IF(OR(B1494&lt;DATE(Configuración!$C$5,1,1),B1494&gt;=DATE(Configuración!$C$5+1,1,1)),"Fecha fuera del año",IF(OR(H1494&lt;0,I1494&lt;0),"Revisar signo",IF(AND(C1494&lt;&gt;"Gasto",I1494&lt;&gt;0),"IVA solo en Gasto",IF(AND(C1494="Gasto",D1494=""),"Falta categoría","OK")))))))))</f>
        <v/>
      </c>
    </row>
    <row r="1495" spans="1:12" ht="22" customHeight="1">
      <c r="A1495" s="3"/>
      <c r="B1495" s="7"/>
      <c r="C1495" s="3"/>
      <c r="D1495" s="3"/>
      <c r="E1495" s="3"/>
      <c r="F1495" s="3"/>
      <c r="G1495" s="3"/>
      <c r="H1495" s="4"/>
      <c r="I1495" s="4"/>
      <c r="J1495" s="3"/>
      <c r="K1495" s="8" t="str">
        <f t="shared" si="23"/>
        <v/>
      </c>
      <c r="L1495" s="1" t="str">
        <f>IF(COUNTA(A1495:J1495)=0,"",IF(OR(AND(C1495&lt;&gt;"Gasto",C1495&lt;&gt;"Pago proveedor",C1495&lt;&gt;"Retiro familiar",C1495&lt;&gt;"Aportación",C1495&lt;&gt;"Pago activo",C1495&lt;&gt;"ISR devengado",C1495&lt;&gt;"Pago ISR",C1495&lt;&gt;"Pago IVA",C1495&lt;&gt;"Compensación ISR",C1495&lt;&gt;"Compensación IVA"),AND(C1495="Gasto",D1495&lt;&gt;"Costos clínicos",D1495&lt;&gt;"Remuneración familiar",D1495&lt;&gt;"Nómina y honorarios",D1495&lt;&gt;"Renta",D1495&lt;&gt;"Marketing",D1495&lt;&gt;"Servicios y software",D1495&lt;&gt;"Mantenimiento",D1495&lt;&gt;"Otros",D1495&lt;&gt;"Intereses")),"Tipo o categoría inválido",IF(COUNTA(A1495:J1495)=0,"",IF(OR(A1495="",B1495="",C1495="",H1495=""),"Faltan datos",IF(COUNTIF($A$7:$A$2006,A1495)&gt;1,"ID duplicado",IF(OR(B1495&lt;DATE(Configuración!$C$5,1,1),B1495&gt;=DATE(Configuración!$C$5+1,1,1)),"Fecha fuera del año",IF(OR(H1495&lt;0,I1495&lt;0),"Revisar signo",IF(AND(C1495&lt;&gt;"Gasto",I1495&lt;&gt;0),"IVA solo en Gasto",IF(AND(C1495="Gasto",D1495=""),"Falta categoría","OK")))))))))</f>
        <v/>
      </c>
    </row>
    <row r="1496" spans="1:12" ht="22" customHeight="1">
      <c r="A1496" s="3"/>
      <c r="B1496" s="7"/>
      <c r="C1496" s="3"/>
      <c r="D1496" s="3"/>
      <c r="E1496" s="3"/>
      <c r="F1496" s="3"/>
      <c r="G1496" s="3"/>
      <c r="H1496" s="4"/>
      <c r="I1496" s="4"/>
      <c r="J1496" s="3"/>
      <c r="K1496" s="8" t="str">
        <f t="shared" si="23"/>
        <v/>
      </c>
      <c r="L1496" s="1" t="str">
        <f>IF(COUNTA(A1496:J1496)=0,"",IF(OR(AND(C1496&lt;&gt;"Gasto",C1496&lt;&gt;"Pago proveedor",C1496&lt;&gt;"Retiro familiar",C1496&lt;&gt;"Aportación",C1496&lt;&gt;"Pago activo",C1496&lt;&gt;"ISR devengado",C1496&lt;&gt;"Pago ISR",C1496&lt;&gt;"Pago IVA",C1496&lt;&gt;"Compensación ISR",C1496&lt;&gt;"Compensación IVA"),AND(C1496="Gasto",D1496&lt;&gt;"Costos clínicos",D1496&lt;&gt;"Remuneración familiar",D1496&lt;&gt;"Nómina y honorarios",D1496&lt;&gt;"Renta",D1496&lt;&gt;"Marketing",D1496&lt;&gt;"Servicios y software",D1496&lt;&gt;"Mantenimiento",D1496&lt;&gt;"Otros",D1496&lt;&gt;"Intereses")),"Tipo o categoría inválido",IF(COUNTA(A1496:J1496)=0,"",IF(OR(A1496="",B1496="",C1496="",H1496=""),"Faltan datos",IF(COUNTIF($A$7:$A$2006,A1496)&gt;1,"ID duplicado",IF(OR(B1496&lt;DATE(Configuración!$C$5,1,1),B1496&gt;=DATE(Configuración!$C$5+1,1,1)),"Fecha fuera del año",IF(OR(H1496&lt;0,I1496&lt;0),"Revisar signo",IF(AND(C1496&lt;&gt;"Gasto",I1496&lt;&gt;0),"IVA solo en Gasto",IF(AND(C1496="Gasto",D1496=""),"Falta categoría","OK")))))))))</f>
        <v/>
      </c>
    </row>
    <row r="1497" spans="1:12" ht="22" customHeight="1">
      <c r="A1497" s="3"/>
      <c r="B1497" s="7"/>
      <c r="C1497" s="3"/>
      <c r="D1497" s="3"/>
      <c r="E1497" s="3"/>
      <c r="F1497" s="3"/>
      <c r="G1497" s="3"/>
      <c r="H1497" s="4"/>
      <c r="I1497" s="4"/>
      <c r="J1497" s="3"/>
      <c r="K1497" s="8" t="str">
        <f t="shared" si="23"/>
        <v/>
      </c>
      <c r="L1497" s="1" t="str">
        <f>IF(COUNTA(A1497:J1497)=0,"",IF(OR(AND(C1497&lt;&gt;"Gasto",C1497&lt;&gt;"Pago proveedor",C1497&lt;&gt;"Retiro familiar",C1497&lt;&gt;"Aportación",C1497&lt;&gt;"Pago activo",C1497&lt;&gt;"ISR devengado",C1497&lt;&gt;"Pago ISR",C1497&lt;&gt;"Pago IVA",C1497&lt;&gt;"Compensación ISR",C1497&lt;&gt;"Compensación IVA"),AND(C1497="Gasto",D1497&lt;&gt;"Costos clínicos",D1497&lt;&gt;"Remuneración familiar",D1497&lt;&gt;"Nómina y honorarios",D1497&lt;&gt;"Renta",D1497&lt;&gt;"Marketing",D1497&lt;&gt;"Servicios y software",D1497&lt;&gt;"Mantenimiento",D1497&lt;&gt;"Otros",D1497&lt;&gt;"Intereses")),"Tipo o categoría inválido",IF(COUNTA(A1497:J1497)=0,"",IF(OR(A1497="",B1497="",C1497="",H1497=""),"Faltan datos",IF(COUNTIF($A$7:$A$2006,A1497)&gt;1,"ID duplicado",IF(OR(B1497&lt;DATE(Configuración!$C$5,1,1),B1497&gt;=DATE(Configuración!$C$5+1,1,1)),"Fecha fuera del año",IF(OR(H1497&lt;0,I1497&lt;0),"Revisar signo",IF(AND(C1497&lt;&gt;"Gasto",I1497&lt;&gt;0),"IVA solo en Gasto",IF(AND(C1497="Gasto",D1497=""),"Falta categoría","OK")))))))))</f>
        <v/>
      </c>
    </row>
    <row r="1498" spans="1:12" ht="22" customHeight="1">
      <c r="A1498" s="3"/>
      <c r="B1498" s="7"/>
      <c r="C1498" s="3"/>
      <c r="D1498" s="3"/>
      <c r="E1498" s="3"/>
      <c r="F1498" s="3"/>
      <c r="G1498" s="3"/>
      <c r="H1498" s="4"/>
      <c r="I1498" s="4"/>
      <c r="J1498" s="3"/>
      <c r="K1498" s="8" t="str">
        <f t="shared" si="23"/>
        <v/>
      </c>
      <c r="L1498" s="1" t="str">
        <f>IF(COUNTA(A1498:J1498)=0,"",IF(OR(AND(C1498&lt;&gt;"Gasto",C1498&lt;&gt;"Pago proveedor",C1498&lt;&gt;"Retiro familiar",C1498&lt;&gt;"Aportación",C1498&lt;&gt;"Pago activo",C1498&lt;&gt;"ISR devengado",C1498&lt;&gt;"Pago ISR",C1498&lt;&gt;"Pago IVA",C1498&lt;&gt;"Compensación ISR",C1498&lt;&gt;"Compensación IVA"),AND(C1498="Gasto",D1498&lt;&gt;"Costos clínicos",D1498&lt;&gt;"Remuneración familiar",D1498&lt;&gt;"Nómina y honorarios",D1498&lt;&gt;"Renta",D1498&lt;&gt;"Marketing",D1498&lt;&gt;"Servicios y software",D1498&lt;&gt;"Mantenimiento",D1498&lt;&gt;"Otros",D1498&lt;&gt;"Intereses")),"Tipo o categoría inválido",IF(COUNTA(A1498:J1498)=0,"",IF(OR(A1498="",B1498="",C1498="",H1498=""),"Faltan datos",IF(COUNTIF($A$7:$A$2006,A1498)&gt;1,"ID duplicado",IF(OR(B1498&lt;DATE(Configuración!$C$5,1,1),B1498&gt;=DATE(Configuración!$C$5+1,1,1)),"Fecha fuera del año",IF(OR(H1498&lt;0,I1498&lt;0),"Revisar signo",IF(AND(C1498&lt;&gt;"Gasto",I1498&lt;&gt;0),"IVA solo en Gasto",IF(AND(C1498="Gasto",D1498=""),"Falta categoría","OK")))))))))</f>
        <v/>
      </c>
    </row>
    <row r="1499" spans="1:12" ht="22" customHeight="1">
      <c r="A1499" s="3"/>
      <c r="B1499" s="7"/>
      <c r="C1499" s="3"/>
      <c r="D1499" s="3"/>
      <c r="E1499" s="3"/>
      <c r="F1499" s="3"/>
      <c r="G1499" s="3"/>
      <c r="H1499" s="4"/>
      <c r="I1499" s="4"/>
      <c r="J1499" s="3"/>
      <c r="K1499" s="8" t="str">
        <f t="shared" si="23"/>
        <v/>
      </c>
      <c r="L1499" s="1" t="str">
        <f>IF(COUNTA(A1499:J1499)=0,"",IF(OR(AND(C1499&lt;&gt;"Gasto",C1499&lt;&gt;"Pago proveedor",C1499&lt;&gt;"Retiro familiar",C1499&lt;&gt;"Aportación",C1499&lt;&gt;"Pago activo",C1499&lt;&gt;"ISR devengado",C1499&lt;&gt;"Pago ISR",C1499&lt;&gt;"Pago IVA",C1499&lt;&gt;"Compensación ISR",C1499&lt;&gt;"Compensación IVA"),AND(C1499="Gasto",D1499&lt;&gt;"Costos clínicos",D1499&lt;&gt;"Remuneración familiar",D1499&lt;&gt;"Nómina y honorarios",D1499&lt;&gt;"Renta",D1499&lt;&gt;"Marketing",D1499&lt;&gt;"Servicios y software",D1499&lt;&gt;"Mantenimiento",D1499&lt;&gt;"Otros",D1499&lt;&gt;"Intereses")),"Tipo o categoría inválido",IF(COUNTA(A1499:J1499)=0,"",IF(OR(A1499="",B1499="",C1499="",H1499=""),"Faltan datos",IF(COUNTIF($A$7:$A$2006,A1499)&gt;1,"ID duplicado",IF(OR(B1499&lt;DATE(Configuración!$C$5,1,1),B1499&gt;=DATE(Configuración!$C$5+1,1,1)),"Fecha fuera del año",IF(OR(H1499&lt;0,I1499&lt;0),"Revisar signo",IF(AND(C1499&lt;&gt;"Gasto",I1499&lt;&gt;0),"IVA solo en Gasto",IF(AND(C1499="Gasto",D1499=""),"Falta categoría","OK")))))))))</f>
        <v/>
      </c>
    </row>
    <row r="1500" spans="1:12" ht="22" customHeight="1">
      <c r="A1500" s="3"/>
      <c r="B1500" s="7"/>
      <c r="C1500" s="3"/>
      <c r="D1500" s="3"/>
      <c r="E1500" s="3"/>
      <c r="F1500" s="3"/>
      <c r="G1500" s="3"/>
      <c r="H1500" s="4"/>
      <c r="I1500" s="4"/>
      <c r="J1500" s="3"/>
      <c r="K1500" s="8" t="str">
        <f t="shared" si="23"/>
        <v/>
      </c>
      <c r="L1500" s="1" t="str">
        <f>IF(COUNTA(A1500:J1500)=0,"",IF(OR(AND(C1500&lt;&gt;"Gasto",C1500&lt;&gt;"Pago proveedor",C1500&lt;&gt;"Retiro familiar",C1500&lt;&gt;"Aportación",C1500&lt;&gt;"Pago activo",C1500&lt;&gt;"ISR devengado",C1500&lt;&gt;"Pago ISR",C1500&lt;&gt;"Pago IVA",C1500&lt;&gt;"Compensación ISR",C1500&lt;&gt;"Compensación IVA"),AND(C1500="Gasto",D1500&lt;&gt;"Costos clínicos",D1500&lt;&gt;"Remuneración familiar",D1500&lt;&gt;"Nómina y honorarios",D1500&lt;&gt;"Renta",D1500&lt;&gt;"Marketing",D1500&lt;&gt;"Servicios y software",D1500&lt;&gt;"Mantenimiento",D1500&lt;&gt;"Otros",D1500&lt;&gt;"Intereses")),"Tipo o categoría inválido",IF(COUNTA(A1500:J1500)=0,"",IF(OR(A1500="",B1500="",C1500="",H1500=""),"Faltan datos",IF(COUNTIF($A$7:$A$2006,A1500)&gt;1,"ID duplicado",IF(OR(B1500&lt;DATE(Configuración!$C$5,1,1),B1500&gt;=DATE(Configuración!$C$5+1,1,1)),"Fecha fuera del año",IF(OR(H1500&lt;0,I1500&lt;0),"Revisar signo",IF(AND(C1500&lt;&gt;"Gasto",I1500&lt;&gt;0),"IVA solo en Gasto",IF(AND(C1500="Gasto",D1500=""),"Falta categoría","OK")))))))))</f>
        <v/>
      </c>
    </row>
    <row r="1501" spans="1:12" ht="22" customHeight="1">
      <c r="A1501" s="3"/>
      <c r="B1501" s="7"/>
      <c r="C1501" s="3"/>
      <c r="D1501" s="3"/>
      <c r="E1501" s="3"/>
      <c r="F1501" s="3"/>
      <c r="G1501" s="3"/>
      <c r="H1501" s="4"/>
      <c r="I1501" s="4"/>
      <c r="J1501" s="3"/>
      <c r="K1501" s="8" t="str">
        <f t="shared" si="23"/>
        <v/>
      </c>
      <c r="L1501" s="1" t="str">
        <f>IF(COUNTA(A1501:J1501)=0,"",IF(OR(AND(C1501&lt;&gt;"Gasto",C1501&lt;&gt;"Pago proveedor",C1501&lt;&gt;"Retiro familiar",C1501&lt;&gt;"Aportación",C1501&lt;&gt;"Pago activo",C1501&lt;&gt;"ISR devengado",C1501&lt;&gt;"Pago ISR",C1501&lt;&gt;"Pago IVA",C1501&lt;&gt;"Compensación ISR",C1501&lt;&gt;"Compensación IVA"),AND(C1501="Gasto",D1501&lt;&gt;"Costos clínicos",D1501&lt;&gt;"Remuneración familiar",D1501&lt;&gt;"Nómina y honorarios",D1501&lt;&gt;"Renta",D1501&lt;&gt;"Marketing",D1501&lt;&gt;"Servicios y software",D1501&lt;&gt;"Mantenimiento",D1501&lt;&gt;"Otros",D1501&lt;&gt;"Intereses")),"Tipo o categoría inválido",IF(COUNTA(A1501:J1501)=0,"",IF(OR(A1501="",B1501="",C1501="",H1501=""),"Faltan datos",IF(COUNTIF($A$7:$A$2006,A1501)&gt;1,"ID duplicado",IF(OR(B1501&lt;DATE(Configuración!$C$5,1,1),B1501&gt;=DATE(Configuración!$C$5+1,1,1)),"Fecha fuera del año",IF(OR(H1501&lt;0,I1501&lt;0),"Revisar signo",IF(AND(C1501&lt;&gt;"Gasto",I1501&lt;&gt;0),"IVA solo en Gasto",IF(AND(C1501="Gasto",D1501=""),"Falta categoría","OK")))))))))</f>
        <v/>
      </c>
    </row>
    <row r="1502" spans="1:12" ht="22" customHeight="1">
      <c r="A1502" s="3"/>
      <c r="B1502" s="7"/>
      <c r="C1502" s="3"/>
      <c r="D1502" s="3"/>
      <c r="E1502" s="3"/>
      <c r="F1502" s="3"/>
      <c r="G1502" s="3"/>
      <c r="H1502" s="4"/>
      <c r="I1502" s="4"/>
      <c r="J1502" s="3"/>
      <c r="K1502" s="8" t="str">
        <f t="shared" si="23"/>
        <v/>
      </c>
      <c r="L1502" s="1" t="str">
        <f>IF(COUNTA(A1502:J1502)=0,"",IF(OR(AND(C1502&lt;&gt;"Gasto",C1502&lt;&gt;"Pago proveedor",C1502&lt;&gt;"Retiro familiar",C1502&lt;&gt;"Aportación",C1502&lt;&gt;"Pago activo",C1502&lt;&gt;"ISR devengado",C1502&lt;&gt;"Pago ISR",C1502&lt;&gt;"Pago IVA",C1502&lt;&gt;"Compensación ISR",C1502&lt;&gt;"Compensación IVA"),AND(C1502="Gasto",D1502&lt;&gt;"Costos clínicos",D1502&lt;&gt;"Remuneración familiar",D1502&lt;&gt;"Nómina y honorarios",D1502&lt;&gt;"Renta",D1502&lt;&gt;"Marketing",D1502&lt;&gt;"Servicios y software",D1502&lt;&gt;"Mantenimiento",D1502&lt;&gt;"Otros",D1502&lt;&gt;"Intereses")),"Tipo o categoría inválido",IF(COUNTA(A1502:J1502)=0,"",IF(OR(A1502="",B1502="",C1502="",H1502=""),"Faltan datos",IF(COUNTIF($A$7:$A$2006,A1502)&gt;1,"ID duplicado",IF(OR(B1502&lt;DATE(Configuración!$C$5,1,1),B1502&gt;=DATE(Configuración!$C$5+1,1,1)),"Fecha fuera del año",IF(OR(H1502&lt;0,I1502&lt;0),"Revisar signo",IF(AND(C1502&lt;&gt;"Gasto",I1502&lt;&gt;0),"IVA solo en Gasto",IF(AND(C1502="Gasto",D1502=""),"Falta categoría","OK")))))))))</f>
        <v/>
      </c>
    </row>
    <row r="1503" spans="1:12" ht="22" customHeight="1">
      <c r="A1503" s="3"/>
      <c r="B1503" s="7"/>
      <c r="C1503" s="3"/>
      <c r="D1503" s="3"/>
      <c r="E1503" s="3"/>
      <c r="F1503" s="3"/>
      <c r="G1503" s="3"/>
      <c r="H1503" s="4"/>
      <c r="I1503" s="4"/>
      <c r="J1503" s="3"/>
      <c r="K1503" s="8" t="str">
        <f t="shared" si="23"/>
        <v/>
      </c>
      <c r="L1503" s="1" t="str">
        <f>IF(COUNTA(A1503:J1503)=0,"",IF(OR(AND(C1503&lt;&gt;"Gasto",C1503&lt;&gt;"Pago proveedor",C1503&lt;&gt;"Retiro familiar",C1503&lt;&gt;"Aportación",C1503&lt;&gt;"Pago activo",C1503&lt;&gt;"ISR devengado",C1503&lt;&gt;"Pago ISR",C1503&lt;&gt;"Pago IVA",C1503&lt;&gt;"Compensación ISR",C1503&lt;&gt;"Compensación IVA"),AND(C1503="Gasto",D1503&lt;&gt;"Costos clínicos",D1503&lt;&gt;"Remuneración familiar",D1503&lt;&gt;"Nómina y honorarios",D1503&lt;&gt;"Renta",D1503&lt;&gt;"Marketing",D1503&lt;&gt;"Servicios y software",D1503&lt;&gt;"Mantenimiento",D1503&lt;&gt;"Otros",D1503&lt;&gt;"Intereses")),"Tipo o categoría inválido",IF(COUNTA(A1503:J1503)=0,"",IF(OR(A1503="",B1503="",C1503="",H1503=""),"Faltan datos",IF(COUNTIF($A$7:$A$2006,A1503)&gt;1,"ID duplicado",IF(OR(B1503&lt;DATE(Configuración!$C$5,1,1),B1503&gt;=DATE(Configuración!$C$5+1,1,1)),"Fecha fuera del año",IF(OR(H1503&lt;0,I1503&lt;0),"Revisar signo",IF(AND(C1503&lt;&gt;"Gasto",I1503&lt;&gt;0),"IVA solo en Gasto",IF(AND(C1503="Gasto",D1503=""),"Falta categoría","OK")))))))))</f>
        <v/>
      </c>
    </row>
    <row r="1504" spans="1:12" ht="22" customHeight="1">
      <c r="A1504" s="3"/>
      <c r="B1504" s="7"/>
      <c r="C1504" s="3"/>
      <c r="D1504" s="3"/>
      <c r="E1504" s="3"/>
      <c r="F1504" s="3"/>
      <c r="G1504" s="3"/>
      <c r="H1504" s="4"/>
      <c r="I1504" s="4"/>
      <c r="J1504" s="3"/>
      <c r="K1504" s="8" t="str">
        <f t="shared" si="23"/>
        <v/>
      </c>
      <c r="L1504" s="1" t="str">
        <f>IF(COUNTA(A1504:J1504)=0,"",IF(OR(AND(C1504&lt;&gt;"Gasto",C1504&lt;&gt;"Pago proveedor",C1504&lt;&gt;"Retiro familiar",C1504&lt;&gt;"Aportación",C1504&lt;&gt;"Pago activo",C1504&lt;&gt;"ISR devengado",C1504&lt;&gt;"Pago ISR",C1504&lt;&gt;"Pago IVA",C1504&lt;&gt;"Compensación ISR",C1504&lt;&gt;"Compensación IVA"),AND(C1504="Gasto",D1504&lt;&gt;"Costos clínicos",D1504&lt;&gt;"Remuneración familiar",D1504&lt;&gt;"Nómina y honorarios",D1504&lt;&gt;"Renta",D1504&lt;&gt;"Marketing",D1504&lt;&gt;"Servicios y software",D1504&lt;&gt;"Mantenimiento",D1504&lt;&gt;"Otros",D1504&lt;&gt;"Intereses")),"Tipo o categoría inválido",IF(COUNTA(A1504:J1504)=0,"",IF(OR(A1504="",B1504="",C1504="",H1504=""),"Faltan datos",IF(COUNTIF($A$7:$A$2006,A1504)&gt;1,"ID duplicado",IF(OR(B1504&lt;DATE(Configuración!$C$5,1,1),B1504&gt;=DATE(Configuración!$C$5+1,1,1)),"Fecha fuera del año",IF(OR(H1504&lt;0,I1504&lt;0),"Revisar signo",IF(AND(C1504&lt;&gt;"Gasto",I1504&lt;&gt;0),"IVA solo en Gasto",IF(AND(C1504="Gasto",D1504=""),"Falta categoría","OK")))))))))</f>
        <v/>
      </c>
    </row>
    <row r="1505" spans="1:12" ht="22" customHeight="1">
      <c r="A1505" s="3"/>
      <c r="B1505" s="7"/>
      <c r="C1505" s="3"/>
      <c r="D1505" s="3"/>
      <c r="E1505" s="3"/>
      <c r="F1505" s="3"/>
      <c r="G1505" s="3"/>
      <c r="H1505" s="4"/>
      <c r="I1505" s="4"/>
      <c r="J1505" s="3"/>
      <c r="K1505" s="8" t="str">
        <f t="shared" si="23"/>
        <v/>
      </c>
      <c r="L1505" s="1" t="str">
        <f>IF(COUNTA(A1505:J1505)=0,"",IF(OR(AND(C1505&lt;&gt;"Gasto",C1505&lt;&gt;"Pago proveedor",C1505&lt;&gt;"Retiro familiar",C1505&lt;&gt;"Aportación",C1505&lt;&gt;"Pago activo",C1505&lt;&gt;"ISR devengado",C1505&lt;&gt;"Pago ISR",C1505&lt;&gt;"Pago IVA",C1505&lt;&gt;"Compensación ISR",C1505&lt;&gt;"Compensación IVA"),AND(C1505="Gasto",D1505&lt;&gt;"Costos clínicos",D1505&lt;&gt;"Remuneración familiar",D1505&lt;&gt;"Nómina y honorarios",D1505&lt;&gt;"Renta",D1505&lt;&gt;"Marketing",D1505&lt;&gt;"Servicios y software",D1505&lt;&gt;"Mantenimiento",D1505&lt;&gt;"Otros",D1505&lt;&gt;"Intereses")),"Tipo o categoría inválido",IF(COUNTA(A1505:J1505)=0,"",IF(OR(A1505="",B1505="",C1505="",H1505=""),"Faltan datos",IF(COUNTIF($A$7:$A$2006,A1505)&gt;1,"ID duplicado",IF(OR(B1505&lt;DATE(Configuración!$C$5,1,1),B1505&gt;=DATE(Configuración!$C$5+1,1,1)),"Fecha fuera del año",IF(OR(H1505&lt;0,I1505&lt;0),"Revisar signo",IF(AND(C1505&lt;&gt;"Gasto",I1505&lt;&gt;0),"IVA solo en Gasto",IF(AND(C1505="Gasto",D1505=""),"Falta categoría","OK")))))))))</f>
        <v/>
      </c>
    </row>
    <row r="1506" spans="1:12" ht="22" customHeight="1">
      <c r="A1506" s="3"/>
      <c r="B1506" s="7"/>
      <c r="C1506" s="3"/>
      <c r="D1506" s="3"/>
      <c r="E1506" s="3"/>
      <c r="F1506" s="3"/>
      <c r="G1506" s="3"/>
      <c r="H1506" s="4"/>
      <c r="I1506" s="4"/>
      <c r="J1506" s="3"/>
      <c r="K1506" s="8" t="str">
        <f t="shared" si="23"/>
        <v/>
      </c>
      <c r="L1506" s="1" t="str">
        <f>IF(COUNTA(A1506:J1506)=0,"",IF(OR(AND(C1506&lt;&gt;"Gasto",C1506&lt;&gt;"Pago proveedor",C1506&lt;&gt;"Retiro familiar",C1506&lt;&gt;"Aportación",C1506&lt;&gt;"Pago activo",C1506&lt;&gt;"ISR devengado",C1506&lt;&gt;"Pago ISR",C1506&lt;&gt;"Pago IVA",C1506&lt;&gt;"Compensación ISR",C1506&lt;&gt;"Compensación IVA"),AND(C1506="Gasto",D1506&lt;&gt;"Costos clínicos",D1506&lt;&gt;"Remuneración familiar",D1506&lt;&gt;"Nómina y honorarios",D1506&lt;&gt;"Renta",D1506&lt;&gt;"Marketing",D1506&lt;&gt;"Servicios y software",D1506&lt;&gt;"Mantenimiento",D1506&lt;&gt;"Otros",D1506&lt;&gt;"Intereses")),"Tipo o categoría inválido",IF(COUNTA(A1506:J1506)=0,"",IF(OR(A1506="",B1506="",C1506="",H1506=""),"Faltan datos",IF(COUNTIF($A$7:$A$2006,A1506)&gt;1,"ID duplicado",IF(OR(B1506&lt;DATE(Configuración!$C$5,1,1),B1506&gt;=DATE(Configuración!$C$5+1,1,1)),"Fecha fuera del año",IF(OR(H1506&lt;0,I1506&lt;0),"Revisar signo",IF(AND(C1506&lt;&gt;"Gasto",I1506&lt;&gt;0),"IVA solo en Gasto",IF(AND(C1506="Gasto",D1506=""),"Falta categoría","OK")))))))))</f>
        <v/>
      </c>
    </row>
    <row r="1507" spans="1:12" ht="22" customHeight="1">
      <c r="A1507" s="3"/>
      <c r="B1507" s="7"/>
      <c r="C1507" s="3"/>
      <c r="D1507" s="3"/>
      <c r="E1507" s="3"/>
      <c r="F1507" s="3"/>
      <c r="G1507" s="3"/>
      <c r="H1507" s="4"/>
      <c r="I1507" s="4"/>
      <c r="J1507" s="3"/>
      <c r="K1507" s="8" t="str">
        <f t="shared" si="23"/>
        <v/>
      </c>
      <c r="L1507" s="1" t="str">
        <f>IF(COUNTA(A1507:J1507)=0,"",IF(OR(AND(C1507&lt;&gt;"Gasto",C1507&lt;&gt;"Pago proveedor",C1507&lt;&gt;"Retiro familiar",C1507&lt;&gt;"Aportación",C1507&lt;&gt;"Pago activo",C1507&lt;&gt;"ISR devengado",C1507&lt;&gt;"Pago ISR",C1507&lt;&gt;"Pago IVA",C1507&lt;&gt;"Compensación ISR",C1507&lt;&gt;"Compensación IVA"),AND(C1507="Gasto",D1507&lt;&gt;"Costos clínicos",D1507&lt;&gt;"Remuneración familiar",D1507&lt;&gt;"Nómina y honorarios",D1507&lt;&gt;"Renta",D1507&lt;&gt;"Marketing",D1507&lt;&gt;"Servicios y software",D1507&lt;&gt;"Mantenimiento",D1507&lt;&gt;"Otros",D1507&lt;&gt;"Intereses")),"Tipo o categoría inválido",IF(COUNTA(A1507:J1507)=0,"",IF(OR(A1507="",B1507="",C1507="",H1507=""),"Faltan datos",IF(COUNTIF($A$7:$A$2006,A1507)&gt;1,"ID duplicado",IF(OR(B1507&lt;DATE(Configuración!$C$5,1,1),B1507&gt;=DATE(Configuración!$C$5+1,1,1)),"Fecha fuera del año",IF(OR(H1507&lt;0,I1507&lt;0),"Revisar signo",IF(AND(C1507&lt;&gt;"Gasto",I1507&lt;&gt;0),"IVA solo en Gasto",IF(AND(C1507="Gasto",D1507=""),"Falta categoría","OK")))))))))</f>
        <v/>
      </c>
    </row>
    <row r="1508" spans="1:12" ht="22" customHeight="1">
      <c r="A1508" s="3"/>
      <c r="B1508" s="7"/>
      <c r="C1508" s="3"/>
      <c r="D1508" s="3"/>
      <c r="E1508" s="3"/>
      <c r="F1508" s="3"/>
      <c r="G1508" s="3"/>
      <c r="H1508" s="4"/>
      <c r="I1508" s="4"/>
      <c r="J1508" s="3"/>
      <c r="K1508" s="8" t="str">
        <f t="shared" si="23"/>
        <v/>
      </c>
      <c r="L1508" s="1" t="str">
        <f>IF(COUNTA(A1508:J1508)=0,"",IF(OR(AND(C1508&lt;&gt;"Gasto",C1508&lt;&gt;"Pago proveedor",C1508&lt;&gt;"Retiro familiar",C1508&lt;&gt;"Aportación",C1508&lt;&gt;"Pago activo",C1508&lt;&gt;"ISR devengado",C1508&lt;&gt;"Pago ISR",C1508&lt;&gt;"Pago IVA",C1508&lt;&gt;"Compensación ISR",C1508&lt;&gt;"Compensación IVA"),AND(C1508="Gasto",D1508&lt;&gt;"Costos clínicos",D1508&lt;&gt;"Remuneración familiar",D1508&lt;&gt;"Nómina y honorarios",D1508&lt;&gt;"Renta",D1508&lt;&gt;"Marketing",D1508&lt;&gt;"Servicios y software",D1508&lt;&gt;"Mantenimiento",D1508&lt;&gt;"Otros",D1508&lt;&gt;"Intereses")),"Tipo o categoría inválido",IF(COUNTA(A1508:J1508)=0,"",IF(OR(A1508="",B1508="",C1508="",H1508=""),"Faltan datos",IF(COUNTIF($A$7:$A$2006,A1508)&gt;1,"ID duplicado",IF(OR(B1508&lt;DATE(Configuración!$C$5,1,1),B1508&gt;=DATE(Configuración!$C$5+1,1,1)),"Fecha fuera del año",IF(OR(H1508&lt;0,I1508&lt;0),"Revisar signo",IF(AND(C1508&lt;&gt;"Gasto",I1508&lt;&gt;0),"IVA solo en Gasto",IF(AND(C1508="Gasto",D1508=""),"Falta categoría","OK")))))))))</f>
        <v/>
      </c>
    </row>
    <row r="1509" spans="1:12" ht="22" customHeight="1">
      <c r="A1509" s="3"/>
      <c r="B1509" s="7"/>
      <c r="C1509" s="3"/>
      <c r="D1509" s="3"/>
      <c r="E1509" s="3"/>
      <c r="F1509" s="3"/>
      <c r="G1509" s="3"/>
      <c r="H1509" s="4"/>
      <c r="I1509" s="4"/>
      <c r="J1509" s="3"/>
      <c r="K1509" s="8" t="str">
        <f t="shared" si="23"/>
        <v/>
      </c>
      <c r="L1509" s="1" t="str">
        <f>IF(COUNTA(A1509:J1509)=0,"",IF(OR(AND(C1509&lt;&gt;"Gasto",C1509&lt;&gt;"Pago proveedor",C1509&lt;&gt;"Retiro familiar",C1509&lt;&gt;"Aportación",C1509&lt;&gt;"Pago activo",C1509&lt;&gt;"ISR devengado",C1509&lt;&gt;"Pago ISR",C1509&lt;&gt;"Pago IVA",C1509&lt;&gt;"Compensación ISR",C1509&lt;&gt;"Compensación IVA"),AND(C1509="Gasto",D1509&lt;&gt;"Costos clínicos",D1509&lt;&gt;"Remuneración familiar",D1509&lt;&gt;"Nómina y honorarios",D1509&lt;&gt;"Renta",D1509&lt;&gt;"Marketing",D1509&lt;&gt;"Servicios y software",D1509&lt;&gt;"Mantenimiento",D1509&lt;&gt;"Otros",D1509&lt;&gt;"Intereses")),"Tipo o categoría inválido",IF(COUNTA(A1509:J1509)=0,"",IF(OR(A1509="",B1509="",C1509="",H1509=""),"Faltan datos",IF(COUNTIF($A$7:$A$2006,A1509)&gt;1,"ID duplicado",IF(OR(B1509&lt;DATE(Configuración!$C$5,1,1),B1509&gt;=DATE(Configuración!$C$5+1,1,1)),"Fecha fuera del año",IF(OR(H1509&lt;0,I1509&lt;0),"Revisar signo",IF(AND(C1509&lt;&gt;"Gasto",I1509&lt;&gt;0),"IVA solo en Gasto",IF(AND(C1509="Gasto",D1509=""),"Falta categoría","OK")))))))))</f>
        <v/>
      </c>
    </row>
    <row r="1510" spans="1:12" ht="22" customHeight="1">
      <c r="A1510" s="3"/>
      <c r="B1510" s="7"/>
      <c r="C1510" s="3"/>
      <c r="D1510" s="3"/>
      <c r="E1510" s="3"/>
      <c r="F1510" s="3"/>
      <c r="G1510" s="3"/>
      <c r="H1510" s="4"/>
      <c r="I1510" s="4"/>
      <c r="J1510" s="3"/>
      <c r="K1510" s="8" t="str">
        <f t="shared" si="23"/>
        <v/>
      </c>
      <c r="L1510" s="1" t="str">
        <f>IF(COUNTA(A1510:J1510)=0,"",IF(OR(AND(C1510&lt;&gt;"Gasto",C1510&lt;&gt;"Pago proveedor",C1510&lt;&gt;"Retiro familiar",C1510&lt;&gt;"Aportación",C1510&lt;&gt;"Pago activo",C1510&lt;&gt;"ISR devengado",C1510&lt;&gt;"Pago ISR",C1510&lt;&gt;"Pago IVA",C1510&lt;&gt;"Compensación ISR",C1510&lt;&gt;"Compensación IVA"),AND(C1510="Gasto",D1510&lt;&gt;"Costos clínicos",D1510&lt;&gt;"Remuneración familiar",D1510&lt;&gt;"Nómina y honorarios",D1510&lt;&gt;"Renta",D1510&lt;&gt;"Marketing",D1510&lt;&gt;"Servicios y software",D1510&lt;&gt;"Mantenimiento",D1510&lt;&gt;"Otros",D1510&lt;&gt;"Intereses")),"Tipo o categoría inválido",IF(COUNTA(A1510:J1510)=0,"",IF(OR(A1510="",B1510="",C1510="",H1510=""),"Faltan datos",IF(COUNTIF($A$7:$A$2006,A1510)&gt;1,"ID duplicado",IF(OR(B1510&lt;DATE(Configuración!$C$5,1,1),B1510&gt;=DATE(Configuración!$C$5+1,1,1)),"Fecha fuera del año",IF(OR(H1510&lt;0,I1510&lt;0),"Revisar signo",IF(AND(C1510&lt;&gt;"Gasto",I1510&lt;&gt;0),"IVA solo en Gasto",IF(AND(C1510="Gasto",D1510=""),"Falta categoría","OK")))))))))</f>
        <v/>
      </c>
    </row>
    <row r="1511" spans="1:12" ht="22" customHeight="1">
      <c r="A1511" s="3"/>
      <c r="B1511" s="7"/>
      <c r="C1511" s="3"/>
      <c r="D1511" s="3"/>
      <c r="E1511" s="3"/>
      <c r="F1511" s="3"/>
      <c r="G1511" s="3"/>
      <c r="H1511" s="4"/>
      <c r="I1511" s="4"/>
      <c r="J1511" s="3"/>
      <c r="K1511" s="8" t="str">
        <f t="shared" si="23"/>
        <v/>
      </c>
      <c r="L1511" s="1" t="str">
        <f>IF(COUNTA(A1511:J1511)=0,"",IF(OR(AND(C1511&lt;&gt;"Gasto",C1511&lt;&gt;"Pago proveedor",C1511&lt;&gt;"Retiro familiar",C1511&lt;&gt;"Aportación",C1511&lt;&gt;"Pago activo",C1511&lt;&gt;"ISR devengado",C1511&lt;&gt;"Pago ISR",C1511&lt;&gt;"Pago IVA",C1511&lt;&gt;"Compensación ISR",C1511&lt;&gt;"Compensación IVA"),AND(C1511="Gasto",D1511&lt;&gt;"Costos clínicos",D1511&lt;&gt;"Remuneración familiar",D1511&lt;&gt;"Nómina y honorarios",D1511&lt;&gt;"Renta",D1511&lt;&gt;"Marketing",D1511&lt;&gt;"Servicios y software",D1511&lt;&gt;"Mantenimiento",D1511&lt;&gt;"Otros",D1511&lt;&gt;"Intereses")),"Tipo o categoría inválido",IF(COUNTA(A1511:J1511)=0,"",IF(OR(A1511="",B1511="",C1511="",H1511=""),"Faltan datos",IF(COUNTIF($A$7:$A$2006,A1511)&gt;1,"ID duplicado",IF(OR(B1511&lt;DATE(Configuración!$C$5,1,1),B1511&gt;=DATE(Configuración!$C$5+1,1,1)),"Fecha fuera del año",IF(OR(H1511&lt;0,I1511&lt;0),"Revisar signo",IF(AND(C1511&lt;&gt;"Gasto",I1511&lt;&gt;0),"IVA solo en Gasto",IF(AND(C1511="Gasto",D1511=""),"Falta categoría","OK")))))))))</f>
        <v/>
      </c>
    </row>
    <row r="1512" spans="1:12" ht="22" customHeight="1">
      <c r="A1512" s="3"/>
      <c r="B1512" s="7"/>
      <c r="C1512" s="3"/>
      <c r="D1512" s="3"/>
      <c r="E1512" s="3"/>
      <c r="F1512" s="3"/>
      <c r="G1512" s="3"/>
      <c r="H1512" s="4"/>
      <c r="I1512" s="4"/>
      <c r="J1512" s="3"/>
      <c r="K1512" s="8" t="str">
        <f t="shared" si="23"/>
        <v/>
      </c>
      <c r="L1512" s="1" t="str">
        <f>IF(COUNTA(A1512:J1512)=0,"",IF(OR(AND(C1512&lt;&gt;"Gasto",C1512&lt;&gt;"Pago proveedor",C1512&lt;&gt;"Retiro familiar",C1512&lt;&gt;"Aportación",C1512&lt;&gt;"Pago activo",C1512&lt;&gt;"ISR devengado",C1512&lt;&gt;"Pago ISR",C1512&lt;&gt;"Pago IVA",C1512&lt;&gt;"Compensación ISR",C1512&lt;&gt;"Compensación IVA"),AND(C1512="Gasto",D1512&lt;&gt;"Costos clínicos",D1512&lt;&gt;"Remuneración familiar",D1512&lt;&gt;"Nómina y honorarios",D1512&lt;&gt;"Renta",D1512&lt;&gt;"Marketing",D1512&lt;&gt;"Servicios y software",D1512&lt;&gt;"Mantenimiento",D1512&lt;&gt;"Otros",D1512&lt;&gt;"Intereses")),"Tipo o categoría inválido",IF(COUNTA(A1512:J1512)=0,"",IF(OR(A1512="",B1512="",C1512="",H1512=""),"Faltan datos",IF(COUNTIF($A$7:$A$2006,A1512)&gt;1,"ID duplicado",IF(OR(B1512&lt;DATE(Configuración!$C$5,1,1),B1512&gt;=DATE(Configuración!$C$5+1,1,1)),"Fecha fuera del año",IF(OR(H1512&lt;0,I1512&lt;0),"Revisar signo",IF(AND(C1512&lt;&gt;"Gasto",I1512&lt;&gt;0),"IVA solo en Gasto",IF(AND(C1512="Gasto",D1512=""),"Falta categoría","OK")))))))))</f>
        <v/>
      </c>
    </row>
    <row r="1513" spans="1:12" ht="22" customHeight="1">
      <c r="A1513" s="3"/>
      <c r="B1513" s="7"/>
      <c r="C1513" s="3"/>
      <c r="D1513" s="3"/>
      <c r="E1513" s="3"/>
      <c r="F1513" s="3"/>
      <c r="G1513" s="3"/>
      <c r="H1513" s="4"/>
      <c r="I1513" s="4"/>
      <c r="J1513" s="3"/>
      <c r="K1513" s="8" t="str">
        <f t="shared" si="23"/>
        <v/>
      </c>
      <c r="L1513" s="1" t="str">
        <f>IF(COUNTA(A1513:J1513)=0,"",IF(OR(AND(C1513&lt;&gt;"Gasto",C1513&lt;&gt;"Pago proveedor",C1513&lt;&gt;"Retiro familiar",C1513&lt;&gt;"Aportación",C1513&lt;&gt;"Pago activo",C1513&lt;&gt;"ISR devengado",C1513&lt;&gt;"Pago ISR",C1513&lt;&gt;"Pago IVA",C1513&lt;&gt;"Compensación ISR",C1513&lt;&gt;"Compensación IVA"),AND(C1513="Gasto",D1513&lt;&gt;"Costos clínicos",D1513&lt;&gt;"Remuneración familiar",D1513&lt;&gt;"Nómina y honorarios",D1513&lt;&gt;"Renta",D1513&lt;&gt;"Marketing",D1513&lt;&gt;"Servicios y software",D1513&lt;&gt;"Mantenimiento",D1513&lt;&gt;"Otros",D1513&lt;&gt;"Intereses")),"Tipo o categoría inválido",IF(COUNTA(A1513:J1513)=0,"",IF(OR(A1513="",B1513="",C1513="",H1513=""),"Faltan datos",IF(COUNTIF($A$7:$A$2006,A1513)&gt;1,"ID duplicado",IF(OR(B1513&lt;DATE(Configuración!$C$5,1,1),B1513&gt;=DATE(Configuración!$C$5+1,1,1)),"Fecha fuera del año",IF(OR(H1513&lt;0,I1513&lt;0),"Revisar signo",IF(AND(C1513&lt;&gt;"Gasto",I1513&lt;&gt;0),"IVA solo en Gasto",IF(AND(C1513="Gasto",D1513=""),"Falta categoría","OK")))))))))</f>
        <v/>
      </c>
    </row>
    <row r="1514" spans="1:12" ht="22" customHeight="1">
      <c r="A1514" s="3"/>
      <c r="B1514" s="7"/>
      <c r="C1514" s="3"/>
      <c r="D1514" s="3"/>
      <c r="E1514" s="3"/>
      <c r="F1514" s="3"/>
      <c r="G1514" s="3"/>
      <c r="H1514" s="4"/>
      <c r="I1514" s="4"/>
      <c r="J1514" s="3"/>
      <c r="K1514" s="8" t="str">
        <f t="shared" si="23"/>
        <v/>
      </c>
      <c r="L1514" s="1" t="str">
        <f>IF(COUNTA(A1514:J1514)=0,"",IF(OR(AND(C1514&lt;&gt;"Gasto",C1514&lt;&gt;"Pago proveedor",C1514&lt;&gt;"Retiro familiar",C1514&lt;&gt;"Aportación",C1514&lt;&gt;"Pago activo",C1514&lt;&gt;"ISR devengado",C1514&lt;&gt;"Pago ISR",C1514&lt;&gt;"Pago IVA",C1514&lt;&gt;"Compensación ISR",C1514&lt;&gt;"Compensación IVA"),AND(C1514="Gasto",D1514&lt;&gt;"Costos clínicos",D1514&lt;&gt;"Remuneración familiar",D1514&lt;&gt;"Nómina y honorarios",D1514&lt;&gt;"Renta",D1514&lt;&gt;"Marketing",D1514&lt;&gt;"Servicios y software",D1514&lt;&gt;"Mantenimiento",D1514&lt;&gt;"Otros",D1514&lt;&gt;"Intereses")),"Tipo o categoría inválido",IF(COUNTA(A1514:J1514)=0,"",IF(OR(A1514="",B1514="",C1514="",H1514=""),"Faltan datos",IF(COUNTIF($A$7:$A$2006,A1514)&gt;1,"ID duplicado",IF(OR(B1514&lt;DATE(Configuración!$C$5,1,1),B1514&gt;=DATE(Configuración!$C$5+1,1,1)),"Fecha fuera del año",IF(OR(H1514&lt;0,I1514&lt;0),"Revisar signo",IF(AND(C1514&lt;&gt;"Gasto",I1514&lt;&gt;0),"IVA solo en Gasto",IF(AND(C1514="Gasto",D1514=""),"Falta categoría","OK")))))))))</f>
        <v/>
      </c>
    </row>
    <row r="1515" spans="1:12" ht="22" customHeight="1">
      <c r="A1515" s="3"/>
      <c r="B1515" s="7"/>
      <c r="C1515" s="3"/>
      <c r="D1515" s="3"/>
      <c r="E1515" s="3"/>
      <c r="F1515" s="3"/>
      <c r="G1515" s="3"/>
      <c r="H1515" s="4"/>
      <c r="I1515" s="4"/>
      <c r="J1515" s="3"/>
      <c r="K1515" s="8" t="str">
        <f t="shared" si="23"/>
        <v/>
      </c>
      <c r="L1515" s="1" t="str">
        <f>IF(COUNTA(A1515:J1515)=0,"",IF(OR(AND(C1515&lt;&gt;"Gasto",C1515&lt;&gt;"Pago proveedor",C1515&lt;&gt;"Retiro familiar",C1515&lt;&gt;"Aportación",C1515&lt;&gt;"Pago activo",C1515&lt;&gt;"ISR devengado",C1515&lt;&gt;"Pago ISR",C1515&lt;&gt;"Pago IVA",C1515&lt;&gt;"Compensación ISR",C1515&lt;&gt;"Compensación IVA"),AND(C1515="Gasto",D1515&lt;&gt;"Costos clínicos",D1515&lt;&gt;"Remuneración familiar",D1515&lt;&gt;"Nómina y honorarios",D1515&lt;&gt;"Renta",D1515&lt;&gt;"Marketing",D1515&lt;&gt;"Servicios y software",D1515&lt;&gt;"Mantenimiento",D1515&lt;&gt;"Otros",D1515&lt;&gt;"Intereses")),"Tipo o categoría inválido",IF(COUNTA(A1515:J1515)=0,"",IF(OR(A1515="",B1515="",C1515="",H1515=""),"Faltan datos",IF(COUNTIF($A$7:$A$2006,A1515)&gt;1,"ID duplicado",IF(OR(B1515&lt;DATE(Configuración!$C$5,1,1),B1515&gt;=DATE(Configuración!$C$5+1,1,1)),"Fecha fuera del año",IF(OR(H1515&lt;0,I1515&lt;0),"Revisar signo",IF(AND(C1515&lt;&gt;"Gasto",I1515&lt;&gt;0),"IVA solo en Gasto",IF(AND(C1515="Gasto",D1515=""),"Falta categoría","OK")))))))))</f>
        <v/>
      </c>
    </row>
    <row r="1516" spans="1:12" ht="22" customHeight="1">
      <c r="A1516" s="3"/>
      <c r="B1516" s="7"/>
      <c r="C1516" s="3"/>
      <c r="D1516" s="3"/>
      <c r="E1516" s="3"/>
      <c r="F1516" s="3"/>
      <c r="G1516" s="3"/>
      <c r="H1516" s="4"/>
      <c r="I1516" s="4"/>
      <c r="J1516" s="3"/>
      <c r="K1516" s="8" t="str">
        <f t="shared" si="23"/>
        <v/>
      </c>
      <c r="L1516" s="1" t="str">
        <f>IF(COUNTA(A1516:J1516)=0,"",IF(OR(AND(C1516&lt;&gt;"Gasto",C1516&lt;&gt;"Pago proveedor",C1516&lt;&gt;"Retiro familiar",C1516&lt;&gt;"Aportación",C1516&lt;&gt;"Pago activo",C1516&lt;&gt;"ISR devengado",C1516&lt;&gt;"Pago ISR",C1516&lt;&gt;"Pago IVA",C1516&lt;&gt;"Compensación ISR",C1516&lt;&gt;"Compensación IVA"),AND(C1516="Gasto",D1516&lt;&gt;"Costos clínicos",D1516&lt;&gt;"Remuneración familiar",D1516&lt;&gt;"Nómina y honorarios",D1516&lt;&gt;"Renta",D1516&lt;&gt;"Marketing",D1516&lt;&gt;"Servicios y software",D1516&lt;&gt;"Mantenimiento",D1516&lt;&gt;"Otros",D1516&lt;&gt;"Intereses")),"Tipo o categoría inválido",IF(COUNTA(A1516:J1516)=0,"",IF(OR(A1516="",B1516="",C1516="",H1516=""),"Faltan datos",IF(COUNTIF($A$7:$A$2006,A1516)&gt;1,"ID duplicado",IF(OR(B1516&lt;DATE(Configuración!$C$5,1,1),B1516&gt;=DATE(Configuración!$C$5+1,1,1)),"Fecha fuera del año",IF(OR(H1516&lt;0,I1516&lt;0),"Revisar signo",IF(AND(C1516&lt;&gt;"Gasto",I1516&lt;&gt;0),"IVA solo en Gasto",IF(AND(C1516="Gasto",D1516=""),"Falta categoría","OK")))))))))</f>
        <v/>
      </c>
    </row>
    <row r="1517" spans="1:12" ht="22" customHeight="1">
      <c r="A1517" s="3"/>
      <c r="B1517" s="7"/>
      <c r="C1517" s="3"/>
      <c r="D1517" s="3"/>
      <c r="E1517" s="3"/>
      <c r="F1517" s="3"/>
      <c r="G1517" s="3"/>
      <c r="H1517" s="4"/>
      <c r="I1517" s="4"/>
      <c r="J1517" s="3"/>
      <c r="K1517" s="8" t="str">
        <f t="shared" si="23"/>
        <v/>
      </c>
      <c r="L1517" s="1" t="str">
        <f>IF(COUNTA(A1517:J1517)=0,"",IF(OR(AND(C1517&lt;&gt;"Gasto",C1517&lt;&gt;"Pago proveedor",C1517&lt;&gt;"Retiro familiar",C1517&lt;&gt;"Aportación",C1517&lt;&gt;"Pago activo",C1517&lt;&gt;"ISR devengado",C1517&lt;&gt;"Pago ISR",C1517&lt;&gt;"Pago IVA",C1517&lt;&gt;"Compensación ISR",C1517&lt;&gt;"Compensación IVA"),AND(C1517="Gasto",D1517&lt;&gt;"Costos clínicos",D1517&lt;&gt;"Remuneración familiar",D1517&lt;&gt;"Nómina y honorarios",D1517&lt;&gt;"Renta",D1517&lt;&gt;"Marketing",D1517&lt;&gt;"Servicios y software",D1517&lt;&gt;"Mantenimiento",D1517&lt;&gt;"Otros",D1517&lt;&gt;"Intereses")),"Tipo o categoría inválido",IF(COUNTA(A1517:J1517)=0,"",IF(OR(A1517="",B1517="",C1517="",H1517=""),"Faltan datos",IF(COUNTIF($A$7:$A$2006,A1517)&gt;1,"ID duplicado",IF(OR(B1517&lt;DATE(Configuración!$C$5,1,1),B1517&gt;=DATE(Configuración!$C$5+1,1,1)),"Fecha fuera del año",IF(OR(H1517&lt;0,I1517&lt;0),"Revisar signo",IF(AND(C1517&lt;&gt;"Gasto",I1517&lt;&gt;0),"IVA solo en Gasto",IF(AND(C1517="Gasto",D1517=""),"Falta categoría","OK")))))))))</f>
        <v/>
      </c>
    </row>
    <row r="1518" spans="1:12" ht="22" customHeight="1">
      <c r="A1518" s="3"/>
      <c r="B1518" s="7"/>
      <c r="C1518" s="3"/>
      <c r="D1518" s="3"/>
      <c r="E1518" s="3"/>
      <c r="F1518" s="3"/>
      <c r="G1518" s="3"/>
      <c r="H1518" s="4"/>
      <c r="I1518" s="4"/>
      <c r="J1518" s="3"/>
      <c r="K1518" s="8" t="str">
        <f t="shared" si="23"/>
        <v/>
      </c>
      <c r="L1518" s="1" t="str">
        <f>IF(COUNTA(A1518:J1518)=0,"",IF(OR(AND(C1518&lt;&gt;"Gasto",C1518&lt;&gt;"Pago proveedor",C1518&lt;&gt;"Retiro familiar",C1518&lt;&gt;"Aportación",C1518&lt;&gt;"Pago activo",C1518&lt;&gt;"ISR devengado",C1518&lt;&gt;"Pago ISR",C1518&lt;&gt;"Pago IVA",C1518&lt;&gt;"Compensación ISR",C1518&lt;&gt;"Compensación IVA"),AND(C1518="Gasto",D1518&lt;&gt;"Costos clínicos",D1518&lt;&gt;"Remuneración familiar",D1518&lt;&gt;"Nómina y honorarios",D1518&lt;&gt;"Renta",D1518&lt;&gt;"Marketing",D1518&lt;&gt;"Servicios y software",D1518&lt;&gt;"Mantenimiento",D1518&lt;&gt;"Otros",D1518&lt;&gt;"Intereses")),"Tipo o categoría inválido",IF(COUNTA(A1518:J1518)=0,"",IF(OR(A1518="",B1518="",C1518="",H1518=""),"Faltan datos",IF(COUNTIF($A$7:$A$2006,A1518)&gt;1,"ID duplicado",IF(OR(B1518&lt;DATE(Configuración!$C$5,1,1),B1518&gt;=DATE(Configuración!$C$5+1,1,1)),"Fecha fuera del año",IF(OR(H1518&lt;0,I1518&lt;0),"Revisar signo",IF(AND(C1518&lt;&gt;"Gasto",I1518&lt;&gt;0),"IVA solo en Gasto",IF(AND(C1518="Gasto",D1518=""),"Falta categoría","OK")))))))))</f>
        <v/>
      </c>
    </row>
    <row r="1519" spans="1:12" ht="22" customHeight="1">
      <c r="A1519" s="3"/>
      <c r="B1519" s="7"/>
      <c r="C1519" s="3"/>
      <c r="D1519" s="3"/>
      <c r="E1519" s="3"/>
      <c r="F1519" s="3"/>
      <c r="G1519" s="3"/>
      <c r="H1519" s="4"/>
      <c r="I1519" s="4"/>
      <c r="J1519" s="3"/>
      <c r="K1519" s="8" t="str">
        <f t="shared" si="23"/>
        <v/>
      </c>
      <c r="L1519" s="1" t="str">
        <f>IF(COUNTA(A1519:J1519)=0,"",IF(OR(AND(C1519&lt;&gt;"Gasto",C1519&lt;&gt;"Pago proveedor",C1519&lt;&gt;"Retiro familiar",C1519&lt;&gt;"Aportación",C1519&lt;&gt;"Pago activo",C1519&lt;&gt;"ISR devengado",C1519&lt;&gt;"Pago ISR",C1519&lt;&gt;"Pago IVA",C1519&lt;&gt;"Compensación ISR",C1519&lt;&gt;"Compensación IVA"),AND(C1519="Gasto",D1519&lt;&gt;"Costos clínicos",D1519&lt;&gt;"Remuneración familiar",D1519&lt;&gt;"Nómina y honorarios",D1519&lt;&gt;"Renta",D1519&lt;&gt;"Marketing",D1519&lt;&gt;"Servicios y software",D1519&lt;&gt;"Mantenimiento",D1519&lt;&gt;"Otros",D1519&lt;&gt;"Intereses")),"Tipo o categoría inválido",IF(COUNTA(A1519:J1519)=0,"",IF(OR(A1519="",B1519="",C1519="",H1519=""),"Faltan datos",IF(COUNTIF($A$7:$A$2006,A1519)&gt;1,"ID duplicado",IF(OR(B1519&lt;DATE(Configuración!$C$5,1,1),B1519&gt;=DATE(Configuración!$C$5+1,1,1)),"Fecha fuera del año",IF(OR(H1519&lt;0,I1519&lt;0),"Revisar signo",IF(AND(C1519&lt;&gt;"Gasto",I1519&lt;&gt;0),"IVA solo en Gasto",IF(AND(C1519="Gasto",D1519=""),"Falta categoría","OK")))))))))</f>
        <v/>
      </c>
    </row>
    <row r="1520" spans="1:12" ht="22" customHeight="1">
      <c r="A1520" s="3"/>
      <c r="B1520" s="7"/>
      <c r="C1520" s="3"/>
      <c r="D1520" s="3"/>
      <c r="E1520" s="3"/>
      <c r="F1520" s="3"/>
      <c r="G1520" s="3"/>
      <c r="H1520" s="4"/>
      <c r="I1520" s="4"/>
      <c r="J1520" s="3"/>
      <c r="K1520" s="8" t="str">
        <f t="shared" si="23"/>
        <v/>
      </c>
      <c r="L1520" s="1" t="str">
        <f>IF(COUNTA(A1520:J1520)=0,"",IF(OR(AND(C1520&lt;&gt;"Gasto",C1520&lt;&gt;"Pago proveedor",C1520&lt;&gt;"Retiro familiar",C1520&lt;&gt;"Aportación",C1520&lt;&gt;"Pago activo",C1520&lt;&gt;"ISR devengado",C1520&lt;&gt;"Pago ISR",C1520&lt;&gt;"Pago IVA",C1520&lt;&gt;"Compensación ISR",C1520&lt;&gt;"Compensación IVA"),AND(C1520="Gasto",D1520&lt;&gt;"Costos clínicos",D1520&lt;&gt;"Remuneración familiar",D1520&lt;&gt;"Nómina y honorarios",D1520&lt;&gt;"Renta",D1520&lt;&gt;"Marketing",D1520&lt;&gt;"Servicios y software",D1520&lt;&gt;"Mantenimiento",D1520&lt;&gt;"Otros",D1520&lt;&gt;"Intereses")),"Tipo o categoría inválido",IF(COUNTA(A1520:J1520)=0,"",IF(OR(A1520="",B1520="",C1520="",H1520=""),"Faltan datos",IF(COUNTIF($A$7:$A$2006,A1520)&gt;1,"ID duplicado",IF(OR(B1520&lt;DATE(Configuración!$C$5,1,1),B1520&gt;=DATE(Configuración!$C$5+1,1,1)),"Fecha fuera del año",IF(OR(H1520&lt;0,I1520&lt;0),"Revisar signo",IF(AND(C1520&lt;&gt;"Gasto",I1520&lt;&gt;0),"IVA solo en Gasto",IF(AND(C1520="Gasto",D1520=""),"Falta categoría","OK")))))))))</f>
        <v/>
      </c>
    </row>
    <row r="1521" spans="1:12" ht="22" customHeight="1">
      <c r="A1521" s="3"/>
      <c r="B1521" s="7"/>
      <c r="C1521" s="3"/>
      <c r="D1521" s="3"/>
      <c r="E1521" s="3"/>
      <c r="F1521" s="3"/>
      <c r="G1521" s="3"/>
      <c r="H1521" s="4"/>
      <c r="I1521" s="4"/>
      <c r="J1521" s="3"/>
      <c r="K1521" s="8" t="str">
        <f t="shared" si="23"/>
        <v/>
      </c>
      <c r="L1521" s="1" t="str">
        <f>IF(COUNTA(A1521:J1521)=0,"",IF(OR(AND(C1521&lt;&gt;"Gasto",C1521&lt;&gt;"Pago proveedor",C1521&lt;&gt;"Retiro familiar",C1521&lt;&gt;"Aportación",C1521&lt;&gt;"Pago activo",C1521&lt;&gt;"ISR devengado",C1521&lt;&gt;"Pago ISR",C1521&lt;&gt;"Pago IVA",C1521&lt;&gt;"Compensación ISR",C1521&lt;&gt;"Compensación IVA"),AND(C1521="Gasto",D1521&lt;&gt;"Costos clínicos",D1521&lt;&gt;"Remuneración familiar",D1521&lt;&gt;"Nómina y honorarios",D1521&lt;&gt;"Renta",D1521&lt;&gt;"Marketing",D1521&lt;&gt;"Servicios y software",D1521&lt;&gt;"Mantenimiento",D1521&lt;&gt;"Otros",D1521&lt;&gt;"Intereses")),"Tipo o categoría inválido",IF(COUNTA(A1521:J1521)=0,"",IF(OR(A1521="",B1521="",C1521="",H1521=""),"Faltan datos",IF(COUNTIF($A$7:$A$2006,A1521)&gt;1,"ID duplicado",IF(OR(B1521&lt;DATE(Configuración!$C$5,1,1),B1521&gt;=DATE(Configuración!$C$5+1,1,1)),"Fecha fuera del año",IF(OR(H1521&lt;0,I1521&lt;0),"Revisar signo",IF(AND(C1521&lt;&gt;"Gasto",I1521&lt;&gt;0),"IVA solo en Gasto",IF(AND(C1521="Gasto",D1521=""),"Falta categoría","OK")))))))))</f>
        <v/>
      </c>
    </row>
    <row r="1522" spans="1:12" ht="22" customHeight="1">
      <c r="A1522" s="3"/>
      <c r="B1522" s="7"/>
      <c r="C1522" s="3"/>
      <c r="D1522" s="3"/>
      <c r="E1522" s="3"/>
      <c r="F1522" s="3"/>
      <c r="G1522" s="3"/>
      <c r="H1522" s="4"/>
      <c r="I1522" s="4"/>
      <c r="J1522" s="3"/>
      <c r="K1522" s="8" t="str">
        <f t="shared" si="23"/>
        <v/>
      </c>
      <c r="L1522" s="1" t="str">
        <f>IF(COUNTA(A1522:J1522)=0,"",IF(OR(AND(C1522&lt;&gt;"Gasto",C1522&lt;&gt;"Pago proveedor",C1522&lt;&gt;"Retiro familiar",C1522&lt;&gt;"Aportación",C1522&lt;&gt;"Pago activo",C1522&lt;&gt;"ISR devengado",C1522&lt;&gt;"Pago ISR",C1522&lt;&gt;"Pago IVA",C1522&lt;&gt;"Compensación ISR",C1522&lt;&gt;"Compensación IVA"),AND(C1522="Gasto",D1522&lt;&gt;"Costos clínicos",D1522&lt;&gt;"Remuneración familiar",D1522&lt;&gt;"Nómina y honorarios",D1522&lt;&gt;"Renta",D1522&lt;&gt;"Marketing",D1522&lt;&gt;"Servicios y software",D1522&lt;&gt;"Mantenimiento",D1522&lt;&gt;"Otros",D1522&lt;&gt;"Intereses")),"Tipo o categoría inválido",IF(COUNTA(A1522:J1522)=0,"",IF(OR(A1522="",B1522="",C1522="",H1522=""),"Faltan datos",IF(COUNTIF($A$7:$A$2006,A1522)&gt;1,"ID duplicado",IF(OR(B1522&lt;DATE(Configuración!$C$5,1,1),B1522&gt;=DATE(Configuración!$C$5+1,1,1)),"Fecha fuera del año",IF(OR(H1522&lt;0,I1522&lt;0),"Revisar signo",IF(AND(C1522&lt;&gt;"Gasto",I1522&lt;&gt;0),"IVA solo en Gasto",IF(AND(C1522="Gasto",D1522=""),"Falta categoría","OK")))))))))</f>
        <v/>
      </c>
    </row>
    <row r="1523" spans="1:12" ht="22" customHeight="1">
      <c r="A1523" s="3"/>
      <c r="B1523" s="7"/>
      <c r="C1523" s="3"/>
      <c r="D1523" s="3"/>
      <c r="E1523" s="3"/>
      <c r="F1523" s="3"/>
      <c r="G1523" s="3"/>
      <c r="H1523" s="4"/>
      <c r="I1523" s="4"/>
      <c r="J1523" s="3"/>
      <c r="K1523" s="8" t="str">
        <f t="shared" si="23"/>
        <v/>
      </c>
      <c r="L1523" s="1" t="str">
        <f>IF(COUNTA(A1523:J1523)=0,"",IF(OR(AND(C1523&lt;&gt;"Gasto",C1523&lt;&gt;"Pago proveedor",C1523&lt;&gt;"Retiro familiar",C1523&lt;&gt;"Aportación",C1523&lt;&gt;"Pago activo",C1523&lt;&gt;"ISR devengado",C1523&lt;&gt;"Pago ISR",C1523&lt;&gt;"Pago IVA",C1523&lt;&gt;"Compensación ISR",C1523&lt;&gt;"Compensación IVA"),AND(C1523="Gasto",D1523&lt;&gt;"Costos clínicos",D1523&lt;&gt;"Remuneración familiar",D1523&lt;&gt;"Nómina y honorarios",D1523&lt;&gt;"Renta",D1523&lt;&gt;"Marketing",D1523&lt;&gt;"Servicios y software",D1523&lt;&gt;"Mantenimiento",D1523&lt;&gt;"Otros",D1523&lt;&gt;"Intereses")),"Tipo o categoría inválido",IF(COUNTA(A1523:J1523)=0,"",IF(OR(A1523="",B1523="",C1523="",H1523=""),"Faltan datos",IF(COUNTIF($A$7:$A$2006,A1523)&gt;1,"ID duplicado",IF(OR(B1523&lt;DATE(Configuración!$C$5,1,1),B1523&gt;=DATE(Configuración!$C$5+1,1,1)),"Fecha fuera del año",IF(OR(H1523&lt;0,I1523&lt;0),"Revisar signo",IF(AND(C1523&lt;&gt;"Gasto",I1523&lt;&gt;0),"IVA solo en Gasto",IF(AND(C1523="Gasto",D1523=""),"Falta categoría","OK")))))))))</f>
        <v/>
      </c>
    </row>
    <row r="1524" spans="1:12" ht="22" customHeight="1">
      <c r="A1524" s="3"/>
      <c r="B1524" s="7"/>
      <c r="C1524" s="3"/>
      <c r="D1524" s="3"/>
      <c r="E1524" s="3"/>
      <c r="F1524" s="3"/>
      <c r="G1524" s="3"/>
      <c r="H1524" s="4"/>
      <c r="I1524" s="4"/>
      <c r="J1524" s="3"/>
      <c r="K1524" s="8" t="str">
        <f t="shared" si="23"/>
        <v/>
      </c>
      <c r="L1524" s="1" t="str">
        <f>IF(COUNTA(A1524:J1524)=0,"",IF(OR(AND(C1524&lt;&gt;"Gasto",C1524&lt;&gt;"Pago proveedor",C1524&lt;&gt;"Retiro familiar",C1524&lt;&gt;"Aportación",C1524&lt;&gt;"Pago activo",C1524&lt;&gt;"ISR devengado",C1524&lt;&gt;"Pago ISR",C1524&lt;&gt;"Pago IVA",C1524&lt;&gt;"Compensación ISR",C1524&lt;&gt;"Compensación IVA"),AND(C1524="Gasto",D1524&lt;&gt;"Costos clínicos",D1524&lt;&gt;"Remuneración familiar",D1524&lt;&gt;"Nómina y honorarios",D1524&lt;&gt;"Renta",D1524&lt;&gt;"Marketing",D1524&lt;&gt;"Servicios y software",D1524&lt;&gt;"Mantenimiento",D1524&lt;&gt;"Otros",D1524&lt;&gt;"Intereses")),"Tipo o categoría inválido",IF(COUNTA(A1524:J1524)=0,"",IF(OR(A1524="",B1524="",C1524="",H1524=""),"Faltan datos",IF(COUNTIF($A$7:$A$2006,A1524)&gt;1,"ID duplicado",IF(OR(B1524&lt;DATE(Configuración!$C$5,1,1),B1524&gt;=DATE(Configuración!$C$5+1,1,1)),"Fecha fuera del año",IF(OR(H1524&lt;0,I1524&lt;0),"Revisar signo",IF(AND(C1524&lt;&gt;"Gasto",I1524&lt;&gt;0),"IVA solo en Gasto",IF(AND(C1524="Gasto",D1524=""),"Falta categoría","OK")))))))))</f>
        <v/>
      </c>
    </row>
    <row r="1525" spans="1:12" ht="22" customHeight="1">
      <c r="A1525" s="3"/>
      <c r="B1525" s="7"/>
      <c r="C1525" s="3"/>
      <c r="D1525" s="3"/>
      <c r="E1525" s="3"/>
      <c r="F1525" s="3"/>
      <c r="G1525" s="3"/>
      <c r="H1525" s="4"/>
      <c r="I1525" s="4"/>
      <c r="J1525" s="3"/>
      <c r="K1525" s="8" t="str">
        <f t="shared" si="23"/>
        <v/>
      </c>
      <c r="L1525" s="1" t="str">
        <f>IF(COUNTA(A1525:J1525)=0,"",IF(OR(AND(C1525&lt;&gt;"Gasto",C1525&lt;&gt;"Pago proveedor",C1525&lt;&gt;"Retiro familiar",C1525&lt;&gt;"Aportación",C1525&lt;&gt;"Pago activo",C1525&lt;&gt;"ISR devengado",C1525&lt;&gt;"Pago ISR",C1525&lt;&gt;"Pago IVA",C1525&lt;&gt;"Compensación ISR",C1525&lt;&gt;"Compensación IVA"),AND(C1525="Gasto",D1525&lt;&gt;"Costos clínicos",D1525&lt;&gt;"Remuneración familiar",D1525&lt;&gt;"Nómina y honorarios",D1525&lt;&gt;"Renta",D1525&lt;&gt;"Marketing",D1525&lt;&gt;"Servicios y software",D1525&lt;&gt;"Mantenimiento",D1525&lt;&gt;"Otros",D1525&lt;&gt;"Intereses")),"Tipo o categoría inválido",IF(COUNTA(A1525:J1525)=0,"",IF(OR(A1525="",B1525="",C1525="",H1525=""),"Faltan datos",IF(COUNTIF($A$7:$A$2006,A1525)&gt;1,"ID duplicado",IF(OR(B1525&lt;DATE(Configuración!$C$5,1,1),B1525&gt;=DATE(Configuración!$C$5+1,1,1)),"Fecha fuera del año",IF(OR(H1525&lt;0,I1525&lt;0),"Revisar signo",IF(AND(C1525&lt;&gt;"Gasto",I1525&lt;&gt;0),"IVA solo en Gasto",IF(AND(C1525="Gasto",D1525=""),"Falta categoría","OK")))))))))</f>
        <v/>
      </c>
    </row>
    <row r="1526" spans="1:12" ht="22" customHeight="1">
      <c r="A1526" s="3"/>
      <c r="B1526" s="7"/>
      <c r="C1526" s="3"/>
      <c r="D1526" s="3"/>
      <c r="E1526" s="3"/>
      <c r="F1526" s="3"/>
      <c r="G1526" s="3"/>
      <c r="H1526" s="4"/>
      <c r="I1526" s="4"/>
      <c r="J1526" s="3"/>
      <c r="K1526" s="8" t="str">
        <f t="shared" si="23"/>
        <v/>
      </c>
      <c r="L1526" s="1" t="str">
        <f>IF(COUNTA(A1526:J1526)=0,"",IF(OR(AND(C1526&lt;&gt;"Gasto",C1526&lt;&gt;"Pago proveedor",C1526&lt;&gt;"Retiro familiar",C1526&lt;&gt;"Aportación",C1526&lt;&gt;"Pago activo",C1526&lt;&gt;"ISR devengado",C1526&lt;&gt;"Pago ISR",C1526&lt;&gt;"Pago IVA",C1526&lt;&gt;"Compensación ISR",C1526&lt;&gt;"Compensación IVA"),AND(C1526="Gasto",D1526&lt;&gt;"Costos clínicos",D1526&lt;&gt;"Remuneración familiar",D1526&lt;&gt;"Nómina y honorarios",D1526&lt;&gt;"Renta",D1526&lt;&gt;"Marketing",D1526&lt;&gt;"Servicios y software",D1526&lt;&gt;"Mantenimiento",D1526&lt;&gt;"Otros",D1526&lt;&gt;"Intereses")),"Tipo o categoría inválido",IF(COUNTA(A1526:J1526)=0,"",IF(OR(A1526="",B1526="",C1526="",H1526=""),"Faltan datos",IF(COUNTIF($A$7:$A$2006,A1526)&gt;1,"ID duplicado",IF(OR(B1526&lt;DATE(Configuración!$C$5,1,1),B1526&gt;=DATE(Configuración!$C$5+1,1,1)),"Fecha fuera del año",IF(OR(H1526&lt;0,I1526&lt;0),"Revisar signo",IF(AND(C1526&lt;&gt;"Gasto",I1526&lt;&gt;0),"IVA solo en Gasto",IF(AND(C1526="Gasto",D1526=""),"Falta categoría","OK")))))))))</f>
        <v/>
      </c>
    </row>
    <row r="1527" spans="1:12" ht="22" customHeight="1">
      <c r="A1527" s="3"/>
      <c r="B1527" s="7"/>
      <c r="C1527" s="3"/>
      <c r="D1527" s="3"/>
      <c r="E1527" s="3"/>
      <c r="F1527" s="3"/>
      <c r="G1527" s="3"/>
      <c r="H1527" s="4"/>
      <c r="I1527" s="4"/>
      <c r="J1527" s="3"/>
      <c r="K1527" s="8" t="str">
        <f t="shared" si="23"/>
        <v/>
      </c>
      <c r="L1527" s="1" t="str">
        <f>IF(COUNTA(A1527:J1527)=0,"",IF(OR(AND(C1527&lt;&gt;"Gasto",C1527&lt;&gt;"Pago proveedor",C1527&lt;&gt;"Retiro familiar",C1527&lt;&gt;"Aportación",C1527&lt;&gt;"Pago activo",C1527&lt;&gt;"ISR devengado",C1527&lt;&gt;"Pago ISR",C1527&lt;&gt;"Pago IVA",C1527&lt;&gt;"Compensación ISR",C1527&lt;&gt;"Compensación IVA"),AND(C1527="Gasto",D1527&lt;&gt;"Costos clínicos",D1527&lt;&gt;"Remuneración familiar",D1527&lt;&gt;"Nómina y honorarios",D1527&lt;&gt;"Renta",D1527&lt;&gt;"Marketing",D1527&lt;&gt;"Servicios y software",D1527&lt;&gt;"Mantenimiento",D1527&lt;&gt;"Otros",D1527&lt;&gt;"Intereses")),"Tipo o categoría inválido",IF(COUNTA(A1527:J1527)=0,"",IF(OR(A1527="",B1527="",C1527="",H1527=""),"Faltan datos",IF(COUNTIF($A$7:$A$2006,A1527)&gt;1,"ID duplicado",IF(OR(B1527&lt;DATE(Configuración!$C$5,1,1),B1527&gt;=DATE(Configuración!$C$5+1,1,1)),"Fecha fuera del año",IF(OR(H1527&lt;0,I1527&lt;0),"Revisar signo",IF(AND(C1527&lt;&gt;"Gasto",I1527&lt;&gt;0),"IVA solo en Gasto",IF(AND(C1527="Gasto",D1527=""),"Falta categoría","OK")))))))))</f>
        <v/>
      </c>
    </row>
    <row r="1528" spans="1:12" ht="22" customHeight="1">
      <c r="A1528" s="3"/>
      <c r="B1528" s="7"/>
      <c r="C1528" s="3"/>
      <c r="D1528" s="3"/>
      <c r="E1528" s="3"/>
      <c r="F1528" s="3"/>
      <c r="G1528" s="3"/>
      <c r="H1528" s="4"/>
      <c r="I1528" s="4"/>
      <c r="J1528" s="3"/>
      <c r="K1528" s="8" t="str">
        <f t="shared" si="23"/>
        <v/>
      </c>
      <c r="L1528" s="1" t="str">
        <f>IF(COUNTA(A1528:J1528)=0,"",IF(OR(AND(C1528&lt;&gt;"Gasto",C1528&lt;&gt;"Pago proveedor",C1528&lt;&gt;"Retiro familiar",C1528&lt;&gt;"Aportación",C1528&lt;&gt;"Pago activo",C1528&lt;&gt;"ISR devengado",C1528&lt;&gt;"Pago ISR",C1528&lt;&gt;"Pago IVA",C1528&lt;&gt;"Compensación ISR",C1528&lt;&gt;"Compensación IVA"),AND(C1528="Gasto",D1528&lt;&gt;"Costos clínicos",D1528&lt;&gt;"Remuneración familiar",D1528&lt;&gt;"Nómina y honorarios",D1528&lt;&gt;"Renta",D1528&lt;&gt;"Marketing",D1528&lt;&gt;"Servicios y software",D1528&lt;&gt;"Mantenimiento",D1528&lt;&gt;"Otros",D1528&lt;&gt;"Intereses")),"Tipo o categoría inválido",IF(COUNTA(A1528:J1528)=0,"",IF(OR(A1528="",B1528="",C1528="",H1528=""),"Faltan datos",IF(COUNTIF($A$7:$A$2006,A1528)&gt;1,"ID duplicado",IF(OR(B1528&lt;DATE(Configuración!$C$5,1,1),B1528&gt;=DATE(Configuración!$C$5+1,1,1)),"Fecha fuera del año",IF(OR(H1528&lt;0,I1528&lt;0),"Revisar signo",IF(AND(C1528&lt;&gt;"Gasto",I1528&lt;&gt;0),"IVA solo en Gasto",IF(AND(C1528="Gasto",D1528=""),"Falta categoría","OK")))))))))</f>
        <v/>
      </c>
    </row>
    <row r="1529" spans="1:12" ht="22" customHeight="1">
      <c r="A1529" s="3"/>
      <c r="B1529" s="7"/>
      <c r="C1529" s="3"/>
      <c r="D1529" s="3"/>
      <c r="E1529" s="3"/>
      <c r="F1529" s="3"/>
      <c r="G1529" s="3"/>
      <c r="H1529" s="4"/>
      <c r="I1529" s="4"/>
      <c r="J1529" s="3"/>
      <c r="K1529" s="8" t="str">
        <f t="shared" si="23"/>
        <v/>
      </c>
      <c r="L1529" s="1" t="str">
        <f>IF(COUNTA(A1529:J1529)=0,"",IF(OR(AND(C1529&lt;&gt;"Gasto",C1529&lt;&gt;"Pago proveedor",C1529&lt;&gt;"Retiro familiar",C1529&lt;&gt;"Aportación",C1529&lt;&gt;"Pago activo",C1529&lt;&gt;"ISR devengado",C1529&lt;&gt;"Pago ISR",C1529&lt;&gt;"Pago IVA",C1529&lt;&gt;"Compensación ISR",C1529&lt;&gt;"Compensación IVA"),AND(C1529="Gasto",D1529&lt;&gt;"Costos clínicos",D1529&lt;&gt;"Remuneración familiar",D1529&lt;&gt;"Nómina y honorarios",D1529&lt;&gt;"Renta",D1529&lt;&gt;"Marketing",D1529&lt;&gt;"Servicios y software",D1529&lt;&gt;"Mantenimiento",D1529&lt;&gt;"Otros",D1529&lt;&gt;"Intereses")),"Tipo o categoría inválido",IF(COUNTA(A1529:J1529)=0,"",IF(OR(A1529="",B1529="",C1529="",H1529=""),"Faltan datos",IF(COUNTIF($A$7:$A$2006,A1529)&gt;1,"ID duplicado",IF(OR(B1529&lt;DATE(Configuración!$C$5,1,1),B1529&gt;=DATE(Configuración!$C$5+1,1,1)),"Fecha fuera del año",IF(OR(H1529&lt;0,I1529&lt;0),"Revisar signo",IF(AND(C1529&lt;&gt;"Gasto",I1529&lt;&gt;0),"IVA solo en Gasto",IF(AND(C1529="Gasto",D1529=""),"Falta categoría","OK")))))))))</f>
        <v/>
      </c>
    </row>
    <row r="1530" spans="1:12" ht="22" customHeight="1">
      <c r="A1530" s="3"/>
      <c r="B1530" s="7"/>
      <c r="C1530" s="3"/>
      <c r="D1530" s="3"/>
      <c r="E1530" s="3"/>
      <c r="F1530" s="3"/>
      <c r="G1530" s="3"/>
      <c r="H1530" s="4"/>
      <c r="I1530" s="4"/>
      <c r="J1530" s="3"/>
      <c r="K1530" s="8" t="str">
        <f t="shared" si="23"/>
        <v/>
      </c>
      <c r="L1530" s="1" t="str">
        <f>IF(COUNTA(A1530:J1530)=0,"",IF(OR(AND(C1530&lt;&gt;"Gasto",C1530&lt;&gt;"Pago proveedor",C1530&lt;&gt;"Retiro familiar",C1530&lt;&gt;"Aportación",C1530&lt;&gt;"Pago activo",C1530&lt;&gt;"ISR devengado",C1530&lt;&gt;"Pago ISR",C1530&lt;&gt;"Pago IVA",C1530&lt;&gt;"Compensación ISR",C1530&lt;&gt;"Compensación IVA"),AND(C1530="Gasto",D1530&lt;&gt;"Costos clínicos",D1530&lt;&gt;"Remuneración familiar",D1530&lt;&gt;"Nómina y honorarios",D1530&lt;&gt;"Renta",D1530&lt;&gt;"Marketing",D1530&lt;&gt;"Servicios y software",D1530&lt;&gt;"Mantenimiento",D1530&lt;&gt;"Otros",D1530&lt;&gt;"Intereses")),"Tipo o categoría inválido",IF(COUNTA(A1530:J1530)=0,"",IF(OR(A1530="",B1530="",C1530="",H1530=""),"Faltan datos",IF(COUNTIF($A$7:$A$2006,A1530)&gt;1,"ID duplicado",IF(OR(B1530&lt;DATE(Configuración!$C$5,1,1),B1530&gt;=DATE(Configuración!$C$5+1,1,1)),"Fecha fuera del año",IF(OR(H1530&lt;0,I1530&lt;0),"Revisar signo",IF(AND(C1530&lt;&gt;"Gasto",I1530&lt;&gt;0),"IVA solo en Gasto",IF(AND(C1530="Gasto",D1530=""),"Falta categoría","OK")))))))))</f>
        <v/>
      </c>
    </row>
    <row r="1531" spans="1:12" ht="22" customHeight="1">
      <c r="A1531" s="3"/>
      <c r="B1531" s="7"/>
      <c r="C1531" s="3"/>
      <c r="D1531" s="3"/>
      <c r="E1531" s="3"/>
      <c r="F1531" s="3"/>
      <c r="G1531" s="3"/>
      <c r="H1531" s="4"/>
      <c r="I1531" s="4"/>
      <c r="J1531" s="3"/>
      <c r="K1531" s="8" t="str">
        <f t="shared" si="23"/>
        <v/>
      </c>
      <c r="L1531" s="1" t="str">
        <f>IF(COUNTA(A1531:J1531)=0,"",IF(OR(AND(C1531&lt;&gt;"Gasto",C1531&lt;&gt;"Pago proveedor",C1531&lt;&gt;"Retiro familiar",C1531&lt;&gt;"Aportación",C1531&lt;&gt;"Pago activo",C1531&lt;&gt;"ISR devengado",C1531&lt;&gt;"Pago ISR",C1531&lt;&gt;"Pago IVA",C1531&lt;&gt;"Compensación ISR",C1531&lt;&gt;"Compensación IVA"),AND(C1531="Gasto",D1531&lt;&gt;"Costos clínicos",D1531&lt;&gt;"Remuneración familiar",D1531&lt;&gt;"Nómina y honorarios",D1531&lt;&gt;"Renta",D1531&lt;&gt;"Marketing",D1531&lt;&gt;"Servicios y software",D1531&lt;&gt;"Mantenimiento",D1531&lt;&gt;"Otros",D1531&lt;&gt;"Intereses")),"Tipo o categoría inválido",IF(COUNTA(A1531:J1531)=0,"",IF(OR(A1531="",B1531="",C1531="",H1531=""),"Faltan datos",IF(COUNTIF($A$7:$A$2006,A1531)&gt;1,"ID duplicado",IF(OR(B1531&lt;DATE(Configuración!$C$5,1,1),B1531&gt;=DATE(Configuración!$C$5+1,1,1)),"Fecha fuera del año",IF(OR(H1531&lt;0,I1531&lt;0),"Revisar signo",IF(AND(C1531&lt;&gt;"Gasto",I1531&lt;&gt;0),"IVA solo en Gasto",IF(AND(C1531="Gasto",D1531=""),"Falta categoría","OK")))))))))</f>
        <v/>
      </c>
    </row>
    <row r="1532" spans="1:12" ht="22" customHeight="1">
      <c r="A1532" s="3"/>
      <c r="B1532" s="7"/>
      <c r="C1532" s="3"/>
      <c r="D1532" s="3"/>
      <c r="E1532" s="3"/>
      <c r="F1532" s="3"/>
      <c r="G1532" s="3"/>
      <c r="H1532" s="4"/>
      <c r="I1532" s="4"/>
      <c r="J1532" s="3"/>
      <c r="K1532" s="8" t="str">
        <f t="shared" si="23"/>
        <v/>
      </c>
      <c r="L1532" s="1" t="str">
        <f>IF(COUNTA(A1532:J1532)=0,"",IF(OR(AND(C1532&lt;&gt;"Gasto",C1532&lt;&gt;"Pago proveedor",C1532&lt;&gt;"Retiro familiar",C1532&lt;&gt;"Aportación",C1532&lt;&gt;"Pago activo",C1532&lt;&gt;"ISR devengado",C1532&lt;&gt;"Pago ISR",C1532&lt;&gt;"Pago IVA",C1532&lt;&gt;"Compensación ISR",C1532&lt;&gt;"Compensación IVA"),AND(C1532="Gasto",D1532&lt;&gt;"Costos clínicos",D1532&lt;&gt;"Remuneración familiar",D1532&lt;&gt;"Nómina y honorarios",D1532&lt;&gt;"Renta",D1532&lt;&gt;"Marketing",D1532&lt;&gt;"Servicios y software",D1532&lt;&gt;"Mantenimiento",D1532&lt;&gt;"Otros",D1532&lt;&gt;"Intereses")),"Tipo o categoría inválido",IF(COUNTA(A1532:J1532)=0,"",IF(OR(A1532="",B1532="",C1532="",H1532=""),"Faltan datos",IF(COUNTIF($A$7:$A$2006,A1532)&gt;1,"ID duplicado",IF(OR(B1532&lt;DATE(Configuración!$C$5,1,1),B1532&gt;=DATE(Configuración!$C$5+1,1,1)),"Fecha fuera del año",IF(OR(H1532&lt;0,I1532&lt;0),"Revisar signo",IF(AND(C1532&lt;&gt;"Gasto",I1532&lt;&gt;0),"IVA solo en Gasto",IF(AND(C1532="Gasto",D1532=""),"Falta categoría","OK")))))))))</f>
        <v/>
      </c>
    </row>
    <row r="1533" spans="1:12" ht="22" customHeight="1">
      <c r="A1533" s="3"/>
      <c r="B1533" s="7"/>
      <c r="C1533" s="3"/>
      <c r="D1533" s="3"/>
      <c r="E1533" s="3"/>
      <c r="F1533" s="3"/>
      <c r="G1533" s="3"/>
      <c r="H1533" s="4"/>
      <c r="I1533" s="4"/>
      <c r="J1533" s="3"/>
      <c r="K1533" s="8" t="str">
        <f t="shared" si="23"/>
        <v/>
      </c>
      <c r="L1533" s="1" t="str">
        <f>IF(COUNTA(A1533:J1533)=0,"",IF(OR(AND(C1533&lt;&gt;"Gasto",C1533&lt;&gt;"Pago proveedor",C1533&lt;&gt;"Retiro familiar",C1533&lt;&gt;"Aportación",C1533&lt;&gt;"Pago activo",C1533&lt;&gt;"ISR devengado",C1533&lt;&gt;"Pago ISR",C1533&lt;&gt;"Pago IVA",C1533&lt;&gt;"Compensación ISR",C1533&lt;&gt;"Compensación IVA"),AND(C1533="Gasto",D1533&lt;&gt;"Costos clínicos",D1533&lt;&gt;"Remuneración familiar",D1533&lt;&gt;"Nómina y honorarios",D1533&lt;&gt;"Renta",D1533&lt;&gt;"Marketing",D1533&lt;&gt;"Servicios y software",D1533&lt;&gt;"Mantenimiento",D1533&lt;&gt;"Otros",D1533&lt;&gt;"Intereses")),"Tipo o categoría inválido",IF(COUNTA(A1533:J1533)=0,"",IF(OR(A1533="",B1533="",C1533="",H1533=""),"Faltan datos",IF(COUNTIF($A$7:$A$2006,A1533)&gt;1,"ID duplicado",IF(OR(B1533&lt;DATE(Configuración!$C$5,1,1),B1533&gt;=DATE(Configuración!$C$5+1,1,1)),"Fecha fuera del año",IF(OR(H1533&lt;0,I1533&lt;0),"Revisar signo",IF(AND(C1533&lt;&gt;"Gasto",I1533&lt;&gt;0),"IVA solo en Gasto",IF(AND(C1533="Gasto",D1533=""),"Falta categoría","OK")))))))))</f>
        <v/>
      </c>
    </row>
    <row r="1534" spans="1:12" ht="22" customHeight="1">
      <c r="A1534" s="3"/>
      <c r="B1534" s="7"/>
      <c r="C1534" s="3"/>
      <c r="D1534" s="3"/>
      <c r="E1534" s="3"/>
      <c r="F1534" s="3"/>
      <c r="G1534" s="3"/>
      <c r="H1534" s="4"/>
      <c r="I1534" s="4"/>
      <c r="J1534" s="3"/>
      <c r="K1534" s="8" t="str">
        <f t="shared" si="23"/>
        <v/>
      </c>
      <c r="L1534" s="1" t="str">
        <f>IF(COUNTA(A1534:J1534)=0,"",IF(OR(AND(C1534&lt;&gt;"Gasto",C1534&lt;&gt;"Pago proveedor",C1534&lt;&gt;"Retiro familiar",C1534&lt;&gt;"Aportación",C1534&lt;&gt;"Pago activo",C1534&lt;&gt;"ISR devengado",C1534&lt;&gt;"Pago ISR",C1534&lt;&gt;"Pago IVA",C1534&lt;&gt;"Compensación ISR",C1534&lt;&gt;"Compensación IVA"),AND(C1534="Gasto",D1534&lt;&gt;"Costos clínicos",D1534&lt;&gt;"Remuneración familiar",D1534&lt;&gt;"Nómina y honorarios",D1534&lt;&gt;"Renta",D1534&lt;&gt;"Marketing",D1534&lt;&gt;"Servicios y software",D1534&lt;&gt;"Mantenimiento",D1534&lt;&gt;"Otros",D1534&lt;&gt;"Intereses")),"Tipo o categoría inválido",IF(COUNTA(A1534:J1534)=0,"",IF(OR(A1534="",B1534="",C1534="",H1534=""),"Faltan datos",IF(COUNTIF($A$7:$A$2006,A1534)&gt;1,"ID duplicado",IF(OR(B1534&lt;DATE(Configuración!$C$5,1,1),B1534&gt;=DATE(Configuración!$C$5+1,1,1)),"Fecha fuera del año",IF(OR(H1534&lt;0,I1534&lt;0),"Revisar signo",IF(AND(C1534&lt;&gt;"Gasto",I1534&lt;&gt;0),"IVA solo en Gasto",IF(AND(C1534="Gasto",D1534=""),"Falta categoría","OK")))))))))</f>
        <v/>
      </c>
    </row>
    <row r="1535" spans="1:12" ht="22" customHeight="1">
      <c r="A1535" s="3"/>
      <c r="B1535" s="7"/>
      <c r="C1535" s="3"/>
      <c r="D1535" s="3"/>
      <c r="E1535" s="3"/>
      <c r="F1535" s="3"/>
      <c r="G1535" s="3"/>
      <c r="H1535" s="4"/>
      <c r="I1535" s="4"/>
      <c r="J1535" s="3"/>
      <c r="K1535" s="8" t="str">
        <f t="shared" si="23"/>
        <v/>
      </c>
      <c r="L1535" s="1" t="str">
        <f>IF(COUNTA(A1535:J1535)=0,"",IF(OR(AND(C1535&lt;&gt;"Gasto",C1535&lt;&gt;"Pago proveedor",C1535&lt;&gt;"Retiro familiar",C1535&lt;&gt;"Aportación",C1535&lt;&gt;"Pago activo",C1535&lt;&gt;"ISR devengado",C1535&lt;&gt;"Pago ISR",C1535&lt;&gt;"Pago IVA",C1535&lt;&gt;"Compensación ISR",C1535&lt;&gt;"Compensación IVA"),AND(C1535="Gasto",D1535&lt;&gt;"Costos clínicos",D1535&lt;&gt;"Remuneración familiar",D1535&lt;&gt;"Nómina y honorarios",D1535&lt;&gt;"Renta",D1535&lt;&gt;"Marketing",D1535&lt;&gt;"Servicios y software",D1535&lt;&gt;"Mantenimiento",D1535&lt;&gt;"Otros",D1535&lt;&gt;"Intereses")),"Tipo o categoría inválido",IF(COUNTA(A1535:J1535)=0,"",IF(OR(A1535="",B1535="",C1535="",H1535=""),"Faltan datos",IF(COUNTIF($A$7:$A$2006,A1535)&gt;1,"ID duplicado",IF(OR(B1535&lt;DATE(Configuración!$C$5,1,1),B1535&gt;=DATE(Configuración!$C$5+1,1,1)),"Fecha fuera del año",IF(OR(H1535&lt;0,I1535&lt;0),"Revisar signo",IF(AND(C1535&lt;&gt;"Gasto",I1535&lt;&gt;0),"IVA solo en Gasto",IF(AND(C1535="Gasto",D1535=""),"Falta categoría","OK")))))))))</f>
        <v/>
      </c>
    </row>
    <row r="1536" spans="1:12" ht="22" customHeight="1">
      <c r="A1536" s="3"/>
      <c r="B1536" s="7"/>
      <c r="C1536" s="3"/>
      <c r="D1536" s="3"/>
      <c r="E1536" s="3"/>
      <c r="F1536" s="3"/>
      <c r="G1536" s="3"/>
      <c r="H1536" s="4"/>
      <c r="I1536" s="4"/>
      <c r="J1536" s="3"/>
      <c r="K1536" s="8" t="str">
        <f t="shared" si="23"/>
        <v/>
      </c>
      <c r="L1536" s="1" t="str">
        <f>IF(COUNTA(A1536:J1536)=0,"",IF(OR(AND(C1536&lt;&gt;"Gasto",C1536&lt;&gt;"Pago proveedor",C1536&lt;&gt;"Retiro familiar",C1536&lt;&gt;"Aportación",C1536&lt;&gt;"Pago activo",C1536&lt;&gt;"ISR devengado",C1536&lt;&gt;"Pago ISR",C1536&lt;&gt;"Pago IVA",C1536&lt;&gt;"Compensación ISR",C1536&lt;&gt;"Compensación IVA"),AND(C1536="Gasto",D1536&lt;&gt;"Costos clínicos",D1536&lt;&gt;"Remuneración familiar",D1536&lt;&gt;"Nómina y honorarios",D1536&lt;&gt;"Renta",D1536&lt;&gt;"Marketing",D1536&lt;&gt;"Servicios y software",D1536&lt;&gt;"Mantenimiento",D1536&lt;&gt;"Otros",D1536&lt;&gt;"Intereses")),"Tipo o categoría inválido",IF(COUNTA(A1536:J1536)=0,"",IF(OR(A1536="",B1536="",C1536="",H1536=""),"Faltan datos",IF(COUNTIF($A$7:$A$2006,A1536)&gt;1,"ID duplicado",IF(OR(B1536&lt;DATE(Configuración!$C$5,1,1),B1536&gt;=DATE(Configuración!$C$5+1,1,1)),"Fecha fuera del año",IF(OR(H1536&lt;0,I1536&lt;0),"Revisar signo",IF(AND(C1536&lt;&gt;"Gasto",I1536&lt;&gt;0),"IVA solo en Gasto",IF(AND(C1536="Gasto",D1536=""),"Falta categoría","OK")))))))))</f>
        <v/>
      </c>
    </row>
    <row r="1537" spans="1:12" ht="22" customHeight="1">
      <c r="A1537" s="3"/>
      <c r="B1537" s="7"/>
      <c r="C1537" s="3"/>
      <c r="D1537" s="3"/>
      <c r="E1537" s="3"/>
      <c r="F1537" s="3"/>
      <c r="G1537" s="3"/>
      <c r="H1537" s="4"/>
      <c r="I1537" s="4"/>
      <c r="J1537" s="3"/>
      <c r="K1537" s="8" t="str">
        <f t="shared" si="23"/>
        <v/>
      </c>
      <c r="L1537" s="1" t="str">
        <f>IF(COUNTA(A1537:J1537)=0,"",IF(OR(AND(C1537&lt;&gt;"Gasto",C1537&lt;&gt;"Pago proveedor",C1537&lt;&gt;"Retiro familiar",C1537&lt;&gt;"Aportación",C1537&lt;&gt;"Pago activo",C1537&lt;&gt;"ISR devengado",C1537&lt;&gt;"Pago ISR",C1537&lt;&gt;"Pago IVA",C1537&lt;&gt;"Compensación ISR",C1537&lt;&gt;"Compensación IVA"),AND(C1537="Gasto",D1537&lt;&gt;"Costos clínicos",D1537&lt;&gt;"Remuneración familiar",D1537&lt;&gt;"Nómina y honorarios",D1537&lt;&gt;"Renta",D1537&lt;&gt;"Marketing",D1537&lt;&gt;"Servicios y software",D1537&lt;&gt;"Mantenimiento",D1537&lt;&gt;"Otros",D1537&lt;&gt;"Intereses")),"Tipo o categoría inválido",IF(COUNTA(A1537:J1537)=0,"",IF(OR(A1537="",B1537="",C1537="",H1537=""),"Faltan datos",IF(COUNTIF($A$7:$A$2006,A1537)&gt;1,"ID duplicado",IF(OR(B1537&lt;DATE(Configuración!$C$5,1,1),B1537&gt;=DATE(Configuración!$C$5+1,1,1)),"Fecha fuera del año",IF(OR(H1537&lt;0,I1537&lt;0),"Revisar signo",IF(AND(C1537&lt;&gt;"Gasto",I1537&lt;&gt;0),"IVA solo en Gasto",IF(AND(C1537="Gasto",D1537=""),"Falta categoría","OK")))))))))</f>
        <v/>
      </c>
    </row>
    <row r="1538" spans="1:12" ht="22" customHeight="1">
      <c r="A1538" s="3"/>
      <c r="B1538" s="7"/>
      <c r="C1538" s="3"/>
      <c r="D1538" s="3"/>
      <c r="E1538" s="3"/>
      <c r="F1538" s="3"/>
      <c r="G1538" s="3"/>
      <c r="H1538" s="4"/>
      <c r="I1538" s="4"/>
      <c r="J1538" s="3"/>
      <c r="K1538" s="8" t="str">
        <f t="shared" si="23"/>
        <v/>
      </c>
      <c r="L1538" s="1" t="str">
        <f>IF(COUNTA(A1538:J1538)=0,"",IF(OR(AND(C1538&lt;&gt;"Gasto",C1538&lt;&gt;"Pago proveedor",C1538&lt;&gt;"Retiro familiar",C1538&lt;&gt;"Aportación",C1538&lt;&gt;"Pago activo",C1538&lt;&gt;"ISR devengado",C1538&lt;&gt;"Pago ISR",C1538&lt;&gt;"Pago IVA",C1538&lt;&gt;"Compensación ISR",C1538&lt;&gt;"Compensación IVA"),AND(C1538="Gasto",D1538&lt;&gt;"Costos clínicos",D1538&lt;&gt;"Remuneración familiar",D1538&lt;&gt;"Nómina y honorarios",D1538&lt;&gt;"Renta",D1538&lt;&gt;"Marketing",D1538&lt;&gt;"Servicios y software",D1538&lt;&gt;"Mantenimiento",D1538&lt;&gt;"Otros",D1538&lt;&gt;"Intereses")),"Tipo o categoría inválido",IF(COUNTA(A1538:J1538)=0,"",IF(OR(A1538="",B1538="",C1538="",H1538=""),"Faltan datos",IF(COUNTIF($A$7:$A$2006,A1538)&gt;1,"ID duplicado",IF(OR(B1538&lt;DATE(Configuración!$C$5,1,1),B1538&gt;=DATE(Configuración!$C$5+1,1,1)),"Fecha fuera del año",IF(OR(H1538&lt;0,I1538&lt;0),"Revisar signo",IF(AND(C1538&lt;&gt;"Gasto",I1538&lt;&gt;0),"IVA solo en Gasto",IF(AND(C1538="Gasto",D1538=""),"Falta categoría","OK")))))))))</f>
        <v/>
      </c>
    </row>
    <row r="1539" spans="1:12" ht="22" customHeight="1">
      <c r="A1539" s="3"/>
      <c r="B1539" s="7"/>
      <c r="C1539" s="3"/>
      <c r="D1539" s="3"/>
      <c r="E1539" s="3"/>
      <c r="F1539" s="3"/>
      <c r="G1539" s="3"/>
      <c r="H1539" s="4"/>
      <c r="I1539" s="4"/>
      <c r="J1539" s="3"/>
      <c r="K1539" s="8" t="str">
        <f t="shared" si="23"/>
        <v/>
      </c>
      <c r="L1539" s="1" t="str">
        <f>IF(COUNTA(A1539:J1539)=0,"",IF(OR(AND(C1539&lt;&gt;"Gasto",C1539&lt;&gt;"Pago proveedor",C1539&lt;&gt;"Retiro familiar",C1539&lt;&gt;"Aportación",C1539&lt;&gt;"Pago activo",C1539&lt;&gt;"ISR devengado",C1539&lt;&gt;"Pago ISR",C1539&lt;&gt;"Pago IVA",C1539&lt;&gt;"Compensación ISR",C1539&lt;&gt;"Compensación IVA"),AND(C1539="Gasto",D1539&lt;&gt;"Costos clínicos",D1539&lt;&gt;"Remuneración familiar",D1539&lt;&gt;"Nómina y honorarios",D1539&lt;&gt;"Renta",D1539&lt;&gt;"Marketing",D1539&lt;&gt;"Servicios y software",D1539&lt;&gt;"Mantenimiento",D1539&lt;&gt;"Otros",D1539&lt;&gt;"Intereses")),"Tipo o categoría inválido",IF(COUNTA(A1539:J1539)=0,"",IF(OR(A1539="",B1539="",C1539="",H1539=""),"Faltan datos",IF(COUNTIF($A$7:$A$2006,A1539)&gt;1,"ID duplicado",IF(OR(B1539&lt;DATE(Configuración!$C$5,1,1),B1539&gt;=DATE(Configuración!$C$5+1,1,1)),"Fecha fuera del año",IF(OR(H1539&lt;0,I1539&lt;0),"Revisar signo",IF(AND(C1539&lt;&gt;"Gasto",I1539&lt;&gt;0),"IVA solo en Gasto",IF(AND(C1539="Gasto",D1539=""),"Falta categoría","OK")))))))))</f>
        <v/>
      </c>
    </row>
    <row r="1540" spans="1:12" ht="22" customHeight="1">
      <c r="A1540" s="3"/>
      <c r="B1540" s="7"/>
      <c r="C1540" s="3"/>
      <c r="D1540" s="3"/>
      <c r="E1540" s="3"/>
      <c r="F1540" s="3"/>
      <c r="G1540" s="3"/>
      <c r="H1540" s="4"/>
      <c r="I1540" s="4"/>
      <c r="J1540" s="3"/>
      <c r="K1540" s="8" t="str">
        <f t="shared" si="23"/>
        <v/>
      </c>
      <c r="L1540" s="1" t="str">
        <f>IF(COUNTA(A1540:J1540)=0,"",IF(OR(AND(C1540&lt;&gt;"Gasto",C1540&lt;&gt;"Pago proveedor",C1540&lt;&gt;"Retiro familiar",C1540&lt;&gt;"Aportación",C1540&lt;&gt;"Pago activo",C1540&lt;&gt;"ISR devengado",C1540&lt;&gt;"Pago ISR",C1540&lt;&gt;"Pago IVA",C1540&lt;&gt;"Compensación ISR",C1540&lt;&gt;"Compensación IVA"),AND(C1540="Gasto",D1540&lt;&gt;"Costos clínicos",D1540&lt;&gt;"Remuneración familiar",D1540&lt;&gt;"Nómina y honorarios",D1540&lt;&gt;"Renta",D1540&lt;&gt;"Marketing",D1540&lt;&gt;"Servicios y software",D1540&lt;&gt;"Mantenimiento",D1540&lt;&gt;"Otros",D1540&lt;&gt;"Intereses")),"Tipo o categoría inválido",IF(COUNTA(A1540:J1540)=0,"",IF(OR(A1540="",B1540="",C1540="",H1540=""),"Faltan datos",IF(COUNTIF($A$7:$A$2006,A1540)&gt;1,"ID duplicado",IF(OR(B1540&lt;DATE(Configuración!$C$5,1,1),B1540&gt;=DATE(Configuración!$C$5+1,1,1)),"Fecha fuera del año",IF(OR(H1540&lt;0,I1540&lt;0),"Revisar signo",IF(AND(C1540&lt;&gt;"Gasto",I1540&lt;&gt;0),"IVA solo en Gasto",IF(AND(C1540="Gasto",D1540=""),"Falta categoría","OK")))))))))</f>
        <v/>
      </c>
    </row>
    <row r="1541" spans="1:12" ht="22" customHeight="1">
      <c r="A1541" s="3"/>
      <c r="B1541" s="7"/>
      <c r="C1541" s="3"/>
      <c r="D1541" s="3"/>
      <c r="E1541" s="3"/>
      <c r="F1541" s="3"/>
      <c r="G1541" s="3"/>
      <c r="H1541" s="4"/>
      <c r="I1541" s="4"/>
      <c r="J1541" s="3"/>
      <c r="K1541" s="8" t="str">
        <f t="shared" si="23"/>
        <v/>
      </c>
      <c r="L1541" s="1" t="str">
        <f>IF(COUNTA(A1541:J1541)=0,"",IF(OR(AND(C1541&lt;&gt;"Gasto",C1541&lt;&gt;"Pago proveedor",C1541&lt;&gt;"Retiro familiar",C1541&lt;&gt;"Aportación",C1541&lt;&gt;"Pago activo",C1541&lt;&gt;"ISR devengado",C1541&lt;&gt;"Pago ISR",C1541&lt;&gt;"Pago IVA",C1541&lt;&gt;"Compensación ISR",C1541&lt;&gt;"Compensación IVA"),AND(C1541="Gasto",D1541&lt;&gt;"Costos clínicos",D1541&lt;&gt;"Remuneración familiar",D1541&lt;&gt;"Nómina y honorarios",D1541&lt;&gt;"Renta",D1541&lt;&gt;"Marketing",D1541&lt;&gt;"Servicios y software",D1541&lt;&gt;"Mantenimiento",D1541&lt;&gt;"Otros",D1541&lt;&gt;"Intereses")),"Tipo o categoría inválido",IF(COUNTA(A1541:J1541)=0,"",IF(OR(A1541="",B1541="",C1541="",H1541=""),"Faltan datos",IF(COUNTIF($A$7:$A$2006,A1541)&gt;1,"ID duplicado",IF(OR(B1541&lt;DATE(Configuración!$C$5,1,1),B1541&gt;=DATE(Configuración!$C$5+1,1,1)),"Fecha fuera del año",IF(OR(H1541&lt;0,I1541&lt;0),"Revisar signo",IF(AND(C1541&lt;&gt;"Gasto",I1541&lt;&gt;0),"IVA solo en Gasto",IF(AND(C1541="Gasto",D1541=""),"Falta categoría","OK")))))))))</f>
        <v/>
      </c>
    </row>
    <row r="1542" spans="1:12" ht="22" customHeight="1">
      <c r="A1542" s="3"/>
      <c r="B1542" s="7"/>
      <c r="C1542" s="3"/>
      <c r="D1542" s="3"/>
      <c r="E1542" s="3"/>
      <c r="F1542" s="3"/>
      <c r="G1542" s="3"/>
      <c r="H1542" s="4"/>
      <c r="I1542" s="4"/>
      <c r="J1542" s="3"/>
      <c r="K1542" s="8" t="str">
        <f t="shared" si="23"/>
        <v/>
      </c>
      <c r="L1542" s="1" t="str">
        <f>IF(COUNTA(A1542:J1542)=0,"",IF(OR(AND(C1542&lt;&gt;"Gasto",C1542&lt;&gt;"Pago proveedor",C1542&lt;&gt;"Retiro familiar",C1542&lt;&gt;"Aportación",C1542&lt;&gt;"Pago activo",C1542&lt;&gt;"ISR devengado",C1542&lt;&gt;"Pago ISR",C1542&lt;&gt;"Pago IVA",C1542&lt;&gt;"Compensación ISR",C1542&lt;&gt;"Compensación IVA"),AND(C1542="Gasto",D1542&lt;&gt;"Costos clínicos",D1542&lt;&gt;"Remuneración familiar",D1542&lt;&gt;"Nómina y honorarios",D1542&lt;&gt;"Renta",D1542&lt;&gt;"Marketing",D1542&lt;&gt;"Servicios y software",D1542&lt;&gt;"Mantenimiento",D1542&lt;&gt;"Otros",D1542&lt;&gt;"Intereses")),"Tipo o categoría inválido",IF(COUNTA(A1542:J1542)=0,"",IF(OR(A1542="",B1542="",C1542="",H1542=""),"Faltan datos",IF(COUNTIF($A$7:$A$2006,A1542)&gt;1,"ID duplicado",IF(OR(B1542&lt;DATE(Configuración!$C$5,1,1),B1542&gt;=DATE(Configuración!$C$5+1,1,1)),"Fecha fuera del año",IF(OR(H1542&lt;0,I1542&lt;0),"Revisar signo",IF(AND(C1542&lt;&gt;"Gasto",I1542&lt;&gt;0),"IVA solo en Gasto",IF(AND(C1542="Gasto",D1542=""),"Falta categoría","OK")))))))))</f>
        <v/>
      </c>
    </row>
    <row r="1543" spans="1:12" ht="22" customHeight="1">
      <c r="A1543" s="3"/>
      <c r="B1543" s="7"/>
      <c r="C1543" s="3"/>
      <c r="D1543" s="3"/>
      <c r="E1543" s="3"/>
      <c r="F1543" s="3"/>
      <c r="G1543" s="3"/>
      <c r="H1543" s="4"/>
      <c r="I1543" s="4"/>
      <c r="J1543" s="3"/>
      <c r="K1543" s="8" t="str">
        <f t="shared" ref="K1543:K1606" si="24">IF(A1543="","",H1543+I1543)</f>
        <v/>
      </c>
      <c r="L1543" s="1" t="str">
        <f>IF(COUNTA(A1543:J1543)=0,"",IF(OR(AND(C1543&lt;&gt;"Gasto",C1543&lt;&gt;"Pago proveedor",C1543&lt;&gt;"Retiro familiar",C1543&lt;&gt;"Aportación",C1543&lt;&gt;"Pago activo",C1543&lt;&gt;"ISR devengado",C1543&lt;&gt;"Pago ISR",C1543&lt;&gt;"Pago IVA",C1543&lt;&gt;"Compensación ISR",C1543&lt;&gt;"Compensación IVA"),AND(C1543="Gasto",D1543&lt;&gt;"Costos clínicos",D1543&lt;&gt;"Remuneración familiar",D1543&lt;&gt;"Nómina y honorarios",D1543&lt;&gt;"Renta",D1543&lt;&gt;"Marketing",D1543&lt;&gt;"Servicios y software",D1543&lt;&gt;"Mantenimiento",D1543&lt;&gt;"Otros",D1543&lt;&gt;"Intereses")),"Tipo o categoría inválido",IF(COUNTA(A1543:J1543)=0,"",IF(OR(A1543="",B1543="",C1543="",H1543=""),"Faltan datos",IF(COUNTIF($A$7:$A$2006,A1543)&gt;1,"ID duplicado",IF(OR(B1543&lt;DATE(Configuración!$C$5,1,1),B1543&gt;=DATE(Configuración!$C$5+1,1,1)),"Fecha fuera del año",IF(OR(H1543&lt;0,I1543&lt;0),"Revisar signo",IF(AND(C1543&lt;&gt;"Gasto",I1543&lt;&gt;0),"IVA solo en Gasto",IF(AND(C1543="Gasto",D1543=""),"Falta categoría","OK")))))))))</f>
        <v/>
      </c>
    </row>
    <row r="1544" spans="1:12" ht="22" customHeight="1">
      <c r="A1544" s="3"/>
      <c r="B1544" s="7"/>
      <c r="C1544" s="3"/>
      <c r="D1544" s="3"/>
      <c r="E1544" s="3"/>
      <c r="F1544" s="3"/>
      <c r="G1544" s="3"/>
      <c r="H1544" s="4"/>
      <c r="I1544" s="4"/>
      <c r="J1544" s="3"/>
      <c r="K1544" s="8" t="str">
        <f t="shared" si="24"/>
        <v/>
      </c>
      <c r="L1544" s="1" t="str">
        <f>IF(COUNTA(A1544:J1544)=0,"",IF(OR(AND(C1544&lt;&gt;"Gasto",C1544&lt;&gt;"Pago proveedor",C1544&lt;&gt;"Retiro familiar",C1544&lt;&gt;"Aportación",C1544&lt;&gt;"Pago activo",C1544&lt;&gt;"ISR devengado",C1544&lt;&gt;"Pago ISR",C1544&lt;&gt;"Pago IVA",C1544&lt;&gt;"Compensación ISR",C1544&lt;&gt;"Compensación IVA"),AND(C1544="Gasto",D1544&lt;&gt;"Costos clínicos",D1544&lt;&gt;"Remuneración familiar",D1544&lt;&gt;"Nómina y honorarios",D1544&lt;&gt;"Renta",D1544&lt;&gt;"Marketing",D1544&lt;&gt;"Servicios y software",D1544&lt;&gt;"Mantenimiento",D1544&lt;&gt;"Otros",D1544&lt;&gt;"Intereses")),"Tipo o categoría inválido",IF(COUNTA(A1544:J1544)=0,"",IF(OR(A1544="",B1544="",C1544="",H1544=""),"Faltan datos",IF(COUNTIF($A$7:$A$2006,A1544)&gt;1,"ID duplicado",IF(OR(B1544&lt;DATE(Configuración!$C$5,1,1),B1544&gt;=DATE(Configuración!$C$5+1,1,1)),"Fecha fuera del año",IF(OR(H1544&lt;0,I1544&lt;0),"Revisar signo",IF(AND(C1544&lt;&gt;"Gasto",I1544&lt;&gt;0),"IVA solo en Gasto",IF(AND(C1544="Gasto",D1544=""),"Falta categoría","OK")))))))))</f>
        <v/>
      </c>
    </row>
    <row r="1545" spans="1:12" ht="22" customHeight="1">
      <c r="A1545" s="3"/>
      <c r="B1545" s="7"/>
      <c r="C1545" s="3"/>
      <c r="D1545" s="3"/>
      <c r="E1545" s="3"/>
      <c r="F1545" s="3"/>
      <c r="G1545" s="3"/>
      <c r="H1545" s="4"/>
      <c r="I1545" s="4"/>
      <c r="J1545" s="3"/>
      <c r="K1545" s="8" t="str">
        <f t="shared" si="24"/>
        <v/>
      </c>
      <c r="L1545" s="1" t="str">
        <f>IF(COUNTA(A1545:J1545)=0,"",IF(OR(AND(C1545&lt;&gt;"Gasto",C1545&lt;&gt;"Pago proveedor",C1545&lt;&gt;"Retiro familiar",C1545&lt;&gt;"Aportación",C1545&lt;&gt;"Pago activo",C1545&lt;&gt;"ISR devengado",C1545&lt;&gt;"Pago ISR",C1545&lt;&gt;"Pago IVA",C1545&lt;&gt;"Compensación ISR",C1545&lt;&gt;"Compensación IVA"),AND(C1545="Gasto",D1545&lt;&gt;"Costos clínicos",D1545&lt;&gt;"Remuneración familiar",D1545&lt;&gt;"Nómina y honorarios",D1545&lt;&gt;"Renta",D1545&lt;&gt;"Marketing",D1545&lt;&gt;"Servicios y software",D1545&lt;&gt;"Mantenimiento",D1545&lt;&gt;"Otros",D1545&lt;&gt;"Intereses")),"Tipo o categoría inválido",IF(COUNTA(A1545:J1545)=0,"",IF(OR(A1545="",B1545="",C1545="",H1545=""),"Faltan datos",IF(COUNTIF($A$7:$A$2006,A1545)&gt;1,"ID duplicado",IF(OR(B1545&lt;DATE(Configuración!$C$5,1,1),B1545&gt;=DATE(Configuración!$C$5+1,1,1)),"Fecha fuera del año",IF(OR(H1545&lt;0,I1545&lt;0),"Revisar signo",IF(AND(C1545&lt;&gt;"Gasto",I1545&lt;&gt;0),"IVA solo en Gasto",IF(AND(C1545="Gasto",D1545=""),"Falta categoría","OK")))))))))</f>
        <v/>
      </c>
    </row>
    <row r="1546" spans="1:12" ht="22" customHeight="1">
      <c r="A1546" s="3"/>
      <c r="B1546" s="7"/>
      <c r="C1546" s="3"/>
      <c r="D1546" s="3"/>
      <c r="E1546" s="3"/>
      <c r="F1546" s="3"/>
      <c r="G1546" s="3"/>
      <c r="H1546" s="4"/>
      <c r="I1546" s="4"/>
      <c r="J1546" s="3"/>
      <c r="K1546" s="8" t="str">
        <f t="shared" si="24"/>
        <v/>
      </c>
      <c r="L1546" s="1" t="str">
        <f>IF(COUNTA(A1546:J1546)=0,"",IF(OR(AND(C1546&lt;&gt;"Gasto",C1546&lt;&gt;"Pago proveedor",C1546&lt;&gt;"Retiro familiar",C1546&lt;&gt;"Aportación",C1546&lt;&gt;"Pago activo",C1546&lt;&gt;"ISR devengado",C1546&lt;&gt;"Pago ISR",C1546&lt;&gt;"Pago IVA",C1546&lt;&gt;"Compensación ISR",C1546&lt;&gt;"Compensación IVA"),AND(C1546="Gasto",D1546&lt;&gt;"Costos clínicos",D1546&lt;&gt;"Remuneración familiar",D1546&lt;&gt;"Nómina y honorarios",D1546&lt;&gt;"Renta",D1546&lt;&gt;"Marketing",D1546&lt;&gt;"Servicios y software",D1546&lt;&gt;"Mantenimiento",D1546&lt;&gt;"Otros",D1546&lt;&gt;"Intereses")),"Tipo o categoría inválido",IF(COUNTA(A1546:J1546)=0,"",IF(OR(A1546="",B1546="",C1546="",H1546=""),"Faltan datos",IF(COUNTIF($A$7:$A$2006,A1546)&gt;1,"ID duplicado",IF(OR(B1546&lt;DATE(Configuración!$C$5,1,1),B1546&gt;=DATE(Configuración!$C$5+1,1,1)),"Fecha fuera del año",IF(OR(H1546&lt;0,I1546&lt;0),"Revisar signo",IF(AND(C1546&lt;&gt;"Gasto",I1546&lt;&gt;0),"IVA solo en Gasto",IF(AND(C1546="Gasto",D1546=""),"Falta categoría","OK")))))))))</f>
        <v/>
      </c>
    </row>
    <row r="1547" spans="1:12" ht="22" customHeight="1">
      <c r="A1547" s="3"/>
      <c r="B1547" s="7"/>
      <c r="C1547" s="3"/>
      <c r="D1547" s="3"/>
      <c r="E1547" s="3"/>
      <c r="F1547" s="3"/>
      <c r="G1547" s="3"/>
      <c r="H1547" s="4"/>
      <c r="I1547" s="4"/>
      <c r="J1547" s="3"/>
      <c r="K1547" s="8" t="str">
        <f t="shared" si="24"/>
        <v/>
      </c>
      <c r="L1547" s="1" t="str">
        <f>IF(COUNTA(A1547:J1547)=0,"",IF(OR(AND(C1547&lt;&gt;"Gasto",C1547&lt;&gt;"Pago proveedor",C1547&lt;&gt;"Retiro familiar",C1547&lt;&gt;"Aportación",C1547&lt;&gt;"Pago activo",C1547&lt;&gt;"ISR devengado",C1547&lt;&gt;"Pago ISR",C1547&lt;&gt;"Pago IVA",C1547&lt;&gt;"Compensación ISR",C1547&lt;&gt;"Compensación IVA"),AND(C1547="Gasto",D1547&lt;&gt;"Costos clínicos",D1547&lt;&gt;"Remuneración familiar",D1547&lt;&gt;"Nómina y honorarios",D1547&lt;&gt;"Renta",D1547&lt;&gt;"Marketing",D1547&lt;&gt;"Servicios y software",D1547&lt;&gt;"Mantenimiento",D1547&lt;&gt;"Otros",D1547&lt;&gt;"Intereses")),"Tipo o categoría inválido",IF(COUNTA(A1547:J1547)=0,"",IF(OR(A1547="",B1547="",C1547="",H1547=""),"Faltan datos",IF(COUNTIF($A$7:$A$2006,A1547)&gt;1,"ID duplicado",IF(OR(B1547&lt;DATE(Configuración!$C$5,1,1),B1547&gt;=DATE(Configuración!$C$5+1,1,1)),"Fecha fuera del año",IF(OR(H1547&lt;0,I1547&lt;0),"Revisar signo",IF(AND(C1547&lt;&gt;"Gasto",I1547&lt;&gt;0),"IVA solo en Gasto",IF(AND(C1547="Gasto",D1547=""),"Falta categoría","OK")))))))))</f>
        <v/>
      </c>
    </row>
    <row r="1548" spans="1:12" ht="22" customHeight="1">
      <c r="A1548" s="3"/>
      <c r="B1548" s="7"/>
      <c r="C1548" s="3"/>
      <c r="D1548" s="3"/>
      <c r="E1548" s="3"/>
      <c r="F1548" s="3"/>
      <c r="G1548" s="3"/>
      <c r="H1548" s="4"/>
      <c r="I1548" s="4"/>
      <c r="J1548" s="3"/>
      <c r="K1548" s="8" t="str">
        <f t="shared" si="24"/>
        <v/>
      </c>
      <c r="L1548" s="1" t="str">
        <f>IF(COUNTA(A1548:J1548)=0,"",IF(OR(AND(C1548&lt;&gt;"Gasto",C1548&lt;&gt;"Pago proveedor",C1548&lt;&gt;"Retiro familiar",C1548&lt;&gt;"Aportación",C1548&lt;&gt;"Pago activo",C1548&lt;&gt;"ISR devengado",C1548&lt;&gt;"Pago ISR",C1548&lt;&gt;"Pago IVA",C1548&lt;&gt;"Compensación ISR",C1548&lt;&gt;"Compensación IVA"),AND(C1548="Gasto",D1548&lt;&gt;"Costos clínicos",D1548&lt;&gt;"Remuneración familiar",D1548&lt;&gt;"Nómina y honorarios",D1548&lt;&gt;"Renta",D1548&lt;&gt;"Marketing",D1548&lt;&gt;"Servicios y software",D1548&lt;&gt;"Mantenimiento",D1548&lt;&gt;"Otros",D1548&lt;&gt;"Intereses")),"Tipo o categoría inválido",IF(COUNTA(A1548:J1548)=0,"",IF(OR(A1548="",B1548="",C1548="",H1548=""),"Faltan datos",IF(COUNTIF($A$7:$A$2006,A1548)&gt;1,"ID duplicado",IF(OR(B1548&lt;DATE(Configuración!$C$5,1,1),B1548&gt;=DATE(Configuración!$C$5+1,1,1)),"Fecha fuera del año",IF(OR(H1548&lt;0,I1548&lt;0),"Revisar signo",IF(AND(C1548&lt;&gt;"Gasto",I1548&lt;&gt;0),"IVA solo en Gasto",IF(AND(C1548="Gasto",D1548=""),"Falta categoría","OK")))))))))</f>
        <v/>
      </c>
    </row>
    <row r="1549" spans="1:12" ht="22" customHeight="1">
      <c r="A1549" s="3"/>
      <c r="B1549" s="7"/>
      <c r="C1549" s="3"/>
      <c r="D1549" s="3"/>
      <c r="E1549" s="3"/>
      <c r="F1549" s="3"/>
      <c r="G1549" s="3"/>
      <c r="H1549" s="4"/>
      <c r="I1549" s="4"/>
      <c r="J1549" s="3"/>
      <c r="K1549" s="8" t="str">
        <f t="shared" si="24"/>
        <v/>
      </c>
      <c r="L1549" s="1" t="str">
        <f>IF(COUNTA(A1549:J1549)=0,"",IF(OR(AND(C1549&lt;&gt;"Gasto",C1549&lt;&gt;"Pago proveedor",C1549&lt;&gt;"Retiro familiar",C1549&lt;&gt;"Aportación",C1549&lt;&gt;"Pago activo",C1549&lt;&gt;"ISR devengado",C1549&lt;&gt;"Pago ISR",C1549&lt;&gt;"Pago IVA",C1549&lt;&gt;"Compensación ISR",C1549&lt;&gt;"Compensación IVA"),AND(C1549="Gasto",D1549&lt;&gt;"Costos clínicos",D1549&lt;&gt;"Remuneración familiar",D1549&lt;&gt;"Nómina y honorarios",D1549&lt;&gt;"Renta",D1549&lt;&gt;"Marketing",D1549&lt;&gt;"Servicios y software",D1549&lt;&gt;"Mantenimiento",D1549&lt;&gt;"Otros",D1549&lt;&gt;"Intereses")),"Tipo o categoría inválido",IF(COUNTA(A1549:J1549)=0,"",IF(OR(A1549="",B1549="",C1549="",H1549=""),"Faltan datos",IF(COUNTIF($A$7:$A$2006,A1549)&gt;1,"ID duplicado",IF(OR(B1549&lt;DATE(Configuración!$C$5,1,1),B1549&gt;=DATE(Configuración!$C$5+1,1,1)),"Fecha fuera del año",IF(OR(H1549&lt;0,I1549&lt;0),"Revisar signo",IF(AND(C1549&lt;&gt;"Gasto",I1549&lt;&gt;0),"IVA solo en Gasto",IF(AND(C1549="Gasto",D1549=""),"Falta categoría","OK")))))))))</f>
        <v/>
      </c>
    </row>
    <row r="1550" spans="1:12" ht="22" customHeight="1">
      <c r="A1550" s="3"/>
      <c r="B1550" s="7"/>
      <c r="C1550" s="3"/>
      <c r="D1550" s="3"/>
      <c r="E1550" s="3"/>
      <c r="F1550" s="3"/>
      <c r="G1550" s="3"/>
      <c r="H1550" s="4"/>
      <c r="I1550" s="4"/>
      <c r="J1550" s="3"/>
      <c r="K1550" s="8" t="str">
        <f t="shared" si="24"/>
        <v/>
      </c>
      <c r="L1550" s="1" t="str">
        <f>IF(COUNTA(A1550:J1550)=0,"",IF(OR(AND(C1550&lt;&gt;"Gasto",C1550&lt;&gt;"Pago proveedor",C1550&lt;&gt;"Retiro familiar",C1550&lt;&gt;"Aportación",C1550&lt;&gt;"Pago activo",C1550&lt;&gt;"ISR devengado",C1550&lt;&gt;"Pago ISR",C1550&lt;&gt;"Pago IVA",C1550&lt;&gt;"Compensación ISR",C1550&lt;&gt;"Compensación IVA"),AND(C1550="Gasto",D1550&lt;&gt;"Costos clínicos",D1550&lt;&gt;"Remuneración familiar",D1550&lt;&gt;"Nómina y honorarios",D1550&lt;&gt;"Renta",D1550&lt;&gt;"Marketing",D1550&lt;&gt;"Servicios y software",D1550&lt;&gt;"Mantenimiento",D1550&lt;&gt;"Otros",D1550&lt;&gt;"Intereses")),"Tipo o categoría inválido",IF(COUNTA(A1550:J1550)=0,"",IF(OR(A1550="",B1550="",C1550="",H1550=""),"Faltan datos",IF(COUNTIF($A$7:$A$2006,A1550)&gt;1,"ID duplicado",IF(OR(B1550&lt;DATE(Configuración!$C$5,1,1),B1550&gt;=DATE(Configuración!$C$5+1,1,1)),"Fecha fuera del año",IF(OR(H1550&lt;0,I1550&lt;0),"Revisar signo",IF(AND(C1550&lt;&gt;"Gasto",I1550&lt;&gt;0),"IVA solo en Gasto",IF(AND(C1550="Gasto",D1550=""),"Falta categoría","OK")))))))))</f>
        <v/>
      </c>
    </row>
    <row r="1551" spans="1:12" ht="22" customHeight="1">
      <c r="A1551" s="3"/>
      <c r="B1551" s="7"/>
      <c r="C1551" s="3"/>
      <c r="D1551" s="3"/>
      <c r="E1551" s="3"/>
      <c r="F1551" s="3"/>
      <c r="G1551" s="3"/>
      <c r="H1551" s="4"/>
      <c r="I1551" s="4"/>
      <c r="J1551" s="3"/>
      <c r="K1551" s="8" t="str">
        <f t="shared" si="24"/>
        <v/>
      </c>
      <c r="L1551" s="1" t="str">
        <f>IF(COUNTA(A1551:J1551)=0,"",IF(OR(AND(C1551&lt;&gt;"Gasto",C1551&lt;&gt;"Pago proveedor",C1551&lt;&gt;"Retiro familiar",C1551&lt;&gt;"Aportación",C1551&lt;&gt;"Pago activo",C1551&lt;&gt;"ISR devengado",C1551&lt;&gt;"Pago ISR",C1551&lt;&gt;"Pago IVA",C1551&lt;&gt;"Compensación ISR",C1551&lt;&gt;"Compensación IVA"),AND(C1551="Gasto",D1551&lt;&gt;"Costos clínicos",D1551&lt;&gt;"Remuneración familiar",D1551&lt;&gt;"Nómina y honorarios",D1551&lt;&gt;"Renta",D1551&lt;&gt;"Marketing",D1551&lt;&gt;"Servicios y software",D1551&lt;&gt;"Mantenimiento",D1551&lt;&gt;"Otros",D1551&lt;&gt;"Intereses")),"Tipo o categoría inválido",IF(COUNTA(A1551:J1551)=0,"",IF(OR(A1551="",B1551="",C1551="",H1551=""),"Faltan datos",IF(COUNTIF($A$7:$A$2006,A1551)&gt;1,"ID duplicado",IF(OR(B1551&lt;DATE(Configuración!$C$5,1,1),B1551&gt;=DATE(Configuración!$C$5+1,1,1)),"Fecha fuera del año",IF(OR(H1551&lt;0,I1551&lt;0),"Revisar signo",IF(AND(C1551&lt;&gt;"Gasto",I1551&lt;&gt;0),"IVA solo en Gasto",IF(AND(C1551="Gasto",D1551=""),"Falta categoría","OK")))))))))</f>
        <v/>
      </c>
    </row>
    <row r="1552" spans="1:12" ht="22" customHeight="1">
      <c r="A1552" s="3"/>
      <c r="B1552" s="7"/>
      <c r="C1552" s="3"/>
      <c r="D1552" s="3"/>
      <c r="E1552" s="3"/>
      <c r="F1552" s="3"/>
      <c r="G1552" s="3"/>
      <c r="H1552" s="4"/>
      <c r="I1552" s="4"/>
      <c r="J1552" s="3"/>
      <c r="K1552" s="8" t="str">
        <f t="shared" si="24"/>
        <v/>
      </c>
      <c r="L1552" s="1" t="str">
        <f>IF(COUNTA(A1552:J1552)=0,"",IF(OR(AND(C1552&lt;&gt;"Gasto",C1552&lt;&gt;"Pago proveedor",C1552&lt;&gt;"Retiro familiar",C1552&lt;&gt;"Aportación",C1552&lt;&gt;"Pago activo",C1552&lt;&gt;"ISR devengado",C1552&lt;&gt;"Pago ISR",C1552&lt;&gt;"Pago IVA",C1552&lt;&gt;"Compensación ISR",C1552&lt;&gt;"Compensación IVA"),AND(C1552="Gasto",D1552&lt;&gt;"Costos clínicos",D1552&lt;&gt;"Remuneración familiar",D1552&lt;&gt;"Nómina y honorarios",D1552&lt;&gt;"Renta",D1552&lt;&gt;"Marketing",D1552&lt;&gt;"Servicios y software",D1552&lt;&gt;"Mantenimiento",D1552&lt;&gt;"Otros",D1552&lt;&gt;"Intereses")),"Tipo o categoría inválido",IF(COUNTA(A1552:J1552)=0,"",IF(OR(A1552="",B1552="",C1552="",H1552=""),"Faltan datos",IF(COUNTIF($A$7:$A$2006,A1552)&gt;1,"ID duplicado",IF(OR(B1552&lt;DATE(Configuración!$C$5,1,1),B1552&gt;=DATE(Configuración!$C$5+1,1,1)),"Fecha fuera del año",IF(OR(H1552&lt;0,I1552&lt;0),"Revisar signo",IF(AND(C1552&lt;&gt;"Gasto",I1552&lt;&gt;0),"IVA solo en Gasto",IF(AND(C1552="Gasto",D1552=""),"Falta categoría","OK")))))))))</f>
        <v/>
      </c>
    </row>
    <row r="1553" spans="1:12" ht="22" customHeight="1">
      <c r="A1553" s="3"/>
      <c r="B1553" s="7"/>
      <c r="C1553" s="3"/>
      <c r="D1553" s="3"/>
      <c r="E1553" s="3"/>
      <c r="F1553" s="3"/>
      <c r="G1553" s="3"/>
      <c r="H1553" s="4"/>
      <c r="I1553" s="4"/>
      <c r="J1553" s="3"/>
      <c r="K1553" s="8" t="str">
        <f t="shared" si="24"/>
        <v/>
      </c>
      <c r="L1553" s="1" t="str">
        <f>IF(COUNTA(A1553:J1553)=0,"",IF(OR(AND(C1553&lt;&gt;"Gasto",C1553&lt;&gt;"Pago proveedor",C1553&lt;&gt;"Retiro familiar",C1553&lt;&gt;"Aportación",C1553&lt;&gt;"Pago activo",C1553&lt;&gt;"ISR devengado",C1553&lt;&gt;"Pago ISR",C1553&lt;&gt;"Pago IVA",C1553&lt;&gt;"Compensación ISR",C1553&lt;&gt;"Compensación IVA"),AND(C1553="Gasto",D1553&lt;&gt;"Costos clínicos",D1553&lt;&gt;"Remuneración familiar",D1553&lt;&gt;"Nómina y honorarios",D1553&lt;&gt;"Renta",D1553&lt;&gt;"Marketing",D1553&lt;&gt;"Servicios y software",D1553&lt;&gt;"Mantenimiento",D1553&lt;&gt;"Otros",D1553&lt;&gt;"Intereses")),"Tipo o categoría inválido",IF(COUNTA(A1553:J1553)=0,"",IF(OR(A1553="",B1553="",C1553="",H1553=""),"Faltan datos",IF(COUNTIF($A$7:$A$2006,A1553)&gt;1,"ID duplicado",IF(OR(B1553&lt;DATE(Configuración!$C$5,1,1),B1553&gt;=DATE(Configuración!$C$5+1,1,1)),"Fecha fuera del año",IF(OR(H1553&lt;0,I1553&lt;0),"Revisar signo",IF(AND(C1553&lt;&gt;"Gasto",I1553&lt;&gt;0),"IVA solo en Gasto",IF(AND(C1553="Gasto",D1553=""),"Falta categoría","OK")))))))))</f>
        <v/>
      </c>
    </row>
    <row r="1554" spans="1:12" ht="22" customHeight="1">
      <c r="A1554" s="3"/>
      <c r="B1554" s="7"/>
      <c r="C1554" s="3"/>
      <c r="D1554" s="3"/>
      <c r="E1554" s="3"/>
      <c r="F1554" s="3"/>
      <c r="G1554" s="3"/>
      <c r="H1554" s="4"/>
      <c r="I1554" s="4"/>
      <c r="J1554" s="3"/>
      <c r="K1554" s="8" t="str">
        <f t="shared" si="24"/>
        <v/>
      </c>
      <c r="L1554" s="1" t="str">
        <f>IF(COUNTA(A1554:J1554)=0,"",IF(OR(AND(C1554&lt;&gt;"Gasto",C1554&lt;&gt;"Pago proveedor",C1554&lt;&gt;"Retiro familiar",C1554&lt;&gt;"Aportación",C1554&lt;&gt;"Pago activo",C1554&lt;&gt;"ISR devengado",C1554&lt;&gt;"Pago ISR",C1554&lt;&gt;"Pago IVA",C1554&lt;&gt;"Compensación ISR",C1554&lt;&gt;"Compensación IVA"),AND(C1554="Gasto",D1554&lt;&gt;"Costos clínicos",D1554&lt;&gt;"Remuneración familiar",D1554&lt;&gt;"Nómina y honorarios",D1554&lt;&gt;"Renta",D1554&lt;&gt;"Marketing",D1554&lt;&gt;"Servicios y software",D1554&lt;&gt;"Mantenimiento",D1554&lt;&gt;"Otros",D1554&lt;&gt;"Intereses")),"Tipo o categoría inválido",IF(COUNTA(A1554:J1554)=0,"",IF(OR(A1554="",B1554="",C1554="",H1554=""),"Faltan datos",IF(COUNTIF($A$7:$A$2006,A1554)&gt;1,"ID duplicado",IF(OR(B1554&lt;DATE(Configuración!$C$5,1,1),B1554&gt;=DATE(Configuración!$C$5+1,1,1)),"Fecha fuera del año",IF(OR(H1554&lt;0,I1554&lt;0),"Revisar signo",IF(AND(C1554&lt;&gt;"Gasto",I1554&lt;&gt;0),"IVA solo en Gasto",IF(AND(C1554="Gasto",D1554=""),"Falta categoría","OK")))))))))</f>
        <v/>
      </c>
    </row>
    <row r="1555" spans="1:12" ht="22" customHeight="1">
      <c r="A1555" s="3"/>
      <c r="B1555" s="7"/>
      <c r="C1555" s="3"/>
      <c r="D1555" s="3"/>
      <c r="E1555" s="3"/>
      <c r="F1555" s="3"/>
      <c r="G1555" s="3"/>
      <c r="H1555" s="4"/>
      <c r="I1555" s="4"/>
      <c r="J1555" s="3"/>
      <c r="K1555" s="8" t="str">
        <f t="shared" si="24"/>
        <v/>
      </c>
      <c r="L1555" s="1" t="str">
        <f>IF(COUNTA(A1555:J1555)=0,"",IF(OR(AND(C1555&lt;&gt;"Gasto",C1555&lt;&gt;"Pago proveedor",C1555&lt;&gt;"Retiro familiar",C1555&lt;&gt;"Aportación",C1555&lt;&gt;"Pago activo",C1555&lt;&gt;"ISR devengado",C1555&lt;&gt;"Pago ISR",C1555&lt;&gt;"Pago IVA",C1555&lt;&gt;"Compensación ISR",C1555&lt;&gt;"Compensación IVA"),AND(C1555="Gasto",D1555&lt;&gt;"Costos clínicos",D1555&lt;&gt;"Remuneración familiar",D1555&lt;&gt;"Nómina y honorarios",D1555&lt;&gt;"Renta",D1555&lt;&gt;"Marketing",D1555&lt;&gt;"Servicios y software",D1555&lt;&gt;"Mantenimiento",D1555&lt;&gt;"Otros",D1555&lt;&gt;"Intereses")),"Tipo o categoría inválido",IF(COUNTA(A1555:J1555)=0,"",IF(OR(A1555="",B1555="",C1555="",H1555=""),"Faltan datos",IF(COUNTIF($A$7:$A$2006,A1555)&gt;1,"ID duplicado",IF(OR(B1555&lt;DATE(Configuración!$C$5,1,1),B1555&gt;=DATE(Configuración!$C$5+1,1,1)),"Fecha fuera del año",IF(OR(H1555&lt;0,I1555&lt;0),"Revisar signo",IF(AND(C1555&lt;&gt;"Gasto",I1555&lt;&gt;0),"IVA solo en Gasto",IF(AND(C1555="Gasto",D1555=""),"Falta categoría","OK")))))))))</f>
        <v/>
      </c>
    </row>
    <row r="1556" spans="1:12" ht="22" customHeight="1">
      <c r="A1556" s="3"/>
      <c r="B1556" s="7"/>
      <c r="C1556" s="3"/>
      <c r="D1556" s="3"/>
      <c r="E1556" s="3"/>
      <c r="F1556" s="3"/>
      <c r="G1556" s="3"/>
      <c r="H1556" s="4"/>
      <c r="I1556" s="4"/>
      <c r="J1556" s="3"/>
      <c r="K1556" s="8" t="str">
        <f t="shared" si="24"/>
        <v/>
      </c>
      <c r="L1556" s="1" t="str">
        <f>IF(COUNTA(A1556:J1556)=0,"",IF(OR(AND(C1556&lt;&gt;"Gasto",C1556&lt;&gt;"Pago proveedor",C1556&lt;&gt;"Retiro familiar",C1556&lt;&gt;"Aportación",C1556&lt;&gt;"Pago activo",C1556&lt;&gt;"ISR devengado",C1556&lt;&gt;"Pago ISR",C1556&lt;&gt;"Pago IVA",C1556&lt;&gt;"Compensación ISR",C1556&lt;&gt;"Compensación IVA"),AND(C1556="Gasto",D1556&lt;&gt;"Costos clínicos",D1556&lt;&gt;"Remuneración familiar",D1556&lt;&gt;"Nómina y honorarios",D1556&lt;&gt;"Renta",D1556&lt;&gt;"Marketing",D1556&lt;&gt;"Servicios y software",D1556&lt;&gt;"Mantenimiento",D1556&lt;&gt;"Otros",D1556&lt;&gt;"Intereses")),"Tipo o categoría inválido",IF(COUNTA(A1556:J1556)=0,"",IF(OR(A1556="",B1556="",C1556="",H1556=""),"Faltan datos",IF(COUNTIF($A$7:$A$2006,A1556)&gt;1,"ID duplicado",IF(OR(B1556&lt;DATE(Configuración!$C$5,1,1),B1556&gt;=DATE(Configuración!$C$5+1,1,1)),"Fecha fuera del año",IF(OR(H1556&lt;0,I1556&lt;0),"Revisar signo",IF(AND(C1556&lt;&gt;"Gasto",I1556&lt;&gt;0),"IVA solo en Gasto",IF(AND(C1556="Gasto",D1556=""),"Falta categoría","OK")))))))))</f>
        <v/>
      </c>
    </row>
    <row r="1557" spans="1:12" ht="22" customHeight="1">
      <c r="A1557" s="3"/>
      <c r="B1557" s="7"/>
      <c r="C1557" s="3"/>
      <c r="D1557" s="3"/>
      <c r="E1557" s="3"/>
      <c r="F1557" s="3"/>
      <c r="G1557" s="3"/>
      <c r="H1557" s="4"/>
      <c r="I1557" s="4"/>
      <c r="J1557" s="3"/>
      <c r="K1557" s="8" t="str">
        <f t="shared" si="24"/>
        <v/>
      </c>
      <c r="L1557" s="1" t="str">
        <f>IF(COUNTA(A1557:J1557)=0,"",IF(OR(AND(C1557&lt;&gt;"Gasto",C1557&lt;&gt;"Pago proveedor",C1557&lt;&gt;"Retiro familiar",C1557&lt;&gt;"Aportación",C1557&lt;&gt;"Pago activo",C1557&lt;&gt;"ISR devengado",C1557&lt;&gt;"Pago ISR",C1557&lt;&gt;"Pago IVA",C1557&lt;&gt;"Compensación ISR",C1557&lt;&gt;"Compensación IVA"),AND(C1557="Gasto",D1557&lt;&gt;"Costos clínicos",D1557&lt;&gt;"Remuneración familiar",D1557&lt;&gt;"Nómina y honorarios",D1557&lt;&gt;"Renta",D1557&lt;&gt;"Marketing",D1557&lt;&gt;"Servicios y software",D1557&lt;&gt;"Mantenimiento",D1557&lt;&gt;"Otros",D1557&lt;&gt;"Intereses")),"Tipo o categoría inválido",IF(COUNTA(A1557:J1557)=0,"",IF(OR(A1557="",B1557="",C1557="",H1557=""),"Faltan datos",IF(COUNTIF($A$7:$A$2006,A1557)&gt;1,"ID duplicado",IF(OR(B1557&lt;DATE(Configuración!$C$5,1,1),B1557&gt;=DATE(Configuración!$C$5+1,1,1)),"Fecha fuera del año",IF(OR(H1557&lt;0,I1557&lt;0),"Revisar signo",IF(AND(C1557&lt;&gt;"Gasto",I1557&lt;&gt;0),"IVA solo en Gasto",IF(AND(C1557="Gasto",D1557=""),"Falta categoría","OK")))))))))</f>
        <v/>
      </c>
    </row>
    <row r="1558" spans="1:12" ht="22" customHeight="1">
      <c r="A1558" s="3"/>
      <c r="B1558" s="7"/>
      <c r="C1558" s="3"/>
      <c r="D1558" s="3"/>
      <c r="E1558" s="3"/>
      <c r="F1558" s="3"/>
      <c r="G1558" s="3"/>
      <c r="H1558" s="4"/>
      <c r="I1558" s="4"/>
      <c r="J1558" s="3"/>
      <c r="K1558" s="8" t="str">
        <f t="shared" si="24"/>
        <v/>
      </c>
      <c r="L1558" s="1" t="str">
        <f>IF(COUNTA(A1558:J1558)=0,"",IF(OR(AND(C1558&lt;&gt;"Gasto",C1558&lt;&gt;"Pago proveedor",C1558&lt;&gt;"Retiro familiar",C1558&lt;&gt;"Aportación",C1558&lt;&gt;"Pago activo",C1558&lt;&gt;"ISR devengado",C1558&lt;&gt;"Pago ISR",C1558&lt;&gt;"Pago IVA",C1558&lt;&gt;"Compensación ISR",C1558&lt;&gt;"Compensación IVA"),AND(C1558="Gasto",D1558&lt;&gt;"Costos clínicos",D1558&lt;&gt;"Remuneración familiar",D1558&lt;&gt;"Nómina y honorarios",D1558&lt;&gt;"Renta",D1558&lt;&gt;"Marketing",D1558&lt;&gt;"Servicios y software",D1558&lt;&gt;"Mantenimiento",D1558&lt;&gt;"Otros",D1558&lt;&gt;"Intereses")),"Tipo o categoría inválido",IF(COUNTA(A1558:J1558)=0,"",IF(OR(A1558="",B1558="",C1558="",H1558=""),"Faltan datos",IF(COUNTIF($A$7:$A$2006,A1558)&gt;1,"ID duplicado",IF(OR(B1558&lt;DATE(Configuración!$C$5,1,1),B1558&gt;=DATE(Configuración!$C$5+1,1,1)),"Fecha fuera del año",IF(OR(H1558&lt;0,I1558&lt;0),"Revisar signo",IF(AND(C1558&lt;&gt;"Gasto",I1558&lt;&gt;0),"IVA solo en Gasto",IF(AND(C1558="Gasto",D1558=""),"Falta categoría","OK")))))))))</f>
        <v/>
      </c>
    </row>
    <row r="1559" spans="1:12" ht="22" customHeight="1">
      <c r="A1559" s="3"/>
      <c r="B1559" s="7"/>
      <c r="C1559" s="3"/>
      <c r="D1559" s="3"/>
      <c r="E1559" s="3"/>
      <c r="F1559" s="3"/>
      <c r="G1559" s="3"/>
      <c r="H1559" s="4"/>
      <c r="I1559" s="4"/>
      <c r="J1559" s="3"/>
      <c r="K1559" s="8" t="str">
        <f t="shared" si="24"/>
        <v/>
      </c>
      <c r="L1559" s="1" t="str">
        <f>IF(COUNTA(A1559:J1559)=0,"",IF(OR(AND(C1559&lt;&gt;"Gasto",C1559&lt;&gt;"Pago proveedor",C1559&lt;&gt;"Retiro familiar",C1559&lt;&gt;"Aportación",C1559&lt;&gt;"Pago activo",C1559&lt;&gt;"ISR devengado",C1559&lt;&gt;"Pago ISR",C1559&lt;&gt;"Pago IVA",C1559&lt;&gt;"Compensación ISR",C1559&lt;&gt;"Compensación IVA"),AND(C1559="Gasto",D1559&lt;&gt;"Costos clínicos",D1559&lt;&gt;"Remuneración familiar",D1559&lt;&gt;"Nómina y honorarios",D1559&lt;&gt;"Renta",D1559&lt;&gt;"Marketing",D1559&lt;&gt;"Servicios y software",D1559&lt;&gt;"Mantenimiento",D1559&lt;&gt;"Otros",D1559&lt;&gt;"Intereses")),"Tipo o categoría inválido",IF(COUNTA(A1559:J1559)=0,"",IF(OR(A1559="",B1559="",C1559="",H1559=""),"Faltan datos",IF(COUNTIF($A$7:$A$2006,A1559)&gt;1,"ID duplicado",IF(OR(B1559&lt;DATE(Configuración!$C$5,1,1),B1559&gt;=DATE(Configuración!$C$5+1,1,1)),"Fecha fuera del año",IF(OR(H1559&lt;0,I1559&lt;0),"Revisar signo",IF(AND(C1559&lt;&gt;"Gasto",I1559&lt;&gt;0),"IVA solo en Gasto",IF(AND(C1559="Gasto",D1559=""),"Falta categoría","OK")))))))))</f>
        <v/>
      </c>
    </row>
    <row r="1560" spans="1:12" ht="22" customHeight="1">
      <c r="A1560" s="3"/>
      <c r="B1560" s="7"/>
      <c r="C1560" s="3"/>
      <c r="D1560" s="3"/>
      <c r="E1560" s="3"/>
      <c r="F1560" s="3"/>
      <c r="G1560" s="3"/>
      <c r="H1560" s="4"/>
      <c r="I1560" s="4"/>
      <c r="J1560" s="3"/>
      <c r="K1560" s="8" t="str">
        <f t="shared" si="24"/>
        <v/>
      </c>
      <c r="L1560" s="1" t="str">
        <f>IF(COUNTA(A1560:J1560)=0,"",IF(OR(AND(C1560&lt;&gt;"Gasto",C1560&lt;&gt;"Pago proveedor",C1560&lt;&gt;"Retiro familiar",C1560&lt;&gt;"Aportación",C1560&lt;&gt;"Pago activo",C1560&lt;&gt;"ISR devengado",C1560&lt;&gt;"Pago ISR",C1560&lt;&gt;"Pago IVA",C1560&lt;&gt;"Compensación ISR",C1560&lt;&gt;"Compensación IVA"),AND(C1560="Gasto",D1560&lt;&gt;"Costos clínicos",D1560&lt;&gt;"Remuneración familiar",D1560&lt;&gt;"Nómina y honorarios",D1560&lt;&gt;"Renta",D1560&lt;&gt;"Marketing",D1560&lt;&gt;"Servicios y software",D1560&lt;&gt;"Mantenimiento",D1560&lt;&gt;"Otros",D1560&lt;&gt;"Intereses")),"Tipo o categoría inválido",IF(COUNTA(A1560:J1560)=0,"",IF(OR(A1560="",B1560="",C1560="",H1560=""),"Faltan datos",IF(COUNTIF($A$7:$A$2006,A1560)&gt;1,"ID duplicado",IF(OR(B1560&lt;DATE(Configuración!$C$5,1,1),B1560&gt;=DATE(Configuración!$C$5+1,1,1)),"Fecha fuera del año",IF(OR(H1560&lt;0,I1560&lt;0),"Revisar signo",IF(AND(C1560&lt;&gt;"Gasto",I1560&lt;&gt;0),"IVA solo en Gasto",IF(AND(C1560="Gasto",D1560=""),"Falta categoría","OK")))))))))</f>
        <v/>
      </c>
    </row>
    <row r="1561" spans="1:12" ht="22" customHeight="1">
      <c r="A1561" s="3"/>
      <c r="B1561" s="7"/>
      <c r="C1561" s="3"/>
      <c r="D1561" s="3"/>
      <c r="E1561" s="3"/>
      <c r="F1561" s="3"/>
      <c r="G1561" s="3"/>
      <c r="H1561" s="4"/>
      <c r="I1561" s="4"/>
      <c r="J1561" s="3"/>
      <c r="K1561" s="8" t="str">
        <f t="shared" si="24"/>
        <v/>
      </c>
      <c r="L1561" s="1" t="str">
        <f>IF(COUNTA(A1561:J1561)=0,"",IF(OR(AND(C1561&lt;&gt;"Gasto",C1561&lt;&gt;"Pago proveedor",C1561&lt;&gt;"Retiro familiar",C1561&lt;&gt;"Aportación",C1561&lt;&gt;"Pago activo",C1561&lt;&gt;"ISR devengado",C1561&lt;&gt;"Pago ISR",C1561&lt;&gt;"Pago IVA",C1561&lt;&gt;"Compensación ISR",C1561&lt;&gt;"Compensación IVA"),AND(C1561="Gasto",D1561&lt;&gt;"Costos clínicos",D1561&lt;&gt;"Remuneración familiar",D1561&lt;&gt;"Nómina y honorarios",D1561&lt;&gt;"Renta",D1561&lt;&gt;"Marketing",D1561&lt;&gt;"Servicios y software",D1561&lt;&gt;"Mantenimiento",D1561&lt;&gt;"Otros",D1561&lt;&gt;"Intereses")),"Tipo o categoría inválido",IF(COUNTA(A1561:J1561)=0,"",IF(OR(A1561="",B1561="",C1561="",H1561=""),"Faltan datos",IF(COUNTIF($A$7:$A$2006,A1561)&gt;1,"ID duplicado",IF(OR(B1561&lt;DATE(Configuración!$C$5,1,1),B1561&gt;=DATE(Configuración!$C$5+1,1,1)),"Fecha fuera del año",IF(OR(H1561&lt;0,I1561&lt;0),"Revisar signo",IF(AND(C1561&lt;&gt;"Gasto",I1561&lt;&gt;0),"IVA solo en Gasto",IF(AND(C1561="Gasto",D1561=""),"Falta categoría","OK")))))))))</f>
        <v/>
      </c>
    </row>
    <row r="1562" spans="1:12" ht="22" customHeight="1">
      <c r="A1562" s="3"/>
      <c r="B1562" s="7"/>
      <c r="C1562" s="3"/>
      <c r="D1562" s="3"/>
      <c r="E1562" s="3"/>
      <c r="F1562" s="3"/>
      <c r="G1562" s="3"/>
      <c r="H1562" s="4"/>
      <c r="I1562" s="4"/>
      <c r="J1562" s="3"/>
      <c r="K1562" s="8" t="str">
        <f t="shared" si="24"/>
        <v/>
      </c>
      <c r="L1562" s="1" t="str">
        <f>IF(COUNTA(A1562:J1562)=0,"",IF(OR(AND(C1562&lt;&gt;"Gasto",C1562&lt;&gt;"Pago proveedor",C1562&lt;&gt;"Retiro familiar",C1562&lt;&gt;"Aportación",C1562&lt;&gt;"Pago activo",C1562&lt;&gt;"ISR devengado",C1562&lt;&gt;"Pago ISR",C1562&lt;&gt;"Pago IVA",C1562&lt;&gt;"Compensación ISR",C1562&lt;&gt;"Compensación IVA"),AND(C1562="Gasto",D1562&lt;&gt;"Costos clínicos",D1562&lt;&gt;"Remuneración familiar",D1562&lt;&gt;"Nómina y honorarios",D1562&lt;&gt;"Renta",D1562&lt;&gt;"Marketing",D1562&lt;&gt;"Servicios y software",D1562&lt;&gt;"Mantenimiento",D1562&lt;&gt;"Otros",D1562&lt;&gt;"Intereses")),"Tipo o categoría inválido",IF(COUNTA(A1562:J1562)=0,"",IF(OR(A1562="",B1562="",C1562="",H1562=""),"Faltan datos",IF(COUNTIF($A$7:$A$2006,A1562)&gt;1,"ID duplicado",IF(OR(B1562&lt;DATE(Configuración!$C$5,1,1),B1562&gt;=DATE(Configuración!$C$5+1,1,1)),"Fecha fuera del año",IF(OR(H1562&lt;0,I1562&lt;0),"Revisar signo",IF(AND(C1562&lt;&gt;"Gasto",I1562&lt;&gt;0),"IVA solo en Gasto",IF(AND(C1562="Gasto",D1562=""),"Falta categoría","OK")))))))))</f>
        <v/>
      </c>
    </row>
    <row r="1563" spans="1:12" ht="22" customHeight="1">
      <c r="A1563" s="3"/>
      <c r="B1563" s="7"/>
      <c r="C1563" s="3"/>
      <c r="D1563" s="3"/>
      <c r="E1563" s="3"/>
      <c r="F1563" s="3"/>
      <c r="G1563" s="3"/>
      <c r="H1563" s="4"/>
      <c r="I1563" s="4"/>
      <c r="J1563" s="3"/>
      <c r="K1563" s="8" t="str">
        <f t="shared" si="24"/>
        <v/>
      </c>
      <c r="L1563" s="1" t="str">
        <f>IF(COUNTA(A1563:J1563)=0,"",IF(OR(AND(C1563&lt;&gt;"Gasto",C1563&lt;&gt;"Pago proveedor",C1563&lt;&gt;"Retiro familiar",C1563&lt;&gt;"Aportación",C1563&lt;&gt;"Pago activo",C1563&lt;&gt;"ISR devengado",C1563&lt;&gt;"Pago ISR",C1563&lt;&gt;"Pago IVA",C1563&lt;&gt;"Compensación ISR",C1563&lt;&gt;"Compensación IVA"),AND(C1563="Gasto",D1563&lt;&gt;"Costos clínicos",D1563&lt;&gt;"Remuneración familiar",D1563&lt;&gt;"Nómina y honorarios",D1563&lt;&gt;"Renta",D1563&lt;&gt;"Marketing",D1563&lt;&gt;"Servicios y software",D1563&lt;&gt;"Mantenimiento",D1563&lt;&gt;"Otros",D1563&lt;&gt;"Intereses")),"Tipo o categoría inválido",IF(COUNTA(A1563:J1563)=0,"",IF(OR(A1563="",B1563="",C1563="",H1563=""),"Faltan datos",IF(COUNTIF($A$7:$A$2006,A1563)&gt;1,"ID duplicado",IF(OR(B1563&lt;DATE(Configuración!$C$5,1,1),B1563&gt;=DATE(Configuración!$C$5+1,1,1)),"Fecha fuera del año",IF(OR(H1563&lt;0,I1563&lt;0),"Revisar signo",IF(AND(C1563&lt;&gt;"Gasto",I1563&lt;&gt;0),"IVA solo en Gasto",IF(AND(C1563="Gasto",D1563=""),"Falta categoría","OK")))))))))</f>
        <v/>
      </c>
    </row>
    <row r="1564" spans="1:12" ht="22" customHeight="1">
      <c r="A1564" s="3"/>
      <c r="B1564" s="7"/>
      <c r="C1564" s="3"/>
      <c r="D1564" s="3"/>
      <c r="E1564" s="3"/>
      <c r="F1564" s="3"/>
      <c r="G1564" s="3"/>
      <c r="H1564" s="4"/>
      <c r="I1564" s="4"/>
      <c r="J1564" s="3"/>
      <c r="K1564" s="8" t="str">
        <f t="shared" si="24"/>
        <v/>
      </c>
      <c r="L1564" s="1" t="str">
        <f>IF(COUNTA(A1564:J1564)=0,"",IF(OR(AND(C1564&lt;&gt;"Gasto",C1564&lt;&gt;"Pago proveedor",C1564&lt;&gt;"Retiro familiar",C1564&lt;&gt;"Aportación",C1564&lt;&gt;"Pago activo",C1564&lt;&gt;"ISR devengado",C1564&lt;&gt;"Pago ISR",C1564&lt;&gt;"Pago IVA",C1564&lt;&gt;"Compensación ISR",C1564&lt;&gt;"Compensación IVA"),AND(C1564="Gasto",D1564&lt;&gt;"Costos clínicos",D1564&lt;&gt;"Remuneración familiar",D1564&lt;&gt;"Nómina y honorarios",D1564&lt;&gt;"Renta",D1564&lt;&gt;"Marketing",D1564&lt;&gt;"Servicios y software",D1564&lt;&gt;"Mantenimiento",D1564&lt;&gt;"Otros",D1564&lt;&gt;"Intereses")),"Tipo o categoría inválido",IF(COUNTA(A1564:J1564)=0,"",IF(OR(A1564="",B1564="",C1564="",H1564=""),"Faltan datos",IF(COUNTIF($A$7:$A$2006,A1564)&gt;1,"ID duplicado",IF(OR(B1564&lt;DATE(Configuración!$C$5,1,1),B1564&gt;=DATE(Configuración!$C$5+1,1,1)),"Fecha fuera del año",IF(OR(H1564&lt;0,I1564&lt;0),"Revisar signo",IF(AND(C1564&lt;&gt;"Gasto",I1564&lt;&gt;0),"IVA solo en Gasto",IF(AND(C1564="Gasto",D1564=""),"Falta categoría","OK")))))))))</f>
        <v/>
      </c>
    </row>
    <row r="1565" spans="1:12" ht="22" customHeight="1">
      <c r="A1565" s="3"/>
      <c r="B1565" s="7"/>
      <c r="C1565" s="3"/>
      <c r="D1565" s="3"/>
      <c r="E1565" s="3"/>
      <c r="F1565" s="3"/>
      <c r="G1565" s="3"/>
      <c r="H1565" s="4"/>
      <c r="I1565" s="4"/>
      <c r="J1565" s="3"/>
      <c r="K1565" s="8" t="str">
        <f t="shared" si="24"/>
        <v/>
      </c>
      <c r="L1565" s="1" t="str">
        <f>IF(COUNTA(A1565:J1565)=0,"",IF(OR(AND(C1565&lt;&gt;"Gasto",C1565&lt;&gt;"Pago proveedor",C1565&lt;&gt;"Retiro familiar",C1565&lt;&gt;"Aportación",C1565&lt;&gt;"Pago activo",C1565&lt;&gt;"ISR devengado",C1565&lt;&gt;"Pago ISR",C1565&lt;&gt;"Pago IVA",C1565&lt;&gt;"Compensación ISR",C1565&lt;&gt;"Compensación IVA"),AND(C1565="Gasto",D1565&lt;&gt;"Costos clínicos",D1565&lt;&gt;"Remuneración familiar",D1565&lt;&gt;"Nómina y honorarios",D1565&lt;&gt;"Renta",D1565&lt;&gt;"Marketing",D1565&lt;&gt;"Servicios y software",D1565&lt;&gt;"Mantenimiento",D1565&lt;&gt;"Otros",D1565&lt;&gt;"Intereses")),"Tipo o categoría inválido",IF(COUNTA(A1565:J1565)=0,"",IF(OR(A1565="",B1565="",C1565="",H1565=""),"Faltan datos",IF(COUNTIF($A$7:$A$2006,A1565)&gt;1,"ID duplicado",IF(OR(B1565&lt;DATE(Configuración!$C$5,1,1),B1565&gt;=DATE(Configuración!$C$5+1,1,1)),"Fecha fuera del año",IF(OR(H1565&lt;0,I1565&lt;0),"Revisar signo",IF(AND(C1565&lt;&gt;"Gasto",I1565&lt;&gt;0),"IVA solo en Gasto",IF(AND(C1565="Gasto",D1565=""),"Falta categoría","OK")))))))))</f>
        <v/>
      </c>
    </row>
    <row r="1566" spans="1:12" ht="22" customHeight="1">
      <c r="A1566" s="3"/>
      <c r="B1566" s="7"/>
      <c r="C1566" s="3"/>
      <c r="D1566" s="3"/>
      <c r="E1566" s="3"/>
      <c r="F1566" s="3"/>
      <c r="G1566" s="3"/>
      <c r="H1566" s="4"/>
      <c r="I1566" s="4"/>
      <c r="J1566" s="3"/>
      <c r="K1566" s="8" t="str">
        <f t="shared" si="24"/>
        <v/>
      </c>
      <c r="L1566" s="1" t="str">
        <f>IF(COUNTA(A1566:J1566)=0,"",IF(OR(AND(C1566&lt;&gt;"Gasto",C1566&lt;&gt;"Pago proveedor",C1566&lt;&gt;"Retiro familiar",C1566&lt;&gt;"Aportación",C1566&lt;&gt;"Pago activo",C1566&lt;&gt;"ISR devengado",C1566&lt;&gt;"Pago ISR",C1566&lt;&gt;"Pago IVA",C1566&lt;&gt;"Compensación ISR",C1566&lt;&gt;"Compensación IVA"),AND(C1566="Gasto",D1566&lt;&gt;"Costos clínicos",D1566&lt;&gt;"Remuneración familiar",D1566&lt;&gt;"Nómina y honorarios",D1566&lt;&gt;"Renta",D1566&lt;&gt;"Marketing",D1566&lt;&gt;"Servicios y software",D1566&lt;&gt;"Mantenimiento",D1566&lt;&gt;"Otros",D1566&lt;&gt;"Intereses")),"Tipo o categoría inválido",IF(COUNTA(A1566:J1566)=0,"",IF(OR(A1566="",B1566="",C1566="",H1566=""),"Faltan datos",IF(COUNTIF($A$7:$A$2006,A1566)&gt;1,"ID duplicado",IF(OR(B1566&lt;DATE(Configuración!$C$5,1,1),B1566&gt;=DATE(Configuración!$C$5+1,1,1)),"Fecha fuera del año",IF(OR(H1566&lt;0,I1566&lt;0),"Revisar signo",IF(AND(C1566&lt;&gt;"Gasto",I1566&lt;&gt;0),"IVA solo en Gasto",IF(AND(C1566="Gasto",D1566=""),"Falta categoría","OK")))))))))</f>
        <v/>
      </c>
    </row>
    <row r="1567" spans="1:12" ht="22" customHeight="1">
      <c r="A1567" s="3"/>
      <c r="B1567" s="7"/>
      <c r="C1567" s="3"/>
      <c r="D1567" s="3"/>
      <c r="E1567" s="3"/>
      <c r="F1567" s="3"/>
      <c r="G1567" s="3"/>
      <c r="H1567" s="4"/>
      <c r="I1567" s="4"/>
      <c r="J1567" s="3"/>
      <c r="K1567" s="8" t="str">
        <f t="shared" si="24"/>
        <v/>
      </c>
      <c r="L1567" s="1" t="str">
        <f>IF(COUNTA(A1567:J1567)=0,"",IF(OR(AND(C1567&lt;&gt;"Gasto",C1567&lt;&gt;"Pago proveedor",C1567&lt;&gt;"Retiro familiar",C1567&lt;&gt;"Aportación",C1567&lt;&gt;"Pago activo",C1567&lt;&gt;"ISR devengado",C1567&lt;&gt;"Pago ISR",C1567&lt;&gt;"Pago IVA",C1567&lt;&gt;"Compensación ISR",C1567&lt;&gt;"Compensación IVA"),AND(C1567="Gasto",D1567&lt;&gt;"Costos clínicos",D1567&lt;&gt;"Remuneración familiar",D1567&lt;&gt;"Nómina y honorarios",D1567&lt;&gt;"Renta",D1567&lt;&gt;"Marketing",D1567&lt;&gt;"Servicios y software",D1567&lt;&gt;"Mantenimiento",D1567&lt;&gt;"Otros",D1567&lt;&gt;"Intereses")),"Tipo o categoría inválido",IF(COUNTA(A1567:J1567)=0,"",IF(OR(A1567="",B1567="",C1567="",H1567=""),"Faltan datos",IF(COUNTIF($A$7:$A$2006,A1567)&gt;1,"ID duplicado",IF(OR(B1567&lt;DATE(Configuración!$C$5,1,1),B1567&gt;=DATE(Configuración!$C$5+1,1,1)),"Fecha fuera del año",IF(OR(H1567&lt;0,I1567&lt;0),"Revisar signo",IF(AND(C1567&lt;&gt;"Gasto",I1567&lt;&gt;0),"IVA solo en Gasto",IF(AND(C1567="Gasto",D1567=""),"Falta categoría","OK")))))))))</f>
        <v/>
      </c>
    </row>
    <row r="1568" spans="1:12" ht="22" customHeight="1">
      <c r="A1568" s="3"/>
      <c r="B1568" s="7"/>
      <c r="C1568" s="3"/>
      <c r="D1568" s="3"/>
      <c r="E1568" s="3"/>
      <c r="F1568" s="3"/>
      <c r="G1568" s="3"/>
      <c r="H1568" s="4"/>
      <c r="I1568" s="4"/>
      <c r="J1568" s="3"/>
      <c r="K1568" s="8" t="str">
        <f t="shared" si="24"/>
        <v/>
      </c>
      <c r="L1568" s="1" t="str">
        <f>IF(COUNTA(A1568:J1568)=0,"",IF(OR(AND(C1568&lt;&gt;"Gasto",C1568&lt;&gt;"Pago proveedor",C1568&lt;&gt;"Retiro familiar",C1568&lt;&gt;"Aportación",C1568&lt;&gt;"Pago activo",C1568&lt;&gt;"ISR devengado",C1568&lt;&gt;"Pago ISR",C1568&lt;&gt;"Pago IVA",C1568&lt;&gt;"Compensación ISR",C1568&lt;&gt;"Compensación IVA"),AND(C1568="Gasto",D1568&lt;&gt;"Costos clínicos",D1568&lt;&gt;"Remuneración familiar",D1568&lt;&gt;"Nómina y honorarios",D1568&lt;&gt;"Renta",D1568&lt;&gt;"Marketing",D1568&lt;&gt;"Servicios y software",D1568&lt;&gt;"Mantenimiento",D1568&lt;&gt;"Otros",D1568&lt;&gt;"Intereses")),"Tipo o categoría inválido",IF(COUNTA(A1568:J1568)=0,"",IF(OR(A1568="",B1568="",C1568="",H1568=""),"Faltan datos",IF(COUNTIF($A$7:$A$2006,A1568)&gt;1,"ID duplicado",IF(OR(B1568&lt;DATE(Configuración!$C$5,1,1),B1568&gt;=DATE(Configuración!$C$5+1,1,1)),"Fecha fuera del año",IF(OR(H1568&lt;0,I1568&lt;0),"Revisar signo",IF(AND(C1568&lt;&gt;"Gasto",I1568&lt;&gt;0),"IVA solo en Gasto",IF(AND(C1568="Gasto",D1568=""),"Falta categoría","OK")))))))))</f>
        <v/>
      </c>
    </row>
    <row r="1569" spans="1:12" ht="22" customHeight="1">
      <c r="A1569" s="3"/>
      <c r="B1569" s="7"/>
      <c r="C1569" s="3"/>
      <c r="D1569" s="3"/>
      <c r="E1569" s="3"/>
      <c r="F1569" s="3"/>
      <c r="G1569" s="3"/>
      <c r="H1569" s="4"/>
      <c r="I1569" s="4"/>
      <c r="J1569" s="3"/>
      <c r="K1569" s="8" t="str">
        <f t="shared" si="24"/>
        <v/>
      </c>
      <c r="L1569" s="1" t="str">
        <f>IF(COUNTA(A1569:J1569)=0,"",IF(OR(AND(C1569&lt;&gt;"Gasto",C1569&lt;&gt;"Pago proveedor",C1569&lt;&gt;"Retiro familiar",C1569&lt;&gt;"Aportación",C1569&lt;&gt;"Pago activo",C1569&lt;&gt;"ISR devengado",C1569&lt;&gt;"Pago ISR",C1569&lt;&gt;"Pago IVA",C1569&lt;&gt;"Compensación ISR",C1569&lt;&gt;"Compensación IVA"),AND(C1569="Gasto",D1569&lt;&gt;"Costos clínicos",D1569&lt;&gt;"Remuneración familiar",D1569&lt;&gt;"Nómina y honorarios",D1569&lt;&gt;"Renta",D1569&lt;&gt;"Marketing",D1569&lt;&gt;"Servicios y software",D1569&lt;&gt;"Mantenimiento",D1569&lt;&gt;"Otros",D1569&lt;&gt;"Intereses")),"Tipo o categoría inválido",IF(COUNTA(A1569:J1569)=0,"",IF(OR(A1569="",B1569="",C1569="",H1569=""),"Faltan datos",IF(COUNTIF($A$7:$A$2006,A1569)&gt;1,"ID duplicado",IF(OR(B1569&lt;DATE(Configuración!$C$5,1,1),B1569&gt;=DATE(Configuración!$C$5+1,1,1)),"Fecha fuera del año",IF(OR(H1569&lt;0,I1569&lt;0),"Revisar signo",IF(AND(C1569&lt;&gt;"Gasto",I1569&lt;&gt;0),"IVA solo en Gasto",IF(AND(C1569="Gasto",D1569=""),"Falta categoría","OK")))))))))</f>
        <v/>
      </c>
    </row>
    <row r="1570" spans="1:12" ht="22" customHeight="1">
      <c r="A1570" s="3"/>
      <c r="B1570" s="7"/>
      <c r="C1570" s="3"/>
      <c r="D1570" s="3"/>
      <c r="E1570" s="3"/>
      <c r="F1570" s="3"/>
      <c r="G1570" s="3"/>
      <c r="H1570" s="4"/>
      <c r="I1570" s="4"/>
      <c r="J1570" s="3"/>
      <c r="K1570" s="8" t="str">
        <f t="shared" si="24"/>
        <v/>
      </c>
      <c r="L1570" s="1" t="str">
        <f>IF(COUNTA(A1570:J1570)=0,"",IF(OR(AND(C1570&lt;&gt;"Gasto",C1570&lt;&gt;"Pago proveedor",C1570&lt;&gt;"Retiro familiar",C1570&lt;&gt;"Aportación",C1570&lt;&gt;"Pago activo",C1570&lt;&gt;"ISR devengado",C1570&lt;&gt;"Pago ISR",C1570&lt;&gt;"Pago IVA",C1570&lt;&gt;"Compensación ISR",C1570&lt;&gt;"Compensación IVA"),AND(C1570="Gasto",D1570&lt;&gt;"Costos clínicos",D1570&lt;&gt;"Remuneración familiar",D1570&lt;&gt;"Nómina y honorarios",D1570&lt;&gt;"Renta",D1570&lt;&gt;"Marketing",D1570&lt;&gt;"Servicios y software",D1570&lt;&gt;"Mantenimiento",D1570&lt;&gt;"Otros",D1570&lt;&gt;"Intereses")),"Tipo o categoría inválido",IF(COUNTA(A1570:J1570)=0,"",IF(OR(A1570="",B1570="",C1570="",H1570=""),"Faltan datos",IF(COUNTIF($A$7:$A$2006,A1570)&gt;1,"ID duplicado",IF(OR(B1570&lt;DATE(Configuración!$C$5,1,1),B1570&gt;=DATE(Configuración!$C$5+1,1,1)),"Fecha fuera del año",IF(OR(H1570&lt;0,I1570&lt;0),"Revisar signo",IF(AND(C1570&lt;&gt;"Gasto",I1570&lt;&gt;0),"IVA solo en Gasto",IF(AND(C1570="Gasto",D1570=""),"Falta categoría","OK")))))))))</f>
        <v/>
      </c>
    </row>
    <row r="1571" spans="1:12" ht="22" customHeight="1">
      <c r="A1571" s="3"/>
      <c r="B1571" s="7"/>
      <c r="C1571" s="3"/>
      <c r="D1571" s="3"/>
      <c r="E1571" s="3"/>
      <c r="F1571" s="3"/>
      <c r="G1571" s="3"/>
      <c r="H1571" s="4"/>
      <c r="I1571" s="4"/>
      <c r="J1571" s="3"/>
      <c r="K1571" s="8" t="str">
        <f t="shared" si="24"/>
        <v/>
      </c>
      <c r="L1571" s="1" t="str">
        <f>IF(COUNTA(A1571:J1571)=0,"",IF(OR(AND(C1571&lt;&gt;"Gasto",C1571&lt;&gt;"Pago proveedor",C1571&lt;&gt;"Retiro familiar",C1571&lt;&gt;"Aportación",C1571&lt;&gt;"Pago activo",C1571&lt;&gt;"ISR devengado",C1571&lt;&gt;"Pago ISR",C1571&lt;&gt;"Pago IVA",C1571&lt;&gt;"Compensación ISR",C1571&lt;&gt;"Compensación IVA"),AND(C1571="Gasto",D1571&lt;&gt;"Costos clínicos",D1571&lt;&gt;"Remuneración familiar",D1571&lt;&gt;"Nómina y honorarios",D1571&lt;&gt;"Renta",D1571&lt;&gt;"Marketing",D1571&lt;&gt;"Servicios y software",D1571&lt;&gt;"Mantenimiento",D1571&lt;&gt;"Otros",D1571&lt;&gt;"Intereses")),"Tipo o categoría inválido",IF(COUNTA(A1571:J1571)=0,"",IF(OR(A1571="",B1571="",C1571="",H1571=""),"Faltan datos",IF(COUNTIF($A$7:$A$2006,A1571)&gt;1,"ID duplicado",IF(OR(B1571&lt;DATE(Configuración!$C$5,1,1),B1571&gt;=DATE(Configuración!$C$5+1,1,1)),"Fecha fuera del año",IF(OR(H1571&lt;0,I1571&lt;0),"Revisar signo",IF(AND(C1571&lt;&gt;"Gasto",I1571&lt;&gt;0),"IVA solo en Gasto",IF(AND(C1571="Gasto",D1571=""),"Falta categoría","OK")))))))))</f>
        <v/>
      </c>
    </row>
    <row r="1572" spans="1:12" ht="22" customHeight="1">
      <c r="A1572" s="3"/>
      <c r="B1572" s="7"/>
      <c r="C1572" s="3"/>
      <c r="D1572" s="3"/>
      <c r="E1572" s="3"/>
      <c r="F1572" s="3"/>
      <c r="G1572" s="3"/>
      <c r="H1572" s="4"/>
      <c r="I1572" s="4"/>
      <c r="J1572" s="3"/>
      <c r="K1572" s="8" t="str">
        <f t="shared" si="24"/>
        <v/>
      </c>
      <c r="L1572" s="1" t="str">
        <f>IF(COUNTA(A1572:J1572)=0,"",IF(OR(AND(C1572&lt;&gt;"Gasto",C1572&lt;&gt;"Pago proveedor",C1572&lt;&gt;"Retiro familiar",C1572&lt;&gt;"Aportación",C1572&lt;&gt;"Pago activo",C1572&lt;&gt;"ISR devengado",C1572&lt;&gt;"Pago ISR",C1572&lt;&gt;"Pago IVA",C1572&lt;&gt;"Compensación ISR",C1572&lt;&gt;"Compensación IVA"),AND(C1572="Gasto",D1572&lt;&gt;"Costos clínicos",D1572&lt;&gt;"Remuneración familiar",D1572&lt;&gt;"Nómina y honorarios",D1572&lt;&gt;"Renta",D1572&lt;&gt;"Marketing",D1572&lt;&gt;"Servicios y software",D1572&lt;&gt;"Mantenimiento",D1572&lt;&gt;"Otros",D1572&lt;&gt;"Intereses")),"Tipo o categoría inválido",IF(COUNTA(A1572:J1572)=0,"",IF(OR(A1572="",B1572="",C1572="",H1572=""),"Faltan datos",IF(COUNTIF($A$7:$A$2006,A1572)&gt;1,"ID duplicado",IF(OR(B1572&lt;DATE(Configuración!$C$5,1,1),B1572&gt;=DATE(Configuración!$C$5+1,1,1)),"Fecha fuera del año",IF(OR(H1572&lt;0,I1572&lt;0),"Revisar signo",IF(AND(C1572&lt;&gt;"Gasto",I1572&lt;&gt;0),"IVA solo en Gasto",IF(AND(C1572="Gasto",D1572=""),"Falta categoría","OK")))))))))</f>
        <v/>
      </c>
    </row>
    <row r="1573" spans="1:12" ht="22" customHeight="1">
      <c r="A1573" s="3"/>
      <c r="B1573" s="7"/>
      <c r="C1573" s="3"/>
      <c r="D1573" s="3"/>
      <c r="E1573" s="3"/>
      <c r="F1573" s="3"/>
      <c r="G1573" s="3"/>
      <c r="H1573" s="4"/>
      <c r="I1573" s="4"/>
      <c r="J1573" s="3"/>
      <c r="K1573" s="8" t="str">
        <f t="shared" si="24"/>
        <v/>
      </c>
      <c r="L1573" s="1" t="str">
        <f>IF(COUNTA(A1573:J1573)=0,"",IF(OR(AND(C1573&lt;&gt;"Gasto",C1573&lt;&gt;"Pago proveedor",C1573&lt;&gt;"Retiro familiar",C1573&lt;&gt;"Aportación",C1573&lt;&gt;"Pago activo",C1573&lt;&gt;"ISR devengado",C1573&lt;&gt;"Pago ISR",C1573&lt;&gt;"Pago IVA",C1573&lt;&gt;"Compensación ISR",C1573&lt;&gt;"Compensación IVA"),AND(C1573="Gasto",D1573&lt;&gt;"Costos clínicos",D1573&lt;&gt;"Remuneración familiar",D1573&lt;&gt;"Nómina y honorarios",D1573&lt;&gt;"Renta",D1573&lt;&gt;"Marketing",D1573&lt;&gt;"Servicios y software",D1573&lt;&gt;"Mantenimiento",D1573&lt;&gt;"Otros",D1573&lt;&gt;"Intereses")),"Tipo o categoría inválido",IF(COUNTA(A1573:J1573)=0,"",IF(OR(A1573="",B1573="",C1573="",H1573=""),"Faltan datos",IF(COUNTIF($A$7:$A$2006,A1573)&gt;1,"ID duplicado",IF(OR(B1573&lt;DATE(Configuración!$C$5,1,1),B1573&gt;=DATE(Configuración!$C$5+1,1,1)),"Fecha fuera del año",IF(OR(H1573&lt;0,I1573&lt;0),"Revisar signo",IF(AND(C1573&lt;&gt;"Gasto",I1573&lt;&gt;0),"IVA solo en Gasto",IF(AND(C1573="Gasto",D1573=""),"Falta categoría","OK")))))))))</f>
        <v/>
      </c>
    </row>
    <row r="1574" spans="1:12" ht="22" customHeight="1">
      <c r="A1574" s="3"/>
      <c r="B1574" s="7"/>
      <c r="C1574" s="3"/>
      <c r="D1574" s="3"/>
      <c r="E1574" s="3"/>
      <c r="F1574" s="3"/>
      <c r="G1574" s="3"/>
      <c r="H1574" s="4"/>
      <c r="I1574" s="4"/>
      <c r="J1574" s="3"/>
      <c r="K1574" s="8" t="str">
        <f t="shared" si="24"/>
        <v/>
      </c>
      <c r="L1574" s="1" t="str">
        <f>IF(COUNTA(A1574:J1574)=0,"",IF(OR(AND(C1574&lt;&gt;"Gasto",C1574&lt;&gt;"Pago proveedor",C1574&lt;&gt;"Retiro familiar",C1574&lt;&gt;"Aportación",C1574&lt;&gt;"Pago activo",C1574&lt;&gt;"ISR devengado",C1574&lt;&gt;"Pago ISR",C1574&lt;&gt;"Pago IVA",C1574&lt;&gt;"Compensación ISR",C1574&lt;&gt;"Compensación IVA"),AND(C1574="Gasto",D1574&lt;&gt;"Costos clínicos",D1574&lt;&gt;"Remuneración familiar",D1574&lt;&gt;"Nómina y honorarios",D1574&lt;&gt;"Renta",D1574&lt;&gt;"Marketing",D1574&lt;&gt;"Servicios y software",D1574&lt;&gt;"Mantenimiento",D1574&lt;&gt;"Otros",D1574&lt;&gt;"Intereses")),"Tipo o categoría inválido",IF(COUNTA(A1574:J1574)=0,"",IF(OR(A1574="",B1574="",C1574="",H1574=""),"Faltan datos",IF(COUNTIF($A$7:$A$2006,A1574)&gt;1,"ID duplicado",IF(OR(B1574&lt;DATE(Configuración!$C$5,1,1),B1574&gt;=DATE(Configuración!$C$5+1,1,1)),"Fecha fuera del año",IF(OR(H1574&lt;0,I1574&lt;0),"Revisar signo",IF(AND(C1574&lt;&gt;"Gasto",I1574&lt;&gt;0),"IVA solo en Gasto",IF(AND(C1574="Gasto",D1574=""),"Falta categoría","OK")))))))))</f>
        <v/>
      </c>
    </row>
    <row r="1575" spans="1:12" ht="22" customHeight="1">
      <c r="A1575" s="3"/>
      <c r="B1575" s="7"/>
      <c r="C1575" s="3"/>
      <c r="D1575" s="3"/>
      <c r="E1575" s="3"/>
      <c r="F1575" s="3"/>
      <c r="G1575" s="3"/>
      <c r="H1575" s="4"/>
      <c r="I1575" s="4"/>
      <c r="J1575" s="3"/>
      <c r="K1575" s="8" t="str">
        <f t="shared" si="24"/>
        <v/>
      </c>
      <c r="L1575" s="1" t="str">
        <f>IF(COUNTA(A1575:J1575)=0,"",IF(OR(AND(C1575&lt;&gt;"Gasto",C1575&lt;&gt;"Pago proveedor",C1575&lt;&gt;"Retiro familiar",C1575&lt;&gt;"Aportación",C1575&lt;&gt;"Pago activo",C1575&lt;&gt;"ISR devengado",C1575&lt;&gt;"Pago ISR",C1575&lt;&gt;"Pago IVA",C1575&lt;&gt;"Compensación ISR",C1575&lt;&gt;"Compensación IVA"),AND(C1575="Gasto",D1575&lt;&gt;"Costos clínicos",D1575&lt;&gt;"Remuneración familiar",D1575&lt;&gt;"Nómina y honorarios",D1575&lt;&gt;"Renta",D1575&lt;&gt;"Marketing",D1575&lt;&gt;"Servicios y software",D1575&lt;&gt;"Mantenimiento",D1575&lt;&gt;"Otros",D1575&lt;&gt;"Intereses")),"Tipo o categoría inválido",IF(COUNTA(A1575:J1575)=0,"",IF(OR(A1575="",B1575="",C1575="",H1575=""),"Faltan datos",IF(COUNTIF($A$7:$A$2006,A1575)&gt;1,"ID duplicado",IF(OR(B1575&lt;DATE(Configuración!$C$5,1,1),B1575&gt;=DATE(Configuración!$C$5+1,1,1)),"Fecha fuera del año",IF(OR(H1575&lt;0,I1575&lt;0),"Revisar signo",IF(AND(C1575&lt;&gt;"Gasto",I1575&lt;&gt;0),"IVA solo en Gasto",IF(AND(C1575="Gasto",D1575=""),"Falta categoría","OK")))))))))</f>
        <v/>
      </c>
    </row>
    <row r="1576" spans="1:12" ht="22" customHeight="1">
      <c r="A1576" s="3"/>
      <c r="B1576" s="7"/>
      <c r="C1576" s="3"/>
      <c r="D1576" s="3"/>
      <c r="E1576" s="3"/>
      <c r="F1576" s="3"/>
      <c r="G1576" s="3"/>
      <c r="H1576" s="4"/>
      <c r="I1576" s="4"/>
      <c r="J1576" s="3"/>
      <c r="K1576" s="8" t="str">
        <f t="shared" si="24"/>
        <v/>
      </c>
      <c r="L1576" s="1" t="str">
        <f>IF(COUNTA(A1576:J1576)=0,"",IF(OR(AND(C1576&lt;&gt;"Gasto",C1576&lt;&gt;"Pago proveedor",C1576&lt;&gt;"Retiro familiar",C1576&lt;&gt;"Aportación",C1576&lt;&gt;"Pago activo",C1576&lt;&gt;"ISR devengado",C1576&lt;&gt;"Pago ISR",C1576&lt;&gt;"Pago IVA",C1576&lt;&gt;"Compensación ISR",C1576&lt;&gt;"Compensación IVA"),AND(C1576="Gasto",D1576&lt;&gt;"Costos clínicos",D1576&lt;&gt;"Remuneración familiar",D1576&lt;&gt;"Nómina y honorarios",D1576&lt;&gt;"Renta",D1576&lt;&gt;"Marketing",D1576&lt;&gt;"Servicios y software",D1576&lt;&gt;"Mantenimiento",D1576&lt;&gt;"Otros",D1576&lt;&gt;"Intereses")),"Tipo o categoría inválido",IF(COUNTA(A1576:J1576)=0,"",IF(OR(A1576="",B1576="",C1576="",H1576=""),"Faltan datos",IF(COUNTIF($A$7:$A$2006,A1576)&gt;1,"ID duplicado",IF(OR(B1576&lt;DATE(Configuración!$C$5,1,1),B1576&gt;=DATE(Configuración!$C$5+1,1,1)),"Fecha fuera del año",IF(OR(H1576&lt;0,I1576&lt;0),"Revisar signo",IF(AND(C1576&lt;&gt;"Gasto",I1576&lt;&gt;0),"IVA solo en Gasto",IF(AND(C1576="Gasto",D1576=""),"Falta categoría","OK")))))))))</f>
        <v/>
      </c>
    </row>
    <row r="1577" spans="1:12" ht="22" customHeight="1">
      <c r="A1577" s="3"/>
      <c r="B1577" s="7"/>
      <c r="C1577" s="3"/>
      <c r="D1577" s="3"/>
      <c r="E1577" s="3"/>
      <c r="F1577" s="3"/>
      <c r="G1577" s="3"/>
      <c r="H1577" s="4"/>
      <c r="I1577" s="4"/>
      <c r="J1577" s="3"/>
      <c r="K1577" s="8" t="str">
        <f t="shared" si="24"/>
        <v/>
      </c>
      <c r="L1577" s="1" t="str">
        <f>IF(COUNTA(A1577:J1577)=0,"",IF(OR(AND(C1577&lt;&gt;"Gasto",C1577&lt;&gt;"Pago proveedor",C1577&lt;&gt;"Retiro familiar",C1577&lt;&gt;"Aportación",C1577&lt;&gt;"Pago activo",C1577&lt;&gt;"ISR devengado",C1577&lt;&gt;"Pago ISR",C1577&lt;&gt;"Pago IVA",C1577&lt;&gt;"Compensación ISR",C1577&lt;&gt;"Compensación IVA"),AND(C1577="Gasto",D1577&lt;&gt;"Costos clínicos",D1577&lt;&gt;"Remuneración familiar",D1577&lt;&gt;"Nómina y honorarios",D1577&lt;&gt;"Renta",D1577&lt;&gt;"Marketing",D1577&lt;&gt;"Servicios y software",D1577&lt;&gt;"Mantenimiento",D1577&lt;&gt;"Otros",D1577&lt;&gt;"Intereses")),"Tipo o categoría inválido",IF(COUNTA(A1577:J1577)=0,"",IF(OR(A1577="",B1577="",C1577="",H1577=""),"Faltan datos",IF(COUNTIF($A$7:$A$2006,A1577)&gt;1,"ID duplicado",IF(OR(B1577&lt;DATE(Configuración!$C$5,1,1),B1577&gt;=DATE(Configuración!$C$5+1,1,1)),"Fecha fuera del año",IF(OR(H1577&lt;0,I1577&lt;0),"Revisar signo",IF(AND(C1577&lt;&gt;"Gasto",I1577&lt;&gt;0),"IVA solo en Gasto",IF(AND(C1577="Gasto",D1577=""),"Falta categoría","OK")))))))))</f>
        <v/>
      </c>
    </row>
    <row r="1578" spans="1:12" ht="22" customHeight="1">
      <c r="A1578" s="3"/>
      <c r="B1578" s="7"/>
      <c r="C1578" s="3"/>
      <c r="D1578" s="3"/>
      <c r="E1578" s="3"/>
      <c r="F1578" s="3"/>
      <c r="G1578" s="3"/>
      <c r="H1578" s="4"/>
      <c r="I1578" s="4"/>
      <c r="J1578" s="3"/>
      <c r="K1578" s="8" t="str">
        <f t="shared" si="24"/>
        <v/>
      </c>
      <c r="L1578" s="1" t="str">
        <f>IF(COUNTA(A1578:J1578)=0,"",IF(OR(AND(C1578&lt;&gt;"Gasto",C1578&lt;&gt;"Pago proveedor",C1578&lt;&gt;"Retiro familiar",C1578&lt;&gt;"Aportación",C1578&lt;&gt;"Pago activo",C1578&lt;&gt;"ISR devengado",C1578&lt;&gt;"Pago ISR",C1578&lt;&gt;"Pago IVA",C1578&lt;&gt;"Compensación ISR",C1578&lt;&gt;"Compensación IVA"),AND(C1578="Gasto",D1578&lt;&gt;"Costos clínicos",D1578&lt;&gt;"Remuneración familiar",D1578&lt;&gt;"Nómina y honorarios",D1578&lt;&gt;"Renta",D1578&lt;&gt;"Marketing",D1578&lt;&gt;"Servicios y software",D1578&lt;&gt;"Mantenimiento",D1578&lt;&gt;"Otros",D1578&lt;&gt;"Intereses")),"Tipo o categoría inválido",IF(COUNTA(A1578:J1578)=0,"",IF(OR(A1578="",B1578="",C1578="",H1578=""),"Faltan datos",IF(COUNTIF($A$7:$A$2006,A1578)&gt;1,"ID duplicado",IF(OR(B1578&lt;DATE(Configuración!$C$5,1,1),B1578&gt;=DATE(Configuración!$C$5+1,1,1)),"Fecha fuera del año",IF(OR(H1578&lt;0,I1578&lt;0),"Revisar signo",IF(AND(C1578&lt;&gt;"Gasto",I1578&lt;&gt;0),"IVA solo en Gasto",IF(AND(C1578="Gasto",D1578=""),"Falta categoría","OK")))))))))</f>
        <v/>
      </c>
    </row>
    <row r="1579" spans="1:12" ht="22" customHeight="1">
      <c r="A1579" s="3"/>
      <c r="B1579" s="7"/>
      <c r="C1579" s="3"/>
      <c r="D1579" s="3"/>
      <c r="E1579" s="3"/>
      <c r="F1579" s="3"/>
      <c r="G1579" s="3"/>
      <c r="H1579" s="4"/>
      <c r="I1579" s="4"/>
      <c r="J1579" s="3"/>
      <c r="K1579" s="8" t="str">
        <f t="shared" si="24"/>
        <v/>
      </c>
      <c r="L1579" s="1" t="str">
        <f>IF(COUNTA(A1579:J1579)=0,"",IF(OR(AND(C1579&lt;&gt;"Gasto",C1579&lt;&gt;"Pago proveedor",C1579&lt;&gt;"Retiro familiar",C1579&lt;&gt;"Aportación",C1579&lt;&gt;"Pago activo",C1579&lt;&gt;"ISR devengado",C1579&lt;&gt;"Pago ISR",C1579&lt;&gt;"Pago IVA",C1579&lt;&gt;"Compensación ISR",C1579&lt;&gt;"Compensación IVA"),AND(C1579="Gasto",D1579&lt;&gt;"Costos clínicos",D1579&lt;&gt;"Remuneración familiar",D1579&lt;&gt;"Nómina y honorarios",D1579&lt;&gt;"Renta",D1579&lt;&gt;"Marketing",D1579&lt;&gt;"Servicios y software",D1579&lt;&gt;"Mantenimiento",D1579&lt;&gt;"Otros",D1579&lt;&gt;"Intereses")),"Tipo o categoría inválido",IF(COUNTA(A1579:J1579)=0,"",IF(OR(A1579="",B1579="",C1579="",H1579=""),"Faltan datos",IF(COUNTIF($A$7:$A$2006,A1579)&gt;1,"ID duplicado",IF(OR(B1579&lt;DATE(Configuración!$C$5,1,1),B1579&gt;=DATE(Configuración!$C$5+1,1,1)),"Fecha fuera del año",IF(OR(H1579&lt;0,I1579&lt;0),"Revisar signo",IF(AND(C1579&lt;&gt;"Gasto",I1579&lt;&gt;0),"IVA solo en Gasto",IF(AND(C1579="Gasto",D1579=""),"Falta categoría","OK")))))))))</f>
        <v/>
      </c>
    </row>
    <row r="1580" spans="1:12" ht="22" customHeight="1">
      <c r="A1580" s="3"/>
      <c r="B1580" s="7"/>
      <c r="C1580" s="3"/>
      <c r="D1580" s="3"/>
      <c r="E1580" s="3"/>
      <c r="F1580" s="3"/>
      <c r="G1580" s="3"/>
      <c r="H1580" s="4"/>
      <c r="I1580" s="4"/>
      <c r="J1580" s="3"/>
      <c r="K1580" s="8" t="str">
        <f t="shared" si="24"/>
        <v/>
      </c>
      <c r="L1580" s="1" t="str">
        <f>IF(COUNTA(A1580:J1580)=0,"",IF(OR(AND(C1580&lt;&gt;"Gasto",C1580&lt;&gt;"Pago proveedor",C1580&lt;&gt;"Retiro familiar",C1580&lt;&gt;"Aportación",C1580&lt;&gt;"Pago activo",C1580&lt;&gt;"ISR devengado",C1580&lt;&gt;"Pago ISR",C1580&lt;&gt;"Pago IVA",C1580&lt;&gt;"Compensación ISR",C1580&lt;&gt;"Compensación IVA"),AND(C1580="Gasto",D1580&lt;&gt;"Costos clínicos",D1580&lt;&gt;"Remuneración familiar",D1580&lt;&gt;"Nómina y honorarios",D1580&lt;&gt;"Renta",D1580&lt;&gt;"Marketing",D1580&lt;&gt;"Servicios y software",D1580&lt;&gt;"Mantenimiento",D1580&lt;&gt;"Otros",D1580&lt;&gt;"Intereses")),"Tipo o categoría inválido",IF(COUNTA(A1580:J1580)=0,"",IF(OR(A1580="",B1580="",C1580="",H1580=""),"Faltan datos",IF(COUNTIF($A$7:$A$2006,A1580)&gt;1,"ID duplicado",IF(OR(B1580&lt;DATE(Configuración!$C$5,1,1),B1580&gt;=DATE(Configuración!$C$5+1,1,1)),"Fecha fuera del año",IF(OR(H1580&lt;0,I1580&lt;0),"Revisar signo",IF(AND(C1580&lt;&gt;"Gasto",I1580&lt;&gt;0),"IVA solo en Gasto",IF(AND(C1580="Gasto",D1580=""),"Falta categoría","OK")))))))))</f>
        <v/>
      </c>
    </row>
    <row r="1581" spans="1:12" ht="22" customHeight="1">
      <c r="A1581" s="3"/>
      <c r="B1581" s="7"/>
      <c r="C1581" s="3"/>
      <c r="D1581" s="3"/>
      <c r="E1581" s="3"/>
      <c r="F1581" s="3"/>
      <c r="G1581" s="3"/>
      <c r="H1581" s="4"/>
      <c r="I1581" s="4"/>
      <c r="J1581" s="3"/>
      <c r="K1581" s="8" t="str">
        <f t="shared" si="24"/>
        <v/>
      </c>
      <c r="L1581" s="1" t="str">
        <f>IF(COUNTA(A1581:J1581)=0,"",IF(OR(AND(C1581&lt;&gt;"Gasto",C1581&lt;&gt;"Pago proveedor",C1581&lt;&gt;"Retiro familiar",C1581&lt;&gt;"Aportación",C1581&lt;&gt;"Pago activo",C1581&lt;&gt;"ISR devengado",C1581&lt;&gt;"Pago ISR",C1581&lt;&gt;"Pago IVA",C1581&lt;&gt;"Compensación ISR",C1581&lt;&gt;"Compensación IVA"),AND(C1581="Gasto",D1581&lt;&gt;"Costos clínicos",D1581&lt;&gt;"Remuneración familiar",D1581&lt;&gt;"Nómina y honorarios",D1581&lt;&gt;"Renta",D1581&lt;&gt;"Marketing",D1581&lt;&gt;"Servicios y software",D1581&lt;&gt;"Mantenimiento",D1581&lt;&gt;"Otros",D1581&lt;&gt;"Intereses")),"Tipo o categoría inválido",IF(COUNTA(A1581:J1581)=0,"",IF(OR(A1581="",B1581="",C1581="",H1581=""),"Faltan datos",IF(COUNTIF($A$7:$A$2006,A1581)&gt;1,"ID duplicado",IF(OR(B1581&lt;DATE(Configuración!$C$5,1,1),B1581&gt;=DATE(Configuración!$C$5+1,1,1)),"Fecha fuera del año",IF(OR(H1581&lt;0,I1581&lt;0),"Revisar signo",IF(AND(C1581&lt;&gt;"Gasto",I1581&lt;&gt;0),"IVA solo en Gasto",IF(AND(C1581="Gasto",D1581=""),"Falta categoría","OK")))))))))</f>
        <v/>
      </c>
    </row>
    <row r="1582" spans="1:12" ht="22" customHeight="1">
      <c r="A1582" s="3"/>
      <c r="B1582" s="7"/>
      <c r="C1582" s="3"/>
      <c r="D1582" s="3"/>
      <c r="E1582" s="3"/>
      <c r="F1582" s="3"/>
      <c r="G1582" s="3"/>
      <c r="H1582" s="4"/>
      <c r="I1582" s="4"/>
      <c r="J1582" s="3"/>
      <c r="K1582" s="8" t="str">
        <f t="shared" si="24"/>
        <v/>
      </c>
      <c r="L1582" s="1" t="str">
        <f>IF(COUNTA(A1582:J1582)=0,"",IF(OR(AND(C1582&lt;&gt;"Gasto",C1582&lt;&gt;"Pago proveedor",C1582&lt;&gt;"Retiro familiar",C1582&lt;&gt;"Aportación",C1582&lt;&gt;"Pago activo",C1582&lt;&gt;"ISR devengado",C1582&lt;&gt;"Pago ISR",C1582&lt;&gt;"Pago IVA",C1582&lt;&gt;"Compensación ISR",C1582&lt;&gt;"Compensación IVA"),AND(C1582="Gasto",D1582&lt;&gt;"Costos clínicos",D1582&lt;&gt;"Remuneración familiar",D1582&lt;&gt;"Nómina y honorarios",D1582&lt;&gt;"Renta",D1582&lt;&gt;"Marketing",D1582&lt;&gt;"Servicios y software",D1582&lt;&gt;"Mantenimiento",D1582&lt;&gt;"Otros",D1582&lt;&gt;"Intereses")),"Tipo o categoría inválido",IF(COUNTA(A1582:J1582)=0,"",IF(OR(A1582="",B1582="",C1582="",H1582=""),"Faltan datos",IF(COUNTIF($A$7:$A$2006,A1582)&gt;1,"ID duplicado",IF(OR(B1582&lt;DATE(Configuración!$C$5,1,1),B1582&gt;=DATE(Configuración!$C$5+1,1,1)),"Fecha fuera del año",IF(OR(H1582&lt;0,I1582&lt;0),"Revisar signo",IF(AND(C1582&lt;&gt;"Gasto",I1582&lt;&gt;0),"IVA solo en Gasto",IF(AND(C1582="Gasto",D1582=""),"Falta categoría","OK")))))))))</f>
        <v/>
      </c>
    </row>
    <row r="1583" spans="1:12" ht="22" customHeight="1">
      <c r="A1583" s="3"/>
      <c r="B1583" s="7"/>
      <c r="C1583" s="3"/>
      <c r="D1583" s="3"/>
      <c r="E1583" s="3"/>
      <c r="F1583" s="3"/>
      <c r="G1583" s="3"/>
      <c r="H1583" s="4"/>
      <c r="I1583" s="4"/>
      <c r="J1583" s="3"/>
      <c r="K1583" s="8" t="str">
        <f t="shared" si="24"/>
        <v/>
      </c>
      <c r="L1583" s="1" t="str">
        <f>IF(COUNTA(A1583:J1583)=0,"",IF(OR(AND(C1583&lt;&gt;"Gasto",C1583&lt;&gt;"Pago proveedor",C1583&lt;&gt;"Retiro familiar",C1583&lt;&gt;"Aportación",C1583&lt;&gt;"Pago activo",C1583&lt;&gt;"ISR devengado",C1583&lt;&gt;"Pago ISR",C1583&lt;&gt;"Pago IVA",C1583&lt;&gt;"Compensación ISR",C1583&lt;&gt;"Compensación IVA"),AND(C1583="Gasto",D1583&lt;&gt;"Costos clínicos",D1583&lt;&gt;"Remuneración familiar",D1583&lt;&gt;"Nómina y honorarios",D1583&lt;&gt;"Renta",D1583&lt;&gt;"Marketing",D1583&lt;&gt;"Servicios y software",D1583&lt;&gt;"Mantenimiento",D1583&lt;&gt;"Otros",D1583&lt;&gt;"Intereses")),"Tipo o categoría inválido",IF(COUNTA(A1583:J1583)=0,"",IF(OR(A1583="",B1583="",C1583="",H1583=""),"Faltan datos",IF(COUNTIF($A$7:$A$2006,A1583)&gt;1,"ID duplicado",IF(OR(B1583&lt;DATE(Configuración!$C$5,1,1),B1583&gt;=DATE(Configuración!$C$5+1,1,1)),"Fecha fuera del año",IF(OR(H1583&lt;0,I1583&lt;0),"Revisar signo",IF(AND(C1583&lt;&gt;"Gasto",I1583&lt;&gt;0),"IVA solo en Gasto",IF(AND(C1583="Gasto",D1583=""),"Falta categoría","OK")))))))))</f>
        <v/>
      </c>
    </row>
    <row r="1584" spans="1:12" ht="22" customHeight="1">
      <c r="A1584" s="3"/>
      <c r="B1584" s="7"/>
      <c r="C1584" s="3"/>
      <c r="D1584" s="3"/>
      <c r="E1584" s="3"/>
      <c r="F1584" s="3"/>
      <c r="G1584" s="3"/>
      <c r="H1584" s="4"/>
      <c r="I1584" s="4"/>
      <c r="J1584" s="3"/>
      <c r="K1584" s="8" t="str">
        <f t="shared" si="24"/>
        <v/>
      </c>
      <c r="L1584" s="1" t="str">
        <f>IF(COUNTA(A1584:J1584)=0,"",IF(OR(AND(C1584&lt;&gt;"Gasto",C1584&lt;&gt;"Pago proveedor",C1584&lt;&gt;"Retiro familiar",C1584&lt;&gt;"Aportación",C1584&lt;&gt;"Pago activo",C1584&lt;&gt;"ISR devengado",C1584&lt;&gt;"Pago ISR",C1584&lt;&gt;"Pago IVA",C1584&lt;&gt;"Compensación ISR",C1584&lt;&gt;"Compensación IVA"),AND(C1584="Gasto",D1584&lt;&gt;"Costos clínicos",D1584&lt;&gt;"Remuneración familiar",D1584&lt;&gt;"Nómina y honorarios",D1584&lt;&gt;"Renta",D1584&lt;&gt;"Marketing",D1584&lt;&gt;"Servicios y software",D1584&lt;&gt;"Mantenimiento",D1584&lt;&gt;"Otros",D1584&lt;&gt;"Intereses")),"Tipo o categoría inválido",IF(COUNTA(A1584:J1584)=0,"",IF(OR(A1584="",B1584="",C1584="",H1584=""),"Faltan datos",IF(COUNTIF($A$7:$A$2006,A1584)&gt;1,"ID duplicado",IF(OR(B1584&lt;DATE(Configuración!$C$5,1,1),B1584&gt;=DATE(Configuración!$C$5+1,1,1)),"Fecha fuera del año",IF(OR(H1584&lt;0,I1584&lt;0),"Revisar signo",IF(AND(C1584&lt;&gt;"Gasto",I1584&lt;&gt;0),"IVA solo en Gasto",IF(AND(C1584="Gasto",D1584=""),"Falta categoría","OK")))))))))</f>
        <v/>
      </c>
    </row>
    <row r="1585" spans="1:12" ht="22" customHeight="1">
      <c r="A1585" s="3"/>
      <c r="B1585" s="7"/>
      <c r="C1585" s="3"/>
      <c r="D1585" s="3"/>
      <c r="E1585" s="3"/>
      <c r="F1585" s="3"/>
      <c r="G1585" s="3"/>
      <c r="H1585" s="4"/>
      <c r="I1585" s="4"/>
      <c r="J1585" s="3"/>
      <c r="K1585" s="8" t="str">
        <f t="shared" si="24"/>
        <v/>
      </c>
      <c r="L1585" s="1" t="str">
        <f>IF(COUNTA(A1585:J1585)=0,"",IF(OR(AND(C1585&lt;&gt;"Gasto",C1585&lt;&gt;"Pago proveedor",C1585&lt;&gt;"Retiro familiar",C1585&lt;&gt;"Aportación",C1585&lt;&gt;"Pago activo",C1585&lt;&gt;"ISR devengado",C1585&lt;&gt;"Pago ISR",C1585&lt;&gt;"Pago IVA",C1585&lt;&gt;"Compensación ISR",C1585&lt;&gt;"Compensación IVA"),AND(C1585="Gasto",D1585&lt;&gt;"Costos clínicos",D1585&lt;&gt;"Remuneración familiar",D1585&lt;&gt;"Nómina y honorarios",D1585&lt;&gt;"Renta",D1585&lt;&gt;"Marketing",D1585&lt;&gt;"Servicios y software",D1585&lt;&gt;"Mantenimiento",D1585&lt;&gt;"Otros",D1585&lt;&gt;"Intereses")),"Tipo o categoría inválido",IF(COUNTA(A1585:J1585)=0,"",IF(OR(A1585="",B1585="",C1585="",H1585=""),"Faltan datos",IF(COUNTIF($A$7:$A$2006,A1585)&gt;1,"ID duplicado",IF(OR(B1585&lt;DATE(Configuración!$C$5,1,1),B1585&gt;=DATE(Configuración!$C$5+1,1,1)),"Fecha fuera del año",IF(OR(H1585&lt;0,I1585&lt;0),"Revisar signo",IF(AND(C1585&lt;&gt;"Gasto",I1585&lt;&gt;0),"IVA solo en Gasto",IF(AND(C1585="Gasto",D1585=""),"Falta categoría","OK")))))))))</f>
        <v/>
      </c>
    </row>
    <row r="1586" spans="1:12" ht="22" customHeight="1">
      <c r="A1586" s="3"/>
      <c r="B1586" s="7"/>
      <c r="C1586" s="3"/>
      <c r="D1586" s="3"/>
      <c r="E1586" s="3"/>
      <c r="F1586" s="3"/>
      <c r="G1586" s="3"/>
      <c r="H1586" s="4"/>
      <c r="I1586" s="4"/>
      <c r="J1586" s="3"/>
      <c r="K1586" s="8" t="str">
        <f t="shared" si="24"/>
        <v/>
      </c>
      <c r="L1586" s="1" t="str">
        <f>IF(COUNTA(A1586:J1586)=0,"",IF(OR(AND(C1586&lt;&gt;"Gasto",C1586&lt;&gt;"Pago proveedor",C1586&lt;&gt;"Retiro familiar",C1586&lt;&gt;"Aportación",C1586&lt;&gt;"Pago activo",C1586&lt;&gt;"ISR devengado",C1586&lt;&gt;"Pago ISR",C1586&lt;&gt;"Pago IVA",C1586&lt;&gt;"Compensación ISR",C1586&lt;&gt;"Compensación IVA"),AND(C1586="Gasto",D1586&lt;&gt;"Costos clínicos",D1586&lt;&gt;"Remuneración familiar",D1586&lt;&gt;"Nómina y honorarios",D1586&lt;&gt;"Renta",D1586&lt;&gt;"Marketing",D1586&lt;&gt;"Servicios y software",D1586&lt;&gt;"Mantenimiento",D1586&lt;&gt;"Otros",D1586&lt;&gt;"Intereses")),"Tipo o categoría inválido",IF(COUNTA(A1586:J1586)=0,"",IF(OR(A1586="",B1586="",C1586="",H1586=""),"Faltan datos",IF(COUNTIF($A$7:$A$2006,A1586)&gt;1,"ID duplicado",IF(OR(B1586&lt;DATE(Configuración!$C$5,1,1),B1586&gt;=DATE(Configuración!$C$5+1,1,1)),"Fecha fuera del año",IF(OR(H1586&lt;0,I1586&lt;0),"Revisar signo",IF(AND(C1586&lt;&gt;"Gasto",I1586&lt;&gt;0),"IVA solo en Gasto",IF(AND(C1586="Gasto",D1586=""),"Falta categoría","OK")))))))))</f>
        <v/>
      </c>
    </row>
    <row r="1587" spans="1:12" ht="22" customHeight="1">
      <c r="A1587" s="3"/>
      <c r="B1587" s="7"/>
      <c r="C1587" s="3"/>
      <c r="D1587" s="3"/>
      <c r="E1587" s="3"/>
      <c r="F1587" s="3"/>
      <c r="G1587" s="3"/>
      <c r="H1587" s="4"/>
      <c r="I1587" s="4"/>
      <c r="J1587" s="3"/>
      <c r="K1587" s="8" t="str">
        <f t="shared" si="24"/>
        <v/>
      </c>
      <c r="L1587" s="1" t="str">
        <f>IF(COUNTA(A1587:J1587)=0,"",IF(OR(AND(C1587&lt;&gt;"Gasto",C1587&lt;&gt;"Pago proveedor",C1587&lt;&gt;"Retiro familiar",C1587&lt;&gt;"Aportación",C1587&lt;&gt;"Pago activo",C1587&lt;&gt;"ISR devengado",C1587&lt;&gt;"Pago ISR",C1587&lt;&gt;"Pago IVA",C1587&lt;&gt;"Compensación ISR",C1587&lt;&gt;"Compensación IVA"),AND(C1587="Gasto",D1587&lt;&gt;"Costos clínicos",D1587&lt;&gt;"Remuneración familiar",D1587&lt;&gt;"Nómina y honorarios",D1587&lt;&gt;"Renta",D1587&lt;&gt;"Marketing",D1587&lt;&gt;"Servicios y software",D1587&lt;&gt;"Mantenimiento",D1587&lt;&gt;"Otros",D1587&lt;&gt;"Intereses")),"Tipo o categoría inválido",IF(COUNTA(A1587:J1587)=0,"",IF(OR(A1587="",B1587="",C1587="",H1587=""),"Faltan datos",IF(COUNTIF($A$7:$A$2006,A1587)&gt;1,"ID duplicado",IF(OR(B1587&lt;DATE(Configuración!$C$5,1,1),B1587&gt;=DATE(Configuración!$C$5+1,1,1)),"Fecha fuera del año",IF(OR(H1587&lt;0,I1587&lt;0),"Revisar signo",IF(AND(C1587&lt;&gt;"Gasto",I1587&lt;&gt;0),"IVA solo en Gasto",IF(AND(C1587="Gasto",D1587=""),"Falta categoría","OK")))))))))</f>
        <v/>
      </c>
    </row>
    <row r="1588" spans="1:12" ht="22" customHeight="1">
      <c r="A1588" s="3"/>
      <c r="B1588" s="7"/>
      <c r="C1588" s="3"/>
      <c r="D1588" s="3"/>
      <c r="E1588" s="3"/>
      <c r="F1588" s="3"/>
      <c r="G1588" s="3"/>
      <c r="H1588" s="4"/>
      <c r="I1588" s="4"/>
      <c r="J1588" s="3"/>
      <c r="K1588" s="8" t="str">
        <f t="shared" si="24"/>
        <v/>
      </c>
      <c r="L1588" s="1" t="str">
        <f>IF(COUNTA(A1588:J1588)=0,"",IF(OR(AND(C1588&lt;&gt;"Gasto",C1588&lt;&gt;"Pago proveedor",C1588&lt;&gt;"Retiro familiar",C1588&lt;&gt;"Aportación",C1588&lt;&gt;"Pago activo",C1588&lt;&gt;"ISR devengado",C1588&lt;&gt;"Pago ISR",C1588&lt;&gt;"Pago IVA",C1588&lt;&gt;"Compensación ISR",C1588&lt;&gt;"Compensación IVA"),AND(C1588="Gasto",D1588&lt;&gt;"Costos clínicos",D1588&lt;&gt;"Remuneración familiar",D1588&lt;&gt;"Nómina y honorarios",D1588&lt;&gt;"Renta",D1588&lt;&gt;"Marketing",D1588&lt;&gt;"Servicios y software",D1588&lt;&gt;"Mantenimiento",D1588&lt;&gt;"Otros",D1588&lt;&gt;"Intereses")),"Tipo o categoría inválido",IF(COUNTA(A1588:J1588)=0,"",IF(OR(A1588="",B1588="",C1588="",H1588=""),"Faltan datos",IF(COUNTIF($A$7:$A$2006,A1588)&gt;1,"ID duplicado",IF(OR(B1588&lt;DATE(Configuración!$C$5,1,1),B1588&gt;=DATE(Configuración!$C$5+1,1,1)),"Fecha fuera del año",IF(OR(H1588&lt;0,I1588&lt;0),"Revisar signo",IF(AND(C1588&lt;&gt;"Gasto",I1588&lt;&gt;0),"IVA solo en Gasto",IF(AND(C1588="Gasto",D1588=""),"Falta categoría","OK")))))))))</f>
        <v/>
      </c>
    </row>
    <row r="1589" spans="1:12" ht="22" customHeight="1">
      <c r="A1589" s="3"/>
      <c r="B1589" s="7"/>
      <c r="C1589" s="3"/>
      <c r="D1589" s="3"/>
      <c r="E1589" s="3"/>
      <c r="F1589" s="3"/>
      <c r="G1589" s="3"/>
      <c r="H1589" s="4"/>
      <c r="I1589" s="4"/>
      <c r="J1589" s="3"/>
      <c r="K1589" s="8" t="str">
        <f t="shared" si="24"/>
        <v/>
      </c>
      <c r="L1589" s="1" t="str">
        <f>IF(COUNTA(A1589:J1589)=0,"",IF(OR(AND(C1589&lt;&gt;"Gasto",C1589&lt;&gt;"Pago proveedor",C1589&lt;&gt;"Retiro familiar",C1589&lt;&gt;"Aportación",C1589&lt;&gt;"Pago activo",C1589&lt;&gt;"ISR devengado",C1589&lt;&gt;"Pago ISR",C1589&lt;&gt;"Pago IVA",C1589&lt;&gt;"Compensación ISR",C1589&lt;&gt;"Compensación IVA"),AND(C1589="Gasto",D1589&lt;&gt;"Costos clínicos",D1589&lt;&gt;"Remuneración familiar",D1589&lt;&gt;"Nómina y honorarios",D1589&lt;&gt;"Renta",D1589&lt;&gt;"Marketing",D1589&lt;&gt;"Servicios y software",D1589&lt;&gt;"Mantenimiento",D1589&lt;&gt;"Otros",D1589&lt;&gt;"Intereses")),"Tipo o categoría inválido",IF(COUNTA(A1589:J1589)=0,"",IF(OR(A1589="",B1589="",C1589="",H1589=""),"Faltan datos",IF(COUNTIF($A$7:$A$2006,A1589)&gt;1,"ID duplicado",IF(OR(B1589&lt;DATE(Configuración!$C$5,1,1),B1589&gt;=DATE(Configuración!$C$5+1,1,1)),"Fecha fuera del año",IF(OR(H1589&lt;0,I1589&lt;0),"Revisar signo",IF(AND(C1589&lt;&gt;"Gasto",I1589&lt;&gt;0),"IVA solo en Gasto",IF(AND(C1589="Gasto",D1589=""),"Falta categoría","OK")))))))))</f>
        <v/>
      </c>
    </row>
    <row r="1590" spans="1:12" ht="22" customHeight="1">
      <c r="A1590" s="3"/>
      <c r="B1590" s="7"/>
      <c r="C1590" s="3"/>
      <c r="D1590" s="3"/>
      <c r="E1590" s="3"/>
      <c r="F1590" s="3"/>
      <c r="G1590" s="3"/>
      <c r="H1590" s="4"/>
      <c r="I1590" s="4"/>
      <c r="J1590" s="3"/>
      <c r="K1590" s="8" t="str">
        <f t="shared" si="24"/>
        <v/>
      </c>
      <c r="L1590" s="1" t="str">
        <f>IF(COUNTA(A1590:J1590)=0,"",IF(OR(AND(C1590&lt;&gt;"Gasto",C1590&lt;&gt;"Pago proveedor",C1590&lt;&gt;"Retiro familiar",C1590&lt;&gt;"Aportación",C1590&lt;&gt;"Pago activo",C1590&lt;&gt;"ISR devengado",C1590&lt;&gt;"Pago ISR",C1590&lt;&gt;"Pago IVA",C1590&lt;&gt;"Compensación ISR",C1590&lt;&gt;"Compensación IVA"),AND(C1590="Gasto",D1590&lt;&gt;"Costos clínicos",D1590&lt;&gt;"Remuneración familiar",D1590&lt;&gt;"Nómina y honorarios",D1590&lt;&gt;"Renta",D1590&lt;&gt;"Marketing",D1590&lt;&gt;"Servicios y software",D1590&lt;&gt;"Mantenimiento",D1590&lt;&gt;"Otros",D1590&lt;&gt;"Intereses")),"Tipo o categoría inválido",IF(COUNTA(A1590:J1590)=0,"",IF(OR(A1590="",B1590="",C1590="",H1590=""),"Faltan datos",IF(COUNTIF($A$7:$A$2006,A1590)&gt;1,"ID duplicado",IF(OR(B1590&lt;DATE(Configuración!$C$5,1,1),B1590&gt;=DATE(Configuración!$C$5+1,1,1)),"Fecha fuera del año",IF(OR(H1590&lt;0,I1590&lt;0),"Revisar signo",IF(AND(C1590&lt;&gt;"Gasto",I1590&lt;&gt;0),"IVA solo en Gasto",IF(AND(C1590="Gasto",D1590=""),"Falta categoría","OK")))))))))</f>
        <v/>
      </c>
    </row>
    <row r="1591" spans="1:12" ht="22" customHeight="1">
      <c r="A1591" s="3"/>
      <c r="B1591" s="7"/>
      <c r="C1591" s="3"/>
      <c r="D1591" s="3"/>
      <c r="E1591" s="3"/>
      <c r="F1591" s="3"/>
      <c r="G1591" s="3"/>
      <c r="H1591" s="4"/>
      <c r="I1591" s="4"/>
      <c r="J1591" s="3"/>
      <c r="K1591" s="8" t="str">
        <f t="shared" si="24"/>
        <v/>
      </c>
      <c r="L1591" s="1" t="str">
        <f>IF(COUNTA(A1591:J1591)=0,"",IF(OR(AND(C1591&lt;&gt;"Gasto",C1591&lt;&gt;"Pago proveedor",C1591&lt;&gt;"Retiro familiar",C1591&lt;&gt;"Aportación",C1591&lt;&gt;"Pago activo",C1591&lt;&gt;"ISR devengado",C1591&lt;&gt;"Pago ISR",C1591&lt;&gt;"Pago IVA",C1591&lt;&gt;"Compensación ISR",C1591&lt;&gt;"Compensación IVA"),AND(C1591="Gasto",D1591&lt;&gt;"Costos clínicos",D1591&lt;&gt;"Remuneración familiar",D1591&lt;&gt;"Nómina y honorarios",D1591&lt;&gt;"Renta",D1591&lt;&gt;"Marketing",D1591&lt;&gt;"Servicios y software",D1591&lt;&gt;"Mantenimiento",D1591&lt;&gt;"Otros",D1591&lt;&gt;"Intereses")),"Tipo o categoría inválido",IF(COUNTA(A1591:J1591)=0,"",IF(OR(A1591="",B1591="",C1591="",H1591=""),"Faltan datos",IF(COUNTIF($A$7:$A$2006,A1591)&gt;1,"ID duplicado",IF(OR(B1591&lt;DATE(Configuración!$C$5,1,1),B1591&gt;=DATE(Configuración!$C$5+1,1,1)),"Fecha fuera del año",IF(OR(H1591&lt;0,I1591&lt;0),"Revisar signo",IF(AND(C1591&lt;&gt;"Gasto",I1591&lt;&gt;0),"IVA solo en Gasto",IF(AND(C1591="Gasto",D1591=""),"Falta categoría","OK")))))))))</f>
        <v/>
      </c>
    </row>
    <row r="1592" spans="1:12" ht="22" customHeight="1">
      <c r="A1592" s="3"/>
      <c r="B1592" s="7"/>
      <c r="C1592" s="3"/>
      <c r="D1592" s="3"/>
      <c r="E1592" s="3"/>
      <c r="F1592" s="3"/>
      <c r="G1592" s="3"/>
      <c r="H1592" s="4"/>
      <c r="I1592" s="4"/>
      <c r="J1592" s="3"/>
      <c r="K1592" s="8" t="str">
        <f t="shared" si="24"/>
        <v/>
      </c>
      <c r="L1592" s="1" t="str">
        <f>IF(COUNTA(A1592:J1592)=0,"",IF(OR(AND(C1592&lt;&gt;"Gasto",C1592&lt;&gt;"Pago proveedor",C1592&lt;&gt;"Retiro familiar",C1592&lt;&gt;"Aportación",C1592&lt;&gt;"Pago activo",C1592&lt;&gt;"ISR devengado",C1592&lt;&gt;"Pago ISR",C1592&lt;&gt;"Pago IVA",C1592&lt;&gt;"Compensación ISR",C1592&lt;&gt;"Compensación IVA"),AND(C1592="Gasto",D1592&lt;&gt;"Costos clínicos",D1592&lt;&gt;"Remuneración familiar",D1592&lt;&gt;"Nómina y honorarios",D1592&lt;&gt;"Renta",D1592&lt;&gt;"Marketing",D1592&lt;&gt;"Servicios y software",D1592&lt;&gt;"Mantenimiento",D1592&lt;&gt;"Otros",D1592&lt;&gt;"Intereses")),"Tipo o categoría inválido",IF(COUNTA(A1592:J1592)=0,"",IF(OR(A1592="",B1592="",C1592="",H1592=""),"Faltan datos",IF(COUNTIF($A$7:$A$2006,A1592)&gt;1,"ID duplicado",IF(OR(B1592&lt;DATE(Configuración!$C$5,1,1),B1592&gt;=DATE(Configuración!$C$5+1,1,1)),"Fecha fuera del año",IF(OR(H1592&lt;0,I1592&lt;0),"Revisar signo",IF(AND(C1592&lt;&gt;"Gasto",I1592&lt;&gt;0),"IVA solo en Gasto",IF(AND(C1592="Gasto",D1592=""),"Falta categoría","OK")))))))))</f>
        <v/>
      </c>
    </row>
    <row r="1593" spans="1:12" ht="22" customHeight="1">
      <c r="A1593" s="3"/>
      <c r="B1593" s="7"/>
      <c r="C1593" s="3"/>
      <c r="D1593" s="3"/>
      <c r="E1593" s="3"/>
      <c r="F1593" s="3"/>
      <c r="G1593" s="3"/>
      <c r="H1593" s="4"/>
      <c r="I1593" s="4"/>
      <c r="J1593" s="3"/>
      <c r="K1593" s="8" t="str">
        <f t="shared" si="24"/>
        <v/>
      </c>
      <c r="L1593" s="1" t="str">
        <f>IF(COUNTA(A1593:J1593)=0,"",IF(OR(AND(C1593&lt;&gt;"Gasto",C1593&lt;&gt;"Pago proveedor",C1593&lt;&gt;"Retiro familiar",C1593&lt;&gt;"Aportación",C1593&lt;&gt;"Pago activo",C1593&lt;&gt;"ISR devengado",C1593&lt;&gt;"Pago ISR",C1593&lt;&gt;"Pago IVA",C1593&lt;&gt;"Compensación ISR",C1593&lt;&gt;"Compensación IVA"),AND(C1593="Gasto",D1593&lt;&gt;"Costos clínicos",D1593&lt;&gt;"Remuneración familiar",D1593&lt;&gt;"Nómina y honorarios",D1593&lt;&gt;"Renta",D1593&lt;&gt;"Marketing",D1593&lt;&gt;"Servicios y software",D1593&lt;&gt;"Mantenimiento",D1593&lt;&gt;"Otros",D1593&lt;&gt;"Intereses")),"Tipo o categoría inválido",IF(COUNTA(A1593:J1593)=0,"",IF(OR(A1593="",B1593="",C1593="",H1593=""),"Faltan datos",IF(COUNTIF($A$7:$A$2006,A1593)&gt;1,"ID duplicado",IF(OR(B1593&lt;DATE(Configuración!$C$5,1,1),B1593&gt;=DATE(Configuración!$C$5+1,1,1)),"Fecha fuera del año",IF(OR(H1593&lt;0,I1593&lt;0),"Revisar signo",IF(AND(C1593&lt;&gt;"Gasto",I1593&lt;&gt;0),"IVA solo en Gasto",IF(AND(C1593="Gasto",D1593=""),"Falta categoría","OK")))))))))</f>
        <v/>
      </c>
    </row>
    <row r="1594" spans="1:12" ht="22" customHeight="1">
      <c r="A1594" s="3"/>
      <c r="B1594" s="7"/>
      <c r="C1594" s="3"/>
      <c r="D1594" s="3"/>
      <c r="E1594" s="3"/>
      <c r="F1594" s="3"/>
      <c r="G1594" s="3"/>
      <c r="H1594" s="4"/>
      <c r="I1594" s="4"/>
      <c r="J1594" s="3"/>
      <c r="K1594" s="8" t="str">
        <f t="shared" si="24"/>
        <v/>
      </c>
      <c r="L1594" s="1" t="str">
        <f>IF(COUNTA(A1594:J1594)=0,"",IF(OR(AND(C1594&lt;&gt;"Gasto",C1594&lt;&gt;"Pago proveedor",C1594&lt;&gt;"Retiro familiar",C1594&lt;&gt;"Aportación",C1594&lt;&gt;"Pago activo",C1594&lt;&gt;"ISR devengado",C1594&lt;&gt;"Pago ISR",C1594&lt;&gt;"Pago IVA",C1594&lt;&gt;"Compensación ISR",C1594&lt;&gt;"Compensación IVA"),AND(C1594="Gasto",D1594&lt;&gt;"Costos clínicos",D1594&lt;&gt;"Remuneración familiar",D1594&lt;&gt;"Nómina y honorarios",D1594&lt;&gt;"Renta",D1594&lt;&gt;"Marketing",D1594&lt;&gt;"Servicios y software",D1594&lt;&gt;"Mantenimiento",D1594&lt;&gt;"Otros",D1594&lt;&gt;"Intereses")),"Tipo o categoría inválido",IF(COUNTA(A1594:J1594)=0,"",IF(OR(A1594="",B1594="",C1594="",H1594=""),"Faltan datos",IF(COUNTIF($A$7:$A$2006,A1594)&gt;1,"ID duplicado",IF(OR(B1594&lt;DATE(Configuración!$C$5,1,1),B1594&gt;=DATE(Configuración!$C$5+1,1,1)),"Fecha fuera del año",IF(OR(H1594&lt;0,I1594&lt;0),"Revisar signo",IF(AND(C1594&lt;&gt;"Gasto",I1594&lt;&gt;0),"IVA solo en Gasto",IF(AND(C1594="Gasto",D1594=""),"Falta categoría","OK")))))))))</f>
        <v/>
      </c>
    </row>
    <row r="1595" spans="1:12" ht="22" customHeight="1">
      <c r="A1595" s="3"/>
      <c r="B1595" s="7"/>
      <c r="C1595" s="3"/>
      <c r="D1595" s="3"/>
      <c r="E1595" s="3"/>
      <c r="F1595" s="3"/>
      <c r="G1595" s="3"/>
      <c r="H1595" s="4"/>
      <c r="I1595" s="4"/>
      <c r="J1595" s="3"/>
      <c r="K1595" s="8" t="str">
        <f t="shared" si="24"/>
        <v/>
      </c>
      <c r="L1595" s="1" t="str">
        <f>IF(COUNTA(A1595:J1595)=0,"",IF(OR(AND(C1595&lt;&gt;"Gasto",C1595&lt;&gt;"Pago proveedor",C1595&lt;&gt;"Retiro familiar",C1595&lt;&gt;"Aportación",C1595&lt;&gt;"Pago activo",C1595&lt;&gt;"ISR devengado",C1595&lt;&gt;"Pago ISR",C1595&lt;&gt;"Pago IVA",C1595&lt;&gt;"Compensación ISR",C1595&lt;&gt;"Compensación IVA"),AND(C1595="Gasto",D1595&lt;&gt;"Costos clínicos",D1595&lt;&gt;"Remuneración familiar",D1595&lt;&gt;"Nómina y honorarios",D1595&lt;&gt;"Renta",D1595&lt;&gt;"Marketing",D1595&lt;&gt;"Servicios y software",D1595&lt;&gt;"Mantenimiento",D1595&lt;&gt;"Otros",D1595&lt;&gt;"Intereses")),"Tipo o categoría inválido",IF(COUNTA(A1595:J1595)=0,"",IF(OR(A1595="",B1595="",C1595="",H1595=""),"Faltan datos",IF(COUNTIF($A$7:$A$2006,A1595)&gt;1,"ID duplicado",IF(OR(B1595&lt;DATE(Configuración!$C$5,1,1),B1595&gt;=DATE(Configuración!$C$5+1,1,1)),"Fecha fuera del año",IF(OR(H1595&lt;0,I1595&lt;0),"Revisar signo",IF(AND(C1595&lt;&gt;"Gasto",I1595&lt;&gt;0),"IVA solo en Gasto",IF(AND(C1595="Gasto",D1595=""),"Falta categoría","OK")))))))))</f>
        <v/>
      </c>
    </row>
    <row r="1596" spans="1:12" ht="22" customHeight="1">
      <c r="A1596" s="3"/>
      <c r="B1596" s="7"/>
      <c r="C1596" s="3"/>
      <c r="D1596" s="3"/>
      <c r="E1596" s="3"/>
      <c r="F1596" s="3"/>
      <c r="G1596" s="3"/>
      <c r="H1596" s="4"/>
      <c r="I1596" s="4"/>
      <c r="J1596" s="3"/>
      <c r="K1596" s="8" t="str">
        <f t="shared" si="24"/>
        <v/>
      </c>
      <c r="L1596" s="1" t="str">
        <f>IF(COUNTA(A1596:J1596)=0,"",IF(OR(AND(C1596&lt;&gt;"Gasto",C1596&lt;&gt;"Pago proveedor",C1596&lt;&gt;"Retiro familiar",C1596&lt;&gt;"Aportación",C1596&lt;&gt;"Pago activo",C1596&lt;&gt;"ISR devengado",C1596&lt;&gt;"Pago ISR",C1596&lt;&gt;"Pago IVA",C1596&lt;&gt;"Compensación ISR",C1596&lt;&gt;"Compensación IVA"),AND(C1596="Gasto",D1596&lt;&gt;"Costos clínicos",D1596&lt;&gt;"Remuneración familiar",D1596&lt;&gt;"Nómina y honorarios",D1596&lt;&gt;"Renta",D1596&lt;&gt;"Marketing",D1596&lt;&gt;"Servicios y software",D1596&lt;&gt;"Mantenimiento",D1596&lt;&gt;"Otros",D1596&lt;&gt;"Intereses")),"Tipo o categoría inválido",IF(COUNTA(A1596:J1596)=0,"",IF(OR(A1596="",B1596="",C1596="",H1596=""),"Faltan datos",IF(COUNTIF($A$7:$A$2006,A1596)&gt;1,"ID duplicado",IF(OR(B1596&lt;DATE(Configuración!$C$5,1,1),B1596&gt;=DATE(Configuración!$C$5+1,1,1)),"Fecha fuera del año",IF(OR(H1596&lt;0,I1596&lt;0),"Revisar signo",IF(AND(C1596&lt;&gt;"Gasto",I1596&lt;&gt;0),"IVA solo en Gasto",IF(AND(C1596="Gasto",D1596=""),"Falta categoría","OK")))))))))</f>
        <v/>
      </c>
    </row>
    <row r="1597" spans="1:12" ht="22" customHeight="1">
      <c r="A1597" s="3"/>
      <c r="B1597" s="7"/>
      <c r="C1597" s="3"/>
      <c r="D1597" s="3"/>
      <c r="E1597" s="3"/>
      <c r="F1597" s="3"/>
      <c r="G1597" s="3"/>
      <c r="H1597" s="4"/>
      <c r="I1597" s="4"/>
      <c r="J1597" s="3"/>
      <c r="K1597" s="8" t="str">
        <f t="shared" si="24"/>
        <v/>
      </c>
      <c r="L1597" s="1" t="str">
        <f>IF(COUNTA(A1597:J1597)=0,"",IF(OR(AND(C1597&lt;&gt;"Gasto",C1597&lt;&gt;"Pago proveedor",C1597&lt;&gt;"Retiro familiar",C1597&lt;&gt;"Aportación",C1597&lt;&gt;"Pago activo",C1597&lt;&gt;"ISR devengado",C1597&lt;&gt;"Pago ISR",C1597&lt;&gt;"Pago IVA",C1597&lt;&gt;"Compensación ISR",C1597&lt;&gt;"Compensación IVA"),AND(C1597="Gasto",D1597&lt;&gt;"Costos clínicos",D1597&lt;&gt;"Remuneración familiar",D1597&lt;&gt;"Nómina y honorarios",D1597&lt;&gt;"Renta",D1597&lt;&gt;"Marketing",D1597&lt;&gt;"Servicios y software",D1597&lt;&gt;"Mantenimiento",D1597&lt;&gt;"Otros",D1597&lt;&gt;"Intereses")),"Tipo o categoría inválido",IF(COUNTA(A1597:J1597)=0,"",IF(OR(A1597="",B1597="",C1597="",H1597=""),"Faltan datos",IF(COUNTIF($A$7:$A$2006,A1597)&gt;1,"ID duplicado",IF(OR(B1597&lt;DATE(Configuración!$C$5,1,1),B1597&gt;=DATE(Configuración!$C$5+1,1,1)),"Fecha fuera del año",IF(OR(H1597&lt;0,I1597&lt;0),"Revisar signo",IF(AND(C1597&lt;&gt;"Gasto",I1597&lt;&gt;0),"IVA solo en Gasto",IF(AND(C1597="Gasto",D1597=""),"Falta categoría","OK")))))))))</f>
        <v/>
      </c>
    </row>
    <row r="1598" spans="1:12" ht="22" customHeight="1">
      <c r="A1598" s="3"/>
      <c r="B1598" s="7"/>
      <c r="C1598" s="3"/>
      <c r="D1598" s="3"/>
      <c r="E1598" s="3"/>
      <c r="F1598" s="3"/>
      <c r="G1598" s="3"/>
      <c r="H1598" s="4"/>
      <c r="I1598" s="4"/>
      <c r="J1598" s="3"/>
      <c r="K1598" s="8" t="str">
        <f t="shared" si="24"/>
        <v/>
      </c>
      <c r="L1598" s="1" t="str">
        <f>IF(COUNTA(A1598:J1598)=0,"",IF(OR(AND(C1598&lt;&gt;"Gasto",C1598&lt;&gt;"Pago proveedor",C1598&lt;&gt;"Retiro familiar",C1598&lt;&gt;"Aportación",C1598&lt;&gt;"Pago activo",C1598&lt;&gt;"ISR devengado",C1598&lt;&gt;"Pago ISR",C1598&lt;&gt;"Pago IVA",C1598&lt;&gt;"Compensación ISR",C1598&lt;&gt;"Compensación IVA"),AND(C1598="Gasto",D1598&lt;&gt;"Costos clínicos",D1598&lt;&gt;"Remuneración familiar",D1598&lt;&gt;"Nómina y honorarios",D1598&lt;&gt;"Renta",D1598&lt;&gt;"Marketing",D1598&lt;&gt;"Servicios y software",D1598&lt;&gt;"Mantenimiento",D1598&lt;&gt;"Otros",D1598&lt;&gt;"Intereses")),"Tipo o categoría inválido",IF(COUNTA(A1598:J1598)=0,"",IF(OR(A1598="",B1598="",C1598="",H1598=""),"Faltan datos",IF(COUNTIF($A$7:$A$2006,A1598)&gt;1,"ID duplicado",IF(OR(B1598&lt;DATE(Configuración!$C$5,1,1),B1598&gt;=DATE(Configuración!$C$5+1,1,1)),"Fecha fuera del año",IF(OR(H1598&lt;0,I1598&lt;0),"Revisar signo",IF(AND(C1598&lt;&gt;"Gasto",I1598&lt;&gt;0),"IVA solo en Gasto",IF(AND(C1598="Gasto",D1598=""),"Falta categoría","OK")))))))))</f>
        <v/>
      </c>
    </row>
    <row r="1599" spans="1:12" ht="22" customHeight="1">
      <c r="A1599" s="3"/>
      <c r="B1599" s="7"/>
      <c r="C1599" s="3"/>
      <c r="D1599" s="3"/>
      <c r="E1599" s="3"/>
      <c r="F1599" s="3"/>
      <c r="G1599" s="3"/>
      <c r="H1599" s="4"/>
      <c r="I1599" s="4"/>
      <c r="J1599" s="3"/>
      <c r="K1599" s="8" t="str">
        <f t="shared" si="24"/>
        <v/>
      </c>
      <c r="L1599" s="1" t="str">
        <f>IF(COUNTA(A1599:J1599)=0,"",IF(OR(AND(C1599&lt;&gt;"Gasto",C1599&lt;&gt;"Pago proveedor",C1599&lt;&gt;"Retiro familiar",C1599&lt;&gt;"Aportación",C1599&lt;&gt;"Pago activo",C1599&lt;&gt;"ISR devengado",C1599&lt;&gt;"Pago ISR",C1599&lt;&gt;"Pago IVA",C1599&lt;&gt;"Compensación ISR",C1599&lt;&gt;"Compensación IVA"),AND(C1599="Gasto",D1599&lt;&gt;"Costos clínicos",D1599&lt;&gt;"Remuneración familiar",D1599&lt;&gt;"Nómina y honorarios",D1599&lt;&gt;"Renta",D1599&lt;&gt;"Marketing",D1599&lt;&gt;"Servicios y software",D1599&lt;&gt;"Mantenimiento",D1599&lt;&gt;"Otros",D1599&lt;&gt;"Intereses")),"Tipo o categoría inválido",IF(COUNTA(A1599:J1599)=0,"",IF(OR(A1599="",B1599="",C1599="",H1599=""),"Faltan datos",IF(COUNTIF($A$7:$A$2006,A1599)&gt;1,"ID duplicado",IF(OR(B1599&lt;DATE(Configuración!$C$5,1,1),B1599&gt;=DATE(Configuración!$C$5+1,1,1)),"Fecha fuera del año",IF(OR(H1599&lt;0,I1599&lt;0),"Revisar signo",IF(AND(C1599&lt;&gt;"Gasto",I1599&lt;&gt;0),"IVA solo en Gasto",IF(AND(C1599="Gasto",D1599=""),"Falta categoría","OK")))))))))</f>
        <v/>
      </c>
    </row>
    <row r="1600" spans="1:12" ht="22" customHeight="1">
      <c r="A1600" s="3"/>
      <c r="B1600" s="7"/>
      <c r="C1600" s="3"/>
      <c r="D1600" s="3"/>
      <c r="E1600" s="3"/>
      <c r="F1600" s="3"/>
      <c r="G1600" s="3"/>
      <c r="H1600" s="4"/>
      <c r="I1600" s="4"/>
      <c r="J1600" s="3"/>
      <c r="K1600" s="8" t="str">
        <f t="shared" si="24"/>
        <v/>
      </c>
      <c r="L1600" s="1" t="str">
        <f>IF(COUNTA(A1600:J1600)=0,"",IF(OR(AND(C1600&lt;&gt;"Gasto",C1600&lt;&gt;"Pago proveedor",C1600&lt;&gt;"Retiro familiar",C1600&lt;&gt;"Aportación",C1600&lt;&gt;"Pago activo",C1600&lt;&gt;"ISR devengado",C1600&lt;&gt;"Pago ISR",C1600&lt;&gt;"Pago IVA",C1600&lt;&gt;"Compensación ISR",C1600&lt;&gt;"Compensación IVA"),AND(C1600="Gasto",D1600&lt;&gt;"Costos clínicos",D1600&lt;&gt;"Remuneración familiar",D1600&lt;&gt;"Nómina y honorarios",D1600&lt;&gt;"Renta",D1600&lt;&gt;"Marketing",D1600&lt;&gt;"Servicios y software",D1600&lt;&gt;"Mantenimiento",D1600&lt;&gt;"Otros",D1600&lt;&gt;"Intereses")),"Tipo o categoría inválido",IF(COUNTA(A1600:J1600)=0,"",IF(OR(A1600="",B1600="",C1600="",H1600=""),"Faltan datos",IF(COUNTIF($A$7:$A$2006,A1600)&gt;1,"ID duplicado",IF(OR(B1600&lt;DATE(Configuración!$C$5,1,1),B1600&gt;=DATE(Configuración!$C$5+1,1,1)),"Fecha fuera del año",IF(OR(H1600&lt;0,I1600&lt;0),"Revisar signo",IF(AND(C1600&lt;&gt;"Gasto",I1600&lt;&gt;0),"IVA solo en Gasto",IF(AND(C1600="Gasto",D1600=""),"Falta categoría","OK")))))))))</f>
        <v/>
      </c>
    </row>
    <row r="1601" spans="1:12" ht="22" customHeight="1">
      <c r="A1601" s="3"/>
      <c r="B1601" s="7"/>
      <c r="C1601" s="3"/>
      <c r="D1601" s="3"/>
      <c r="E1601" s="3"/>
      <c r="F1601" s="3"/>
      <c r="G1601" s="3"/>
      <c r="H1601" s="4"/>
      <c r="I1601" s="4"/>
      <c r="J1601" s="3"/>
      <c r="K1601" s="8" t="str">
        <f t="shared" si="24"/>
        <v/>
      </c>
      <c r="L1601" s="1" t="str">
        <f>IF(COUNTA(A1601:J1601)=0,"",IF(OR(AND(C1601&lt;&gt;"Gasto",C1601&lt;&gt;"Pago proveedor",C1601&lt;&gt;"Retiro familiar",C1601&lt;&gt;"Aportación",C1601&lt;&gt;"Pago activo",C1601&lt;&gt;"ISR devengado",C1601&lt;&gt;"Pago ISR",C1601&lt;&gt;"Pago IVA",C1601&lt;&gt;"Compensación ISR",C1601&lt;&gt;"Compensación IVA"),AND(C1601="Gasto",D1601&lt;&gt;"Costos clínicos",D1601&lt;&gt;"Remuneración familiar",D1601&lt;&gt;"Nómina y honorarios",D1601&lt;&gt;"Renta",D1601&lt;&gt;"Marketing",D1601&lt;&gt;"Servicios y software",D1601&lt;&gt;"Mantenimiento",D1601&lt;&gt;"Otros",D1601&lt;&gt;"Intereses")),"Tipo o categoría inválido",IF(COUNTA(A1601:J1601)=0,"",IF(OR(A1601="",B1601="",C1601="",H1601=""),"Faltan datos",IF(COUNTIF($A$7:$A$2006,A1601)&gt;1,"ID duplicado",IF(OR(B1601&lt;DATE(Configuración!$C$5,1,1),B1601&gt;=DATE(Configuración!$C$5+1,1,1)),"Fecha fuera del año",IF(OR(H1601&lt;0,I1601&lt;0),"Revisar signo",IF(AND(C1601&lt;&gt;"Gasto",I1601&lt;&gt;0),"IVA solo en Gasto",IF(AND(C1601="Gasto",D1601=""),"Falta categoría","OK")))))))))</f>
        <v/>
      </c>
    </row>
    <row r="1602" spans="1:12" ht="22" customHeight="1">
      <c r="A1602" s="3"/>
      <c r="B1602" s="7"/>
      <c r="C1602" s="3"/>
      <c r="D1602" s="3"/>
      <c r="E1602" s="3"/>
      <c r="F1602" s="3"/>
      <c r="G1602" s="3"/>
      <c r="H1602" s="4"/>
      <c r="I1602" s="4"/>
      <c r="J1602" s="3"/>
      <c r="K1602" s="8" t="str">
        <f t="shared" si="24"/>
        <v/>
      </c>
      <c r="L1602" s="1" t="str">
        <f>IF(COUNTA(A1602:J1602)=0,"",IF(OR(AND(C1602&lt;&gt;"Gasto",C1602&lt;&gt;"Pago proveedor",C1602&lt;&gt;"Retiro familiar",C1602&lt;&gt;"Aportación",C1602&lt;&gt;"Pago activo",C1602&lt;&gt;"ISR devengado",C1602&lt;&gt;"Pago ISR",C1602&lt;&gt;"Pago IVA",C1602&lt;&gt;"Compensación ISR",C1602&lt;&gt;"Compensación IVA"),AND(C1602="Gasto",D1602&lt;&gt;"Costos clínicos",D1602&lt;&gt;"Remuneración familiar",D1602&lt;&gt;"Nómina y honorarios",D1602&lt;&gt;"Renta",D1602&lt;&gt;"Marketing",D1602&lt;&gt;"Servicios y software",D1602&lt;&gt;"Mantenimiento",D1602&lt;&gt;"Otros",D1602&lt;&gt;"Intereses")),"Tipo o categoría inválido",IF(COUNTA(A1602:J1602)=0,"",IF(OR(A1602="",B1602="",C1602="",H1602=""),"Faltan datos",IF(COUNTIF($A$7:$A$2006,A1602)&gt;1,"ID duplicado",IF(OR(B1602&lt;DATE(Configuración!$C$5,1,1),B1602&gt;=DATE(Configuración!$C$5+1,1,1)),"Fecha fuera del año",IF(OR(H1602&lt;0,I1602&lt;0),"Revisar signo",IF(AND(C1602&lt;&gt;"Gasto",I1602&lt;&gt;0),"IVA solo en Gasto",IF(AND(C1602="Gasto",D1602=""),"Falta categoría","OK")))))))))</f>
        <v/>
      </c>
    </row>
    <row r="1603" spans="1:12" ht="22" customHeight="1">
      <c r="A1603" s="3"/>
      <c r="B1603" s="7"/>
      <c r="C1603" s="3"/>
      <c r="D1603" s="3"/>
      <c r="E1603" s="3"/>
      <c r="F1603" s="3"/>
      <c r="G1603" s="3"/>
      <c r="H1603" s="4"/>
      <c r="I1603" s="4"/>
      <c r="J1603" s="3"/>
      <c r="K1603" s="8" t="str">
        <f t="shared" si="24"/>
        <v/>
      </c>
      <c r="L1603" s="1" t="str">
        <f>IF(COUNTA(A1603:J1603)=0,"",IF(OR(AND(C1603&lt;&gt;"Gasto",C1603&lt;&gt;"Pago proveedor",C1603&lt;&gt;"Retiro familiar",C1603&lt;&gt;"Aportación",C1603&lt;&gt;"Pago activo",C1603&lt;&gt;"ISR devengado",C1603&lt;&gt;"Pago ISR",C1603&lt;&gt;"Pago IVA",C1603&lt;&gt;"Compensación ISR",C1603&lt;&gt;"Compensación IVA"),AND(C1603="Gasto",D1603&lt;&gt;"Costos clínicos",D1603&lt;&gt;"Remuneración familiar",D1603&lt;&gt;"Nómina y honorarios",D1603&lt;&gt;"Renta",D1603&lt;&gt;"Marketing",D1603&lt;&gt;"Servicios y software",D1603&lt;&gt;"Mantenimiento",D1603&lt;&gt;"Otros",D1603&lt;&gt;"Intereses")),"Tipo o categoría inválido",IF(COUNTA(A1603:J1603)=0,"",IF(OR(A1603="",B1603="",C1603="",H1603=""),"Faltan datos",IF(COUNTIF($A$7:$A$2006,A1603)&gt;1,"ID duplicado",IF(OR(B1603&lt;DATE(Configuración!$C$5,1,1),B1603&gt;=DATE(Configuración!$C$5+1,1,1)),"Fecha fuera del año",IF(OR(H1603&lt;0,I1603&lt;0),"Revisar signo",IF(AND(C1603&lt;&gt;"Gasto",I1603&lt;&gt;0),"IVA solo en Gasto",IF(AND(C1603="Gasto",D1603=""),"Falta categoría","OK")))))))))</f>
        <v/>
      </c>
    </row>
    <row r="1604" spans="1:12" ht="22" customHeight="1">
      <c r="A1604" s="3"/>
      <c r="B1604" s="7"/>
      <c r="C1604" s="3"/>
      <c r="D1604" s="3"/>
      <c r="E1604" s="3"/>
      <c r="F1604" s="3"/>
      <c r="G1604" s="3"/>
      <c r="H1604" s="4"/>
      <c r="I1604" s="4"/>
      <c r="J1604" s="3"/>
      <c r="K1604" s="8" t="str">
        <f t="shared" si="24"/>
        <v/>
      </c>
      <c r="L1604" s="1" t="str">
        <f>IF(COUNTA(A1604:J1604)=0,"",IF(OR(AND(C1604&lt;&gt;"Gasto",C1604&lt;&gt;"Pago proveedor",C1604&lt;&gt;"Retiro familiar",C1604&lt;&gt;"Aportación",C1604&lt;&gt;"Pago activo",C1604&lt;&gt;"ISR devengado",C1604&lt;&gt;"Pago ISR",C1604&lt;&gt;"Pago IVA",C1604&lt;&gt;"Compensación ISR",C1604&lt;&gt;"Compensación IVA"),AND(C1604="Gasto",D1604&lt;&gt;"Costos clínicos",D1604&lt;&gt;"Remuneración familiar",D1604&lt;&gt;"Nómina y honorarios",D1604&lt;&gt;"Renta",D1604&lt;&gt;"Marketing",D1604&lt;&gt;"Servicios y software",D1604&lt;&gt;"Mantenimiento",D1604&lt;&gt;"Otros",D1604&lt;&gt;"Intereses")),"Tipo o categoría inválido",IF(COUNTA(A1604:J1604)=0,"",IF(OR(A1604="",B1604="",C1604="",H1604=""),"Faltan datos",IF(COUNTIF($A$7:$A$2006,A1604)&gt;1,"ID duplicado",IF(OR(B1604&lt;DATE(Configuración!$C$5,1,1),B1604&gt;=DATE(Configuración!$C$5+1,1,1)),"Fecha fuera del año",IF(OR(H1604&lt;0,I1604&lt;0),"Revisar signo",IF(AND(C1604&lt;&gt;"Gasto",I1604&lt;&gt;0),"IVA solo en Gasto",IF(AND(C1604="Gasto",D1604=""),"Falta categoría","OK")))))))))</f>
        <v/>
      </c>
    </row>
    <row r="1605" spans="1:12" ht="22" customHeight="1">
      <c r="A1605" s="3"/>
      <c r="B1605" s="7"/>
      <c r="C1605" s="3"/>
      <c r="D1605" s="3"/>
      <c r="E1605" s="3"/>
      <c r="F1605" s="3"/>
      <c r="G1605" s="3"/>
      <c r="H1605" s="4"/>
      <c r="I1605" s="4"/>
      <c r="J1605" s="3"/>
      <c r="K1605" s="8" t="str">
        <f t="shared" si="24"/>
        <v/>
      </c>
      <c r="L1605" s="1" t="str">
        <f>IF(COUNTA(A1605:J1605)=0,"",IF(OR(AND(C1605&lt;&gt;"Gasto",C1605&lt;&gt;"Pago proveedor",C1605&lt;&gt;"Retiro familiar",C1605&lt;&gt;"Aportación",C1605&lt;&gt;"Pago activo",C1605&lt;&gt;"ISR devengado",C1605&lt;&gt;"Pago ISR",C1605&lt;&gt;"Pago IVA",C1605&lt;&gt;"Compensación ISR",C1605&lt;&gt;"Compensación IVA"),AND(C1605="Gasto",D1605&lt;&gt;"Costos clínicos",D1605&lt;&gt;"Remuneración familiar",D1605&lt;&gt;"Nómina y honorarios",D1605&lt;&gt;"Renta",D1605&lt;&gt;"Marketing",D1605&lt;&gt;"Servicios y software",D1605&lt;&gt;"Mantenimiento",D1605&lt;&gt;"Otros",D1605&lt;&gt;"Intereses")),"Tipo o categoría inválido",IF(COUNTA(A1605:J1605)=0,"",IF(OR(A1605="",B1605="",C1605="",H1605=""),"Faltan datos",IF(COUNTIF($A$7:$A$2006,A1605)&gt;1,"ID duplicado",IF(OR(B1605&lt;DATE(Configuración!$C$5,1,1),B1605&gt;=DATE(Configuración!$C$5+1,1,1)),"Fecha fuera del año",IF(OR(H1605&lt;0,I1605&lt;0),"Revisar signo",IF(AND(C1605&lt;&gt;"Gasto",I1605&lt;&gt;0),"IVA solo en Gasto",IF(AND(C1605="Gasto",D1605=""),"Falta categoría","OK")))))))))</f>
        <v/>
      </c>
    </row>
    <row r="1606" spans="1:12" ht="22" customHeight="1">
      <c r="A1606" s="3"/>
      <c r="B1606" s="7"/>
      <c r="C1606" s="3"/>
      <c r="D1606" s="3"/>
      <c r="E1606" s="3"/>
      <c r="F1606" s="3"/>
      <c r="G1606" s="3"/>
      <c r="H1606" s="4"/>
      <c r="I1606" s="4"/>
      <c r="J1606" s="3"/>
      <c r="K1606" s="8" t="str">
        <f t="shared" si="24"/>
        <v/>
      </c>
      <c r="L1606" s="1" t="str">
        <f>IF(COUNTA(A1606:J1606)=0,"",IF(OR(AND(C1606&lt;&gt;"Gasto",C1606&lt;&gt;"Pago proveedor",C1606&lt;&gt;"Retiro familiar",C1606&lt;&gt;"Aportación",C1606&lt;&gt;"Pago activo",C1606&lt;&gt;"ISR devengado",C1606&lt;&gt;"Pago ISR",C1606&lt;&gt;"Pago IVA",C1606&lt;&gt;"Compensación ISR",C1606&lt;&gt;"Compensación IVA"),AND(C1606="Gasto",D1606&lt;&gt;"Costos clínicos",D1606&lt;&gt;"Remuneración familiar",D1606&lt;&gt;"Nómina y honorarios",D1606&lt;&gt;"Renta",D1606&lt;&gt;"Marketing",D1606&lt;&gt;"Servicios y software",D1606&lt;&gt;"Mantenimiento",D1606&lt;&gt;"Otros",D1606&lt;&gt;"Intereses")),"Tipo o categoría inválido",IF(COUNTA(A1606:J1606)=0,"",IF(OR(A1606="",B1606="",C1606="",H1606=""),"Faltan datos",IF(COUNTIF($A$7:$A$2006,A1606)&gt;1,"ID duplicado",IF(OR(B1606&lt;DATE(Configuración!$C$5,1,1),B1606&gt;=DATE(Configuración!$C$5+1,1,1)),"Fecha fuera del año",IF(OR(H1606&lt;0,I1606&lt;0),"Revisar signo",IF(AND(C1606&lt;&gt;"Gasto",I1606&lt;&gt;0),"IVA solo en Gasto",IF(AND(C1606="Gasto",D1606=""),"Falta categoría","OK")))))))))</f>
        <v/>
      </c>
    </row>
    <row r="1607" spans="1:12" ht="22" customHeight="1">
      <c r="A1607" s="3"/>
      <c r="B1607" s="7"/>
      <c r="C1607" s="3"/>
      <c r="D1607" s="3"/>
      <c r="E1607" s="3"/>
      <c r="F1607" s="3"/>
      <c r="G1607" s="3"/>
      <c r="H1607" s="4"/>
      <c r="I1607" s="4"/>
      <c r="J1607" s="3"/>
      <c r="K1607" s="8" t="str">
        <f t="shared" ref="K1607:K1670" si="25">IF(A1607="","",H1607+I1607)</f>
        <v/>
      </c>
      <c r="L1607" s="1" t="str">
        <f>IF(COUNTA(A1607:J1607)=0,"",IF(OR(AND(C1607&lt;&gt;"Gasto",C1607&lt;&gt;"Pago proveedor",C1607&lt;&gt;"Retiro familiar",C1607&lt;&gt;"Aportación",C1607&lt;&gt;"Pago activo",C1607&lt;&gt;"ISR devengado",C1607&lt;&gt;"Pago ISR",C1607&lt;&gt;"Pago IVA",C1607&lt;&gt;"Compensación ISR",C1607&lt;&gt;"Compensación IVA"),AND(C1607="Gasto",D1607&lt;&gt;"Costos clínicos",D1607&lt;&gt;"Remuneración familiar",D1607&lt;&gt;"Nómina y honorarios",D1607&lt;&gt;"Renta",D1607&lt;&gt;"Marketing",D1607&lt;&gt;"Servicios y software",D1607&lt;&gt;"Mantenimiento",D1607&lt;&gt;"Otros",D1607&lt;&gt;"Intereses")),"Tipo o categoría inválido",IF(COUNTA(A1607:J1607)=0,"",IF(OR(A1607="",B1607="",C1607="",H1607=""),"Faltan datos",IF(COUNTIF($A$7:$A$2006,A1607)&gt;1,"ID duplicado",IF(OR(B1607&lt;DATE(Configuración!$C$5,1,1),B1607&gt;=DATE(Configuración!$C$5+1,1,1)),"Fecha fuera del año",IF(OR(H1607&lt;0,I1607&lt;0),"Revisar signo",IF(AND(C1607&lt;&gt;"Gasto",I1607&lt;&gt;0),"IVA solo en Gasto",IF(AND(C1607="Gasto",D1607=""),"Falta categoría","OK")))))))))</f>
        <v/>
      </c>
    </row>
    <row r="1608" spans="1:12" ht="22" customHeight="1">
      <c r="A1608" s="3"/>
      <c r="B1608" s="7"/>
      <c r="C1608" s="3"/>
      <c r="D1608" s="3"/>
      <c r="E1608" s="3"/>
      <c r="F1608" s="3"/>
      <c r="G1608" s="3"/>
      <c r="H1608" s="4"/>
      <c r="I1608" s="4"/>
      <c r="J1608" s="3"/>
      <c r="K1608" s="8" t="str">
        <f t="shared" si="25"/>
        <v/>
      </c>
      <c r="L1608" s="1" t="str">
        <f>IF(COUNTA(A1608:J1608)=0,"",IF(OR(AND(C1608&lt;&gt;"Gasto",C1608&lt;&gt;"Pago proveedor",C1608&lt;&gt;"Retiro familiar",C1608&lt;&gt;"Aportación",C1608&lt;&gt;"Pago activo",C1608&lt;&gt;"ISR devengado",C1608&lt;&gt;"Pago ISR",C1608&lt;&gt;"Pago IVA",C1608&lt;&gt;"Compensación ISR",C1608&lt;&gt;"Compensación IVA"),AND(C1608="Gasto",D1608&lt;&gt;"Costos clínicos",D1608&lt;&gt;"Remuneración familiar",D1608&lt;&gt;"Nómina y honorarios",D1608&lt;&gt;"Renta",D1608&lt;&gt;"Marketing",D1608&lt;&gt;"Servicios y software",D1608&lt;&gt;"Mantenimiento",D1608&lt;&gt;"Otros",D1608&lt;&gt;"Intereses")),"Tipo o categoría inválido",IF(COUNTA(A1608:J1608)=0,"",IF(OR(A1608="",B1608="",C1608="",H1608=""),"Faltan datos",IF(COUNTIF($A$7:$A$2006,A1608)&gt;1,"ID duplicado",IF(OR(B1608&lt;DATE(Configuración!$C$5,1,1),B1608&gt;=DATE(Configuración!$C$5+1,1,1)),"Fecha fuera del año",IF(OR(H1608&lt;0,I1608&lt;0),"Revisar signo",IF(AND(C1608&lt;&gt;"Gasto",I1608&lt;&gt;0),"IVA solo en Gasto",IF(AND(C1608="Gasto",D1608=""),"Falta categoría","OK")))))))))</f>
        <v/>
      </c>
    </row>
    <row r="1609" spans="1:12" ht="22" customHeight="1">
      <c r="A1609" s="3"/>
      <c r="B1609" s="7"/>
      <c r="C1609" s="3"/>
      <c r="D1609" s="3"/>
      <c r="E1609" s="3"/>
      <c r="F1609" s="3"/>
      <c r="G1609" s="3"/>
      <c r="H1609" s="4"/>
      <c r="I1609" s="4"/>
      <c r="J1609" s="3"/>
      <c r="K1609" s="8" t="str">
        <f t="shared" si="25"/>
        <v/>
      </c>
      <c r="L1609" s="1" t="str">
        <f>IF(COUNTA(A1609:J1609)=0,"",IF(OR(AND(C1609&lt;&gt;"Gasto",C1609&lt;&gt;"Pago proveedor",C1609&lt;&gt;"Retiro familiar",C1609&lt;&gt;"Aportación",C1609&lt;&gt;"Pago activo",C1609&lt;&gt;"ISR devengado",C1609&lt;&gt;"Pago ISR",C1609&lt;&gt;"Pago IVA",C1609&lt;&gt;"Compensación ISR",C1609&lt;&gt;"Compensación IVA"),AND(C1609="Gasto",D1609&lt;&gt;"Costos clínicos",D1609&lt;&gt;"Remuneración familiar",D1609&lt;&gt;"Nómina y honorarios",D1609&lt;&gt;"Renta",D1609&lt;&gt;"Marketing",D1609&lt;&gt;"Servicios y software",D1609&lt;&gt;"Mantenimiento",D1609&lt;&gt;"Otros",D1609&lt;&gt;"Intereses")),"Tipo o categoría inválido",IF(COUNTA(A1609:J1609)=0,"",IF(OR(A1609="",B1609="",C1609="",H1609=""),"Faltan datos",IF(COUNTIF($A$7:$A$2006,A1609)&gt;1,"ID duplicado",IF(OR(B1609&lt;DATE(Configuración!$C$5,1,1),B1609&gt;=DATE(Configuración!$C$5+1,1,1)),"Fecha fuera del año",IF(OR(H1609&lt;0,I1609&lt;0),"Revisar signo",IF(AND(C1609&lt;&gt;"Gasto",I1609&lt;&gt;0),"IVA solo en Gasto",IF(AND(C1609="Gasto",D1609=""),"Falta categoría","OK")))))))))</f>
        <v/>
      </c>
    </row>
    <row r="1610" spans="1:12" ht="22" customHeight="1">
      <c r="A1610" s="3"/>
      <c r="B1610" s="7"/>
      <c r="C1610" s="3"/>
      <c r="D1610" s="3"/>
      <c r="E1610" s="3"/>
      <c r="F1610" s="3"/>
      <c r="G1610" s="3"/>
      <c r="H1610" s="4"/>
      <c r="I1610" s="4"/>
      <c r="J1610" s="3"/>
      <c r="K1610" s="8" t="str">
        <f t="shared" si="25"/>
        <v/>
      </c>
      <c r="L1610" s="1" t="str">
        <f>IF(COUNTA(A1610:J1610)=0,"",IF(OR(AND(C1610&lt;&gt;"Gasto",C1610&lt;&gt;"Pago proveedor",C1610&lt;&gt;"Retiro familiar",C1610&lt;&gt;"Aportación",C1610&lt;&gt;"Pago activo",C1610&lt;&gt;"ISR devengado",C1610&lt;&gt;"Pago ISR",C1610&lt;&gt;"Pago IVA",C1610&lt;&gt;"Compensación ISR",C1610&lt;&gt;"Compensación IVA"),AND(C1610="Gasto",D1610&lt;&gt;"Costos clínicos",D1610&lt;&gt;"Remuneración familiar",D1610&lt;&gt;"Nómina y honorarios",D1610&lt;&gt;"Renta",D1610&lt;&gt;"Marketing",D1610&lt;&gt;"Servicios y software",D1610&lt;&gt;"Mantenimiento",D1610&lt;&gt;"Otros",D1610&lt;&gt;"Intereses")),"Tipo o categoría inválido",IF(COUNTA(A1610:J1610)=0,"",IF(OR(A1610="",B1610="",C1610="",H1610=""),"Faltan datos",IF(COUNTIF($A$7:$A$2006,A1610)&gt;1,"ID duplicado",IF(OR(B1610&lt;DATE(Configuración!$C$5,1,1),B1610&gt;=DATE(Configuración!$C$5+1,1,1)),"Fecha fuera del año",IF(OR(H1610&lt;0,I1610&lt;0),"Revisar signo",IF(AND(C1610&lt;&gt;"Gasto",I1610&lt;&gt;0),"IVA solo en Gasto",IF(AND(C1610="Gasto",D1610=""),"Falta categoría","OK")))))))))</f>
        <v/>
      </c>
    </row>
    <row r="1611" spans="1:12" ht="22" customHeight="1">
      <c r="A1611" s="3"/>
      <c r="B1611" s="7"/>
      <c r="C1611" s="3"/>
      <c r="D1611" s="3"/>
      <c r="E1611" s="3"/>
      <c r="F1611" s="3"/>
      <c r="G1611" s="3"/>
      <c r="H1611" s="4"/>
      <c r="I1611" s="4"/>
      <c r="J1611" s="3"/>
      <c r="K1611" s="8" t="str">
        <f t="shared" si="25"/>
        <v/>
      </c>
      <c r="L1611" s="1" t="str">
        <f>IF(COUNTA(A1611:J1611)=0,"",IF(OR(AND(C1611&lt;&gt;"Gasto",C1611&lt;&gt;"Pago proveedor",C1611&lt;&gt;"Retiro familiar",C1611&lt;&gt;"Aportación",C1611&lt;&gt;"Pago activo",C1611&lt;&gt;"ISR devengado",C1611&lt;&gt;"Pago ISR",C1611&lt;&gt;"Pago IVA",C1611&lt;&gt;"Compensación ISR",C1611&lt;&gt;"Compensación IVA"),AND(C1611="Gasto",D1611&lt;&gt;"Costos clínicos",D1611&lt;&gt;"Remuneración familiar",D1611&lt;&gt;"Nómina y honorarios",D1611&lt;&gt;"Renta",D1611&lt;&gt;"Marketing",D1611&lt;&gt;"Servicios y software",D1611&lt;&gt;"Mantenimiento",D1611&lt;&gt;"Otros",D1611&lt;&gt;"Intereses")),"Tipo o categoría inválido",IF(COUNTA(A1611:J1611)=0,"",IF(OR(A1611="",B1611="",C1611="",H1611=""),"Faltan datos",IF(COUNTIF($A$7:$A$2006,A1611)&gt;1,"ID duplicado",IF(OR(B1611&lt;DATE(Configuración!$C$5,1,1),B1611&gt;=DATE(Configuración!$C$5+1,1,1)),"Fecha fuera del año",IF(OR(H1611&lt;0,I1611&lt;0),"Revisar signo",IF(AND(C1611&lt;&gt;"Gasto",I1611&lt;&gt;0),"IVA solo en Gasto",IF(AND(C1611="Gasto",D1611=""),"Falta categoría","OK")))))))))</f>
        <v/>
      </c>
    </row>
    <row r="1612" spans="1:12" ht="22" customHeight="1">
      <c r="A1612" s="3"/>
      <c r="B1612" s="7"/>
      <c r="C1612" s="3"/>
      <c r="D1612" s="3"/>
      <c r="E1612" s="3"/>
      <c r="F1612" s="3"/>
      <c r="G1612" s="3"/>
      <c r="H1612" s="4"/>
      <c r="I1612" s="4"/>
      <c r="J1612" s="3"/>
      <c r="K1612" s="8" t="str">
        <f t="shared" si="25"/>
        <v/>
      </c>
      <c r="L1612" s="1" t="str">
        <f>IF(COUNTA(A1612:J1612)=0,"",IF(OR(AND(C1612&lt;&gt;"Gasto",C1612&lt;&gt;"Pago proveedor",C1612&lt;&gt;"Retiro familiar",C1612&lt;&gt;"Aportación",C1612&lt;&gt;"Pago activo",C1612&lt;&gt;"ISR devengado",C1612&lt;&gt;"Pago ISR",C1612&lt;&gt;"Pago IVA",C1612&lt;&gt;"Compensación ISR",C1612&lt;&gt;"Compensación IVA"),AND(C1612="Gasto",D1612&lt;&gt;"Costos clínicos",D1612&lt;&gt;"Remuneración familiar",D1612&lt;&gt;"Nómina y honorarios",D1612&lt;&gt;"Renta",D1612&lt;&gt;"Marketing",D1612&lt;&gt;"Servicios y software",D1612&lt;&gt;"Mantenimiento",D1612&lt;&gt;"Otros",D1612&lt;&gt;"Intereses")),"Tipo o categoría inválido",IF(COUNTA(A1612:J1612)=0,"",IF(OR(A1612="",B1612="",C1612="",H1612=""),"Faltan datos",IF(COUNTIF($A$7:$A$2006,A1612)&gt;1,"ID duplicado",IF(OR(B1612&lt;DATE(Configuración!$C$5,1,1),B1612&gt;=DATE(Configuración!$C$5+1,1,1)),"Fecha fuera del año",IF(OR(H1612&lt;0,I1612&lt;0),"Revisar signo",IF(AND(C1612&lt;&gt;"Gasto",I1612&lt;&gt;0),"IVA solo en Gasto",IF(AND(C1612="Gasto",D1612=""),"Falta categoría","OK")))))))))</f>
        <v/>
      </c>
    </row>
    <row r="1613" spans="1:12" ht="22" customHeight="1">
      <c r="A1613" s="3"/>
      <c r="B1613" s="7"/>
      <c r="C1613" s="3"/>
      <c r="D1613" s="3"/>
      <c r="E1613" s="3"/>
      <c r="F1613" s="3"/>
      <c r="G1613" s="3"/>
      <c r="H1613" s="4"/>
      <c r="I1613" s="4"/>
      <c r="J1613" s="3"/>
      <c r="K1613" s="8" t="str">
        <f t="shared" si="25"/>
        <v/>
      </c>
      <c r="L1613" s="1" t="str">
        <f>IF(COUNTA(A1613:J1613)=0,"",IF(OR(AND(C1613&lt;&gt;"Gasto",C1613&lt;&gt;"Pago proveedor",C1613&lt;&gt;"Retiro familiar",C1613&lt;&gt;"Aportación",C1613&lt;&gt;"Pago activo",C1613&lt;&gt;"ISR devengado",C1613&lt;&gt;"Pago ISR",C1613&lt;&gt;"Pago IVA",C1613&lt;&gt;"Compensación ISR",C1613&lt;&gt;"Compensación IVA"),AND(C1613="Gasto",D1613&lt;&gt;"Costos clínicos",D1613&lt;&gt;"Remuneración familiar",D1613&lt;&gt;"Nómina y honorarios",D1613&lt;&gt;"Renta",D1613&lt;&gt;"Marketing",D1613&lt;&gt;"Servicios y software",D1613&lt;&gt;"Mantenimiento",D1613&lt;&gt;"Otros",D1613&lt;&gt;"Intereses")),"Tipo o categoría inválido",IF(COUNTA(A1613:J1613)=0,"",IF(OR(A1613="",B1613="",C1613="",H1613=""),"Faltan datos",IF(COUNTIF($A$7:$A$2006,A1613)&gt;1,"ID duplicado",IF(OR(B1613&lt;DATE(Configuración!$C$5,1,1),B1613&gt;=DATE(Configuración!$C$5+1,1,1)),"Fecha fuera del año",IF(OR(H1613&lt;0,I1613&lt;0),"Revisar signo",IF(AND(C1613&lt;&gt;"Gasto",I1613&lt;&gt;0),"IVA solo en Gasto",IF(AND(C1613="Gasto",D1613=""),"Falta categoría","OK")))))))))</f>
        <v/>
      </c>
    </row>
    <row r="1614" spans="1:12" ht="22" customHeight="1">
      <c r="A1614" s="3"/>
      <c r="B1614" s="7"/>
      <c r="C1614" s="3"/>
      <c r="D1614" s="3"/>
      <c r="E1614" s="3"/>
      <c r="F1614" s="3"/>
      <c r="G1614" s="3"/>
      <c r="H1614" s="4"/>
      <c r="I1614" s="4"/>
      <c r="J1614" s="3"/>
      <c r="K1614" s="8" t="str">
        <f t="shared" si="25"/>
        <v/>
      </c>
      <c r="L1614" s="1" t="str">
        <f>IF(COUNTA(A1614:J1614)=0,"",IF(OR(AND(C1614&lt;&gt;"Gasto",C1614&lt;&gt;"Pago proveedor",C1614&lt;&gt;"Retiro familiar",C1614&lt;&gt;"Aportación",C1614&lt;&gt;"Pago activo",C1614&lt;&gt;"ISR devengado",C1614&lt;&gt;"Pago ISR",C1614&lt;&gt;"Pago IVA",C1614&lt;&gt;"Compensación ISR",C1614&lt;&gt;"Compensación IVA"),AND(C1614="Gasto",D1614&lt;&gt;"Costos clínicos",D1614&lt;&gt;"Remuneración familiar",D1614&lt;&gt;"Nómina y honorarios",D1614&lt;&gt;"Renta",D1614&lt;&gt;"Marketing",D1614&lt;&gt;"Servicios y software",D1614&lt;&gt;"Mantenimiento",D1614&lt;&gt;"Otros",D1614&lt;&gt;"Intereses")),"Tipo o categoría inválido",IF(COUNTA(A1614:J1614)=0,"",IF(OR(A1614="",B1614="",C1614="",H1614=""),"Faltan datos",IF(COUNTIF($A$7:$A$2006,A1614)&gt;1,"ID duplicado",IF(OR(B1614&lt;DATE(Configuración!$C$5,1,1),B1614&gt;=DATE(Configuración!$C$5+1,1,1)),"Fecha fuera del año",IF(OR(H1614&lt;0,I1614&lt;0),"Revisar signo",IF(AND(C1614&lt;&gt;"Gasto",I1614&lt;&gt;0),"IVA solo en Gasto",IF(AND(C1614="Gasto",D1614=""),"Falta categoría","OK")))))))))</f>
        <v/>
      </c>
    </row>
    <row r="1615" spans="1:12" ht="22" customHeight="1">
      <c r="A1615" s="3"/>
      <c r="B1615" s="7"/>
      <c r="C1615" s="3"/>
      <c r="D1615" s="3"/>
      <c r="E1615" s="3"/>
      <c r="F1615" s="3"/>
      <c r="G1615" s="3"/>
      <c r="H1615" s="4"/>
      <c r="I1615" s="4"/>
      <c r="J1615" s="3"/>
      <c r="K1615" s="8" t="str">
        <f t="shared" si="25"/>
        <v/>
      </c>
      <c r="L1615" s="1" t="str">
        <f>IF(COUNTA(A1615:J1615)=0,"",IF(OR(AND(C1615&lt;&gt;"Gasto",C1615&lt;&gt;"Pago proveedor",C1615&lt;&gt;"Retiro familiar",C1615&lt;&gt;"Aportación",C1615&lt;&gt;"Pago activo",C1615&lt;&gt;"ISR devengado",C1615&lt;&gt;"Pago ISR",C1615&lt;&gt;"Pago IVA",C1615&lt;&gt;"Compensación ISR",C1615&lt;&gt;"Compensación IVA"),AND(C1615="Gasto",D1615&lt;&gt;"Costos clínicos",D1615&lt;&gt;"Remuneración familiar",D1615&lt;&gt;"Nómina y honorarios",D1615&lt;&gt;"Renta",D1615&lt;&gt;"Marketing",D1615&lt;&gt;"Servicios y software",D1615&lt;&gt;"Mantenimiento",D1615&lt;&gt;"Otros",D1615&lt;&gt;"Intereses")),"Tipo o categoría inválido",IF(COUNTA(A1615:J1615)=0,"",IF(OR(A1615="",B1615="",C1615="",H1615=""),"Faltan datos",IF(COUNTIF($A$7:$A$2006,A1615)&gt;1,"ID duplicado",IF(OR(B1615&lt;DATE(Configuración!$C$5,1,1),B1615&gt;=DATE(Configuración!$C$5+1,1,1)),"Fecha fuera del año",IF(OR(H1615&lt;0,I1615&lt;0),"Revisar signo",IF(AND(C1615&lt;&gt;"Gasto",I1615&lt;&gt;0),"IVA solo en Gasto",IF(AND(C1615="Gasto",D1615=""),"Falta categoría","OK")))))))))</f>
        <v/>
      </c>
    </row>
    <row r="1616" spans="1:12" ht="22" customHeight="1">
      <c r="A1616" s="3"/>
      <c r="B1616" s="7"/>
      <c r="C1616" s="3"/>
      <c r="D1616" s="3"/>
      <c r="E1616" s="3"/>
      <c r="F1616" s="3"/>
      <c r="G1616" s="3"/>
      <c r="H1616" s="4"/>
      <c r="I1616" s="4"/>
      <c r="J1616" s="3"/>
      <c r="K1616" s="8" t="str">
        <f t="shared" si="25"/>
        <v/>
      </c>
      <c r="L1616" s="1" t="str">
        <f>IF(COUNTA(A1616:J1616)=0,"",IF(OR(AND(C1616&lt;&gt;"Gasto",C1616&lt;&gt;"Pago proveedor",C1616&lt;&gt;"Retiro familiar",C1616&lt;&gt;"Aportación",C1616&lt;&gt;"Pago activo",C1616&lt;&gt;"ISR devengado",C1616&lt;&gt;"Pago ISR",C1616&lt;&gt;"Pago IVA",C1616&lt;&gt;"Compensación ISR",C1616&lt;&gt;"Compensación IVA"),AND(C1616="Gasto",D1616&lt;&gt;"Costos clínicos",D1616&lt;&gt;"Remuneración familiar",D1616&lt;&gt;"Nómina y honorarios",D1616&lt;&gt;"Renta",D1616&lt;&gt;"Marketing",D1616&lt;&gt;"Servicios y software",D1616&lt;&gt;"Mantenimiento",D1616&lt;&gt;"Otros",D1616&lt;&gt;"Intereses")),"Tipo o categoría inválido",IF(COUNTA(A1616:J1616)=0,"",IF(OR(A1616="",B1616="",C1616="",H1616=""),"Faltan datos",IF(COUNTIF($A$7:$A$2006,A1616)&gt;1,"ID duplicado",IF(OR(B1616&lt;DATE(Configuración!$C$5,1,1),B1616&gt;=DATE(Configuración!$C$5+1,1,1)),"Fecha fuera del año",IF(OR(H1616&lt;0,I1616&lt;0),"Revisar signo",IF(AND(C1616&lt;&gt;"Gasto",I1616&lt;&gt;0),"IVA solo en Gasto",IF(AND(C1616="Gasto",D1616=""),"Falta categoría","OK")))))))))</f>
        <v/>
      </c>
    </row>
    <row r="1617" spans="1:12" ht="22" customHeight="1">
      <c r="A1617" s="3"/>
      <c r="B1617" s="7"/>
      <c r="C1617" s="3"/>
      <c r="D1617" s="3"/>
      <c r="E1617" s="3"/>
      <c r="F1617" s="3"/>
      <c r="G1617" s="3"/>
      <c r="H1617" s="4"/>
      <c r="I1617" s="4"/>
      <c r="J1617" s="3"/>
      <c r="K1617" s="8" t="str">
        <f t="shared" si="25"/>
        <v/>
      </c>
      <c r="L1617" s="1" t="str">
        <f>IF(COUNTA(A1617:J1617)=0,"",IF(OR(AND(C1617&lt;&gt;"Gasto",C1617&lt;&gt;"Pago proveedor",C1617&lt;&gt;"Retiro familiar",C1617&lt;&gt;"Aportación",C1617&lt;&gt;"Pago activo",C1617&lt;&gt;"ISR devengado",C1617&lt;&gt;"Pago ISR",C1617&lt;&gt;"Pago IVA",C1617&lt;&gt;"Compensación ISR",C1617&lt;&gt;"Compensación IVA"),AND(C1617="Gasto",D1617&lt;&gt;"Costos clínicos",D1617&lt;&gt;"Remuneración familiar",D1617&lt;&gt;"Nómina y honorarios",D1617&lt;&gt;"Renta",D1617&lt;&gt;"Marketing",D1617&lt;&gt;"Servicios y software",D1617&lt;&gt;"Mantenimiento",D1617&lt;&gt;"Otros",D1617&lt;&gt;"Intereses")),"Tipo o categoría inválido",IF(COUNTA(A1617:J1617)=0,"",IF(OR(A1617="",B1617="",C1617="",H1617=""),"Faltan datos",IF(COUNTIF($A$7:$A$2006,A1617)&gt;1,"ID duplicado",IF(OR(B1617&lt;DATE(Configuración!$C$5,1,1),B1617&gt;=DATE(Configuración!$C$5+1,1,1)),"Fecha fuera del año",IF(OR(H1617&lt;0,I1617&lt;0),"Revisar signo",IF(AND(C1617&lt;&gt;"Gasto",I1617&lt;&gt;0),"IVA solo en Gasto",IF(AND(C1617="Gasto",D1617=""),"Falta categoría","OK")))))))))</f>
        <v/>
      </c>
    </row>
    <row r="1618" spans="1:12" ht="22" customHeight="1">
      <c r="A1618" s="3"/>
      <c r="B1618" s="7"/>
      <c r="C1618" s="3"/>
      <c r="D1618" s="3"/>
      <c r="E1618" s="3"/>
      <c r="F1618" s="3"/>
      <c r="G1618" s="3"/>
      <c r="H1618" s="4"/>
      <c r="I1618" s="4"/>
      <c r="J1618" s="3"/>
      <c r="K1618" s="8" t="str">
        <f t="shared" si="25"/>
        <v/>
      </c>
      <c r="L1618" s="1" t="str">
        <f>IF(COUNTA(A1618:J1618)=0,"",IF(OR(AND(C1618&lt;&gt;"Gasto",C1618&lt;&gt;"Pago proveedor",C1618&lt;&gt;"Retiro familiar",C1618&lt;&gt;"Aportación",C1618&lt;&gt;"Pago activo",C1618&lt;&gt;"ISR devengado",C1618&lt;&gt;"Pago ISR",C1618&lt;&gt;"Pago IVA",C1618&lt;&gt;"Compensación ISR",C1618&lt;&gt;"Compensación IVA"),AND(C1618="Gasto",D1618&lt;&gt;"Costos clínicos",D1618&lt;&gt;"Remuneración familiar",D1618&lt;&gt;"Nómina y honorarios",D1618&lt;&gt;"Renta",D1618&lt;&gt;"Marketing",D1618&lt;&gt;"Servicios y software",D1618&lt;&gt;"Mantenimiento",D1618&lt;&gt;"Otros",D1618&lt;&gt;"Intereses")),"Tipo o categoría inválido",IF(COUNTA(A1618:J1618)=0,"",IF(OR(A1618="",B1618="",C1618="",H1618=""),"Faltan datos",IF(COUNTIF($A$7:$A$2006,A1618)&gt;1,"ID duplicado",IF(OR(B1618&lt;DATE(Configuración!$C$5,1,1),B1618&gt;=DATE(Configuración!$C$5+1,1,1)),"Fecha fuera del año",IF(OR(H1618&lt;0,I1618&lt;0),"Revisar signo",IF(AND(C1618&lt;&gt;"Gasto",I1618&lt;&gt;0),"IVA solo en Gasto",IF(AND(C1618="Gasto",D1618=""),"Falta categoría","OK")))))))))</f>
        <v/>
      </c>
    </row>
    <row r="1619" spans="1:12" ht="22" customHeight="1">
      <c r="A1619" s="3"/>
      <c r="B1619" s="7"/>
      <c r="C1619" s="3"/>
      <c r="D1619" s="3"/>
      <c r="E1619" s="3"/>
      <c r="F1619" s="3"/>
      <c r="G1619" s="3"/>
      <c r="H1619" s="4"/>
      <c r="I1619" s="4"/>
      <c r="J1619" s="3"/>
      <c r="K1619" s="8" t="str">
        <f t="shared" si="25"/>
        <v/>
      </c>
      <c r="L1619" s="1" t="str">
        <f>IF(COUNTA(A1619:J1619)=0,"",IF(OR(AND(C1619&lt;&gt;"Gasto",C1619&lt;&gt;"Pago proveedor",C1619&lt;&gt;"Retiro familiar",C1619&lt;&gt;"Aportación",C1619&lt;&gt;"Pago activo",C1619&lt;&gt;"ISR devengado",C1619&lt;&gt;"Pago ISR",C1619&lt;&gt;"Pago IVA",C1619&lt;&gt;"Compensación ISR",C1619&lt;&gt;"Compensación IVA"),AND(C1619="Gasto",D1619&lt;&gt;"Costos clínicos",D1619&lt;&gt;"Remuneración familiar",D1619&lt;&gt;"Nómina y honorarios",D1619&lt;&gt;"Renta",D1619&lt;&gt;"Marketing",D1619&lt;&gt;"Servicios y software",D1619&lt;&gt;"Mantenimiento",D1619&lt;&gt;"Otros",D1619&lt;&gt;"Intereses")),"Tipo o categoría inválido",IF(COUNTA(A1619:J1619)=0,"",IF(OR(A1619="",B1619="",C1619="",H1619=""),"Faltan datos",IF(COUNTIF($A$7:$A$2006,A1619)&gt;1,"ID duplicado",IF(OR(B1619&lt;DATE(Configuración!$C$5,1,1),B1619&gt;=DATE(Configuración!$C$5+1,1,1)),"Fecha fuera del año",IF(OR(H1619&lt;0,I1619&lt;0),"Revisar signo",IF(AND(C1619&lt;&gt;"Gasto",I1619&lt;&gt;0),"IVA solo en Gasto",IF(AND(C1619="Gasto",D1619=""),"Falta categoría","OK")))))))))</f>
        <v/>
      </c>
    </row>
    <row r="1620" spans="1:12" ht="22" customHeight="1">
      <c r="A1620" s="3"/>
      <c r="B1620" s="7"/>
      <c r="C1620" s="3"/>
      <c r="D1620" s="3"/>
      <c r="E1620" s="3"/>
      <c r="F1620" s="3"/>
      <c r="G1620" s="3"/>
      <c r="H1620" s="4"/>
      <c r="I1620" s="4"/>
      <c r="J1620" s="3"/>
      <c r="K1620" s="8" t="str">
        <f t="shared" si="25"/>
        <v/>
      </c>
      <c r="L1620" s="1" t="str">
        <f>IF(COUNTA(A1620:J1620)=0,"",IF(OR(AND(C1620&lt;&gt;"Gasto",C1620&lt;&gt;"Pago proveedor",C1620&lt;&gt;"Retiro familiar",C1620&lt;&gt;"Aportación",C1620&lt;&gt;"Pago activo",C1620&lt;&gt;"ISR devengado",C1620&lt;&gt;"Pago ISR",C1620&lt;&gt;"Pago IVA",C1620&lt;&gt;"Compensación ISR",C1620&lt;&gt;"Compensación IVA"),AND(C1620="Gasto",D1620&lt;&gt;"Costos clínicos",D1620&lt;&gt;"Remuneración familiar",D1620&lt;&gt;"Nómina y honorarios",D1620&lt;&gt;"Renta",D1620&lt;&gt;"Marketing",D1620&lt;&gt;"Servicios y software",D1620&lt;&gt;"Mantenimiento",D1620&lt;&gt;"Otros",D1620&lt;&gt;"Intereses")),"Tipo o categoría inválido",IF(COUNTA(A1620:J1620)=0,"",IF(OR(A1620="",B1620="",C1620="",H1620=""),"Faltan datos",IF(COUNTIF($A$7:$A$2006,A1620)&gt;1,"ID duplicado",IF(OR(B1620&lt;DATE(Configuración!$C$5,1,1),B1620&gt;=DATE(Configuración!$C$5+1,1,1)),"Fecha fuera del año",IF(OR(H1620&lt;0,I1620&lt;0),"Revisar signo",IF(AND(C1620&lt;&gt;"Gasto",I1620&lt;&gt;0),"IVA solo en Gasto",IF(AND(C1620="Gasto",D1620=""),"Falta categoría","OK")))))))))</f>
        <v/>
      </c>
    </row>
    <row r="1621" spans="1:12" ht="22" customHeight="1">
      <c r="A1621" s="3"/>
      <c r="B1621" s="7"/>
      <c r="C1621" s="3"/>
      <c r="D1621" s="3"/>
      <c r="E1621" s="3"/>
      <c r="F1621" s="3"/>
      <c r="G1621" s="3"/>
      <c r="H1621" s="4"/>
      <c r="I1621" s="4"/>
      <c r="J1621" s="3"/>
      <c r="K1621" s="8" t="str">
        <f t="shared" si="25"/>
        <v/>
      </c>
      <c r="L1621" s="1" t="str">
        <f>IF(COUNTA(A1621:J1621)=0,"",IF(OR(AND(C1621&lt;&gt;"Gasto",C1621&lt;&gt;"Pago proveedor",C1621&lt;&gt;"Retiro familiar",C1621&lt;&gt;"Aportación",C1621&lt;&gt;"Pago activo",C1621&lt;&gt;"ISR devengado",C1621&lt;&gt;"Pago ISR",C1621&lt;&gt;"Pago IVA",C1621&lt;&gt;"Compensación ISR",C1621&lt;&gt;"Compensación IVA"),AND(C1621="Gasto",D1621&lt;&gt;"Costos clínicos",D1621&lt;&gt;"Remuneración familiar",D1621&lt;&gt;"Nómina y honorarios",D1621&lt;&gt;"Renta",D1621&lt;&gt;"Marketing",D1621&lt;&gt;"Servicios y software",D1621&lt;&gt;"Mantenimiento",D1621&lt;&gt;"Otros",D1621&lt;&gt;"Intereses")),"Tipo o categoría inválido",IF(COUNTA(A1621:J1621)=0,"",IF(OR(A1621="",B1621="",C1621="",H1621=""),"Faltan datos",IF(COUNTIF($A$7:$A$2006,A1621)&gt;1,"ID duplicado",IF(OR(B1621&lt;DATE(Configuración!$C$5,1,1),B1621&gt;=DATE(Configuración!$C$5+1,1,1)),"Fecha fuera del año",IF(OR(H1621&lt;0,I1621&lt;0),"Revisar signo",IF(AND(C1621&lt;&gt;"Gasto",I1621&lt;&gt;0),"IVA solo en Gasto",IF(AND(C1621="Gasto",D1621=""),"Falta categoría","OK")))))))))</f>
        <v/>
      </c>
    </row>
    <row r="1622" spans="1:12" ht="22" customHeight="1">
      <c r="A1622" s="3"/>
      <c r="B1622" s="7"/>
      <c r="C1622" s="3"/>
      <c r="D1622" s="3"/>
      <c r="E1622" s="3"/>
      <c r="F1622" s="3"/>
      <c r="G1622" s="3"/>
      <c r="H1622" s="4"/>
      <c r="I1622" s="4"/>
      <c r="J1622" s="3"/>
      <c r="K1622" s="8" t="str">
        <f t="shared" si="25"/>
        <v/>
      </c>
      <c r="L1622" s="1" t="str">
        <f>IF(COUNTA(A1622:J1622)=0,"",IF(OR(AND(C1622&lt;&gt;"Gasto",C1622&lt;&gt;"Pago proveedor",C1622&lt;&gt;"Retiro familiar",C1622&lt;&gt;"Aportación",C1622&lt;&gt;"Pago activo",C1622&lt;&gt;"ISR devengado",C1622&lt;&gt;"Pago ISR",C1622&lt;&gt;"Pago IVA",C1622&lt;&gt;"Compensación ISR",C1622&lt;&gt;"Compensación IVA"),AND(C1622="Gasto",D1622&lt;&gt;"Costos clínicos",D1622&lt;&gt;"Remuneración familiar",D1622&lt;&gt;"Nómina y honorarios",D1622&lt;&gt;"Renta",D1622&lt;&gt;"Marketing",D1622&lt;&gt;"Servicios y software",D1622&lt;&gt;"Mantenimiento",D1622&lt;&gt;"Otros",D1622&lt;&gt;"Intereses")),"Tipo o categoría inválido",IF(COUNTA(A1622:J1622)=0,"",IF(OR(A1622="",B1622="",C1622="",H1622=""),"Faltan datos",IF(COUNTIF($A$7:$A$2006,A1622)&gt;1,"ID duplicado",IF(OR(B1622&lt;DATE(Configuración!$C$5,1,1),B1622&gt;=DATE(Configuración!$C$5+1,1,1)),"Fecha fuera del año",IF(OR(H1622&lt;0,I1622&lt;0),"Revisar signo",IF(AND(C1622&lt;&gt;"Gasto",I1622&lt;&gt;0),"IVA solo en Gasto",IF(AND(C1622="Gasto",D1622=""),"Falta categoría","OK")))))))))</f>
        <v/>
      </c>
    </row>
    <row r="1623" spans="1:12" ht="22" customHeight="1">
      <c r="A1623" s="3"/>
      <c r="B1623" s="7"/>
      <c r="C1623" s="3"/>
      <c r="D1623" s="3"/>
      <c r="E1623" s="3"/>
      <c r="F1623" s="3"/>
      <c r="G1623" s="3"/>
      <c r="H1623" s="4"/>
      <c r="I1623" s="4"/>
      <c r="J1623" s="3"/>
      <c r="K1623" s="8" t="str">
        <f t="shared" si="25"/>
        <v/>
      </c>
      <c r="L1623" s="1" t="str">
        <f>IF(COUNTA(A1623:J1623)=0,"",IF(OR(AND(C1623&lt;&gt;"Gasto",C1623&lt;&gt;"Pago proveedor",C1623&lt;&gt;"Retiro familiar",C1623&lt;&gt;"Aportación",C1623&lt;&gt;"Pago activo",C1623&lt;&gt;"ISR devengado",C1623&lt;&gt;"Pago ISR",C1623&lt;&gt;"Pago IVA",C1623&lt;&gt;"Compensación ISR",C1623&lt;&gt;"Compensación IVA"),AND(C1623="Gasto",D1623&lt;&gt;"Costos clínicos",D1623&lt;&gt;"Remuneración familiar",D1623&lt;&gt;"Nómina y honorarios",D1623&lt;&gt;"Renta",D1623&lt;&gt;"Marketing",D1623&lt;&gt;"Servicios y software",D1623&lt;&gt;"Mantenimiento",D1623&lt;&gt;"Otros",D1623&lt;&gt;"Intereses")),"Tipo o categoría inválido",IF(COUNTA(A1623:J1623)=0,"",IF(OR(A1623="",B1623="",C1623="",H1623=""),"Faltan datos",IF(COUNTIF($A$7:$A$2006,A1623)&gt;1,"ID duplicado",IF(OR(B1623&lt;DATE(Configuración!$C$5,1,1),B1623&gt;=DATE(Configuración!$C$5+1,1,1)),"Fecha fuera del año",IF(OR(H1623&lt;0,I1623&lt;0),"Revisar signo",IF(AND(C1623&lt;&gt;"Gasto",I1623&lt;&gt;0),"IVA solo en Gasto",IF(AND(C1623="Gasto",D1623=""),"Falta categoría","OK")))))))))</f>
        <v/>
      </c>
    </row>
    <row r="1624" spans="1:12" ht="22" customHeight="1">
      <c r="A1624" s="3"/>
      <c r="B1624" s="7"/>
      <c r="C1624" s="3"/>
      <c r="D1624" s="3"/>
      <c r="E1624" s="3"/>
      <c r="F1624" s="3"/>
      <c r="G1624" s="3"/>
      <c r="H1624" s="4"/>
      <c r="I1624" s="4"/>
      <c r="J1624" s="3"/>
      <c r="K1624" s="8" t="str">
        <f t="shared" si="25"/>
        <v/>
      </c>
      <c r="L1624" s="1" t="str">
        <f>IF(COUNTA(A1624:J1624)=0,"",IF(OR(AND(C1624&lt;&gt;"Gasto",C1624&lt;&gt;"Pago proveedor",C1624&lt;&gt;"Retiro familiar",C1624&lt;&gt;"Aportación",C1624&lt;&gt;"Pago activo",C1624&lt;&gt;"ISR devengado",C1624&lt;&gt;"Pago ISR",C1624&lt;&gt;"Pago IVA",C1624&lt;&gt;"Compensación ISR",C1624&lt;&gt;"Compensación IVA"),AND(C1624="Gasto",D1624&lt;&gt;"Costos clínicos",D1624&lt;&gt;"Remuneración familiar",D1624&lt;&gt;"Nómina y honorarios",D1624&lt;&gt;"Renta",D1624&lt;&gt;"Marketing",D1624&lt;&gt;"Servicios y software",D1624&lt;&gt;"Mantenimiento",D1624&lt;&gt;"Otros",D1624&lt;&gt;"Intereses")),"Tipo o categoría inválido",IF(COUNTA(A1624:J1624)=0,"",IF(OR(A1624="",B1624="",C1624="",H1624=""),"Faltan datos",IF(COUNTIF($A$7:$A$2006,A1624)&gt;1,"ID duplicado",IF(OR(B1624&lt;DATE(Configuración!$C$5,1,1),B1624&gt;=DATE(Configuración!$C$5+1,1,1)),"Fecha fuera del año",IF(OR(H1624&lt;0,I1624&lt;0),"Revisar signo",IF(AND(C1624&lt;&gt;"Gasto",I1624&lt;&gt;0),"IVA solo en Gasto",IF(AND(C1624="Gasto",D1624=""),"Falta categoría","OK")))))))))</f>
        <v/>
      </c>
    </row>
    <row r="1625" spans="1:12" ht="22" customHeight="1">
      <c r="A1625" s="3"/>
      <c r="B1625" s="7"/>
      <c r="C1625" s="3"/>
      <c r="D1625" s="3"/>
      <c r="E1625" s="3"/>
      <c r="F1625" s="3"/>
      <c r="G1625" s="3"/>
      <c r="H1625" s="4"/>
      <c r="I1625" s="4"/>
      <c r="J1625" s="3"/>
      <c r="K1625" s="8" t="str">
        <f t="shared" si="25"/>
        <v/>
      </c>
      <c r="L1625" s="1" t="str">
        <f>IF(COUNTA(A1625:J1625)=0,"",IF(OR(AND(C1625&lt;&gt;"Gasto",C1625&lt;&gt;"Pago proveedor",C1625&lt;&gt;"Retiro familiar",C1625&lt;&gt;"Aportación",C1625&lt;&gt;"Pago activo",C1625&lt;&gt;"ISR devengado",C1625&lt;&gt;"Pago ISR",C1625&lt;&gt;"Pago IVA",C1625&lt;&gt;"Compensación ISR",C1625&lt;&gt;"Compensación IVA"),AND(C1625="Gasto",D1625&lt;&gt;"Costos clínicos",D1625&lt;&gt;"Remuneración familiar",D1625&lt;&gt;"Nómina y honorarios",D1625&lt;&gt;"Renta",D1625&lt;&gt;"Marketing",D1625&lt;&gt;"Servicios y software",D1625&lt;&gt;"Mantenimiento",D1625&lt;&gt;"Otros",D1625&lt;&gt;"Intereses")),"Tipo o categoría inválido",IF(COUNTA(A1625:J1625)=0,"",IF(OR(A1625="",B1625="",C1625="",H1625=""),"Faltan datos",IF(COUNTIF($A$7:$A$2006,A1625)&gt;1,"ID duplicado",IF(OR(B1625&lt;DATE(Configuración!$C$5,1,1),B1625&gt;=DATE(Configuración!$C$5+1,1,1)),"Fecha fuera del año",IF(OR(H1625&lt;0,I1625&lt;0),"Revisar signo",IF(AND(C1625&lt;&gt;"Gasto",I1625&lt;&gt;0),"IVA solo en Gasto",IF(AND(C1625="Gasto",D1625=""),"Falta categoría","OK")))))))))</f>
        <v/>
      </c>
    </row>
    <row r="1626" spans="1:12" ht="22" customHeight="1">
      <c r="A1626" s="3"/>
      <c r="B1626" s="7"/>
      <c r="C1626" s="3"/>
      <c r="D1626" s="3"/>
      <c r="E1626" s="3"/>
      <c r="F1626" s="3"/>
      <c r="G1626" s="3"/>
      <c r="H1626" s="4"/>
      <c r="I1626" s="4"/>
      <c r="J1626" s="3"/>
      <c r="K1626" s="8" t="str">
        <f t="shared" si="25"/>
        <v/>
      </c>
      <c r="L1626" s="1" t="str">
        <f>IF(COUNTA(A1626:J1626)=0,"",IF(OR(AND(C1626&lt;&gt;"Gasto",C1626&lt;&gt;"Pago proveedor",C1626&lt;&gt;"Retiro familiar",C1626&lt;&gt;"Aportación",C1626&lt;&gt;"Pago activo",C1626&lt;&gt;"ISR devengado",C1626&lt;&gt;"Pago ISR",C1626&lt;&gt;"Pago IVA",C1626&lt;&gt;"Compensación ISR",C1626&lt;&gt;"Compensación IVA"),AND(C1626="Gasto",D1626&lt;&gt;"Costos clínicos",D1626&lt;&gt;"Remuneración familiar",D1626&lt;&gt;"Nómina y honorarios",D1626&lt;&gt;"Renta",D1626&lt;&gt;"Marketing",D1626&lt;&gt;"Servicios y software",D1626&lt;&gt;"Mantenimiento",D1626&lt;&gt;"Otros",D1626&lt;&gt;"Intereses")),"Tipo o categoría inválido",IF(COUNTA(A1626:J1626)=0,"",IF(OR(A1626="",B1626="",C1626="",H1626=""),"Faltan datos",IF(COUNTIF($A$7:$A$2006,A1626)&gt;1,"ID duplicado",IF(OR(B1626&lt;DATE(Configuración!$C$5,1,1),B1626&gt;=DATE(Configuración!$C$5+1,1,1)),"Fecha fuera del año",IF(OR(H1626&lt;0,I1626&lt;0),"Revisar signo",IF(AND(C1626&lt;&gt;"Gasto",I1626&lt;&gt;0),"IVA solo en Gasto",IF(AND(C1626="Gasto",D1626=""),"Falta categoría","OK")))))))))</f>
        <v/>
      </c>
    </row>
    <row r="1627" spans="1:12" ht="22" customHeight="1">
      <c r="A1627" s="3"/>
      <c r="B1627" s="7"/>
      <c r="C1627" s="3"/>
      <c r="D1627" s="3"/>
      <c r="E1627" s="3"/>
      <c r="F1627" s="3"/>
      <c r="G1627" s="3"/>
      <c r="H1627" s="4"/>
      <c r="I1627" s="4"/>
      <c r="J1627" s="3"/>
      <c r="K1627" s="8" t="str">
        <f t="shared" si="25"/>
        <v/>
      </c>
      <c r="L1627" s="1" t="str">
        <f>IF(COUNTA(A1627:J1627)=0,"",IF(OR(AND(C1627&lt;&gt;"Gasto",C1627&lt;&gt;"Pago proveedor",C1627&lt;&gt;"Retiro familiar",C1627&lt;&gt;"Aportación",C1627&lt;&gt;"Pago activo",C1627&lt;&gt;"ISR devengado",C1627&lt;&gt;"Pago ISR",C1627&lt;&gt;"Pago IVA",C1627&lt;&gt;"Compensación ISR",C1627&lt;&gt;"Compensación IVA"),AND(C1627="Gasto",D1627&lt;&gt;"Costos clínicos",D1627&lt;&gt;"Remuneración familiar",D1627&lt;&gt;"Nómina y honorarios",D1627&lt;&gt;"Renta",D1627&lt;&gt;"Marketing",D1627&lt;&gt;"Servicios y software",D1627&lt;&gt;"Mantenimiento",D1627&lt;&gt;"Otros",D1627&lt;&gt;"Intereses")),"Tipo o categoría inválido",IF(COUNTA(A1627:J1627)=0,"",IF(OR(A1627="",B1627="",C1627="",H1627=""),"Faltan datos",IF(COUNTIF($A$7:$A$2006,A1627)&gt;1,"ID duplicado",IF(OR(B1627&lt;DATE(Configuración!$C$5,1,1),B1627&gt;=DATE(Configuración!$C$5+1,1,1)),"Fecha fuera del año",IF(OR(H1627&lt;0,I1627&lt;0),"Revisar signo",IF(AND(C1627&lt;&gt;"Gasto",I1627&lt;&gt;0),"IVA solo en Gasto",IF(AND(C1627="Gasto",D1627=""),"Falta categoría","OK")))))))))</f>
        <v/>
      </c>
    </row>
    <row r="1628" spans="1:12" ht="22" customHeight="1">
      <c r="A1628" s="3"/>
      <c r="B1628" s="7"/>
      <c r="C1628" s="3"/>
      <c r="D1628" s="3"/>
      <c r="E1628" s="3"/>
      <c r="F1628" s="3"/>
      <c r="G1628" s="3"/>
      <c r="H1628" s="4"/>
      <c r="I1628" s="4"/>
      <c r="J1628" s="3"/>
      <c r="K1628" s="8" t="str">
        <f t="shared" si="25"/>
        <v/>
      </c>
      <c r="L1628" s="1" t="str">
        <f>IF(COUNTA(A1628:J1628)=0,"",IF(OR(AND(C1628&lt;&gt;"Gasto",C1628&lt;&gt;"Pago proveedor",C1628&lt;&gt;"Retiro familiar",C1628&lt;&gt;"Aportación",C1628&lt;&gt;"Pago activo",C1628&lt;&gt;"ISR devengado",C1628&lt;&gt;"Pago ISR",C1628&lt;&gt;"Pago IVA",C1628&lt;&gt;"Compensación ISR",C1628&lt;&gt;"Compensación IVA"),AND(C1628="Gasto",D1628&lt;&gt;"Costos clínicos",D1628&lt;&gt;"Remuneración familiar",D1628&lt;&gt;"Nómina y honorarios",D1628&lt;&gt;"Renta",D1628&lt;&gt;"Marketing",D1628&lt;&gt;"Servicios y software",D1628&lt;&gt;"Mantenimiento",D1628&lt;&gt;"Otros",D1628&lt;&gt;"Intereses")),"Tipo o categoría inválido",IF(COUNTA(A1628:J1628)=0,"",IF(OR(A1628="",B1628="",C1628="",H1628=""),"Faltan datos",IF(COUNTIF($A$7:$A$2006,A1628)&gt;1,"ID duplicado",IF(OR(B1628&lt;DATE(Configuración!$C$5,1,1),B1628&gt;=DATE(Configuración!$C$5+1,1,1)),"Fecha fuera del año",IF(OR(H1628&lt;0,I1628&lt;0),"Revisar signo",IF(AND(C1628&lt;&gt;"Gasto",I1628&lt;&gt;0),"IVA solo en Gasto",IF(AND(C1628="Gasto",D1628=""),"Falta categoría","OK")))))))))</f>
        <v/>
      </c>
    </row>
    <row r="1629" spans="1:12" ht="22" customHeight="1">
      <c r="A1629" s="3"/>
      <c r="B1629" s="7"/>
      <c r="C1629" s="3"/>
      <c r="D1629" s="3"/>
      <c r="E1629" s="3"/>
      <c r="F1629" s="3"/>
      <c r="G1629" s="3"/>
      <c r="H1629" s="4"/>
      <c r="I1629" s="4"/>
      <c r="J1629" s="3"/>
      <c r="K1629" s="8" t="str">
        <f t="shared" si="25"/>
        <v/>
      </c>
      <c r="L1629" s="1" t="str">
        <f>IF(COUNTA(A1629:J1629)=0,"",IF(OR(AND(C1629&lt;&gt;"Gasto",C1629&lt;&gt;"Pago proveedor",C1629&lt;&gt;"Retiro familiar",C1629&lt;&gt;"Aportación",C1629&lt;&gt;"Pago activo",C1629&lt;&gt;"ISR devengado",C1629&lt;&gt;"Pago ISR",C1629&lt;&gt;"Pago IVA",C1629&lt;&gt;"Compensación ISR",C1629&lt;&gt;"Compensación IVA"),AND(C1629="Gasto",D1629&lt;&gt;"Costos clínicos",D1629&lt;&gt;"Remuneración familiar",D1629&lt;&gt;"Nómina y honorarios",D1629&lt;&gt;"Renta",D1629&lt;&gt;"Marketing",D1629&lt;&gt;"Servicios y software",D1629&lt;&gt;"Mantenimiento",D1629&lt;&gt;"Otros",D1629&lt;&gt;"Intereses")),"Tipo o categoría inválido",IF(COUNTA(A1629:J1629)=0,"",IF(OR(A1629="",B1629="",C1629="",H1629=""),"Faltan datos",IF(COUNTIF($A$7:$A$2006,A1629)&gt;1,"ID duplicado",IF(OR(B1629&lt;DATE(Configuración!$C$5,1,1),B1629&gt;=DATE(Configuración!$C$5+1,1,1)),"Fecha fuera del año",IF(OR(H1629&lt;0,I1629&lt;0),"Revisar signo",IF(AND(C1629&lt;&gt;"Gasto",I1629&lt;&gt;0),"IVA solo en Gasto",IF(AND(C1629="Gasto",D1629=""),"Falta categoría","OK")))))))))</f>
        <v/>
      </c>
    </row>
    <row r="1630" spans="1:12" ht="22" customHeight="1">
      <c r="A1630" s="3"/>
      <c r="B1630" s="7"/>
      <c r="C1630" s="3"/>
      <c r="D1630" s="3"/>
      <c r="E1630" s="3"/>
      <c r="F1630" s="3"/>
      <c r="G1630" s="3"/>
      <c r="H1630" s="4"/>
      <c r="I1630" s="4"/>
      <c r="J1630" s="3"/>
      <c r="K1630" s="8" t="str">
        <f t="shared" si="25"/>
        <v/>
      </c>
      <c r="L1630" s="1" t="str">
        <f>IF(COUNTA(A1630:J1630)=0,"",IF(OR(AND(C1630&lt;&gt;"Gasto",C1630&lt;&gt;"Pago proveedor",C1630&lt;&gt;"Retiro familiar",C1630&lt;&gt;"Aportación",C1630&lt;&gt;"Pago activo",C1630&lt;&gt;"ISR devengado",C1630&lt;&gt;"Pago ISR",C1630&lt;&gt;"Pago IVA",C1630&lt;&gt;"Compensación ISR",C1630&lt;&gt;"Compensación IVA"),AND(C1630="Gasto",D1630&lt;&gt;"Costos clínicos",D1630&lt;&gt;"Remuneración familiar",D1630&lt;&gt;"Nómina y honorarios",D1630&lt;&gt;"Renta",D1630&lt;&gt;"Marketing",D1630&lt;&gt;"Servicios y software",D1630&lt;&gt;"Mantenimiento",D1630&lt;&gt;"Otros",D1630&lt;&gt;"Intereses")),"Tipo o categoría inválido",IF(COUNTA(A1630:J1630)=0,"",IF(OR(A1630="",B1630="",C1630="",H1630=""),"Faltan datos",IF(COUNTIF($A$7:$A$2006,A1630)&gt;1,"ID duplicado",IF(OR(B1630&lt;DATE(Configuración!$C$5,1,1),B1630&gt;=DATE(Configuración!$C$5+1,1,1)),"Fecha fuera del año",IF(OR(H1630&lt;0,I1630&lt;0),"Revisar signo",IF(AND(C1630&lt;&gt;"Gasto",I1630&lt;&gt;0),"IVA solo en Gasto",IF(AND(C1630="Gasto",D1630=""),"Falta categoría","OK")))))))))</f>
        <v/>
      </c>
    </row>
    <row r="1631" spans="1:12" ht="22" customHeight="1">
      <c r="A1631" s="3"/>
      <c r="B1631" s="7"/>
      <c r="C1631" s="3"/>
      <c r="D1631" s="3"/>
      <c r="E1631" s="3"/>
      <c r="F1631" s="3"/>
      <c r="G1631" s="3"/>
      <c r="H1631" s="4"/>
      <c r="I1631" s="4"/>
      <c r="J1631" s="3"/>
      <c r="K1631" s="8" t="str">
        <f t="shared" si="25"/>
        <v/>
      </c>
      <c r="L1631" s="1" t="str">
        <f>IF(COUNTA(A1631:J1631)=0,"",IF(OR(AND(C1631&lt;&gt;"Gasto",C1631&lt;&gt;"Pago proveedor",C1631&lt;&gt;"Retiro familiar",C1631&lt;&gt;"Aportación",C1631&lt;&gt;"Pago activo",C1631&lt;&gt;"ISR devengado",C1631&lt;&gt;"Pago ISR",C1631&lt;&gt;"Pago IVA",C1631&lt;&gt;"Compensación ISR",C1631&lt;&gt;"Compensación IVA"),AND(C1631="Gasto",D1631&lt;&gt;"Costos clínicos",D1631&lt;&gt;"Remuneración familiar",D1631&lt;&gt;"Nómina y honorarios",D1631&lt;&gt;"Renta",D1631&lt;&gt;"Marketing",D1631&lt;&gt;"Servicios y software",D1631&lt;&gt;"Mantenimiento",D1631&lt;&gt;"Otros",D1631&lt;&gt;"Intereses")),"Tipo o categoría inválido",IF(COUNTA(A1631:J1631)=0,"",IF(OR(A1631="",B1631="",C1631="",H1631=""),"Faltan datos",IF(COUNTIF($A$7:$A$2006,A1631)&gt;1,"ID duplicado",IF(OR(B1631&lt;DATE(Configuración!$C$5,1,1),B1631&gt;=DATE(Configuración!$C$5+1,1,1)),"Fecha fuera del año",IF(OR(H1631&lt;0,I1631&lt;0),"Revisar signo",IF(AND(C1631&lt;&gt;"Gasto",I1631&lt;&gt;0),"IVA solo en Gasto",IF(AND(C1631="Gasto",D1631=""),"Falta categoría","OK")))))))))</f>
        <v/>
      </c>
    </row>
    <row r="1632" spans="1:12" ht="22" customHeight="1">
      <c r="A1632" s="3"/>
      <c r="B1632" s="7"/>
      <c r="C1632" s="3"/>
      <c r="D1632" s="3"/>
      <c r="E1632" s="3"/>
      <c r="F1632" s="3"/>
      <c r="G1632" s="3"/>
      <c r="H1632" s="4"/>
      <c r="I1632" s="4"/>
      <c r="J1632" s="3"/>
      <c r="K1632" s="8" t="str">
        <f t="shared" si="25"/>
        <v/>
      </c>
      <c r="L1632" s="1" t="str">
        <f>IF(COUNTA(A1632:J1632)=0,"",IF(OR(AND(C1632&lt;&gt;"Gasto",C1632&lt;&gt;"Pago proveedor",C1632&lt;&gt;"Retiro familiar",C1632&lt;&gt;"Aportación",C1632&lt;&gt;"Pago activo",C1632&lt;&gt;"ISR devengado",C1632&lt;&gt;"Pago ISR",C1632&lt;&gt;"Pago IVA",C1632&lt;&gt;"Compensación ISR",C1632&lt;&gt;"Compensación IVA"),AND(C1632="Gasto",D1632&lt;&gt;"Costos clínicos",D1632&lt;&gt;"Remuneración familiar",D1632&lt;&gt;"Nómina y honorarios",D1632&lt;&gt;"Renta",D1632&lt;&gt;"Marketing",D1632&lt;&gt;"Servicios y software",D1632&lt;&gt;"Mantenimiento",D1632&lt;&gt;"Otros",D1632&lt;&gt;"Intereses")),"Tipo o categoría inválido",IF(COUNTA(A1632:J1632)=0,"",IF(OR(A1632="",B1632="",C1632="",H1632=""),"Faltan datos",IF(COUNTIF($A$7:$A$2006,A1632)&gt;1,"ID duplicado",IF(OR(B1632&lt;DATE(Configuración!$C$5,1,1),B1632&gt;=DATE(Configuración!$C$5+1,1,1)),"Fecha fuera del año",IF(OR(H1632&lt;0,I1632&lt;0),"Revisar signo",IF(AND(C1632&lt;&gt;"Gasto",I1632&lt;&gt;0),"IVA solo en Gasto",IF(AND(C1632="Gasto",D1632=""),"Falta categoría","OK")))))))))</f>
        <v/>
      </c>
    </row>
    <row r="1633" spans="1:12" ht="22" customHeight="1">
      <c r="A1633" s="3"/>
      <c r="B1633" s="7"/>
      <c r="C1633" s="3"/>
      <c r="D1633" s="3"/>
      <c r="E1633" s="3"/>
      <c r="F1633" s="3"/>
      <c r="G1633" s="3"/>
      <c r="H1633" s="4"/>
      <c r="I1633" s="4"/>
      <c r="J1633" s="3"/>
      <c r="K1633" s="8" t="str">
        <f t="shared" si="25"/>
        <v/>
      </c>
      <c r="L1633" s="1" t="str">
        <f>IF(COUNTA(A1633:J1633)=0,"",IF(OR(AND(C1633&lt;&gt;"Gasto",C1633&lt;&gt;"Pago proveedor",C1633&lt;&gt;"Retiro familiar",C1633&lt;&gt;"Aportación",C1633&lt;&gt;"Pago activo",C1633&lt;&gt;"ISR devengado",C1633&lt;&gt;"Pago ISR",C1633&lt;&gt;"Pago IVA",C1633&lt;&gt;"Compensación ISR",C1633&lt;&gt;"Compensación IVA"),AND(C1633="Gasto",D1633&lt;&gt;"Costos clínicos",D1633&lt;&gt;"Remuneración familiar",D1633&lt;&gt;"Nómina y honorarios",D1633&lt;&gt;"Renta",D1633&lt;&gt;"Marketing",D1633&lt;&gt;"Servicios y software",D1633&lt;&gt;"Mantenimiento",D1633&lt;&gt;"Otros",D1633&lt;&gt;"Intereses")),"Tipo o categoría inválido",IF(COUNTA(A1633:J1633)=0,"",IF(OR(A1633="",B1633="",C1633="",H1633=""),"Faltan datos",IF(COUNTIF($A$7:$A$2006,A1633)&gt;1,"ID duplicado",IF(OR(B1633&lt;DATE(Configuración!$C$5,1,1),B1633&gt;=DATE(Configuración!$C$5+1,1,1)),"Fecha fuera del año",IF(OR(H1633&lt;0,I1633&lt;0),"Revisar signo",IF(AND(C1633&lt;&gt;"Gasto",I1633&lt;&gt;0),"IVA solo en Gasto",IF(AND(C1633="Gasto",D1633=""),"Falta categoría","OK")))))))))</f>
        <v/>
      </c>
    </row>
    <row r="1634" spans="1:12" ht="22" customHeight="1">
      <c r="A1634" s="3"/>
      <c r="B1634" s="7"/>
      <c r="C1634" s="3"/>
      <c r="D1634" s="3"/>
      <c r="E1634" s="3"/>
      <c r="F1634" s="3"/>
      <c r="G1634" s="3"/>
      <c r="H1634" s="4"/>
      <c r="I1634" s="4"/>
      <c r="J1634" s="3"/>
      <c r="K1634" s="8" t="str">
        <f t="shared" si="25"/>
        <v/>
      </c>
      <c r="L1634" s="1" t="str">
        <f>IF(COUNTA(A1634:J1634)=0,"",IF(OR(AND(C1634&lt;&gt;"Gasto",C1634&lt;&gt;"Pago proveedor",C1634&lt;&gt;"Retiro familiar",C1634&lt;&gt;"Aportación",C1634&lt;&gt;"Pago activo",C1634&lt;&gt;"ISR devengado",C1634&lt;&gt;"Pago ISR",C1634&lt;&gt;"Pago IVA",C1634&lt;&gt;"Compensación ISR",C1634&lt;&gt;"Compensación IVA"),AND(C1634="Gasto",D1634&lt;&gt;"Costos clínicos",D1634&lt;&gt;"Remuneración familiar",D1634&lt;&gt;"Nómina y honorarios",D1634&lt;&gt;"Renta",D1634&lt;&gt;"Marketing",D1634&lt;&gt;"Servicios y software",D1634&lt;&gt;"Mantenimiento",D1634&lt;&gt;"Otros",D1634&lt;&gt;"Intereses")),"Tipo o categoría inválido",IF(COUNTA(A1634:J1634)=0,"",IF(OR(A1634="",B1634="",C1634="",H1634=""),"Faltan datos",IF(COUNTIF($A$7:$A$2006,A1634)&gt;1,"ID duplicado",IF(OR(B1634&lt;DATE(Configuración!$C$5,1,1),B1634&gt;=DATE(Configuración!$C$5+1,1,1)),"Fecha fuera del año",IF(OR(H1634&lt;0,I1634&lt;0),"Revisar signo",IF(AND(C1634&lt;&gt;"Gasto",I1634&lt;&gt;0),"IVA solo en Gasto",IF(AND(C1634="Gasto",D1634=""),"Falta categoría","OK")))))))))</f>
        <v/>
      </c>
    </row>
    <row r="1635" spans="1:12" ht="22" customHeight="1">
      <c r="A1635" s="3"/>
      <c r="B1635" s="7"/>
      <c r="C1635" s="3"/>
      <c r="D1635" s="3"/>
      <c r="E1635" s="3"/>
      <c r="F1635" s="3"/>
      <c r="G1635" s="3"/>
      <c r="H1635" s="4"/>
      <c r="I1635" s="4"/>
      <c r="J1635" s="3"/>
      <c r="K1635" s="8" t="str">
        <f t="shared" si="25"/>
        <v/>
      </c>
      <c r="L1635" s="1" t="str">
        <f>IF(COUNTA(A1635:J1635)=0,"",IF(OR(AND(C1635&lt;&gt;"Gasto",C1635&lt;&gt;"Pago proveedor",C1635&lt;&gt;"Retiro familiar",C1635&lt;&gt;"Aportación",C1635&lt;&gt;"Pago activo",C1635&lt;&gt;"ISR devengado",C1635&lt;&gt;"Pago ISR",C1635&lt;&gt;"Pago IVA",C1635&lt;&gt;"Compensación ISR",C1635&lt;&gt;"Compensación IVA"),AND(C1635="Gasto",D1635&lt;&gt;"Costos clínicos",D1635&lt;&gt;"Remuneración familiar",D1635&lt;&gt;"Nómina y honorarios",D1635&lt;&gt;"Renta",D1635&lt;&gt;"Marketing",D1635&lt;&gt;"Servicios y software",D1635&lt;&gt;"Mantenimiento",D1635&lt;&gt;"Otros",D1635&lt;&gt;"Intereses")),"Tipo o categoría inválido",IF(COUNTA(A1635:J1635)=0,"",IF(OR(A1635="",B1635="",C1635="",H1635=""),"Faltan datos",IF(COUNTIF($A$7:$A$2006,A1635)&gt;1,"ID duplicado",IF(OR(B1635&lt;DATE(Configuración!$C$5,1,1),B1635&gt;=DATE(Configuración!$C$5+1,1,1)),"Fecha fuera del año",IF(OR(H1635&lt;0,I1635&lt;0),"Revisar signo",IF(AND(C1635&lt;&gt;"Gasto",I1635&lt;&gt;0),"IVA solo en Gasto",IF(AND(C1635="Gasto",D1635=""),"Falta categoría","OK")))))))))</f>
        <v/>
      </c>
    </row>
    <row r="1636" spans="1:12" ht="22" customHeight="1">
      <c r="A1636" s="3"/>
      <c r="B1636" s="7"/>
      <c r="C1636" s="3"/>
      <c r="D1636" s="3"/>
      <c r="E1636" s="3"/>
      <c r="F1636" s="3"/>
      <c r="G1636" s="3"/>
      <c r="H1636" s="4"/>
      <c r="I1636" s="4"/>
      <c r="J1636" s="3"/>
      <c r="K1636" s="8" t="str">
        <f t="shared" si="25"/>
        <v/>
      </c>
      <c r="L1636" s="1" t="str">
        <f>IF(COUNTA(A1636:J1636)=0,"",IF(OR(AND(C1636&lt;&gt;"Gasto",C1636&lt;&gt;"Pago proveedor",C1636&lt;&gt;"Retiro familiar",C1636&lt;&gt;"Aportación",C1636&lt;&gt;"Pago activo",C1636&lt;&gt;"ISR devengado",C1636&lt;&gt;"Pago ISR",C1636&lt;&gt;"Pago IVA",C1636&lt;&gt;"Compensación ISR",C1636&lt;&gt;"Compensación IVA"),AND(C1636="Gasto",D1636&lt;&gt;"Costos clínicos",D1636&lt;&gt;"Remuneración familiar",D1636&lt;&gt;"Nómina y honorarios",D1636&lt;&gt;"Renta",D1636&lt;&gt;"Marketing",D1636&lt;&gt;"Servicios y software",D1636&lt;&gt;"Mantenimiento",D1636&lt;&gt;"Otros",D1636&lt;&gt;"Intereses")),"Tipo o categoría inválido",IF(COUNTA(A1636:J1636)=0,"",IF(OR(A1636="",B1636="",C1636="",H1636=""),"Faltan datos",IF(COUNTIF($A$7:$A$2006,A1636)&gt;1,"ID duplicado",IF(OR(B1636&lt;DATE(Configuración!$C$5,1,1),B1636&gt;=DATE(Configuración!$C$5+1,1,1)),"Fecha fuera del año",IF(OR(H1636&lt;0,I1636&lt;0),"Revisar signo",IF(AND(C1636&lt;&gt;"Gasto",I1636&lt;&gt;0),"IVA solo en Gasto",IF(AND(C1636="Gasto",D1636=""),"Falta categoría","OK")))))))))</f>
        <v/>
      </c>
    </row>
    <row r="1637" spans="1:12" ht="22" customHeight="1">
      <c r="A1637" s="3"/>
      <c r="B1637" s="7"/>
      <c r="C1637" s="3"/>
      <c r="D1637" s="3"/>
      <c r="E1637" s="3"/>
      <c r="F1637" s="3"/>
      <c r="G1637" s="3"/>
      <c r="H1637" s="4"/>
      <c r="I1637" s="4"/>
      <c r="J1637" s="3"/>
      <c r="K1637" s="8" t="str">
        <f t="shared" si="25"/>
        <v/>
      </c>
      <c r="L1637" s="1" t="str">
        <f>IF(COUNTA(A1637:J1637)=0,"",IF(OR(AND(C1637&lt;&gt;"Gasto",C1637&lt;&gt;"Pago proveedor",C1637&lt;&gt;"Retiro familiar",C1637&lt;&gt;"Aportación",C1637&lt;&gt;"Pago activo",C1637&lt;&gt;"ISR devengado",C1637&lt;&gt;"Pago ISR",C1637&lt;&gt;"Pago IVA",C1637&lt;&gt;"Compensación ISR",C1637&lt;&gt;"Compensación IVA"),AND(C1637="Gasto",D1637&lt;&gt;"Costos clínicos",D1637&lt;&gt;"Remuneración familiar",D1637&lt;&gt;"Nómina y honorarios",D1637&lt;&gt;"Renta",D1637&lt;&gt;"Marketing",D1637&lt;&gt;"Servicios y software",D1637&lt;&gt;"Mantenimiento",D1637&lt;&gt;"Otros",D1637&lt;&gt;"Intereses")),"Tipo o categoría inválido",IF(COUNTA(A1637:J1637)=0,"",IF(OR(A1637="",B1637="",C1637="",H1637=""),"Faltan datos",IF(COUNTIF($A$7:$A$2006,A1637)&gt;1,"ID duplicado",IF(OR(B1637&lt;DATE(Configuración!$C$5,1,1),B1637&gt;=DATE(Configuración!$C$5+1,1,1)),"Fecha fuera del año",IF(OR(H1637&lt;0,I1637&lt;0),"Revisar signo",IF(AND(C1637&lt;&gt;"Gasto",I1637&lt;&gt;0),"IVA solo en Gasto",IF(AND(C1637="Gasto",D1637=""),"Falta categoría","OK")))))))))</f>
        <v/>
      </c>
    </row>
    <row r="1638" spans="1:12" ht="22" customHeight="1">
      <c r="A1638" s="3"/>
      <c r="B1638" s="7"/>
      <c r="C1638" s="3"/>
      <c r="D1638" s="3"/>
      <c r="E1638" s="3"/>
      <c r="F1638" s="3"/>
      <c r="G1638" s="3"/>
      <c r="H1638" s="4"/>
      <c r="I1638" s="4"/>
      <c r="J1638" s="3"/>
      <c r="K1638" s="8" t="str">
        <f t="shared" si="25"/>
        <v/>
      </c>
      <c r="L1638" s="1" t="str">
        <f>IF(COUNTA(A1638:J1638)=0,"",IF(OR(AND(C1638&lt;&gt;"Gasto",C1638&lt;&gt;"Pago proveedor",C1638&lt;&gt;"Retiro familiar",C1638&lt;&gt;"Aportación",C1638&lt;&gt;"Pago activo",C1638&lt;&gt;"ISR devengado",C1638&lt;&gt;"Pago ISR",C1638&lt;&gt;"Pago IVA",C1638&lt;&gt;"Compensación ISR",C1638&lt;&gt;"Compensación IVA"),AND(C1638="Gasto",D1638&lt;&gt;"Costos clínicos",D1638&lt;&gt;"Remuneración familiar",D1638&lt;&gt;"Nómina y honorarios",D1638&lt;&gt;"Renta",D1638&lt;&gt;"Marketing",D1638&lt;&gt;"Servicios y software",D1638&lt;&gt;"Mantenimiento",D1638&lt;&gt;"Otros",D1638&lt;&gt;"Intereses")),"Tipo o categoría inválido",IF(COUNTA(A1638:J1638)=0,"",IF(OR(A1638="",B1638="",C1638="",H1638=""),"Faltan datos",IF(COUNTIF($A$7:$A$2006,A1638)&gt;1,"ID duplicado",IF(OR(B1638&lt;DATE(Configuración!$C$5,1,1),B1638&gt;=DATE(Configuración!$C$5+1,1,1)),"Fecha fuera del año",IF(OR(H1638&lt;0,I1638&lt;0),"Revisar signo",IF(AND(C1638&lt;&gt;"Gasto",I1638&lt;&gt;0),"IVA solo en Gasto",IF(AND(C1638="Gasto",D1638=""),"Falta categoría","OK")))))))))</f>
        <v/>
      </c>
    </row>
    <row r="1639" spans="1:12" ht="22" customHeight="1">
      <c r="A1639" s="3"/>
      <c r="B1639" s="7"/>
      <c r="C1639" s="3"/>
      <c r="D1639" s="3"/>
      <c r="E1639" s="3"/>
      <c r="F1639" s="3"/>
      <c r="G1639" s="3"/>
      <c r="H1639" s="4"/>
      <c r="I1639" s="4"/>
      <c r="J1639" s="3"/>
      <c r="K1639" s="8" t="str">
        <f t="shared" si="25"/>
        <v/>
      </c>
      <c r="L1639" s="1" t="str">
        <f>IF(COUNTA(A1639:J1639)=0,"",IF(OR(AND(C1639&lt;&gt;"Gasto",C1639&lt;&gt;"Pago proveedor",C1639&lt;&gt;"Retiro familiar",C1639&lt;&gt;"Aportación",C1639&lt;&gt;"Pago activo",C1639&lt;&gt;"ISR devengado",C1639&lt;&gt;"Pago ISR",C1639&lt;&gt;"Pago IVA",C1639&lt;&gt;"Compensación ISR",C1639&lt;&gt;"Compensación IVA"),AND(C1639="Gasto",D1639&lt;&gt;"Costos clínicos",D1639&lt;&gt;"Remuneración familiar",D1639&lt;&gt;"Nómina y honorarios",D1639&lt;&gt;"Renta",D1639&lt;&gt;"Marketing",D1639&lt;&gt;"Servicios y software",D1639&lt;&gt;"Mantenimiento",D1639&lt;&gt;"Otros",D1639&lt;&gt;"Intereses")),"Tipo o categoría inválido",IF(COUNTA(A1639:J1639)=0,"",IF(OR(A1639="",B1639="",C1639="",H1639=""),"Faltan datos",IF(COUNTIF($A$7:$A$2006,A1639)&gt;1,"ID duplicado",IF(OR(B1639&lt;DATE(Configuración!$C$5,1,1),B1639&gt;=DATE(Configuración!$C$5+1,1,1)),"Fecha fuera del año",IF(OR(H1639&lt;0,I1639&lt;0),"Revisar signo",IF(AND(C1639&lt;&gt;"Gasto",I1639&lt;&gt;0),"IVA solo en Gasto",IF(AND(C1639="Gasto",D1639=""),"Falta categoría","OK")))))))))</f>
        <v/>
      </c>
    </row>
    <row r="1640" spans="1:12" ht="22" customHeight="1">
      <c r="A1640" s="3"/>
      <c r="B1640" s="7"/>
      <c r="C1640" s="3"/>
      <c r="D1640" s="3"/>
      <c r="E1640" s="3"/>
      <c r="F1640" s="3"/>
      <c r="G1640" s="3"/>
      <c r="H1640" s="4"/>
      <c r="I1640" s="4"/>
      <c r="J1640" s="3"/>
      <c r="K1640" s="8" t="str">
        <f t="shared" si="25"/>
        <v/>
      </c>
      <c r="L1640" s="1" t="str">
        <f>IF(COUNTA(A1640:J1640)=0,"",IF(OR(AND(C1640&lt;&gt;"Gasto",C1640&lt;&gt;"Pago proveedor",C1640&lt;&gt;"Retiro familiar",C1640&lt;&gt;"Aportación",C1640&lt;&gt;"Pago activo",C1640&lt;&gt;"ISR devengado",C1640&lt;&gt;"Pago ISR",C1640&lt;&gt;"Pago IVA",C1640&lt;&gt;"Compensación ISR",C1640&lt;&gt;"Compensación IVA"),AND(C1640="Gasto",D1640&lt;&gt;"Costos clínicos",D1640&lt;&gt;"Remuneración familiar",D1640&lt;&gt;"Nómina y honorarios",D1640&lt;&gt;"Renta",D1640&lt;&gt;"Marketing",D1640&lt;&gt;"Servicios y software",D1640&lt;&gt;"Mantenimiento",D1640&lt;&gt;"Otros",D1640&lt;&gt;"Intereses")),"Tipo o categoría inválido",IF(COUNTA(A1640:J1640)=0,"",IF(OR(A1640="",B1640="",C1640="",H1640=""),"Faltan datos",IF(COUNTIF($A$7:$A$2006,A1640)&gt;1,"ID duplicado",IF(OR(B1640&lt;DATE(Configuración!$C$5,1,1),B1640&gt;=DATE(Configuración!$C$5+1,1,1)),"Fecha fuera del año",IF(OR(H1640&lt;0,I1640&lt;0),"Revisar signo",IF(AND(C1640&lt;&gt;"Gasto",I1640&lt;&gt;0),"IVA solo en Gasto",IF(AND(C1640="Gasto",D1640=""),"Falta categoría","OK")))))))))</f>
        <v/>
      </c>
    </row>
    <row r="1641" spans="1:12" ht="22" customHeight="1">
      <c r="A1641" s="3"/>
      <c r="B1641" s="7"/>
      <c r="C1641" s="3"/>
      <c r="D1641" s="3"/>
      <c r="E1641" s="3"/>
      <c r="F1641" s="3"/>
      <c r="G1641" s="3"/>
      <c r="H1641" s="4"/>
      <c r="I1641" s="4"/>
      <c r="J1641" s="3"/>
      <c r="K1641" s="8" t="str">
        <f t="shared" si="25"/>
        <v/>
      </c>
      <c r="L1641" s="1" t="str">
        <f>IF(COUNTA(A1641:J1641)=0,"",IF(OR(AND(C1641&lt;&gt;"Gasto",C1641&lt;&gt;"Pago proveedor",C1641&lt;&gt;"Retiro familiar",C1641&lt;&gt;"Aportación",C1641&lt;&gt;"Pago activo",C1641&lt;&gt;"ISR devengado",C1641&lt;&gt;"Pago ISR",C1641&lt;&gt;"Pago IVA",C1641&lt;&gt;"Compensación ISR",C1641&lt;&gt;"Compensación IVA"),AND(C1641="Gasto",D1641&lt;&gt;"Costos clínicos",D1641&lt;&gt;"Remuneración familiar",D1641&lt;&gt;"Nómina y honorarios",D1641&lt;&gt;"Renta",D1641&lt;&gt;"Marketing",D1641&lt;&gt;"Servicios y software",D1641&lt;&gt;"Mantenimiento",D1641&lt;&gt;"Otros",D1641&lt;&gt;"Intereses")),"Tipo o categoría inválido",IF(COUNTA(A1641:J1641)=0,"",IF(OR(A1641="",B1641="",C1641="",H1641=""),"Faltan datos",IF(COUNTIF($A$7:$A$2006,A1641)&gt;1,"ID duplicado",IF(OR(B1641&lt;DATE(Configuración!$C$5,1,1),B1641&gt;=DATE(Configuración!$C$5+1,1,1)),"Fecha fuera del año",IF(OR(H1641&lt;0,I1641&lt;0),"Revisar signo",IF(AND(C1641&lt;&gt;"Gasto",I1641&lt;&gt;0),"IVA solo en Gasto",IF(AND(C1641="Gasto",D1641=""),"Falta categoría","OK")))))))))</f>
        <v/>
      </c>
    </row>
    <row r="1642" spans="1:12" ht="22" customHeight="1">
      <c r="A1642" s="3"/>
      <c r="B1642" s="7"/>
      <c r="C1642" s="3"/>
      <c r="D1642" s="3"/>
      <c r="E1642" s="3"/>
      <c r="F1642" s="3"/>
      <c r="G1642" s="3"/>
      <c r="H1642" s="4"/>
      <c r="I1642" s="4"/>
      <c r="J1642" s="3"/>
      <c r="K1642" s="8" t="str">
        <f t="shared" si="25"/>
        <v/>
      </c>
      <c r="L1642" s="1" t="str">
        <f>IF(COUNTA(A1642:J1642)=0,"",IF(OR(AND(C1642&lt;&gt;"Gasto",C1642&lt;&gt;"Pago proveedor",C1642&lt;&gt;"Retiro familiar",C1642&lt;&gt;"Aportación",C1642&lt;&gt;"Pago activo",C1642&lt;&gt;"ISR devengado",C1642&lt;&gt;"Pago ISR",C1642&lt;&gt;"Pago IVA",C1642&lt;&gt;"Compensación ISR",C1642&lt;&gt;"Compensación IVA"),AND(C1642="Gasto",D1642&lt;&gt;"Costos clínicos",D1642&lt;&gt;"Remuneración familiar",D1642&lt;&gt;"Nómina y honorarios",D1642&lt;&gt;"Renta",D1642&lt;&gt;"Marketing",D1642&lt;&gt;"Servicios y software",D1642&lt;&gt;"Mantenimiento",D1642&lt;&gt;"Otros",D1642&lt;&gt;"Intereses")),"Tipo o categoría inválido",IF(COUNTA(A1642:J1642)=0,"",IF(OR(A1642="",B1642="",C1642="",H1642=""),"Faltan datos",IF(COUNTIF($A$7:$A$2006,A1642)&gt;1,"ID duplicado",IF(OR(B1642&lt;DATE(Configuración!$C$5,1,1),B1642&gt;=DATE(Configuración!$C$5+1,1,1)),"Fecha fuera del año",IF(OR(H1642&lt;0,I1642&lt;0),"Revisar signo",IF(AND(C1642&lt;&gt;"Gasto",I1642&lt;&gt;0),"IVA solo en Gasto",IF(AND(C1642="Gasto",D1642=""),"Falta categoría","OK")))))))))</f>
        <v/>
      </c>
    </row>
    <row r="1643" spans="1:12" ht="22" customHeight="1">
      <c r="A1643" s="3"/>
      <c r="B1643" s="7"/>
      <c r="C1643" s="3"/>
      <c r="D1643" s="3"/>
      <c r="E1643" s="3"/>
      <c r="F1643" s="3"/>
      <c r="G1643" s="3"/>
      <c r="H1643" s="4"/>
      <c r="I1643" s="4"/>
      <c r="J1643" s="3"/>
      <c r="K1643" s="8" t="str">
        <f t="shared" si="25"/>
        <v/>
      </c>
      <c r="L1643" s="1" t="str">
        <f>IF(COUNTA(A1643:J1643)=0,"",IF(OR(AND(C1643&lt;&gt;"Gasto",C1643&lt;&gt;"Pago proveedor",C1643&lt;&gt;"Retiro familiar",C1643&lt;&gt;"Aportación",C1643&lt;&gt;"Pago activo",C1643&lt;&gt;"ISR devengado",C1643&lt;&gt;"Pago ISR",C1643&lt;&gt;"Pago IVA",C1643&lt;&gt;"Compensación ISR",C1643&lt;&gt;"Compensación IVA"),AND(C1643="Gasto",D1643&lt;&gt;"Costos clínicos",D1643&lt;&gt;"Remuneración familiar",D1643&lt;&gt;"Nómina y honorarios",D1643&lt;&gt;"Renta",D1643&lt;&gt;"Marketing",D1643&lt;&gt;"Servicios y software",D1643&lt;&gt;"Mantenimiento",D1643&lt;&gt;"Otros",D1643&lt;&gt;"Intereses")),"Tipo o categoría inválido",IF(COUNTA(A1643:J1643)=0,"",IF(OR(A1643="",B1643="",C1643="",H1643=""),"Faltan datos",IF(COUNTIF($A$7:$A$2006,A1643)&gt;1,"ID duplicado",IF(OR(B1643&lt;DATE(Configuración!$C$5,1,1),B1643&gt;=DATE(Configuración!$C$5+1,1,1)),"Fecha fuera del año",IF(OR(H1643&lt;0,I1643&lt;0),"Revisar signo",IF(AND(C1643&lt;&gt;"Gasto",I1643&lt;&gt;0),"IVA solo en Gasto",IF(AND(C1643="Gasto",D1643=""),"Falta categoría","OK")))))))))</f>
        <v/>
      </c>
    </row>
    <row r="1644" spans="1:12" ht="22" customHeight="1">
      <c r="A1644" s="3"/>
      <c r="B1644" s="7"/>
      <c r="C1644" s="3"/>
      <c r="D1644" s="3"/>
      <c r="E1644" s="3"/>
      <c r="F1644" s="3"/>
      <c r="G1644" s="3"/>
      <c r="H1644" s="4"/>
      <c r="I1644" s="4"/>
      <c r="J1644" s="3"/>
      <c r="K1644" s="8" t="str">
        <f t="shared" si="25"/>
        <v/>
      </c>
      <c r="L1644" s="1" t="str">
        <f>IF(COUNTA(A1644:J1644)=0,"",IF(OR(AND(C1644&lt;&gt;"Gasto",C1644&lt;&gt;"Pago proveedor",C1644&lt;&gt;"Retiro familiar",C1644&lt;&gt;"Aportación",C1644&lt;&gt;"Pago activo",C1644&lt;&gt;"ISR devengado",C1644&lt;&gt;"Pago ISR",C1644&lt;&gt;"Pago IVA",C1644&lt;&gt;"Compensación ISR",C1644&lt;&gt;"Compensación IVA"),AND(C1644="Gasto",D1644&lt;&gt;"Costos clínicos",D1644&lt;&gt;"Remuneración familiar",D1644&lt;&gt;"Nómina y honorarios",D1644&lt;&gt;"Renta",D1644&lt;&gt;"Marketing",D1644&lt;&gt;"Servicios y software",D1644&lt;&gt;"Mantenimiento",D1644&lt;&gt;"Otros",D1644&lt;&gt;"Intereses")),"Tipo o categoría inválido",IF(COUNTA(A1644:J1644)=0,"",IF(OR(A1644="",B1644="",C1644="",H1644=""),"Faltan datos",IF(COUNTIF($A$7:$A$2006,A1644)&gt;1,"ID duplicado",IF(OR(B1644&lt;DATE(Configuración!$C$5,1,1),B1644&gt;=DATE(Configuración!$C$5+1,1,1)),"Fecha fuera del año",IF(OR(H1644&lt;0,I1644&lt;0),"Revisar signo",IF(AND(C1644&lt;&gt;"Gasto",I1644&lt;&gt;0),"IVA solo en Gasto",IF(AND(C1644="Gasto",D1644=""),"Falta categoría","OK")))))))))</f>
        <v/>
      </c>
    </row>
    <row r="1645" spans="1:12" ht="22" customHeight="1">
      <c r="A1645" s="3"/>
      <c r="B1645" s="7"/>
      <c r="C1645" s="3"/>
      <c r="D1645" s="3"/>
      <c r="E1645" s="3"/>
      <c r="F1645" s="3"/>
      <c r="G1645" s="3"/>
      <c r="H1645" s="4"/>
      <c r="I1645" s="4"/>
      <c r="J1645" s="3"/>
      <c r="K1645" s="8" t="str">
        <f t="shared" si="25"/>
        <v/>
      </c>
      <c r="L1645" s="1" t="str">
        <f>IF(COUNTA(A1645:J1645)=0,"",IF(OR(AND(C1645&lt;&gt;"Gasto",C1645&lt;&gt;"Pago proveedor",C1645&lt;&gt;"Retiro familiar",C1645&lt;&gt;"Aportación",C1645&lt;&gt;"Pago activo",C1645&lt;&gt;"ISR devengado",C1645&lt;&gt;"Pago ISR",C1645&lt;&gt;"Pago IVA",C1645&lt;&gt;"Compensación ISR",C1645&lt;&gt;"Compensación IVA"),AND(C1645="Gasto",D1645&lt;&gt;"Costos clínicos",D1645&lt;&gt;"Remuneración familiar",D1645&lt;&gt;"Nómina y honorarios",D1645&lt;&gt;"Renta",D1645&lt;&gt;"Marketing",D1645&lt;&gt;"Servicios y software",D1645&lt;&gt;"Mantenimiento",D1645&lt;&gt;"Otros",D1645&lt;&gt;"Intereses")),"Tipo o categoría inválido",IF(COUNTA(A1645:J1645)=0,"",IF(OR(A1645="",B1645="",C1645="",H1645=""),"Faltan datos",IF(COUNTIF($A$7:$A$2006,A1645)&gt;1,"ID duplicado",IF(OR(B1645&lt;DATE(Configuración!$C$5,1,1),B1645&gt;=DATE(Configuración!$C$5+1,1,1)),"Fecha fuera del año",IF(OR(H1645&lt;0,I1645&lt;0),"Revisar signo",IF(AND(C1645&lt;&gt;"Gasto",I1645&lt;&gt;0),"IVA solo en Gasto",IF(AND(C1645="Gasto",D1645=""),"Falta categoría","OK")))))))))</f>
        <v/>
      </c>
    </row>
    <row r="1646" spans="1:12" ht="22" customHeight="1">
      <c r="A1646" s="3"/>
      <c r="B1646" s="7"/>
      <c r="C1646" s="3"/>
      <c r="D1646" s="3"/>
      <c r="E1646" s="3"/>
      <c r="F1646" s="3"/>
      <c r="G1646" s="3"/>
      <c r="H1646" s="4"/>
      <c r="I1646" s="4"/>
      <c r="J1646" s="3"/>
      <c r="K1646" s="8" t="str">
        <f t="shared" si="25"/>
        <v/>
      </c>
      <c r="L1646" s="1" t="str">
        <f>IF(COUNTA(A1646:J1646)=0,"",IF(OR(AND(C1646&lt;&gt;"Gasto",C1646&lt;&gt;"Pago proveedor",C1646&lt;&gt;"Retiro familiar",C1646&lt;&gt;"Aportación",C1646&lt;&gt;"Pago activo",C1646&lt;&gt;"ISR devengado",C1646&lt;&gt;"Pago ISR",C1646&lt;&gt;"Pago IVA",C1646&lt;&gt;"Compensación ISR",C1646&lt;&gt;"Compensación IVA"),AND(C1646="Gasto",D1646&lt;&gt;"Costos clínicos",D1646&lt;&gt;"Remuneración familiar",D1646&lt;&gt;"Nómina y honorarios",D1646&lt;&gt;"Renta",D1646&lt;&gt;"Marketing",D1646&lt;&gt;"Servicios y software",D1646&lt;&gt;"Mantenimiento",D1646&lt;&gt;"Otros",D1646&lt;&gt;"Intereses")),"Tipo o categoría inválido",IF(COUNTA(A1646:J1646)=0,"",IF(OR(A1646="",B1646="",C1646="",H1646=""),"Faltan datos",IF(COUNTIF($A$7:$A$2006,A1646)&gt;1,"ID duplicado",IF(OR(B1646&lt;DATE(Configuración!$C$5,1,1),B1646&gt;=DATE(Configuración!$C$5+1,1,1)),"Fecha fuera del año",IF(OR(H1646&lt;0,I1646&lt;0),"Revisar signo",IF(AND(C1646&lt;&gt;"Gasto",I1646&lt;&gt;0),"IVA solo en Gasto",IF(AND(C1646="Gasto",D1646=""),"Falta categoría","OK")))))))))</f>
        <v/>
      </c>
    </row>
    <row r="1647" spans="1:12" ht="22" customHeight="1">
      <c r="A1647" s="3"/>
      <c r="B1647" s="7"/>
      <c r="C1647" s="3"/>
      <c r="D1647" s="3"/>
      <c r="E1647" s="3"/>
      <c r="F1647" s="3"/>
      <c r="G1647" s="3"/>
      <c r="H1647" s="4"/>
      <c r="I1647" s="4"/>
      <c r="J1647" s="3"/>
      <c r="K1647" s="8" t="str">
        <f t="shared" si="25"/>
        <v/>
      </c>
      <c r="L1647" s="1" t="str">
        <f>IF(COUNTA(A1647:J1647)=0,"",IF(OR(AND(C1647&lt;&gt;"Gasto",C1647&lt;&gt;"Pago proveedor",C1647&lt;&gt;"Retiro familiar",C1647&lt;&gt;"Aportación",C1647&lt;&gt;"Pago activo",C1647&lt;&gt;"ISR devengado",C1647&lt;&gt;"Pago ISR",C1647&lt;&gt;"Pago IVA",C1647&lt;&gt;"Compensación ISR",C1647&lt;&gt;"Compensación IVA"),AND(C1647="Gasto",D1647&lt;&gt;"Costos clínicos",D1647&lt;&gt;"Remuneración familiar",D1647&lt;&gt;"Nómina y honorarios",D1647&lt;&gt;"Renta",D1647&lt;&gt;"Marketing",D1647&lt;&gt;"Servicios y software",D1647&lt;&gt;"Mantenimiento",D1647&lt;&gt;"Otros",D1647&lt;&gt;"Intereses")),"Tipo o categoría inválido",IF(COUNTA(A1647:J1647)=0,"",IF(OR(A1647="",B1647="",C1647="",H1647=""),"Faltan datos",IF(COUNTIF($A$7:$A$2006,A1647)&gt;1,"ID duplicado",IF(OR(B1647&lt;DATE(Configuración!$C$5,1,1),B1647&gt;=DATE(Configuración!$C$5+1,1,1)),"Fecha fuera del año",IF(OR(H1647&lt;0,I1647&lt;0),"Revisar signo",IF(AND(C1647&lt;&gt;"Gasto",I1647&lt;&gt;0),"IVA solo en Gasto",IF(AND(C1647="Gasto",D1647=""),"Falta categoría","OK")))))))))</f>
        <v/>
      </c>
    </row>
    <row r="1648" spans="1:12" ht="22" customHeight="1">
      <c r="A1648" s="3"/>
      <c r="B1648" s="7"/>
      <c r="C1648" s="3"/>
      <c r="D1648" s="3"/>
      <c r="E1648" s="3"/>
      <c r="F1648" s="3"/>
      <c r="G1648" s="3"/>
      <c r="H1648" s="4"/>
      <c r="I1648" s="4"/>
      <c r="J1648" s="3"/>
      <c r="K1648" s="8" t="str">
        <f t="shared" si="25"/>
        <v/>
      </c>
      <c r="L1648" s="1" t="str">
        <f>IF(COUNTA(A1648:J1648)=0,"",IF(OR(AND(C1648&lt;&gt;"Gasto",C1648&lt;&gt;"Pago proveedor",C1648&lt;&gt;"Retiro familiar",C1648&lt;&gt;"Aportación",C1648&lt;&gt;"Pago activo",C1648&lt;&gt;"ISR devengado",C1648&lt;&gt;"Pago ISR",C1648&lt;&gt;"Pago IVA",C1648&lt;&gt;"Compensación ISR",C1648&lt;&gt;"Compensación IVA"),AND(C1648="Gasto",D1648&lt;&gt;"Costos clínicos",D1648&lt;&gt;"Remuneración familiar",D1648&lt;&gt;"Nómina y honorarios",D1648&lt;&gt;"Renta",D1648&lt;&gt;"Marketing",D1648&lt;&gt;"Servicios y software",D1648&lt;&gt;"Mantenimiento",D1648&lt;&gt;"Otros",D1648&lt;&gt;"Intereses")),"Tipo o categoría inválido",IF(COUNTA(A1648:J1648)=0,"",IF(OR(A1648="",B1648="",C1648="",H1648=""),"Faltan datos",IF(COUNTIF($A$7:$A$2006,A1648)&gt;1,"ID duplicado",IF(OR(B1648&lt;DATE(Configuración!$C$5,1,1),B1648&gt;=DATE(Configuración!$C$5+1,1,1)),"Fecha fuera del año",IF(OR(H1648&lt;0,I1648&lt;0),"Revisar signo",IF(AND(C1648&lt;&gt;"Gasto",I1648&lt;&gt;0),"IVA solo en Gasto",IF(AND(C1648="Gasto",D1648=""),"Falta categoría","OK")))))))))</f>
        <v/>
      </c>
    </row>
    <row r="1649" spans="1:12" ht="22" customHeight="1">
      <c r="A1649" s="3"/>
      <c r="B1649" s="7"/>
      <c r="C1649" s="3"/>
      <c r="D1649" s="3"/>
      <c r="E1649" s="3"/>
      <c r="F1649" s="3"/>
      <c r="G1649" s="3"/>
      <c r="H1649" s="4"/>
      <c r="I1649" s="4"/>
      <c r="J1649" s="3"/>
      <c r="K1649" s="8" t="str">
        <f t="shared" si="25"/>
        <v/>
      </c>
      <c r="L1649" s="1" t="str">
        <f>IF(COUNTA(A1649:J1649)=0,"",IF(OR(AND(C1649&lt;&gt;"Gasto",C1649&lt;&gt;"Pago proveedor",C1649&lt;&gt;"Retiro familiar",C1649&lt;&gt;"Aportación",C1649&lt;&gt;"Pago activo",C1649&lt;&gt;"ISR devengado",C1649&lt;&gt;"Pago ISR",C1649&lt;&gt;"Pago IVA",C1649&lt;&gt;"Compensación ISR",C1649&lt;&gt;"Compensación IVA"),AND(C1649="Gasto",D1649&lt;&gt;"Costos clínicos",D1649&lt;&gt;"Remuneración familiar",D1649&lt;&gt;"Nómina y honorarios",D1649&lt;&gt;"Renta",D1649&lt;&gt;"Marketing",D1649&lt;&gt;"Servicios y software",D1649&lt;&gt;"Mantenimiento",D1649&lt;&gt;"Otros",D1649&lt;&gt;"Intereses")),"Tipo o categoría inválido",IF(COUNTA(A1649:J1649)=0,"",IF(OR(A1649="",B1649="",C1649="",H1649=""),"Faltan datos",IF(COUNTIF($A$7:$A$2006,A1649)&gt;1,"ID duplicado",IF(OR(B1649&lt;DATE(Configuración!$C$5,1,1),B1649&gt;=DATE(Configuración!$C$5+1,1,1)),"Fecha fuera del año",IF(OR(H1649&lt;0,I1649&lt;0),"Revisar signo",IF(AND(C1649&lt;&gt;"Gasto",I1649&lt;&gt;0),"IVA solo en Gasto",IF(AND(C1649="Gasto",D1649=""),"Falta categoría","OK")))))))))</f>
        <v/>
      </c>
    </row>
    <row r="1650" spans="1:12" ht="22" customHeight="1">
      <c r="A1650" s="3"/>
      <c r="B1650" s="7"/>
      <c r="C1650" s="3"/>
      <c r="D1650" s="3"/>
      <c r="E1650" s="3"/>
      <c r="F1650" s="3"/>
      <c r="G1650" s="3"/>
      <c r="H1650" s="4"/>
      <c r="I1650" s="4"/>
      <c r="J1650" s="3"/>
      <c r="K1650" s="8" t="str">
        <f t="shared" si="25"/>
        <v/>
      </c>
      <c r="L1650" s="1" t="str">
        <f>IF(COUNTA(A1650:J1650)=0,"",IF(OR(AND(C1650&lt;&gt;"Gasto",C1650&lt;&gt;"Pago proveedor",C1650&lt;&gt;"Retiro familiar",C1650&lt;&gt;"Aportación",C1650&lt;&gt;"Pago activo",C1650&lt;&gt;"ISR devengado",C1650&lt;&gt;"Pago ISR",C1650&lt;&gt;"Pago IVA",C1650&lt;&gt;"Compensación ISR",C1650&lt;&gt;"Compensación IVA"),AND(C1650="Gasto",D1650&lt;&gt;"Costos clínicos",D1650&lt;&gt;"Remuneración familiar",D1650&lt;&gt;"Nómina y honorarios",D1650&lt;&gt;"Renta",D1650&lt;&gt;"Marketing",D1650&lt;&gt;"Servicios y software",D1650&lt;&gt;"Mantenimiento",D1650&lt;&gt;"Otros",D1650&lt;&gt;"Intereses")),"Tipo o categoría inválido",IF(COUNTA(A1650:J1650)=0,"",IF(OR(A1650="",B1650="",C1650="",H1650=""),"Faltan datos",IF(COUNTIF($A$7:$A$2006,A1650)&gt;1,"ID duplicado",IF(OR(B1650&lt;DATE(Configuración!$C$5,1,1),B1650&gt;=DATE(Configuración!$C$5+1,1,1)),"Fecha fuera del año",IF(OR(H1650&lt;0,I1650&lt;0),"Revisar signo",IF(AND(C1650&lt;&gt;"Gasto",I1650&lt;&gt;0),"IVA solo en Gasto",IF(AND(C1650="Gasto",D1650=""),"Falta categoría","OK")))))))))</f>
        <v/>
      </c>
    </row>
    <row r="1651" spans="1:12" ht="22" customHeight="1">
      <c r="A1651" s="3"/>
      <c r="B1651" s="7"/>
      <c r="C1651" s="3"/>
      <c r="D1651" s="3"/>
      <c r="E1651" s="3"/>
      <c r="F1651" s="3"/>
      <c r="G1651" s="3"/>
      <c r="H1651" s="4"/>
      <c r="I1651" s="4"/>
      <c r="J1651" s="3"/>
      <c r="K1651" s="8" t="str">
        <f t="shared" si="25"/>
        <v/>
      </c>
      <c r="L1651" s="1" t="str">
        <f>IF(COUNTA(A1651:J1651)=0,"",IF(OR(AND(C1651&lt;&gt;"Gasto",C1651&lt;&gt;"Pago proveedor",C1651&lt;&gt;"Retiro familiar",C1651&lt;&gt;"Aportación",C1651&lt;&gt;"Pago activo",C1651&lt;&gt;"ISR devengado",C1651&lt;&gt;"Pago ISR",C1651&lt;&gt;"Pago IVA",C1651&lt;&gt;"Compensación ISR",C1651&lt;&gt;"Compensación IVA"),AND(C1651="Gasto",D1651&lt;&gt;"Costos clínicos",D1651&lt;&gt;"Remuneración familiar",D1651&lt;&gt;"Nómina y honorarios",D1651&lt;&gt;"Renta",D1651&lt;&gt;"Marketing",D1651&lt;&gt;"Servicios y software",D1651&lt;&gt;"Mantenimiento",D1651&lt;&gt;"Otros",D1651&lt;&gt;"Intereses")),"Tipo o categoría inválido",IF(COUNTA(A1651:J1651)=0,"",IF(OR(A1651="",B1651="",C1651="",H1651=""),"Faltan datos",IF(COUNTIF($A$7:$A$2006,A1651)&gt;1,"ID duplicado",IF(OR(B1651&lt;DATE(Configuración!$C$5,1,1),B1651&gt;=DATE(Configuración!$C$5+1,1,1)),"Fecha fuera del año",IF(OR(H1651&lt;0,I1651&lt;0),"Revisar signo",IF(AND(C1651&lt;&gt;"Gasto",I1651&lt;&gt;0),"IVA solo en Gasto",IF(AND(C1651="Gasto",D1651=""),"Falta categoría","OK")))))))))</f>
        <v/>
      </c>
    </row>
    <row r="1652" spans="1:12" ht="22" customHeight="1">
      <c r="A1652" s="3"/>
      <c r="B1652" s="7"/>
      <c r="C1652" s="3"/>
      <c r="D1652" s="3"/>
      <c r="E1652" s="3"/>
      <c r="F1652" s="3"/>
      <c r="G1652" s="3"/>
      <c r="H1652" s="4"/>
      <c r="I1652" s="4"/>
      <c r="J1652" s="3"/>
      <c r="K1652" s="8" t="str">
        <f t="shared" si="25"/>
        <v/>
      </c>
      <c r="L1652" s="1" t="str">
        <f>IF(COUNTA(A1652:J1652)=0,"",IF(OR(AND(C1652&lt;&gt;"Gasto",C1652&lt;&gt;"Pago proveedor",C1652&lt;&gt;"Retiro familiar",C1652&lt;&gt;"Aportación",C1652&lt;&gt;"Pago activo",C1652&lt;&gt;"ISR devengado",C1652&lt;&gt;"Pago ISR",C1652&lt;&gt;"Pago IVA",C1652&lt;&gt;"Compensación ISR",C1652&lt;&gt;"Compensación IVA"),AND(C1652="Gasto",D1652&lt;&gt;"Costos clínicos",D1652&lt;&gt;"Remuneración familiar",D1652&lt;&gt;"Nómina y honorarios",D1652&lt;&gt;"Renta",D1652&lt;&gt;"Marketing",D1652&lt;&gt;"Servicios y software",D1652&lt;&gt;"Mantenimiento",D1652&lt;&gt;"Otros",D1652&lt;&gt;"Intereses")),"Tipo o categoría inválido",IF(COUNTA(A1652:J1652)=0,"",IF(OR(A1652="",B1652="",C1652="",H1652=""),"Faltan datos",IF(COUNTIF($A$7:$A$2006,A1652)&gt;1,"ID duplicado",IF(OR(B1652&lt;DATE(Configuración!$C$5,1,1),B1652&gt;=DATE(Configuración!$C$5+1,1,1)),"Fecha fuera del año",IF(OR(H1652&lt;0,I1652&lt;0),"Revisar signo",IF(AND(C1652&lt;&gt;"Gasto",I1652&lt;&gt;0),"IVA solo en Gasto",IF(AND(C1652="Gasto",D1652=""),"Falta categoría","OK")))))))))</f>
        <v/>
      </c>
    </row>
    <row r="1653" spans="1:12" ht="22" customHeight="1">
      <c r="A1653" s="3"/>
      <c r="B1653" s="7"/>
      <c r="C1653" s="3"/>
      <c r="D1653" s="3"/>
      <c r="E1653" s="3"/>
      <c r="F1653" s="3"/>
      <c r="G1653" s="3"/>
      <c r="H1653" s="4"/>
      <c r="I1653" s="4"/>
      <c r="J1653" s="3"/>
      <c r="K1653" s="8" t="str">
        <f t="shared" si="25"/>
        <v/>
      </c>
      <c r="L1653" s="1" t="str">
        <f>IF(COUNTA(A1653:J1653)=0,"",IF(OR(AND(C1653&lt;&gt;"Gasto",C1653&lt;&gt;"Pago proveedor",C1653&lt;&gt;"Retiro familiar",C1653&lt;&gt;"Aportación",C1653&lt;&gt;"Pago activo",C1653&lt;&gt;"ISR devengado",C1653&lt;&gt;"Pago ISR",C1653&lt;&gt;"Pago IVA",C1653&lt;&gt;"Compensación ISR",C1653&lt;&gt;"Compensación IVA"),AND(C1653="Gasto",D1653&lt;&gt;"Costos clínicos",D1653&lt;&gt;"Remuneración familiar",D1653&lt;&gt;"Nómina y honorarios",D1653&lt;&gt;"Renta",D1653&lt;&gt;"Marketing",D1653&lt;&gt;"Servicios y software",D1653&lt;&gt;"Mantenimiento",D1653&lt;&gt;"Otros",D1653&lt;&gt;"Intereses")),"Tipo o categoría inválido",IF(COUNTA(A1653:J1653)=0,"",IF(OR(A1653="",B1653="",C1653="",H1653=""),"Faltan datos",IF(COUNTIF($A$7:$A$2006,A1653)&gt;1,"ID duplicado",IF(OR(B1653&lt;DATE(Configuración!$C$5,1,1),B1653&gt;=DATE(Configuración!$C$5+1,1,1)),"Fecha fuera del año",IF(OR(H1653&lt;0,I1653&lt;0),"Revisar signo",IF(AND(C1653&lt;&gt;"Gasto",I1653&lt;&gt;0),"IVA solo en Gasto",IF(AND(C1653="Gasto",D1653=""),"Falta categoría","OK")))))))))</f>
        <v/>
      </c>
    </row>
    <row r="1654" spans="1:12" ht="22" customHeight="1">
      <c r="A1654" s="3"/>
      <c r="B1654" s="7"/>
      <c r="C1654" s="3"/>
      <c r="D1654" s="3"/>
      <c r="E1654" s="3"/>
      <c r="F1654" s="3"/>
      <c r="G1654" s="3"/>
      <c r="H1654" s="4"/>
      <c r="I1654" s="4"/>
      <c r="J1654" s="3"/>
      <c r="K1654" s="8" t="str">
        <f t="shared" si="25"/>
        <v/>
      </c>
      <c r="L1654" s="1" t="str">
        <f>IF(COUNTA(A1654:J1654)=0,"",IF(OR(AND(C1654&lt;&gt;"Gasto",C1654&lt;&gt;"Pago proveedor",C1654&lt;&gt;"Retiro familiar",C1654&lt;&gt;"Aportación",C1654&lt;&gt;"Pago activo",C1654&lt;&gt;"ISR devengado",C1654&lt;&gt;"Pago ISR",C1654&lt;&gt;"Pago IVA",C1654&lt;&gt;"Compensación ISR",C1654&lt;&gt;"Compensación IVA"),AND(C1654="Gasto",D1654&lt;&gt;"Costos clínicos",D1654&lt;&gt;"Remuneración familiar",D1654&lt;&gt;"Nómina y honorarios",D1654&lt;&gt;"Renta",D1654&lt;&gt;"Marketing",D1654&lt;&gt;"Servicios y software",D1654&lt;&gt;"Mantenimiento",D1654&lt;&gt;"Otros",D1654&lt;&gt;"Intereses")),"Tipo o categoría inválido",IF(COUNTA(A1654:J1654)=0,"",IF(OR(A1654="",B1654="",C1654="",H1654=""),"Faltan datos",IF(COUNTIF($A$7:$A$2006,A1654)&gt;1,"ID duplicado",IF(OR(B1654&lt;DATE(Configuración!$C$5,1,1),B1654&gt;=DATE(Configuración!$C$5+1,1,1)),"Fecha fuera del año",IF(OR(H1654&lt;0,I1654&lt;0),"Revisar signo",IF(AND(C1654&lt;&gt;"Gasto",I1654&lt;&gt;0),"IVA solo en Gasto",IF(AND(C1654="Gasto",D1654=""),"Falta categoría","OK")))))))))</f>
        <v/>
      </c>
    </row>
    <row r="1655" spans="1:12" ht="22" customHeight="1">
      <c r="A1655" s="3"/>
      <c r="B1655" s="7"/>
      <c r="C1655" s="3"/>
      <c r="D1655" s="3"/>
      <c r="E1655" s="3"/>
      <c r="F1655" s="3"/>
      <c r="G1655" s="3"/>
      <c r="H1655" s="4"/>
      <c r="I1655" s="4"/>
      <c r="J1655" s="3"/>
      <c r="K1655" s="8" t="str">
        <f t="shared" si="25"/>
        <v/>
      </c>
      <c r="L1655" s="1" t="str">
        <f>IF(COUNTA(A1655:J1655)=0,"",IF(OR(AND(C1655&lt;&gt;"Gasto",C1655&lt;&gt;"Pago proveedor",C1655&lt;&gt;"Retiro familiar",C1655&lt;&gt;"Aportación",C1655&lt;&gt;"Pago activo",C1655&lt;&gt;"ISR devengado",C1655&lt;&gt;"Pago ISR",C1655&lt;&gt;"Pago IVA",C1655&lt;&gt;"Compensación ISR",C1655&lt;&gt;"Compensación IVA"),AND(C1655="Gasto",D1655&lt;&gt;"Costos clínicos",D1655&lt;&gt;"Remuneración familiar",D1655&lt;&gt;"Nómina y honorarios",D1655&lt;&gt;"Renta",D1655&lt;&gt;"Marketing",D1655&lt;&gt;"Servicios y software",D1655&lt;&gt;"Mantenimiento",D1655&lt;&gt;"Otros",D1655&lt;&gt;"Intereses")),"Tipo o categoría inválido",IF(COUNTA(A1655:J1655)=0,"",IF(OR(A1655="",B1655="",C1655="",H1655=""),"Faltan datos",IF(COUNTIF($A$7:$A$2006,A1655)&gt;1,"ID duplicado",IF(OR(B1655&lt;DATE(Configuración!$C$5,1,1),B1655&gt;=DATE(Configuración!$C$5+1,1,1)),"Fecha fuera del año",IF(OR(H1655&lt;0,I1655&lt;0),"Revisar signo",IF(AND(C1655&lt;&gt;"Gasto",I1655&lt;&gt;0),"IVA solo en Gasto",IF(AND(C1655="Gasto",D1655=""),"Falta categoría","OK")))))))))</f>
        <v/>
      </c>
    </row>
    <row r="1656" spans="1:12" ht="22" customHeight="1">
      <c r="A1656" s="3"/>
      <c r="B1656" s="7"/>
      <c r="C1656" s="3"/>
      <c r="D1656" s="3"/>
      <c r="E1656" s="3"/>
      <c r="F1656" s="3"/>
      <c r="G1656" s="3"/>
      <c r="H1656" s="4"/>
      <c r="I1656" s="4"/>
      <c r="J1656" s="3"/>
      <c r="K1656" s="8" t="str">
        <f t="shared" si="25"/>
        <v/>
      </c>
      <c r="L1656" s="1" t="str">
        <f>IF(COUNTA(A1656:J1656)=0,"",IF(OR(AND(C1656&lt;&gt;"Gasto",C1656&lt;&gt;"Pago proveedor",C1656&lt;&gt;"Retiro familiar",C1656&lt;&gt;"Aportación",C1656&lt;&gt;"Pago activo",C1656&lt;&gt;"ISR devengado",C1656&lt;&gt;"Pago ISR",C1656&lt;&gt;"Pago IVA",C1656&lt;&gt;"Compensación ISR",C1656&lt;&gt;"Compensación IVA"),AND(C1656="Gasto",D1656&lt;&gt;"Costos clínicos",D1656&lt;&gt;"Remuneración familiar",D1656&lt;&gt;"Nómina y honorarios",D1656&lt;&gt;"Renta",D1656&lt;&gt;"Marketing",D1656&lt;&gt;"Servicios y software",D1656&lt;&gt;"Mantenimiento",D1656&lt;&gt;"Otros",D1656&lt;&gt;"Intereses")),"Tipo o categoría inválido",IF(COUNTA(A1656:J1656)=0,"",IF(OR(A1656="",B1656="",C1656="",H1656=""),"Faltan datos",IF(COUNTIF($A$7:$A$2006,A1656)&gt;1,"ID duplicado",IF(OR(B1656&lt;DATE(Configuración!$C$5,1,1),B1656&gt;=DATE(Configuración!$C$5+1,1,1)),"Fecha fuera del año",IF(OR(H1656&lt;0,I1656&lt;0),"Revisar signo",IF(AND(C1656&lt;&gt;"Gasto",I1656&lt;&gt;0),"IVA solo en Gasto",IF(AND(C1656="Gasto",D1656=""),"Falta categoría","OK")))))))))</f>
        <v/>
      </c>
    </row>
    <row r="1657" spans="1:12" ht="22" customHeight="1">
      <c r="A1657" s="3"/>
      <c r="B1657" s="7"/>
      <c r="C1657" s="3"/>
      <c r="D1657" s="3"/>
      <c r="E1657" s="3"/>
      <c r="F1657" s="3"/>
      <c r="G1657" s="3"/>
      <c r="H1657" s="4"/>
      <c r="I1657" s="4"/>
      <c r="J1657" s="3"/>
      <c r="K1657" s="8" t="str">
        <f t="shared" si="25"/>
        <v/>
      </c>
      <c r="L1657" s="1" t="str">
        <f>IF(COUNTA(A1657:J1657)=0,"",IF(OR(AND(C1657&lt;&gt;"Gasto",C1657&lt;&gt;"Pago proveedor",C1657&lt;&gt;"Retiro familiar",C1657&lt;&gt;"Aportación",C1657&lt;&gt;"Pago activo",C1657&lt;&gt;"ISR devengado",C1657&lt;&gt;"Pago ISR",C1657&lt;&gt;"Pago IVA",C1657&lt;&gt;"Compensación ISR",C1657&lt;&gt;"Compensación IVA"),AND(C1657="Gasto",D1657&lt;&gt;"Costos clínicos",D1657&lt;&gt;"Remuneración familiar",D1657&lt;&gt;"Nómina y honorarios",D1657&lt;&gt;"Renta",D1657&lt;&gt;"Marketing",D1657&lt;&gt;"Servicios y software",D1657&lt;&gt;"Mantenimiento",D1657&lt;&gt;"Otros",D1657&lt;&gt;"Intereses")),"Tipo o categoría inválido",IF(COUNTA(A1657:J1657)=0,"",IF(OR(A1657="",B1657="",C1657="",H1657=""),"Faltan datos",IF(COUNTIF($A$7:$A$2006,A1657)&gt;1,"ID duplicado",IF(OR(B1657&lt;DATE(Configuración!$C$5,1,1),B1657&gt;=DATE(Configuración!$C$5+1,1,1)),"Fecha fuera del año",IF(OR(H1657&lt;0,I1657&lt;0),"Revisar signo",IF(AND(C1657&lt;&gt;"Gasto",I1657&lt;&gt;0),"IVA solo en Gasto",IF(AND(C1657="Gasto",D1657=""),"Falta categoría","OK")))))))))</f>
        <v/>
      </c>
    </row>
    <row r="1658" spans="1:12" ht="22" customHeight="1">
      <c r="A1658" s="3"/>
      <c r="B1658" s="7"/>
      <c r="C1658" s="3"/>
      <c r="D1658" s="3"/>
      <c r="E1658" s="3"/>
      <c r="F1658" s="3"/>
      <c r="G1658" s="3"/>
      <c r="H1658" s="4"/>
      <c r="I1658" s="4"/>
      <c r="J1658" s="3"/>
      <c r="K1658" s="8" t="str">
        <f t="shared" si="25"/>
        <v/>
      </c>
      <c r="L1658" s="1" t="str">
        <f>IF(COUNTA(A1658:J1658)=0,"",IF(OR(AND(C1658&lt;&gt;"Gasto",C1658&lt;&gt;"Pago proveedor",C1658&lt;&gt;"Retiro familiar",C1658&lt;&gt;"Aportación",C1658&lt;&gt;"Pago activo",C1658&lt;&gt;"ISR devengado",C1658&lt;&gt;"Pago ISR",C1658&lt;&gt;"Pago IVA",C1658&lt;&gt;"Compensación ISR",C1658&lt;&gt;"Compensación IVA"),AND(C1658="Gasto",D1658&lt;&gt;"Costos clínicos",D1658&lt;&gt;"Remuneración familiar",D1658&lt;&gt;"Nómina y honorarios",D1658&lt;&gt;"Renta",D1658&lt;&gt;"Marketing",D1658&lt;&gt;"Servicios y software",D1658&lt;&gt;"Mantenimiento",D1658&lt;&gt;"Otros",D1658&lt;&gt;"Intereses")),"Tipo o categoría inválido",IF(COUNTA(A1658:J1658)=0,"",IF(OR(A1658="",B1658="",C1658="",H1658=""),"Faltan datos",IF(COUNTIF($A$7:$A$2006,A1658)&gt;1,"ID duplicado",IF(OR(B1658&lt;DATE(Configuración!$C$5,1,1),B1658&gt;=DATE(Configuración!$C$5+1,1,1)),"Fecha fuera del año",IF(OR(H1658&lt;0,I1658&lt;0),"Revisar signo",IF(AND(C1658&lt;&gt;"Gasto",I1658&lt;&gt;0),"IVA solo en Gasto",IF(AND(C1658="Gasto",D1658=""),"Falta categoría","OK")))))))))</f>
        <v/>
      </c>
    </row>
    <row r="1659" spans="1:12" ht="22" customHeight="1">
      <c r="A1659" s="3"/>
      <c r="B1659" s="7"/>
      <c r="C1659" s="3"/>
      <c r="D1659" s="3"/>
      <c r="E1659" s="3"/>
      <c r="F1659" s="3"/>
      <c r="G1659" s="3"/>
      <c r="H1659" s="4"/>
      <c r="I1659" s="4"/>
      <c r="J1659" s="3"/>
      <c r="K1659" s="8" t="str">
        <f t="shared" si="25"/>
        <v/>
      </c>
      <c r="L1659" s="1" t="str">
        <f>IF(COUNTA(A1659:J1659)=0,"",IF(OR(AND(C1659&lt;&gt;"Gasto",C1659&lt;&gt;"Pago proveedor",C1659&lt;&gt;"Retiro familiar",C1659&lt;&gt;"Aportación",C1659&lt;&gt;"Pago activo",C1659&lt;&gt;"ISR devengado",C1659&lt;&gt;"Pago ISR",C1659&lt;&gt;"Pago IVA",C1659&lt;&gt;"Compensación ISR",C1659&lt;&gt;"Compensación IVA"),AND(C1659="Gasto",D1659&lt;&gt;"Costos clínicos",D1659&lt;&gt;"Remuneración familiar",D1659&lt;&gt;"Nómina y honorarios",D1659&lt;&gt;"Renta",D1659&lt;&gt;"Marketing",D1659&lt;&gt;"Servicios y software",D1659&lt;&gt;"Mantenimiento",D1659&lt;&gt;"Otros",D1659&lt;&gt;"Intereses")),"Tipo o categoría inválido",IF(COUNTA(A1659:J1659)=0,"",IF(OR(A1659="",B1659="",C1659="",H1659=""),"Faltan datos",IF(COUNTIF($A$7:$A$2006,A1659)&gt;1,"ID duplicado",IF(OR(B1659&lt;DATE(Configuración!$C$5,1,1),B1659&gt;=DATE(Configuración!$C$5+1,1,1)),"Fecha fuera del año",IF(OR(H1659&lt;0,I1659&lt;0),"Revisar signo",IF(AND(C1659&lt;&gt;"Gasto",I1659&lt;&gt;0),"IVA solo en Gasto",IF(AND(C1659="Gasto",D1659=""),"Falta categoría","OK")))))))))</f>
        <v/>
      </c>
    </row>
    <row r="1660" spans="1:12" ht="22" customHeight="1">
      <c r="A1660" s="3"/>
      <c r="B1660" s="7"/>
      <c r="C1660" s="3"/>
      <c r="D1660" s="3"/>
      <c r="E1660" s="3"/>
      <c r="F1660" s="3"/>
      <c r="G1660" s="3"/>
      <c r="H1660" s="4"/>
      <c r="I1660" s="4"/>
      <c r="J1660" s="3"/>
      <c r="K1660" s="8" t="str">
        <f t="shared" si="25"/>
        <v/>
      </c>
      <c r="L1660" s="1" t="str">
        <f>IF(COUNTA(A1660:J1660)=0,"",IF(OR(AND(C1660&lt;&gt;"Gasto",C1660&lt;&gt;"Pago proveedor",C1660&lt;&gt;"Retiro familiar",C1660&lt;&gt;"Aportación",C1660&lt;&gt;"Pago activo",C1660&lt;&gt;"ISR devengado",C1660&lt;&gt;"Pago ISR",C1660&lt;&gt;"Pago IVA",C1660&lt;&gt;"Compensación ISR",C1660&lt;&gt;"Compensación IVA"),AND(C1660="Gasto",D1660&lt;&gt;"Costos clínicos",D1660&lt;&gt;"Remuneración familiar",D1660&lt;&gt;"Nómina y honorarios",D1660&lt;&gt;"Renta",D1660&lt;&gt;"Marketing",D1660&lt;&gt;"Servicios y software",D1660&lt;&gt;"Mantenimiento",D1660&lt;&gt;"Otros",D1660&lt;&gt;"Intereses")),"Tipo o categoría inválido",IF(COUNTA(A1660:J1660)=0,"",IF(OR(A1660="",B1660="",C1660="",H1660=""),"Faltan datos",IF(COUNTIF($A$7:$A$2006,A1660)&gt;1,"ID duplicado",IF(OR(B1660&lt;DATE(Configuración!$C$5,1,1),B1660&gt;=DATE(Configuración!$C$5+1,1,1)),"Fecha fuera del año",IF(OR(H1660&lt;0,I1660&lt;0),"Revisar signo",IF(AND(C1660&lt;&gt;"Gasto",I1660&lt;&gt;0),"IVA solo en Gasto",IF(AND(C1660="Gasto",D1660=""),"Falta categoría","OK")))))))))</f>
        <v/>
      </c>
    </row>
    <row r="1661" spans="1:12" ht="22" customHeight="1">
      <c r="A1661" s="3"/>
      <c r="B1661" s="7"/>
      <c r="C1661" s="3"/>
      <c r="D1661" s="3"/>
      <c r="E1661" s="3"/>
      <c r="F1661" s="3"/>
      <c r="G1661" s="3"/>
      <c r="H1661" s="4"/>
      <c r="I1661" s="4"/>
      <c r="J1661" s="3"/>
      <c r="K1661" s="8" t="str">
        <f t="shared" si="25"/>
        <v/>
      </c>
      <c r="L1661" s="1" t="str">
        <f>IF(COUNTA(A1661:J1661)=0,"",IF(OR(AND(C1661&lt;&gt;"Gasto",C1661&lt;&gt;"Pago proveedor",C1661&lt;&gt;"Retiro familiar",C1661&lt;&gt;"Aportación",C1661&lt;&gt;"Pago activo",C1661&lt;&gt;"ISR devengado",C1661&lt;&gt;"Pago ISR",C1661&lt;&gt;"Pago IVA",C1661&lt;&gt;"Compensación ISR",C1661&lt;&gt;"Compensación IVA"),AND(C1661="Gasto",D1661&lt;&gt;"Costos clínicos",D1661&lt;&gt;"Remuneración familiar",D1661&lt;&gt;"Nómina y honorarios",D1661&lt;&gt;"Renta",D1661&lt;&gt;"Marketing",D1661&lt;&gt;"Servicios y software",D1661&lt;&gt;"Mantenimiento",D1661&lt;&gt;"Otros",D1661&lt;&gt;"Intereses")),"Tipo o categoría inválido",IF(COUNTA(A1661:J1661)=0,"",IF(OR(A1661="",B1661="",C1661="",H1661=""),"Faltan datos",IF(COUNTIF($A$7:$A$2006,A1661)&gt;1,"ID duplicado",IF(OR(B1661&lt;DATE(Configuración!$C$5,1,1),B1661&gt;=DATE(Configuración!$C$5+1,1,1)),"Fecha fuera del año",IF(OR(H1661&lt;0,I1661&lt;0),"Revisar signo",IF(AND(C1661&lt;&gt;"Gasto",I1661&lt;&gt;0),"IVA solo en Gasto",IF(AND(C1661="Gasto",D1661=""),"Falta categoría","OK")))))))))</f>
        <v/>
      </c>
    </row>
    <row r="1662" spans="1:12" ht="22" customHeight="1">
      <c r="A1662" s="3"/>
      <c r="B1662" s="7"/>
      <c r="C1662" s="3"/>
      <c r="D1662" s="3"/>
      <c r="E1662" s="3"/>
      <c r="F1662" s="3"/>
      <c r="G1662" s="3"/>
      <c r="H1662" s="4"/>
      <c r="I1662" s="4"/>
      <c r="J1662" s="3"/>
      <c r="K1662" s="8" t="str">
        <f t="shared" si="25"/>
        <v/>
      </c>
      <c r="L1662" s="1" t="str">
        <f>IF(COUNTA(A1662:J1662)=0,"",IF(OR(AND(C1662&lt;&gt;"Gasto",C1662&lt;&gt;"Pago proveedor",C1662&lt;&gt;"Retiro familiar",C1662&lt;&gt;"Aportación",C1662&lt;&gt;"Pago activo",C1662&lt;&gt;"ISR devengado",C1662&lt;&gt;"Pago ISR",C1662&lt;&gt;"Pago IVA",C1662&lt;&gt;"Compensación ISR",C1662&lt;&gt;"Compensación IVA"),AND(C1662="Gasto",D1662&lt;&gt;"Costos clínicos",D1662&lt;&gt;"Remuneración familiar",D1662&lt;&gt;"Nómina y honorarios",D1662&lt;&gt;"Renta",D1662&lt;&gt;"Marketing",D1662&lt;&gt;"Servicios y software",D1662&lt;&gt;"Mantenimiento",D1662&lt;&gt;"Otros",D1662&lt;&gt;"Intereses")),"Tipo o categoría inválido",IF(COUNTA(A1662:J1662)=0,"",IF(OR(A1662="",B1662="",C1662="",H1662=""),"Faltan datos",IF(COUNTIF($A$7:$A$2006,A1662)&gt;1,"ID duplicado",IF(OR(B1662&lt;DATE(Configuración!$C$5,1,1),B1662&gt;=DATE(Configuración!$C$5+1,1,1)),"Fecha fuera del año",IF(OR(H1662&lt;0,I1662&lt;0),"Revisar signo",IF(AND(C1662&lt;&gt;"Gasto",I1662&lt;&gt;0),"IVA solo en Gasto",IF(AND(C1662="Gasto",D1662=""),"Falta categoría","OK")))))))))</f>
        <v/>
      </c>
    </row>
    <row r="1663" spans="1:12" ht="22" customHeight="1">
      <c r="A1663" s="3"/>
      <c r="B1663" s="7"/>
      <c r="C1663" s="3"/>
      <c r="D1663" s="3"/>
      <c r="E1663" s="3"/>
      <c r="F1663" s="3"/>
      <c r="G1663" s="3"/>
      <c r="H1663" s="4"/>
      <c r="I1663" s="4"/>
      <c r="J1663" s="3"/>
      <c r="K1663" s="8" t="str">
        <f t="shared" si="25"/>
        <v/>
      </c>
      <c r="L1663" s="1" t="str">
        <f>IF(COUNTA(A1663:J1663)=0,"",IF(OR(AND(C1663&lt;&gt;"Gasto",C1663&lt;&gt;"Pago proveedor",C1663&lt;&gt;"Retiro familiar",C1663&lt;&gt;"Aportación",C1663&lt;&gt;"Pago activo",C1663&lt;&gt;"ISR devengado",C1663&lt;&gt;"Pago ISR",C1663&lt;&gt;"Pago IVA",C1663&lt;&gt;"Compensación ISR",C1663&lt;&gt;"Compensación IVA"),AND(C1663="Gasto",D1663&lt;&gt;"Costos clínicos",D1663&lt;&gt;"Remuneración familiar",D1663&lt;&gt;"Nómina y honorarios",D1663&lt;&gt;"Renta",D1663&lt;&gt;"Marketing",D1663&lt;&gt;"Servicios y software",D1663&lt;&gt;"Mantenimiento",D1663&lt;&gt;"Otros",D1663&lt;&gt;"Intereses")),"Tipo o categoría inválido",IF(COUNTA(A1663:J1663)=0,"",IF(OR(A1663="",B1663="",C1663="",H1663=""),"Faltan datos",IF(COUNTIF($A$7:$A$2006,A1663)&gt;1,"ID duplicado",IF(OR(B1663&lt;DATE(Configuración!$C$5,1,1),B1663&gt;=DATE(Configuración!$C$5+1,1,1)),"Fecha fuera del año",IF(OR(H1663&lt;0,I1663&lt;0),"Revisar signo",IF(AND(C1663&lt;&gt;"Gasto",I1663&lt;&gt;0),"IVA solo en Gasto",IF(AND(C1663="Gasto",D1663=""),"Falta categoría","OK")))))))))</f>
        <v/>
      </c>
    </row>
    <row r="1664" spans="1:12" ht="22" customHeight="1">
      <c r="A1664" s="3"/>
      <c r="B1664" s="7"/>
      <c r="C1664" s="3"/>
      <c r="D1664" s="3"/>
      <c r="E1664" s="3"/>
      <c r="F1664" s="3"/>
      <c r="G1664" s="3"/>
      <c r="H1664" s="4"/>
      <c r="I1664" s="4"/>
      <c r="J1664" s="3"/>
      <c r="K1664" s="8" t="str">
        <f t="shared" si="25"/>
        <v/>
      </c>
      <c r="L1664" s="1" t="str">
        <f>IF(COUNTA(A1664:J1664)=0,"",IF(OR(AND(C1664&lt;&gt;"Gasto",C1664&lt;&gt;"Pago proveedor",C1664&lt;&gt;"Retiro familiar",C1664&lt;&gt;"Aportación",C1664&lt;&gt;"Pago activo",C1664&lt;&gt;"ISR devengado",C1664&lt;&gt;"Pago ISR",C1664&lt;&gt;"Pago IVA",C1664&lt;&gt;"Compensación ISR",C1664&lt;&gt;"Compensación IVA"),AND(C1664="Gasto",D1664&lt;&gt;"Costos clínicos",D1664&lt;&gt;"Remuneración familiar",D1664&lt;&gt;"Nómina y honorarios",D1664&lt;&gt;"Renta",D1664&lt;&gt;"Marketing",D1664&lt;&gt;"Servicios y software",D1664&lt;&gt;"Mantenimiento",D1664&lt;&gt;"Otros",D1664&lt;&gt;"Intereses")),"Tipo o categoría inválido",IF(COUNTA(A1664:J1664)=0,"",IF(OR(A1664="",B1664="",C1664="",H1664=""),"Faltan datos",IF(COUNTIF($A$7:$A$2006,A1664)&gt;1,"ID duplicado",IF(OR(B1664&lt;DATE(Configuración!$C$5,1,1),B1664&gt;=DATE(Configuración!$C$5+1,1,1)),"Fecha fuera del año",IF(OR(H1664&lt;0,I1664&lt;0),"Revisar signo",IF(AND(C1664&lt;&gt;"Gasto",I1664&lt;&gt;0),"IVA solo en Gasto",IF(AND(C1664="Gasto",D1664=""),"Falta categoría","OK")))))))))</f>
        <v/>
      </c>
    </row>
    <row r="1665" spans="1:12" ht="22" customHeight="1">
      <c r="A1665" s="3"/>
      <c r="B1665" s="7"/>
      <c r="C1665" s="3"/>
      <c r="D1665" s="3"/>
      <c r="E1665" s="3"/>
      <c r="F1665" s="3"/>
      <c r="G1665" s="3"/>
      <c r="H1665" s="4"/>
      <c r="I1665" s="4"/>
      <c r="J1665" s="3"/>
      <c r="K1665" s="8" t="str">
        <f t="shared" si="25"/>
        <v/>
      </c>
      <c r="L1665" s="1" t="str">
        <f>IF(COUNTA(A1665:J1665)=0,"",IF(OR(AND(C1665&lt;&gt;"Gasto",C1665&lt;&gt;"Pago proveedor",C1665&lt;&gt;"Retiro familiar",C1665&lt;&gt;"Aportación",C1665&lt;&gt;"Pago activo",C1665&lt;&gt;"ISR devengado",C1665&lt;&gt;"Pago ISR",C1665&lt;&gt;"Pago IVA",C1665&lt;&gt;"Compensación ISR",C1665&lt;&gt;"Compensación IVA"),AND(C1665="Gasto",D1665&lt;&gt;"Costos clínicos",D1665&lt;&gt;"Remuneración familiar",D1665&lt;&gt;"Nómina y honorarios",D1665&lt;&gt;"Renta",D1665&lt;&gt;"Marketing",D1665&lt;&gt;"Servicios y software",D1665&lt;&gt;"Mantenimiento",D1665&lt;&gt;"Otros",D1665&lt;&gt;"Intereses")),"Tipo o categoría inválido",IF(COUNTA(A1665:J1665)=0,"",IF(OR(A1665="",B1665="",C1665="",H1665=""),"Faltan datos",IF(COUNTIF($A$7:$A$2006,A1665)&gt;1,"ID duplicado",IF(OR(B1665&lt;DATE(Configuración!$C$5,1,1),B1665&gt;=DATE(Configuración!$C$5+1,1,1)),"Fecha fuera del año",IF(OR(H1665&lt;0,I1665&lt;0),"Revisar signo",IF(AND(C1665&lt;&gt;"Gasto",I1665&lt;&gt;0),"IVA solo en Gasto",IF(AND(C1665="Gasto",D1665=""),"Falta categoría","OK")))))))))</f>
        <v/>
      </c>
    </row>
    <row r="1666" spans="1:12" ht="22" customHeight="1">
      <c r="A1666" s="3"/>
      <c r="B1666" s="7"/>
      <c r="C1666" s="3"/>
      <c r="D1666" s="3"/>
      <c r="E1666" s="3"/>
      <c r="F1666" s="3"/>
      <c r="G1666" s="3"/>
      <c r="H1666" s="4"/>
      <c r="I1666" s="4"/>
      <c r="J1666" s="3"/>
      <c r="K1666" s="8" t="str">
        <f t="shared" si="25"/>
        <v/>
      </c>
      <c r="L1666" s="1" t="str">
        <f>IF(COUNTA(A1666:J1666)=0,"",IF(OR(AND(C1666&lt;&gt;"Gasto",C1666&lt;&gt;"Pago proveedor",C1666&lt;&gt;"Retiro familiar",C1666&lt;&gt;"Aportación",C1666&lt;&gt;"Pago activo",C1666&lt;&gt;"ISR devengado",C1666&lt;&gt;"Pago ISR",C1666&lt;&gt;"Pago IVA",C1666&lt;&gt;"Compensación ISR",C1666&lt;&gt;"Compensación IVA"),AND(C1666="Gasto",D1666&lt;&gt;"Costos clínicos",D1666&lt;&gt;"Remuneración familiar",D1666&lt;&gt;"Nómina y honorarios",D1666&lt;&gt;"Renta",D1666&lt;&gt;"Marketing",D1666&lt;&gt;"Servicios y software",D1666&lt;&gt;"Mantenimiento",D1666&lt;&gt;"Otros",D1666&lt;&gt;"Intereses")),"Tipo o categoría inválido",IF(COUNTA(A1666:J1666)=0,"",IF(OR(A1666="",B1666="",C1666="",H1666=""),"Faltan datos",IF(COUNTIF($A$7:$A$2006,A1666)&gt;1,"ID duplicado",IF(OR(B1666&lt;DATE(Configuración!$C$5,1,1),B1666&gt;=DATE(Configuración!$C$5+1,1,1)),"Fecha fuera del año",IF(OR(H1666&lt;0,I1666&lt;0),"Revisar signo",IF(AND(C1666&lt;&gt;"Gasto",I1666&lt;&gt;0),"IVA solo en Gasto",IF(AND(C1666="Gasto",D1666=""),"Falta categoría","OK")))))))))</f>
        <v/>
      </c>
    </row>
    <row r="1667" spans="1:12" ht="22" customHeight="1">
      <c r="A1667" s="3"/>
      <c r="B1667" s="7"/>
      <c r="C1667" s="3"/>
      <c r="D1667" s="3"/>
      <c r="E1667" s="3"/>
      <c r="F1667" s="3"/>
      <c r="G1667" s="3"/>
      <c r="H1667" s="4"/>
      <c r="I1667" s="4"/>
      <c r="J1667" s="3"/>
      <c r="K1667" s="8" t="str">
        <f t="shared" si="25"/>
        <v/>
      </c>
      <c r="L1667" s="1" t="str">
        <f>IF(COUNTA(A1667:J1667)=0,"",IF(OR(AND(C1667&lt;&gt;"Gasto",C1667&lt;&gt;"Pago proveedor",C1667&lt;&gt;"Retiro familiar",C1667&lt;&gt;"Aportación",C1667&lt;&gt;"Pago activo",C1667&lt;&gt;"ISR devengado",C1667&lt;&gt;"Pago ISR",C1667&lt;&gt;"Pago IVA",C1667&lt;&gt;"Compensación ISR",C1667&lt;&gt;"Compensación IVA"),AND(C1667="Gasto",D1667&lt;&gt;"Costos clínicos",D1667&lt;&gt;"Remuneración familiar",D1667&lt;&gt;"Nómina y honorarios",D1667&lt;&gt;"Renta",D1667&lt;&gt;"Marketing",D1667&lt;&gt;"Servicios y software",D1667&lt;&gt;"Mantenimiento",D1667&lt;&gt;"Otros",D1667&lt;&gt;"Intereses")),"Tipo o categoría inválido",IF(COUNTA(A1667:J1667)=0,"",IF(OR(A1667="",B1667="",C1667="",H1667=""),"Faltan datos",IF(COUNTIF($A$7:$A$2006,A1667)&gt;1,"ID duplicado",IF(OR(B1667&lt;DATE(Configuración!$C$5,1,1),B1667&gt;=DATE(Configuración!$C$5+1,1,1)),"Fecha fuera del año",IF(OR(H1667&lt;0,I1667&lt;0),"Revisar signo",IF(AND(C1667&lt;&gt;"Gasto",I1667&lt;&gt;0),"IVA solo en Gasto",IF(AND(C1667="Gasto",D1667=""),"Falta categoría","OK")))))))))</f>
        <v/>
      </c>
    </row>
    <row r="1668" spans="1:12" ht="22" customHeight="1">
      <c r="A1668" s="3"/>
      <c r="B1668" s="7"/>
      <c r="C1668" s="3"/>
      <c r="D1668" s="3"/>
      <c r="E1668" s="3"/>
      <c r="F1668" s="3"/>
      <c r="G1668" s="3"/>
      <c r="H1668" s="4"/>
      <c r="I1668" s="4"/>
      <c r="J1668" s="3"/>
      <c r="K1668" s="8" t="str">
        <f t="shared" si="25"/>
        <v/>
      </c>
      <c r="L1668" s="1" t="str">
        <f>IF(COUNTA(A1668:J1668)=0,"",IF(OR(AND(C1668&lt;&gt;"Gasto",C1668&lt;&gt;"Pago proveedor",C1668&lt;&gt;"Retiro familiar",C1668&lt;&gt;"Aportación",C1668&lt;&gt;"Pago activo",C1668&lt;&gt;"ISR devengado",C1668&lt;&gt;"Pago ISR",C1668&lt;&gt;"Pago IVA",C1668&lt;&gt;"Compensación ISR",C1668&lt;&gt;"Compensación IVA"),AND(C1668="Gasto",D1668&lt;&gt;"Costos clínicos",D1668&lt;&gt;"Remuneración familiar",D1668&lt;&gt;"Nómina y honorarios",D1668&lt;&gt;"Renta",D1668&lt;&gt;"Marketing",D1668&lt;&gt;"Servicios y software",D1668&lt;&gt;"Mantenimiento",D1668&lt;&gt;"Otros",D1668&lt;&gt;"Intereses")),"Tipo o categoría inválido",IF(COUNTA(A1668:J1668)=0,"",IF(OR(A1668="",B1668="",C1668="",H1668=""),"Faltan datos",IF(COUNTIF($A$7:$A$2006,A1668)&gt;1,"ID duplicado",IF(OR(B1668&lt;DATE(Configuración!$C$5,1,1),B1668&gt;=DATE(Configuración!$C$5+1,1,1)),"Fecha fuera del año",IF(OR(H1668&lt;0,I1668&lt;0),"Revisar signo",IF(AND(C1668&lt;&gt;"Gasto",I1668&lt;&gt;0),"IVA solo en Gasto",IF(AND(C1668="Gasto",D1668=""),"Falta categoría","OK")))))))))</f>
        <v/>
      </c>
    </row>
    <row r="1669" spans="1:12" ht="22" customHeight="1">
      <c r="A1669" s="3"/>
      <c r="B1669" s="7"/>
      <c r="C1669" s="3"/>
      <c r="D1669" s="3"/>
      <c r="E1669" s="3"/>
      <c r="F1669" s="3"/>
      <c r="G1669" s="3"/>
      <c r="H1669" s="4"/>
      <c r="I1669" s="4"/>
      <c r="J1669" s="3"/>
      <c r="K1669" s="8" t="str">
        <f t="shared" si="25"/>
        <v/>
      </c>
      <c r="L1669" s="1" t="str">
        <f>IF(COUNTA(A1669:J1669)=0,"",IF(OR(AND(C1669&lt;&gt;"Gasto",C1669&lt;&gt;"Pago proveedor",C1669&lt;&gt;"Retiro familiar",C1669&lt;&gt;"Aportación",C1669&lt;&gt;"Pago activo",C1669&lt;&gt;"ISR devengado",C1669&lt;&gt;"Pago ISR",C1669&lt;&gt;"Pago IVA",C1669&lt;&gt;"Compensación ISR",C1669&lt;&gt;"Compensación IVA"),AND(C1669="Gasto",D1669&lt;&gt;"Costos clínicos",D1669&lt;&gt;"Remuneración familiar",D1669&lt;&gt;"Nómina y honorarios",D1669&lt;&gt;"Renta",D1669&lt;&gt;"Marketing",D1669&lt;&gt;"Servicios y software",D1669&lt;&gt;"Mantenimiento",D1669&lt;&gt;"Otros",D1669&lt;&gt;"Intereses")),"Tipo o categoría inválido",IF(COUNTA(A1669:J1669)=0,"",IF(OR(A1669="",B1669="",C1669="",H1669=""),"Faltan datos",IF(COUNTIF($A$7:$A$2006,A1669)&gt;1,"ID duplicado",IF(OR(B1669&lt;DATE(Configuración!$C$5,1,1),B1669&gt;=DATE(Configuración!$C$5+1,1,1)),"Fecha fuera del año",IF(OR(H1669&lt;0,I1669&lt;0),"Revisar signo",IF(AND(C1669&lt;&gt;"Gasto",I1669&lt;&gt;0),"IVA solo en Gasto",IF(AND(C1669="Gasto",D1669=""),"Falta categoría","OK")))))))))</f>
        <v/>
      </c>
    </row>
    <row r="1670" spans="1:12" ht="22" customHeight="1">
      <c r="A1670" s="3"/>
      <c r="B1670" s="7"/>
      <c r="C1670" s="3"/>
      <c r="D1670" s="3"/>
      <c r="E1670" s="3"/>
      <c r="F1670" s="3"/>
      <c r="G1670" s="3"/>
      <c r="H1670" s="4"/>
      <c r="I1670" s="4"/>
      <c r="J1670" s="3"/>
      <c r="K1670" s="8" t="str">
        <f t="shared" si="25"/>
        <v/>
      </c>
      <c r="L1670" s="1" t="str">
        <f>IF(COUNTA(A1670:J1670)=0,"",IF(OR(AND(C1670&lt;&gt;"Gasto",C1670&lt;&gt;"Pago proveedor",C1670&lt;&gt;"Retiro familiar",C1670&lt;&gt;"Aportación",C1670&lt;&gt;"Pago activo",C1670&lt;&gt;"ISR devengado",C1670&lt;&gt;"Pago ISR",C1670&lt;&gt;"Pago IVA",C1670&lt;&gt;"Compensación ISR",C1670&lt;&gt;"Compensación IVA"),AND(C1670="Gasto",D1670&lt;&gt;"Costos clínicos",D1670&lt;&gt;"Remuneración familiar",D1670&lt;&gt;"Nómina y honorarios",D1670&lt;&gt;"Renta",D1670&lt;&gt;"Marketing",D1670&lt;&gt;"Servicios y software",D1670&lt;&gt;"Mantenimiento",D1670&lt;&gt;"Otros",D1670&lt;&gt;"Intereses")),"Tipo o categoría inválido",IF(COUNTA(A1670:J1670)=0,"",IF(OR(A1670="",B1670="",C1670="",H1670=""),"Faltan datos",IF(COUNTIF($A$7:$A$2006,A1670)&gt;1,"ID duplicado",IF(OR(B1670&lt;DATE(Configuración!$C$5,1,1),B1670&gt;=DATE(Configuración!$C$5+1,1,1)),"Fecha fuera del año",IF(OR(H1670&lt;0,I1670&lt;0),"Revisar signo",IF(AND(C1670&lt;&gt;"Gasto",I1670&lt;&gt;0),"IVA solo en Gasto",IF(AND(C1670="Gasto",D1670=""),"Falta categoría","OK")))))))))</f>
        <v/>
      </c>
    </row>
    <row r="1671" spans="1:12" ht="22" customHeight="1">
      <c r="A1671" s="3"/>
      <c r="B1671" s="7"/>
      <c r="C1671" s="3"/>
      <c r="D1671" s="3"/>
      <c r="E1671" s="3"/>
      <c r="F1671" s="3"/>
      <c r="G1671" s="3"/>
      <c r="H1671" s="4"/>
      <c r="I1671" s="4"/>
      <c r="J1671" s="3"/>
      <c r="K1671" s="8" t="str">
        <f t="shared" ref="K1671:K1734" si="26">IF(A1671="","",H1671+I1671)</f>
        <v/>
      </c>
      <c r="L1671" s="1" t="str">
        <f>IF(COUNTA(A1671:J1671)=0,"",IF(OR(AND(C1671&lt;&gt;"Gasto",C1671&lt;&gt;"Pago proveedor",C1671&lt;&gt;"Retiro familiar",C1671&lt;&gt;"Aportación",C1671&lt;&gt;"Pago activo",C1671&lt;&gt;"ISR devengado",C1671&lt;&gt;"Pago ISR",C1671&lt;&gt;"Pago IVA",C1671&lt;&gt;"Compensación ISR",C1671&lt;&gt;"Compensación IVA"),AND(C1671="Gasto",D1671&lt;&gt;"Costos clínicos",D1671&lt;&gt;"Remuneración familiar",D1671&lt;&gt;"Nómina y honorarios",D1671&lt;&gt;"Renta",D1671&lt;&gt;"Marketing",D1671&lt;&gt;"Servicios y software",D1671&lt;&gt;"Mantenimiento",D1671&lt;&gt;"Otros",D1671&lt;&gt;"Intereses")),"Tipo o categoría inválido",IF(COUNTA(A1671:J1671)=0,"",IF(OR(A1671="",B1671="",C1671="",H1671=""),"Faltan datos",IF(COUNTIF($A$7:$A$2006,A1671)&gt;1,"ID duplicado",IF(OR(B1671&lt;DATE(Configuración!$C$5,1,1),B1671&gt;=DATE(Configuración!$C$5+1,1,1)),"Fecha fuera del año",IF(OR(H1671&lt;0,I1671&lt;0),"Revisar signo",IF(AND(C1671&lt;&gt;"Gasto",I1671&lt;&gt;0),"IVA solo en Gasto",IF(AND(C1671="Gasto",D1671=""),"Falta categoría","OK")))))))))</f>
        <v/>
      </c>
    </row>
    <row r="1672" spans="1:12" ht="22" customHeight="1">
      <c r="A1672" s="3"/>
      <c r="B1672" s="7"/>
      <c r="C1672" s="3"/>
      <c r="D1672" s="3"/>
      <c r="E1672" s="3"/>
      <c r="F1672" s="3"/>
      <c r="G1672" s="3"/>
      <c r="H1672" s="4"/>
      <c r="I1672" s="4"/>
      <c r="J1672" s="3"/>
      <c r="K1672" s="8" t="str">
        <f t="shared" si="26"/>
        <v/>
      </c>
      <c r="L1672" s="1" t="str">
        <f>IF(COUNTA(A1672:J1672)=0,"",IF(OR(AND(C1672&lt;&gt;"Gasto",C1672&lt;&gt;"Pago proveedor",C1672&lt;&gt;"Retiro familiar",C1672&lt;&gt;"Aportación",C1672&lt;&gt;"Pago activo",C1672&lt;&gt;"ISR devengado",C1672&lt;&gt;"Pago ISR",C1672&lt;&gt;"Pago IVA",C1672&lt;&gt;"Compensación ISR",C1672&lt;&gt;"Compensación IVA"),AND(C1672="Gasto",D1672&lt;&gt;"Costos clínicos",D1672&lt;&gt;"Remuneración familiar",D1672&lt;&gt;"Nómina y honorarios",D1672&lt;&gt;"Renta",D1672&lt;&gt;"Marketing",D1672&lt;&gt;"Servicios y software",D1672&lt;&gt;"Mantenimiento",D1672&lt;&gt;"Otros",D1672&lt;&gt;"Intereses")),"Tipo o categoría inválido",IF(COUNTA(A1672:J1672)=0,"",IF(OR(A1672="",B1672="",C1672="",H1672=""),"Faltan datos",IF(COUNTIF($A$7:$A$2006,A1672)&gt;1,"ID duplicado",IF(OR(B1672&lt;DATE(Configuración!$C$5,1,1),B1672&gt;=DATE(Configuración!$C$5+1,1,1)),"Fecha fuera del año",IF(OR(H1672&lt;0,I1672&lt;0),"Revisar signo",IF(AND(C1672&lt;&gt;"Gasto",I1672&lt;&gt;0),"IVA solo en Gasto",IF(AND(C1672="Gasto",D1672=""),"Falta categoría","OK")))))))))</f>
        <v/>
      </c>
    </row>
    <row r="1673" spans="1:12" ht="22" customHeight="1">
      <c r="A1673" s="3"/>
      <c r="B1673" s="7"/>
      <c r="C1673" s="3"/>
      <c r="D1673" s="3"/>
      <c r="E1673" s="3"/>
      <c r="F1673" s="3"/>
      <c r="G1673" s="3"/>
      <c r="H1673" s="4"/>
      <c r="I1673" s="4"/>
      <c r="J1673" s="3"/>
      <c r="K1673" s="8" t="str">
        <f t="shared" si="26"/>
        <v/>
      </c>
      <c r="L1673" s="1" t="str">
        <f>IF(COUNTA(A1673:J1673)=0,"",IF(OR(AND(C1673&lt;&gt;"Gasto",C1673&lt;&gt;"Pago proveedor",C1673&lt;&gt;"Retiro familiar",C1673&lt;&gt;"Aportación",C1673&lt;&gt;"Pago activo",C1673&lt;&gt;"ISR devengado",C1673&lt;&gt;"Pago ISR",C1673&lt;&gt;"Pago IVA",C1673&lt;&gt;"Compensación ISR",C1673&lt;&gt;"Compensación IVA"),AND(C1673="Gasto",D1673&lt;&gt;"Costos clínicos",D1673&lt;&gt;"Remuneración familiar",D1673&lt;&gt;"Nómina y honorarios",D1673&lt;&gt;"Renta",D1673&lt;&gt;"Marketing",D1673&lt;&gt;"Servicios y software",D1673&lt;&gt;"Mantenimiento",D1673&lt;&gt;"Otros",D1673&lt;&gt;"Intereses")),"Tipo o categoría inválido",IF(COUNTA(A1673:J1673)=0,"",IF(OR(A1673="",B1673="",C1673="",H1673=""),"Faltan datos",IF(COUNTIF($A$7:$A$2006,A1673)&gt;1,"ID duplicado",IF(OR(B1673&lt;DATE(Configuración!$C$5,1,1),B1673&gt;=DATE(Configuración!$C$5+1,1,1)),"Fecha fuera del año",IF(OR(H1673&lt;0,I1673&lt;0),"Revisar signo",IF(AND(C1673&lt;&gt;"Gasto",I1673&lt;&gt;0),"IVA solo en Gasto",IF(AND(C1673="Gasto",D1673=""),"Falta categoría","OK")))))))))</f>
        <v/>
      </c>
    </row>
    <row r="1674" spans="1:12" ht="22" customHeight="1">
      <c r="A1674" s="3"/>
      <c r="B1674" s="7"/>
      <c r="C1674" s="3"/>
      <c r="D1674" s="3"/>
      <c r="E1674" s="3"/>
      <c r="F1674" s="3"/>
      <c r="G1674" s="3"/>
      <c r="H1674" s="4"/>
      <c r="I1674" s="4"/>
      <c r="J1674" s="3"/>
      <c r="K1674" s="8" t="str">
        <f t="shared" si="26"/>
        <v/>
      </c>
      <c r="L1674" s="1" t="str">
        <f>IF(COUNTA(A1674:J1674)=0,"",IF(OR(AND(C1674&lt;&gt;"Gasto",C1674&lt;&gt;"Pago proveedor",C1674&lt;&gt;"Retiro familiar",C1674&lt;&gt;"Aportación",C1674&lt;&gt;"Pago activo",C1674&lt;&gt;"ISR devengado",C1674&lt;&gt;"Pago ISR",C1674&lt;&gt;"Pago IVA",C1674&lt;&gt;"Compensación ISR",C1674&lt;&gt;"Compensación IVA"),AND(C1674="Gasto",D1674&lt;&gt;"Costos clínicos",D1674&lt;&gt;"Remuneración familiar",D1674&lt;&gt;"Nómina y honorarios",D1674&lt;&gt;"Renta",D1674&lt;&gt;"Marketing",D1674&lt;&gt;"Servicios y software",D1674&lt;&gt;"Mantenimiento",D1674&lt;&gt;"Otros",D1674&lt;&gt;"Intereses")),"Tipo o categoría inválido",IF(COUNTA(A1674:J1674)=0,"",IF(OR(A1674="",B1674="",C1674="",H1674=""),"Faltan datos",IF(COUNTIF($A$7:$A$2006,A1674)&gt;1,"ID duplicado",IF(OR(B1674&lt;DATE(Configuración!$C$5,1,1),B1674&gt;=DATE(Configuración!$C$5+1,1,1)),"Fecha fuera del año",IF(OR(H1674&lt;0,I1674&lt;0),"Revisar signo",IF(AND(C1674&lt;&gt;"Gasto",I1674&lt;&gt;0),"IVA solo en Gasto",IF(AND(C1674="Gasto",D1674=""),"Falta categoría","OK")))))))))</f>
        <v/>
      </c>
    </row>
    <row r="1675" spans="1:12" ht="22" customHeight="1">
      <c r="A1675" s="3"/>
      <c r="B1675" s="7"/>
      <c r="C1675" s="3"/>
      <c r="D1675" s="3"/>
      <c r="E1675" s="3"/>
      <c r="F1675" s="3"/>
      <c r="G1675" s="3"/>
      <c r="H1675" s="4"/>
      <c r="I1675" s="4"/>
      <c r="J1675" s="3"/>
      <c r="K1675" s="8" t="str">
        <f t="shared" si="26"/>
        <v/>
      </c>
      <c r="L1675" s="1" t="str">
        <f>IF(COUNTA(A1675:J1675)=0,"",IF(OR(AND(C1675&lt;&gt;"Gasto",C1675&lt;&gt;"Pago proveedor",C1675&lt;&gt;"Retiro familiar",C1675&lt;&gt;"Aportación",C1675&lt;&gt;"Pago activo",C1675&lt;&gt;"ISR devengado",C1675&lt;&gt;"Pago ISR",C1675&lt;&gt;"Pago IVA",C1675&lt;&gt;"Compensación ISR",C1675&lt;&gt;"Compensación IVA"),AND(C1675="Gasto",D1675&lt;&gt;"Costos clínicos",D1675&lt;&gt;"Remuneración familiar",D1675&lt;&gt;"Nómina y honorarios",D1675&lt;&gt;"Renta",D1675&lt;&gt;"Marketing",D1675&lt;&gt;"Servicios y software",D1675&lt;&gt;"Mantenimiento",D1675&lt;&gt;"Otros",D1675&lt;&gt;"Intereses")),"Tipo o categoría inválido",IF(COUNTA(A1675:J1675)=0,"",IF(OR(A1675="",B1675="",C1675="",H1675=""),"Faltan datos",IF(COUNTIF($A$7:$A$2006,A1675)&gt;1,"ID duplicado",IF(OR(B1675&lt;DATE(Configuración!$C$5,1,1),B1675&gt;=DATE(Configuración!$C$5+1,1,1)),"Fecha fuera del año",IF(OR(H1675&lt;0,I1675&lt;0),"Revisar signo",IF(AND(C1675&lt;&gt;"Gasto",I1675&lt;&gt;0),"IVA solo en Gasto",IF(AND(C1675="Gasto",D1675=""),"Falta categoría","OK")))))))))</f>
        <v/>
      </c>
    </row>
    <row r="1676" spans="1:12" ht="22" customHeight="1">
      <c r="A1676" s="3"/>
      <c r="B1676" s="7"/>
      <c r="C1676" s="3"/>
      <c r="D1676" s="3"/>
      <c r="E1676" s="3"/>
      <c r="F1676" s="3"/>
      <c r="G1676" s="3"/>
      <c r="H1676" s="4"/>
      <c r="I1676" s="4"/>
      <c r="J1676" s="3"/>
      <c r="K1676" s="8" t="str">
        <f t="shared" si="26"/>
        <v/>
      </c>
      <c r="L1676" s="1" t="str">
        <f>IF(COUNTA(A1676:J1676)=0,"",IF(OR(AND(C1676&lt;&gt;"Gasto",C1676&lt;&gt;"Pago proveedor",C1676&lt;&gt;"Retiro familiar",C1676&lt;&gt;"Aportación",C1676&lt;&gt;"Pago activo",C1676&lt;&gt;"ISR devengado",C1676&lt;&gt;"Pago ISR",C1676&lt;&gt;"Pago IVA",C1676&lt;&gt;"Compensación ISR",C1676&lt;&gt;"Compensación IVA"),AND(C1676="Gasto",D1676&lt;&gt;"Costos clínicos",D1676&lt;&gt;"Remuneración familiar",D1676&lt;&gt;"Nómina y honorarios",D1676&lt;&gt;"Renta",D1676&lt;&gt;"Marketing",D1676&lt;&gt;"Servicios y software",D1676&lt;&gt;"Mantenimiento",D1676&lt;&gt;"Otros",D1676&lt;&gt;"Intereses")),"Tipo o categoría inválido",IF(COUNTA(A1676:J1676)=0,"",IF(OR(A1676="",B1676="",C1676="",H1676=""),"Faltan datos",IF(COUNTIF($A$7:$A$2006,A1676)&gt;1,"ID duplicado",IF(OR(B1676&lt;DATE(Configuración!$C$5,1,1),B1676&gt;=DATE(Configuración!$C$5+1,1,1)),"Fecha fuera del año",IF(OR(H1676&lt;0,I1676&lt;0),"Revisar signo",IF(AND(C1676&lt;&gt;"Gasto",I1676&lt;&gt;0),"IVA solo en Gasto",IF(AND(C1676="Gasto",D1676=""),"Falta categoría","OK")))))))))</f>
        <v/>
      </c>
    </row>
    <row r="1677" spans="1:12" ht="22" customHeight="1">
      <c r="A1677" s="3"/>
      <c r="B1677" s="7"/>
      <c r="C1677" s="3"/>
      <c r="D1677" s="3"/>
      <c r="E1677" s="3"/>
      <c r="F1677" s="3"/>
      <c r="G1677" s="3"/>
      <c r="H1677" s="4"/>
      <c r="I1677" s="4"/>
      <c r="J1677" s="3"/>
      <c r="K1677" s="8" t="str">
        <f t="shared" si="26"/>
        <v/>
      </c>
      <c r="L1677" s="1" t="str">
        <f>IF(COUNTA(A1677:J1677)=0,"",IF(OR(AND(C1677&lt;&gt;"Gasto",C1677&lt;&gt;"Pago proveedor",C1677&lt;&gt;"Retiro familiar",C1677&lt;&gt;"Aportación",C1677&lt;&gt;"Pago activo",C1677&lt;&gt;"ISR devengado",C1677&lt;&gt;"Pago ISR",C1677&lt;&gt;"Pago IVA",C1677&lt;&gt;"Compensación ISR",C1677&lt;&gt;"Compensación IVA"),AND(C1677="Gasto",D1677&lt;&gt;"Costos clínicos",D1677&lt;&gt;"Remuneración familiar",D1677&lt;&gt;"Nómina y honorarios",D1677&lt;&gt;"Renta",D1677&lt;&gt;"Marketing",D1677&lt;&gt;"Servicios y software",D1677&lt;&gt;"Mantenimiento",D1677&lt;&gt;"Otros",D1677&lt;&gt;"Intereses")),"Tipo o categoría inválido",IF(COUNTA(A1677:J1677)=0,"",IF(OR(A1677="",B1677="",C1677="",H1677=""),"Faltan datos",IF(COUNTIF($A$7:$A$2006,A1677)&gt;1,"ID duplicado",IF(OR(B1677&lt;DATE(Configuración!$C$5,1,1),B1677&gt;=DATE(Configuración!$C$5+1,1,1)),"Fecha fuera del año",IF(OR(H1677&lt;0,I1677&lt;0),"Revisar signo",IF(AND(C1677&lt;&gt;"Gasto",I1677&lt;&gt;0),"IVA solo en Gasto",IF(AND(C1677="Gasto",D1677=""),"Falta categoría","OK")))))))))</f>
        <v/>
      </c>
    </row>
    <row r="1678" spans="1:12" ht="22" customHeight="1">
      <c r="A1678" s="3"/>
      <c r="B1678" s="7"/>
      <c r="C1678" s="3"/>
      <c r="D1678" s="3"/>
      <c r="E1678" s="3"/>
      <c r="F1678" s="3"/>
      <c r="G1678" s="3"/>
      <c r="H1678" s="4"/>
      <c r="I1678" s="4"/>
      <c r="J1678" s="3"/>
      <c r="K1678" s="8" t="str">
        <f t="shared" si="26"/>
        <v/>
      </c>
      <c r="L1678" s="1" t="str">
        <f>IF(COUNTA(A1678:J1678)=0,"",IF(OR(AND(C1678&lt;&gt;"Gasto",C1678&lt;&gt;"Pago proveedor",C1678&lt;&gt;"Retiro familiar",C1678&lt;&gt;"Aportación",C1678&lt;&gt;"Pago activo",C1678&lt;&gt;"ISR devengado",C1678&lt;&gt;"Pago ISR",C1678&lt;&gt;"Pago IVA",C1678&lt;&gt;"Compensación ISR",C1678&lt;&gt;"Compensación IVA"),AND(C1678="Gasto",D1678&lt;&gt;"Costos clínicos",D1678&lt;&gt;"Remuneración familiar",D1678&lt;&gt;"Nómina y honorarios",D1678&lt;&gt;"Renta",D1678&lt;&gt;"Marketing",D1678&lt;&gt;"Servicios y software",D1678&lt;&gt;"Mantenimiento",D1678&lt;&gt;"Otros",D1678&lt;&gt;"Intereses")),"Tipo o categoría inválido",IF(COUNTA(A1678:J1678)=0,"",IF(OR(A1678="",B1678="",C1678="",H1678=""),"Faltan datos",IF(COUNTIF($A$7:$A$2006,A1678)&gt;1,"ID duplicado",IF(OR(B1678&lt;DATE(Configuración!$C$5,1,1),B1678&gt;=DATE(Configuración!$C$5+1,1,1)),"Fecha fuera del año",IF(OR(H1678&lt;0,I1678&lt;0),"Revisar signo",IF(AND(C1678&lt;&gt;"Gasto",I1678&lt;&gt;0),"IVA solo en Gasto",IF(AND(C1678="Gasto",D1678=""),"Falta categoría","OK")))))))))</f>
        <v/>
      </c>
    </row>
    <row r="1679" spans="1:12" ht="22" customHeight="1">
      <c r="A1679" s="3"/>
      <c r="B1679" s="7"/>
      <c r="C1679" s="3"/>
      <c r="D1679" s="3"/>
      <c r="E1679" s="3"/>
      <c r="F1679" s="3"/>
      <c r="G1679" s="3"/>
      <c r="H1679" s="4"/>
      <c r="I1679" s="4"/>
      <c r="J1679" s="3"/>
      <c r="K1679" s="8" t="str">
        <f t="shared" si="26"/>
        <v/>
      </c>
      <c r="L1679" s="1" t="str">
        <f>IF(COUNTA(A1679:J1679)=0,"",IF(OR(AND(C1679&lt;&gt;"Gasto",C1679&lt;&gt;"Pago proveedor",C1679&lt;&gt;"Retiro familiar",C1679&lt;&gt;"Aportación",C1679&lt;&gt;"Pago activo",C1679&lt;&gt;"ISR devengado",C1679&lt;&gt;"Pago ISR",C1679&lt;&gt;"Pago IVA",C1679&lt;&gt;"Compensación ISR",C1679&lt;&gt;"Compensación IVA"),AND(C1679="Gasto",D1679&lt;&gt;"Costos clínicos",D1679&lt;&gt;"Remuneración familiar",D1679&lt;&gt;"Nómina y honorarios",D1679&lt;&gt;"Renta",D1679&lt;&gt;"Marketing",D1679&lt;&gt;"Servicios y software",D1679&lt;&gt;"Mantenimiento",D1679&lt;&gt;"Otros",D1679&lt;&gt;"Intereses")),"Tipo o categoría inválido",IF(COUNTA(A1679:J1679)=0,"",IF(OR(A1679="",B1679="",C1679="",H1679=""),"Faltan datos",IF(COUNTIF($A$7:$A$2006,A1679)&gt;1,"ID duplicado",IF(OR(B1679&lt;DATE(Configuración!$C$5,1,1),B1679&gt;=DATE(Configuración!$C$5+1,1,1)),"Fecha fuera del año",IF(OR(H1679&lt;0,I1679&lt;0),"Revisar signo",IF(AND(C1679&lt;&gt;"Gasto",I1679&lt;&gt;0),"IVA solo en Gasto",IF(AND(C1679="Gasto",D1679=""),"Falta categoría","OK")))))))))</f>
        <v/>
      </c>
    </row>
    <row r="1680" spans="1:12" ht="22" customHeight="1">
      <c r="A1680" s="3"/>
      <c r="B1680" s="7"/>
      <c r="C1680" s="3"/>
      <c r="D1680" s="3"/>
      <c r="E1680" s="3"/>
      <c r="F1680" s="3"/>
      <c r="G1680" s="3"/>
      <c r="H1680" s="4"/>
      <c r="I1680" s="4"/>
      <c r="J1680" s="3"/>
      <c r="K1680" s="8" t="str">
        <f t="shared" si="26"/>
        <v/>
      </c>
      <c r="L1680" s="1" t="str">
        <f>IF(COUNTA(A1680:J1680)=0,"",IF(OR(AND(C1680&lt;&gt;"Gasto",C1680&lt;&gt;"Pago proveedor",C1680&lt;&gt;"Retiro familiar",C1680&lt;&gt;"Aportación",C1680&lt;&gt;"Pago activo",C1680&lt;&gt;"ISR devengado",C1680&lt;&gt;"Pago ISR",C1680&lt;&gt;"Pago IVA",C1680&lt;&gt;"Compensación ISR",C1680&lt;&gt;"Compensación IVA"),AND(C1680="Gasto",D1680&lt;&gt;"Costos clínicos",D1680&lt;&gt;"Remuneración familiar",D1680&lt;&gt;"Nómina y honorarios",D1680&lt;&gt;"Renta",D1680&lt;&gt;"Marketing",D1680&lt;&gt;"Servicios y software",D1680&lt;&gt;"Mantenimiento",D1680&lt;&gt;"Otros",D1680&lt;&gt;"Intereses")),"Tipo o categoría inválido",IF(COUNTA(A1680:J1680)=0,"",IF(OR(A1680="",B1680="",C1680="",H1680=""),"Faltan datos",IF(COUNTIF($A$7:$A$2006,A1680)&gt;1,"ID duplicado",IF(OR(B1680&lt;DATE(Configuración!$C$5,1,1),B1680&gt;=DATE(Configuración!$C$5+1,1,1)),"Fecha fuera del año",IF(OR(H1680&lt;0,I1680&lt;0),"Revisar signo",IF(AND(C1680&lt;&gt;"Gasto",I1680&lt;&gt;0),"IVA solo en Gasto",IF(AND(C1680="Gasto",D1680=""),"Falta categoría","OK")))))))))</f>
        <v/>
      </c>
    </row>
    <row r="1681" spans="1:12" ht="22" customHeight="1">
      <c r="A1681" s="3"/>
      <c r="B1681" s="7"/>
      <c r="C1681" s="3"/>
      <c r="D1681" s="3"/>
      <c r="E1681" s="3"/>
      <c r="F1681" s="3"/>
      <c r="G1681" s="3"/>
      <c r="H1681" s="4"/>
      <c r="I1681" s="4"/>
      <c r="J1681" s="3"/>
      <c r="K1681" s="8" t="str">
        <f t="shared" si="26"/>
        <v/>
      </c>
      <c r="L1681" s="1" t="str">
        <f>IF(COUNTA(A1681:J1681)=0,"",IF(OR(AND(C1681&lt;&gt;"Gasto",C1681&lt;&gt;"Pago proveedor",C1681&lt;&gt;"Retiro familiar",C1681&lt;&gt;"Aportación",C1681&lt;&gt;"Pago activo",C1681&lt;&gt;"ISR devengado",C1681&lt;&gt;"Pago ISR",C1681&lt;&gt;"Pago IVA",C1681&lt;&gt;"Compensación ISR",C1681&lt;&gt;"Compensación IVA"),AND(C1681="Gasto",D1681&lt;&gt;"Costos clínicos",D1681&lt;&gt;"Remuneración familiar",D1681&lt;&gt;"Nómina y honorarios",D1681&lt;&gt;"Renta",D1681&lt;&gt;"Marketing",D1681&lt;&gt;"Servicios y software",D1681&lt;&gt;"Mantenimiento",D1681&lt;&gt;"Otros",D1681&lt;&gt;"Intereses")),"Tipo o categoría inválido",IF(COUNTA(A1681:J1681)=0,"",IF(OR(A1681="",B1681="",C1681="",H1681=""),"Faltan datos",IF(COUNTIF($A$7:$A$2006,A1681)&gt;1,"ID duplicado",IF(OR(B1681&lt;DATE(Configuración!$C$5,1,1),B1681&gt;=DATE(Configuración!$C$5+1,1,1)),"Fecha fuera del año",IF(OR(H1681&lt;0,I1681&lt;0),"Revisar signo",IF(AND(C1681&lt;&gt;"Gasto",I1681&lt;&gt;0),"IVA solo en Gasto",IF(AND(C1681="Gasto",D1681=""),"Falta categoría","OK")))))))))</f>
        <v/>
      </c>
    </row>
    <row r="1682" spans="1:12" ht="22" customHeight="1">
      <c r="A1682" s="3"/>
      <c r="B1682" s="7"/>
      <c r="C1682" s="3"/>
      <c r="D1682" s="3"/>
      <c r="E1682" s="3"/>
      <c r="F1682" s="3"/>
      <c r="G1682" s="3"/>
      <c r="H1682" s="4"/>
      <c r="I1682" s="4"/>
      <c r="J1682" s="3"/>
      <c r="K1682" s="8" t="str">
        <f t="shared" si="26"/>
        <v/>
      </c>
      <c r="L1682" s="1" t="str">
        <f>IF(COUNTA(A1682:J1682)=0,"",IF(OR(AND(C1682&lt;&gt;"Gasto",C1682&lt;&gt;"Pago proveedor",C1682&lt;&gt;"Retiro familiar",C1682&lt;&gt;"Aportación",C1682&lt;&gt;"Pago activo",C1682&lt;&gt;"ISR devengado",C1682&lt;&gt;"Pago ISR",C1682&lt;&gt;"Pago IVA",C1682&lt;&gt;"Compensación ISR",C1682&lt;&gt;"Compensación IVA"),AND(C1682="Gasto",D1682&lt;&gt;"Costos clínicos",D1682&lt;&gt;"Remuneración familiar",D1682&lt;&gt;"Nómina y honorarios",D1682&lt;&gt;"Renta",D1682&lt;&gt;"Marketing",D1682&lt;&gt;"Servicios y software",D1682&lt;&gt;"Mantenimiento",D1682&lt;&gt;"Otros",D1682&lt;&gt;"Intereses")),"Tipo o categoría inválido",IF(COUNTA(A1682:J1682)=0,"",IF(OR(A1682="",B1682="",C1682="",H1682=""),"Faltan datos",IF(COUNTIF($A$7:$A$2006,A1682)&gt;1,"ID duplicado",IF(OR(B1682&lt;DATE(Configuración!$C$5,1,1),B1682&gt;=DATE(Configuración!$C$5+1,1,1)),"Fecha fuera del año",IF(OR(H1682&lt;0,I1682&lt;0),"Revisar signo",IF(AND(C1682&lt;&gt;"Gasto",I1682&lt;&gt;0),"IVA solo en Gasto",IF(AND(C1682="Gasto",D1682=""),"Falta categoría","OK")))))))))</f>
        <v/>
      </c>
    </row>
    <row r="1683" spans="1:12" ht="22" customHeight="1">
      <c r="A1683" s="3"/>
      <c r="B1683" s="7"/>
      <c r="C1683" s="3"/>
      <c r="D1683" s="3"/>
      <c r="E1683" s="3"/>
      <c r="F1683" s="3"/>
      <c r="G1683" s="3"/>
      <c r="H1683" s="4"/>
      <c r="I1683" s="4"/>
      <c r="J1683" s="3"/>
      <c r="K1683" s="8" t="str">
        <f t="shared" si="26"/>
        <v/>
      </c>
      <c r="L1683" s="1" t="str">
        <f>IF(COUNTA(A1683:J1683)=0,"",IF(OR(AND(C1683&lt;&gt;"Gasto",C1683&lt;&gt;"Pago proveedor",C1683&lt;&gt;"Retiro familiar",C1683&lt;&gt;"Aportación",C1683&lt;&gt;"Pago activo",C1683&lt;&gt;"ISR devengado",C1683&lt;&gt;"Pago ISR",C1683&lt;&gt;"Pago IVA",C1683&lt;&gt;"Compensación ISR",C1683&lt;&gt;"Compensación IVA"),AND(C1683="Gasto",D1683&lt;&gt;"Costos clínicos",D1683&lt;&gt;"Remuneración familiar",D1683&lt;&gt;"Nómina y honorarios",D1683&lt;&gt;"Renta",D1683&lt;&gt;"Marketing",D1683&lt;&gt;"Servicios y software",D1683&lt;&gt;"Mantenimiento",D1683&lt;&gt;"Otros",D1683&lt;&gt;"Intereses")),"Tipo o categoría inválido",IF(COUNTA(A1683:J1683)=0,"",IF(OR(A1683="",B1683="",C1683="",H1683=""),"Faltan datos",IF(COUNTIF($A$7:$A$2006,A1683)&gt;1,"ID duplicado",IF(OR(B1683&lt;DATE(Configuración!$C$5,1,1),B1683&gt;=DATE(Configuración!$C$5+1,1,1)),"Fecha fuera del año",IF(OR(H1683&lt;0,I1683&lt;0),"Revisar signo",IF(AND(C1683&lt;&gt;"Gasto",I1683&lt;&gt;0),"IVA solo en Gasto",IF(AND(C1683="Gasto",D1683=""),"Falta categoría","OK")))))))))</f>
        <v/>
      </c>
    </row>
    <row r="1684" spans="1:12" ht="22" customHeight="1">
      <c r="A1684" s="3"/>
      <c r="B1684" s="7"/>
      <c r="C1684" s="3"/>
      <c r="D1684" s="3"/>
      <c r="E1684" s="3"/>
      <c r="F1684" s="3"/>
      <c r="G1684" s="3"/>
      <c r="H1684" s="4"/>
      <c r="I1684" s="4"/>
      <c r="J1684" s="3"/>
      <c r="K1684" s="8" t="str">
        <f t="shared" si="26"/>
        <v/>
      </c>
      <c r="L1684" s="1" t="str">
        <f>IF(COUNTA(A1684:J1684)=0,"",IF(OR(AND(C1684&lt;&gt;"Gasto",C1684&lt;&gt;"Pago proveedor",C1684&lt;&gt;"Retiro familiar",C1684&lt;&gt;"Aportación",C1684&lt;&gt;"Pago activo",C1684&lt;&gt;"ISR devengado",C1684&lt;&gt;"Pago ISR",C1684&lt;&gt;"Pago IVA",C1684&lt;&gt;"Compensación ISR",C1684&lt;&gt;"Compensación IVA"),AND(C1684="Gasto",D1684&lt;&gt;"Costos clínicos",D1684&lt;&gt;"Remuneración familiar",D1684&lt;&gt;"Nómina y honorarios",D1684&lt;&gt;"Renta",D1684&lt;&gt;"Marketing",D1684&lt;&gt;"Servicios y software",D1684&lt;&gt;"Mantenimiento",D1684&lt;&gt;"Otros",D1684&lt;&gt;"Intereses")),"Tipo o categoría inválido",IF(COUNTA(A1684:J1684)=0,"",IF(OR(A1684="",B1684="",C1684="",H1684=""),"Faltan datos",IF(COUNTIF($A$7:$A$2006,A1684)&gt;1,"ID duplicado",IF(OR(B1684&lt;DATE(Configuración!$C$5,1,1),B1684&gt;=DATE(Configuración!$C$5+1,1,1)),"Fecha fuera del año",IF(OR(H1684&lt;0,I1684&lt;0),"Revisar signo",IF(AND(C1684&lt;&gt;"Gasto",I1684&lt;&gt;0),"IVA solo en Gasto",IF(AND(C1684="Gasto",D1684=""),"Falta categoría","OK")))))))))</f>
        <v/>
      </c>
    </row>
    <row r="1685" spans="1:12" ht="22" customHeight="1">
      <c r="A1685" s="3"/>
      <c r="B1685" s="7"/>
      <c r="C1685" s="3"/>
      <c r="D1685" s="3"/>
      <c r="E1685" s="3"/>
      <c r="F1685" s="3"/>
      <c r="G1685" s="3"/>
      <c r="H1685" s="4"/>
      <c r="I1685" s="4"/>
      <c r="J1685" s="3"/>
      <c r="K1685" s="8" t="str">
        <f t="shared" si="26"/>
        <v/>
      </c>
      <c r="L1685" s="1" t="str">
        <f>IF(COUNTA(A1685:J1685)=0,"",IF(OR(AND(C1685&lt;&gt;"Gasto",C1685&lt;&gt;"Pago proveedor",C1685&lt;&gt;"Retiro familiar",C1685&lt;&gt;"Aportación",C1685&lt;&gt;"Pago activo",C1685&lt;&gt;"ISR devengado",C1685&lt;&gt;"Pago ISR",C1685&lt;&gt;"Pago IVA",C1685&lt;&gt;"Compensación ISR",C1685&lt;&gt;"Compensación IVA"),AND(C1685="Gasto",D1685&lt;&gt;"Costos clínicos",D1685&lt;&gt;"Remuneración familiar",D1685&lt;&gt;"Nómina y honorarios",D1685&lt;&gt;"Renta",D1685&lt;&gt;"Marketing",D1685&lt;&gt;"Servicios y software",D1685&lt;&gt;"Mantenimiento",D1685&lt;&gt;"Otros",D1685&lt;&gt;"Intereses")),"Tipo o categoría inválido",IF(COUNTA(A1685:J1685)=0,"",IF(OR(A1685="",B1685="",C1685="",H1685=""),"Faltan datos",IF(COUNTIF($A$7:$A$2006,A1685)&gt;1,"ID duplicado",IF(OR(B1685&lt;DATE(Configuración!$C$5,1,1),B1685&gt;=DATE(Configuración!$C$5+1,1,1)),"Fecha fuera del año",IF(OR(H1685&lt;0,I1685&lt;0),"Revisar signo",IF(AND(C1685&lt;&gt;"Gasto",I1685&lt;&gt;0),"IVA solo en Gasto",IF(AND(C1685="Gasto",D1685=""),"Falta categoría","OK")))))))))</f>
        <v/>
      </c>
    </row>
    <row r="1686" spans="1:12" ht="22" customHeight="1">
      <c r="A1686" s="3"/>
      <c r="B1686" s="7"/>
      <c r="C1686" s="3"/>
      <c r="D1686" s="3"/>
      <c r="E1686" s="3"/>
      <c r="F1686" s="3"/>
      <c r="G1686" s="3"/>
      <c r="H1686" s="4"/>
      <c r="I1686" s="4"/>
      <c r="J1686" s="3"/>
      <c r="K1686" s="8" t="str">
        <f t="shared" si="26"/>
        <v/>
      </c>
      <c r="L1686" s="1" t="str">
        <f>IF(COUNTA(A1686:J1686)=0,"",IF(OR(AND(C1686&lt;&gt;"Gasto",C1686&lt;&gt;"Pago proveedor",C1686&lt;&gt;"Retiro familiar",C1686&lt;&gt;"Aportación",C1686&lt;&gt;"Pago activo",C1686&lt;&gt;"ISR devengado",C1686&lt;&gt;"Pago ISR",C1686&lt;&gt;"Pago IVA",C1686&lt;&gt;"Compensación ISR",C1686&lt;&gt;"Compensación IVA"),AND(C1686="Gasto",D1686&lt;&gt;"Costos clínicos",D1686&lt;&gt;"Remuneración familiar",D1686&lt;&gt;"Nómina y honorarios",D1686&lt;&gt;"Renta",D1686&lt;&gt;"Marketing",D1686&lt;&gt;"Servicios y software",D1686&lt;&gt;"Mantenimiento",D1686&lt;&gt;"Otros",D1686&lt;&gt;"Intereses")),"Tipo o categoría inválido",IF(COUNTA(A1686:J1686)=0,"",IF(OR(A1686="",B1686="",C1686="",H1686=""),"Faltan datos",IF(COUNTIF($A$7:$A$2006,A1686)&gt;1,"ID duplicado",IF(OR(B1686&lt;DATE(Configuración!$C$5,1,1),B1686&gt;=DATE(Configuración!$C$5+1,1,1)),"Fecha fuera del año",IF(OR(H1686&lt;0,I1686&lt;0),"Revisar signo",IF(AND(C1686&lt;&gt;"Gasto",I1686&lt;&gt;0),"IVA solo en Gasto",IF(AND(C1686="Gasto",D1686=""),"Falta categoría","OK")))))))))</f>
        <v/>
      </c>
    </row>
    <row r="1687" spans="1:12" ht="22" customHeight="1">
      <c r="A1687" s="3"/>
      <c r="B1687" s="7"/>
      <c r="C1687" s="3"/>
      <c r="D1687" s="3"/>
      <c r="E1687" s="3"/>
      <c r="F1687" s="3"/>
      <c r="G1687" s="3"/>
      <c r="H1687" s="4"/>
      <c r="I1687" s="4"/>
      <c r="J1687" s="3"/>
      <c r="K1687" s="8" t="str">
        <f t="shared" si="26"/>
        <v/>
      </c>
      <c r="L1687" s="1" t="str">
        <f>IF(COUNTA(A1687:J1687)=0,"",IF(OR(AND(C1687&lt;&gt;"Gasto",C1687&lt;&gt;"Pago proveedor",C1687&lt;&gt;"Retiro familiar",C1687&lt;&gt;"Aportación",C1687&lt;&gt;"Pago activo",C1687&lt;&gt;"ISR devengado",C1687&lt;&gt;"Pago ISR",C1687&lt;&gt;"Pago IVA",C1687&lt;&gt;"Compensación ISR",C1687&lt;&gt;"Compensación IVA"),AND(C1687="Gasto",D1687&lt;&gt;"Costos clínicos",D1687&lt;&gt;"Remuneración familiar",D1687&lt;&gt;"Nómina y honorarios",D1687&lt;&gt;"Renta",D1687&lt;&gt;"Marketing",D1687&lt;&gt;"Servicios y software",D1687&lt;&gt;"Mantenimiento",D1687&lt;&gt;"Otros",D1687&lt;&gt;"Intereses")),"Tipo o categoría inválido",IF(COUNTA(A1687:J1687)=0,"",IF(OR(A1687="",B1687="",C1687="",H1687=""),"Faltan datos",IF(COUNTIF($A$7:$A$2006,A1687)&gt;1,"ID duplicado",IF(OR(B1687&lt;DATE(Configuración!$C$5,1,1),B1687&gt;=DATE(Configuración!$C$5+1,1,1)),"Fecha fuera del año",IF(OR(H1687&lt;0,I1687&lt;0),"Revisar signo",IF(AND(C1687&lt;&gt;"Gasto",I1687&lt;&gt;0),"IVA solo en Gasto",IF(AND(C1687="Gasto",D1687=""),"Falta categoría","OK")))))))))</f>
        <v/>
      </c>
    </row>
    <row r="1688" spans="1:12" ht="22" customHeight="1">
      <c r="A1688" s="3"/>
      <c r="B1688" s="7"/>
      <c r="C1688" s="3"/>
      <c r="D1688" s="3"/>
      <c r="E1688" s="3"/>
      <c r="F1688" s="3"/>
      <c r="G1688" s="3"/>
      <c r="H1688" s="4"/>
      <c r="I1688" s="4"/>
      <c r="J1688" s="3"/>
      <c r="K1688" s="8" t="str">
        <f t="shared" si="26"/>
        <v/>
      </c>
      <c r="L1688" s="1" t="str">
        <f>IF(COUNTA(A1688:J1688)=0,"",IF(OR(AND(C1688&lt;&gt;"Gasto",C1688&lt;&gt;"Pago proveedor",C1688&lt;&gt;"Retiro familiar",C1688&lt;&gt;"Aportación",C1688&lt;&gt;"Pago activo",C1688&lt;&gt;"ISR devengado",C1688&lt;&gt;"Pago ISR",C1688&lt;&gt;"Pago IVA",C1688&lt;&gt;"Compensación ISR",C1688&lt;&gt;"Compensación IVA"),AND(C1688="Gasto",D1688&lt;&gt;"Costos clínicos",D1688&lt;&gt;"Remuneración familiar",D1688&lt;&gt;"Nómina y honorarios",D1688&lt;&gt;"Renta",D1688&lt;&gt;"Marketing",D1688&lt;&gt;"Servicios y software",D1688&lt;&gt;"Mantenimiento",D1688&lt;&gt;"Otros",D1688&lt;&gt;"Intereses")),"Tipo o categoría inválido",IF(COUNTA(A1688:J1688)=0,"",IF(OR(A1688="",B1688="",C1688="",H1688=""),"Faltan datos",IF(COUNTIF($A$7:$A$2006,A1688)&gt;1,"ID duplicado",IF(OR(B1688&lt;DATE(Configuración!$C$5,1,1),B1688&gt;=DATE(Configuración!$C$5+1,1,1)),"Fecha fuera del año",IF(OR(H1688&lt;0,I1688&lt;0),"Revisar signo",IF(AND(C1688&lt;&gt;"Gasto",I1688&lt;&gt;0),"IVA solo en Gasto",IF(AND(C1688="Gasto",D1688=""),"Falta categoría","OK")))))))))</f>
        <v/>
      </c>
    </row>
    <row r="1689" spans="1:12" ht="22" customHeight="1">
      <c r="A1689" s="3"/>
      <c r="B1689" s="7"/>
      <c r="C1689" s="3"/>
      <c r="D1689" s="3"/>
      <c r="E1689" s="3"/>
      <c r="F1689" s="3"/>
      <c r="G1689" s="3"/>
      <c r="H1689" s="4"/>
      <c r="I1689" s="4"/>
      <c r="J1689" s="3"/>
      <c r="K1689" s="8" t="str">
        <f t="shared" si="26"/>
        <v/>
      </c>
      <c r="L1689" s="1" t="str">
        <f>IF(COUNTA(A1689:J1689)=0,"",IF(OR(AND(C1689&lt;&gt;"Gasto",C1689&lt;&gt;"Pago proveedor",C1689&lt;&gt;"Retiro familiar",C1689&lt;&gt;"Aportación",C1689&lt;&gt;"Pago activo",C1689&lt;&gt;"ISR devengado",C1689&lt;&gt;"Pago ISR",C1689&lt;&gt;"Pago IVA",C1689&lt;&gt;"Compensación ISR",C1689&lt;&gt;"Compensación IVA"),AND(C1689="Gasto",D1689&lt;&gt;"Costos clínicos",D1689&lt;&gt;"Remuneración familiar",D1689&lt;&gt;"Nómina y honorarios",D1689&lt;&gt;"Renta",D1689&lt;&gt;"Marketing",D1689&lt;&gt;"Servicios y software",D1689&lt;&gt;"Mantenimiento",D1689&lt;&gt;"Otros",D1689&lt;&gt;"Intereses")),"Tipo o categoría inválido",IF(COUNTA(A1689:J1689)=0,"",IF(OR(A1689="",B1689="",C1689="",H1689=""),"Faltan datos",IF(COUNTIF($A$7:$A$2006,A1689)&gt;1,"ID duplicado",IF(OR(B1689&lt;DATE(Configuración!$C$5,1,1),B1689&gt;=DATE(Configuración!$C$5+1,1,1)),"Fecha fuera del año",IF(OR(H1689&lt;0,I1689&lt;0),"Revisar signo",IF(AND(C1689&lt;&gt;"Gasto",I1689&lt;&gt;0),"IVA solo en Gasto",IF(AND(C1689="Gasto",D1689=""),"Falta categoría","OK")))))))))</f>
        <v/>
      </c>
    </row>
    <row r="1690" spans="1:12" ht="22" customHeight="1">
      <c r="A1690" s="3"/>
      <c r="B1690" s="7"/>
      <c r="C1690" s="3"/>
      <c r="D1690" s="3"/>
      <c r="E1690" s="3"/>
      <c r="F1690" s="3"/>
      <c r="G1690" s="3"/>
      <c r="H1690" s="4"/>
      <c r="I1690" s="4"/>
      <c r="J1690" s="3"/>
      <c r="K1690" s="8" t="str">
        <f t="shared" si="26"/>
        <v/>
      </c>
      <c r="L1690" s="1" t="str">
        <f>IF(COUNTA(A1690:J1690)=0,"",IF(OR(AND(C1690&lt;&gt;"Gasto",C1690&lt;&gt;"Pago proveedor",C1690&lt;&gt;"Retiro familiar",C1690&lt;&gt;"Aportación",C1690&lt;&gt;"Pago activo",C1690&lt;&gt;"ISR devengado",C1690&lt;&gt;"Pago ISR",C1690&lt;&gt;"Pago IVA",C1690&lt;&gt;"Compensación ISR",C1690&lt;&gt;"Compensación IVA"),AND(C1690="Gasto",D1690&lt;&gt;"Costos clínicos",D1690&lt;&gt;"Remuneración familiar",D1690&lt;&gt;"Nómina y honorarios",D1690&lt;&gt;"Renta",D1690&lt;&gt;"Marketing",D1690&lt;&gt;"Servicios y software",D1690&lt;&gt;"Mantenimiento",D1690&lt;&gt;"Otros",D1690&lt;&gt;"Intereses")),"Tipo o categoría inválido",IF(COUNTA(A1690:J1690)=0,"",IF(OR(A1690="",B1690="",C1690="",H1690=""),"Faltan datos",IF(COUNTIF($A$7:$A$2006,A1690)&gt;1,"ID duplicado",IF(OR(B1690&lt;DATE(Configuración!$C$5,1,1),B1690&gt;=DATE(Configuración!$C$5+1,1,1)),"Fecha fuera del año",IF(OR(H1690&lt;0,I1690&lt;0),"Revisar signo",IF(AND(C1690&lt;&gt;"Gasto",I1690&lt;&gt;0),"IVA solo en Gasto",IF(AND(C1690="Gasto",D1690=""),"Falta categoría","OK")))))))))</f>
        <v/>
      </c>
    </row>
    <row r="1691" spans="1:12" ht="22" customHeight="1">
      <c r="A1691" s="3"/>
      <c r="B1691" s="7"/>
      <c r="C1691" s="3"/>
      <c r="D1691" s="3"/>
      <c r="E1691" s="3"/>
      <c r="F1691" s="3"/>
      <c r="G1691" s="3"/>
      <c r="H1691" s="4"/>
      <c r="I1691" s="4"/>
      <c r="J1691" s="3"/>
      <c r="K1691" s="8" t="str">
        <f t="shared" si="26"/>
        <v/>
      </c>
      <c r="L1691" s="1" t="str">
        <f>IF(COUNTA(A1691:J1691)=0,"",IF(OR(AND(C1691&lt;&gt;"Gasto",C1691&lt;&gt;"Pago proveedor",C1691&lt;&gt;"Retiro familiar",C1691&lt;&gt;"Aportación",C1691&lt;&gt;"Pago activo",C1691&lt;&gt;"ISR devengado",C1691&lt;&gt;"Pago ISR",C1691&lt;&gt;"Pago IVA",C1691&lt;&gt;"Compensación ISR",C1691&lt;&gt;"Compensación IVA"),AND(C1691="Gasto",D1691&lt;&gt;"Costos clínicos",D1691&lt;&gt;"Remuneración familiar",D1691&lt;&gt;"Nómina y honorarios",D1691&lt;&gt;"Renta",D1691&lt;&gt;"Marketing",D1691&lt;&gt;"Servicios y software",D1691&lt;&gt;"Mantenimiento",D1691&lt;&gt;"Otros",D1691&lt;&gt;"Intereses")),"Tipo o categoría inválido",IF(COUNTA(A1691:J1691)=0,"",IF(OR(A1691="",B1691="",C1691="",H1691=""),"Faltan datos",IF(COUNTIF($A$7:$A$2006,A1691)&gt;1,"ID duplicado",IF(OR(B1691&lt;DATE(Configuración!$C$5,1,1),B1691&gt;=DATE(Configuración!$C$5+1,1,1)),"Fecha fuera del año",IF(OR(H1691&lt;0,I1691&lt;0),"Revisar signo",IF(AND(C1691&lt;&gt;"Gasto",I1691&lt;&gt;0),"IVA solo en Gasto",IF(AND(C1691="Gasto",D1691=""),"Falta categoría","OK")))))))))</f>
        <v/>
      </c>
    </row>
    <row r="1692" spans="1:12" ht="22" customHeight="1">
      <c r="A1692" s="3"/>
      <c r="B1692" s="7"/>
      <c r="C1692" s="3"/>
      <c r="D1692" s="3"/>
      <c r="E1692" s="3"/>
      <c r="F1692" s="3"/>
      <c r="G1692" s="3"/>
      <c r="H1692" s="4"/>
      <c r="I1692" s="4"/>
      <c r="J1692" s="3"/>
      <c r="K1692" s="8" t="str">
        <f t="shared" si="26"/>
        <v/>
      </c>
      <c r="L1692" s="1" t="str">
        <f>IF(COUNTA(A1692:J1692)=0,"",IF(OR(AND(C1692&lt;&gt;"Gasto",C1692&lt;&gt;"Pago proveedor",C1692&lt;&gt;"Retiro familiar",C1692&lt;&gt;"Aportación",C1692&lt;&gt;"Pago activo",C1692&lt;&gt;"ISR devengado",C1692&lt;&gt;"Pago ISR",C1692&lt;&gt;"Pago IVA",C1692&lt;&gt;"Compensación ISR",C1692&lt;&gt;"Compensación IVA"),AND(C1692="Gasto",D1692&lt;&gt;"Costos clínicos",D1692&lt;&gt;"Remuneración familiar",D1692&lt;&gt;"Nómina y honorarios",D1692&lt;&gt;"Renta",D1692&lt;&gt;"Marketing",D1692&lt;&gt;"Servicios y software",D1692&lt;&gt;"Mantenimiento",D1692&lt;&gt;"Otros",D1692&lt;&gt;"Intereses")),"Tipo o categoría inválido",IF(COUNTA(A1692:J1692)=0,"",IF(OR(A1692="",B1692="",C1692="",H1692=""),"Faltan datos",IF(COUNTIF($A$7:$A$2006,A1692)&gt;1,"ID duplicado",IF(OR(B1692&lt;DATE(Configuración!$C$5,1,1),B1692&gt;=DATE(Configuración!$C$5+1,1,1)),"Fecha fuera del año",IF(OR(H1692&lt;0,I1692&lt;0),"Revisar signo",IF(AND(C1692&lt;&gt;"Gasto",I1692&lt;&gt;0),"IVA solo en Gasto",IF(AND(C1692="Gasto",D1692=""),"Falta categoría","OK")))))))))</f>
        <v/>
      </c>
    </row>
    <row r="1693" spans="1:12" ht="22" customHeight="1">
      <c r="A1693" s="3"/>
      <c r="B1693" s="7"/>
      <c r="C1693" s="3"/>
      <c r="D1693" s="3"/>
      <c r="E1693" s="3"/>
      <c r="F1693" s="3"/>
      <c r="G1693" s="3"/>
      <c r="H1693" s="4"/>
      <c r="I1693" s="4"/>
      <c r="J1693" s="3"/>
      <c r="K1693" s="8" t="str">
        <f t="shared" si="26"/>
        <v/>
      </c>
      <c r="L1693" s="1" t="str">
        <f>IF(COUNTA(A1693:J1693)=0,"",IF(OR(AND(C1693&lt;&gt;"Gasto",C1693&lt;&gt;"Pago proveedor",C1693&lt;&gt;"Retiro familiar",C1693&lt;&gt;"Aportación",C1693&lt;&gt;"Pago activo",C1693&lt;&gt;"ISR devengado",C1693&lt;&gt;"Pago ISR",C1693&lt;&gt;"Pago IVA",C1693&lt;&gt;"Compensación ISR",C1693&lt;&gt;"Compensación IVA"),AND(C1693="Gasto",D1693&lt;&gt;"Costos clínicos",D1693&lt;&gt;"Remuneración familiar",D1693&lt;&gt;"Nómina y honorarios",D1693&lt;&gt;"Renta",D1693&lt;&gt;"Marketing",D1693&lt;&gt;"Servicios y software",D1693&lt;&gt;"Mantenimiento",D1693&lt;&gt;"Otros",D1693&lt;&gt;"Intereses")),"Tipo o categoría inválido",IF(COUNTA(A1693:J1693)=0,"",IF(OR(A1693="",B1693="",C1693="",H1693=""),"Faltan datos",IF(COUNTIF($A$7:$A$2006,A1693)&gt;1,"ID duplicado",IF(OR(B1693&lt;DATE(Configuración!$C$5,1,1),B1693&gt;=DATE(Configuración!$C$5+1,1,1)),"Fecha fuera del año",IF(OR(H1693&lt;0,I1693&lt;0),"Revisar signo",IF(AND(C1693&lt;&gt;"Gasto",I1693&lt;&gt;0),"IVA solo en Gasto",IF(AND(C1693="Gasto",D1693=""),"Falta categoría","OK")))))))))</f>
        <v/>
      </c>
    </row>
    <row r="1694" spans="1:12" ht="22" customHeight="1">
      <c r="A1694" s="3"/>
      <c r="B1694" s="7"/>
      <c r="C1694" s="3"/>
      <c r="D1694" s="3"/>
      <c r="E1694" s="3"/>
      <c r="F1694" s="3"/>
      <c r="G1694" s="3"/>
      <c r="H1694" s="4"/>
      <c r="I1694" s="4"/>
      <c r="J1694" s="3"/>
      <c r="K1694" s="8" t="str">
        <f t="shared" si="26"/>
        <v/>
      </c>
      <c r="L1694" s="1" t="str">
        <f>IF(COUNTA(A1694:J1694)=0,"",IF(OR(AND(C1694&lt;&gt;"Gasto",C1694&lt;&gt;"Pago proveedor",C1694&lt;&gt;"Retiro familiar",C1694&lt;&gt;"Aportación",C1694&lt;&gt;"Pago activo",C1694&lt;&gt;"ISR devengado",C1694&lt;&gt;"Pago ISR",C1694&lt;&gt;"Pago IVA",C1694&lt;&gt;"Compensación ISR",C1694&lt;&gt;"Compensación IVA"),AND(C1694="Gasto",D1694&lt;&gt;"Costos clínicos",D1694&lt;&gt;"Remuneración familiar",D1694&lt;&gt;"Nómina y honorarios",D1694&lt;&gt;"Renta",D1694&lt;&gt;"Marketing",D1694&lt;&gt;"Servicios y software",D1694&lt;&gt;"Mantenimiento",D1694&lt;&gt;"Otros",D1694&lt;&gt;"Intereses")),"Tipo o categoría inválido",IF(COUNTA(A1694:J1694)=0,"",IF(OR(A1694="",B1694="",C1694="",H1694=""),"Faltan datos",IF(COUNTIF($A$7:$A$2006,A1694)&gt;1,"ID duplicado",IF(OR(B1694&lt;DATE(Configuración!$C$5,1,1),B1694&gt;=DATE(Configuración!$C$5+1,1,1)),"Fecha fuera del año",IF(OR(H1694&lt;0,I1694&lt;0),"Revisar signo",IF(AND(C1694&lt;&gt;"Gasto",I1694&lt;&gt;0),"IVA solo en Gasto",IF(AND(C1694="Gasto",D1694=""),"Falta categoría","OK")))))))))</f>
        <v/>
      </c>
    </row>
    <row r="1695" spans="1:12" ht="22" customHeight="1">
      <c r="A1695" s="3"/>
      <c r="B1695" s="7"/>
      <c r="C1695" s="3"/>
      <c r="D1695" s="3"/>
      <c r="E1695" s="3"/>
      <c r="F1695" s="3"/>
      <c r="G1695" s="3"/>
      <c r="H1695" s="4"/>
      <c r="I1695" s="4"/>
      <c r="J1695" s="3"/>
      <c r="K1695" s="8" t="str">
        <f t="shared" si="26"/>
        <v/>
      </c>
      <c r="L1695" s="1" t="str">
        <f>IF(COUNTA(A1695:J1695)=0,"",IF(OR(AND(C1695&lt;&gt;"Gasto",C1695&lt;&gt;"Pago proveedor",C1695&lt;&gt;"Retiro familiar",C1695&lt;&gt;"Aportación",C1695&lt;&gt;"Pago activo",C1695&lt;&gt;"ISR devengado",C1695&lt;&gt;"Pago ISR",C1695&lt;&gt;"Pago IVA",C1695&lt;&gt;"Compensación ISR",C1695&lt;&gt;"Compensación IVA"),AND(C1695="Gasto",D1695&lt;&gt;"Costos clínicos",D1695&lt;&gt;"Remuneración familiar",D1695&lt;&gt;"Nómina y honorarios",D1695&lt;&gt;"Renta",D1695&lt;&gt;"Marketing",D1695&lt;&gt;"Servicios y software",D1695&lt;&gt;"Mantenimiento",D1695&lt;&gt;"Otros",D1695&lt;&gt;"Intereses")),"Tipo o categoría inválido",IF(COUNTA(A1695:J1695)=0,"",IF(OR(A1695="",B1695="",C1695="",H1695=""),"Faltan datos",IF(COUNTIF($A$7:$A$2006,A1695)&gt;1,"ID duplicado",IF(OR(B1695&lt;DATE(Configuración!$C$5,1,1),B1695&gt;=DATE(Configuración!$C$5+1,1,1)),"Fecha fuera del año",IF(OR(H1695&lt;0,I1695&lt;0),"Revisar signo",IF(AND(C1695&lt;&gt;"Gasto",I1695&lt;&gt;0),"IVA solo en Gasto",IF(AND(C1695="Gasto",D1695=""),"Falta categoría","OK")))))))))</f>
        <v/>
      </c>
    </row>
    <row r="1696" spans="1:12" ht="22" customHeight="1">
      <c r="A1696" s="3"/>
      <c r="B1696" s="7"/>
      <c r="C1696" s="3"/>
      <c r="D1696" s="3"/>
      <c r="E1696" s="3"/>
      <c r="F1696" s="3"/>
      <c r="G1696" s="3"/>
      <c r="H1696" s="4"/>
      <c r="I1696" s="4"/>
      <c r="J1696" s="3"/>
      <c r="K1696" s="8" t="str">
        <f t="shared" si="26"/>
        <v/>
      </c>
      <c r="L1696" s="1" t="str">
        <f>IF(COUNTA(A1696:J1696)=0,"",IF(OR(AND(C1696&lt;&gt;"Gasto",C1696&lt;&gt;"Pago proveedor",C1696&lt;&gt;"Retiro familiar",C1696&lt;&gt;"Aportación",C1696&lt;&gt;"Pago activo",C1696&lt;&gt;"ISR devengado",C1696&lt;&gt;"Pago ISR",C1696&lt;&gt;"Pago IVA",C1696&lt;&gt;"Compensación ISR",C1696&lt;&gt;"Compensación IVA"),AND(C1696="Gasto",D1696&lt;&gt;"Costos clínicos",D1696&lt;&gt;"Remuneración familiar",D1696&lt;&gt;"Nómina y honorarios",D1696&lt;&gt;"Renta",D1696&lt;&gt;"Marketing",D1696&lt;&gt;"Servicios y software",D1696&lt;&gt;"Mantenimiento",D1696&lt;&gt;"Otros",D1696&lt;&gt;"Intereses")),"Tipo o categoría inválido",IF(COUNTA(A1696:J1696)=0,"",IF(OR(A1696="",B1696="",C1696="",H1696=""),"Faltan datos",IF(COUNTIF($A$7:$A$2006,A1696)&gt;1,"ID duplicado",IF(OR(B1696&lt;DATE(Configuración!$C$5,1,1),B1696&gt;=DATE(Configuración!$C$5+1,1,1)),"Fecha fuera del año",IF(OR(H1696&lt;0,I1696&lt;0),"Revisar signo",IF(AND(C1696&lt;&gt;"Gasto",I1696&lt;&gt;0),"IVA solo en Gasto",IF(AND(C1696="Gasto",D1696=""),"Falta categoría","OK")))))))))</f>
        <v/>
      </c>
    </row>
    <row r="1697" spans="1:12" ht="22" customHeight="1">
      <c r="A1697" s="3"/>
      <c r="B1697" s="7"/>
      <c r="C1697" s="3"/>
      <c r="D1697" s="3"/>
      <c r="E1697" s="3"/>
      <c r="F1697" s="3"/>
      <c r="G1697" s="3"/>
      <c r="H1697" s="4"/>
      <c r="I1697" s="4"/>
      <c r="J1697" s="3"/>
      <c r="K1697" s="8" t="str">
        <f t="shared" si="26"/>
        <v/>
      </c>
      <c r="L1697" s="1" t="str">
        <f>IF(COUNTA(A1697:J1697)=0,"",IF(OR(AND(C1697&lt;&gt;"Gasto",C1697&lt;&gt;"Pago proveedor",C1697&lt;&gt;"Retiro familiar",C1697&lt;&gt;"Aportación",C1697&lt;&gt;"Pago activo",C1697&lt;&gt;"ISR devengado",C1697&lt;&gt;"Pago ISR",C1697&lt;&gt;"Pago IVA",C1697&lt;&gt;"Compensación ISR",C1697&lt;&gt;"Compensación IVA"),AND(C1697="Gasto",D1697&lt;&gt;"Costos clínicos",D1697&lt;&gt;"Remuneración familiar",D1697&lt;&gt;"Nómina y honorarios",D1697&lt;&gt;"Renta",D1697&lt;&gt;"Marketing",D1697&lt;&gt;"Servicios y software",D1697&lt;&gt;"Mantenimiento",D1697&lt;&gt;"Otros",D1697&lt;&gt;"Intereses")),"Tipo o categoría inválido",IF(COUNTA(A1697:J1697)=0,"",IF(OR(A1697="",B1697="",C1697="",H1697=""),"Faltan datos",IF(COUNTIF($A$7:$A$2006,A1697)&gt;1,"ID duplicado",IF(OR(B1697&lt;DATE(Configuración!$C$5,1,1),B1697&gt;=DATE(Configuración!$C$5+1,1,1)),"Fecha fuera del año",IF(OR(H1697&lt;0,I1697&lt;0),"Revisar signo",IF(AND(C1697&lt;&gt;"Gasto",I1697&lt;&gt;0),"IVA solo en Gasto",IF(AND(C1697="Gasto",D1697=""),"Falta categoría","OK")))))))))</f>
        <v/>
      </c>
    </row>
    <row r="1698" spans="1:12" ht="22" customHeight="1">
      <c r="A1698" s="3"/>
      <c r="B1698" s="7"/>
      <c r="C1698" s="3"/>
      <c r="D1698" s="3"/>
      <c r="E1698" s="3"/>
      <c r="F1698" s="3"/>
      <c r="G1698" s="3"/>
      <c r="H1698" s="4"/>
      <c r="I1698" s="4"/>
      <c r="J1698" s="3"/>
      <c r="K1698" s="8" t="str">
        <f t="shared" si="26"/>
        <v/>
      </c>
      <c r="L1698" s="1" t="str">
        <f>IF(COUNTA(A1698:J1698)=0,"",IF(OR(AND(C1698&lt;&gt;"Gasto",C1698&lt;&gt;"Pago proveedor",C1698&lt;&gt;"Retiro familiar",C1698&lt;&gt;"Aportación",C1698&lt;&gt;"Pago activo",C1698&lt;&gt;"ISR devengado",C1698&lt;&gt;"Pago ISR",C1698&lt;&gt;"Pago IVA",C1698&lt;&gt;"Compensación ISR",C1698&lt;&gt;"Compensación IVA"),AND(C1698="Gasto",D1698&lt;&gt;"Costos clínicos",D1698&lt;&gt;"Remuneración familiar",D1698&lt;&gt;"Nómina y honorarios",D1698&lt;&gt;"Renta",D1698&lt;&gt;"Marketing",D1698&lt;&gt;"Servicios y software",D1698&lt;&gt;"Mantenimiento",D1698&lt;&gt;"Otros",D1698&lt;&gt;"Intereses")),"Tipo o categoría inválido",IF(COUNTA(A1698:J1698)=0,"",IF(OR(A1698="",B1698="",C1698="",H1698=""),"Faltan datos",IF(COUNTIF($A$7:$A$2006,A1698)&gt;1,"ID duplicado",IF(OR(B1698&lt;DATE(Configuración!$C$5,1,1),B1698&gt;=DATE(Configuración!$C$5+1,1,1)),"Fecha fuera del año",IF(OR(H1698&lt;0,I1698&lt;0),"Revisar signo",IF(AND(C1698&lt;&gt;"Gasto",I1698&lt;&gt;0),"IVA solo en Gasto",IF(AND(C1698="Gasto",D1698=""),"Falta categoría","OK")))))))))</f>
        <v/>
      </c>
    </row>
    <row r="1699" spans="1:12" ht="22" customHeight="1">
      <c r="A1699" s="3"/>
      <c r="B1699" s="7"/>
      <c r="C1699" s="3"/>
      <c r="D1699" s="3"/>
      <c r="E1699" s="3"/>
      <c r="F1699" s="3"/>
      <c r="G1699" s="3"/>
      <c r="H1699" s="4"/>
      <c r="I1699" s="4"/>
      <c r="J1699" s="3"/>
      <c r="K1699" s="8" t="str">
        <f t="shared" si="26"/>
        <v/>
      </c>
      <c r="L1699" s="1" t="str">
        <f>IF(COUNTA(A1699:J1699)=0,"",IF(OR(AND(C1699&lt;&gt;"Gasto",C1699&lt;&gt;"Pago proveedor",C1699&lt;&gt;"Retiro familiar",C1699&lt;&gt;"Aportación",C1699&lt;&gt;"Pago activo",C1699&lt;&gt;"ISR devengado",C1699&lt;&gt;"Pago ISR",C1699&lt;&gt;"Pago IVA",C1699&lt;&gt;"Compensación ISR",C1699&lt;&gt;"Compensación IVA"),AND(C1699="Gasto",D1699&lt;&gt;"Costos clínicos",D1699&lt;&gt;"Remuneración familiar",D1699&lt;&gt;"Nómina y honorarios",D1699&lt;&gt;"Renta",D1699&lt;&gt;"Marketing",D1699&lt;&gt;"Servicios y software",D1699&lt;&gt;"Mantenimiento",D1699&lt;&gt;"Otros",D1699&lt;&gt;"Intereses")),"Tipo o categoría inválido",IF(COUNTA(A1699:J1699)=0,"",IF(OR(A1699="",B1699="",C1699="",H1699=""),"Faltan datos",IF(COUNTIF($A$7:$A$2006,A1699)&gt;1,"ID duplicado",IF(OR(B1699&lt;DATE(Configuración!$C$5,1,1),B1699&gt;=DATE(Configuración!$C$5+1,1,1)),"Fecha fuera del año",IF(OR(H1699&lt;0,I1699&lt;0),"Revisar signo",IF(AND(C1699&lt;&gt;"Gasto",I1699&lt;&gt;0),"IVA solo en Gasto",IF(AND(C1699="Gasto",D1699=""),"Falta categoría","OK")))))))))</f>
        <v/>
      </c>
    </row>
    <row r="1700" spans="1:12" ht="22" customHeight="1">
      <c r="A1700" s="3"/>
      <c r="B1700" s="7"/>
      <c r="C1700" s="3"/>
      <c r="D1700" s="3"/>
      <c r="E1700" s="3"/>
      <c r="F1700" s="3"/>
      <c r="G1700" s="3"/>
      <c r="H1700" s="4"/>
      <c r="I1700" s="4"/>
      <c r="J1700" s="3"/>
      <c r="K1700" s="8" t="str">
        <f t="shared" si="26"/>
        <v/>
      </c>
      <c r="L1700" s="1" t="str">
        <f>IF(COUNTA(A1700:J1700)=0,"",IF(OR(AND(C1700&lt;&gt;"Gasto",C1700&lt;&gt;"Pago proveedor",C1700&lt;&gt;"Retiro familiar",C1700&lt;&gt;"Aportación",C1700&lt;&gt;"Pago activo",C1700&lt;&gt;"ISR devengado",C1700&lt;&gt;"Pago ISR",C1700&lt;&gt;"Pago IVA",C1700&lt;&gt;"Compensación ISR",C1700&lt;&gt;"Compensación IVA"),AND(C1700="Gasto",D1700&lt;&gt;"Costos clínicos",D1700&lt;&gt;"Remuneración familiar",D1700&lt;&gt;"Nómina y honorarios",D1700&lt;&gt;"Renta",D1700&lt;&gt;"Marketing",D1700&lt;&gt;"Servicios y software",D1700&lt;&gt;"Mantenimiento",D1700&lt;&gt;"Otros",D1700&lt;&gt;"Intereses")),"Tipo o categoría inválido",IF(COUNTA(A1700:J1700)=0,"",IF(OR(A1700="",B1700="",C1700="",H1700=""),"Faltan datos",IF(COUNTIF($A$7:$A$2006,A1700)&gt;1,"ID duplicado",IF(OR(B1700&lt;DATE(Configuración!$C$5,1,1),B1700&gt;=DATE(Configuración!$C$5+1,1,1)),"Fecha fuera del año",IF(OR(H1700&lt;0,I1700&lt;0),"Revisar signo",IF(AND(C1700&lt;&gt;"Gasto",I1700&lt;&gt;0),"IVA solo en Gasto",IF(AND(C1700="Gasto",D1700=""),"Falta categoría","OK")))))))))</f>
        <v/>
      </c>
    </row>
    <row r="1701" spans="1:12" ht="22" customHeight="1">
      <c r="A1701" s="3"/>
      <c r="B1701" s="7"/>
      <c r="C1701" s="3"/>
      <c r="D1701" s="3"/>
      <c r="E1701" s="3"/>
      <c r="F1701" s="3"/>
      <c r="G1701" s="3"/>
      <c r="H1701" s="4"/>
      <c r="I1701" s="4"/>
      <c r="J1701" s="3"/>
      <c r="K1701" s="8" t="str">
        <f t="shared" si="26"/>
        <v/>
      </c>
      <c r="L1701" s="1" t="str">
        <f>IF(COUNTA(A1701:J1701)=0,"",IF(OR(AND(C1701&lt;&gt;"Gasto",C1701&lt;&gt;"Pago proveedor",C1701&lt;&gt;"Retiro familiar",C1701&lt;&gt;"Aportación",C1701&lt;&gt;"Pago activo",C1701&lt;&gt;"ISR devengado",C1701&lt;&gt;"Pago ISR",C1701&lt;&gt;"Pago IVA",C1701&lt;&gt;"Compensación ISR",C1701&lt;&gt;"Compensación IVA"),AND(C1701="Gasto",D1701&lt;&gt;"Costos clínicos",D1701&lt;&gt;"Remuneración familiar",D1701&lt;&gt;"Nómina y honorarios",D1701&lt;&gt;"Renta",D1701&lt;&gt;"Marketing",D1701&lt;&gt;"Servicios y software",D1701&lt;&gt;"Mantenimiento",D1701&lt;&gt;"Otros",D1701&lt;&gt;"Intereses")),"Tipo o categoría inválido",IF(COUNTA(A1701:J1701)=0,"",IF(OR(A1701="",B1701="",C1701="",H1701=""),"Faltan datos",IF(COUNTIF($A$7:$A$2006,A1701)&gt;1,"ID duplicado",IF(OR(B1701&lt;DATE(Configuración!$C$5,1,1),B1701&gt;=DATE(Configuración!$C$5+1,1,1)),"Fecha fuera del año",IF(OR(H1701&lt;0,I1701&lt;0),"Revisar signo",IF(AND(C1701&lt;&gt;"Gasto",I1701&lt;&gt;0),"IVA solo en Gasto",IF(AND(C1701="Gasto",D1701=""),"Falta categoría","OK")))))))))</f>
        <v/>
      </c>
    </row>
    <row r="1702" spans="1:12" ht="22" customHeight="1">
      <c r="A1702" s="3"/>
      <c r="B1702" s="7"/>
      <c r="C1702" s="3"/>
      <c r="D1702" s="3"/>
      <c r="E1702" s="3"/>
      <c r="F1702" s="3"/>
      <c r="G1702" s="3"/>
      <c r="H1702" s="4"/>
      <c r="I1702" s="4"/>
      <c r="J1702" s="3"/>
      <c r="K1702" s="8" t="str">
        <f t="shared" si="26"/>
        <v/>
      </c>
      <c r="L1702" s="1" t="str">
        <f>IF(COUNTA(A1702:J1702)=0,"",IF(OR(AND(C1702&lt;&gt;"Gasto",C1702&lt;&gt;"Pago proveedor",C1702&lt;&gt;"Retiro familiar",C1702&lt;&gt;"Aportación",C1702&lt;&gt;"Pago activo",C1702&lt;&gt;"ISR devengado",C1702&lt;&gt;"Pago ISR",C1702&lt;&gt;"Pago IVA",C1702&lt;&gt;"Compensación ISR",C1702&lt;&gt;"Compensación IVA"),AND(C1702="Gasto",D1702&lt;&gt;"Costos clínicos",D1702&lt;&gt;"Remuneración familiar",D1702&lt;&gt;"Nómina y honorarios",D1702&lt;&gt;"Renta",D1702&lt;&gt;"Marketing",D1702&lt;&gt;"Servicios y software",D1702&lt;&gt;"Mantenimiento",D1702&lt;&gt;"Otros",D1702&lt;&gt;"Intereses")),"Tipo o categoría inválido",IF(COUNTA(A1702:J1702)=0,"",IF(OR(A1702="",B1702="",C1702="",H1702=""),"Faltan datos",IF(COUNTIF($A$7:$A$2006,A1702)&gt;1,"ID duplicado",IF(OR(B1702&lt;DATE(Configuración!$C$5,1,1),B1702&gt;=DATE(Configuración!$C$5+1,1,1)),"Fecha fuera del año",IF(OR(H1702&lt;0,I1702&lt;0),"Revisar signo",IF(AND(C1702&lt;&gt;"Gasto",I1702&lt;&gt;0),"IVA solo en Gasto",IF(AND(C1702="Gasto",D1702=""),"Falta categoría","OK")))))))))</f>
        <v/>
      </c>
    </row>
    <row r="1703" spans="1:12" ht="22" customHeight="1">
      <c r="A1703" s="3"/>
      <c r="B1703" s="7"/>
      <c r="C1703" s="3"/>
      <c r="D1703" s="3"/>
      <c r="E1703" s="3"/>
      <c r="F1703" s="3"/>
      <c r="G1703" s="3"/>
      <c r="H1703" s="4"/>
      <c r="I1703" s="4"/>
      <c r="J1703" s="3"/>
      <c r="K1703" s="8" t="str">
        <f t="shared" si="26"/>
        <v/>
      </c>
      <c r="L1703" s="1" t="str">
        <f>IF(COUNTA(A1703:J1703)=0,"",IF(OR(AND(C1703&lt;&gt;"Gasto",C1703&lt;&gt;"Pago proveedor",C1703&lt;&gt;"Retiro familiar",C1703&lt;&gt;"Aportación",C1703&lt;&gt;"Pago activo",C1703&lt;&gt;"ISR devengado",C1703&lt;&gt;"Pago ISR",C1703&lt;&gt;"Pago IVA",C1703&lt;&gt;"Compensación ISR",C1703&lt;&gt;"Compensación IVA"),AND(C1703="Gasto",D1703&lt;&gt;"Costos clínicos",D1703&lt;&gt;"Remuneración familiar",D1703&lt;&gt;"Nómina y honorarios",D1703&lt;&gt;"Renta",D1703&lt;&gt;"Marketing",D1703&lt;&gt;"Servicios y software",D1703&lt;&gt;"Mantenimiento",D1703&lt;&gt;"Otros",D1703&lt;&gt;"Intereses")),"Tipo o categoría inválido",IF(COUNTA(A1703:J1703)=0,"",IF(OR(A1703="",B1703="",C1703="",H1703=""),"Faltan datos",IF(COUNTIF($A$7:$A$2006,A1703)&gt;1,"ID duplicado",IF(OR(B1703&lt;DATE(Configuración!$C$5,1,1),B1703&gt;=DATE(Configuración!$C$5+1,1,1)),"Fecha fuera del año",IF(OR(H1703&lt;0,I1703&lt;0),"Revisar signo",IF(AND(C1703&lt;&gt;"Gasto",I1703&lt;&gt;0),"IVA solo en Gasto",IF(AND(C1703="Gasto",D1703=""),"Falta categoría","OK")))))))))</f>
        <v/>
      </c>
    </row>
    <row r="1704" spans="1:12" ht="22" customHeight="1">
      <c r="A1704" s="3"/>
      <c r="B1704" s="7"/>
      <c r="C1704" s="3"/>
      <c r="D1704" s="3"/>
      <c r="E1704" s="3"/>
      <c r="F1704" s="3"/>
      <c r="G1704" s="3"/>
      <c r="H1704" s="4"/>
      <c r="I1704" s="4"/>
      <c r="J1704" s="3"/>
      <c r="K1704" s="8" t="str">
        <f t="shared" si="26"/>
        <v/>
      </c>
      <c r="L1704" s="1" t="str">
        <f>IF(COUNTA(A1704:J1704)=0,"",IF(OR(AND(C1704&lt;&gt;"Gasto",C1704&lt;&gt;"Pago proveedor",C1704&lt;&gt;"Retiro familiar",C1704&lt;&gt;"Aportación",C1704&lt;&gt;"Pago activo",C1704&lt;&gt;"ISR devengado",C1704&lt;&gt;"Pago ISR",C1704&lt;&gt;"Pago IVA",C1704&lt;&gt;"Compensación ISR",C1704&lt;&gt;"Compensación IVA"),AND(C1704="Gasto",D1704&lt;&gt;"Costos clínicos",D1704&lt;&gt;"Remuneración familiar",D1704&lt;&gt;"Nómina y honorarios",D1704&lt;&gt;"Renta",D1704&lt;&gt;"Marketing",D1704&lt;&gt;"Servicios y software",D1704&lt;&gt;"Mantenimiento",D1704&lt;&gt;"Otros",D1704&lt;&gt;"Intereses")),"Tipo o categoría inválido",IF(COUNTA(A1704:J1704)=0,"",IF(OR(A1704="",B1704="",C1704="",H1704=""),"Faltan datos",IF(COUNTIF($A$7:$A$2006,A1704)&gt;1,"ID duplicado",IF(OR(B1704&lt;DATE(Configuración!$C$5,1,1),B1704&gt;=DATE(Configuración!$C$5+1,1,1)),"Fecha fuera del año",IF(OR(H1704&lt;0,I1704&lt;0),"Revisar signo",IF(AND(C1704&lt;&gt;"Gasto",I1704&lt;&gt;0),"IVA solo en Gasto",IF(AND(C1704="Gasto",D1704=""),"Falta categoría","OK")))))))))</f>
        <v/>
      </c>
    </row>
    <row r="1705" spans="1:12" ht="22" customHeight="1">
      <c r="A1705" s="3"/>
      <c r="B1705" s="7"/>
      <c r="C1705" s="3"/>
      <c r="D1705" s="3"/>
      <c r="E1705" s="3"/>
      <c r="F1705" s="3"/>
      <c r="G1705" s="3"/>
      <c r="H1705" s="4"/>
      <c r="I1705" s="4"/>
      <c r="J1705" s="3"/>
      <c r="K1705" s="8" t="str">
        <f t="shared" si="26"/>
        <v/>
      </c>
      <c r="L1705" s="1" t="str">
        <f>IF(COUNTA(A1705:J1705)=0,"",IF(OR(AND(C1705&lt;&gt;"Gasto",C1705&lt;&gt;"Pago proveedor",C1705&lt;&gt;"Retiro familiar",C1705&lt;&gt;"Aportación",C1705&lt;&gt;"Pago activo",C1705&lt;&gt;"ISR devengado",C1705&lt;&gt;"Pago ISR",C1705&lt;&gt;"Pago IVA",C1705&lt;&gt;"Compensación ISR",C1705&lt;&gt;"Compensación IVA"),AND(C1705="Gasto",D1705&lt;&gt;"Costos clínicos",D1705&lt;&gt;"Remuneración familiar",D1705&lt;&gt;"Nómina y honorarios",D1705&lt;&gt;"Renta",D1705&lt;&gt;"Marketing",D1705&lt;&gt;"Servicios y software",D1705&lt;&gt;"Mantenimiento",D1705&lt;&gt;"Otros",D1705&lt;&gt;"Intereses")),"Tipo o categoría inválido",IF(COUNTA(A1705:J1705)=0,"",IF(OR(A1705="",B1705="",C1705="",H1705=""),"Faltan datos",IF(COUNTIF($A$7:$A$2006,A1705)&gt;1,"ID duplicado",IF(OR(B1705&lt;DATE(Configuración!$C$5,1,1),B1705&gt;=DATE(Configuración!$C$5+1,1,1)),"Fecha fuera del año",IF(OR(H1705&lt;0,I1705&lt;0),"Revisar signo",IF(AND(C1705&lt;&gt;"Gasto",I1705&lt;&gt;0),"IVA solo en Gasto",IF(AND(C1705="Gasto",D1705=""),"Falta categoría","OK")))))))))</f>
        <v/>
      </c>
    </row>
    <row r="1706" spans="1:12" ht="22" customHeight="1">
      <c r="A1706" s="3"/>
      <c r="B1706" s="7"/>
      <c r="C1706" s="3"/>
      <c r="D1706" s="3"/>
      <c r="E1706" s="3"/>
      <c r="F1706" s="3"/>
      <c r="G1706" s="3"/>
      <c r="H1706" s="4"/>
      <c r="I1706" s="4"/>
      <c r="J1706" s="3"/>
      <c r="K1706" s="8" t="str">
        <f t="shared" si="26"/>
        <v/>
      </c>
      <c r="L1706" s="1" t="str">
        <f>IF(COUNTA(A1706:J1706)=0,"",IF(OR(AND(C1706&lt;&gt;"Gasto",C1706&lt;&gt;"Pago proveedor",C1706&lt;&gt;"Retiro familiar",C1706&lt;&gt;"Aportación",C1706&lt;&gt;"Pago activo",C1706&lt;&gt;"ISR devengado",C1706&lt;&gt;"Pago ISR",C1706&lt;&gt;"Pago IVA",C1706&lt;&gt;"Compensación ISR",C1706&lt;&gt;"Compensación IVA"),AND(C1706="Gasto",D1706&lt;&gt;"Costos clínicos",D1706&lt;&gt;"Remuneración familiar",D1706&lt;&gt;"Nómina y honorarios",D1706&lt;&gt;"Renta",D1706&lt;&gt;"Marketing",D1706&lt;&gt;"Servicios y software",D1706&lt;&gt;"Mantenimiento",D1706&lt;&gt;"Otros",D1706&lt;&gt;"Intereses")),"Tipo o categoría inválido",IF(COUNTA(A1706:J1706)=0,"",IF(OR(A1706="",B1706="",C1706="",H1706=""),"Faltan datos",IF(COUNTIF($A$7:$A$2006,A1706)&gt;1,"ID duplicado",IF(OR(B1706&lt;DATE(Configuración!$C$5,1,1),B1706&gt;=DATE(Configuración!$C$5+1,1,1)),"Fecha fuera del año",IF(OR(H1706&lt;0,I1706&lt;0),"Revisar signo",IF(AND(C1706&lt;&gt;"Gasto",I1706&lt;&gt;0),"IVA solo en Gasto",IF(AND(C1706="Gasto",D1706=""),"Falta categoría","OK")))))))))</f>
        <v/>
      </c>
    </row>
    <row r="1707" spans="1:12" ht="22" customHeight="1">
      <c r="A1707" s="3"/>
      <c r="B1707" s="7"/>
      <c r="C1707" s="3"/>
      <c r="D1707" s="3"/>
      <c r="E1707" s="3"/>
      <c r="F1707" s="3"/>
      <c r="G1707" s="3"/>
      <c r="H1707" s="4"/>
      <c r="I1707" s="4"/>
      <c r="J1707" s="3"/>
      <c r="K1707" s="8" t="str">
        <f t="shared" si="26"/>
        <v/>
      </c>
      <c r="L1707" s="1" t="str">
        <f>IF(COUNTA(A1707:J1707)=0,"",IF(OR(AND(C1707&lt;&gt;"Gasto",C1707&lt;&gt;"Pago proveedor",C1707&lt;&gt;"Retiro familiar",C1707&lt;&gt;"Aportación",C1707&lt;&gt;"Pago activo",C1707&lt;&gt;"ISR devengado",C1707&lt;&gt;"Pago ISR",C1707&lt;&gt;"Pago IVA",C1707&lt;&gt;"Compensación ISR",C1707&lt;&gt;"Compensación IVA"),AND(C1707="Gasto",D1707&lt;&gt;"Costos clínicos",D1707&lt;&gt;"Remuneración familiar",D1707&lt;&gt;"Nómina y honorarios",D1707&lt;&gt;"Renta",D1707&lt;&gt;"Marketing",D1707&lt;&gt;"Servicios y software",D1707&lt;&gt;"Mantenimiento",D1707&lt;&gt;"Otros",D1707&lt;&gt;"Intereses")),"Tipo o categoría inválido",IF(COUNTA(A1707:J1707)=0,"",IF(OR(A1707="",B1707="",C1707="",H1707=""),"Faltan datos",IF(COUNTIF($A$7:$A$2006,A1707)&gt;1,"ID duplicado",IF(OR(B1707&lt;DATE(Configuración!$C$5,1,1),B1707&gt;=DATE(Configuración!$C$5+1,1,1)),"Fecha fuera del año",IF(OR(H1707&lt;0,I1707&lt;0),"Revisar signo",IF(AND(C1707&lt;&gt;"Gasto",I1707&lt;&gt;0),"IVA solo en Gasto",IF(AND(C1707="Gasto",D1707=""),"Falta categoría","OK")))))))))</f>
        <v/>
      </c>
    </row>
    <row r="1708" spans="1:12" ht="22" customHeight="1">
      <c r="A1708" s="3"/>
      <c r="B1708" s="7"/>
      <c r="C1708" s="3"/>
      <c r="D1708" s="3"/>
      <c r="E1708" s="3"/>
      <c r="F1708" s="3"/>
      <c r="G1708" s="3"/>
      <c r="H1708" s="4"/>
      <c r="I1708" s="4"/>
      <c r="J1708" s="3"/>
      <c r="K1708" s="8" t="str">
        <f t="shared" si="26"/>
        <v/>
      </c>
      <c r="L1708" s="1" t="str">
        <f>IF(COUNTA(A1708:J1708)=0,"",IF(OR(AND(C1708&lt;&gt;"Gasto",C1708&lt;&gt;"Pago proveedor",C1708&lt;&gt;"Retiro familiar",C1708&lt;&gt;"Aportación",C1708&lt;&gt;"Pago activo",C1708&lt;&gt;"ISR devengado",C1708&lt;&gt;"Pago ISR",C1708&lt;&gt;"Pago IVA",C1708&lt;&gt;"Compensación ISR",C1708&lt;&gt;"Compensación IVA"),AND(C1708="Gasto",D1708&lt;&gt;"Costos clínicos",D1708&lt;&gt;"Remuneración familiar",D1708&lt;&gt;"Nómina y honorarios",D1708&lt;&gt;"Renta",D1708&lt;&gt;"Marketing",D1708&lt;&gt;"Servicios y software",D1708&lt;&gt;"Mantenimiento",D1708&lt;&gt;"Otros",D1708&lt;&gt;"Intereses")),"Tipo o categoría inválido",IF(COUNTA(A1708:J1708)=0,"",IF(OR(A1708="",B1708="",C1708="",H1708=""),"Faltan datos",IF(COUNTIF($A$7:$A$2006,A1708)&gt;1,"ID duplicado",IF(OR(B1708&lt;DATE(Configuración!$C$5,1,1),B1708&gt;=DATE(Configuración!$C$5+1,1,1)),"Fecha fuera del año",IF(OR(H1708&lt;0,I1708&lt;0),"Revisar signo",IF(AND(C1708&lt;&gt;"Gasto",I1708&lt;&gt;0),"IVA solo en Gasto",IF(AND(C1708="Gasto",D1708=""),"Falta categoría","OK")))))))))</f>
        <v/>
      </c>
    </row>
    <row r="1709" spans="1:12" ht="22" customHeight="1">
      <c r="A1709" s="3"/>
      <c r="B1709" s="7"/>
      <c r="C1709" s="3"/>
      <c r="D1709" s="3"/>
      <c r="E1709" s="3"/>
      <c r="F1709" s="3"/>
      <c r="G1709" s="3"/>
      <c r="H1709" s="4"/>
      <c r="I1709" s="4"/>
      <c r="J1709" s="3"/>
      <c r="K1709" s="8" t="str">
        <f t="shared" si="26"/>
        <v/>
      </c>
      <c r="L1709" s="1" t="str">
        <f>IF(COUNTA(A1709:J1709)=0,"",IF(OR(AND(C1709&lt;&gt;"Gasto",C1709&lt;&gt;"Pago proveedor",C1709&lt;&gt;"Retiro familiar",C1709&lt;&gt;"Aportación",C1709&lt;&gt;"Pago activo",C1709&lt;&gt;"ISR devengado",C1709&lt;&gt;"Pago ISR",C1709&lt;&gt;"Pago IVA",C1709&lt;&gt;"Compensación ISR",C1709&lt;&gt;"Compensación IVA"),AND(C1709="Gasto",D1709&lt;&gt;"Costos clínicos",D1709&lt;&gt;"Remuneración familiar",D1709&lt;&gt;"Nómina y honorarios",D1709&lt;&gt;"Renta",D1709&lt;&gt;"Marketing",D1709&lt;&gt;"Servicios y software",D1709&lt;&gt;"Mantenimiento",D1709&lt;&gt;"Otros",D1709&lt;&gt;"Intereses")),"Tipo o categoría inválido",IF(COUNTA(A1709:J1709)=0,"",IF(OR(A1709="",B1709="",C1709="",H1709=""),"Faltan datos",IF(COUNTIF($A$7:$A$2006,A1709)&gt;1,"ID duplicado",IF(OR(B1709&lt;DATE(Configuración!$C$5,1,1),B1709&gt;=DATE(Configuración!$C$5+1,1,1)),"Fecha fuera del año",IF(OR(H1709&lt;0,I1709&lt;0),"Revisar signo",IF(AND(C1709&lt;&gt;"Gasto",I1709&lt;&gt;0),"IVA solo en Gasto",IF(AND(C1709="Gasto",D1709=""),"Falta categoría","OK")))))))))</f>
        <v/>
      </c>
    </row>
    <row r="1710" spans="1:12" ht="22" customHeight="1">
      <c r="A1710" s="3"/>
      <c r="B1710" s="7"/>
      <c r="C1710" s="3"/>
      <c r="D1710" s="3"/>
      <c r="E1710" s="3"/>
      <c r="F1710" s="3"/>
      <c r="G1710" s="3"/>
      <c r="H1710" s="4"/>
      <c r="I1710" s="4"/>
      <c r="J1710" s="3"/>
      <c r="K1710" s="8" t="str">
        <f t="shared" si="26"/>
        <v/>
      </c>
      <c r="L1710" s="1" t="str">
        <f>IF(COUNTA(A1710:J1710)=0,"",IF(OR(AND(C1710&lt;&gt;"Gasto",C1710&lt;&gt;"Pago proveedor",C1710&lt;&gt;"Retiro familiar",C1710&lt;&gt;"Aportación",C1710&lt;&gt;"Pago activo",C1710&lt;&gt;"ISR devengado",C1710&lt;&gt;"Pago ISR",C1710&lt;&gt;"Pago IVA",C1710&lt;&gt;"Compensación ISR",C1710&lt;&gt;"Compensación IVA"),AND(C1710="Gasto",D1710&lt;&gt;"Costos clínicos",D1710&lt;&gt;"Remuneración familiar",D1710&lt;&gt;"Nómina y honorarios",D1710&lt;&gt;"Renta",D1710&lt;&gt;"Marketing",D1710&lt;&gt;"Servicios y software",D1710&lt;&gt;"Mantenimiento",D1710&lt;&gt;"Otros",D1710&lt;&gt;"Intereses")),"Tipo o categoría inválido",IF(COUNTA(A1710:J1710)=0,"",IF(OR(A1710="",B1710="",C1710="",H1710=""),"Faltan datos",IF(COUNTIF($A$7:$A$2006,A1710)&gt;1,"ID duplicado",IF(OR(B1710&lt;DATE(Configuración!$C$5,1,1),B1710&gt;=DATE(Configuración!$C$5+1,1,1)),"Fecha fuera del año",IF(OR(H1710&lt;0,I1710&lt;0),"Revisar signo",IF(AND(C1710&lt;&gt;"Gasto",I1710&lt;&gt;0),"IVA solo en Gasto",IF(AND(C1710="Gasto",D1710=""),"Falta categoría","OK")))))))))</f>
        <v/>
      </c>
    </row>
    <row r="1711" spans="1:12" ht="22" customHeight="1">
      <c r="A1711" s="3"/>
      <c r="B1711" s="7"/>
      <c r="C1711" s="3"/>
      <c r="D1711" s="3"/>
      <c r="E1711" s="3"/>
      <c r="F1711" s="3"/>
      <c r="G1711" s="3"/>
      <c r="H1711" s="4"/>
      <c r="I1711" s="4"/>
      <c r="J1711" s="3"/>
      <c r="K1711" s="8" t="str">
        <f t="shared" si="26"/>
        <v/>
      </c>
      <c r="L1711" s="1" t="str">
        <f>IF(COUNTA(A1711:J1711)=0,"",IF(OR(AND(C1711&lt;&gt;"Gasto",C1711&lt;&gt;"Pago proveedor",C1711&lt;&gt;"Retiro familiar",C1711&lt;&gt;"Aportación",C1711&lt;&gt;"Pago activo",C1711&lt;&gt;"ISR devengado",C1711&lt;&gt;"Pago ISR",C1711&lt;&gt;"Pago IVA",C1711&lt;&gt;"Compensación ISR",C1711&lt;&gt;"Compensación IVA"),AND(C1711="Gasto",D1711&lt;&gt;"Costos clínicos",D1711&lt;&gt;"Remuneración familiar",D1711&lt;&gt;"Nómina y honorarios",D1711&lt;&gt;"Renta",D1711&lt;&gt;"Marketing",D1711&lt;&gt;"Servicios y software",D1711&lt;&gt;"Mantenimiento",D1711&lt;&gt;"Otros",D1711&lt;&gt;"Intereses")),"Tipo o categoría inválido",IF(COUNTA(A1711:J1711)=0,"",IF(OR(A1711="",B1711="",C1711="",H1711=""),"Faltan datos",IF(COUNTIF($A$7:$A$2006,A1711)&gt;1,"ID duplicado",IF(OR(B1711&lt;DATE(Configuración!$C$5,1,1),B1711&gt;=DATE(Configuración!$C$5+1,1,1)),"Fecha fuera del año",IF(OR(H1711&lt;0,I1711&lt;0),"Revisar signo",IF(AND(C1711&lt;&gt;"Gasto",I1711&lt;&gt;0),"IVA solo en Gasto",IF(AND(C1711="Gasto",D1711=""),"Falta categoría","OK")))))))))</f>
        <v/>
      </c>
    </row>
    <row r="1712" spans="1:12" ht="22" customHeight="1">
      <c r="A1712" s="3"/>
      <c r="B1712" s="7"/>
      <c r="C1712" s="3"/>
      <c r="D1712" s="3"/>
      <c r="E1712" s="3"/>
      <c r="F1712" s="3"/>
      <c r="G1712" s="3"/>
      <c r="H1712" s="4"/>
      <c r="I1712" s="4"/>
      <c r="J1712" s="3"/>
      <c r="K1712" s="8" t="str">
        <f t="shared" si="26"/>
        <v/>
      </c>
      <c r="L1712" s="1" t="str">
        <f>IF(COUNTA(A1712:J1712)=0,"",IF(OR(AND(C1712&lt;&gt;"Gasto",C1712&lt;&gt;"Pago proveedor",C1712&lt;&gt;"Retiro familiar",C1712&lt;&gt;"Aportación",C1712&lt;&gt;"Pago activo",C1712&lt;&gt;"ISR devengado",C1712&lt;&gt;"Pago ISR",C1712&lt;&gt;"Pago IVA",C1712&lt;&gt;"Compensación ISR",C1712&lt;&gt;"Compensación IVA"),AND(C1712="Gasto",D1712&lt;&gt;"Costos clínicos",D1712&lt;&gt;"Remuneración familiar",D1712&lt;&gt;"Nómina y honorarios",D1712&lt;&gt;"Renta",D1712&lt;&gt;"Marketing",D1712&lt;&gt;"Servicios y software",D1712&lt;&gt;"Mantenimiento",D1712&lt;&gt;"Otros",D1712&lt;&gt;"Intereses")),"Tipo o categoría inválido",IF(COUNTA(A1712:J1712)=0,"",IF(OR(A1712="",B1712="",C1712="",H1712=""),"Faltan datos",IF(COUNTIF($A$7:$A$2006,A1712)&gt;1,"ID duplicado",IF(OR(B1712&lt;DATE(Configuración!$C$5,1,1),B1712&gt;=DATE(Configuración!$C$5+1,1,1)),"Fecha fuera del año",IF(OR(H1712&lt;0,I1712&lt;0),"Revisar signo",IF(AND(C1712&lt;&gt;"Gasto",I1712&lt;&gt;0),"IVA solo en Gasto",IF(AND(C1712="Gasto",D1712=""),"Falta categoría","OK")))))))))</f>
        <v/>
      </c>
    </row>
    <row r="1713" spans="1:12" ht="22" customHeight="1">
      <c r="A1713" s="3"/>
      <c r="B1713" s="7"/>
      <c r="C1713" s="3"/>
      <c r="D1713" s="3"/>
      <c r="E1713" s="3"/>
      <c r="F1713" s="3"/>
      <c r="G1713" s="3"/>
      <c r="H1713" s="4"/>
      <c r="I1713" s="4"/>
      <c r="J1713" s="3"/>
      <c r="K1713" s="8" t="str">
        <f t="shared" si="26"/>
        <v/>
      </c>
      <c r="L1713" s="1" t="str">
        <f>IF(COUNTA(A1713:J1713)=0,"",IF(OR(AND(C1713&lt;&gt;"Gasto",C1713&lt;&gt;"Pago proveedor",C1713&lt;&gt;"Retiro familiar",C1713&lt;&gt;"Aportación",C1713&lt;&gt;"Pago activo",C1713&lt;&gt;"ISR devengado",C1713&lt;&gt;"Pago ISR",C1713&lt;&gt;"Pago IVA",C1713&lt;&gt;"Compensación ISR",C1713&lt;&gt;"Compensación IVA"),AND(C1713="Gasto",D1713&lt;&gt;"Costos clínicos",D1713&lt;&gt;"Remuneración familiar",D1713&lt;&gt;"Nómina y honorarios",D1713&lt;&gt;"Renta",D1713&lt;&gt;"Marketing",D1713&lt;&gt;"Servicios y software",D1713&lt;&gt;"Mantenimiento",D1713&lt;&gt;"Otros",D1713&lt;&gt;"Intereses")),"Tipo o categoría inválido",IF(COUNTA(A1713:J1713)=0,"",IF(OR(A1713="",B1713="",C1713="",H1713=""),"Faltan datos",IF(COUNTIF($A$7:$A$2006,A1713)&gt;1,"ID duplicado",IF(OR(B1713&lt;DATE(Configuración!$C$5,1,1),B1713&gt;=DATE(Configuración!$C$5+1,1,1)),"Fecha fuera del año",IF(OR(H1713&lt;0,I1713&lt;0),"Revisar signo",IF(AND(C1713&lt;&gt;"Gasto",I1713&lt;&gt;0),"IVA solo en Gasto",IF(AND(C1713="Gasto",D1713=""),"Falta categoría","OK")))))))))</f>
        <v/>
      </c>
    </row>
    <row r="1714" spans="1:12" ht="22" customHeight="1">
      <c r="A1714" s="3"/>
      <c r="B1714" s="7"/>
      <c r="C1714" s="3"/>
      <c r="D1714" s="3"/>
      <c r="E1714" s="3"/>
      <c r="F1714" s="3"/>
      <c r="G1714" s="3"/>
      <c r="H1714" s="4"/>
      <c r="I1714" s="4"/>
      <c r="J1714" s="3"/>
      <c r="K1714" s="8" t="str">
        <f t="shared" si="26"/>
        <v/>
      </c>
      <c r="L1714" s="1" t="str">
        <f>IF(COUNTA(A1714:J1714)=0,"",IF(OR(AND(C1714&lt;&gt;"Gasto",C1714&lt;&gt;"Pago proveedor",C1714&lt;&gt;"Retiro familiar",C1714&lt;&gt;"Aportación",C1714&lt;&gt;"Pago activo",C1714&lt;&gt;"ISR devengado",C1714&lt;&gt;"Pago ISR",C1714&lt;&gt;"Pago IVA",C1714&lt;&gt;"Compensación ISR",C1714&lt;&gt;"Compensación IVA"),AND(C1714="Gasto",D1714&lt;&gt;"Costos clínicos",D1714&lt;&gt;"Remuneración familiar",D1714&lt;&gt;"Nómina y honorarios",D1714&lt;&gt;"Renta",D1714&lt;&gt;"Marketing",D1714&lt;&gt;"Servicios y software",D1714&lt;&gt;"Mantenimiento",D1714&lt;&gt;"Otros",D1714&lt;&gt;"Intereses")),"Tipo o categoría inválido",IF(COUNTA(A1714:J1714)=0,"",IF(OR(A1714="",B1714="",C1714="",H1714=""),"Faltan datos",IF(COUNTIF($A$7:$A$2006,A1714)&gt;1,"ID duplicado",IF(OR(B1714&lt;DATE(Configuración!$C$5,1,1),B1714&gt;=DATE(Configuración!$C$5+1,1,1)),"Fecha fuera del año",IF(OR(H1714&lt;0,I1714&lt;0),"Revisar signo",IF(AND(C1714&lt;&gt;"Gasto",I1714&lt;&gt;0),"IVA solo en Gasto",IF(AND(C1714="Gasto",D1714=""),"Falta categoría","OK")))))))))</f>
        <v/>
      </c>
    </row>
    <row r="1715" spans="1:12" ht="22" customHeight="1">
      <c r="A1715" s="3"/>
      <c r="B1715" s="7"/>
      <c r="C1715" s="3"/>
      <c r="D1715" s="3"/>
      <c r="E1715" s="3"/>
      <c r="F1715" s="3"/>
      <c r="G1715" s="3"/>
      <c r="H1715" s="4"/>
      <c r="I1715" s="4"/>
      <c r="J1715" s="3"/>
      <c r="K1715" s="8" t="str">
        <f t="shared" si="26"/>
        <v/>
      </c>
      <c r="L1715" s="1" t="str">
        <f>IF(COUNTA(A1715:J1715)=0,"",IF(OR(AND(C1715&lt;&gt;"Gasto",C1715&lt;&gt;"Pago proveedor",C1715&lt;&gt;"Retiro familiar",C1715&lt;&gt;"Aportación",C1715&lt;&gt;"Pago activo",C1715&lt;&gt;"ISR devengado",C1715&lt;&gt;"Pago ISR",C1715&lt;&gt;"Pago IVA",C1715&lt;&gt;"Compensación ISR",C1715&lt;&gt;"Compensación IVA"),AND(C1715="Gasto",D1715&lt;&gt;"Costos clínicos",D1715&lt;&gt;"Remuneración familiar",D1715&lt;&gt;"Nómina y honorarios",D1715&lt;&gt;"Renta",D1715&lt;&gt;"Marketing",D1715&lt;&gt;"Servicios y software",D1715&lt;&gt;"Mantenimiento",D1715&lt;&gt;"Otros",D1715&lt;&gt;"Intereses")),"Tipo o categoría inválido",IF(COUNTA(A1715:J1715)=0,"",IF(OR(A1715="",B1715="",C1715="",H1715=""),"Faltan datos",IF(COUNTIF($A$7:$A$2006,A1715)&gt;1,"ID duplicado",IF(OR(B1715&lt;DATE(Configuración!$C$5,1,1),B1715&gt;=DATE(Configuración!$C$5+1,1,1)),"Fecha fuera del año",IF(OR(H1715&lt;0,I1715&lt;0),"Revisar signo",IF(AND(C1715&lt;&gt;"Gasto",I1715&lt;&gt;0),"IVA solo en Gasto",IF(AND(C1715="Gasto",D1715=""),"Falta categoría","OK")))))))))</f>
        <v/>
      </c>
    </row>
    <row r="1716" spans="1:12" ht="22" customHeight="1">
      <c r="A1716" s="3"/>
      <c r="B1716" s="7"/>
      <c r="C1716" s="3"/>
      <c r="D1716" s="3"/>
      <c r="E1716" s="3"/>
      <c r="F1716" s="3"/>
      <c r="G1716" s="3"/>
      <c r="H1716" s="4"/>
      <c r="I1716" s="4"/>
      <c r="J1716" s="3"/>
      <c r="K1716" s="8" t="str">
        <f t="shared" si="26"/>
        <v/>
      </c>
      <c r="L1716" s="1" t="str">
        <f>IF(COUNTA(A1716:J1716)=0,"",IF(OR(AND(C1716&lt;&gt;"Gasto",C1716&lt;&gt;"Pago proveedor",C1716&lt;&gt;"Retiro familiar",C1716&lt;&gt;"Aportación",C1716&lt;&gt;"Pago activo",C1716&lt;&gt;"ISR devengado",C1716&lt;&gt;"Pago ISR",C1716&lt;&gt;"Pago IVA",C1716&lt;&gt;"Compensación ISR",C1716&lt;&gt;"Compensación IVA"),AND(C1716="Gasto",D1716&lt;&gt;"Costos clínicos",D1716&lt;&gt;"Remuneración familiar",D1716&lt;&gt;"Nómina y honorarios",D1716&lt;&gt;"Renta",D1716&lt;&gt;"Marketing",D1716&lt;&gt;"Servicios y software",D1716&lt;&gt;"Mantenimiento",D1716&lt;&gt;"Otros",D1716&lt;&gt;"Intereses")),"Tipo o categoría inválido",IF(COUNTA(A1716:J1716)=0,"",IF(OR(A1716="",B1716="",C1716="",H1716=""),"Faltan datos",IF(COUNTIF($A$7:$A$2006,A1716)&gt;1,"ID duplicado",IF(OR(B1716&lt;DATE(Configuración!$C$5,1,1),B1716&gt;=DATE(Configuración!$C$5+1,1,1)),"Fecha fuera del año",IF(OR(H1716&lt;0,I1716&lt;0),"Revisar signo",IF(AND(C1716&lt;&gt;"Gasto",I1716&lt;&gt;0),"IVA solo en Gasto",IF(AND(C1716="Gasto",D1716=""),"Falta categoría","OK")))))))))</f>
        <v/>
      </c>
    </row>
    <row r="1717" spans="1:12" ht="22" customHeight="1">
      <c r="A1717" s="3"/>
      <c r="B1717" s="7"/>
      <c r="C1717" s="3"/>
      <c r="D1717" s="3"/>
      <c r="E1717" s="3"/>
      <c r="F1717" s="3"/>
      <c r="G1717" s="3"/>
      <c r="H1717" s="4"/>
      <c r="I1717" s="4"/>
      <c r="J1717" s="3"/>
      <c r="K1717" s="8" t="str">
        <f t="shared" si="26"/>
        <v/>
      </c>
      <c r="L1717" s="1" t="str">
        <f>IF(COUNTA(A1717:J1717)=0,"",IF(OR(AND(C1717&lt;&gt;"Gasto",C1717&lt;&gt;"Pago proveedor",C1717&lt;&gt;"Retiro familiar",C1717&lt;&gt;"Aportación",C1717&lt;&gt;"Pago activo",C1717&lt;&gt;"ISR devengado",C1717&lt;&gt;"Pago ISR",C1717&lt;&gt;"Pago IVA",C1717&lt;&gt;"Compensación ISR",C1717&lt;&gt;"Compensación IVA"),AND(C1717="Gasto",D1717&lt;&gt;"Costos clínicos",D1717&lt;&gt;"Remuneración familiar",D1717&lt;&gt;"Nómina y honorarios",D1717&lt;&gt;"Renta",D1717&lt;&gt;"Marketing",D1717&lt;&gt;"Servicios y software",D1717&lt;&gt;"Mantenimiento",D1717&lt;&gt;"Otros",D1717&lt;&gt;"Intereses")),"Tipo o categoría inválido",IF(COUNTA(A1717:J1717)=0,"",IF(OR(A1717="",B1717="",C1717="",H1717=""),"Faltan datos",IF(COUNTIF($A$7:$A$2006,A1717)&gt;1,"ID duplicado",IF(OR(B1717&lt;DATE(Configuración!$C$5,1,1),B1717&gt;=DATE(Configuración!$C$5+1,1,1)),"Fecha fuera del año",IF(OR(H1717&lt;0,I1717&lt;0),"Revisar signo",IF(AND(C1717&lt;&gt;"Gasto",I1717&lt;&gt;0),"IVA solo en Gasto",IF(AND(C1717="Gasto",D1717=""),"Falta categoría","OK")))))))))</f>
        <v/>
      </c>
    </row>
    <row r="1718" spans="1:12" ht="22" customHeight="1">
      <c r="A1718" s="3"/>
      <c r="B1718" s="7"/>
      <c r="C1718" s="3"/>
      <c r="D1718" s="3"/>
      <c r="E1718" s="3"/>
      <c r="F1718" s="3"/>
      <c r="G1718" s="3"/>
      <c r="H1718" s="4"/>
      <c r="I1718" s="4"/>
      <c r="J1718" s="3"/>
      <c r="K1718" s="8" t="str">
        <f t="shared" si="26"/>
        <v/>
      </c>
      <c r="L1718" s="1" t="str">
        <f>IF(COUNTA(A1718:J1718)=0,"",IF(OR(AND(C1718&lt;&gt;"Gasto",C1718&lt;&gt;"Pago proveedor",C1718&lt;&gt;"Retiro familiar",C1718&lt;&gt;"Aportación",C1718&lt;&gt;"Pago activo",C1718&lt;&gt;"ISR devengado",C1718&lt;&gt;"Pago ISR",C1718&lt;&gt;"Pago IVA",C1718&lt;&gt;"Compensación ISR",C1718&lt;&gt;"Compensación IVA"),AND(C1718="Gasto",D1718&lt;&gt;"Costos clínicos",D1718&lt;&gt;"Remuneración familiar",D1718&lt;&gt;"Nómina y honorarios",D1718&lt;&gt;"Renta",D1718&lt;&gt;"Marketing",D1718&lt;&gt;"Servicios y software",D1718&lt;&gt;"Mantenimiento",D1718&lt;&gt;"Otros",D1718&lt;&gt;"Intereses")),"Tipo o categoría inválido",IF(COUNTA(A1718:J1718)=0,"",IF(OR(A1718="",B1718="",C1718="",H1718=""),"Faltan datos",IF(COUNTIF($A$7:$A$2006,A1718)&gt;1,"ID duplicado",IF(OR(B1718&lt;DATE(Configuración!$C$5,1,1),B1718&gt;=DATE(Configuración!$C$5+1,1,1)),"Fecha fuera del año",IF(OR(H1718&lt;0,I1718&lt;0),"Revisar signo",IF(AND(C1718&lt;&gt;"Gasto",I1718&lt;&gt;0),"IVA solo en Gasto",IF(AND(C1718="Gasto",D1718=""),"Falta categoría","OK")))))))))</f>
        <v/>
      </c>
    </row>
    <row r="1719" spans="1:12" ht="22" customHeight="1">
      <c r="A1719" s="3"/>
      <c r="B1719" s="7"/>
      <c r="C1719" s="3"/>
      <c r="D1719" s="3"/>
      <c r="E1719" s="3"/>
      <c r="F1719" s="3"/>
      <c r="G1719" s="3"/>
      <c r="H1719" s="4"/>
      <c r="I1719" s="4"/>
      <c r="J1719" s="3"/>
      <c r="K1719" s="8" t="str">
        <f t="shared" si="26"/>
        <v/>
      </c>
      <c r="L1719" s="1" t="str">
        <f>IF(COUNTA(A1719:J1719)=0,"",IF(OR(AND(C1719&lt;&gt;"Gasto",C1719&lt;&gt;"Pago proveedor",C1719&lt;&gt;"Retiro familiar",C1719&lt;&gt;"Aportación",C1719&lt;&gt;"Pago activo",C1719&lt;&gt;"ISR devengado",C1719&lt;&gt;"Pago ISR",C1719&lt;&gt;"Pago IVA",C1719&lt;&gt;"Compensación ISR",C1719&lt;&gt;"Compensación IVA"),AND(C1719="Gasto",D1719&lt;&gt;"Costos clínicos",D1719&lt;&gt;"Remuneración familiar",D1719&lt;&gt;"Nómina y honorarios",D1719&lt;&gt;"Renta",D1719&lt;&gt;"Marketing",D1719&lt;&gt;"Servicios y software",D1719&lt;&gt;"Mantenimiento",D1719&lt;&gt;"Otros",D1719&lt;&gt;"Intereses")),"Tipo o categoría inválido",IF(COUNTA(A1719:J1719)=0,"",IF(OR(A1719="",B1719="",C1719="",H1719=""),"Faltan datos",IF(COUNTIF($A$7:$A$2006,A1719)&gt;1,"ID duplicado",IF(OR(B1719&lt;DATE(Configuración!$C$5,1,1),B1719&gt;=DATE(Configuración!$C$5+1,1,1)),"Fecha fuera del año",IF(OR(H1719&lt;0,I1719&lt;0),"Revisar signo",IF(AND(C1719&lt;&gt;"Gasto",I1719&lt;&gt;0),"IVA solo en Gasto",IF(AND(C1719="Gasto",D1719=""),"Falta categoría","OK")))))))))</f>
        <v/>
      </c>
    </row>
    <row r="1720" spans="1:12" ht="22" customHeight="1">
      <c r="A1720" s="3"/>
      <c r="B1720" s="7"/>
      <c r="C1720" s="3"/>
      <c r="D1720" s="3"/>
      <c r="E1720" s="3"/>
      <c r="F1720" s="3"/>
      <c r="G1720" s="3"/>
      <c r="H1720" s="4"/>
      <c r="I1720" s="4"/>
      <c r="J1720" s="3"/>
      <c r="K1720" s="8" t="str">
        <f t="shared" si="26"/>
        <v/>
      </c>
      <c r="L1720" s="1" t="str">
        <f>IF(COUNTA(A1720:J1720)=0,"",IF(OR(AND(C1720&lt;&gt;"Gasto",C1720&lt;&gt;"Pago proveedor",C1720&lt;&gt;"Retiro familiar",C1720&lt;&gt;"Aportación",C1720&lt;&gt;"Pago activo",C1720&lt;&gt;"ISR devengado",C1720&lt;&gt;"Pago ISR",C1720&lt;&gt;"Pago IVA",C1720&lt;&gt;"Compensación ISR",C1720&lt;&gt;"Compensación IVA"),AND(C1720="Gasto",D1720&lt;&gt;"Costos clínicos",D1720&lt;&gt;"Remuneración familiar",D1720&lt;&gt;"Nómina y honorarios",D1720&lt;&gt;"Renta",D1720&lt;&gt;"Marketing",D1720&lt;&gt;"Servicios y software",D1720&lt;&gt;"Mantenimiento",D1720&lt;&gt;"Otros",D1720&lt;&gt;"Intereses")),"Tipo o categoría inválido",IF(COUNTA(A1720:J1720)=0,"",IF(OR(A1720="",B1720="",C1720="",H1720=""),"Faltan datos",IF(COUNTIF($A$7:$A$2006,A1720)&gt;1,"ID duplicado",IF(OR(B1720&lt;DATE(Configuración!$C$5,1,1),B1720&gt;=DATE(Configuración!$C$5+1,1,1)),"Fecha fuera del año",IF(OR(H1720&lt;0,I1720&lt;0),"Revisar signo",IF(AND(C1720&lt;&gt;"Gasto",I1720&lt;&gt;0),"IVA solo en Gasto",IF(AND(C1720="Gasto",D1720=""),"Falta categoría","OK")))))))))</f>
        <v/>
      </c>
    </row>
    <row r="1721" spans="1:12" ht="22" customHeight="1">
      <c r="A1721" s="3"/>
      <c r="B1721" s="7"/>
      <c r="C1721" s="3"/>
      <c r="D1721" s="3"/>
      <c r="E1721" s="3"/>
      <c r="F1721" s="3"/>
      <c r="G1721" s="3"/>
      <c r="H1721" s="4"/>
      <c r="I1721" s="4"/>
      <c r="J1721" s="3"/>
      <c r="K1721" s="8" t="str">
        <f t="shared" si="26"/>
        <v/>
      </c>
      <c r="L1721" s="1" t="str">
        <f>IF(COUNTA(A1721:J1721)=0,"",IF(OR(AND(C1721&lt;&gt;"Gasto",C1721&lt;&gt;"Pago proveedor",C1721&lt;&gt;"Retiro familiar",C1721&lt;&gt;"Aportación",C1721&lt;&gt;"Pago activo",C1721&lt;&gt;"ISR devengado",C1721&lt;&gt;"Pago ISR",C1721&lt;&gt;"Pago IVA",C1721&lt;&gt;"Compensación ISR",C1721&lt;&gt;"Compensación IVA"),AND(C1721="Gasto",D1721&lt;&gt;"Costos clínicos",D1721&lt;&gt;"Remuneración familiar",D1721&lt;&gt;"Nómina y honorarios",D1721&lt;&gt;"Renta",D1721&lt;&gt;"Marketing",D1721&lt;&gt;"Servicios y software",D1721&lt;&gt;"Mantenimiento",D1721&lt;&gt;"Otros",D1721&lt;&gt;"Intereses")),"Tipo o categoría inválido",IF(COUNTA(A1721:J1721)=0,"",IF(OR(A1721="",B1721="",C1721="",H1721=""),"Faltan datos",IF(COUNTIF($A$7:$A$2006,A1721)&gt;1,"ID duplicado",IF(OR(B1721&lt;DATE(Configuración!$C$5,1,1),B1721&gt;=DATE(Configuración!$C$5+1,1,1)),"Fecha fuera del año",IF(OR(H1721&lt;0,I1721&lt;0),"Revisar signo",IF(AND(C1721&lt;&gt;"Gasto",I1721&lt;&gt;0),"IVA solo en Gasto",IF(AND(C1721="Gasto",D1721=""),"Falta categoría","OK")))))))))</f>
        <v/>
      </c>
    </row>
    <row r="1722" spans="1:12" ht="22" customHeight="1">
      <c r="A1722" s="3"/>
      <c r="B1722" s="7"/>
      <c r="C1722" s="3"/>
      <c r="D1722" s="3"/>
      <c r="E1722" s="3"/>
      <c r="F1722" s="3"/>
      <c r="G1722" s="3"/>
      <c r="H1722" s="4"/>
      <c r="I1722" s="4"/>
      <c r="J1722" s="3"/>
      <c r="K1722" s="8" t="str">
        <f t="shared" si="26"/>
        <v/>
      </c>
      <c r="L1722" s="1" t="str">
        <f>IF(COUNTA(A1722:J1722)=0,"",IF(OR(AND(C1722&lt;&gt;"Gasto",C1722&lt;&gt;"Pago proveedor",C1722&lt;&gt;"Retiro familiar",C1722&lt;&gt;"Aportación",C1722&lt;&gt;"Pago activo",C1722&lt;&gt;"ISR devengado",C1722&lt;&gt;"Pago ISR",C1722&lt;&gt;"Pago IVA",C1722&lt;&gt;"Compensación ISR",C1722&lt;&gt;"Compensación IVA"),AND(C1722="Gasto",D1722&lt;&gt;"Costos clínicos",D1722&lt;&gt;"Remuneración familiar",D1722&lt;&gt;"Nómina y honorarios",D1722&lt;&gt;"Renta",D1722&lt;&gt;"Marketing",D1722&lt;&gt;"Servicios y software",D1722&lt;&gt;"Mantenimiento",D1722&lt;&gt;"Otros",D1722&lt;&gt;"Intereses")),"Tipo o categoría inválido",IF(COUNTA(A1722:J1722)=0,"",IF(OR(A1722="",B1722="",C1722="",H1722=""),"Faltan datos",IF(COUNTIF($A$7:$A$2006,A1722)&gt;1,"ID duplicado",IF(OR(B1722&lt;DATE(Configuración!$C$5,1,1),B1722&gt;=DATE(Configuración!$C$5+1,1,1)),"Fecha fuera del año",IF(OR(H1722&lt;0,I1722&lt;0),"Revisar signo",IF(AND(C1722&lt;&gt;"Gasto",I1722&lt;&gt;0),"IVA solo en Gasto",IF(AND(C1722="Gasto",D1722=""),"Falta categoría","OK")))))))))</f>
        <v/>
      </c>
    </row>
    <row r="1723" spans="1:12" ht="22" customHeight="1">
      <c r="A1723" s="3"/>
      <c r="B1723" s="7"/>
      <c r="C1723" s="3"/>
      <c r="D1723" s="3"/>
      <c r="E1723" s="3"/>
      <c r="F1723" s="3"/>
      <c r="G1723" s="3"/>
      <c r="H1723" s="4"/>
      <c r="I1723" s="4"/>
      <c r="J1723" s="3"/>
      <c r="K1723" s="8" t="str">
        <f t="shared" si="26"/>
        <v/>
      </c>
      <c r="L1723" s="1" t="str">
        <f>IF(COUNTA(A1723:J1723)=0,"",IF(OR(AND(C1723&lt;&gt;"Gasto",C1723&lt;&gt;"Pago proveedor",C1723&lt;&gt;"Retiro familiar",C1723&lt;&gt;"Aportación",C1723&lt;&gt;"Pago activo",C1723&lt;&gt;"ISR devengado",C1723&lt;&gt;"Pago ISR",C1723&lt;&gt;"Pago IVA",C1723&lt;&gt;"Compensación ISR",C1723&lt;&gt;"Compensación IVA"),AND(C1723="Gasto",D1723&lt;&gt;"Costos clínicos",D1723&lt;&gt;"Remuneración familiar",D1723&lt;&gt;"Nómina y honorarios",D1723&lt;&gt;"Renta",D1723&lt;&gt;"Marketing",D1723&lt;&gt;"Servicios y software",D1723&lt;&gt;"Mantenimiento",D1723&lt;&gt;"Otros",D1723&lt;&gt;"Intereses")),"Tipo o categoría inválido",IF(COUNTA(A1723:J1723)=0,"",IF(OR(A1723="",B1723="",C1723="",H1723=""),"Faltan datos",IF(COUNTIF($A$7:$A$2006,A1723)&gt;1,"ID duplicado",IF(OR(B1723&lt;DATE(Configuración!$C$5,1,1),B1723&gt;=DATE(Configuración!$C$5+1,1,1)),"Fecha fuera del año",IF(OR(H1723&lt;0,I1723&lt;0),"Revisar signo",IF(AND(C1723&lt;&gt;"Gasto",I1723&lt;&gt;0),"IVA solo en Gasto",IF(AND(C1723="Gasto",D1723=""),"Falta categoría","OK")))))))))</f>
        <v/>
      </c>
    </row>
    <row r="1724" spans="1:12" ht="22" customHeight="1">
      <c r="A1724" s="3"/>
      <c r="B1724" s="7"/>
      <c r="C1724" s="3"/>
      <c r="D1724" s="3"/>
      <c r="E1724" s="3"/>
      <c r="F1724" s="3"/>
      <c r="G1724" s="3"/>
      <c r="H1724" s="4"/>
      <c r="I1724" s="4"/>
      <c r="J1724" s="3"/>
      <c r="K1724" s="8" t="str">
        <f t="shared" si="26"/>
        <v/>
      </c>
      <c r="L1724" s="1" t="str">
        <f>IF(COUNTA(A1724:J1724)=0,"",IF(OR(AND(C1724&lt;&gt;"Gasto",C1724&lt;&gt;"Pago proveedor",C1724&lt;&gt;"Retiro familiar",C1724&lt;&gt;"Aportación",C1724&lt;&gt;"Pago activo",C1724&lt;&gt;"ISR devengado",C1724&lt;&gt;"Pago ISR",C1724&lt;&gt;"Pago IVA",C1724&lt;&gt;"Compensación ISR",C1724&lt;&gt;"Compensación IVA"),AND(C1724="Gasto",D1724&lt;&gt;"Costos clínicos",D1724&lt;&gt;"Remuneración familiar",D1724&lt;&gt;"Nómina y honorarios",D1724&lt;&gt;"Renta",D1724&lt;&gt;"Marketing",D1724&lt;&gt;"Servicios y software",D1724&lt;&gt;"Mantenimiento",D1724&lt;&gt;"Otros",D1724&lt;&gt;"Intereses")),"Tipo o categoría inválido",IF(COUNTA(A1724:J1724)=0,"",IF(OR(A1724="",B1724="",C1724="",H1724=""),"Faltan datos",IF(COUNTIF($A$7:$A$2006,A1724)&gt;1,"ID duplicado",IF(OR(B1724&lt;DATE(Configuración!$C$5,1,1),B1724&gt;=DATE(Configuración!$C$5+1,1,1)),"Fecha fuera del año",IF(OR(H1724&lt;0,I1724&lt;0),"Revisar signo",IF(AND(C1724&lt;&gt;"Gasto",I1724&lt;&gt;0),"IVA solo en Gasto",IF(AND(C1724="Gasto",D1724=""),"Falta categoría","OK")))))))))</f>
        <v/>
      </c>
    </row>
    <row r="1725" spans="1:12" ht="22" customHeight="1">
      <c r="A1725" s="3"/>
      <c r="B1725" s="7"/>
      <c r="C1725" s="3"/>
      <c r="D1725" s="3"/>
      <c r="E1725" s="3"/>
      <c r="F1725" s="3"/>
      <c r="G1725" s="3"/>
      <c r="H1725" s="4"/>
      <c r="I1725" s="4"/>
      <c r="J1725" s="3"/>
      <c r="K1725" s="8" t="str">
        <f t="shared" si="26"/>
        <v/>
      </c>
      <c r="L1725" s="1" t="str">
        <f>IF(COUNTA(A1725:J1725)=0,"",IF(OR(AND(C1725&lt;&gt;"Gasto",C1725&lt;&gt;"Pago proveedor",C1725&lt;&gt;"Retiro familiar",C1725&lt;&gt;"Aportación",C1725&lt;&gt;"Pago activo",C1725&lt;&gt;"ISR devengado",C1725&lt;&gt;"Pago ISR",C1725&lt;&gt;"Pago IVA",C1725&lt;&gt;"Compensación ISR",C1725&lt;&gt;"Compensación IVA"),AND(C1725="Gasto",D1725&lt;&gt;"Costos clínicos",D1725&lt;&gt;"Remuneración familiar",D1725&lt;&gt;"Nómina y honorarios",D1725&lt;&gt;"Renta",D1725&lt;&gt;"Marketing",D1725&lt;&gt;"Servicios y software",D1725&lt;&gt;"Mantenimiento",D1725&lt;&gt;"Otros",D1725&lt;&gt;"Intereses")),"Tipo o categoría inválido",IF(COUNTA(A1725:J1725)=0,"",IF(OR(A1725="",B1725="",C1725="",H1725=""),"Faltan datos",IF(COUNTIF($A$7:$A$2006,A1725)&gt;1,"ID duplicado",IF(OR(B1725&lt;DATE(Configuración!$C$5,1,1),B1725&gt;=DATE(Configuración!$C$5+1,1,1)),"Fecha fuera del año",IF(OR(H1725&lt;0,I1725&lt;0),"Revisar signo",IF(AND(C1725&lt;&gt;"Gasto",I1725&lt;&gt;0),"IVA solo en Gasto",IF(AND(C1725="Gasto",D1725=""),"Falta categoría","OK")))))))))</f>
        <v/>
      </c>
    </row>
    <row r="1726" spans="1:12" ht="22" customHeight="1">
      <c r="A1726" s="3"/>
      <c r="B1726" s="7"/>
      <c r="C1726" s="3"/>
      <c r="D1726" s="3"/>
      <c r="E1726" s="3"/>
      <c r="F1726" s="3"/>
      <c r="G1726" s="3"/>
      <c r="H1726" s="4"/>
      <c r="I1726" s="4"/>
      <c r="J1726" s="3"/>
      <c r="K1726" s="8" t="str">
        <f t="shared" si="26"/>
        <v/>
      </c>
      <c r="L1726" s="1" t="str">
        <f>IF(COUNTA(A1726:J1726)=0,"",IF(OR(AND(C1726&lt;&gt;"Gasto",C1726&lt;&gt;"Pago proveedor",C1726&lt;&gt;"Retiro familiar",C1726&lt;&gt;"Aportación",C1726&lt;&gt;"Pago activo",C1726&lt;&gt;"ISR devengado",C1726&lt;&gt;"Pago ISR",C1726&lt;&gt;"Pago IVA",C1726&lt;&gt;"Compensación ISR",C1726&lt;&gt;"Compensación IVA"),AND(C1726="Gasto",D1726&lt;&gt;"Costos clínicos",D1726&lt;&gt;"Remuneración familiar",D1726&lt;&gt;"Nómina y honorarios",D1726&lt;&gt;"Renta",D1726&lt;&gt;"Marketing",D1726&lt;&gt;"Servicios y software",D1726&lt;&gt;"Mantenimiento",D1726&lt;&gt;"Otros",D1726&lt;&gt;"Intereses")),"Tipo o categoría inválido",IF(COUNTA(A1726:J1726)=0,"",IF(OR(A1726="",B1726="",C1726="",H1726=""),"Faltan datos",IF(COUNTIF($A$7:$A$2006,A1726)&gt;1,"ID duplicado",IF(OR(B1726&lt;DATE(Configuración!$C$5,1,1),B1726&gt;=DATE(Configuración!$C$5+1,1,1)),"Fecha fuera del año",IF(OR(H1726&lt;0,I1726&lt;0),"Revisar signo",IF(AND(C1726&lt;&gt;"Gasto",I1726&lt;&gt;0),"IVA solo en Gasto",IF(AND(C1726="Gasto",D1726=""),"Falta categoría","OK")))))))))</f>
        <v/>
      </c>
    </row>
    <row r="1727" spans="1:12" ht="22" customHeight="1">
      <c r="A1727" s="3"/>
      <c r="B1727" s="7"/>
      <c r="C1727" s="3"/>
      <c r="D1727" s="3"/>
      <c r="E1727" s="3"/>
      <c r="F1727" s="3"/>
      <c r="G1727" s="3"/>
      <c r="H1727" s="4"/>
      <c r="I1727" s="4"/>
      <c r="J1727" s="3"/>
      <c r="K1727" s="8" t="str">
        <f t="shared" si="26"/>
        <v/>
      </c>
      <c r="L1727" s="1" t="str">
        <f>IF(COUNTA(A1727:J1727)=0,"",IF(OR(AND(C1727&lt;&gt;"Gasto",C1727&lt;&gt;"Pago proveedor",C1727&lt;&gt;"Retiro familiar",C1727&lt;&gt;"Aportación",C1727&lt;&gt;"Pago activo",C1727&lt;&gt;"ISR devengado",C1727&lt;&gt;"Pago ISR",C1727&lt;&gt;"Pago IVA",C1727&lt;&gt;"Compensación ISR",C1727&lt;&gt;"Compensación IVA"),AND(C1727="Gasto",D1727&lt;&gt;"Costos clínicos",D1727&lt;&gt;"Remuneración familiar",D1727&lt;&gt;"Nómina y honorarios",D1727&lt;&gt;"Renta",D1727&lt;&gt;"Marketing",D1727&lt;&gt;"Servicios y software",D1727&lt;&gt;"Mantenimiento",D1727&lt;&gt;"Otros",D1727&lt;&gt;"Intereses")),"Tipo o categoría inválido",IF(COUNTA(A1727:J1727)=0,"",IF(OR(A1727="",B1727="",C1727="",H1727=""),"Faltan datos",IF(COUNTIF($A$7:$A$2006,A1727)&gt;1,"ID duplicado",IF(OR(B1727&lt;DATE(Configuración!$C$5,1,1),B1727&gt;=DATE(Configuración!$C$5+1,1,1)),"Fecha fuera del año",IF(OR(H1727&lt;0,I1727&lt;0),"Revisar signo",IF(AND(C1727&lt;&gt;"Gasto",I1727&lt;&gt;0),"IVA solo en Gasto",IF(AND(C1727="Gasto",D1727=""),"Falta categoría","OK")))))))))</f>
        <v/>
      </c>
    </row>
    <row r="1728" spans="1:12" ht="22" customHeight="1">
      <c r="A1728" s="3"/>
      <c r="B1728" s="7"/>
      <c r="C1728" s="3"/>
      <c r="D1728" s="3"/>
      <c r="E1728" s="3"/>
      <c r="F1728" s="3"/>
      <c r="G1728" s="3"/>
      <c r="H1728" s="4"/>
      <c r="I1728" s="4"/>
      <c r="J1728" s="3"/>
      <c r="K1728" s="8" t="str">
        <f t="shared" si="26"/>
        <v/>
      </c>
      <c r="L1728" s="1" t="str">
        <f>IF(COUNTA(A1728:J1728)=0,"",IF(OR(AND(C1728&lt;&gt;"Gasto",C1728&lt;&gt;"Pago proveedor",C1728&lt;&gt;"Retiro familiar",C1728&lt;&gt;"Aportación",C1728&lt;&gt;"Pago activo",C1728&lt;&gt;"ISR devengado",C1728&lt;&gt;"Pago ISR",C1728&lt;&gt;"Pago IVA",C1728&lt;&gt;"Compensación ISR",C1728&lt;&gt;"Compensación IVA"),AND(C1728="Gasto",D1728&lt;&gt;"Costos clínicos",D1728&lt;&gt;"Remuneración familiar",D1728&lt;&gt;"Nómina y honorarios",D1728&lt;&gt;"Renta",D1728&lt;&gt;"Marketing",D1728&lt;&gt;"Servicios y software",D1728&lt;&gt;"Mantenimiento",D1728&lt;&gt;"Otros",D1728&lt;&gt;"Intereses")),"Tipo o categoría inválido",IF(COUNTA(A1728:J1728)=0,"",IF(OR(A1728="",B1728="",C1728="",H1728=""),"Faltan datos",IF(COUNTIF($A$7:$A$2006,A1728)&gt;1,"ID duplicado",IF(OR(B1728&lt;DATE(Configuración!$C$5,1,1),B1728&gt;=DATE(Configuración!$C$5+1,1,1)),"Fecha fuera del año",IF(OR(H1728&lt;0,I1728&lt;0),"Revisar signo",IF(AND(C1728&lt;&gt;"Gasto",I1728&lt;&gt;0),"IVA solo en Gasto",IF(AND(C1728="Gasto",D1728=""),"Falta categoría","OK")))))))))</f>
        <v/>
      </c>
    </row>
    <row r="1729" spans="1:12" ht="22" customHeight="1">
      <c r="A1729" s="3"/>
      <c r="B1729" s="7"/>
      <c r="C1729" s="3"/>
      <c r="D1729" s="3"/>
      <c r="E1729" s="3"/>
      <c r="F1729" s="3"/>
      <c r="G1729" s="3"/>
      <c r="H1729" s="4"/>
      <c r="I1729" s="4"/>
      <c r="J1729" s="3"/>
      <c r="K1729" s="8" t="str">
        <f t="shared" si="26"/>
        <v/>
      </c>
      <c r="L1729" s="1" t="str">
        <f>IF(COUNTA(A1729:J1729)=0,"",IF(OR(AND(C1729&lt;&gt;"Gasto",C1729&lt;&gt;"Pago proveedor",C1729&lt;&gt;"Retiro familiar",C1729&lt;&gt;"Aportación",C1729&lt;&gt;"Pago activo",C1729&lt;&gt;"ISR devengado",C1729&lt;&gt;"Pago ISR",C1729&lt;&gt;"Pago IVA",C1729&lt;&gt;"Compensación ISR",C1729&lt;&gt;"Compensación IVA"),AND(C1729="Gasto",D1729&lt;&gt;"Costos clínicos",D1729&lt;&gt;"Remuneración familiar",D1729&lt;&gt;"Nómina y honorarios",D1729&lt;&gt;"Renta",D1729&lt;&gt;"Marketing",D1729&lt;&gt;"Servicios y software",D1729&lt;&gt;"Mantenimiento",D1729&lt;&gt;"Otros",D1729&lt;&gt;"Intereses")),"Tipo o categoría inválido",IF(COUNTA(A1729:J1729)=0,"",IF(OR(A1729="",B1729="",C1729="",H1729=""),"Faltan datos",IF(COUNTIF($A$7:$A$2006,A1729)&gt;1,"ID duplicado",IF(OR(B1729&lt;DATE(Configuración!$C$5,1,1),B1729&gt;=DATE(Configuración!$C$5+1,1,1)),"Fecha fuera del año",IF(OR(H1729&lt;0,I1729&lt;0),"Revisar signo",IF(AND(C1729&lt;&gt;"Gasto",I1729&lt;&gt;0),"IVA solo en Gasto",IF(AND(C1729="Gasto",D1729=""),"Falta categoría","OK")))))))))</f>
        <v/>
      </c>
    </row>
    <row r="1730" spans="1:12" ht="22" customHeight="1">
      <c r="A1730" s="3"/>
      <c r="B1730" s="7"/>
      <c r="C1730" s="3"/>
      <c r="D1730" s="3"/>
      <c r="E1730" s="3"/>
      <c r="F1730" s="3"/>
      <c r="G1730" s="3"/>
      <c r="H1730" s="4"/>
      <c r="I1730" s="4"/>
      <c r="J1730" s="3"/>
      <c r="K1730" s="8" t="str">
        <f t="shared" si="26"/>
        <v/>
      </c>
      <c r="L1730" s="1" t="str">
        <f>IF(COUNTA(A1730:J1730)=0,"",IF(OR(AND(C1730&lt;&gt;"Gasto",C1730&lt;&gt;"Pago proveedor",C1730&lt;&gt;"Retiro familiar",C1730&lt;&gt;"Aportación",C1730&lt;&gt;"Pago activo",C1730&lt;&gt;"ISR devengado",C1730&lt;&gt;"Pago ISR",C1730&lt;&gt;"Pago IVA",C1730&lt;&gt;"Compensación ISR",C1730&lt;&gt;"Compensación IVA"),AND(C1730="Gasto",D1730&lt;&gt;"Costos clínicos",D1730&lt;&gt;"Remuneración familiar",D1730&lt;&gt;"Nómina y honorarios",D1730&lt;&gt;"Renta",D1730&lt;&gt;"Marketing",D1730&lt;&gt;"Servicios y software",D1730&lt;&gt;"Mantenimiento",D1730&lt;&gt;"Otros",D1730&lt;&gt;"Intereses")),"Tipo o categoría inválido",IF(COUNTA(A1730:J1730)=0,"",IF(OR(A1730="",B1730="",C1730="",H1730=""),"Faltan datos",IF(COUNTIF($A$7:$A$2006,A1730)&gt;1,"ID duplicado",IF(OR(B1730&lt;DATE(Configuración!$C$5,1,1),B1730&gt;=DATE(Configuración!$C$5+1,1,1)),"Fecha fuera del año",IF(OR(H1730&lt;0,I1730&lt;0),"Revisar signo",IF(AND(C1730&lt;&gt;"Gasto",I1730&lt;&gt;0),"IVA solo en Gasto",IF(AND(C1730="Gasto",D1730=""),"Falta categoría","OK")))))))))</f>
        <v/>
      </c>
    </row>
    <row r="1731" spans="1:12" ht="22" customHeight="1">
      <c r="A1731" s="3"/>
      <c r="B1731" s="7"/>
      <c r="C1731" s="3"/>
      <c r="D1731" s="3"/>
      <c r="E1731" s="3"/>
      <c r="F1731" s="3"/>
      <c r="G1731" s="3"/>
      <c r="H1731" s="4"/>
      <c r="I1731" s="4"/>
      <c r="J1731" s="3"/>
      <c r="K1731" s="8" t="str">
        <f t="shared" si="26"/>
        <v/>
      </c>
      <c r="L1731" s="1" t="str">
        <f>IF(COUNTA(A1731:J1731)=0,"",IF(OR(AND(C1731&lt;&gt;"Gasto",C1731&lt;&gt;"Pago proveedor",C1731&lt;&gt;"Retiro familiar",C1731&lt;&gt;"Aportación",C1731&lt;&gt;"Pago activo",C1731&lt;&gt;"ISR devengado",C1731&lt;&gt;"Pago ISR",C1731&lt;&gt;"Pago IVA",C1731&lt;&gt;"Compensación ISR",C1731&lt;&gt;"Compensación IVA"),AND(C1731="Gasto",D1731&lt;&gt;"Costos clínicos",D1731&lt;&gt;"Remuneración familiar",D1731&lt;&gt;"Nómina y honorarios",D1731&lt;&gt;"Renta",D1731&lt;&gt;"Marketing",D1731&lt;&gt;"Servicios y software",D1731&lt;&gt;"Mantenimiento",D1731&lt;&gt;"Otros",D1731&lt;&gt;"Intereses")),"Tipo o categoría inválido",IF(COUNTA(A1731:J1731)=0,"",IF(OR(A1731="",B1731="",C1731="",H1731=""),"Faltan datos",IF(COUNTIF($A$7:$A$2006,A1731)&gt;1,"ID duplicado",IF(OR(B1731&lt;DATE(Configuración!$C$5,1,1),B1731&gt;=DATE(Configuración!$C$5+1,1,1)),"Fecha fuera del año",IF(OR(H1731&lt;0,I1731&lt;0),"Revisar signo",IF(AND(C1731&lt;&gt;"Gasto",I1731&lt;&gt;0),"IVA solo en Gasto",IF(AND(C1731="Gasto",D1731=""),"Falta categoría","OK")))))))))</f>
        <v/>
      </c>
    </row>
    <row r="1732" spans="1:12" ht="22" customHeight="1">
      <c r="A1732" s="3"/>
      <c r="B1732" s="7"/>
      <c r="C1732" s="3"/>
      <c r="D1732" s="3"/>
      <c r="E1732" s="3"/>
      <c r="F1732" s="3"/>
      <c r="G1732" s="3"/>
      <c r="H1732" s="4"/>
      <c r="I1732" s="4"/>
      <c r="J1732" s="3"/>
      <c r="K1732" s="8" t="str">
        <f t="shared" si="26"/>
        <v/>
      </c>
      <c r="L1732" s="1" t="str">
        <f>IF(COUNTA(A1732:J1732)=0,"",IF(OR(AND(C1732&lt;&gt;"Gasto",C1732&lt;&gt;"Pago proveedor",C1732&lt;&gt;"Retiro familiar",C1732&lt;&gt;"Aportación",C1732&lt;&gt;"Pago activo",C1732&lt;&gt;"ISR devengado",C1732&lt;&gt;"Pago ISR",C1732&lt;&gt;"Pago IVA",C1732&lt;&gt;"Compensación ISR",C1732&lt;&gt;"Compensación IVA"),AND(C1732="Gasto",D1732&lt;&gt;"Costos clínicos",D1732&lt;&gt;"Remuneración familiar",D1732&lt;&gt;"Nómina y honorarios",D1732&lt;&gt;"Renta",D1732&lt;&gt;"Marketing",D1732&lt;&gt;"Servicios y software",D1732&lt;&gt;"Mantenimiento",D1732&lt;&gt;"Otros",D1732&lt;&gt;"Intereses")),"Tipo o categoría inválido",IF(COUNTA(A1732:J1732)=0,"",IF(OR(A1732="",B1732="",C1732="",H1732=""),"Faltan datos",IF(COUNTIF($A$7:$A$2006,A1732)&gt;1,"ID duplicado",IF(OR(B1732&lt;DATE(Configuración!$C$5,1,1),B1732&gt;=DATE(Configuración!$C$5+1,1,1)),"Fecha fuera del año",IF(OR(H1732&lt;0,I1732&lt;0),"Revisar signo",IF(AND(C1732&lt;&gt;"Gasto",I1732&lt;&gt;0),"IVA solo en Gasto",IF(AND(C1732="Gasto",D1732=""),"Falta categoría","OK")))))))))</f>
        <v/>
      </c>
    </row>
    <row r="1733" spans="1:12" ht="22" customHeight="1">
      <c r="A1733" s="3"/>
      <c r="B1733" s="7"/>
      <c r="C1733" s="3"/>
      <c r="D1733" s="3"/>
      <c r="E1733" s="3"/>
      <c r="F1733" s="3"/>
      <c r="G1733" s="3"/>
      <c r="H1733" s="4"/>
      <c r="I1733" s="4"/>
      <c r="J1733" s="3"/>
      <c r="K1733" s="8" t="str">
        <f t="shared" si="26"/>
        <v/>
      </c>
      <c r="L1733" s="1" t="str">
        <f>IF(COUNTA(A1733:J1733)=0,"",IF(OR(AND(C1733&lt;&gt;"Gasto",C1733&lt;&gt;"Pago proveedor",C1733&lt;&gt;"Retiro familiar",C1733&lt;&gt;"Aportación",C1733&lt;&gt;"Pago activo",C1733&lt;&gt;"ISR devengado",C1733&lt;&gt;"Pago ISR",C1733&lt;&gt;"Pago IVA",C1733&lt;&gt;"Compensación ISR",C1733&lt;&gt;"Compensación IVA"),AND(C1733="Gasto",D1733&lt;&gt;"Costos clínicos",D1733&lt;&gt;"Remuneración familiar",D1733&lt;&gt;"Nómina y honorarios",D1733&lt;&gt;"Renta",D1733&lt;&gt;"Marketing",D1733&lt;&gt;"Servicios y software",D1733&lt;&gt;"Mantenimiento",D1733&lt;&gt;"Otros",D1733&lt;&gt;"Intereses")),"Tipo o categoría inválido",IF(COUNTA(A1733:J1733)=0,"",IF(OR(A1733="",B1733="",C1733="",H1733=""),"Faltan datos",IF(COUNTIF($A$7:$A$2006,A1733)&gt;1,"ID duplicado",IF(OR(B1733&lt;DATE(Configuración!$C$5,1,1),B1733&gt;=DATE(Configuración!$C$5+1,1,1)),"Fecha fuera del año",IF(OR(H1733&lt;0,I1733&lt;0),"Revisar signo",IF(AND(C1733&lt;&gt;"Gasto",I1733&lt;&gt;0),"IVA solo en Gasto",IF(AND(C1733="Gasto",D1733=""),"Falta categoría","OK")))))))))</f>
        <v/>
      </c>
    </row>
    <row r="1734" spans="1:12" ht="22" customHeight="1">
      <c r="A1734" s="3"/>
      <c r="B1734" s="7"/>
      <c r="C1734" s="3"/>
      <c r="D1734" s="3"/>
      <c r="E1734" s="3"/>
      <c r="F1734" s="3"/>
      <c r="G1734" s="3"/>
      <c r="H1734" s="4"/>
      <c r="I1734" s="4"/>
      <c r="J1734" s="3"/>
      <c r="K1734" s="8" t="str">
        <f t="shared" si="26"/>
        <v/>
      </c>
      <c r="L1734" s="1" t="str">
        <f>IF(COUNTA(A1734:J1734)=0,"",IF(OR(AND(C1734&lt;&gt;"Gasto",C1734&lt;&gt;"Pago proveedor",C1734&lt;&gt;"Retiro familiar",C1734&lt;&gt;"Aportación",C1734&lt;&gt;"Pago activo",C1734&lt;&gt;"ISR devengado",C1734&lt;&gt;"Pago ISR",C1734&lt;&gt;"Pago IVA",C1734&lt;&gt;"Compensación ISR",C1734&lt;&gt;"Compensación IVA"),AND(C1734="Gasto",D1734&lt;&gt;"Costos clínicos",D1734&lt;&gt;"Remuneración familiar",D1734&lt;&gt;"Nómina y honorarios",D1734&lt;&gt;"Renta",D1734&lt;&gt;"Marketing",D1734&lt;&gt;"Servicios y software",D1734&lt;&gt;"Mantenimiento",D1734&lt;&gt;"Otros",D1734&lt;&gt;"Intereses")),"Tipo o categoría inválido",IF(COUNTA(A1734:J1734)=0,"",IF(OR(A1734="",B1734="",C1734="",H1734=""),"Faltan datos",IF(COUNTIF($A$7:$A$2006,A1734)&gt;1,"ID duplicado",IF(OR(B1734&lt;DATE(Configuración!$C$5,1,1),B1734&gt;=DATE(Configuración!$C$5+1,1,1)),"Fecha fuera del año",IF(OR(H1734&lt;0,I1734&lt;0),"Revisar signo",IF(AND(C1734&lt;&gt;"Gasto",I1734&lt;&gt;0),"IVA solo en Gasto",IF(AND(C1734="Gasto",D1734=""),"Falta categoría","OK")))))))))</f>
        <v/>
      </c>
    </row>
    <row r="1735" spans="1:12" ht="22" customHeight="1">
      <c r="A1735" s="3"/>
      <c r="B1735" s="7"/>
      <c r="C1735" s="3"/>
      <c r="D1735" s="3"/>
      <c r="E1735" s="3"/>
      <c r="F1735" s="3"/>
      <c r="G1735" s="3"/>
      <c r="H1735" s="4"/>
      <c r="I1735" s="4"/>
      <c r="J1735" s="3"/>
      <c r="K1735" s="8" t="str">
        <f t="shared" ref="K1735:K1798" si="27">IF(A1735="","",H1735+I1735)</f>
        <v/>
      </c>
      <c r="L1735" s="1" t="str">
        <f>IF(COUNTA(A1735:J1735)=0,"",IF(OR(AND(C1735&lt;&gt;"Gasto",C1735&lt;&gt;"Pago proveedor",C1735&lt;&gt;"Retiro familiar",C1735&lt;&gt;"Aportación",C1735&lt;&gt;"Pago activo",C1735&lt;&gt;"ISR devengado",C1735&lt;&gt;"Pago ISR",C1735&lt;&gt;"Pago IVA",C1735&lt;&gt;"Compensación ISR",C1735&lt;&gt;"Compensación IVA"),AND(C1735="Gasto",D1735&lt;&gt;"Costos clínicos",D1735&lt;&gt;"Remuneración familiar",D1735&lt;&gt;"Nómina y honorarios",D1735&lt;&gt;"Renta",D1735&lt;&gt;"Marketing",D1735&lt;&gt;"Servicios y software",D1735&lt;&gt;"Mantenimiento",D1735&lt;&gt;"Otros",D1735&lt;&gt;"Intereses")),"Tipo o categoría inválido",IF(COUNTA(A1735:J1735)=0,"",IF(OR(A1735="",B1735="",C1735="",H1735=""),"Faltan datos",IF(COUNTIF($A$7:$A$2006,A1735)&gt;1,"ID duplicado",IF(OR(B1735&lt;DATE(Configuración!$C$5,1,1),B1735&gt;=DATE(Configuración!$C$5+1,1,1)),"Fecha fuera del año",IF(OR(H1735&lt;0,I1735&lt;0),"Revisar signo",IF(AND(C1735&lt;&gt;"Gasto",I1735&lt;&gt;0),"IVA solo en Gasto",IF(AND(C1735="Gasto",D1735=""),"Falta categoría","OK")))))))))</f>
        <v/>
      </c>
    </row>
    <row r="1736" spans="1:12" ht="22" customHeight="1">
      <c r="A1736" s="3"/>
      <c r="B1736" s="7"/>
      <c r="C1736" s="3"/>
      <c r="D1736" s="3"/>
      <c r="E1736" s="3"/>
      <c r="F1736" s="3"/>
      <c r="G1736" s="3"/>
      <c r="H1736" s="4"/>
      <c r="I1736" s="4"/>
      <c r="J1736" s="3"/>
      <c r="K1736" s="8" t="str">
        <f t="shared" si="27"/>
        <v/>
      </c>
      <c r="L1736" s="1" t="str">
        <f>IF(COUNTA(A1736:J1736)=0,"",IF(OR(AND(C1736&lt;&gt;"Gasto",C1736&lt;&gt;"Pago proveedor",C1736&lt;&gt;"Retiro familiar",C1736&lt;&gt;"Aportación",C1736&lt;&gt;"Pago activo",C1736&lt;&gt;"ISR devengado",C1736&lt;&gt;"Pago ISR",C1736&lt;&gt;"Pago IVA",C1736&lt;&gt;"Compensación ISR",C1736&lt;&gt;"Compensación IVA"),AND(C1736="Gasto",D1736&lt;&gt;"Costos clínicos",D1736&lt;&gt;"Remuneración familiar",D1736&lt;&gt;"Nómina y honorarios",D1736&lt;&gt;"Renta",D1736&lt;&gt;"Marketing",D1736&lt;&gt;"Servicios y software",D1736&lt;&gt;"Mantenimiento",D1736&lt;&gt;"Otros",D1736&lt;&gt;"Intereses")),"Tipo o categoría inválido",IF(COUNTA(A1736:J1736)=0,"",IF(OR(A1736="",B1736="",C1736="",H1736=""),"Faltan datos",IF(COUNTIF($A$7:$A$2006,A1736)&gt;1,"ID duplicado",IF(OR(B1736&lt;DATE(Configuración!$C$5,1,1),B1736&gt;=DATE(Configuración!$C$5+1,1,1)),"Fecha fuera del año",IF(OR(H1736&lt;0,I1736&lt;0),"Revisar signo",IF(AND(C1736&lt;&gt;"Gasto",I1736&lt;&gt;0),"IVA solo en Gasto",IF(AND(C1736="Gasto",D1736=""),"Falta categoría","OK")))))))))</f>
        <v/>
      </c>
    </row>
    <row r="1737" spans="1:12" ht="22" customHeight="1">
      <c r="A1737" s="3"/>
      <c r="B1737" s="7"/>
      <c r="C1737" s="3"/>
      <c r="D1737" s="3"/>
      <c r="E1737" s="3"/>
      <c r="F1737" s="3"/>
      <c r="G1737" s="3"/>
      <c r="H1737" s="4"/>
      <c r="I1737" s="4"/>
      <c r="J1737" s="3"/>
      <c r="K1737" s="8" t="str">
        <f t="shared" si="27"/>
        <v/>
      </c>
      <c r="L1737" s="1" t="str">
        <f>IF(COUNTA(A1737:J1737)=0,"",IF(OR(AND(C1737&lt;&gt;"Gasto",C1737&lt;&gt;"Pago proveedor",C1737&lt;&gt;"Retiro familiar",C1737&lt;&gt;"Aportación",C1737&lt;&gt;"Pago activo",C1737&lt;&gt;"ISR devengado",C1737&lt;&gt;"Pago ISR",C1737&lt;&gt;"Pago IVA",C1737&lt;&gt;"Compensación ISR",C1737&lt;&gt;"Compensación IVA"),AND(C1737="Gasto",D1737&lt;&gt;"Costos clínicos",D1737&lt;&gt;"Remuneración familiar",D1737&lt;&gt;"Nómina y honorarios",D1737&lt;&gt;"Renta",D1737&lt;&gt;"Marketing",D1737&lt;&gt;"Servicios y software",D1737&lt;&gt;"Mantenimiento",D1737&lt;&gt;"Otros",D1737&lt;&gt;"Intereses")),"Tipo o categoría inválido",IF(COUNTA(A1737:J1737)=0,"",IF(OR(A1737="",B1737="",C1737="",H1737=""),"Faltan datos",IF(COUNTIF($A$7:$A$2006,A1737)&gt;1,"ID duplicado",IF(OR(B1737&lt;DATE(Configuración!$C$5,1,1),B1737&gt;=DATE(Configuración!$C$5+1,1,1)),"Fecha fuera del año",IF(OR(H1737&lt;0,I1737&lt;0),"Revisar signo",IF(AND(C1737&lt;&gt;"Gasto",I1737&lt;&gt;0),"IVA solo en Gasto",IF(AND(C1737="Gasto",D1737=""),"Falta categoría","OK")))))))))</f>
        <v/>
      </c>
    </row>
    <row r="1738" spans="1:12" ht="22" customHeight="1">
      <c r="A1738" s="3"/>
      <c r="B1738" s="7"/>
      <c r="C1738" s="3"/>
      <c r="D1738" s="3"/>
      <c r="E1738" s="3"/>
      <c r="F1738" s="3"/>
      <c r="G1738" s="3"/>
      <c r="H1738" s="4"/>
      <c r="I1738" s="4"/>
      <c r="J1738" s="3"/>
      <c r="K1738" s="8" t="str">
        <f t="shared" si="27"/>
        <v/>
      </c>
      <c r="L1738" s="1" t="str">
        <f>IF(COUNTA(A1738:J1738)=0,"",IF(OR(AND(C1738&lt;&gt;"Gasto",C1738&lt;&gt;"Pago proveedor",C1738&lt;&gt;"Retiro familiar",C1738&lt;&gt;"Aportación",C1738&lt;&gt;"Pago activo",C1738&lt;&gt;"ISR devengado",C1738&lt;&gt;"Pago ISR",C1738&lt;&gt;"Pago IVA",C1738&lt;&gt;"Compensación ISR",C1738&lt;&gt;"Compensación IVA"),AND(C1738="Gasto",D1738&lt;&gt;"Costos clínicos",D1738&lt;&gt;"Remuneración familiar",D1738&lt;&gt;"Nómina y honorarios",D1738&lt;&gt;"Renta",D1738&lt;&gt;"Marketing",D1738&lt;&gt;"Servicios y software",D1738&lt;&gt;"Mantenimiento",D1738&lt;&gt;"Otros",D1738&lt;&gt;"Intereses")),"Tipo o categoría inválido",IF(COUNTA(A1738:J1738)=0,"",IF(OR(A1738="",B1738="",C1738="",H1738=""),"Faltan datos",IF(COUNTIF($A$7:$A$2006,A1738)&gt;1,"ID duplicado",IF(OR(B1738&lt;DATE(Configuración!$C$5,1,1),B1738&gt;=DATE(Configuración!$C$5+1,1,1)),"Fecha fuera del año",IF(OR(H1738&lt;0,I1738&lt;0),"Revisar signo",IF(AND(C1738&lt;&gt;"Gasto",I1738&lt;&gt;0),"IVA solo en Gasto",IF(AND(C1738="Gasto",D1738=""),"Falta categoría","OK")))))))))</f>
        <v/>
      </c>
    </row>
    <row r="1739" spans="1:12" ht="22" customHeight="1">
      <c r="A1739" s="3"/>
      <c r="B1739" s="7"/>
      <c r="C1739" s="3"/>
      <c r="D1739" s="3"/>
      <c r="E1739" s="3"/>
      <c r="F1739" s="3"/>
      <c r="G1739" s="3"/>
      <c r="H1739" s="4"/>
      <c r="I1739" s="4"/>
      <c r="J1739" s="3"/>
      <c r="K1739" s="8" t="str">
        <f t="shared" si="27"/>
        <v/>
      </c>
      <c r="L1739" s="1" t="str">
        <f>IF(COUNTA(A1739:J1739)=0,"",IF(OR(AND(C1739&lt;&gt;"Gasto",C1739&lt;&gt;"Pago proveedor",C1739&lt;&gt;"Retiro familiar",C1739&lt;&gt;"Aportación",C1739&lt;&gt;"Pago activo",C1739&lt;&gt;"ISR devengado",C1739&lt;&gt;"Pago ISR",C1739&lt;&gt;"Pago IVA",C1739&lt;&gt;"Compensación ISR",C1739&lt;&gt;"Compensación IVA"),AND(C1739="Gasto",D1739&lt;&gt;"Costos clínicos",D1739&lt;&gt;"Remuneración familiar",D1739&lt;&gt;"Nómina y honorarios",D1739&lt;&gt;"Renta",D1739&lt;&gt;"Marketing",D1739&lt;&gt;"Servicios y software",D1739&lt;&gt;"Mantenimiento",D1739&lt;&gt;"Otros",D1739&lt;&gt;"Intereses")),"Tipo o categoría inválido",IF(COUNTA(A1739:J1739)=0,"",IF(OR(A1739="",B1739="",C1739="",H1739=""),"Faltan datos",IF(COUNTIF($A$7:$A$2006,A1739)&gt;1,"ID duplicado",IF(OR(B1739&lt;DATE(Configuración!$C$5,1,1),B1739&gt;=DATE(Configuración!$C$5+1,1,1)),"Fecha fuera del año",IF(OR(H1739&lt;0,I1739&lt;0),"Revisar signo",IF(AND(C1739&lt;&gt;"Gasto",I1739&lt;&gt;0),"IVA solo en Gasto",IF(AND(C1739="Gasto",D1739=""),"Falta categoría","OK")))))))))</f>
        <v/>
      </c>
    </row>
    <row r="1740" spans="1:12" ht="22" customHeight="1">
      <c r="A1740" s="3"/>
      <c r="B1740" s="7"/>
      <c r="C1740" s="3"/>
      <c r="D1740" s="3"/>
      <c r="E1740" s="3"/>
      <c r="F1740" s="3"/>
      <c r="G1740" s="3"/>
      <c r="H1740" s="4"/>
      <c r="I1740" s="4"/>
      <c r="J1740" s="3"/>
      <c r="K1740" s="8" t="str">
        <f t="shared" si="27"/>
        <v/>
      </c>
      <c r="L1740" s="1" t="str">
        <f>IF(COUNTA(A1740:J1740)=0,"",IF(OR(AND(C1740&lt;&gt;"Gasto",C1740&lt;&gt;"Pago proveedor",C1740&lt;&gt;"Retiro familiar",C1740&lt;&gt;"Aportación",C1740&lt;&gt;"Pago activo",C1740&lt;&gt;"ISR devengado",C1740&lt;&gt;"Pago ISR",C1740&lt;&gt;"Pago IVA",C1740&lt;&gt;"Compensación ISR",C1740&lt;&gt;"Compensación IVA"),AND(C1740="Gasto",D1740&lt;&gt;"Costos clínicos",D1740&lt;&gt;"Remuneración familiar",D1740&lt;&gt;"Nómina y honorarios",D1740&lt;&gt;"Renta",D1740&lt;&gt;"Marketing",D1740&lt;&gt;"Servicios y software",D1740&lt;&gt;"Mantenimiento",D1740&lt;&gt;"Otros",D1740&lt;&gt;"Intereses")),"Tipo o categoría inválido",IF(COUNTA(A1740:J1740)=0,"",IF(OR(A1740="",B1740="",C1740="",H1740=""),"Faltan datos",IF(COUNTIF($A$7:$A$2006,A1740)&gt;1,"ID duplicado",IF(OR(B1740&lt;DATE(Configuración!$C$5,1,1),B1740&gt;=DATE(Configuración!$C$5+1,1,1)),"Fecha fuera del año",IF(OR(H1740&lt;0,I1740&lt;0),"Revisar signo",IF(AND(C1740&lt;&gt;"Gasto",I1740&lt;&gt;0),"IVA solo en Gasto",IF(AND(C1740="Gasto",D1740=""),"Falta categoría","OK")))))))))</f>
        <v/>
      </c>
    </row>
    <row r="1741" spans="1:12" ht="22" customHeight="1">
      <c r="A1741" s="3"/>
      <c r="B1741" s="7"/>
      <c r="C1741" s="3"/>
      <c r="D1741" s="3"/>
      <c r="E1741" s="3"/>
      <c r="F1741" s="3"/>
      <c r="G1741" s="3"/>
      <c r="H1741" s="4"/>
      <c r="I1741" s="4"/>
      <c r="J1741" s="3"/>
      <c r="K1741" s="8" t="str">
        <f t="shared" si="27"/>
        <v/>
      </c>
      <c r="L1741" s="1" t="str">
        <f>IF(COUNTA(A1741:J1741)=0,"",IF(OR(AND(C1741&lt;&gt;"Gasto",C1741&lt;&gt;"Pago proveedor",C1741&lt;&gt;"Retiro familiar",C1741&lt;&gt;"Aportación",C1741&lt;&gt;"Pago activo",C1741&lt;&gt;"ISR devengado",C1741&lt;&gt;"Pago ISR",C1741&lt;&gt;"Pago IVA",C1741&lt;&gt;"Compensación ISR",C1741&lt;&gt;"Compensación IVA"),AND(C1741="Gasto",D1741&lt;&gt;"Costos clínicos",D1741&lt;&gt;"Remuneración familiar",D1741&lt;&gt;"Nómina y honorarios",D1741&lt;&gt;"Renta",D1741&lt;&gt;"Marketing",D1741&lt;&gt;"Servicios y software",D1741&lt;&gt;"Mantenimiento",D1741&lt;&gt;"Otros",D1741&lt;&gt;"Intereses")),"Tipo o categoría inválido",IF(COUNTA(A1741:J1741)=0,"",IF(OR(A1741="",B1741="",C1741="",H1741=""),"Faltan datos",IF(COUNTIF($A$7:$A$2006,A1741)&gt;1,"ID duplicado",IF(OR(B1741&lt;DATE(Configuración!$C$5,1,1),B1741&gt;=DATE(Configuración!$C$5+1,1,1)),"Fecha fuera del año",IF(OR(H1741&lt;0,I1741&lt;0),"Revisar signo",IF(AND(C1741&lt;&gt;"Gasto",I1741&lt;&gt;0),"IVA solo en Gasto",IF(AND(C1741="Gasto",D1741=""),"Falta categoría","OK")))))))))</f>
        <v/>
      </c>
    </row>
    <row r="1742" spans="1:12" ht="22" customHeight="1">
      <c r="A1742" s="3"/>
      <c r="B1742" s="7"/>
      <c r="C1742" s="3"/>
      <c r="D1742" s="3"/>
      <c r="E1742" s="3"/>
      <c r="F1742" s="3"/>
      <c r="G1742" s="3"/>
      <c r="H1742" s="4"/>
      <c r="I1742" s="4"/>
      <c r="J1742" s="3"/>
      <c r="K1742" s="8" t="str">
        <f t="shared" si="27"/>
        <v/>
      </c>
      <c r="L1742" s="1" t="str">
        <f>IF(COUNTA(A1742:J1742)=0,"",IF(OR(AND(C1742&lt;&gt;"Gasto",C1742&lt;&gt;"Pago proveedor",C1742&lt;&gt;"Retiro familiar",C1742&lt;&gt;"Aportación",C1742&lt;&gt;"Pago activo",C1742&lt;&gt;"ISR devengado",C1742&lt;&gt;"Pago ISR",C1742&lt;&gt;"Pago IVA",C1742&lt;&gt;"Compensación ISR",C1742&lt;&gt;"Compensación IVA"),AND(C1742="Gasto",D1742&lt;&gt;"Costos clínicos",D1742&lt;&gt;"Remuneración familiar",D1742&lt;&gt;"Nómina y honorarios",D1742&lt;&gt;"Renta",D1742&lt;&gt;"Marketing",D1742&lt;&gt;"Servicios y software",D1742&lt;&gt;"Mantenimiento",D1742&lt;&gt;"Otros",D1742&lt;&gt;"Intereses")),"Tipo o categoría inválido",IF(COUNTA(A1742:J1742)=0,"",IF(OR(A1742="",B1742="",C1742="",H1742=""),"Faltan datos",IF(COUNTIF($A$7:$A$2006,A1742)&gt;1,"ID duplicado",IF(OR(B1742&lt;DATE(Configuración!$C$5,1,1),B1742&gt;=DATE(Configuración!$C$5+1,1,1)),"Fecha fuera del año",IF(OR(H1742&lt;0,I1742&lt;0),"Revisar signo",IF(AND(C1742&lt;&gt;"Gasto",I1742&lt;&gt;0),"IVA solo en Gasto",IF(AND(C1742="Gasto",D1742=""),"Falta categoría","OK")))))))))</f>
        <v/>
      </c>
    </row>
    <row r="1743" spans="1:12" ht="22" customHeight="1">
      <c r="A1743" s="3"/>
      <c r="B1743" s="7"/>
      <c r="C1743" s="3"/>
      <c r="D1743" s="3"/>
      <c r="E1743" s="3"/>
      <c r="F1743" s="3"/>
      <c r="G1743" s="3"/>
      <c r="H1743" s="4"/>
      <c r="I1743" s="4"/>
      <c r="J1743" s="3"/>
      <c r="K1743" s="8" t="str">
        <f t="shared" si="27"/>
        <v/>
      </c>
      <c r="L1743" s="1" t="str">
        <f>IF(COUNTA(A1743:J1743)=0,"",IF(OR(AND(C1743&lt;&gt;"Gasto",C1743&lt;&gt;"Pago proveedor",C1743&lt;&gt;"Retiro familiar",C1743&lt;&gt;"Aportación",C1743&lt;&gt;"Pago activo",C1743&lt;&gt;"ISR devengado",C1743&lt;&gt;"Pago ISR",C1743&lt;&gt;"Pago IVA",C1743&lt;&gt;"Compensación ISR",C1743&lt;&gt;"Compensación IVA"),AND(C1743="Gasto",D1743&lt;&gt;"Costos clínicos",D1743&lt;&gt;"Remuneración familiar",D1743&lt;&gt;"Nómina y honorarios",D1743&lt;&gt;"Renta",D1743&lt;&gt;"Marketing",D1743&lt;&gt;"Servicios y software",D1743&lt;&gt;"Mantenimiento",D1743&lt;&gt;"Otros",D1743&lt;&gt;"Intereses")),"Tipo o categoría inválido",IF(COUNTA(A1743:J1743)=0,"",IF(OR(A1743="",B1743="",C1743="",H1743=""),"Faltan datos",IF(COUNTIF($A$7:$A$2006,A1743)&gt;1,"ID duplicado",IF(OR(B1743&lt;DATE(Configuración!$C$5,1,1),B1743&gt;=DATE(Configuración!$C$5+1,1,1)),"Fecha fuera del año",IF(OR(H1743&lt;0,I1743&lt;0),"Revisar signo",IF(AND(C1743&lt;&gt;"Gasto",I1743&lt;&gt;0),"IVA solo en Gasto",IF(AND(C1743="Gasto",D1743=""),"Falta categoría","OK")))))))))</f>
        <v/>
      </c>
    </row>
    <row r="1744" spans="1:12" ht="22" customHeight="1">
      <c r="A1744" s="3"/>
      <c r="B1744" s="7"/>
      <c r="C1744" s="3"/>
      <c r="D1744" s="3"/>
      <c r="E1744" s="3"/>
      <c r="F1744" s="3"/>
      <c r="G1744" s="3"/>
      <c r="H1744" s="4"/>
      <c r="I1744" s="4"/>
      <c r="J1744" s="3"/>
      <c r="K1744" s="8" t="str">
        <f t="shared" si="27"/>
        <v/>
      </c>
      <c r="L1744" s="1" t="str">
        <f>IF(COUNTA(A1744:J1744)=0,"",IF(OR(AND(C1744&lt;&gt;"Gasto",C1744&lt;&gt;"Pago proveedor",C1744&lt;&gt;"Retiro familiar",C1744&lt;&gt;"Aportación",C1744&lt;&gt;"Pago activo",C1744&lt;&gt;"ISR devengado",C1744&lt;&gt;"Pago ISR",C1744&lt;&gt;"Pago IVA",C1744&lt;&gt;"Compensación ISR",C1744&lt;&gt;"Compensación IVA"),AND(C1744="Gasto",D1744&lt;&gt;"Costos clínicos",D1744&lt;&gt;"Remuneración familiar",D1744&lt;&gt;"Nómina y honorarios",D1744&lt;&gt;"Renta",D1744&lt;&gt;"Marketing",D1744&lt;&gt;"Servicios y software",D1744&lt;&gt;"Mantenimiento",D1744&lt;&gt;"Otros",D1744&lt;&gt;"Intereses")),"Tipo o categoría inválido",IF(COUNTA(A1744:J1744)=0,"",IF(OR(A1744="",B1744="",C1744="",H1744=""),"Faltan datos",IF(COUNTIF($A$7:$A$2006,A1744)&gt;1,"ID duplicado",IF(OR(B1744&lt;DATE(Configuración!$C$5,1,1),B1744&gt;=DATE(Configuración!$C$5+1,1,1)),"Fecha fuera del año",IF(OR(H1744&lt;0,I1744&lt;0),"Revisar signo",IF(AND(C1744&lt;&gt;"Gasto",I1744&lt;&gt;0),"IVA solo en Gasto",IF(AND(C1744="Gasto",D1744=""),"Falta categoría","OK")))))))))</f>
        <v/>
      </c>
    </row>
    <row r="1745" spans="1:12" ht="22" customHeight="1">
      <c r="A1745" s="3"/>
      <c r="B1745" s="7"/>
      <c r="C1745" s="3"/>
      <c r="D1745" s="3"/>
      <c r="E1745" s="3"/>
      <c r="F1745" s="3"/>
      <c r="G1745" s="3"/>
      <c r="H1745" s="4"/>
      <c r="I1745" s="4"/>
      <c r="J1745" s="3"/>
      <c r="K1745" s="8" t="str">
        <f t="shared" si="27"/>
        <v/>
      </c>
      <c r="L1745" s="1" t="str">
        <f>IF(COUNTA(A1745:J1745)=0,"",IF(OR(AND(C1745&lt;&gt;"Gasto",C1745&lt;&gt;"Pago proveedor",C1745&lt;&gt;"Retiro familiar",C1745&lt;&gt;"Aportación",C1745&lt;&gt;"Pago activo",C1745&lt;&gt;"ISR devengado",C1745&lt;&gt;"Pago ISR",C1745&lt;&gt;"Pago IVA",C1745&lt;&gt;"Compensación ISR",C1745&lt;&gt;"Compensación IVA"),AND(C1745="Gasto",D1745&lt;&gt;"Costos clínicos",D1745&lt;&gt;"Remuneración familiar",D1745&lt;&gt;"Nómina y honorarios",D1745&lt;&gt;"Renta",D1745&lt;&gt;"Marketing",D1745&lt;&gt;"Servicios y software",D1745&lt;&gt;"Mantenimiento",D1745&lt;&gt;"Otros",D1745&lt;&gt;"Intereses")),"Tipo o categoría inválido",IF(COUNTA(A1745:J1745)=0,"",IF(OR(A1745="",B1745="",C1745="",H1745=""),"Faltan datos",IF(COUNTIF($A$7:$A$2006,A1745)&gt;1,"ID duplicado",IF(OR(B1745&lt;DATE(Configuración!$C$5,1,1),B1745&gt;=DATE(Configuración!$C$5+1,1,1)),"Fecha fuera del año",IF(OR(H1745&lt;0,I1745&lt;0),"Revisar signo",IF(AND(C1745&lt;&gt;"Gasto",I1745&lt;&gt;0),"IVA solo en Gasto",IF(AND(C1745="Gasto",D1745=""),"Falta categoría","OK")))))))))</f>
        <v/>
      </c>
    </row>
    <row r="1746" spans="1:12" ht="22" customHeight="1">
      <c r="A1746" s="3"/>
      <c r="B1746" s="7"/>
      <c r="C1746" s="3"/>
      <c r="D1746" s="3"/>
      <c r="E1746" s="3"/>
      <c r="F1746" s="3"/>
      <c r="G1746" s="3"/>
      <c r="H1746" s="4"/>
      <c r="I1746" s="4"/>
      <c r="J1746" s="3"/>
      <c r="K1746" s="8" t="str">
        <f t="shared" si="27"/>
        <v/>
      </c>
      <c r="L1746" s="1" t="str">
        <f>IF(COUNTA(A1746:J1746)=0,"",IF(OR(AND(C1746&lt;&gt;"Gasto",C1746&lt;&gt;"Pago proveedor",C1746&lt;&gt;"Retiro familiar",C1746&lt;&gt;"Aportación",C1746&lt;&gt;"Pago activo",C1746&lt;&gt;"ISR devengado",C1746&lt;&gt;"Pago ISR",C1746&lt;&gt;"Pago IVA",C1746&lt;&gt;"Compensación ISR",C1746&lt;&gt;"Compensación IVA"),AND(C1746="Gasto",D1746&lt;&gt;"Costos clínicos",D1746&lt;&gt;"Remuneración familiar",D1746&lt;&gt;"Nómina y honorarios",D1746&lt;&gt;"Renta",D1746&lt;&gt;"Marketing",D1746&lt;&gt;"Servicios y software",D1746&lt;&gt;"Mantenimiento",D1746&lt;&gt;"Otros",D1746&lt;&gt;"Intereses")),"Tipo o categoría inválido",IF(COUNTA(A1746:J1746)=0,"",IF(OR(A1746="",B1746="",C1746="",H1746=""),"Faltan datos",IF(COUNTIF($A$7:$A$2006,A1746)&gt;1,"ID duplicado",IF(OR(B1746&lt;DATE(Configuración!$C$5,1,1),B1746&gt;=DATE(Configuración!$C$5+1,1,1)),"Fecha fuera del año",IF(OR(H1746&lt;0,I1746&lt;0),"Revisar signo",IF(AND(C1746&lt;&gt;"Gasto",I1746&lt;&gt;0),"IVA solo en Gasto",IF(AND(C1746="Gasto",D1746=""),"Falta categoría","OK")))))))))</f>
        <v/>
      </c>
    </row>
    <row r="1747" spans="1:12" ht="22" customHeight="1">
      <c r="A1747" s="3"/>
      <c r="B1747" s="7"/>
      <c r="C1747" s="3"/>
      <c r="D1747" s="3"/>
      <c r="E1747" s="3"/>
      <c r="F1747" s="3"/>
      <c r="G1747" s="3"/>
      <c r="H1747" s="4"/>
      <c r="I1747" s="4"/>
      <c r="J1747" s="3"/>
      <c r="K1747" s="8" t="str">
        <f t="shared" si="27"/>
        <v/>
      </c>
      <c r="L1747" s="1" t="str">
        <f>IF(COUNTA(A1747:J1747)=0,"",IF(OR(AND(C1747&lt;&gt;"Gasto",C1747&lt;&gt;"Pago proveedor",C1747&lt;&gt;"Retiro familiar",C1747&lt;&gt;"Aportación",C1747&lt;&gt;"Pago activo",C1747&lt;&gt;"ISR devengado",C1747&lt;&gt;"Pago ISR",C1747&lt;&gt;"Pago IVA",C1747&lt;&gt;"Compensación ISR",C1747&lt;&gt;"Compensación IVA"),AND(C1747="Gasto",D1747&lt;&gt;"Costos clínicos",D1747&lt;&gt;"Remuneración familiar",D1747&lt;&gt;"Nómina y honorarios",D1747&lt;&gt;"Renta",D1747&lt;&gt;"Marketing",D1747&lt;&gt;"Servicios y software",D1747&lt;&gt;"Mantenimiento",D1747&lt;&gt;"Otros",D1747&lt;&gt;"Intereses")),"Tipo o categoría inválido",IF(COUNTA(A1747:J1747)=0,"",IF(OR(A1747="",B1747="",C1747="",H1747=""),"Faltan datos",IF(COUNTIF($A$7:$A$2006,A1747)&gt;1,"ID duplicado",IF(OR(B1747&lt;DATE(Configuración!$C$5,1,1),B1747&gt;=DATE(Configuración!$C$5+1,1,1)),"Fecha fuera del año",IF(OR(H1747&lt;0,I1747&lt;0),"Revisar signo",IF(AND(C1747&lt;&gt;"Gasto",I1747&lt;&gt;0),"IVA solo en Gasto",IF(AND(C1747="Gasto",D1747=""),"Falta categoría","OK")))))))))</f>
        <v/>
      </c>
    </row>
    <row r="1748" spans="1:12" ht="22" customHeight="1">
      <c r="A1748" s="3"/>
      <c r="B1748" s="7"/>
      <c r="C1748" s="3"/>
      <c r="D1748" s="3"/>
      <c r="E1748" s="3"/>
      <c r="F1748" s="3"/>
      <c r="G1748" s="3"/>
      <c r="H1748" s="4"/>
      <c r="I1748" s="4"/>
      <c r="J1748" s="3"/>
      <c r="K1748" s="8" t="str">
        <f t="shared" si="27"/>
        <v/>
      </c>
      <c r="L1748" s="1" t="str">
        <f>IF(COUNTA(A1748:J1748)=0,"",IF(OR(AND(C1748&lt;&gt;"Gasto",C1748&lt;&gt;"Pago proveedor",C1748&lt;&gt;"Retiro familiar",C1748&lt;&gt;"Aportación",C1748&lt;&gt;"Pago activo",C1748&lt;&gt;"ISR devengado",C1748&lt;&gt;"Pago ISR",C1748&lt;&gt;"Pago IVA",C1748&lt;&gt;"Compensación ISR",C1748&lt;&gt;"Compensación IVA"),AND(C1748="Gasto",D1748&lt;&gt;"Costos clínicos",D1748&lt;&gt;"Remuneración familiar",D1748&lt;&gt;"Nómina y honorarios",D1748&lt;&gt;"Renta",D1748&lt;&gt;"Marketing",D1748&lt;&gt;"Servicios y software",D1748&lt;&gt;"Mantenimiento",D1748&lt;&gt;"Otros",D1748&lt;&gt;"Intereses")),"Tipo o categoría inválido",IF(COUNTA(A1748:J1748)=0,"",IF(OR(A1748="",B1748="",C1748="",H1748=""),"Faltan datos",IF(COUNTIF($A$7:$A$2006,A1748)&gt;1,"ID duplicado",IF(OR(B1748&lt;DATE(Configuración!$C$5,1,1),B1748&gt;=DATE(Configuración!$C$5+1,1,1)),"Fecha fuera del año",IF(OR(H1748&lt;0,I1748&lt;0),"Revisar signo",IF(AND(C1748&lt;&gt;"Gasto",I1748&lt;&gt;0),"IVA solo en Gasto",IF(AND(C1748="Gasto",D1748=""),"Falta categoría","OK")))))))))</f>
        <v/>
      </c>
    </row>
    <row r="1749" spans="1:12" ht="22" customHeight="1">
      <c r="A1749" s="3"/>
      <c r="B1749" s="7"/>
      <c r="C1749" s="3"/>
      <c r="D1749" s="3"/>
      <c r="E1749" s="3"/>
      <c r="F1749" s="3"/>
      <c r="G1749" s="3"/>
      <c r="H1749" s="4"/>
      <c r="I1749" s="4"/>
      <c r="J1749" s="3"/>
      <c r="K1749" s="8" t="str">
        <f t="shared" si="27"/>
        <v/>
      </c>
      <c r="L1749" s="1" t="str">
        <f>IF(COUNTA(A1749:J1749)=0,"",IF(OR(AND(C1749&lt;&gt;"Gasto",C1749&lt;&gt;"Pago proveedor",C1749&lt;&gt;"Retiro familiar",C1749&lt;&gt;"Aportación",C1749&lt;&gt;"Pago activo",C1749&lt;&gt;"ISR devengado",C1749&lt;&gt;"Pago ISR",C1749&lt;&gt;"Pago IVA",C1749&lt;&gt;"Compensación ISR",C1749&lt;&gt;"Compensación IVA"),AND(C1749="Gasto",D1749&lt;&gt;"Costos clínicos",D1749&lt;&gt;"Remuneración familiar",D1749&lt;&gt;"Nómina y honorarios",D1749&lt;&gt;"Renta",D1749&lt;&gt;"Marketing",D1749&lt;&gt;"Servicios y software",D1749&lt;&gt;"Mantenimiento",D1749&lt;&gt;"Otros",D1749&lt;&gt;"Intereses")),"Tipo o categoría inválido",IF(COUNTA(A1749:J1749)=0,"",IF(OR(A1749="",B1749="",C1749="",H1749=""),"Faltan datos",IF(COUNTIF($A$7:$A$2006,A1749)&gt;1,"ID duplicado",IF(OR(B1749&lt;DATE(Configuración!$C$5,1,1),B1749&gt;=DATE(Configuración!$C$5+1,1,1)),"Fecha fuera del año",IF(OR(H1749&lt;0,I1749&lt;0),"Revisar signo",IF(AND(C1749&lt;&gt;"Gasto",I1749&lt;&gt;0),"IVA solo en Gasto",IF(AND(C1749="Gasto",D1749=""),"Falta categoría","OK")))))))))</f>
        <v/>
      </c>
    </row>
    <row r="1750" spans="1:12" ht="22" customHeight="1">
      <c r="A1750" s="3"/>
      <c r="B1750" s="7"/>
      <c r="C1750" s="3"/>
      <c r="D1750" s="3"/>
      <c r="E1750" s="3"/>
      <c r="F1750" s="3"/>
      <c r="G1750" s="3"/>
      <c r="H1750" s="4"/>
      <c r="I1750" s="4"/>
      <c r="J1750" s="3"/>
      <c r="K1750" s="8" t="str">
        <f t="shared" si="27"/>
        <v/>
      </c>
      <c r="L1750" s="1" t="str">
        <f>IF(COUNTA(A1750:J1750)=0,"",IF(OR(AND(C1750&lt;&gt;"Gasto",C1750&lt;&gt;"Pago proveedor",C1750&lt;&gt;"Retiro familiar",C1750&lt;&gt;"Aportación",C1750&lt;&gt;"Pago activo",C1750&lt;&gt;"ISR devengado",C1750&lt;&gt;"Pago ISR",C1750&lt;&gt;"Pago IVA",C1750&lt;&gt;"Compensación ISR",C1750&lt;&gt;"Compensación IVA"),AND(C1750="Gasto",D1750&lt;&gt;"Costos clínicos",D1750&lt;&gt;"Remuneración familiar",D1750&lt;&gt;"Nómina y honorarios",D1750&lt;&gt;"Renta",D1750&lt;&gt;"Marketing",D1750&lt;&gt;"Servicios y software",D1750&lt;&gt;"Mantenimiento",D1750&lt;&gt;"Otros",D1750&lt;&gt;"Intereses")),"Tipo o categoría inválido",IF(COUNTA(A1750:J1750)=0,"",IF(OR(A1750="",B1750="",C1750="",H1750=""),"Faltan datos",IF(COUNTIF($A$7:$A$2006,A1750)&gt;1,"ID duplicado",IF(OR(B1750&lt;DATE(Configuración!$C$5,1,1),B1750&gt;=DATE(Configuración!$C$5+1,1,1)),"Fecha fuera del año",IF(OR(H1750&lt;0,I1750&lt;0),"Revisar signo",IF(AND(C1750&lt;&gt;"Gasto",I1750&lt;&gt;0),"IVA solo en Gasto",IF(AND(C1750="Gasto",D1750=""),"Falta categoría","OK")))))))))</f>
        <v/>
      </c>
    </row>
    <row r="1751" spans="1:12" ht="22" customHeight="1">
      <c r="A1751" s="3"/>
      <c r="B1751" s="7"/>
      <c r="C1751" s="3"/>
      <c r="D1751" s="3"/>
      <c r="E1751" s="3"/>
      <c r="F1751" s="3"/>
      <c r="G1751" s="3"/>
      <c r="H1751" s="4"/>
      <c r="I1751" s="4"/>
      <c r="J1751" s="3"/>
      <c r="K1751" s="8" t="str">
        <f t="shared" si="27"/>
        <v/>
      </c>
      <c r="L1751" s="1" t="str">
        <f>IF(COUNTA(A1751:J1751)=0,"",IF(OR(AND(C1751&lt;&gt;"Gasto",C1751&lt;&gt;"Pago proveedor",C1751&lt;&gt;"Retiro familiar",C1751&lt;&gt;"Aportación",C1751&lt;&gt;"Pago activo",C1751&lt;&gt;"ISR devengado",C1751&lt;&gt;"Pago ISR",C1751&lt;&gt;"Pago IVA",C1751&lt;&gt;"Compensación ISR",C1751&lt;&gt;"Compensación IVA"),AND(C1751="Gasto",D1751&lt;&gt;"Costos clínicos",D1751&lt;&gt;"Remuneración familiar",D1751&lt;&gt;"Nómina y honorarios",D1751&lt;&gt;"Renta",D1751&lt;&gt;"Marketing",D1751&lt;&gt;"Servicios y software",D1751&lt;&gt;"Mantenimiento",D1751&lt;&gt;"Otros",D1751&lt;&gt;"Intereses")),"Tipo o categoría inválido",IF(COUNTA(A1751:J1751)=0,"",IF(OR(A1751="",B1751="",C1751="",H1751=""),"Faltan datos",IF(COUNTIF($A$7:$A$2006,A1751)&gt;1,"ID duplicado",IF(OR(B1751&lt;DATE(Configuración!$C$5,1,1),B1751&gt;=DATE(Configuración!$C$5+1,1,1)),"Fecha fuera del año",IF(OR(H1751&lt;0,I1751&lt;0),"Revisar signo",IF(AND(C1751&lt;&gt;"Gasto",I1751&lt;&gt;0),"IVA solo en Gasto",IF(AND(C1751="Gasto",D1751=""),"Falta categoría","OK")))))))))</f>
        <v/>
      </c>
    </row>
    <row r="1752" spans="1:12" ht="22" customHeight="1">
      <c r="A1752" s="3"/>
      <c r="B1752" s="7"/>
      <c r="C1752" s="3"/>
      <c r="D1752" s="3"/>
      <c r="E1752" s="3"/>
      <c r="F1752" s="3"/>
      <c r="G1752" s="3"/>
      <c r="H1752" s="4"/>
      <c r="I1752" s="4"/>
      <c r="J1752" s="3"/>
      <c r="K1752" s="8" t="str">
        <f t="shared" si="27"/>
        <v/>
      </c>
      <c r="L1752" s="1" t="str">
        <f>IF(COUNTA(A1752:J1752)=0,"",IF(OR(AND(C1752&lt;&gt;"Gasto",C1752&lt;&gt;"Pago proveedor",C1752&lt;&gt;"Retiro familiar",C1752&lt;&gt;"Aportación",C1752&lt;&gt;"Pago activo",C1752&lt;&gt;"ISR devengado",C1752&lt;&gt;"Pago ISR",C1752&lt;&gt;"Pago IVA",C1752&lt;&gt;"Compensación ISR",C1752&lt;&gt;"Compensación IVA"),AND(C1752="Gasto",D1752&lt;&gt;"Costos clínicos",D1752&lt;&gt;"Remuneración familiar",D1752&lt;&gt;"Nómina y honorarios",D1752&lt;&gt;"Renta",D1752&lt;&gt;"Marketing",D1752&lt;&gt;"Servicios y software",D1752&lt;&gt;"Mantenimiento",D1752&lt;&gt;"Otros",D1752&lt;&gt;"Intereses")),"Tipo o categoría inválido",IF(COUNTA(A1752:J1752)=0,"",IF(OR(A1752="",B1752="",C1752="",H1752=""),"Faltan datos",IF(COUNTIF($A$7:$A$2006,A1752)&gt;1,"ID duplicado",IF(OR(B1752&lt;DATE(Configuración!$C$5,1,1),B1752&gt;=DATE(Configuración!$C$5+1,1,1)),"Fecha fuera del año",IF(OR(H1752&lt;0,I1752&lt;0),"Revisar signo",IF(AND(C1752&lt;&gt;"Gasto",I1752&lt;&gt;0),"IVA solo en Gasto",IF(AND(C1752="Gasto",D1752=""),"Falta categoría","OK")))))))))</f>
        <v/>
      </c>
    </row>
    <row r="1753" spans="1:12" ht="22" customHeight="1">
      <c r="A1753" s="3"/>
      <c r="B1753" s="7"/>
      <c r="C1753" s="3"/>
      <c r="D1753" s="3"/>
      <c r="E1753" s="3"/>
      <c r="F1753" s="3"/>
      <c r="G1753" s="3"/>
      <c r="H1753" s="4"/>
      <c r="I1753" s="4"/>
      <c r="J1753" s="3"/>
      <c r="K1753" s="8" t="str">
        <f t="shared" si="27"/>
        <v/>
      </c>
      <c r="L1753" s="1" t="str">
        <f>IF(COUNTA(A1753:J1753)=0,"",IF(OR(AND(C1753&lt;&gt;"Gasto",C1753&lt;&gt;"Pago proveedor",C1753&lt;&gt;"Retiro familiar",C1753&lt;&gt;"Aportación",C1753&lt;&gt;"Pago activo",C1753&lt;&gt;"ISR devengado",C1753&lt;&gt;"Pago ISR",C1753&lt;&gt;"Pago IVA",C1753&lt;&gt;"Compensación ISR",C1753&lt;&gt;"Compensación IVA"),AND(C1753="Gasto",D1753&lt;&gt;"Costos clínicos",D1753&lt;&gt;"Remuneración familiar",D1753&lt;&gt;"Nómina y honorarios",D1753&lt;&gt;"Renta",D1753&lt;&gt;"Marketing",D1753&lt;&gt;"Servicios y software",D1753&lt;&gt;"Mantenimiento",D1753&lt;&gt;"Otros",D1753&lt;&gt;"Intereses")),"Tipo o categoría inválido",IF(COUNTA(A1753:J1753)=0,"",IF(OR(A1753="",B1753="",C1753="",H1753=""),"Faltan datos",IF(COUNTIF($A$7:$A$2006,A1753)&gt;1,"ID duplicado",IF(OR(B1753&lt;DATE(Configuración!$C$5,1,1),B1753&gt;=DATE(Configuración!$C$5+1,1,1)),"Fecha fuera del año",IF(OR(H1753&lt;0,I1753&lt;0),"Revisar signo",IF(AND(C1753&lt;&gt;"Gasto",I1753&lt;&gt;0),"IVA solo en Gasto",IF(AND(C1753="Gasto",D1753=""),"Falta categoría","OK")))))))))</f>
        <v/>
      </c>
    </row>
    <row r="1754" spans="1:12" ht="22" customHeight="1">
      <c r="A1754" s="3"/>
      <c r="B1754" s="7"/>
      <c r="C1754" s="3"/>
      <c r="D1754" s="3"/>
      <c r="E1754" s="3"/>
      <c r="F1754" s="3"/>
      <c r="G1754" s="3"/>
      <c r="H1754" s="4"/>
      <c r="I1754" s="4"/>
      <c r="J1754" s="3"/>
      <c r="K1754" s="8" t="str">
        <f t="shared" si="27"/>
        <v/>
      </c>
      <c r="L1754" s="1" t="str">
        <f>IF(COUNTA(A1754:J1754)=0,"",IF(OR(AND(C1754&lt;&gt;"Gasto",C1754&lt;&gt;"Pago proveedor",C1754&lt;&gt;"Retiro familiar",C1754&lt;&gt;"Aportación",C1754&lt;&gt;"Pago activo",C1754&lt;&gt;"ISR devengado",C1754&lt;&gt;"Pago ISR",C1754&lt;&gt;"Pago IVA",C1754&lt;&gt;"Compensación ISR",C1754&lt;&gt;"Compensación IVA"),AND(C1754="Gasto",D1754&lt;&gt;"Costos clínicos",D1754&lt;&gt;"Remuneración familiar",D1754&lt;&gt;"Nómina y honorarios",D1754&lt;&gt;"Renta",D1754&lt;&gt;"Marketing",D1754&lt;&gt;"Servicios y software",D1754&lt;&gt;"Mantenimiento",D1754&lt;&gt;"Otros",D1754&lt;&gt;"Intereses")),"Tipo o categoría inválido",IF(COUNTA(A1754:J1754)=0,"",IF(OR(A1754="",B1754="",C1754="",H1754=""),"Faltan datos",IF(COUNTIF($A$7:$A$2006,A1754)&gt;1,"ID duplicado",IF(OR(B1754&lt;DATE(Configuración!$C$5,1,1),B1754&gt;=DATE(Configuración!$C$5+1,1,1)),"Fecha fuera del año",IF(OR(H1754&lt;0,I1754&lt;0),"Revisar signo",IF(AND(C1754&lt;&gt;"Gasto",I1754&lt;&gt;0),"IVA solo en Gasto",IF(AND(C1754="Gasto",D1754=""),"Falta categoría","OK")))))))))</f>
        <v/>
      </c>
    </row>
    <row r="1755" spans="1:12" ht="22" customHeight="1">
      <c r="A1755" s="3"/>
      <c r="B1755" s="7"/>
      <c r="C1755" s="3"/>
      <c r="D1755" s="3"/>
      <c r="E1755" s="3"/>
      <c r="F1755" s="3"/>
      <c r="G1755" s="3"/>
      <c r="H1755" s="4"/>
      <c r="I1755" s="4"/>
      <c r="J1755" s="3"/>
      <c r="K1755" s="8" t="str">
        <f t="shared" si="27"/>
        <v/>
      </c>
      <c r="L1755" s="1" t="str">
        <f>IF(COUNTA(A1755:J1755)=0,"",IF(OR(AND(C1755&lt;&gt;"Gasto",C1755&lt;&gt;"Pago proveedor",C1755&lt;&gt;"Retiro familiar",C1755&lt;&gt;"Aportación",C1755&lt;&gt;"Pago activo",C1755&lt;&gt;"ISR devengado",C1755&lt;&gt;"Pago ISR",C1755&lt;&gt;"Pago IVA",C1755&lt;&gt;"Compensación ISR",C1755&lt;&gt;"Compensación IVA"),AND(C1755="Gasto",D1755&lt;&gt;"Costos clínicos",D1755&lt;&gt;"Remuneración familiar",D1755&lt;&gt;"Nómina y honorarios",D1755&lt;&gt;"Renta",D1755&lt;&gt;"Marketing",D1755&lt;&gt;"Servicios y software",D1755&lt;&gt;"Mantenimiento",D1755&lt;&gt;"Otros",D1755&lt;&gt;"Intereses")),"Tipo o categoría inválido",IF(COUNTA(A1755:J1755)=0,"",IF(OR(A1755="",B1755="",C1755="",H1755=""),"Faltan datos",IF(COUNTIF($A$7:$A$2006,A1755)&gt;1,"ID duplicado",IF(OR(B1755&lt;DATE(Configuración!$C$5,1,1),B1755&gt;=DATE(Configuración!$C$5+1,1,1)),"Fecha fuera del año",IF(OR(H1755&lt;0,I1755&lt;0),"Revisar signo",IF(AND(C1755&lt;&gt;"Gasto",I1755&lt;&gt;0),"IVA solo en Gasto",IF(AND(C1755="Gasto",D1755=""),"Falta categoría","OK")))))))))</f>
        <v/>
      </c>
    </row>
    <row r="1756" spans="1:12" ht="22" customHeight="1">
      <c r="A1756" s="3"/>
      <c r="B1756" s="7"/>
      <c r="C1756" s="3"/>
      <c r="D1756" s="3"/>
      <c r="E1756" s="3"/>
      <c r="F1756" s="3"/>
      <c r="G1756" s="3"/>
      <c r="H1756" s="4"/>
      <c r="I1756" s="4"/>
      <c r="J1756" s="3"/>
      <c r="K1756" s="8" t="str">
        <f t="shared" si="27"/>
        <v/>
      </c>
      <c r="L1756" s="1" t="str">
        <f>IF(COUNTA(A1756:J1756)=0,"",IF(OR(AND(C1756&lt;&gt;"Gasto",C1756&lt;&gt;"Pago proveedor",C1756&lt;&gt;"Retiro familiar",C1756&lt;&gt;"Aportación",C1756&lt;&gt;"Pago activo",C1756&lt;&gt;"ISR devengado",C1756&lt;&gt;"Pago ISR",C1756&lt;&gt;"Pago IVA",C1756&lt;&gt;"Compensación ISR",C1756&lt;&gt;"Compensación IVA"),AND(C1756="Gasto",D1756&lt;&gt;"Costos clínicos",D1756&lt;&gt;"Remuneración familiar",D1756&lt;&gt;"Nómina y honorarios",D1756&lt;&gt;"Renta",D1756&lt;&gt;"Marketing",D1756&lt;&gt;"Servicios y software",D1756&lt;&gt;"Mantenimiento",D1756&lt;&gt;"Otros",D1756&lt;&gt;"Intereses")),"Tipo o categoría inválido",IF(COUNTA(A1756:J1756)=0,"",IF(OR(A1756="",B1756="",C1756="",H1756=""),"Faltan datos",IF(COUNTIF($A$7:$A$2006,A1756)&gt;1,"ID duplicado",IF(OR(B1756&lt;DATE(Configuración!$C$5,1,1),B1756&gt;=DATE(Configuración!$C$5+1,1,1)),"Fecha fuera del año",IF(OR(H1756&lt;0,I1756&lt;0),"Revisar signo",IF(AND(C1756&lt;&gt;"Gasto",I1756&lt;&gt;0),"IVA solo en Gasto",IF(AND(C1756="Gasto",D1756=""),"Falta categoría","OK")))))))))</f>
        <v/>
      </c>
    </row>
    <row r="1757" spans="1:12" ht="22" customHeight="1">
      <c r="A1757" s="3"/>
      <c r="B1757" s="7"/>
      <c r="C1757" s="3"/>
      <c r="D1757" s="3"/>
      <c r="E1757" s="3"/>
      <c r="F1757" s="3"/>
      <c r="G1757" s="3"/>
      <c r="H1757" s="4"/>
      <c r="I1757" s="4"/>
      <c r="J1757" s="3"/>
      <c r="K1757" s="8" t="str">
        <f t="shared" si="27"/>
        <v/>
      </c>
      <c r="L1757" s="1" t="str">
        <f>IF(COUNTA(A1757:J1757)=0,"",IF(OR(AND(C1757&lt;&gt;"Gasto",C1757&lt;&gt;"Pago proveedor",C1757&lt;&gt;"Retiro familiar",C1757&lt;&gt;"Aportación",C1757&lt;&gt;"Pago activo",C1757&lt;&gt;"ISR devengado",C1757&lt;&gt;"Pago ISR",C1757&lt;&gt;"Pago IVA",C1757&lt;&gt;"Compensación ISR",C1757&lt;&gt;"Compensación IVA"),AND(C1757="Gasto",D1757&lt;&gt;"Costos clínicos",D1757&lt;&gt;"Remuneración familiar",D1757&lt;&gt;"Nómina y honorarios",D1757&lt;&gt;"Renta",D1757&lt;&gt;"Marketing",D1757&lt;&gt;"Servicios y software",D1757&lt;&gt;"Mantenimiento",D1757&lt;&gt;"Otros",D1757&lt;&gt;"Intereses")),"Tipo o categoría inválido",IF(COUNTA(A1757:J1757)=0,"",IF(OR(A1757="",B1757="",C1757="",H1757=""),"Faltan datos",IF(COUNTIF($A$7:$A$2006,A1757)&gt;1,"ID duplicado",IF(OR(B1757&lt;DATE(Configuración!$C$5,1,1),B1757&gt;=DATE(Configuración!$C$5+1,1,1)),"Fecha fuera del año",IF(OR(H1757&lt;0,I1757&lt;0),"Revisar signo",IF(AND(C1757&lt;&gt;"Gasto",I1757&lt;&gt;0),"IVA solo en Gasto",IF(AND(C1757="Gasto",D1757=""),"Falta categoría","OK")))))))))</f>
        <v/>
      </c>
    </row>
    <row r="1758" spans="1:12" ht="22" customHeight="1">
      <c r="A1758" s="3"/>
      <c r="B1758" s="7"/>
      <c r="C1758" s="3"/>
      <c r="D1758" s="3"/>
      <c r="E1758" s="3"/>
      <c r="F1758" s="3"/>
      <c r="G1758" s="3"/>
      <c r="H1758" s="4"/>
      <c r="I1758" s="4"/>
      <c r="J1758" s="3"/>
      <c r="K1758" s="8" t="str">
        <f t="shared" si="27"/>
        <v/>
      </c>
      <c r="L1758" s="1" t="str">
        <f>IF(COUNTA(A1758:J1758)=0,"",IF(OR(AND(C1758&lt;&gt;"Gasto",C1758&lt;&gt;"Pago proveedor",C1758&lt;&gt;"Retiro familiar",C1758&lt;&gt;"Aportación",C1758&lt;&gt;"Pago activo",C1758&lt;&gt;"ISR devengado",C1758&lt;&gt;"Pago ISR",C1758&lt;&gt;"Pago IVA",C1758&lt;&gt;"Compensación ISR",C1758&lt;&gt;"Compensación IVA"),AND(C1758="Gasto",D1758&lt;&gt;"Costos clínicos",D1758&lt;&gt;"Remuneración familiar",D1758&lt;&gt;"Nómina y honorarios",D1758&lt;&gt;"Renta",D1758&lt;&gt;"Marketing",D1758&lt;&gt;"Servicios y software",D1758&lt;&gt;"Mantenimiento",D1758&lt;&gt;"Otros",D1758&lt;&gt;"Intereses")),"Tipo o categoría inválido",IF(COUNTA(A1758:J1758)=0,"",IF(OR(A1758="",B1758="",C1758="",H1758=""),"Faltan datos",IF(COUNTIF($A$7:$A$2006,A1758)&gt;1,"ID duplicado",IF(OR(B1758&lt;DATE(Configuración!$C$5,1,1),B1758&gt;=DATE(Configuración!$C$5+1,1,1)),"Fecha fuera del año",IF(OR(H1758&lt;0,I1758&lt;0),"Revisar signo",IF(AND(C1758&lt;&gt;"Gasto",I1758&lt;&gt;0),"IVA solo en Gasto",IF(AND(C1758="Gasto",D1758=""),"Falta categoría","OK")))))))))</f>
        <v/>
      </c>
    </row>
    <row r="1759" spans="1:12" ht="22" customHeight="1">
      <c r="A1759" s="3"/>
      <c r="B1759" s="7"/>
      <c r="C1759" s="3"/>
      <c r="D1759" s="3"/>
      <c r="E1759" s="3"/>
      <c r="F1759" s="3"/>
      <c r="G1759" s="3"/>
      <c r="H1759" s="4"/>
      <c r="I1759" s="4"/>
      <c r="J1759" s="3"/>
      <c r="K1759" s="8" t="str">
        <f t="shared" si="27"/>
        <v/>
      </c>
      <c r="L1759" s="1" t="str">
        <f>IF(COUNTA(A1759:J1759)=0,"",IF(OR(AND(C1759&lt;&gt;"Gasto",C1759&lt;&gt;"Pago proveedor",C1759&lt;&gt;"Retiro familiar",C1759&lt;&gt;"Aportación",C1759&lt;&gt;"Pago activo",C1759&lt;&gt;"ISR devengado",C1759&lt;&gt;"Pago ISR",C1759&lt;&gt;"Pago IVA",C1759&lt;&gt;"Compensación ISR",C1759&lt;&gt;"Compensación IVA"),AND(C1759="Gasto",D1759&lt;&gt;"Costos clínicos",D1759&lt;&gt;"Remuneración familiar",D1759&lt;&gt;"Nómina y honorarios",D1759&lt;&gt;"Renta",D1759&lt;&gt;"Marketing",D1759&lt;&gt;"Servicios y software",D1759&lt;&gt;"Mantenimiento",D1759&lt;&gt;"Otros",D1759&lt;&gt;"Intereses")),"Tipo o categoría inválido",IF(COUNTA(A1759:J1759)=0,"",IF(OR(A1759="",B1759="",C1759="",H1759=""),"Faltan datos",IF(COUNTIF($A$7:$A$2006,A1759)&gt;1,"ID duplicado",IF(OR(B1759&lt;DATE(Configuración!$C$5,1,1),B1759&gt;=DATE(Configuración!$C$5+1,1,1)),"Fecha fuera del año",IF(OR(H1759&lt;0,I1759&lt;0),"Revisar signo",IF(AND(C1759&lt;&gt;"Gasto",I1759&lt;&gt;0),"IVA solo en Gasto",IF(AND(C1759="Gasto",D1759=""),"Falta categoría","OK")))))))))</f>
        <v/>
      </c>
    </row>
    <row r="1760" spans="1:12" ht="22" customHeight="1">
      <c r="A1760" s="3"/>
      <c r="B1760" s="7"/>
      <c r="C1760" s="3"/>
      <c r="D1760" s="3"/>
      <c r="E1760" s="3"/>
      <c r="F1760" s="3"/>
      <c r="G1760" s="3"/>
      <c r="H1760" s="4"/>
      <c r="I1760" s="4"/>
      <c r="J1760" s="3"/>
      <c r="K1760" s="8" t="str">
        <f t="shared" si="27"/>
        <v/>
      </c>
      <c r="L1760" s="1" t="str">
        <f>IF(COUNTA(A1760:J1760)=0,"",IF(OR(AND(C1760&lt;&gt;"Gasto",C1760&lt;&gt;"Pago proveedor",C1760&lt;&gt;"Retiro familiar",C1760&lt;&gt;"Aportación",C1760&lt;&gt;"Pago activo",C1760&lt;&gt;"ISR devengado",C1760&lt;&gt;"Pago ISR",C1760&lt;&gt;"Pago IVA",C1760&lt;&gt;"Compensación ISR",C1760&lt;&gt;"Compensación IVA"),AND(C1760="Gasto",D1760&lt;&gt;"Costos clínicos",D1760&lt;&gt;"Remuneración familiar",D1760&lt;&gt;"Nómina y honorarios",D1760&lt;&gt;"Renta",D1760&lt;&gt;"Marketing",D1760&lt;&gt;"Servicios y software",D1760&lt;&gt;"Mantenimiento",D1760&lt;&gt;"Otros",D1760&lt;&gt;"Intereses")),"Tipo o categoría inválido",IF(COUNTA(A1760:J1760)=0,"",IF(OR(A1760="",B1760="",C1760="",H1760=""),"Faltan datos",IF(COUNTIF($A$7:$A$2006,A1760)&gt;1,"ID duplicado",IF(OR(B1760&lt;DATE(Configuración!$C$5,1,1),B1760&gt;=DATE(Configuración!$C$5+1,1,1)),"Fecha fuera del año",IF(OR(H1760&lt;0,I1760&lt;0),"Revisar signo",IF(AND(C1760&lt;&gt;"Gasto",I1760&lt;&gt;0),"IVA solo en Gasto",IF(AND(C1760="Gasto",D1760=""),"Falta categoría","OK")))))))))</f>
        <v/>
      </c>
    </row>
    <row r="1761" spans="1:12" ht="22" customHeight="1">
      <c r="A1761" s="3"/>
      <c r="B1761" s="7"/>
      <c r="C1761" s="3"/>
      <c r="D1761" s="3"/>
      <c r="E1761" s="3"/>
      <c r="F1761" s="3"/>
      <c r="G1761" s="3"/>
      <c r="H1761" s="4"/>
      <c r="I1761" s="4"/>
      <c r="J1761" s="3"/>
      <c r="K1761" s="8" t="str">
        <f t="shared" si="27"/>
        <v/>
      </c>
      <c r="L1761" s="1" t="str">
        <f>IF(COUNTA(A1761:J1761)=0,"",IF(OR(AND(C1761&lt;&gt;"Gasto",C1761&lt;&gt;"Pago proveedor",C1761&lt;&gt;"Retiro familiar",C1761&lt;&gt;"Aportación",C1761&lt;&gt;"Pago activo",C1761&lt;&gt;"ISR devengado",C1761&lt;&gt;"Pago ISR",C1761&lt;&gt;"Pago IVA",C1761&lt;&gt;"Compensación ISR",C1761&lt;&gt;"Compensación IVA"),AND(C1761="Gasto",D1761&lt;&gt;"Costos clínicos",D1761&lt;&gt;"Remuneración familiar",D1761&lt;&gt;"Nómina y honorarios",D1761&lt;&gt;"Renta",D1761&lt;&gt;"Marketing",D1761&lt;&gt;"Servicios y software",D1761&lt;&gt;"Mantenimiento",D1761&lt;&gt;"Otros",D1761&lt;&gt;"Intereses")),"Tipo o categoría inválido",IF(COUNTA(A1761:J1761)=0,"",IF(OR(A1761="",B1761="",C1761="",H1761=""),"Faltan datos",IF(COUNTIF($A$7:$A$2006,A1761)&gt;1,"ID duplicado",IF(OR(B1761&lt;DATE(Configuración!$C$5,1,1),B1761&gt;=DATE(Configuración!$C$5+1,1,1)),"Fecha fuera del año",IF(OR(H1761&lt;0,I1761&lt;0),"Revisar signo",IF(AND(C1761&lt;&gt;"Gasto",I1761&lt;&gt;0),"IVA solo en Gasto",IF(AND(C1761="Gasto",D1761=""),"Falta categoría","OK")))))))))</f>
        <v/>
      </c>
    </row>
    <row r="1762" spans="1:12" ht="22" customHeight="1">
      <c r="A1762" s="3"/>
      <c r="B1762" s="7"/>
      <c r="C1762" s="3"/>
      <c r="D1762" s="3"/>
      <c r="E1762" s="3"/>
      <c r="F1762" s="3"/>
      <c r="G1762" s="3"/>
      <c r="H1762" s="4"/>
      <c r="I1762" s="4"/>
      <c r="J1762" s="3"/>
      <c r="K1762" s="8" t="str">
        <f t="shared" si="27"/>
        <v/>
      </c>
      <c r="L1762" s="1" t="str">
        <f>IF(COUNTA(A1762:J1762)=0,"",IF(OR(AND(C1762&lt;&gt;"Gasto",C1762&lt;&gt;"Pago proveedor",C1762&lt;&gt;"Retiro familiar",C1762&lt;&gt;"Aportación",C1762&lt;&gt;"Pago activo",C1762&lt;&gt;"ISR devengado",C1762&lt;&gt;"Pago ISR",C1762&lt;&gt;"Pago IVA",C1762&lt;&gt;"Compensación ISR",C1762&lt;&gt;"Compensación IVA"),AND(C1762="Gasto",D1762&lt;&gt;"Costos clínicos",D1762&lt;&gt;"Remuneración familiar",D1762&lt;&gt;"Nómina y honorarios",D1762&lt;&gt;"Renta",D1762&lt;&gt;"Marketing",D1762&lt;&gt;"Servicios y software",D1762&lt;&gt;"Mantenimiento",D1762&lt;&gt;"Otros",D1762&lt;&gt;"Intereses")),"Tipo o categoría inválido",IF(COUNTA(A1762:J1762)=0,"",IF(OR(A1762="",B1762="",C1762="",H1762=""),"Faltan datos",IF(COUNTIF($A$7:$A$2006,A1762)&gt;1,"ID duplicado",IF(OR(B1762&lt;DATE(Configuración!$C$5,1,1),B1762&gt;=DATE(Configuración!$C$5+1,1,1)),"Fecha fuera del año",IF(OR(H1762&lt;0,I1762&lt;0),"Revisar signo",IF(AND(C1762&lt;&gt;"Gasto",I1762&lt;&gt;0),"IVA solo en Gasto",IF(AND(C1762="Gasto",D1762=""),"Falta categoría","OK")))))))))</f>
        <v/>
      </c>
    </row>
    <row r="1763" spans="1:12" ht="22" customHeight="1">
      <c r="A1763" s="3"/>
      <c r="B1763" s="7"/>
      <c r="C1763" s="3"/>
      <c r="D1763" s="3"/>
      <c r="E1763" s="3"/>
      <c r="F1763" s="3"/>
      <c r="G1763" s="3"/>
      <c r="H1763" s="4"/>
      <c r="I1763" s="4"/>
      <c r="J1763" s="3"/>
      <c r="K1763" s="8" t="str">
        <f t="shared" si="27"/>
        <v/>
      </c>
      <c r="L1763" s="1" t="str">
        <f>IF(COUNTA(A1763:J1763)=0,"",IF(OR(AND(C1763&lt;&gt;"Gasto",C1763&lt;&gt;"Pago proveedor",C1763&lt;&gt;"Retiro familiar",C1763&lt;&gt;"Aportación",C1763&lt;&gt;"Pago activo",C1763&lt;&gt;"ISR devengado",C1763&lt;&gt;"Pago ISR",C1763&lt;&gt;"Pago IVA",C1763&lt;&gt;"Compensación ISR",C1763&lt;&gt;"Compensación IVA"),AND(C1763="Gasto",D1763&lt;&gt;"Costos clínicos",D1763&lt;&gt;"Remuneración familiar",D1763&lt;&gt;"Nómina y honorarios",D1763&lt;&gt;"Renta",D1763&lt;&gt;"Marketing",D1763&lt;&gt;"Servicios y software",D1763&lt;&gt;"Mantenimiento",D1763&lt;&gt;"Otros",D1763&lt;&gt;"Intereses")),"Tipo o categoría inválido",IF(COUNTA(A1763:J1763)=0,"",IF(OR(A1763="",B1763="",C1763="",H1763=""),"Faltan datos",IF(COUNTIF($A$7:$A$2006,A1763)&gt;1,"ID duplicado",IF(OR(B1763&lt;DATE(Configuración!$C$5,1,1),B1763&gt;=DATE(Configuración!$C$5+1,1,1)),"Fecha fuera del año",IF(OR(H1763&lt;0,I1763&lt;0),"Revisar signo",IF(AND(C1763&lt;&gt;"Gasto",I1763&lt;&gt;0),"IVA solo en Gasto",IF(AND(C1763="Gasto",D1763=""),"Falta categoría","OK")))))))))</f>
        <v/>
      </c>
    </row>
    <row r="1764" spans="1:12" ht="22" customHeight="1">
      <c r="A1764" s="3"/>
      <c r="B1764" s="7"/>
      <c r="C1764" s="3"/>
      <c r="D1764" s="3"/>
      <c r="E1764" s="3"/>
      <c r="F1764" s="3"/>
      <c r="G1764" s="3"/>
      <c r="H1764" s="4"/>
      <c r="I1764" s="4"/>
      <c r="J1764" s="3"/>
      <c r="K1764" s="8" t="str">
        <f t="shared" si="27"/>
        <v/>
      </c>
      <c r="L1764" s="1" t="str">
        <f>IF(COUNTA(A1764:J1764)=0,"",IF(OR(AND(C1764&lt;&gt;"Gasto",C1764&lt;&gt;"Pago proveedor",C1764&lt;&gt;"Retiro familiar",C1764&lt;&gt;"Aportación",C1764&lt;&gt;"Pago activo",C1764&lt;&gt;"ISR devengado",C1764&lt;&gt;"Pago ISR",C1764&lt;&gt;"Pago IVA",C1764&lt;&gt;"Compensación ISR",C1764&lt;&gt;"Compensación IVA"),AND(C1764="Gasto",D1764&lt;&gt;"Costos clínicos",D1764&lt;&gt;"Remuneración familiar",D1764&lt;&gt;"Nómina y honorarios",D1764&lt;&gt;"Renta",D1764&lt;&gt;"Marketing",D1764&lt;&gt;"Servicios y software",D1764&lt;&gt;"Mantenimiento",D1764&lt;&gt;"Otros",D1764&lt;&gt;"Intereses")),"Tipo o categoría inválido",IF(COUNTA(A1764:J1764)=0,"",IF(OR(A1764="",B1764="",C1764="",H1764=""),"Faltan datos",IF(COUNTIF($A$7:$A$2006,A1764)&gt;1,"ID duplicado",IF(OR(B1764&lt;DATE(Configuración!$C$5,1,1),B1764&gt;=DATE(Configuración!$C$5+1,1,1)),"Fecha fuera del año",IF(OR(H1764&lt;0,I1764&lt;0),"Revisar signo",IF(AND(C1764&lt;&gt;"Gasto",I1764&lt;&gt;0),"IVA solo en Gasto",IF(AND(C1764="Gasto",D1764=""),"Falta categoría","OK")))))))))</f>
        <v/>
      </c>
    </row>
    <row r="1765" spans="1:12" ht="22" customHeight="1">
      <c r="A1765" s="3"/>
      <c r="B1765" s="7"/>
      <c r="C1765" s="3"/>
      <c r="D1765" s="3"/>
      <c r="E1765" s="3"/>
      <c r="F1765" s="3"/>
      <c r="G1765" s="3"/>
      <c r="H1765" s="4"/>
      <c r="I1765" s="4"/>
      <c r="J1765" s="3"/>
      <c r="K1765" s="8" t="str">
        <f t="shared" si="27"/>
        <v/>
      </c>
      <c r="L1765" s="1" t="str">
        <f>IF(COUNTA(A1765:J1765)=0,"",IF(OR(AND(C1765&lt;&gt;"Gasto",C1765&lt;&gt;"Pago proveedor",C1765&lt;&gt;"Retiro familiar",C1765&lt;&gt;"Aportación",C1765&lt;&gt;"Pago activo",C1765&lt;&gt;"ISR devengado",C1765&lt;&gt;"Pago ISR",C1765&lt;&gt;"Pago IVA",C1765&lt;&gt;"Compensación ISR",C1765&lt;&gt;"Compensación IVA"),AND(C1765="Gasto",D1765&lt;&gt;"Costos clínicos",D1765&lt;&gt;"Remuneración familiar",D1765&lt;&gt;"Nómina y honorarios",D1765&lt;&gt;"Renta",D1765&lt;&gt;"Marketing",D1765&lt;&gt;"Servicios y software",D1765&lt;&gt;"Mantenimiento",D1765&lt;&gt;"Otros",D1765&lt;&gt;"Intereses")),"Tipo o categoría inválido",IF(COUNTA(A1765:J1765)=0,"",IF(OR(A1765="",B1765="",C1765="",H1765=""),"Faltan datos",IF(COUNTIF($A$7:$A$2006,A1765)&gt;1,"ID duplicado",IF(OR(B1765&lt;DATE(Configuración!$C$5,1,1),B1765&gt;=DATE(Configuración!$C$5+1,1,1)),"Fecha fuera del año",IF(OR(H1765&lt;0,I1765&lt;0),"Revisar signo",IF(AND(C1765&lt;&gt;"Gasto",I1765&lt;&gt;0),"IVA solo en Gasto",IF(AND(C1765="Gasto",D1765=""),"Falta categoría","OK")))))))))</f>
        <v/>
      </c>
    </row>
    <row r="1766" spans="1:12" ht="22" customHeight="1">
      <c r="A1766" s="3"/>
      <c r="B1766" s="7"/>
      <c r="C1766" s="3"/>
      <c r="D1766" s="3"/>
      <c r="E1766" s="3"/>
      <c r="F1766" s="3"/>
      <c r="G1766" s="3"/>
      <c r="H1766" s="4"/>
      <c r="I1766" s="4"/>
      <c r="J1766" s="3"/>
      <c r="K1766" s="8" t="str">
        <f t="shared" si="27"/>
        <v/>
      </c>
      <c r="L1766" s="1" t="str">
        <f>IF(COUNTA(A1766:J1766)=0,"",IF(OR(AND(C1766&lt;&gt;"Gasto",C1766&lt;&gt;"Pago proveedor",C1766&lt;&gt;"Retiro familiar",C1766&lt;&gt;"Aportación",C1766&lt;&gt;"Pago activo",C1766&lt;&gt;"ISR devengado",C1766&lt;&gt;"Pago ISR",C1766&lt;&gt;"Pago IVA",C1766&lt;&gt;"Compensación ISR",C1766&lt;&gt;"Compensación IVA"),AND(C1766="Gasto",D1766&lt;&gt;"Costos clínicos",D1766&lt;&gt;"Remuneración familiar",D1766&lt;&gt;"Nómina y honorarios",D1766&lt;&gt;"Renta",D1766&lt;&gt;"Marketing",D1766&lt;&gt;"Servicios y software",D1766&lt;&gt;"Mantenimiento",D1766&lt;&gt;"Otros",D1766&lt;&gt;"Intereses")),"Tipo o categoría inválido",IF(COUNTA(A1766:J1766)=0,"",IF(OR(A1766="",B1766="",C1766="",H1766=""),"Faltan datos",IF(COUNTIF($A$7:$A$2006,A1766)&gt;1,"ID duplicado",IF(OR(B1766&lt;DATE(Configuración!$C$5,1,1),B1766&gt;=DATE(Configuración!$C$5+1,1,1)),"Fecha fuera del año",IF(OR(H1766&lt;0,I1766&lt;0),"Revisar signo",IF(AND(C1766&lt;&gt;"Gasto",I1766&lt;&gt;0),"IVA solo en Gasto",IF(AND(C1766="Gasto",D1766=""),"Falta categoría","OK")))))))))</f>
        <v/>
      </c>
    </row>
    <row r="1767" spans="1:12" ht="22" customHeight="1">
      <c r="A1767" s="3"/>
      <c r="B1767" s="7"/>
      <c r="C1767" s="3"/>
      <c r="D1767" s="3"/>
      <c r="E1767" s="3"/>
      <c r="F1767" s="3"/>
      <c r="G1767" s="3"/>
      <c r="H1767" s="4"/>
      <c r="I1767" s="4"/>
      <c r="J1767" s="3"/>
      <c r="K1767" s="8" t="str">
        <f t="shared" si="27"/>
        <v/>
      </c>
      <c r="L1767" s="1" t="str">
        <f>IF(COUNTA(A1767:J1767)=0,"",IF(OR(AND(C1767&lt;&gt;"Gasto",C1767&lt;&gt;"Pago proveedor",C1767&lt;&gt;"Retiro familiar",C1767&lt;&gt;"Aportación",C1767&lt;&gt;"Pago activo",C1767&lt;&gt;"ISR devengado",C1767&lt;&gt;"Pago ISR",C1767&lt;&gt;"Pago IVA",C1767&lt;&gt;"Compensación ISR",C1767&lt;&gt;"Compensación IVA"),AND(C1767="Gasto",D1767&lt;&gt;"Costos clínicos",D1767&lt;&gt;"Remuneración familiar",D1767&lt;&gt;"Nómina y honorarios",D1767&lt;&gt;"Renta",D1767&lt;&gt;"Marketing",D1767&lt;&gt;"Servicios y software",D1767&lt;&gt;"Mantenimiento",D1767&lt;&gt;"Otros",D1767&lt;&gt;"Intereses")),"Tipo o categoría inválido",IF(COUNTA(A1767:J1767)=0,"",IF(OR(A1767="",B1767="",C1767="",H1767=""),"Faltan datos",IF(COUNTIF($A$7:$A$2006,A1767)&gt;1,"ID duplicado",IF(OR(B1767&lt;DATE(Configuración!$C$5,1,1),B1767&gt;=DATE(Configuración!$C$5+1,1,1)),"Fecha fuera del año",IF(OR(H1767&lt;0,I1767&lt;0),"Revisar signo",IF(AND(C1767&lt;&gt;"Gasto",I1767&lt;&gt;0),"IVA solo en Gasto",IF(AND(C1767="Gasto",D1767=""),"Falta categoría","OK")))))))))</f>
        <v/>
      </c>
    </row>
    <row r="1768" spans="1:12" ht="22" customHeight="1">
      <c r="A1768" s="3"/>
      <c r="B1768" s="7"/>
      <c r="C1768" s="3"/>
      <c r="D1768" s="3"/>
      <c r="E1768" s="3"/>
      <c r="F1768" s="3"/>
      <c r="G1768" s="3"/>
      <c r="H1768" s="4"/>
      <c r="I1768" s="4"/>
      <c r="J1768" s="3"/>
      <c r="K1768" s="8" t="str">
        <f t="shared" si="27"/>
        <v/>
      </c>
      <c r="L1768" s="1" t="str">
        <f>IF(COUNTA(A1768:J1768)=0,"",IF(OR(AND(C1768&lt;&gt;"Gasto",C1768&lt;&gt;"Pago proveedor",C1768&lt;&gt;"Retiro familiar",C1768&lt;&gt;"Aportación",C1768&lt;&gt;"Pago activo",C1768&lt;&gt;"ISR devengado",C1768&lt;&gt;"Pago ISR",C1768&lt;&gt;"Pago IVA",C1768&lt;&gt;"Compensación ISR",C1768&lt;&gt;"Compensación IVA"),AND(C1768="Gasto",D1768&lt;&gt;"Costos clínicos",D1768&lt;&gt;"Remuneración familiar",D1768&lt;&gt;"Nómina y honorarios",D1768&lt;&gt;"Renta",D1768&lt;&gt;"Marketing",D1768&lt;&gt;"Servicios y software",D1768&lt;&gt;"Mantenimiento",D1768&lt;&gt;"Otros",D1768&lt;&gt;"Intereses")),"Tipo o categoría inválido",IF(COUNTA(A1768:J1768)=0,"",IF(OR(A1768="",B1768="",C1768="",H1768=""),"Faltan datos",IF(COUNTIF($A$7:$A$2006,A1768)&gt;1,"ID duplicado",IF(OR(B1768&lt;DATE(Configuración!$C$5,1,1),B1768&gt;=DATE(Configuración!$C$5+1,1,1)),"Fecha fuera del año",IF(OR(H1768&lt;0,I1768&lt;0),"Revisar signo",IF(AND(C1768&lt;&gt;"Gasto",I1768&lt;&gt;0),"IVA solo en Gasto",IF(AND(C1768="Gasto",D1768=""),"Falta categoría","OK")))))))))</f>
        <v/>
      </c>
    </row>
    <row r="1769" spans="1:12" ht="22" customHeight="1">
      <c r="A1769" s="3"/>
      <c r="B1769" s="7"/>
      <c r="C1769" s="3"/>
      <c r="D1769" s="3"/>
      <c r="E1769" s="3"/>
      <c r="F1769" s="3"/>
      <c r="G1769" s="3"/>
      <c r="H1769" s="4"/>
      <c r="I1769" s="4"/>
      <c r="J1769" s="3"/>
      <c r="K1769" s="8" t="str">
        <f t="shared" si="27"/>
        <v/>
      </c>
      <c r="L1769" s="1" t="str">
        <f>IF(COUNTA(A1769:J1769)=0,"",IF(OR(AND(C1769&lt;&gt;"Gasto",C1769&lt;&gt;"Pago proveedor",C1769&lt;&gt;"Retiro familiar",C1769&lt;&gt;"Aportación",C1769&lt;&gt;"Pago activo",C1769&lt;&gt;"ISR devengado",C1769&lt;&gt;"Pago ISR",C1769&lt;&gt;"Pago IVA",C1769&lt;&gt;"Compensación ISR",C1769&lt;&gt;"Compensación IVA"),AND(C1769="Gasto",D1769&lt;&gt;"Costos clínicos",D1769&lt;&gt;"Remuneración familiar",D1769&lt;&gt;"Nómina y honorarios",D1769&lt;&gt;"Renta",D1769&lt;&gt;"Marketing",D1769&lt;&gt;"Servicios y software",D1769&lt;&gt;"Mantenimiento",D1769&lt;&gt;"Otros",D1769&lt;&gt;"Intereses")),"Tipo o categoría inválido",IF(COUNTA(A1769:J1769)=0,"",IF(OR(A1769="",B1769="",C1769="",H1769=""),"Faltan datos",IF(COUNTIF($A$7:$A$2006,A1769)&gt;1,"ID duplicado",IF(OR(B1769&lt;DATE(Configuración!$C$5,1,1),B1769&gt;=DATE(Configuración!$C$5+1,1,1)),"Fecha fuera del año",IF(OR(H1769&lt;0,I1769&lt;0),"Revisar signo",IF(AND(C1769&lt;&gt;"Gasto",I1769&lt;&gt;0),"IVA solo en Gasto",IF(AND(C1769="Gasto",D1769=""),"Falta categoría","OK")))))))))</f>
        <v/>
      </c>
    </row>
    <row r="1770" spans="1:12" ht="22" customHeight="1">
      <c r="A1770" s="3"/>
      <c r="B1770" s="7"/>
      <c r="C1770" s="3"/>
      <c r="D1770" s="3"/>
      <c r="E1770" s="3"/>
      <c r="F1770" s="3"/>
      <c r="G1770" s="3"/>
      <c r="H1770" s="4"/>
      <c r="I1770" s="4"/>
      <c r="J1770" s="3"/>
      <c r="K1770" s="8" t="str">
        <f t="shared" si="27"/>
        <v/>
      </c>
      <c r="L1770" s="1" t="str">
        <f>IF(COUNTA(A1770:J1770)=0,"",IF(OR(AND(C1770&lt;&gt;"Gasto",C1770&lt;&gt;"Pago proveedor",C1770&lt;&gt;"Retiro familiar",C1770&lt;&gt;"Aportación",C1770&lt;&gt;"Pago activo",C1770&lt;&gt;"ISR devengado",C1770&lt;&gt;"Pago ISR",C1770&lt;&gt;"Pago IVA",C1770&lt;&gt;"Compensación ISR",C1770&lt;&gt;"Compensación IVA"),AND(C1770="Gasto",D1770&lt;&gt;"Costos clínicos",D1770&lt;&gt;"Remuneración familiar",D1770&lt;&gt;"Nómina y honorarios",D1770&lt;&gt;"Renta",D1770&lt;&gt;"Marketing",D1770&lt;&gt;"Servicios y software",D1770&lt;&gt;"Mantenimiento",D1770&lt;&gt;"Otros",D1770&lt;&gt;"Intereses")),"Tipo o categoría inválido",IF(COUNTA(A1770:J1770)=0,"",IF(OR(A1770="",B1770="",C1770="",H1770=""),"Faltan datos",IF(COUNTIF($A$7:$A$2006,A1770)&gt;1,"ID duplicado",IF(OR(B1770&lt;DATE(Configuración!$C$5,1,1),B1770&gt;=DATE(Configuración!$C$5+1,1,1)),"Fecha fuera del año",IF(OR(H1770&lt;0,I1770&lt;0),"Revisar signo",IF(AND(C1770&lt;&gt;"Gasto",I1770&lt;&gt;0),"IVA solo en Gasto",IF(AND(C1770="Gasto",D1770=""),"Falta categoría","OK")))))))))</f>
        <v/>
      </c>
    </row>
    <row r="1771" spans="1:12" ht="22" customHeight="1">
      <c r="A1771" s="3"/>
      <c r="B1771" s="7"/>
      <c r="C1771" s="3"/>
      <c r="D1771" s="3"/>
      <c r="E1771" s="3"/>
      <c r="F1771" s="3"/>
      <c r="G1771" s="3"/>
      <c r="H1771" s="4"/>
      <c r="I1771" s="4"/>
      <c r="J1771" s="3"/>
      <c r="K1771" s="8" t="str">
        <f t="shared" si="27"/>
        <v/>
      </c>
      <c r="L1771" s="1" t="str">
        <f>IF(COUNTA(A1771:J1771)=0,"",IF(OR(AND(C1771&lt;&gt;"Gasto",C1771&lt;&gt;"Pago proveedor",C1771&lt;&gt;"Retiro familiar",C1771&lt;&gt;"Aportación",C1771&lt;&gt;"Pago activo",C1771&lt;&gt;"ISR devengado",C1771&lt;&gt;"Pago ISR",C1771&lt;&gt;"Pago IVA",C1771&lt;&gt;"Compensación ISR",C1771&lt;&gt;"Compensación IVA"),AND(C1771="Gasto",D1771&lt;&gt;"Costos clínicos",D1771&lt;&gt;"Remuneración familiar",D1771&lt;&gt;"Nómina y honorarios",D1771&lt;&gt;"Renta",D1771&lt;&gt;"Marketing",D1771&lt;&gt;"Servicios y software",D1771&lt;&gt;"Mantenimiento",D1771&lt;&gt;"Otros",D1771&lt;&gt;"Intereses")),"Tipo o categoría inválido",IF(COUNTA(A1771:J1771)=0,"",IF(OR(A1771="",B1771="",C1771="",H1771=""),"Faltan datos",IF(COUNTIF($A$7:$A$2006,A1771)&gt;1,"ID duplicado",IF(OR(B1771&lt;DATE(Configuración!$C$5,1,1),B1771&gt;=DATE(Configuración!$C$5+1,1,1)),"Fecha fuera del año",IF(OR(H1771&lt;0,I1771&lt;0),"Revisar signo",IF(AND(C1771&lt;&gt;"Gasto",I1771&lt;&gt;0),"IVA solo en Gasto",IF(AND(C1771="Gasto",D1771=""),"Falta categoría","OK")))))))))</f>
        <v/>
      </c>
    </row>
    <row r="1772" spans="1:12" ht="22" customHeight="1">
      <c r="A1772" s="3"/>
      <c r="B1772" s="7"/>
      <c r="C1772" s="3"/>
      <c r="D1772" s="3"/>
      <c r="E1772" s="3"/>
      <c r="F1772" s="3"/>
      <c r="G1772" s="3"/>
      <c r="H1772" s="4"/>
      <c r="I1772" s="4"/>
      <c r="J1772" s="3"/>
      <c r="K1772" s="8" t="str">
        <f t="shared" si="27"/>
        <v/>
      </c>
      <c r="L1772" s="1" t="str">
        <f>IF(COUNTA(A1772:J1772)=0,"",IF(OR(AND(C1772&lt;&gt;"Gasto",C1772&lt;&gt;"Pago proveedor",C1772&lt;&gt;"Retiro familiar",C1772&lt;&gt;"Aportación",C1772&lt;&gt;"Pago activo",C1772&lt;&gt;"ISR devengado",C1772&lt;&gt;"Pago ISR",C1772&lt;&gt;"Pago IVA",C1772&lt;&gt;"Compensación ISR",C1772&lt;&gt;"Compensación IVA"),AND(C1772="Gasto",D1772&lt;&gt;"Costos clínicos",D1772&lt;&gt;"Remuneración familiar",D1772&lt;&gt;"Nómina y honorarios",D1772&lt;&gt;"Renta",D1772&lt;&gt;"Marketing",D1772&lt;&gt;"Servicios y software",D1772&lt;&gt;"Mantenimiento",D1772&lt;&gt;"Otros",D1772&lt;&gt;"Intereses")),"Tipo o categoría inválido",IF(COUNTA(A1772:J1772)=0,"",IF(OR(A1772="",B1772="",C1772="",H1772=""),"Faltan datos",IF(COUNTIF($A$7:$A$2006,A1772)&gt;1,"ID duplicado",IF(OR(B1772&lt;DATE(Configuración!$C$5,1,1),B1772&gt;=DATE(Configuración!$C$5+1,1,1)),"Fecha fuera del año",IF(OR(H1772&lt;0,I1772&lt;0),"Revisar signo",IF(AND(C1772&lt;&gt;"Gasto",I1772&lt;&gt;0),"IVA solo en Gasto",IF(AND(C1772="Gasto",D1772=""),"Falta categoría","OK")))))))))</f>
        <v/>
      </c>
    </row>
    <row r="1773" spans="1:12" ht="22" customHeight="1">
      <c r="A1773" s="3"/>
      <c r="B1773" s="7"/>
      <c r="C1773" s="3"/>
      <c r="D1773" s="3"/>
      <c r="E1773" s="3"/>
      <c r="F1773" s="3"/>
      <c r="G1773" s="3"/>
      <c r="H1773" s="4"/>
      <c r="I1773" s="4"/>
      <c r="J1773" s="3"/>
      <c r="K1773" s="8" t="str">
        <f t="shared" si="27"/>
        <v/>
      </c>
      <c r="L1773" s="1" t="str">
        <f>IF(COUNTA(A1773:J1773)=0,"",IF(OR(AND(C1773&lt;&gt;"Gasto",C1773&lt;&gt;"Pago proveedor",C1773&lt;&gt;"Retiro familiar",C1773&lt;&gt;"Aportación",C1773&lt;&gt;"Pago activo",C1773&lt;&gt;"ISR devengado",C1773&lt;&gt;"Pago ISR",C1773&lt;&gt;"Pago IVA",C1773&lt;&gt;"Compensación ISR",C1773&lt;&gt;"Compensación IVA"),AND(C1773="Gasto",D1773&lt;&gt;"Costos clínicos",D1773&lt;&gt;"Remuneración familiar",D1773&lt;&gt;"Nómina y honorarios",D1773&lt;&gt;"Renta",D1773&lt;&gt;"Marketing",D1773&lt;&gt;"Servicios y software",D1773&lt;&gt;"Mantenimiento",D1773&lt;&gt;"Otros",D1773&lt;&gt;"Intereses")),"Tipo o categoría inválido",IF(COUNTA(A1773:J1773)=0,"",IF(OR(A1773="",B1773="",C1773="",H1773=""),"Faltan datos",IF(COUNTIF($A$7:$A$2006,A1773)&gt;1,"ID duplicado",IF(OR(B1773&lt;DATE(Configuración!$C$5,1,1),B1773&gt;=DATE(Configuración!$C$5+1,1,1)),"Fecha fuera del año",IF(OR(H1773&lt;0,I1773&lt;0),"Revisar signo",IF(AND(C1773&lt;&gt;"Gasto",I1773&lt;&gt;0),"IVA solo en Gasto",IF(AND(C1773="Gasto",D1773=""),"Falta categoría","OK")))))))))</f>
        <v/>
      </c>
    </row>
    <row r="1774" spans="1:12" ht="22" customHeight="1">
      <c r="A1774" s="3"/>
      <c r="B1774" s="7"/>
      <c r="C1774" s="3"/>
      <c r="D1774" s="3"/>
      <c r="E1774" s="3"/>
      <c r="F1774" s="3"/>
      <c r="G1774" s="3"/>
      <c r="H1774" s="4"/>
      <c r="I1774" s="4"/>
      <c r="J1774" s="3"/>
      <c r="K1774" s="8" t="str">
        <f t="shared" si="27"/>
        <v/>
      </c>
      <c r="L1774" s="1" t="str">
        <f>IF(COUNTA(A1774:J1774)=0,"",IF(OR(AND(C1774&lt;&gt;"Gasto",C1774&lt;&gt;"Pago proveedor",C1774&lt;&gt;"Retiro familiar",C1774&lt;&gt;"Aportación",C1774&lt;&gt;"Pago activo",C1774&lt;&gt;"ISR devengado",C1774&lt;&gt;"Pago ISR",C1774&lt;&gt;"Pago IVA",C1774&lt;&gt;"Compensación ISR",C1774&lt;&gt;"Compensación IVA"),AND(C1774="Gasto",D1774&lt;&gt;"Costos clínicos",D1774&lt;&gt;"Remuneración familiar",D1774&lt;&gt;"Nómina y honorarios",D1774&lt;&gt;"Renta",D1774&lt;&gt;"Marketing",D1774&lt;&gt;"Servicios y software",D1774&lt;&gt;"Mantenimiento",D1774&lt;&gt;"Otros",D1774&lt;&gt;"Intereses")),"Tipo o categoría inválido",IF(COUNTA(A1774:J1774)=0,"",IF(OR(A1774="",B1774="",C1774="",H1774=""),"Faltan datos",IF(COUNTIF($A$7:$A$2006,A1774)&gt;1,"ID duplicado",IF(OR(B1774&lt;DATE(Configuración!$C$5,1,1),B1774&gt;=DATE(Configuración!$C$5+1,1,1)),"Fecha fuera del año",IF(OR(H1774&lt;0,I1774&lt;0),"Revisar signo",IF(AND(C1774&lt;&gt;"Gasto",I1774&lt;&gt;0),"IVA solo en Gasto",IF(AND(C1774="Gasto",D1774=""),"Falta categoría","OK")))))))))</f>
        <v/>
      </c>
    </row>
    <row r="1775" spans="1:12" ht="22" customHeight="1">
      <c r="A1775" s="3"/>
      <c r="B1775" s="7"/>
      <c r="C1775" s="3"/>
      <c r="D1775" s="3"/>
      <c r="E1775" s="3"/>
      <c r="F1775" s="3"/>
      <c r="G1775" s="3"/>
      <c r="H1775" s="4"/>
      <c r="I1775" s="4"/>
      <c r="J1775" s="3"/>
      <c r="K1775" s="8" t="str">
        <f t="shared" si="27"/>
        <v/>
      </c>
      <c r="L1775" s="1" t="str">
        <f>IF(COUNTA(A1775:J1775)=0,"",IF(OR(AND(C1775&lt;&gt;"Gasto",C1775&lt;&gt;"Pago proveedor",C1775&lt;&gt;"Retiro familiar",C1775&lt;&gt;"Aportación",C1775&lt;&gt;"Pago activo",C1775&lt;&gt;"ISR devengado",C1775&lt;&gt;"Pago ISR",C1775&lt;&gt;"Pago IVA",C1775&lt;&gt;"Compensación ISR",C1775&lt;&gt;"Compensación IVA"),AND(C1775="Gasto",D1775&lt;&gt;"Costos clínicos",D1775&lt;&gt;"Remuneración familiar",D1775&lt;&gt;"Nómina y honorarios",D1775&lt;&gt;"Renta",D1775&lt;&gt;"Marketing",D1775&lt;&gt;"Servicios y software",D1775&lt;&gt;"Mantenimiento",D1775&lt;&gt;"Otros",D1775&lt;&gt;"Intereses")),"Tipo o categoría inválido",IF(COUNTA(A1775:J1775)=0,"",IF(OR(A1775="",B1775="",C1775="",H1775=""),"Faltan datos",IF(COUNTIF($A$7:$A$2006,A1775)&gt;1,"ID duplicado",IF(OR(B1775&lt;DATE(Configuración!$C$5,1,1),B1775&gt;=DATE(Configuración!$C$5+1,1,1)),"Fecha fuera del año",IF(OR(H1775&lt;0,I1775&lt;0),"Revisar signo",IF(AND(C1775&lt;&gt;"Gasto",I1775&lt;&gt;0),"IVA solo en Gasto",IF(AND(C1775="Gasto",D1775=""),"Falta categoría","OK")))))))))</f>
        <v/>
      </c>
    </row>
    <row r="1776" spans="1:12" ht="22" customHeight="1">
      <c r="A1776" s="3"/>
      <c r="B1776" s="7"/>
      <c r="C1776" s="3"/>
      <c r="D1776" s="3"/>
      <c r="E1776" s="3"/>
      <c r="F1776" s="3"/>
      <c r="G1776" s="3"/>
      <c r="H1776" s="4"/>
      <c r="I1776" s="4"/>
      <c r="J1776" s="3"/>
      <c r="K1776" s="8" t="str">
        <f t="shared" si="27"/>
        <v/>
      </c>
      <c r="L1776" s="1" t="str">
        <f>IF(COUNTA(A1776:J1776)=0,"",IF(OR(AND(C1776&lt;&gt;"Gasto",C1776&lt;&gt;"Pago proveedor",C1776&lt;&gt;"Retiro familiar",C1776&lt;&gt;"Aportación",C1776&lt;&gt;"Pago activo",C1776&lt;&gt;"ISR devengado",C1776&lt;&gt;"Pago ISR",C1776&lt;&gt;"Pago IVA",C1776&lt;&gt;"Compensación ISR",C1776&lt;&gt;"Compensación IVA"),AND(C1776="Gasto",D1776&lt;&gt;"Costos clínicos",D1776&lt;&gt;"Remuneración familiar",D1776&lt;&gt;"Nómina y honorarios",D1776&lt;&gt;"Renta",D1776&lt;&gt;"Marketing",D1776&lt;&gt;"Servicios y software",D1776&lt;&gt;"Mantenimiento",D1776&lt;&gt;"Otros",D1776&lt;&gt;"Intereses")),"Tipo o categoría inválido",IF(COUNTA(A1776:J1776)=0,"",IF(OR(A1776="",B1776="",C1776="",H1776=""),"Faltan datos",IF(COUNTIF($A$7:$A$2006,A1776)&gt;1,"ID duplicado",IF(OR(B1776&lt;DATE(Configuración!$C$5,1,1),B1776&gt;=DATE(Configuración!$C$5+1,1,1)),"Fecha fuera del año",IF(OR(H1776&lt;0,I1776&lt;0),"Revisar signo",IF(AND(C1776&lt;&gt;"Gasto",I1776&lt;&gt;0),"IVA solo en Gasto",IF(AND(C1776="Gasto",D1776=""),"Falta categoría","OK")))))))))</f>
        <v/>
      </c>
    </row>
    <row r="1777" spans="1:12" ht="22" customHeight="1">
      <c r="A1777" s="3"/>
      <c r="B1777" s="7"/>
      <c r="C1777" s="3"/>
      <c r="D1777" s="3"/>
      <c r="E1777" s="3"/>
      <c r="F1777" s="3"/>
      <c r="G1777" s="3"/>
      <c r="H1777" s="4"/>
      <c r="I1777" s="4"/>
      <c r="J1777" s="3"/>
      <c r="K1777" s="8" t="str">
        <f t="shared" si="27"/>
        <v/>
      </c>
      <c r="L1777" s="1" t="str">
        <f>IF(COUNTA(A1777:J1777)=0,"",IF(OR(AND(C1777&lt;&gt;"Gasto",C1777&lt;&gt;"Pago proveedor",C1777&lt;&gt;"Retiro familiar",C1777&lt;&gt;"Aportación",C1777&lt;&gt;"Pago activo",C1777&lt;&gt;"ISR devengado",C1777&lt;&gt;"Pago ISR",C1777&lt;&gt;"Pago IVA",C1777&lt;&gt;"Compensación ISR",C1777&lt;&gt;"Compensación IVA"),AND(C1777="Gasto",D1777&lt;&gt;"Costos clínicos",D1777&lt;&gt;"Remuneración familiar",D1777&lt;&gt;"Nómina y honorarios",D1777&lt;&gt;"Renta",D1777&lt;&gt;"Marketing",D1777&lt;&gt;"Servicios y software",D1777&lt;&gt;"Mantenimiento",D1777&lt;&gt;"Otros",D1777&lt;&gt;"Intereses")),"Tipo o categoría inválido",IF(COUNTA(A1777:J1777)=0,"",IF(OR(A1777="",B1777="",C1777="",H1777=""),"Faltan datos",IF(COUNTIF($A$7:$A$2006,A1777)&gt;1,"ID duplicado",IF(OR(B1777&lt;DATE(Configuración!$C$5,1,1),B1777&gt;=DATE(Configuración!$C$5+1,1,1)),"Fecha fuera del año",IF(OR(H1777&lt;0,I1777&lt;0),"Revisar signo",IF(AND(C1777&lt;&gt;"Gasto",I1777&lt;&gt;0),"IVA solo en Gasto",IF(AND(C1777="Gasto",D1777=""),"Falta categoría","OK")))))))))</f>
        <v/>
      </c>
    </row>
    <row r="1778" spans="1:12" ht="22" customHeight="1">
      <c r="A1778" s="3"/>
      <c r="B1778" s="7"/>
      <c r="C1778" s="3"/>
      <c r="D1778" s="3"/>
      <c r="E1778" s="3"/>
      <c r="F1778" s="3"/>
      <c r="G1778" s="3"/>
      <c r="H1778" s="4"/>
      <c r="I1778" s="4"/>
      <c r="J1778" s="3"/>
      <c r="K1778" s="8" t="str">
        <f t="shared" si="27"/>
        <v/>
      </c>
      <c r="L1778" s="1" t="str">
        <f>IF(COUNTA(A1778:J1778)=0,"",IF(OR(AND(C1778&lt;&gt;"Gasto",C1778&lt;&gt;"Pago proveedor",C1778&lt;&gt;"Retiro familiar",C1778&lt;&gt;"Aportación",C1778&lt;&gt;"Pago activo",C1778&lt;&gt;"ISR devengado",C1778&lt;&gt;"Pago ISR",C1778&lt;&gt;"Pago IVA",C1778&lt;&gt;"Compensación ISR",C1778&lt;&gt;"Compensación IVA"),AND(C1778="Gasto",D1778&lt;&gt;"Costos clínicos",D1778&lt;&gt;"Remuneración familiar",D1778&lt;&gt;"Nómina y honorarios",D1778&lt;&gt;"Renta",D1778&lt;&gt;"Marketing",D1778&lt;&gt;"Servicios y software",D1778&lt;&gt;"Mantenimiento",D1778&lt;&gt;"Otros",D1778&lt;&gt;"Intereses")),"Tipo o categoría inválido",IF(COUNTA(A1778:J1778)=0,"",IF(OR(A1778="",B1778="",C1778="",H1778=""),"Faltan datos",IF(COUNTIF($A$7:$A$2006,A1778)&gt;1,"ID duplicado",IF(OR(B1778&lt;DATE(Configuración!$C$5,1,1),B1778&gt;=DATE(Configuración!$C$5+1,1,1)),"Fecha fuera del año",IF(OR(H1778&lt;0,I1778&lt;0),"Revisar signo",IF(AND(C1778&lt;&gt;"Gasto",I1778&lt;&gt;0),"IVA solo en Gasto",IF(AND(C1778="Gasto",D1778=""),"Falta categoría","OK")))))))))</f>
        <v/>
      </c>
    </row>
    <row r="1779" spans="1:12" ht="22" customHeight="1">
      <c r="A1779" s="3"/>
      <c r="B1779" s="7"/>
      <c r="C1779" s="3"/>
      <c r="D1779" s="3"/>
      <c r="E1779" s="3"/>
      <c r="F1779" s="3"/>
      <c r="G1779" s="3"/>
      <c r="H1779" s="4"/>
      <c r="I1779" s="4"/>
      <c r="J1779" s="3"/>
      <c r="K1779" s="8" t="str">
        <f t="shared" si="27"/>
        <v/>
      </c>
      <c r="L1779" s="1" t="str">
        <f>IF(COUNTA(A1779:J1779)=0,"",IF(OR(AND(C1779&lt;&gt;"Gasto",C1779&lt;&gt;"Pago proveedor",C1779&lt;&gt;"Retiro familiar",C1779&lt;&gt;"Aportación",C1779&lt;&gt;"Pago activo",C1779&lt;&gt;"ISR devengado",C1779&lt;&gt;"Pago ISR",C1779&lt;&gt;"Pago IVA",C1779&lt;&gt;"Compensación ISR",C1779&lt;&gt;"Compensación IVA"),AND(C1779="Gasto",D1779&lt;&gt;"Costos clínicos",D1779&lt;&gt;"Remuneración familiar",D1779&lt;&gt;"Nómina y honorarios",D1779&lt;&gt;"Renta",D1779&lt;&gt;"Marketing",D1779&lt;&gt;"Servicios y software",D1779&lt;&gt;"Mantenimiento",D1779&lt;&gt;"Otros",D1779&lt;&gt;"Intereses")),"Tipo o categoría inválido",IF(COUNTA(A1779:J1779)=0,"",IF(OR(A1779="",B1779="",C1779="",H1779=""),"Faltan datos",IF(COUNTIF($A$7:$A$2006,A1779)&gt;1,"ID duplicado",IF(OR(B1779&lt;DATE(Configuración!$C$5,1,1),B1779&gt;=DATE(Configuración!$C$5+1,1,1)),"Fecha fuera del año",IF(OR(H1779&lt;0,I1779&lt;0),"Revisar signo",IF(AND(C1779&lt;&gt;"Gasto",I1779&lt;&gt;0),"IVA solo en Gasto",IF(AND(C1779="Gasto",D1779=""),"Falta categoría","OK")))))))))</f>
        <v/>
      </c>
    </row>
    <row r="1780" spans="1:12" ht="22" customHeight="1">
      <c r="A1780" s="3"/>
      <c r="B1780" s="7"/>
      <c r="C1780" s="3"/>
      <c r="D1780" s="3"/>
      <c r="E1780" s="3"/>
      <c r="F1780" s="3"/>
      <c r="G1780" s="3"/>
      <c r="H1780" s="4"/>
      <c r="I1780" s="4"/>
      <c r="J1780" s="3"/>
      <c r="K1780" s="8" t="str">
        <f t="shared" si="27"/>
        <v/>
      </c>
      <c r="L1780" s="1" t="str">
        <f>IF(COUNTA(A1780:J1780)=0,"",IF(OR(AND(C1780&lt;&gt;"Gasto",C1780&lt;&gt;"Pago proveedor",C1780&lt;&gt;"Retiro familiar",C1780&lt;&gt;"Aportación",C1780&lt;&gt;"Pago activo",C1780&lt;&gt;"ISR devengado",C1780&lt;&gt;"Pago ISR",C1780&lt;&gt;"Pago IVA",C1780&lt;&gt;"Compensación ISR",C1780&lt;&gt;"Compensación IVA"),AND(C1780="Gasto",D1780&lt;&gt;"Costos clínicos",D1780&lt;&gt;"Remuneración familiar",D1780&lt;&gt;"Nómina y honorarios",D1780&lt;&gt;"Renta",D1780&lt;&gt;"Marketing",D1780&lt;&gt;"Servicios y software",D1780&lt;&gt;"Mantenimiento",D1780&lt;&gt;"Otros",D1780&lt;&gt;"Intereses")),"Tipo o categoría inválido",IF(COUNTA(A1780:J1780)=0,"",IF(OR(A1780="",B1780="",C1780="",H1780=""),"Faltan datos",IF(COUNTIF($A$7:$A$2006,A1780)&gt;1,"ID duplicado",IF(OR(B1780&lt;DATE(Configuración!$C$5,1,1),B1780&gt;=DATE(Configuración!$C$5+1,1,1)),"Fecha fuera del año",IF(OR(H1780&lt;0,I1780&lt;0),"Revisar signo",IF(AND(C1780&lt;&gt;"Gasto",I1780&lt;&gt;0),"IVA solo en Gasto",IF(AND(C1780="Gasto",D1780=""),"Falta categoría","OK")))))))))</f>
        <v/>
      </c>
    </row>
    <row r="1781" spans="1:12" ht="22" customHeight="1">
      <c r="A1781" s="3"/>
      <c r="B1781" s="7"/>
      <c r="C1781" s="3"/>
      <c r="D1781" s="3"/>
      <c r="E1781" s="3"/>
      <c r="F1781" s="3"/>
      <c r="G1781" s="3"/>
      <c r="H1781" s="4"/>
      <c r="I1781" s="4"/>
      <c r="J1781" s="3"/>
      <c r="K1781" s="8" t="str">
        <f t="shared" si="27"/>
        <v/>
      </c>
      <c r="L1781" s="1" t="str">
        <f>IF(COUNTA(A1781:J1781)=0,"",IF(OR(AND(C1781&lt;&gt;"Gasto",C1781&lt;&gt;"Pago proveedor",C1781&lt;&gt;"Retiro familiar",C1781&lt;&gt;"Aportación",C1781&lt;&gt;"Pago activo",C1781&lt;&gt;"ISR devengado",C1781&lt;&gt;"Pago ISR",C1781&lt;&gt;"Pago IVA",C1781&lt;&gt;"Compensación ISR",C1781&lt;&gt;"Compensación IVA"),AND(C1781="Gasto",D1781&lt;&gt;"Costos clínicos",D1781&lt;&gt;"Remuneración familiar",D1781&lt;&gt;"Nómina y honorarios",D1781&lt;&gt;"Renta",D1781&lt;&gt;"Marketing",D1781&lt;&gt;"Servicios y software",D1781&lt;&gt;"Mantenimiento",D1781&lt;&gt;"Otros",D1781&lt;&gt;"Intereses")),"Tipo o categoría inválido",IF(COUNTA(A1781:J1781)=0,"",IF(OR(A1781="",B1781="",C1781="",H1781=""),"Faltan datos",IF(COUNTIF($A$7:$A$2006,A1781)&gt;1,"ID duplicado",IF(OR(B1781&lt;DATE(Configuración!$C$5,1,1),B1781&gt;=DATE(Configuración!$C$5+1,1,1)),"Fecha fuera del año",IF(OR(H1781&lt;0,I1781&lt;0),"Revisar signo",IF(AND(C1781&lt;&gt;"Gasto",I1781&lt;&gt;0),"IVA solo en Gasto",IF(AND(C1781="Gasto",D1781=""),"Falta categoría","OK")))))))))</f>
        <v/>
      </c>
    </row>
    <row r="1782" spans="1:12" ht="22" customHeight="1">
      <c r="A1782" s="3"/>
      <c r="B1782" s="7"/>
      <c r="C1782" s="3"/>
      <c r="D1782" s="3"/>
      <c r="E1782" s="3"/>
      <c r="F1782" s="3"/>
      <c r="G1782" s="3"/>
      <c r="H1782" s="4"/>
      <c r="I1782" s="4"/>
      <c r="J1782" s="3"/>
      <c r="K1782" s="8" t="str">
        <f t="shared" si="27"/>
        <v/>
      </c>
      <c r="L1782" s="1" t="str">
        <f>IF(COUNTA(A1782:J1782)=0,"",IF(OR(AND(C1782&lt;&gt;"Gasto",C1782&lt;&gt;"Pago proveedor",C1782&lt;&gt;"Retiro familiar",C1782&lt;&gt;"Aportación",C1782&lt;&gt;"Pago activo",C1782&lt;&gt;"ISR devengado",C1782&lt;&gt;"Pago ISR",C1782&lt;&gt;"Pago IVA",C1782&lt;&gt;"Compensación ISR",C1782&lt;&gt;"Compensación IVA"),AND(C1782="Gasto",D1782&lt;&gt;"Costos clínicos",D1782&lt;&gt;"Remuneración familiar",D1782&lt;&gt;"Nómina y honorarios",D1782&lt;&gt;"Renta",D1782&lt;&gt;"Marketing",D1782&lt;&gt;"Servicios y software",D1782&lt;&gt;"Mantenimiento",D1782&lt;&gt;"Otros",D1782&lt;&gt;"Intereses")),"Tipo o categoría inválido",IF(COUNTA(A1782:J1782)=0,"",IF(OR(A1782="",B1782="",C1782="",H1782=""),"Faltan datos",IF(COUNTIF($A$7:$A$2006,A1782)&gt;1,"ID duplicado",IF(OR(B1782&lt;DATE(Configuración!$C$5,1,1),B1782&gt;=DATE(Configuración!$C$5+1,1,1)),"Fecha fuera del año",IF(OR(H1782&lt;0,I1782&lt;0),"Revisar signo",IF(AND(C1782&lt;&gt;"Gasto",I1782&lt;&gt;0),"IVA solo en Gasto",IF(AND(C1782="Gasto",D1782=""),"Falta categoría","OK")))))))))</f>
        <v/>
      </c>
    </row>
    <row r="1783" spans="1:12" ht="22" customHeight="1">
      <c r="A1783" s="3"/>
      <c r="B1783" s="7"/>
      <c r="C1783" s="3"/>
      <c r="D1783" s="3"/>
      <c r="E1783" s="3"/>
      <c r="F1783" s="3"/>
      <c r="G1783" s="3"/>
      <c r="H1783" s="4"/>
      <c r="I1783" s="4"/>
      <c r="J1783" s="3"/>
      <c r="K1783" s="8" t="str">
        <f t="shared" si="27"/>
        <v/>
      </c>
      <c r="L1783" s="1" t="str">
        <f>IF(COUNTA(A1783:J1783)=0,"",IF(OR(AND(C1783&lt;&gt;"Gasto",C1783&lt;&gt;"Pago proveedor",C1783&lt;&gt;"Retiro familiar",C1783&lt;&gt;"Aportación",C1783&lt;&gt;"Pago activo",C1783&lt;&gt;"ISR devengado",C1783&lt;&gt;"Pago ISR",C1783&lt;&gt;"Pago IVA",C1783&lt;&gt;"Compensación ISR",C1783&lt;&gt;"Compensación IVA"),AND(C1783="Gasto",D1783&lt;&gt;"Costos clínicos",D1783&lt;&gt;"Remuneración familiar",D1783&lt;&gt;"Nómina y honorarios",D1783&lt;&gt;"Renta",D1783&lt;&gt;"Marketing",D1783&lt;&gt;"Servicios y software",D1783&lt;&gt;"Mantenimiento",D1783&lt;&gt;"Otros",D1783&lt;&gt;"Intereses")),"Tipo o categoría inválido",IF(COUNTA(A1783:J1783)=0,"",IF(OR(A1783="",B1783="",C1783="",H1783=""),"Faltan datos",IF(COUNTIF($A$7:$A$2006,A1783)&gt;1,"ID duplicado",IF(OR(B1783&lt;DATE(Configuración!$C$5,1,1),B1783&gt;=DATE(Configuración!$C$5+1,1,1)),"Fecha fuera del año",IF(OR(H1783&lt;0,I1783&lt;0),"Revisar signo",IF(AND(C1783&lt;&gt;"Gasto",I1783&lt;&gt;0),"IVA solo en Gasto",IF(AND(C1783="Gasto",D1783=""),"Falta categoría","OK")))))))))</f>
        <v/>
      </c>
    </row>
    <row r="1784" spans="1:12" ht="22" customHeight="1">
      <c r="A1784" s="3"/>
      <c r="B1784" s="7"/>
      <c r="C1784" s="3"/>
      <c r="D1784" s="3"/>
      <c r="E1784" s="3"/>
      <c r="F1784" s="3"/>
      <c r="G1784" s="3"/>
      <c r="H1784" s="4"/>
      <c r="I1784" s="4"/>
      <c r="J1784" s="3"/>
      <c r="K1784" s="8" t="str">
        <f t="shared" si="27"/>
        <v/>
      </c>
      <c r="L1784" s="1" t="str">
        <f>IF(COUNTA(A1784:J1784)=0,"",IF(OR(AND(C1784&lt;&gt;"Gasto",C1784&lt;&gt;"Pago proveedor",C1784&lt;&gt;"Retiro familiar",C1784&lt;&gt;"Aportación",C1784&lt;&gt;"Pago activo",C1784&lt;&gt;"ISR devengado",C1784&lt;&gt;"Pago ISR",C1784&lt;&gt;"Pago IVA",C1784&lt;&gt;"Compensación ISR",C1784&lt;&gt;"Compensación IVA"),AND(C1784="Gasto",D1784&lt;&gt;"Costos clínicos",D1784&lt;&gt;"Remuneración familiar",D1784&lt;&gt;"Nómina y honorarios",D1784&lt;&gt;"Renta",D1784&lt;&gt;"Marketing",D1784&lt;&gt;"Servicios y software",D1784&lt;&gt;"Mantenimiento",D1784&lt;&gt;"Otros",D1784&lt;&gt;"Intereses")),"Tipo o categoría inválido",IF(COUNTA(A1784:J1784)=0,"",IF(OR(A1784="",B1784="",C1784="",H1784=""),"Faltan datos",IF(COUNTIF($A$7:$A$2006,A1784)&gt;1,"ID duplicado",IF(OR(B1784&lt;DATE(Configuración!$C$5,1,1),B1784&gt;=DATE(Configuración!$C$5+1,1,1)),"Fecha fuera del año",IF(OR(H1784&lt;0,I1784&lt;0),"Revisar signo",IF(AND(C1784&lt;&gt;"Gasto",I1784&lt;&gt;0),"IVA solo en Gasto",IF(AND(C1784="Gasto",D1784=""),"Falta categoría","OK")))))))))</f>
        <v/>
      </c>
    </row>
    <row r="1785" spans="1:12" ht="22" customHeight="1">
      <c r="A1785" s="3"/>
      <c r="B1785" s="7"/>
      <c r="C1785" s="3"/>
      <c r="D1785" s="3"/>
      <c r="E1785" s="3"/>
      <c r="F1785" s="3"/>
      <c r="G1785" s="3"/>
      <c r="H1785" s="4"/>
      <c r="I1785" s="4"/>
      <c r="J1785" s="3"/>
      <c r="K1785" s="8" t="str">
        <f t="shared" si="27"/>
        <v/>
      </c>
      <c r="L1785" s="1" t="str">
        <f>IF(COUNTA(A1785:J1785)=0,"",IF(OR(AND(C1785&lt;&gt;"Gasto",C1785&lt;&gt;"Pago proveedor",C1785&lt;&gt;"Retiro familiar",C1785&lt;&gt;"Aportación",C1785&lt;&gt;"Pago activo",C1785&lt;&gt;"ISR devengado",C1785&lt;&gt;"Pago ISR",C1785&lt;&gt;"Pago IVA",C1785&lt;&gt;"Compensación ISR",C1785&lt;&gt;"Compensación IVA"),AND(C1785="Gasto",D1785&lt;&gt;"Costos clínicos",D1785&lt;&gt;"Remuneración familiar",D1785&lt;&gt;"Nómina y honorarios",D1785&lt;&gt;"Renta",D1785&lt;&gt;"Marketing",D1785&lt;&gt;"Servicios y software",D1785&lt;&gt;"Mantenimiento",D1785&lt;&gt;"Otros",D1785&lt;&gt;"Intereses")),"Tipo o categoría inválido",IF(COUNTA(A1785:J1785)=0,"",IF(OR(A1785="",B1785="",C1785="",H1785=""),"Faltan datos",IF(COUNTIF($A$7:$A$2006,A1785)&gt;1,"ID duplicado",IF(OR(B1785&lt;DATE(Configuración!$C$5,1,1),B1785&gt;=DATE(Configuración!$C$5+1,1,1)),"Fecha fuera del año",IF(OR(H1785&lt;0,I1785&lt;0),"Revisar signo",IF(AND(C1785&lt;&gt;"Gasto",I1785&lt;&gt;0),"IVA solo en Gasto",IF(AND(C1785="Gasto",D1785=""),"Falta categoría","OK")))))))))</f>
        <v/>
      </c>
    </row>
    <row r="1786" spans="1:12" ht="22" customHeight="1">
      <c r="A1786" s="3"/>
      <c r="B1786" s="7"/>
      <c r="C1786" s="3"/>
      <c r="D1786" s="3"/>
      <c r="E1786" s="3"/>
      <c r="F1786" s="3"/>
      <c r="G1786" s="3"/>
      <c r="H1786" s="4"/>
      <c r="I1786" s="4"/>
      <c r="J1786" s="3"/>
      <c r="K1786" s="8" t="str">
        <f t="shared" si="27"/>
        <v/>
      </c>
      <c r="L1786" s="1" t="str">
        <f>IF(COUNTA(A1786:J1786)=0,"",IF(OR(AND(C1786&lt;&gt;"Gasto",C1786&lt;&gt;"Pago proveedor",C1786&lt;&gt;"Retiro familiar",C1786&lt;&gt;"Aportación",C1786&lt;&gt;"Pago activo",C1786&lt;&gt;"ISR devengado",C1786&lt;&gt;"Pago ISR",C1786&lt;&gt;"Pago IVA",C1786&lt;&gt;"Compensación ISR",C1786&lt;&gt;"Compensación IVA"),AND(C1786="Gasto",D1786&lt;&gt;"Costos clínicos",D1786&lt;&gt;"Remuneración familiar",D1786&lt;&gt;"Nómina y honorarios",D1786&lt;&gt;"Renta",D1786&lt;&gt;"Marketing",D1786&lt;&gt;"Servicios y software",D1786&lt;&gt;"Mantenimiento",D1786&lt;&gt;"Otros",D1786&lt;&gt;"Intereses")),"Tipo o categoría inválido",IF(COUNTA(A1786:J1786)=0,"",IF(OR(A1786="",B1786="",C1786="",H1786=""),"Faltan datos",IF(COUNTIF($A$7:$A$2006,A1786)&gt;1,"ID duplicado",IF(OR(B1786&lt;DATE(Configuración!$C$5,1,1),B1786&gt;=DATE(Configuración!$C$5+1,1,1)),"Fecha fuera del año",IF(OR(H1786&lt;0,I1786&lt;0),"Revisar signo",IF(AND(C1786&lt;&gt;"Gasto",I1786&lt;&gt;0),"IVA solo en Gasto",IF(AND(C1786="Gasto",D1786=""),"Falta categoría","OK")))))))))</f>
        <v/>
      </c>
    </row>
    <row r="1787" spans="1:12" ht="22" customHeight="1">
      <c r="A1787" s="3"/>
      <c r="B1787" s="7"/>
      <c r="C1787" s="3"/>
      <c r="D1787" s="3"/>
      <c r="E1787" s="3"/>
      <c r="F1787" s="3"/>
      <c r="G1787" s="3"/>
      <c r="H1787" s="4"/>
      <c r="I1787" s="4"/>
      <c r="J1787" s="3"/>
      <c r="K1787" s="8" t="str">
        <f t="shared" si="27"/>
        <v/>
      </c>
      <c r="L1787" s="1" t="str">
        <f>IF(COUNTA(A1787:J1787)=0,"",IF(OR(AND(C1787&lt;&gt;"Gasto",C1787&lt;&gt;"Pago proveedor",C1787&lt;&gt;"Retiro familiar",C1787&lt;&gt;"Aportación",C1787&lt;&gt;"Pago activo",C1787&lt;&gt;"ISR devengado",C1787&lt;&gt;"Pago ISR",C1787&lt;&gt;"Pago IVA",C1787&lt;&gt;"Compensación ISR",C1787&lt;&gt;"Compensación IVA"),AND(C1787="Gasto",D1787&lt;&gt;"Costos clínicos",D1787&lt;&gt;"Remuneración familiar",D1787&lt;&gt;"Nómina y honorarios",D1787&lt;&gt;"Renta",D1787&lt;&gt;"Marketing",D1787&lt;&gt;"Servicios y software",D1787&lt;&gt;"Mantenimiento",D1787&lt;&gt;"Otros",D1787&lt;&gt;"Intereses")),"Tipo o categoría inválido",IF(COUNTA(A1787:J1787)=0,"",IF(OR(A1787="",B1787="",C1787="",H1787=""),"Faltan datos",IF(COUNTIF($A$7:$A$2006,A1787)&gt;1,"ID duplicado",IF(OR(B1787&lt;DATE(Configuración!$C$5,1,1),B1787&gt;=DATE(Configuración!$C$5+1,1,1)),"Fecha fuera del año",IF(OR(H1787&lt;0,I1787&lt;0),"Revisar signo",IF(AND(C1787&lt;&gt;"Gasto",I1787&lt;&gt;0),"IVA solo en Gasto",IF(AND(C1787="Gasto",D1787=""),"Falta categoría","OK")))))))))</f>
        <v/>
      </c>
    </row>
    <row r="1788" spans="1:12" ht="22" customHeight="1">
      <c r="A1788" s="3"/>
      <c r="B1788" s="7"/>
      <c r="C1788" s="3"/>
      <c r="D1788" s="3"/>
      <c r="E1788" s="3"/>
      <c r="F1788" s="3"/>
      <c r="G1788" s="3"/>
      <c r="H1788" s="4"/>
      <c r="I1788" s="4"/>
      <c r="J1788" s="3"/>
      <c r="K1788" s="8" t="str">
        <f t="shared" si="27"/>
        <v/>
      </c>
      <c r="L1788" s="1" t="str">
        <f>IF(COUNTA(A1788:J1788)=0,"",IF(OR(AND(C1788&lt;&gt;"Gasto",C1788&lt;&gt;"Pago proveedor",C1788&lt;&gt;"Retiro familiar",C1788&lt;&gt;"Aportación",C1788&lt;&gt;"Pago activo",C1788&lt;&gt;"ISR devengado",C1788&lt;&gt;"Pago ISR",C1788&lt;&gt;"Pago IVA",C1788&lt;&gt;"Compensación ISR",C1788&lt;&gt;"Compensación IVA"),AND(C1788="Gasto",D1788&lt;&gt;"Costos clínicos",D1788&lt;&gt;"Remuneración familiar",D1788&lt;&gt;"Nómina y honorarios",D1788&lt;&gt;"Renta",D1788&lt;&gt;"Marketing",D1788&lt;&gt;"Servicios y software",D1788&lt;&gt;"Mantenimiento",D1788&lt;&gt;"Otros",D1788&lt;&gt;"Intereses")),"Tipo o categoría inválido",IF(COUNTA(A1788:J1788)=0,"",IF(OR(A1788="",B1788="",C1788="",H1788=""),"Faltan datos",IF(COUNTIF($A$7:$A$2006,A1788)&gt;1,"ID duplicado",IF(OR(B1788&lt;DATE(Configuración!$C$5,1,1),B1788&gt;=DATE(Configuración!$C$5+1,1,1)),"Fecha fuera del año",IF(OR(H1788&lt;0,I1788&lt;0),"Revisar signo",IF(AND(C1788&lt;&gt;"Gasto",I1788&lt;&gt;0),"IVA solo en Gasto",IF(AND(C1788="Gasto",D1788=""),"Falta categoría","OK")))))))))</f>
        <v/>
      </c>
    </row>
    <row r="1789" spans="1:12" ht="22" customHeight="1">
      <c r="A1789" s="3"/>
      <c r="B1789" s="7"/>
      <c r="C1789" s="3"/>
      <c r="D1789" s="3"/>
      <c r="E1789" s="3"/>
      <c r="F1789" s="3"/>
      <c r="G1789" s="3"/>
      <c r="H1789" s="4"/>
      <c r="I1789" s="4"/>
      <c r="J1789" s="3"/>
      <c r="K1789" s="8" t="str">
        <f t="shared" si="27"/>
        <v/>
      </c>
      <c r="L1789" s="1" t="str">
        <f>IF(COUNTA(A1789:J1789)=0,"",IF(OR(AND(C1789&lt;&gt;"Gasto",C1789&lt;&gt;"Pago proveedor",C1789&lt;&gt;"Retiro familiar",C1789&lt;&gt;"Aportación",C1789&lt;&gt;"Pago activo",C1789&lt;&gt;"ISR devengado",C1789&lt;&gt;"Pago ISR",C1789&lt;&gt;"Pago IVA",C1789&lt;&gt;"Compensación ISR",C1789&lt;&gt;"Compensación IVA"),AND(C1789="Gasto",D1789&lt;&gt;"Costos clínicos",D1789&lt;&gt;"Remuneración familiar",D1789&lt;&gt;"Nómina y honorarios",D1789&lt;&gt;"Renta",D1789&lt;&gt;"Marketing",D1789&lt;&gt;"Servicios y software",D1789&lt;&gt;"Mantenimiento",D1789&lt;&gt;"Otros",D1789&lt;&gt;"Intereses")),"Tipo o categoría inválido",IF(COUNTA(A1789:J1789)=0,"",IF(OR(A1789="",B1789="",C1789="",H1789=""),"Faltan datos",IF(COUNTIF($A$7:$A$2006,A1789)&gt;1,"ID duplicado",IF(OR(B1789&lt;DATE(Configuración!$C$5,1,1),B1789&gt;=DATE(Configuración!$C$5+1,1,1)),"Fecha fuera del año",IF(OR(H1789&lt;0,I1789&lt;0),"Revisar signo",IF(AND(C1789&lt;&gt;"Gasto",I1789&lt;&gt;0),"IVA solo en Gasto",IF(AND(C1789="Gasto",D1789=""),"Falta categoría","OK")))))))))</f>
        <v/>
      </c>
    </row>
    <row r="1790" spans="1:12" ht="22" customHeight="1">
      <c r="A1790" s="3"/>
      <c r="B1790" s="7"/>
      <c r="C1790" s="3"/>
      <c r="D1790" s="3"/>
      <c r="E1790" s="3"/>
      <c r="F1790" s="3"/>
      <c r="G1790" s="3"/>
      <c r="H1790" s="4"/>
      <c r="I1790" s="4"/>
      <c r="J1790" s="3"/>
      <c r="K1790" s="8" t="str">
        <f t="shared" si="27"/>
        <v/>
      </c>
      <c r="L1790" s="1" t="str">
        <f>IF(COUNTA(A1790:J1790)=0,"",IF(OR(AND(C1790&lt;&gt;"Gasto",C1790&lt;&gt;"Pago proveedor",C1790&lt;&gt;"Retiro familiar",C1790&lt;&gt;"Aportación",C1790&lt;&gt;"Pago activo",C1790&lt;&gt;"ISR devengado",C1790&lt;&gt;"Pago ISR",C1790&lt;&gt;"Pago IVA",C1790&lt;&gt;"Compensación ISR",C1790&lt;&gt;"Compensación IVA"),AND(C1790="Gasto",D1790&lt;&gt;"Costos clínicos",D1790&lt;&gt;"Remuneración familiar",D1790&lt;&gt;"Nómina y honorarios",D1790&lt;&gt;"Renta",D1790&lt;&gt;"Marketing",D1790&lt;&gt;"Servicios y software",D1790&lt;&gt;"Mantenimiento",D1790&lt;&gt;"Otros",D1790&lt;&gt;"Intereses")),"Tipo o categoría inválido",IF(COUNTA(A1790:J1790)=0,"",IF(OR(A1790="",B1790="",C1790="",H1790=""),"Faltan datos",IF(COUNTIF($A$7:$A$2006,A1790)&gt;1,"ID duplicado",IF(OR(B1790&lt;DATE(Configuración!$C$5,1,1),B1790&gt;=DATE(Configuración!$C$5+1,1,1)),"Fecha fuera del año",IF(OR(H1790&lt;0,I1790&lt;0),"Revisar signo",IF(AND(C1790&lt;&gt;"Gasto",I1790&lt;&gt;0),"IVA solo en Gasto",IF(AND(C1790="Gasto",D1790=""),"Falta categoría","OK")))))))))</f>
        <v/>
      </c>
    </row>
    <row r="1791" spans="1:12" ht="22" customHeight="1">
      <c r="A1791" s="3"/>
      <c r="B1791" s="7"/>
      <c r="C1791" s="3"/>
      <c r="D1791" s="3"/>
      <c r="E1791" s="3"/>
      <c r="F1791" s="3"/>
      <c r="G1791" s="3"/>
      <c r="H1791" s="4"/>
      <c r="I1791" s="4"/>
      <c r="J1791" s="3"/>
      <c r="K1791" s="8" t="str">
        <f t="shared" si="27"/>
        <v/>
      </c>
      <c r="L1791" s="1" t="str">
        <f>IF(COUNTA(A1791:J1791)=0,"",IF(OR(AND(C1791&lt;&gt;"Gasto",C1791&lt;&gt;"Pago proveedor",C1791&lt;&gt;"Retiro familiar",C1791&lt;&gt;"Aportación",C1791&lt;&gt;"Pago activo",C1791&lt;&gt;"ISR devengado",C1791&lt;&gt;"Pago ISR",C1791&lt;&gt;"Pago IVA",C1791&lt;&gt;"Compensación ISR",C1791&lt;&gt;"Compensación IVA"),AND(C1791="Gasto",D1791&lt;&gt;"Costos clínicos",D1791&lt;&gt;"Remuneración familiar",D1791&lt;&gt;"Nómina y honorarios",D1791&lt;&gt;"Renta",D1791&lt;&gt;"Marketing",D1791&lt;&gt;"Servicios y software",D1791&lt;&gt;"Mantenimiento",D1791&lt;&gt;"Otros",D1791&lt;&gt;"Intereses")),"Tipo o categoría inválido",IF(COUNTA(A1791:J1791)=0,"",IF(OR(A1791="",B1791="",C1791="",H1791=""),"Faltan datos",IF(COUNTIF($A$7:$A$2006,A1791)&gt;1,"ID duplicado",IF(OR(B1791&lt;DATE(Configuración!$C$5,1,1),B1791&gt;=DATE(Configuración!$C$5+1,1,1)),"Fecha fuera del año",IF(OR(H1791&lt;0,I1791&lt;0),"Revisar signo",IF(AND(C1791&lt;&gt;"Gasto",I1791&lt;&gt;0),"IVA solo en Gasto",IF(AND(C1791="Gasto",D1791=""),"Falta categoría","OK")))))))))</f>
        <v/>
      </c>
    </row>
    <row r="1792" spans="1:12" ht="22" customHeight="1">
      <c r="A1792" s="3"/>
      <c r="B1792" s="7"/>
      <c r="C1792" s="3"/>
      <c r="D1792" s="3"/>
      <c r="E1792" s="3"/>
      <c r="F1792" s="3"/>
      <c r="G1792" s="3"/>
      <c r="H1792" s="4"/>
      <c r="I1792" s="4"/>
      <c r="J1792" s="3"/>
      <c r="K1792" s="8" t="str">
        <f t="shared" si="27"/>
        <v/>
      </c>
      <c r="L1792" s="1" t="str">
        <f>IF(COUNTA(A1792:J1792)=0,"",IF(OR(AND(C1792&lt;&gt;"Gasto",C1792&lt;&gt;"Pago proveedor",C1792&lt;&gt;"Retiro familiar",C1792&lt;&gt;"Aportación",C1792&lt;&gt;"Pago activo",C1792&lt;&gt;"ISR devengado",C1792&lt;&gt;"Pago ISR",C1792&lt;&gt;"Pago IVA",C1792&lt;&gt;"Compensación ISR",C1792&lt;&gt;"Compensación IVA"),AND(C1792="Gasto",D1792&lt;&gt;"Costos clínicos",D1792&lt;&gt;"Remuneración familiar",D1792&lt;&gt;"Nómina y honorarios",D1792&lt;&gt;"Renta",D1792&lt;&gt;"Marketing",D1792&lt;&gt;"Servicios y software",D1792&lt;&gt;"Mantenimiento",D1792&lt;&gt;"Otros",D1792&lt;&gt;"Intereses")),"Tipo o categoría inválido",IF(COUNTA(A1792:J1792)=0,"",IF(OR(A1792="",B1792="",C1792="",H1792=""),"Faltan datos",IF(COUNTIF($A$7:$A$2006,A1792)&gt;1,"ID duplicado",IF(OR(B1792&lt;DATE(Configuración!$C$5,1,1),B1792&gt;=DATE(Configuración!$C$5+1,1,1)),"Fecha fuera del año",IF(OR(H1792&lt;0,I1792&lt;0),"Revisar signo",IF(AND(C1792&lt;&gt;"Gasto",I1792&lt;&gt;0),"IVA solo en Gasto",IF(AND(C1792="Gasto",D1792=""),"Falta categoría","OK")))))))))</f>
        <v/>
      </c>
    </row>
    <row r="1793" spans="1:12" ht="22" customHeight="1">
      <c r="A1793" s="3"/>
      <c r="B1793" s="7"/>
      <c r="C1793" s="3"/>
      <c r="D1793" s="3"/>
      <c r="E1793" s="3"/>
      <c r="F1793" s="3"/>
      <c r="G1793" s="3"/>
      <c r="H1793" s="4"/>
      <c r="I1793" s="4"/>
      <c r="J1793" s="3"/>
      <c r="K1793" s="8" t="str">
        <f t="shared" si="27"/>
        <v/>
      </c>
      <c r="L1793" s="1" t="str">
        <f>IF(COUNTA(A1793:J1793)=0,"",IF(OR(AND(C1793&lt;&gt;"Gasto",C1793&lt;&gt;"Pago proveedor",C1793&lt;&gt;"Retiro familiar",C1793&lt;&gt;"Aportación",C1793&lt;&gt;"Pago activo",C1793&lt;&gt;"ISR devengado",C1793&lt;&gt;"Pago ISR",C1793&lt;&gt;"Pago IVA",C1793&lt;&gt;"Compensación ISR",C1793&lt;&gt;"Compensación IVA"),AND(C1793="Gasto",D1793&lt;&gt;"Costos clínicos",D1793&lt;&gt;"Remuneración familiar",D1793&lt;&gt;"Nómina y honorarios",D1793&lt;&gt;"Renta",D1793&lt;&gt;"Marketing",D1793&lt;&gt;"Servicios y software",D1793&lt;&gt;"Mantenimiento",D1793&lt;&gt;"Otros",D1793&lt;&gt;"Intereses")),"Tipo o categoría inválido",IF(COUNTA(A1793:J1793)=0,"",IF(OR(A1793="",B1793="",C1793="",H1793=""),"Faltan datos",IF(COUNTIF($A$7:$A$2006,A1793)&gt;1,"ID duplicado",IF(OR(B1793&lt;DATE(Configuración!$C$5,1,1),B1793&gt;=DATE(Configuración!$C$5+1,1,1)),"Fecha fuera del año",IF(OR(H1793&lt;0,I1793&lt;0),"Revisar signo",IF(AND(C1793&lt;&gt;"Gasto",I1793&lt;&gt;0),"IVA solo en Gasto",IF(AND(C1793="Gasto",D1793=""),"Falta categoría","OK")))))))))</f>
        <v/>
      </c>
    </row>
    <row r="1794" spans="1:12" ht="22" customHeight="1">
      <c r="A1794" s="3"/>
      <c r="B1794" s="7"/>
      <c r="C1794" s="3"/>
      <c r="D1794" s="3"/>
      <c r="E1794" s="3"/>
      <c r="F1794" s="3"/>
      <c r="G1794" s="3"/>
      <c r="H1794" s="4"/>
      <c r="I1794" s="4"/>
      <c r="J1794" s="3"/>
      <c r="K1794" s="8" t="str">
        <f t="shared" si="27"/>
        <v/>
      </c>
      <c r="L1794" s="1" t="str">
        <f>IF(COUNTA(A1794:J1794)=0,"",IF(OR(AND(C1794&lt;&gt;"Gasto",C1794&lt;&gt;"Pago proveedor",C1794&lt;&gt;"Retiro familiar",C1794&lt;&gt;"Aportación",C1794&lt;&gt;"Pago activo",C1794&lt;&gt;"ISR devengado",C1794&lt;&gt;"Pago ISR",C1794&lt;&gt;"Pago IVA",C1794&lt;&gt;"Compensación ISR",C1794&lt;&gt;"Compensación IVA"),AND(C1794="Gasto",D1794&lt;&gt;"Costos clínicos",D1794&lt;&gt;"Remuneración familiar",D1794&lt;&gt;"Nómina y honorarios",D1794&lt;&gt;"Renta",D1794&lt;&gt;"Marketing",D1794&lt;&gt;"Servicios y software",D1794&lt;&gt;"Mantenimiento",D1794&lt;&gt;"Otros",D1794&lt;&gt;"Intereses")),"Tipo o categoría inválido",IF(COUNTA(A1794:J1794)=0,"",IF(OR(A1794="",B1794="",C1794="",H1794=""),"Faltan datos",IF(COUNTIF($A$7:$A$2006,A1794)&gt;1,"ID duplicado",IF(OR(B1794&lt;DATE(Configuración!$C$5,1,1),B1794&gt;=DATE(Configuración!$C$5+1,1,1)),"Fecha fuera del año",IF(OR(H1794&lt;0,I1794&lt;0),"Revisar signo",IF(AND(C1794&lt;&gt;"Gasto",I1794&lt;&gt;0),"IVA solo en Gasto",IF(AND(C1794="Gasto",D1794=""),"Falta categoría","OK")))))))))</f>
        <v/>
      </c>
    </row>
    <row r="1795" spans="1:12" ht="22" customHeight="1">
      <c r="A1795" s="3"/>
      <c r="B1795" s="7"/>
      <c r="C1795" s="3"/>
      <c r="D1795" s="3"/>
      <c r="E1795" s="3"/>
      <c r="F1795" s="3"/>
      <c r="G1795" s="3"/>
      <c r="H1795" s="4"/>
      <c r="I1795" s="4"/>
      <c r="J1795" s="3"/>
      <c r="K1795" s="8" t="str">
        <f t="shared" si="27"/>
        <v/>
      </c>
      <c r="L1795" s="1" t="str">
        <f>IF(COUNTA(A1795:J1795)=0,"",IF(OR(AND(C1795&lt;&gt;"Gasto",C1795&lt;&gt;"Pago proveedor",C1795&lt;&gt;"Retiro familiar",C1795&lt;&gt;"Aportación",C1795&lt;&gt;"Pago activo",C1795&lt;&gt;"ISR devengado",C1795&lt;&gt;"Pago ISR",C1795&lt;&gt;"Pago IVA",C1795&lt;&gt;"Compensación ISR",C1795&lt;&gt;"Compensación IVA"),AND(C1795="Gasto",D1795&lt;&gt;"Costos clínicos",D1795&lt;&gt;"Remuneración familiar",D1795&lt;&gt;"Nómina y honorarios",D1795&lt;&gt;"Renta",D1795&lt;&gt;"Marketing",D1795&lt;&gt;"Servicios y software",D1795&lt;&gt;"Mantenimiento",D1795&lt;&gt;"Otros",D1795&lt;&gt;"Intereses")),"Tipo o categoría inválido",IF(COUNTA(A1795:J1795)=0,"",IF(OR(A1795="",B1795="",C1795="",H1795=""),"Faltan datos",IF(COUNTIF($A$7:$A$2006,A1795)&gt;1,"ID duplicado",IF(OR(B1795&lt;DATE(Configuración!$C$5,1,1),B1795&gt;=DATE(Configuración!$C$5+1,1,1)),"Fecha fuera del año",IF(OR(H1795&lt;0,I1795&lt;0),"Revisar signo",IF(AND(C1795&lt;&gt;"Gasto",I1795&lt;&gt;0),"IVA solo en Gasto",IF(AND(C1795="Gasto",D1795=""),"Falta categoría","OK")))))))))</f>
        <v/>
      </c>
    </row>
    <row r="1796" spans="1:12" ht="22" customHeight="1">
      <c r="A1796" s="3"/>
      <c r="B1796" s="7"/>
      <c r="C1796" s="3"/>
      <c r="D1796" s="3"/>
      <c r="E1796" s="3"/>
      <c r="F1796" s="3"/>
      <c r="G1796" s="3"/>
      <c r="H1796" s="4"/>
      <c r="I1796" s="4"/>
      <c r="J1796" s="3"/>
      <c r="K1796" s="8" t="str">
        <f t="shared" si="27"/>
        <v/>
      </c>
      <c r="L1796" s="1" t="str">
        <f>IF(COUNTA(A1796:J1796)=0,"",IF(OR(AND(C1796&lt;&gt;"Gasto",C1796&lt;&gt;"Pago proveedor",C1796&lt;&gt;"Retiro familiar",C1796&lt;&gt;"Aportación",C1796&lt;&gt;"Pago activo",C1796&lt;&gt;"ISR devengado",C1796&lt;&gt;"Pago ISR",C1796&lt;&gt;"Pago IVA",C1796&lt;&gt;"Compensación ISR",C1796&lt;&gt;"Compensación IVA"),AND(C1796="Gasto",D1796&lt;&gt;"Costos clínicos",D1796&lt;&gt;"Remuneración familiar",D1796&lt;&gt;"Nómina y honorarios",D1796&lt;&gt;"Renta",D1796&lt;&gt;"Marketing",D1796&lt;&gt;"Servicios y software",D1796&lt;&gt;"Mantenimiento",D1796&lt;&gt;"Otros",D1796&lt;&gt;"Intereses")),"Tipo o categoría inválido",IF(COUNTA(A1796:J1796)=0,"",IF(OR(A1796="",B1796="",C1796="",H1796=""),"Faltan datos",IF(COUNTIF($A$7:$A$2006,A1796)&gt;1,"ID duplicado",IF(OR(B1796&lt;DATE(Configuración!$C$5,1,1),B1796&gt;=DATE(Configuración!$C$5+1,1,1)),"Fecha fuera del año",IF(OR(H1796&lt;0,I1796&lt;0),"Revisar signo",IF(AND(C1796&lt;&gt;"Gasto",I1796&lt;&gt;0),"IVA solo en Gasto",IF(AND(C1796="Gasto",D1796=""),"Falta categoría","OK")))))))))</f>
        <v/>
      </c>
    </row>
    <row r="1797" spans="1:12" ht="22" customHeight="1">
      <c r="A1797" s="3"/>
      <c r="B1797" s="7"/>
      <c r="C1797" s="3"/>
      <c r="D1797" s="3"/>
      <c r="E1797" s="3"/>
      <c r="F1797" s="3"/>
      <c r="G1797" s="3"/>
      <c r="H1797" s="4"/>
      <c r="I1797" s="4"/>
      <c r="J1797" s="3"/>
      <c r="K1797" s="8" t="str">
        <f t="shared" si="27"/>
        <v/>
      </c>
      <c r="L1797" s="1" t="str">
        <f>IF(COUNTA(A1797:J1797)=0,"",IF(OR(AND(C1797&lt;&gt;"Gasto",C1797&lt;&gt;"Pago proveedor",C1797&lt;&gt;"Retiro familiar",C1797&lt;&gt;"Aportación",C1797&lt;&gt;"Pago activo",C1797&lt;&gt;"ISR devengado",C1797&lt;&gt;"Pago ISR",C1797&lt;&gt;"Pago IVA",C1797&lt;&gt;"Compensación ISR",C1797&lt;&gt;"Compensación IVA"),AND(C1797="Gasto",D1797&lt;&gt;"Costos clínicos",D1797&lt;&gt;"Remuneración familiar",D1797&lt;&gt;"Nómina y honorarios",D1797&lt;&gt;"Renta",D1797&lt;&gt;"Marketing",D1797&lt;&gt;"Servicios y software",D1797&lt;&gt;"Mantenimiento",D1797&lt;&gt;"Otros",D1797&lt;&gt;"Intereses")),"Tipo o categoría inválido",IF(COUNTA(A1797:J1797)=0,"",IF(OR(A1797="",B1797="",C1797="",H1797=""),"Faltan datos",IF(COUNTIF($A$7:$A$2006,A1797)&gt;1,"ID duplicado",IF(OR(B1797&lt;DATE(Configuración!$C$5,1,1),B1797&gt;=DATE(Configuración!$C$5+1,1,1)),"Fecha fuera del año",IF(OR(H1797&lt;0,I1797&lt;0),"Revisar signo",IF(AND(C1797&lt;&gt;"Gasto",I1797&lt;&gt;0),"IVA solo en Gasto",IF(AND(C1797="Gasto",D1797=""),"Falta categoría","OK")))))))))</f>
        <v/>
      </c>
    </row>
    <row r="1798" spans="1:12" ht="22" customHeight="1">
      <c r="A1798" s="3"/>
      <c r="B1798" s="7"/>
      <c r="C1798" s="3"/>
      <c r="D1798" s="3"/>
      <c r="E1798" s="3"/>
      <c r="F1798" s="3"/>
      <c r="G1798" s="3"/>
      <c r="H1798" s="4"/>
      <c r="I1798" s="4"/>
      <c r="J1798" s="3"/>
      <c r="K1798" s="8" t="str">
        <f t="shared" si="27"/>
        <v/>
      </c>
      <c r="L1798" s="1" t="str">
        <f>IF(COUNTA(A1798:J1798)=0,"",IF(OR(AND(C1798&lt;&gt;"Gasto",C1798&lt;&gt;"Pago proveedor",C1798&lt;&gt;"Retiro familiar",C1798&lt;&gt;"Aportación",C1798&lt;&gt;"Pago activo",C1798&lt;&gt;"ISR devengado",C1798&lt;&gt;"Pago ISR",C1798&lt;&gt;"Pago IVA",C1798&lt;&gt;"Compensación ISR",C1798&lt;&gt;"Compensación IVA"),AND(C1798="Gasto",D1798&lt;&gt;"Costos clínicos",D1798&lt;&gt;"Remuneración familiar",D1798&lt;&gt;"Nómina y honorarios",D1798&lt;&gt;"Renta",D1798&lt;&gt;"Marketing",D1798&lt;&gt;"Servicios y software",D1798&lt;&gt;"Mantenimiento",D1798&lt;&gt;"Otros",D1798&lt;&gt;"Intereses")),"Tipo o categoría inválido",IF(COUNTA(A1798:J1798)=0,"",IF(OR(A1798="",B1798="",C1798="",H1798=""),"Faltan datos",IF(COUNTIF($A$7:$A$2006,A1798)&gt;1,"ID duplicado",IF(OR(B1798&lt;DATE(Configuración!$C$5,1,1),B1798&gt;=DATE(Configuración!$C$5+1,1,1)),"Fecha fuera del año",IF(OR(H1798&lt;0,I1798&lt;0),"Revisar signo",IF(AND(C1798&lt;&gt;"Gasto",I1798&lt;&gt;0),"IVA solo en Gasto",IF(AND(C1798="Gasto",D1798=""),"Falta categoría","OK")))))))))</f>
        <v/>
      </c>
    </row>
    <row r="1799" spans="1:12" ht="22" customHeight="1">
      <c r="A1799" s="3"/>
      <c r="B1799" s="7"/>
      <c r="C1799" s="3"/>
      <c r="D1799" s="3"/>
      <c r="E1799" s="3"/>
      <c r="F1799" s="3"/>
      <c r="G1799" s="3"/>
      <c r="H1799" s="4"/>
      <c r="I1799" s="4"/>
      <c r="J1799" s="3"/>
      <c r="K1799" s="8" t="str">
        <f t="shared" ref="K1799:K1862" si="28">IF(A1799="","",H1799+I1799)</f>
        <v/>
      </c>
      <c r="L1799" s="1" t="str">
        <f>IF(COUNTA(A1799:J1799)=0,"",IF(OR(AND(C1799&lt;&gt;"Gasto",C1799&lt;&gt;"Pago proveedor",C1799&lt;&gt;"Retiro familiar",C1799&lt;&gt;"Aportación",C1799&lt;&gt;"Pago activo",C1799&lt;&gt;"ISR devengado",C1799&lt;&gt;"Pago ISR",C1799&lt;&gt;"Pago IVA",C1799&lt;&gt;"Compensación ISR",C1799&lt;&gt;"Compensación IVA"),AND(C1799="Gasto",D1799&lt;&gt;"Costos clínicos",D1799&lt;&gt;"Remuneración familiar",D1799&lt;&gt;"Nómina y honorarios",D1799&lt;&gt;"Renta",D1799&lt;&gt;"Marketing",D1799&lt;&gt;"Servicios y software",D1799&lt;&gt;"Mantenimiento",D1799&lt;&gt;"Otros",D1799&lt;&gt;"Intereses")),"Tipo o categoría inválido",IF(COUNTA(A1799:J1799)=0,"",IF(OR(A1799="",B1799="",C1799="",H1799=""),"Faltan datos",IF(COUNTIF($A$7:$A$2006,A1799)&gt;1,"ID duplicado",IF(OR(B1799&lt;DATE(Configuración!$C$5,1,1),B1799&gt;=DATE(Configuración!$C$5+1,1,1)),"Fecha fuera del año",IF(OR(H1799&lt;0,I1799&lt;0),"Revisar signo",IF(AND(C1799&lt;&gt;"Gasto",I1799&lt;&gt;0),"IVA solo en Gasto",IF(AND(C1799="Gasto",D1799=""),"Falta categoría","OK")))))))))</f>
        <v/>
      </c>
    </row>
    <row r="1800" spans="1:12" ht="22" customHeight="1">
      <c r="A1800" s="3"/>
      <c r="B1800" s="7"/>
      <c r="C1800" s="3"/>
      <c r="D1800" s="3"/>
      <c r="E1800" s="3"/>
      <c r="F1800" s="3"/>
      <c r="G1800" s="3"/>
      <c r="H1800" s="4"/>
      <c r="I1800" s="4"/>
      <c r="J1800" s="3"/>
      <c r="K1800" s="8" t="str">
        <f t="shared" si="28"/>
        <v/>
      </c>
      <c r="L1800" s="1" t="str">
        <f>IF(COUNTA(A1800:J1800)=0,"",IF(OR(AND(C1800&lt;&gt;"Gasto",C1800&lt;&gt;"Pago proveedor",C1800&lt;&gt;"Retiro familiar",C1800&lt;&gt;"Aportación",C1800&lt;&gt;"Pago activo",C1800&lt;&gt;"ISR devengado",C1800&lt;&gt;"Pago ISR",C1800&lt;&gt;"Pago IVA",C1800&lt;&gt;"Compensación ISR",C1800&lt;&gt;"Compensación IVA"),AND(C1800="Gasto",D1800&lt;&gt;"Costos clínicos",D1800&lt;&gt;"Remuneración familiar",D1800&lt;&gt;"Nómina y honorarios",D1800&lt;&gt;"Renta",D1800&lt;&gt;"Marketing",D1800&lt;&gt;"Servicios y software",D1800&lt;&gt;"Mantenimiento",D1800&lt;&gt;"Otros",D1800&lt;&gt;"Intereses")),"Tipo o categoría inválido",IF(COUNTA(A1800:J1800)=0,"",IF(OR(A1800="",B1800="",C1800="",H1800=""),"Faltan datos",IF(COUNTIF($A$7:$A$2006,A1800)&gt;1,"ID duplicado",IF(OR(B1800&lt;DATE(Configuración!$C$5,1,1),B1800&gt;=DATE(Configuración!$C$5+1,1,1)),"Fecha fuera del año",IF(OR(H1800&lt;0,I1800&lt;0),"Revisar signo",IF(AND(C1800&lt;&gt;"Gasto",I1800&lt;&gt;0),"IVA solo en Gasto",IF(AND(C1800="Gasto",D1800=""),"Falta categoría","OK")))))))))</f>
        <v/>
      </c>
    </row>
    <row r="1801" spans="1:12" ht="22" customHeight="1">
      <c r="A1801" s="3"/>
      <c r="B1801" s="7"/>
      <c r="C1801" s="3"/>
      <c r="D1801" s="3"/>
      <c r="E1801" s="3"/>
      <c r="F1801" s="3"/>
      <c r="G1801" s="3"/>
      <c r="H1801" s="4"/>
      <c r="I1801" s="4"/>
      <c r="J1801" s="3"/>
      <c r="K1801" s="8" t="str">
        <f t="shared" si="28"/>
        <v/>
      </c>
      <c r="L1801" s="1" t="str">
        <f>IF(COUNTA(A1801:J1801)=0,"",IF(OR(AND(C1801&lt;&gt;"Gasto",C1801&lt;&gt;"Pago proveedor",C1801&lt;&gt;"Retiro familiar",C1801&lt;&gt;"Aportación",C1801&lt;&gt;"Pago activo",C1801&lt;&gt;"ISR devengado",C1801&lt;&gt;"Pago ISR",C1801&lt;&gt;"Pago IVA",C1801&lt;&gt;"Compensación ISR",C1801&lt;&gt;"Compensación IVA"),AND(C1801="Gasto",D1801&lt;&gt;"Costos clínicos",D1801&lt;&gt;"Remuneración familiar",D1801&lt;&gt;"Nómina y honorarios",D1801&lt;&gt;"Renta",D1801&lt;&gt;"Marketing",D1801&lt;&gt;"Servicios y software",D1801&lt;&gt;"Mantenimiento",D1801&lt;&gt;"Otros",D1801&lt;&gt;"Intereses")),"Tipo o categoría inválido",IF(COUNTA(A1801:J1801)=0,"",IF(OR(A1801="",B1801="",C1801="",H1801=""),"Faltan datos",IF(COUNTIF($A$7:$A$2006,A1801)&gt;1,"ID duplicado",IF(OR(B1801&lt;DATE(Configuración!$C$5,1,1),B1801&gt;=DATE(Configuración!$C$5+1,1,1)),"Fecha fuera del año",IF(OR(H1801&lt;0,I1801&lt;0),"Revisar signo",IF(AND(C1801&lt;&gt;"Gasto",I1801&lt;&gt;0),"IVA solo en Gasto",IF(AND(C1801="Gasto",D1801=""),"Falta categoría","OK")))))))))</f>
        <v/>
      </c>
    </row>
    <row r="1802" spans="1:12" ht="22" customHeight="1">
      <c r="A1802" s="3"/>
      <c r="B1802" s="7"/>
      <c r="C1802" s="3"/>
      <c r="D1802" s="3"/>
      <c r="E1802" s="3"/>
      <c r="F1802" s="3"/>
      <c r="G1802" s="3"/>
      <c r="H1802" s="4"/>
      <c r="I1802" s="4"/>
      <c r="J1802" s="3"/>
      <c r="K1802" s="8" t="str">
        <f t="shared" si="28"/>
        <v/>
      </c>
      <c r="L1802" s="1" t="str">
        <f>IF(COUNTA(A1802:J1802)=0,"",IF(OR(AND(C1802&lt;&gt;"Gasto",C1802&lt;&gt;"Pago proveedor",C1802&lt;&gt;"Retiro familiar",C1802&lt;&gt;"Aportación",C1802&lt;&gt;"Pago activo",C1802&lt;&gt;"ISR devengado",C1802&lt;&gt;"Pago ISR",C1802&lt;&gt;"Pago IVA",C1802&lt;&gt;"Compensación ISR",C1802&lt;&gt;"Compensación IVA"),AND(C1802="Gasto",D1802&lt;&gt;"Costos clínicos",D1802&lt;&gt;"Remuneración familiar",D1802&lt;&gt;"Nómina y honorarios",D1802&lt;&gt;"Renta",D1802&lt;&gt;"Marketing",D1802&lt;&gt;"Servicios y software",D1802&lt;&gt;"Mantenimiento",D1802&lt;&gt;"Otros",D1802&lt;&gt;"Intereses")),"Tipo o categoría inválido",IF(COUNTA(A1802:J1802)=0,"",IF(OR(A1802="",B1802="",C1802="",H1802=""),"Faltan datos",IF(COUNTIF($A$7:$A$2006,A1802)&gt;1,"ID duplicado",IF(OR(B1802&lt;DATE(Configuración!$C$5,1,1),B1802&gt;=DATE(Configuración!$C$5+1,1,1)),"Fecha fuera del año",IF(OR(H1802&lt;0,I1802&lt;0),"Revisar signo",IF(AND(C1802&lt;&gt;"Gasto",I1802&lt;&gt;0),"IVA solo en Gasto",IF(AND(C1802="Gasto",D1802=""),"Falta categoría","OK")))))))))</f>
        <v/>
      </c>
    </row>
    <row r="1803" spans="1:12" ht="22" customHeight="1">
      <c r="A1803" s="3"/>
      <c r="B1803" s="7"/>
      <c r="C1803" s="3"/>
      <c r="D1803" s="3"/>
      <c r="E1803" s="3"/>
      <c r="F1803" s="3"/>
      <c r="G1803" s="3"/>
      <c r="H1803" s="4"/>
      <c r="I1803" s="4"/>
      <c r="J1803" s="3"/>
      <c r="K1803" s="8" t="str">
        <f t="shared" si="28"/>
        <v/>
      </c>
      <c r="L1803" s="1" t="str">
        <f>IF(COUNTA(A1803:J1803)=0,"",IF(OR(AND(C1803&lt;&gt;"Gasto",C1803&lt;&gt;"Pago proveedor",C1803&lt;&gt;"Retiro familiar",C1803&lt;&gt;"Aportación",C1803&lt;&gt;"Pago activo",C1803&lt;&gt;"ISR devengado",C1803&lt;&gt;"Pago ISR",C1803&lt;&gt;"Pago IVA",C1803&lt;&gt;"Compensación ISR",C1803&lt;&gt;"Compensación IVA"),AND(C1803="Gasto",D1803&lt;&gt;"Costos clínicos",D1803&lt;&gt;"Remuneración familiar",D1803&lt;&gt;"Nómina y honorarios",D1803&lt;&gt;"Renta",D1803&lt;&gt;"Marketing",D1803&lt;&gt;"Servicios y software",D1803&lt;&gt;"Mantenimiento",D1803&lt;&gt;"Otros",D1803&lt;&gt;"Intereses")),"Tipo o categoría inválido",IF(COUNTA(A1803:J1803)=0,"",IF(OR(A1803="",B1803="",C1803="",H1803=""),"Faltan datos",IF(COUNTIF($A$7:$A$2006,A1803)&gt;1,"ID duplicado",IF(OR(B1803&lt;DATE(Configuración!$C$5,1,1),B1803&gt;=DATE(Configuración!$C$5+1,1,1)),"Fecha fuera del año",IF(OR(H1803&lt;0,I1803&lt;0),"Revisar signo",IF(AND(C1803&lt;&gt;"Gasto",I1803&lt;&gt;0),"IVA solo en Gasto",IF(AND(C1803="Gasto",D1803=""),"Falta categoría","OK")))))))))</f>
        <v/>
      </c>
    </row>
    <row r="1804" spans="1:12" ht="22" customHeight="1">
      <c r="A1804" s="3"/>
      <c r="B1804" s="7"/>
      <c r="C1804" s="3"/>
      <c r="D1804" s="3"/>
      <c r="E1804" s="3"/>
      <c r="F1804" s="3"/>
      <c r="G1804" s="3"/>
      <c r="H1804" s="4"/>
      <c r="I1804" s="4"/>
      <c r="J1804" s="3"/>
      <c r="K1804" s="8" t="str">
        <f t="shared" si="28"/>
        <v/>
      </c>
      <c r="L1804" s="1" t="str">
        <f>IF(COUNTA(A1804:J1804)=0,"",IF(OR(AND(C1804&lt;&gt;"Gasto",C1804&lt;&gt;"Pago proveedor",C1804&lt;&gt;"Retiro familiar",C1804&lt;&gt;"Aportación",C1804&lt;&gt;"Pago activo",C1804&lt;&gt;"ISR devengado",C1804&lt;&gt;"Pago ISR",C1804&lt;&gt;"Pago IVA",C1804&lt;&gt;"Compensación ISR",C1804&lt;&gt;"Compensación IVA"),AND(C1804="Gasto",D1804&lt;&gt;"Costos clínicos",D1804&lt;&gt;"Remuneración familiar",D1804&lt;&gt;"Nómina y honorarios",D1804&lt;&gt;"Renta",D1804&lt;&gt;"Marketing",D1804&lt;&gt;"Servicios y software",D1804&lt;&gt;"Mantenimiento",D1804&lt;&gt;"Otros",D1804&lt;&gt;"Intereses")),"Tipo o categoría inválido",IF(COUNTA(A1804:J1804)=0,"",IF(OR(A1804="",B1804="",C1804="",H1804=""),"Faltan datos",IF(COUNTIF($A$7:$A$2006,A1804)&gt;1,"ID duplicado",IF(OR(B1804&lt;DATE(Configuración!$C$5,1,1),B1804&gt;=DATE(Configuración!$C$5+1,1,1)),"Fecha fuera del año",IF(OR(H1804&lt;0,I1804&lt;0),"Revisar signo",IF(AND(C1804&lt;&gt;"Gasto",I1804&lt;&gt;0),"IVA solo en Gasto",IF(AND(C1804="Gasto",D1804=""),"Falta categoría","OK")))))))))</f>
        <v/>
      </c>
    </row>
    <row r="1805" spans="1:12" ht="22" customHeight="1">
      <c r="A1805" s="3"/>
      <c r="B1805" s="7"/>
      <c r="C1805" s="3"/>
      <c r="D1805" s="3"/>
      <c r="E1805" s="3"/>
      <c r="F1805" s="3"/>
      <c r="G1805" s="3"/>
      <c r="H1805" s="4"/>
      <c r="I1805" s="4"/>
      <c r="J1805" s="3"/>
      <c r="K1805" s="8" t="str">
        <f t="shared" si="28"/>
        <v/>
      </c>
      <c r="L1805" s="1" t="str">
        <f>IF(COUNTA(A1805:J1805)=0,"",IF(OR(AND(C1805&lt;&gt;"Gasto",C1805&lt;&gt;"Pago proveedor",C1805&lt;&gt;"Retiro familiar",C1805&lt;&gt;"Aportación",C1805&lt;&gt;"Pago activo",C1805&lt;&gt;"ISR devengado",C1805&lt;&gt;"Pago ISR",C1805&lt;&gt;"Pago IVA",C1805&lt;&gt;"Compensación ISR",C1805&lt;&gt;"Compensación IVA"),AND(C1805="Gasto",D1805&lt;&gt;"Costos clínicos",D1805&lt;&gt;"Remuneración familiar",D1805&lt;&gt;"Nómina y honorarios",D1805&lt;&gt;"Renta",D1805&lt;&gt;"Marketing",D1805&lt;&gt;"Servicios y software",D1805&lt;&gt;"Mantenimiento",D1805&lt;&gt;"Otros",D1805&lt;&gt;"Intereses")),"Tipo o categoría inválido",IF(COUNTA(A1805:J1805)=0,"",IF(OR(A1805="",B1805="",C1805="",H1805=""),"Faltan datos",IF(COUNTIF($A$7:$A$2006,A1805)&gt;1,"ID duplicado",IF(OR(B1805&lt;DATE(Configuración!$C$5,1,1),B1805&gt;=DATE(Configuración!$C$5+1,1,1)),"Fecha fuera del año",IF(OR(H1805&lt;0,I1805&lt;0),"Revisar signo",IF(AND(C1805&lt;&gt;"Gasto",I1805&lt;&gt;0),"IVA solo en Gasto",IF(AND(C1805="Gasto",D1805=""),"Falta categoría","OK")))))))))</f>
        <v/>
      </c>
    </row>
    <row r="1806" spans="1:12" ht="22" customHeight="1">
      <c r="A1806" s="3"/>
      <c r="B1806" s="7"/>
      <c r="C1806" s="3"/>
      <c r="D1806" s="3"/>
      <c r="E1806" s="3"/>
      <c r="F1806" s="3"/>
      <c r="G1806" s="3"/>
      <c r="H1806" s="4"/>
      <c r="I1806" s="4"/>
      <c r="J1806" s="3"/>
      <c r="K1806" s="8" t="str">
        <f t="shared" si="28"/>
        <v/>
      </c>
      <c r="L1806" s="1" t="str">
        <f>IF(COUNTA(A1806:J1806)=0,"",IF(OR(AND(C1806&lt;&gt;"Gasto",C1806&lt;&gt;"Pago proveedor",C1806&lt;&gt;"Retiro familiar",C1806&lt;&gt;"Aportación",C1806&lt;&gt;"Pago activo",C1806&lt;&gt;"ISR devengado",C1806&lt;&gt;"Pago ISR",C1806&lt;&gt;"Pago IVA",C1806&lt;&gt;"Compensación ISR",C1806&lt;&gt;"Compensación IVA"),AND(C1806="Gasto",D1806&lt;&gt;"Costos clínicos",D1806&lt;&gt;"Remuneración familiar",D1806&lt;&gt;"Nómina y honorarios",D1806&lt;&gt;"Renta",D1806&lt;&gt;"Marketing",D1806&lt;&gt;"Servicios y software",D1806&lt;&gt;"Mantenimiento",D1806&lt;&gt;"Otros",D1806&lt;&gt;"Intereses")),"Tipo o categoría inválido",IF(COUNTA(A1806:J1806)=0,"",IF(OR(A1806="",B1806="",C1806="",H1806=""),"Faltan datos",IF(COUNTIF($A$7:$A$2006,A1806)&gt;1,"ID duplicado",IF(OR(B1806&lt;DATE(Configuración!$C$5,1,1),B1806&gt;=DATE(Configuración!$C$5+1,1,1)),"Fecha fuera del año",IF(OR(H1806&lt;0,I1806&lt;0),"Revisar signo",IF(AND(C1806&lt;&gt;"Gasto",I1806&lt;&gt;0),"IVA solo en Gasto",IF(AND(C1806="Gasto",D1806=""),"Falta categoría","OK")))))))))</f>
        <v/>
      </c>
    </row>
    <row r="1807" spans="1:12" ht="22" customHeight="1">
      <c r="A1807" s="3"/>
      <c r="B1807" s="7"/>
      <c r="C1807" s="3"/>
      <c r="D1807" s="3"/>
      <c r="E1807" s="3"/>
      <c r="F1807" s="3"/>
      <c r="G1807" s="3"/>
      <c r="H1807" s="4"/>
      <c r="I1807" s="4"/>
      <c r="J1807" s="3"/>
      <c r="K1807" s="8" t="str">
        <f t="shared" si="28"/>
        <v/>
      </c>
      <c r="L1807" s="1" t="str">
        <f>IF(COUNTA(A1807:J1807)=0,"",IF(OR(AND(C1807&lt;&gt;"Gasto",C1807&lt;&gt;"Pago proveedor",C1807&lt;&gt;"Retiro familiar",C1807&lt;&gt;"Aportación",C1807&lt;&gt;"Pago activo",C1807&lt;&gt;"ISR devengado",C1807&lt;&gt;"Pago ISR",C1807&lt;&gt;"Pago IVA",C1807&lt;&gt;"Compensación ISR",C1807&lt;&gt;"Compensación IVA"),AND(C1807="Gasto",D1807&lt;&gt;"Costos clínicos",D1807&lt;&gt;"Remuneración familiar",D1807&lt;&gt;"Nómina y honorarios",D1807&lt;&gt;"Renta",D1807&lt;&gt;"Marketing",D1807&lt;&gt;"Servicios y software",D1807&lt;&gt;"Mantenimiento",D1807&lt;&gt;"Otros",D1807&lt;&gt;"Intereses")),"Tipo o categoría inválido",IF(COUNTA(A1807:J1807)=0,"",IF(OR(A1807="",B1807="",C1807="",H1807=""),"Faltan datos",IF(COUNTIF($A$7:$A$2006,A1807)&gt;1,"ID duplicado",IF(OR(B1807&lt;DATE(Configuración!$C$5,1,1),B1807&gt;=DATE(Configuración!$C$5+1,1,1)),"Fecha fuera del año",IF(OR(H1807&lt;0,I1807&lt;0),"Revisar signo",IF(AND(C1807&lt;&gt;"Gasto",I1807&lt;&gt;0),"IVA solo en Gasto",IF(AND(C1807="Gasto",D1807=""),"Falta categoría","OK")))))))))</f>
        <v/>
      </c>
    </row>
    <row r="1808" spans="1:12" ht="22" customHeight="1">
      <c r="A1808" s="3"/>
      <c r="B1808" s="7"/>
      <c r="C1808" s="3"/>
      <c r="D1808" s="3"/>
      <c r="E1808" s="3"/>
      <c r="F1808" s="3"/>
      <c r="G1808" s="3"/>
      <c r="H1808" s="4"/>
      <c r="I1808" s="4"/>
      <c r="J1808" s="3"/>
      <c r="K1808" s="8" t="str">
        <f t="shared" si="28"/>
        <v/>
      </c>
      <c r="L1808" s="1" t="str">
        <f>IF(COUNTA(A1808:J1808)=0,"",IF(OR(AND(C1808&lt;&gt;"Gasto",C1808&lt;&gt;"Pago proveedor",C1808&lt;&gt;"Retiro familiar",C1808&lt;&gt;"Aportación",C1808&lt;&gt;"Pago activo",C1808&lt;&gt;"ISR devengado",C1808&lt;&gt;"Pago ISR",C1808&lt;&gt;"Pago IVA",C1808&lt;&gt;"Compensación ISR",C1808&lt;&gt;"Compensación IVA"),AND(C1808="Gasto",D1808&lt;&gt;"Costos clínicos",D1808&lt;&gt;"Remuneración familiar",D1808&lt;&gt;"Nómina y honorarios",D1808&lt;&gt;"Renta",D1808&lt;&gt;"Marketing",D1808&lt;&gt;"Servicios y software",D1808&lt;&gt;"Mantenimiento",D1808&lt;&gt;"Otros",D1808&lt;&gt;"Intereses")),"Tipo o categoría inválido",IF(COUNTA(A1808:J1808)=0,"",IF(OR(A1808="",B1808="",C1808="",H1808=""),"Faltan datos",IF(COUNTIF($A$7:$A$2006,A1808)&gt;1,"ID duplicado",IF(OR(B1808&lt;DATE(Configuración!$C$5,1,1),B1808&gt;=DATE(Configuración!$C$5+1,1,1)),"Fecha fuera del año",IF(OR(H1808&lt;0,I1808&lt;0),"Revisar signo",IF(AND(C1808&lt;&gt;"Gasto",I1808&lt;&gt;0),"IVA solo en Gasto",IF(AND(C1808="Gasto",D1808=""),"Falta categoría","OK")))))))))</f>
        <v/>
      </c>
    </row>
    <row r="1809" spans="1:12" ht="22" customHeight="1">
      <c r="A1809" s="3"/>
      <c r="B1809" s="7"/>
      <c r="C1809" s="3"/>
      <c r="D1809" s="3"/>
      <c r="E1809" s="3"/>
      <c r="F1809" s="3"/>
      <c r="G1809" s="3"/>
      <c r="H1809" s="4"/>
      <c r="I1809" s="4"/>
      <c r="J1809" s="3"/>
      <c r="K1809" s="8" t="str">
        <f t="shared" si="28"/>
        <v/>
      </c>
      <c r="L1809" s="1" t="str">
        <f>IF(COUNTA(A1809:J1809)=0,"",IF(OR(AND(C1809&lt;&gt;"Gasto",C1809&lt;&gt;"Pago proveedor",C1809&lt;&gt;"Retiro familiar",C1809&lt;&gt;"Aportación",C1809&lt;&gt;"Pago activo",C1809&lt;&gt;"ISR devengado",C1809&lt;&gt;"Pago ISR",C1809&lt;&gt;"Pago IVA",C1809&lt;&gt;"Compensación ISR",C1809&lt;&gt;"Compensación IVA"),AND(C1809="Gasto",D1809&lt;&gt;"Costos clínicos",D1809&lt;&gt;"Remuneración familiar",D1809&lt;&gt;"Nómina y honorarios",D1809&lt;&gt;"Renta",D1809&lt;&gt;"Marketing",D1809&lt;&gt;"Servicios y software",D1809&lt;&gt;"Mantenimiento",D1809&lt;&gt;"Otros",D1809&lt;&gt;"Intereses")),"Tipo o categoría inválido",IF(COUNTA(A1809:J1809)=0,"",IF(OR(A1809="",B1809="",C1809="",H1809=""),"Faltan datos",IF(COUNTIF($A$7:$A$2006,A1809)&gt;1,"ID duplicado",IF(OR(B1809&lt;DATE(Configuración!$C$5,1,1),B1809&gt;=DATE(Configuración!$C$5+1,1,1)),"Fecha fuera del año",IF(OR(H1809&lt;0,I1809&lt;0),"Revisar signo",IF(AND(C1809&lt;&gt;"Gasto",I1809&lt;&gt;0),"IVA solo en Gasto",IF(AND(C1809="Gasto",D1809=""),"Falta categoría","OK")))))))))</f>
        <v/>
      </c>
    </row>
    <row r="1810" spans="1:12" ht="22" customHeight="1">
      <c r="A1810" s="3"/>
      <c r="B1810" s="7"/>
      <c r="C1810" s="3"/>
      <c r="D1810" s="3"/>
      <c r="E1810" s="3"/>
      <c r="F1810" s="3"/>
      <c r="G1810" s="3"/>
      <c r="H1810" s="4"/>
      <c r="I1810" s="4"/>
      <c r="J1810" s="3"/>
      <c r="K1810" s="8" t="str">
        <f t="shared" si="28"/>
        <v/>
      </c>
      <c r="L1810" s="1" t="str">
        <f>IF(COUNTA(A1810:J1810)=0,"",IF(OR(AND(C1810&lt;&gt;"Gasto",C1810&lt;&gt;"Pago proveedor",C1810&lt;&gt;"Retiro familiar",C1810&lt;&gt;"Aportación",C1810&lt;&gt;"Pago activo",C1810&lt;&gt;"ISR devengado",C1810&lt;&gt;"Pago ISR",C1810&lt;&gt;"Pago IVA",C1810&lt;&gt;"Compensación ISR",C1810&lt;&gt;"Compensación IVA"),AND(C1810="Gasto",D1810&lt;&gt;"Costos clínicos",D1810&lt;&gt;"Remuneración familiar",D1810&lt;&gt;"Nómina y honorarios",D1810&lt;&gt;"Renta",D1810&lt;&gt;"Marketing",D1810&lt;&gt;"Servicios y software",D1810&lt;&gt;"Mantenimiento",D1810&lt;&gt;"Otros",D1810&lt;&gt;"Intereses")),"Tipo o categoría inválido",IF(COUNTA(A1810:J1810)=0,"",IF(OR(A1810="",B1810="",C1810="",H1810=""),"Faltan datos",IF(COUNTIF($A$7:$A$2006,A1810)&gt;1,"ID duplicado",IF(OR(B1810&lt;DATE(Configuración!$C$5,1,1),B1810&gt;=DATE(Configuración!$C$5+1,1,1)),"Fecha fuera del año",IF(OR(H1810&lt;0,I1810&lt;0),"Revisar signo",IF(AND(C1810&lt;&gt;"Gasto",I1810&lt;&gt;0),"IVA solo en Gasto",IF(AND(C1810="Gasto",D1810=""),"Falta categoría","OK")))))))))</f>
        <v/>
      </c>
    </row>
    <row r="1811" spans="1:12" ht="22" customHeight="1">
      <c r="A1811" s="3"/>
      <c r="B1811" s="7"/>
      <c r="C1811" s="3"/>
      <c r="D1811" s="3"/>
      <c r="E1811" s="3"/>
      <c r="F1811" s="3"/>
      <c r="G1811" s="3"/>
      <c r="H1811" s="4"/>
      <c r="I1811" s="4"/>
      <c r="J1811" s="3"/>
      <c r="K1811" s="8" t="str">
        <f t="shared" si="28"/>
        <v/>
      </c>
      <c r="L1811" s="1" t="str">
        <f>IF(COUNTA(A1811:J1811)=0,"",IF(OR(AND(C1811&lt;&gt;"Gasto",C1811&lt;&gt;"Pago proveedor",C1811&lt;&gt;"Retiro familiar",C1811&lt;&gt;"Aportación",C1811&lt;&gt;"Pago activo",C1811&lt;&gt;"ISR devengado",C1811&lt;&gt;"Pago ISR",C1811&lt;&gt;"Pago IVA",C1811&lt;&gt;"Compensación ISR",C1811&lt;&gt;"Compensación IVA"),AND(C1811="Gasto",D1811&lt;&gt;"Costos clínicos",D1811&lt;&gt;"Remuneración familiar",D1811&lt;&gt;"Nómina y honorarios",D1811&lt;&gt;"Renta",D1811&lt;&gt;"Marketing",D1811&lt;&gt;"Servicios y software",D1811&lt;&gt;"Mantenimiento",D1811&lt;&gt;"Otros",D1811&lt;&gt;"Intereses")),"Tipo o categoría inválido",IF(COUNTA(A1811:J1811)=0,"",IF(OR(A1811="",B1811="",C1811="",H1811=""),"Faltan datos",IF(COUNTIF($A$7:$A$2006,A1811)&gt;1,"ID duplicado",IF(OR(B1811&lt;DATE(Configuración!$C$5,1,1),B1811&gt;=DATE(Configuración!$C$5+1,1,1)),"Fecha fuera del año",IF(OR(H1811&lt;0,I1811&lt;0),"Revisar signo",IF(AND(C1811&lt;&gt;"Gasto",I1811&lt;&gt;0),"IVA solo en Gasto",IF(AND(C1811="Gasto",D1811=""),"Falta categoría","OK")))))))))</f>
        <v/>
      </c>
    </row>
    <row r="1812" spans="1:12" ht="22" customHeight="1">
      <c r="A1812" s="3"/>
      <c r="B1812" s="7"/>
      <c r="C1812" s="3"/>
      <c r="D1812" s="3"/>
      <c r="E1812" s="3"/>
      <c r="F1812" s="3"/>
      <c r="G1812" s="3"/>
      <c r="H1812" s="4"/>
      <c r="I1812" s="4"/>
      <c r="J1812" s="3"/>
      <c r="K1812" s="8" t="str">
        <f t="shared" si="28"/>
        <v/>
      </c>
      <c r="L1812" s="1" t="str">
        <f>IF(COUNTA(A1812:J1812)=0,"",IF(OR(AND(C1812&lt;&gt;"Gasto",C1812&lt;&gt;"Pago proveedor",C1812&lt;&gt;"Retiro familiar",C1812&lt;&gt;"Aportación",C1812&lt;&gt;"Pago activo",C1812&lt;&gt;"ISR devengado",C1812&lt;&gt;"Pago ISR",C1812&lt;&gt;"Pago IVA",C1812&lt;&gt;"Compensación ISR",C1812&lt;&gt;"Compensación IVA"),AND(C1812="Gasto",D1812&lt;&gt;"Costos clínicos",D1812&lt;&gt;"Remuneración familiar",D1812&lt;&gt;"Nómina y honorarios",D1812&lt;&gt;"Renta",D1812&lt;&gt;"Marketing",D1812&lt;&gt;"Servicios y software",D1812&lt;&gt;"Mantenimiento",D1812&lt;&gt;"Otros",D1812&lt;&gt;"Intereses")),"Tipo o categoría inválido",IF(COUNTA(A1812:J1812)=0,"",IF(OR(A1812="",B1812="",C1812="",H1812=""),"Faltan datos",IF(COUNTIF($A$7:$A$2006,A1812)&gt;1,"ID duplicado",IF(OR(B1812&lt;DATE(Configuración!$C$5,1,1),B1812&gt;=DATE(Configuración!$C$5+1,1,1)),"Fecha fuera del año",IF(OR(H1812&lt;0,I1812&lt;0),"Revisar signo",IF(AND(C1812&lt;&gt;"Gasto",I1812&lt;&gt;0),"IVA solo en Gasto",IF(AND(C1812="Gasto",D1812=""),"Falta categoría","OK")))))))))</f>
        <v/>
      </c>
    </row>
    <row r="1813" spans="1:12" ht="22" customHeight="1">
      <c r="A1813" s="3"/>
      <c r="B1813" s="7"/>
      <c r="C1813" s="3"/>
      <c r="D1813" s="3"/>
      <c r="E1813" s="3"/>
      <c r="F1813" s="3"/>
      <c r="G1813" s="3"/>
      <c r="H1813" s="4"/>
      <c r="I1813" s="4"/>
      <c r="J1813" s="3"/>
      <c r="K1813" s="8" t="str">
        <f t="shared" si="28"/>
        <v/>
      </c>
      <c r="L1813" s="1" t="str">
        <f>IF(COUNTA(A1813:J1813)=0,"",IF(OR(AND(C1813&lt;&gt;"Gasto",C1813&lt;&gt;"Pago proveedor",C1813&lt;&gt;"Retiro familiar",C1813&lt;&gt;"Aportación",C1813&lt;&gt;"Pago activo",C1813&lt;&gt;"ISR devengado",C1813&lt;&gt;"Pago ISR",C1813&lt;&gt;"Pago IVA",C1813&lt;&gt;"Compensación ISR",C1813&lt;&gt;"Compensación IVA"),AND(C1813="Gasto",D1813&lt;&gt;"Costos clínicos",D1813&lt;&gt;"Remuneración familiar",D1813&lt;&gt;"Nómina y honorarios",D1813&lt;&gt;"Renta",D1813&lt;&gt;"Marketing",D1813&lt;&gt;"Servicios y software",D1813&lt;&gt;"Mantenimiento",D1813&lt;&gt;"Otros",D1813&lt;&gt;"Intereses")),"Tipo o categoría inválido",IF(COUNTA(A1813:J1813)=0,"",IF(OR(A1813="",B1813="",C1813="",H1813=""),"Faltan datos",IF(COUNTIF($A$7:$A$2006,A1813)&gt;1,"ID duplicado",IF(OR(B1813&lt;DATE(Configuración!$C$5,1,1),B1813&gt;=DATE(Configuración!$C$5+1,1,1)),"Fecha fuera del año",IF(OR(H1813&lt;0,I1813&lt;0),"Revisar signo",IF(AND(C1813&lt;&gt;"Gasto",I1813&lt;&gt;0),"IVA solo en Gasto",IF(AND(C1813="Gasto",D1813=""),"Falta categoría","OK")))))))))</f>
        <v/>
      </c>
    </row>
    <row r="1814" spans="1:12" ht="22" customHeight="1">
      <c r="A1814" s="3"/>
      <c r="B1814" s="7"/>
      <c r="C1814" s="3"/>
      <c r="D1814" s="3"/>
      <c r="E1814" s="3"/>
      <c r="F1814" s="3"/>
      <c r="G1814" s="3"/>
      <c r="H1814" s="4"/>
      <c r="I1814" s="4"/>
      <c r="J1814" s="3"/>
      <c r="K1814" s="8" t="str">
        <f t="shared" si="28"/>
        <v/>
      </c>
      <c r="L1814" s="1" t="str">
        <f>IF(COUNTA(A1814:J1814)=0,"",IF(OR(AND(C1814&lt;&gt;"Gasto",C1814&lt;&gt;"Pago proveedor",C1814&lt;&gt;"Retiro familiar",C1814&lt;&gt;"Aportación",C1814&lt;&gt;"Pago activo",C1814&lt;&gt;"ISR devengado",C1814&lt;&gt;"Pago ISR",C1814&lt;&gt;"Pago IVA",C1814&lt;&gt;"Compensación ISR",C1814&lt;&gt;"Compensación IVA"),AND(C1814="Gasto",D1814&lt;&gt;"Costos clínicos",D1814&lt;&gt;"Remuneración familiar",D1814&lt;&gt;"Nómina y honorarios",D1814&lt;&gt;"Renta",D1814&lt;&gt;"Marketing",D1814&lt;&gt;"Servicios y software",D1814&lt;&gt;"Mantenimiento",D1814&lt;&gt;"Otros",D1814&lt;&gt;"Intereses")),"Tipo o categoría inválido",IF(COUNTA(A1814:J1814)=0,"",IF(OR(A1814="",B1814="",C1814="",H1814=""),"Faltan datos",IF(COUNTIF($A$7:$A$2006,A1814)&gt;1,"ID duplicado",IF(OR(B1814&lt;DATE(Configuración!$C$5,1,1),B1814&gt;=DATE(Configuración!$C$5+1,1,1)),"Fecha fuera del año",IF(OR(H1814&lt;0,I1814&lt;0),"Revisar signo",IF(AND(C1814&lt;&gt;"Gasto",I1814&lt;&gt;0),"IVA solo en Gasto",IF(AND(C1814="Gasto",D1814=""),"Falta categoría","OK")))))))))</f>
        <v/>
      </c>
    </row>
    <row r="1815" spans="1:12" ht="22" customHeight="1">
      <c r="A1815" s="3"/>
      <c r="B1815" s="7"/>
      <c r="C1815" s="3"/>
      <c r="D1815" s="3"/>
      <c r="E1815" s="3"/>
      <c r="F1815" s="3"/>
      <c r="G1815" s="3"/>
      <c r="H1815" s="4"/>
      <c r="I1815" s="4"/>
      <c r="J1815" s="3"/>
      <c r="K1815" s="8" t="str">
        <f t="shared" si="28"/>
        <v/>
      </c>
      <c r="L1815" s="1" t="str">
        <f>IF(COUNTA(A1815:J1815)=0,"",IF(OR(AND(C1815&lt;&gt;"Gasto",C1815&lt;&gt;"Pago proveedor",C1815&lt;&gt;"Retiro familiar",C1815&lt;&gt;"Aportación",C1815&lt;&gt;"Pago activo",C1815&lt;&gt;"ISR devengado",C1815&lt;&gt;"Pago ISR",C1815&lt;&gt;"Pago IVA",C1815&lt;&gt;"Compensación ISR",C1815&lt;&gt;"Compensación IVA"),AND(C1815="Gasto",D1815&lt;&gt;"Costos clínicos",D1815&lt;&gt;"Remuneración familiar",D1815&lt;&gt;"Nómina y honorarios",D1815&lt;&gt;"Renta",D1815&lt;&gt;"Marketing",D1815&lt;&gt;"Servicios y software",D1815&lt;&gt;"Mantenimiento",D1815&lt;&gt;"Otros",D1815&lt;&gt;"Intereses")),"Tipo o categoría inválido",IF(COUNTA(A1815:J1815)=0,"",IF(OR(A1815="",B1815="",C1815="",H1815=""),"Faltan datos",IF(COUNTIF($A$7:$A$2006,A1815)&gt;1,"ID duplicado",IF(OR(B1815&lt;DATE(Configuración!$C$5,1,1),B1815&gt;=DATE(Configuración!$C$5+1,1,1)),"Fecha fuera del año",IF(OR(H1815&lt;0,I1815&lt;0),"Revisar signo",IF(AND(C1815&lt;&gt;"Gasto",I1815&lt;&gt;0),"IVA solo en Gasto",IF(AND(C1815="Gasto",D1815=""),"Falta categoría","OK")))))))))</f>
        <v/>
      </c>
    </row>
    <row r="1816" spans="1:12" ht="22" customHeight="1">
      <c r="A1816" s="3"/>
      <c r="B1816" s="7"/>
      <c r="C1816" s="3"/>
      <c r="D1816" s="3"/>
      <c r="E1816" s="3"/>
      <c r="F1816" s="3"/>
      <c r="G1816" s="3"/>
      <c r="H1816" s="4"/>
      <c r="I1816" s="4"/>
      <c r="J1816" s="3"/>
      <c r="K1816" s="8" t="str">
        <f t="shared" si="28"/>
        <v/>
      </c>
      <c r="L1816" s="1" t="str">
        <f>IF(COUNTA(A1816:J1816)=0,"",IF(OR(AND(C1816&lt;&gt;"Gasto",C1816&lt;&gt;"Pago proveedor",C1816&lt;&gt;"Retiro familiar",C1816&lt;&gt;"Aportación",C1816&lt;&gt;"Pago activo",C1816&lt;&gt;"ISR devengado",C1816&lt;&gt;"Pago ISR",C1816&lt;&gt;"Pago IVA",C1816&lt;&gt;"Compensación ISR",C1816&lt;&gt;"Compensación IVA"),AND(C1816="Gasto",D1816&lt;&gt;"Costos clínicos",D1816&lt;&gt;"Remuneración familiar",D1816&lt;&gt;"Nómina y honorarios",D1816&lt;&gt;"Renta",D1816&lt;&gt;"Marketing",D1816&lt;&gt;"Servicios y software",D1816&lt;&gt;"Mantenimiento",D1816&lt;&gt;"Otros",D1816&lt;&gt;"Intereses")),"Tipo o categoría inválido",IF(COUNTA(A1816:J1816)=0,"",IF(OR(A1816="",B1816="",C1816="",H1816=""),"Faltan datos",IF(COUNTIF($A$7:$A$2006,A1816)&gt;1,"ID duplicado",IF(OR(B1816&lt;DATE(Configuración!$C$5,1,1),B1816&gt;=DATE(Configuración!$C$5+1,1,1)),"Fecha fuera del año",IF(OR(H1816&lt;0,I1816&lt;0),"Revisar signo",IF(AND(C1816&lt;&gt;"Gasto",I1816&lt;&gt;0),"IVA solo en Gasto",IF(AND(C1816="Gasto",D1816=""),"Falta categoría","OK")))))))))</f>
        <v/>
      </c>
    </row>
    <row r="1817" spans="1:12" ht="22" customHeight="1">
      <c r="A1817" s="3"/>
      <c r="B1817" s="7"/>
      <c r="C1817" s="3"/>
      <c r="D1817" s="3"/>
      <c r="E1817" s="3"/>
      <c r="F1817" s="3"/>
      <c r="G1817" s="3"/>
      <c r="H1817" s="4"/>
      <c r="I1817" s="4"/>
      <c r="J1817" s="3"/>
      <c r="K1817" s="8" t="str">
        <f t="shared" si="28"/>
        <v/>
      </c>
      <c r="L1817" s="1" t="str">
        <f>IF(COUNTA(A1817:J1817)=0,"",IF(OR(AND(C1817&lt;&gt;"Gasto",C1817&lt;&gt;"Pago proveedor",C1817&lt;&gt;"Retiro familiar",C1817&lt;&gt;"Aportación",C1817&lt;&gt;"Pago activo",C1817&lt;&gt;"ISR devengado",C1817&lt;&gt;"Pago ISR",C1817&lt;&gt;"Pago IVA",C1817&lt;&gt;"Compensación ISR",C1817&lt;&gt;"Compensación IVA"),AND(C1817="Gasto",D1817&lt;&gt;"Costos clínicos",D1817&lt;&gt;"Remuneración familiar",D1817&lt;&gt;"Nómina y honorarios",D1817&lt;&gt;"Renta",D1817&lt;&gt;"Marketing",D1817&lt;&gt;"Servicios y software",D1817&lt;&gt;"Mantenimiento",D1817&lt;&gt;"Otros",D1817&lt;&gt;"Intereses")),"Tipo o categoría inválido",IF(COUNTA(A1817:J1817)=0,"",IF(OR(A1817="",B1817="",C1817="",H1817=""),"Faltan datos",IF(COUNTIF($A$7:$A$2006,A1817)&gt;1,"ID duplicado",IF(OR(B1817&lt;DATE(Configuración!$C$5,1,1),B1817&gt;=DATE(Configuración!$C$5+1,1,1)),"Fecha fuera del año",IF(OR(H1817&lt;0,I1817&lt;0),"Revisar signo",IF(AND(C1817&lt;&gt;"Gasto",I1817&lt;&gt;0),"IVA solo en Gasto",IF(AND(C1817="Gasto",D1817=""),"Falta categoría","OK")))))))))</f>
        <v/>
      </c>
    </row>
    <row r="1818" spans="1:12" ht="22" customHeight="1">
      <c r="A1818" s="3"/>
      <c r="B1818" s="7"/>
      <c r="C1818" s="3"/>
      <c r="D1818" s="3"/>
      <c r="E1818" s="3"/>
      <c r="F1818" s="3"/>
      <c r="G1818" s="3"/>
      <c r="H1818" s="4"/>
      <c r="I1818" s="4"/>
      <c r="J1818" s="3"/>
      <c r="K1818" s="8" t="str">
        <f t="shared" si="28"/>
        <v/>
      </c>
      <c r="L1818" s="1" t="str">
        <f>IF(COUNTA(A1818:J1818)=0,"",IF(OR(AND(C1818&lt;&gt;"Gasto",C1818&lt;&gt;"Pago proveedor",C1818&lt;&gt;"Retiro familiar",C1818&lt;&gt;"Aportación",C1818&lt;&gt;"Pago activo",C1818&lt;&gt;"ISR devengado",C1818&lt;&gt;"Pago ISR",C1818&lt;&gt;"Pago IVA",C1818&lt;&gt;"Compensación ISR",C1818&lt;&gt;"Compensación IVA"),AND(C1818="Gasto",D1818&lt;&gt;"Costos clínicos",D1818&lt;&gt;"Remuneración familiar",D1818&lt;&gt;"Nómina y honorarios",D1818&lt;&gt;"Renta",D1818&lt;&gt;"Marketing",D1818&lt;&gt;"Servicios y software",D1818&lt;&gt;"Mantenimiento",D1818&lt;&gt;"Otros",D1818&lt;&gt;"Intereses")),"Tipo o categoría inválido",IF(COUNTA(A1818:J1818)=0,"",IF(OR(A1818="",B1818="",C1818="",H1818=""),"Faltan datos",IF(COUNTIF($A$7:$A$2006,A1818)&gt;1,"ID duplicado",IF(OR(B1818&lt;DATE(Configuración!$C$5,1,1),B1818&gt;=DATE(Configuración!$C$5+1,1,1)),"Fecha fuera del año",IF(OR(H1818&lt;0,I1818&lt;0),"Revisar signo",IF(AND(C1818&lt;&gt;"Gasto",I1818&lt;&gt;0),"IVA solo en Gasto",IF(AND(C1818="Gasto",D1818=""),"Falta categoría","OK")))))))))</f>
        <v/>
      </c>
    </row>
    <row r="1819" spans="1:12" ht="22" customHeight="1">
      <c r="A1819" s="3"/>
      <c r="B1819" s="7"/>
      <c r="C1819" s="3"/>
      <c r="D1819" s="3"/>
      <c r="E1819" s="3"/>
      <c r="F1819" s="3"/>
      <c r="G1819" s="3"/>
      <c r="H1819" s="4"/>
      <c r="I1819" s="4"/>
      <c r="J1819" s="3"/>
      <c r="K1819" s="8" t="str">
        <f t="shared" si="28"/>
        <v/>
      </c>
      <c r="L1819" s="1" t="str">
        <f>IF(COUNTA(A1819:J1819)=0,"",IF(OR(AND(C1819&lt;&gt;"Gasto",C1819&lt;&gt;"Pago proveedor",C1819&lt;&gt;"Retiro familiar",C1819&lt;&gt;"Aportación",C1819&lt;&gt;"Pago activo",C1819&lt;&gt;"ISR devengado",C1819&lt;&gt;"Pago ISR",C1819&lt;&gt;"Pago IVA",C1819&lt;&gt;"Compensación ISR",C1819&lt;&gt;"Compensación IVA"),AND(C1819="Gasto",D1819&lt;&gt;"Costos clínicos",D1819&lt;&gt;"Remuneración familiar",D1819&lt;&gt;"Nómina y honorarios",D1819&lt;&gt;"Renta",D1819&lt;&gt;"Marketing",D1819&lt;&gt;"Servicios y software",D1819&lt;&gt;"Mantenimiento",D1819&lt;&gt;"Otros",D1819&lt;&gt;"Intereses")),"Tipo o categoría inválido",IF(COUNTA(A1819:J1819)=0,"",IF(OR(A1819="",B1819="",C1819="",H1819=""),"Faltan datos",IF(COUNTIF($A$7:$A$2006,A1819)&gt;1,"ID duplicado",IF(OR(B1819&lt;DATE(Configuración!$C$5,1,1),B1819&gt;=DATE(Configuración!$C$5+1,1,1)),"Fecha fuera del año",IF(OR(H1819&lt;0,I1819&lt;0),"Revisar signo",IF(AND(C1819&lt;&gt;"Gasto",I1819&lt;&gt;0),"IVA solo en Gasto",IF(AND(C1819="Gasto",D1819=""),"Falta categoría","OK")))))))))</f>
        <v/>
      </c>
    </row>
    <row r="1820" spans="1:12" ht="22" customHeight="1">
      <c r="A1820" s="3"/>
      <c r="B1820" s="7"/>
      <c r="C1820" s="3"/>
      <c r="D1820" s="3"/>
      <c r="E1820" s="3"/>
      <c r="F1820" s="3"/>
      <c r="G1820" s="3"/>
      <c r="H1820" s="4"/>
      <c r="I1820" s="4"/>
      <c r="J1820" s="3"/>
      <c r="K1820" s="8" t="str">
        <f t="shared" si="28"/>
        <v/>
      </c>
      <c r="L1820" s="1" t="str">
        <f>IF(COUNTA(A1820:J1820)=0,"",IF(OR(AND(C1820&lt;&gt;"Gasto",C1820&lt;&gt;"Pago proveedor",C1820&lt;&gt;"Retiro familiar",C1820&lt;&gt;"Aportación",C1820&lt;&gt;"Pago activo",C1820&lt;&gt;"ISR devengado",C1820&lt;&gt;"Pago ISR",C1820&lt;&gt;"Pago IVA",C1820&lt;&gt;"Compensación ISR",C1820&lt;&gt;"Compensación IVA"),AND(C1820="Gasto",D1820&lt;&gt;"Costos clínicos",D1820&lt;&gt;"Remuneración familiar",D1820&lt;&gt;"Nómina y honorarios",D1820&lt;&gt;"Renta",D1820&lt;&gt;"Marketing",D1820&lt;&gt;"Servicios y software",D1820&lt;&gt;"Mantenimiento",D1820&lt;&gt;"Otros",D1820&lt;&gt;"Intereses")),"Tipo o categoría inválido",IF(COUNTA(A1820:J1820)=0,"",IF(OR(A1820="",B1820="",C1820="",H1820=""),"Faltan datos",IF(COUNTIF($A$7:$A$2006,A1820)&gt;1,"ID duplicado",IF(OR(B1820&lt;DATE(Configuración!$C$5,1,1),B1820&gt;=DATE(Configuración!$C$5+1,1,1)),"Fecha fuera del año",IF(OR(H1820&lt;0,I1820&lt;0),"Revisar signo",IF(AND(C1820&lt;&gt;"Gasto",I1820&lt;&gt;0),"IVA solo en Gasto",IF(AND(C1820="Gasto",D1820=""),"Falta categoría","OK")))))))))</f>
        <v/>
      </c>
    </row>
    <row r="1821" spans="1:12" ht="22" customHeight="1">
      <c r="A1821" s="3"/>
      <c r="B1821" s="7"/>
      <c r="C1821" s="3"/>
      <c r="D1821" s="3"/>
      <c r="E1821" s="3"/>
      <c r="F1821" s="3"/>
      <c r="G1821" s="3"/>
      <c r="H1821" s="4"/>
      <c r="I1821" s="4"/>
      <c r="J1821" s="3"/>
      <c r="K1821" s="8" t="str">
        <f t="shared" si="28"/>
        <v/>
      </c>
      <c r="L1821" s="1" t="str">
        <f>IF(COUNTA(A1821:J1821)=0,"",IF(OR(AND(C1821&lt;&gt;"Gasto",C1821&lt;&gt;"Pago proveedor",C1821&lt;&gt;"Retiro familiar",C1821&lt;&gt;"Aportación",C1821&lt;&gt;"Pago activo",C1821&lt;&gt;"ISR devengado",C1821&lt;&gt;"Pago ISR",C1821&lt;&gt;"Pago IVA",C1821&lt;&gt;"Compensación ISR",C1821&lt;&gt;"Compensación IVA"),AND(C1821="Gasto",D1821&lt;&gt;"Costos clínicos",D1821&lt;&gt;"Remuneración familiar",D1821&lt;&gt;"Nómina y honorarios",D1821&lt;&gt;"Renta",D1821&lt;&gt;"Marketing",D1821&lt;&gt;"Servicios y software",D1821&lt;&gt;"Mantenimiento",D1821&lt;&gt;"Otros",D1821&lt;&gt;"Intereses")),"Tipo o categoría inválido",IF(COUNTA(A1821:J1821)=0,"",IF(OR(A1821="",B1821="",C1821="",H1821=""),"Faltan datos",IF(COUNTIF($A$7:$A$2006,A1821)&gt;1,"ID duplicado",IF(OR(B1821&lt;DATE(Configuración!$C$5,1,1),B1821&gt;=DATE(Configuración!$C$5+1,1,1)),"Fecha fuera del año",IF(OR(H1821&lt;0,I1821&lt;0),"Revisar signo",IF(AND(C1821&lt;&gt;"Gasto",I1821&lt;&gt;0),"IVA solo en Gasto",IF(AND(C1821="Gasto",D1821=""),"Falta categoría","OK")))))))))</f>
        <v/>
      </c>
    </row>
    <row r="1822" spans="1:12" ht="22" customHeight="1">
      <c r="A1822" s="3"/>
      <c r="B1822" s="7"/>
      <c r="C1822" s="3"/>
      <c r="D1822" s="3"/>
      <c r="E1822" s="3"/>
      <c r="F1822" s="3"/>
      <c r="G1822" s="3"/>
      <c r="H1822" s="4"/>
      <c r="I1822" s="4"/>
      <c r="J1822" s="3"/>
      <c r="K1822" s="8" t="str">
        <f t="shared" si="28"/>
        <v/>
      </c>
      <c r="L1822" s="1" t="str">
        <f>IF(COUNTA(A1822:J1822)=0,"",IF(OR(AND(C1822&lt;&gt;"Gasto",C1822&lt;&gt;"Pago proveedor",C1822&lt;&gt;"Retiro familiar",C1822&lt;&gt;"Aportación",C1822&lt;&gt;"Pago activo",C1822&lt;&gt;"ISR devengado",C1822&lt;&gt;"Pago ISR",C1822&lt;&gt;"Pago IVA",C1822&lt;&gt;"Compensación ISR",C1822&lt;&gt;"Compensación IVA"),AND(C1822="Gasto",D1822&lt;&gt;"Costos clínicos",D1822&lt;&gt;"Remuneración familiar",D1822&lt;&gt;"Nómina y honorarios",D1822&lt;&gt;"Renta",D1822&lt;&gt;"Marketing",D1822&lt;&gt;"Servicios y software",D1822&lt;&gt;"Mantenimiento",D1822&lt;&gt;"Otros",D1822&lt;&gt;"Intereses")),"Tipo o categoría inválido",IF(COUNTA(A1822:J1822)=0,"",IF(OR(A1822="",B1822="",C1822="",H1822=""),"Faltan datos",IF(COUNTIF($A$7:$A$2006,A1822)&gt;1,"ID duplicado",IF(OR(B1822&lt;DATE(Configuración!$C$5,1,1),B1822&gt;=DATE(Configuración!$C$5+1,1,1)),"Fecha fuera del año",IF(OR(H1822&lt;0,I1822&lt;0),"Revisar signo",IF(AND(C1822&lt;&gt;"Gasto",I1822&lt;&gt;0),"IVA solo en Gasto",IF(AND(C1822="Gasto",D1822=""),"Falta categoría","OK")))))))))</f>
        <v/>
      </c>
    </row>
    <row r="1823" spans="1:12" ht="22" customHeight="1">
      <c r="A1823" s="3"/>
      <c r="B1823" s="7"/>
      <c r="C1823" s="3"/>
      <c r="D1823" s="3"/>
      <c r="E1823" s="3"/>
      <c r="F1823" s="3"/>
      <c r="G1823" s="3"/>
      <c r="H1823" s="4"/>
      <c r="I1823" s="4"/>
      <c r="J1823" s="3"/>
      <c r="K1823" s="8" t="str">
        <f t="shared" si="28"/>
        <v/>
      </c>
      <c r="L1823" s="1" t="str">
        <f>IF(COUNTA(A1823:J1823)=0,"",IF(OR(AND(C1823&lt;&gt;"Gasto",C1823&lt;&gt;"Pago proveedor",C1823&lt;&gt;"Retiro familiar",C1823&lt;&gt;"Aportación",C1823&lt;&gt;"Pago activo",C1823&lt;&gt;"ISR devengado",C1823&lt;&gt;"Pago ISR",C1823&lt;&gt;"Pago IVA",C1823&lt;&gt;"Compensación ISR",C1823&lt;&gt;"Compensación IVA"),AND(C1823="Gasto",D1823&lt;&gt;"Costos clínicos",D1823&lt;&gt;"Remuneración familiar",D1823&lt;&gt;"Nómina y honorarios",D1823&lt;&gt;"Renta",D1823&lt;&gt;"Marketing",D1823&lt;&gt;"Servicios y software",D1823&lt;&gt;"Mantenimiento",D1823&lt;&gt;"Otros",D1823&lt;&gt;"Intereses")),"Tipo o categoría inválido",IF(COUNTA(A1823:J1823)=0,"",IF(OR(A1823="",B1823="",C1823="",H1823=""),"Faltan datos",IF(COUNTIF($A$7:$A$2006,A1823)&gt;1,"ID duplicado",IF(OR(B1823&lt;DATE(Configuración!$C$5,1,1),B1823&gt;=DATE(Configuración!$C$5+1,1,1)),"Fecha fuera del año",IF(OR(H1823&lt;0,I1823&lt;0),"Revisar signo",IF(AND(C1823&lt;&gt;"Gasto",I1823&lt;&gt;0),"IVA solo en Gasto",IF(AND(C1823="Gasto",D1823=""),"Falta categoría","OK")))))))))</f>
        <v/>
      </c>
    </row>
    <row r="1824" spans="1:12" ht="22" customHeight="1">
      <c r="A1824" s="3"/>
      <c r="B1824" s="7"/>
      <c r="C1824" s="3"/>
      <c r="D1824" s="3"/>
      <c r="E1824" s="3"/>
      <c r="F1824" s="3"/>
      <c r="G1824" s="3"/>
      <c r="H1824" s="4"/>
      <c r="I1824" s="4"/>
      <c r="J1824" s="3"/>
      <c r="K1824" s="8" t="str">
        <f t="shared" si="28"/>
        <v/>
      </c>
      <c r="L1824" s="1" t="str">
        <f>IF(COUNTA(A1824:J1824)=0,"",IF(OR(AND(C1824&lt;&gt;"Gasto",C1824&lt;&gt;"Pago proveedor",C1824&lt;&gt;"Retiro familiar",C1824&lt;&gt;"Aportación",C1824&lt;&gt;"Pago activo",C1824&lt;&gt;"ISR devengado",C1824&lt;&gt;"Pago ISR",C1824&lt;&gt;"Pago IVA",C1824&lt;&gt;"Compensación ISR",C1824&lt;&gt;"Compensación IVA"),AND(C1824="Gasto",D1824&lt;&gt;"Costos clínicos",D1824&lt;&gt;"Remuneración familiar",D1824&lt;&gt;"Nómina y honorarios",D1824&lt;&gt;"Renta",D1824&lt;&gt;"Marketing",D1824&lt;&gt;"Servicios y software",D1824&lt;&gt;"Mantenimiento",D1824&lt;&gt;"Otros",D1824&lt;&gt;"Intereses")),"Tipo o categoría inválido",IF(COUNTA(A1824:J1824)=0,"",IF(OR(A1824="",B1824="",C1824="",H1824=""),"Faltan datos",IF(COUNTIF($A$7:$A$2006,A1824)&gt;1,"ID duplicado",IF(OR(B1824&lt;DATE(Configuración!$C$5,1,1),B1824&gt;=DATE(Configuración!$C$5+1,1,1)),"Fecha fuera del año",IF(OR(H1824&lt;0,I1824&lt;0),"Revisar signo",IF(AND(C1824&lt;&gt;"Gasto",I1824&lt;&gt;0),"IVA solo en Gasto",IF(AND(C1824="Gasto",D1824=""),"Falta categoría","OK")))))))))</f>
        <v/>
      </c>
    </row>
    <row r="1825" spans="1:12" ht="22" customHeight="1">
      <c r="A1825" s="3"/>
      <c r="B1825" s="7"/>
      <c r="C1825" s="3"/>
      <c r="D1825" s="3"/>
      <c r="E1825" s="3"/>
      <c r="F1825" s="3"/>
      <c r="G1825" s="3"/>
      <c r="H1825" s="4"/>
      <c r="I1825" s="4"/>
      <c r="J1825" s="3"/>
      <c r="K1825" s="8" t="str">
        <f t="shared" si="28"/>
        <v/>
      </c>
      <c r="L1825" s="1" t="str">
        <f>IF(COUNTA(A1825:J1825)=0,"",IF(OR(AND(C1825&lt;&gt;"Gasto",C1825&lt;&gt;"Pago proveedor",C1825&lt;&gt;"Retiro familiar",C1825&lt;&gt;"Aportación",C1825&lt;&gt;"Pago activo",C1825&lt;&gt;"ISR devengado",C1825&lt;&gt;"Pago ISR",C1825&lt;&gt;"Pago IVA",C1825&lt;&gt;"Compensación ISR",C1825&lt;&gt;"Compensación IVA"),AND(C1825="Gasto",D1825&lt;&gt;"Costos clínicos",D1825&lt;&gt;"Remuneración familiar",D1825&lt;&gt;"Nómina y honorarios",D1825&lt;&gt;"Renta",D1825&lt;&gt;"Marketing",D1825&lt;&gt;"Servicios y software",D1825&lt;&gt;"Mantenimiento",D1825&lt;&gt;"Otros",D1825&lt;&gt;"Intereses")),"Tipo o categoría inválido",IF(COUNTA(A1825:J1825)=0,"",IF(OR(A1825="",B1825="",C1825="",H1825=""),"Faltan datos",IF(COUNTIF($A$7:$A$2006,A1825)&gt;1,"ID duplicado",IF(OR(B1825&lt;DATE(Configuración!$C$5,1,1),B1825&gt;=DATE(Configuración!$C$5+1,1,1)),"Fecha fuera del año",IF(OR(H1825&lt;0,I1825&lt;0),"Revisar signo",IF(AND(C1825&lt;&gt;"Gasto",I1825&lt;&gt;0),"IVA solo en Gasto",IF(AND(C1825="Gasto",D1825=""),"Falta categoría","OK")))))))))</f>
        <v/>
      </c>
    </row>
    <row r="1826" spans="1:12" ht="22" customHeight="1">
      <c r="A1826" s="3"/>
      <c r="B1826" s="7"/>
      <c r="C1826" s="3"/>
      <c r="D1826" s="3"/>
      <c r="E1826" s="3"/>
      <c r="F1826" s="3"/>
      <c r="G1826" s="3"/>
      <c r="H1826" s="4"/>
      <c r="I1826" s="4"/>
      <c r="J1826" s="3"/>
      <c r="K1826" s="8" t="str">
        <f t="shared" si="28"/>
        <v/>
      </c>
      <c r="L1826" s="1" t="str">
        <f>IF(COUNTA(A1826:J1826)=0,"",IF(OR(AND(C1826&lt;&gt;"Gasto",C1826&lt;&gt;"Pago proveedor",C1826&lt;&gt;"Retiro familiar",C1826&lt;&gt;"Aportación",C1826&lt;&gt;"Pago activo",C1826&lt;&gt;"ISR devengado",C1826&lt;&gt;"Pago ISR",C1826&lt;&gt;"Pago IVA",C1826&lt;&gt;"Compensación ISR",C1826&lt;&gt;"Compensación IVA"),AND(C1826="Gasto",D1826&lt;&gt;"Costos clínicos",D1826&lt;&gt;"Remuneración familiar",D1826&lt;&gt;"Nómina y honorarios",D1826&lt;&gt;"Renta",D1826&lt;&gt;"Marketing",D1826&lt;&gt;"Servicios y software",D1826&lt;&gt;"Mantenimiento",D1826&lt;&gt;"Otros",D1826&lt;&gt;"Intereses")),"Tipo o categoría inválido",IF(COUNTA(A1826:J1826)=0,"",IF(OR(A1826="",B1826="",C1826="",H1826=""),"Faltan datos",IF(COUNTIF($A$7:$A$2006,A1826)&gt;1,"ID duplicado",IF(OR(B1826&lt;DATE(Configuración!$C$5,1,1),B1826&gt;=DATE(Configuración!$C$5+1,1,1)),"Fecha fuera del año",IF(OR(H1826&lt;0,I1826&lt;0),"Revisar signo",IF(AND(C1826&lt;&gt;"Gasto",I1826&lt;&gt;0),"IVA solo en Gasto",IF(AND(C1826="Gasto",D1826=""),"Falta categoría","OK")))))))))</f>
        <v/>
      </c>
    </row>
    <row r="1827" spans="1:12" ht="22" customHeight="1">
      <c r="A1827" s="3"/>
      <c r="B1827" s="7"/>
      <c r="C1827" s="3"/>
      <c r="D1827" s="3"/>
      <c r="E1827" s="3"/>
      <c r="F1827" s="3"/>
      <c r="G1827" s="3"/>
      <c r="H1827" s="4"/>
      <c r="I1827" s="4"/>
      <c r="J1827" s="3"/>
      <c r="K1827" s="8" t="str">
        <f t="shared" si="28"/>
        <v/>
      </c>
      <c r="L1827" s="1" t="str">
        <f>IF(COUNTA(A1827:J1827)=0,"",IF(OR(AND(C1827&lt;&gt;"Gasto",C1827&lt;&gt;"Pago proveedor",C1827&lt;&gt;"Retiro familiar",C1827&lt;&gt;"Aportación",C1827&lt;&gt;"Pago activo",C1827&lt;&gt;"ISR devengado",C1827&lt;&gt;"Pago ISR",C1827&lt;&gt;"Pago IVA",C1827&lt;&gt;"Compensación ISR",C1827&lt;&gt;"Compensación IVA"),AND(C1827="Gasto",D1827&lt;&gt;"Costos clínicos",D1827&lt;&gt;"Remuneración familiar",D1827&lt;&gt;"Nómina y honorarios",D1827&lt;&gt;"Renta",D1827&lt;&gt;"Marketing",D1827&lt;&gt;"Servicios y software",D1827&lt;&gt;"Mantenimiento",D1827&lt;&gt;"Otros",D1827&lt;&gt;"Intereses")),"Tipo o categoría inválido",IF(COUNTA(A1827:J1827)=0,"",IF(OR(A1827="",B1827="",C1827="",H1827=""),"Faltan datos",IF(COUNTIF($A$7:$A$2006,A1827)&gt;1,"ID duplicado",IF(OR(B1827&lt;DATE(Configuración!$C$5,1,1),B1827&gt;=DATE(Configuración!$C$5+1,1,1)),"Fecha fuera del año",IF(OR(H1827&lt;0,I1827&lt;0),"Revisar signo",IF(AND(C1827&lt;&gt;"Gasto",I1827&lt;&gt;0),"IVA solo en Gasto",IF(AND(C1827="Gasto",D1827=""),"Falta categoría","OK")))))))))</f>
        <v/>
      </c>
    </row>
    <row r="1828" spans="1:12" ht="22" customHeight="1">
      <c r="A1828" s="3"/>
      <c r="B1828" s="7"/>
      <c r="C1828" s="3"/>
      <c r="D1828" s="3"/>
      <c r="E1828" s="3"/>
      <c r="F1828" s="3"/>
      <c r="G1828" s="3"/>
      <c r="H1828" s="4"/>
      <c r="I1828" s="4"/>
      <c r="J1828" s="3"/>
      <c r="K1828" s="8" t="str">
        <f t="shared" si="28"/>
        <v/>
      </c>
      <c r="L1828" s="1" t="str">
        <f>IF(COUNTA(A1828:J1828)=0,"",IF(OR(AND(C1828&lt;&gt;"Gasto",C1828&lt;&gt;"Pago proveedor",C1828&lt;&gt;"Retiro familiar",C1828&lt;&gt;"Aportación",C1828&lt;&gt;"Pago activo",C1828&lt;&gt;"ISR devengado",C1828&lt;&gt;"Pago ISR",C1828&lt;&gt;"Pago IVA",C1828&lt;&gt;"Compensación ISR",C1828&lt;&gt;"Compensación IVA"),AND(C1828="Gasto",D1828&lt;&gt;"Costos clínicos",D1828&lt;&gt;"Remuneración familiar",D1828&lt;&gt;"Nómina y honorarios",D1828&lt;&gt;"Renta",D1828&lt;&gt;"Marketing",D1828&lt;&gt;"Servicios y software",D1828&lt;&gt;"Mantenimiento",D1828&lt;&gt;"Otros",D1828&lt;&gt;"Intereses")),"Tipo o categoría inválido",IF(COUNTA(A1828:J1828)=0,"",IF(OR(A1828="",B1828="",C1828="",H1828=""),"Faltan datos",IF(COUNTIF($A$7:$A$2006,A1828)&gt;1,"ID duplicado",IF(OR(B1828&lt;DATE(Configuración!$C$5,1,1),B1828&gt;=DATE(Configuración!$C$5+1,1,1)),"Fecha fuera del año",IF(OR(H1828&lt;0,I1828&lt;0),"Revisar signo",IF(AND(C1828&lt;&gt;"Gasto",I1828&lt;&gt;0),"IVA solo en Gasto",IF(AND(C1828="Gasto",D1828=""),"Falta categoría","OK")))))))))</f>
        <v/>
      </c>
    </row>
    <row r="1829" spans="1:12" ht="22" customHeight="1">
      <c r="A1829" s="3"/>
      <c r="B1829" s="7"/>
      <c r="C1829" s="3"/>
      <c r="D1829" s="3"/>
      <c r="E1829" s="3"/>
      <c r="F1829" s="3"/>
      <c r="G1829" s="3"/>
      <c r="H1829" s="4"/>
      <c r="I1829" s="4"/>
      <c r="J1829" s="3"/>
      <c r="K1829" s="8" t="str">
        <f t="shared" si="28"/>
        <v/>
      </c>
      <c r="L1829" s="1" t="str">
        <f>IF(COUNTA(A1829:J1829)=0,"",IF(OR(AND(C1829&lt;&gt;"Gasto",C1829&lt;&gt;"Pago proveedor",C1829&lt;&gt;"Retiro familiar",C1829&lt;&gt;"Aportación",C1829&lt;&gt;"Pago activo",C1829&lt;&gt;"ISR devengado",C1829&lt;&gt;"Pago ISR",C1829&lt;&gt;"Pago IVA",C1829&lt;&gt;"Compensación ISR",C1829&lt;&gt;"Compensación IVA"),AND(C1829="Gasto",D1829&lt;&gt;"Costos clínicos",D1829&lt;&gt;"Remuneración familiar",D1829&lt;&gt;"Nómina y honorarios",D1829&lt;&gt;"Renta",D1829&lt;&gt;"Marketing",D1829&lt;&gt;"Servicios y software",D1829&lt;&gt;"Mantenimiento",D1829&lt;&gt;"Otros",D1829&lt;&gt;"Intereses")),"Tipo o categoría inválido",IF(COUNTA(A1829:J1829)=0,"",IF(OR(A1829="",B1829="",C1829="",H1829=""),"Faltan datos",IF(COUNTIF($A$7:$A$2006,A1829)&gt;1,"ID duplicado",IF(OR(B1829&lt;DATE(Configuración!$C$5,1,1),B1829&gt;=DATE(Configuración!$C$5+1,1,1)),"Fecha fuera del año",IF(OR(H1829&lt;0,I1829&lt;0),"Revisar signo",IF(AND(C1829&lt;&gt;"Gasto",I1829&lt;&gt;0),"IVA solo en Gasto",IF(AND(C1829="Gasto",D1829=""),"Falta categoría","OK")))))))))</f>
        <v/>
      </c>
    </row>
    <row r="1830" spans="1:12" ht="22" customHeight="1">
      <c r="A1830" s="3"/>
      <c r="B1830" s="7"/>
      <c r="C1830" s="3"/>
      <c r="D1830" s="3"/>
      <c r="E1830" s="3"/>
      <c r="F1830" s="3"/>
      <c r="G1830" s="3"/>
      <c r="H1830" s="4"/>
      <c r="I1830" s="4"/>
      <c r="J1830" s="3"/>
      <c r="K1830" s="8" t="str">
        <f t="shared" si="28"/>
        <v/>
      </c>
      <c r="L1830" s="1" t="str">
        <f>IF(COUNTA(A1830:J1830)=0,"",IF(OR(AND(C1830&lt;&gt;"Gasto",C1830&lt;&gt;"Pago proveedor",C1830&lt;&gt;"Retiro familiar",C1830&lt;&gt;"Aportación",C1830&lt;&gt;"Pago activo",C1830&lt;&gt;"ISR devengado",C1830&lt;&gt;"Pago ISR",C1830&lt;&gt;"Pago IVA",C1830&lt;&gt;"Compensación ISR",C1830&lt;&gt;"Compensación IVA"),AND(C1830="Gasto",D1830&lt;&gt;"Costos clínicos",D1830&lt;&gt;"Remuneración familiar",D1830&lt;&gt;"Nómina y honorarios",D1830&lt;&gt;"Renta",D1830&lt;&gt;"Marketing",D1830&lt;&gt;"Servicios y software",D1830&lt;&gt;"Mantenimiento",D1830&lt;&gt;"Otros",D1830&lt;&gt;"Intereses")),"Tipo o categoría inválido",IF(COUNTA(A1830:J1830)=0,"",IF(OR(A1830="",B1830="",C1830="",H1830=""),"Faltan datos",IF(COUNTIF($A$7:$A$2006,A1830)&gt;1,"ID duplicado",IF(OR(B1830&lt;DATE(Configuración!$C$5,1,1),B1830&gt;=DATE(Configuración!$C$5+1,1,1)),"Fecha fuera del año",IF(OR(H1830&lt;0,I1830&lt;0),"Revisar signo",IF(AND(C1830&lt;&gt;"Gasto",I1830&lt;&gt;0),"IVA solo en Gasto",IF(AND(C1830="Gasto",D1830=""),"Falta categoría","OK")))))))))</f>
        <v/>
      </c>
    </row>
    <row r="1831" spans="1:12" ht="22" customHeight="1">
      <c r="A1831" s="3"/>
      <c r="B1831" s="7"/>
      <c r="C1831" s="3"/>
      <c r="D1831" s="3"/>
      <c r="E1831" s="3"/>
      <c r="F1831" s="3"/>
      <c r="G1831" s="3"/>
      <c r="H1831" s="4"/>
      <c r="I1831" s="4"/>
      <c r="J1831" s="3"/>
      <c r="K1831" s="8" t="str">
        <f t="shared" si="28"/>
        <v/>
      </c>
      <c r="L1831" s="1" t="str">
        <f>IF(COUNTA(A1831:J1831)=0,"",IF(OR(AND(C1831&lt;&gt;"Gasto",C1831&lt;&gt;"Pago proveedor",C1831&lt;&gt;"Retiro familiar",C1831&lt;&gt;"Aportación",C1831&lt;&gt;"Pago activo",C1831&lt;&gt;"ISR devengado",C1831&lt;&gt;"Pago ISR",C1831&lt;&gt;"Pago IVA",C1831&lt;&gt;"Compensación ISR",C1831&lt;&gt;"Compensación IVA"),AND(C1831="Gasto",D1831&lt;&gt;"Costos clínicos",D1831&lt;&gt;"Remuneración familiar",D1831&lt;&gt;"Nómina y honorarios",D1831&lt;&gt;"Renta",D1831&lt;&gt;"Marketing",D1831&lt;&gt;"Servicios y software",D1831&lt;&gt;"Mantenimiento",D1831&lt;&gt;"Otros",D1831&lt;&gt;"Intereses")),"Tipo o categoría inválido",IF(COUNTA(A1831:J1831)=0,"",IF(OR(A1831="",B1831="",C1831="",H1831=""),"Faltan datos",IF(COUNTIF($A$7:$A$2006,A1831)&gt;1,"ID duplicado",IF(OR(B1831&lt;DATE(Configuración!$C$5,1,1),B1831&gt;=DATE(Configuración!$C$5+1,1,1)),"Fecha fuera del año",IF(OR(H1831&lt;0,I1831&lt;0),"Revisar signo",IF(AND(C1831&lt;&gt;"Gasto",I1831&lt;&gt;0),"IVA solo en Gasto",IF(AND(C1831="Gasto",D1831=""),"Falta categoría","OK")))))))))</f>
        <v/>
      </c>
    </row>
    <row r="1832" spans="1:12" ht="22" customHeight="1">
      <c r="A1832" s="3"/>
      <c r="B1832" s="7"/>
      <c r="C1832" s="3"/>
      <c r="D1832" s="3"/>
      <c r="E1832" s="3"/>
      <c r="F1832" s="3"/>
      <c r="G1832" s="3"/>
      <c r="H1832" s="4"/>
      <c r="I1832" s="4"/>
      <c r="J1832" s="3"/>
      <c r="K1832" s="8" t="str">
        <f t="shared" si="28"/>
        <v/>
      </c>
      <c r="L1832" s="1" t="str">
        <f>IF(COUNTA(A1832:J1832)=0,"",IF(OR(AND(C1832&lt;&gt;"Gasto",C1832&lt;&gt;"Pago proveedor",C1832&lt;&gt;"Retiro familiar",C1832&lt;&gt;"Aportación",C1832&lt;&gt;"Pago activo",C1832&lt;&gt;"ISR devengado",C1832&lt;&gt;"Pago ISR",C1832&lt;&gt;"Pago IVA",C1832&lt;&gt;"Compensación ISR",C1832&lt;&gt;"Compensación IVA"),AND(C1832="Gasto",D1832&lt;&gt;"Costos clínicos",D1832&lt;&gt;"Remuneración familiar",D1832&lt;&gt;"Nómina y honorarios",D1832&lt;&gt;"Renta",D1832&lt;&gt;"Marketing",D1832&lt;&gt;"Servicios y software",D1832&lt;&gt;"Mantenimiento",D1832&lt;&gt;"Otros",D1832&lt;&gt;"Intereses")),"Tipo o categoría inválido",IF(COUNTA(A1832:J1832)=0,"",IF(OR(A1832="",B1832="",C1832="",H1832=""),"Faltan datos",IF(COUNTIF($A$7:$A$2006,A1832)&gt;1,"ID duplicado",IF(OR(B1832&lt;DATE(Configuración!$C$5,1,1),B1832&gt;=DATE(Configuración!$C$5+1,1,1)),"Fecha fuera del año",IF(OR(H1832&lt;0,I1832&lt;0),"Revisar signo",IF(AND(C1832&lt;&gt;"Gasto",I1832&lt;&gt;0),"IVA solo en Gasto",IF(AND(C1832="Gasto",D1832=""),"Falta categoría","OK")))))))))</f>
        <v/>
      </c>
    </row>
    <row r="1833" spans="1:12" ht="22" customHeight="1">
      <c r="A1833" s="3"/>
      <c r="B1833" s="7"/>
      <c r="C1833" s="3"/>
      <c r="D1833" s="3"/>
      <c r="E1833" s="3"/>
      <c r="F1833" s="3"/>
      <c r="G1833" s="3"/>
      <c r="H1833" s="4"/>
      <c r="I1833" s="4"/>
      <c r="J1833" s="3"/>
      <c r="K1833" s="8" t="str">
        <f t="shared" si="28"/>
        <v/>
      </c>
      <c r="L1833" s="1" t="str">
        <f>IF(COUNTA(A1833:J1833)=0,"",IF(OR(AND(C1833&lt;&gt;"Gasto",C1833&lt;&gt;"Pago proveedor",C1833&lt;&gt;"Retiro familiar",C1833&lt;&gt;"Aportación",C1833&lt;&gt;"Pago activo",C1833&lt;&gt;"ISR devengado",C1833&lt;&gt;"Pago ISR",C1833&lt;&gt;"Pago IVA",C1833&lt;&gt;"Compensación ISR",C1833&lt;&gt;"Compensación IVA"),AND(C1833="Gasto",D1833&lt;&gt;"Costos clínicos",D1833&lt;&gt;"Remuneración familiar",D1833&lt;&gt;"Nómina y honorarios",D1833&lt;&gt;"Renta",D1833&lt;&gt;"Marketing",D1833&lt;&gt;"Servicios y software",D1833&lt;&gt;"Mantenimiento",D1833&lt;&gt;"Otros",D1833&lt;&gt;"Intereses")),"Tipo o categoría inválido",IF(COUNTA(A1833:J1833)=0,"",IF(OR(A1833="",B1833="",C1833="",H1833=""),"Faltan datos",IF(COUNTIF($A$7:$A$2006,A1833)&gt;1,"ID duplicado",IF(OR(B1833&lt;DATE(Configuración!$C$5,1,1),B1833&gt;=DATE(Configuración!$C$5+1,1,1)),"Fecha fuera del año",IF(OR(H1833&lt;0,I1833&lt;0),"Revisar signo",IF(AND(C1833&lt;&gt;"Gasto",I1833&lt;&gt;0),"IVA solo en Gasto",IF(AND(C1833="Gasto",D1833=""),"Falta categoría","OK")))))))))</f>
        <v/>
      </c>
    </row>
    <row r="1834" spans="1:12" ht="22" customHeight="1">
      <c r="A1834" s="3"/>
      <c r="B1834" s="7"/>
      <c r="C1834" s="3"/>
      <c r="D1834" s="3"/>
      <c r="E1834" s="3"/>
      <c r="F1834" s="3"/>
      <c r="G1834" s="3"/>
      <c r="H1834" s="4"/>
      <c r="I1834" s="4"/>
      <c r="J1834" s="3"/>
      <c r="K1834" s="8" t="str">
        <f t="shared" si="28"/>
        <v/>
      </c>
      <c r="L1834" s="1" t="str">
        <f>IF(COUNTA(A1834:J1834)=0,"",IF(OR(AND(C1834&lt;&gt;"Gasto",C1834&lt;&gt;"Pago proveedor",C1834&lt;&gt;"Retiro familiar",C1834&lt;&gt;"Aportación",C1834&lt;&gt;"Pago activo",C1834&lt;&gt;"ISR devengado",C1834&lt;&gt;"Pago ISR",C1834&lt;&gt;"Pago IVA",C1834&lt;&gt;"Compensación ISR",C1834&lt;&gt;"Compensación IVA"),AND(C1834="Gasto",D1834&lt;&gt;"Costos clínicos",D1834&lt;&gt;"Remuneración familiar",D1834&lt;&gt;"Nómina y honorarios",D1834&lt;&gt;"Renta",D1834&lt;&gt;"Marketing",D1834&lt;&gt;"Servicios y software",D1834&lt;&gt;"Mantenimiento",D1834&lt;&gt;"Otros",D1834&lt;&gt;"Intereses")),"Tipo o categoría inválido",IF(COUNTA(A1834:J1834)=0,"",IF(OR(A1834="",B1834="",C1834="",H1834=""),"Faltan datos",IF(COUNTIF($A$7:$A$2006,A1834)&gt;1,"ID duplicado",IF(OR(B1834&lt;DATE(Configuración!$C$5,1,1),B1834&gt;=DATE(Configuración!$C$5+1,1,1)),"Fecha fuera del año",IF(OR(H1834&lt;0,I1834&lt;0),"Revisar signo",IF(AND(C1834&lt;&gt;"Gasto",I1834&lt;&gt;0),"IVA solo en Gasto",IF(AND(C1834="Gasto",D1834=""),"Falta categoría","OK")))))))))</f>
        <v/>
      </c>
    </row>
    <row r="1835" spans="1:12" ht="22" customHeight="1">
      <c r="A1835" s="3"/>
      <c r="B1835" s="7"/>
      <c r="C1835" s="3"/>
      <c r="D1835" s="3"/>
      <c r="E1835" s="3"/>
      <c r="F1835" s="3"/>
      <c r="G1835" s="3"/>
      <c r="H1835" s="4"/>
      <c r="I1835" s="4"/>
      <c r="J1835" s="3"/>
      <c r="K1835" s="8" t="str">
        <f t="shared" si="28"/>
        <v/>
      </c>
      <c r="L1835" s="1" t="str">
        <f>IF(COUNTA(A1835:J1835)=0,"",IF(OR(AND(C1835&lt;&gt;"Gasto",C1835&lt;&gt;"Pago proveedor",C1835&lt;&gt;"Retiro familiar",C1835&lt;&gt;"Aportación",C1835&lt;&gt;"Pago activo",C1835&lt;&gt;"ISR devengado",C1835&lt;&gt;"Pago ISR",C1835&lt;&gt;"Pago IVA",C1835&lt;&gt;"Compensación ISR",C1835&lt;&gt;"Compensación IVA"),AND(C1835="Gasto",D1835&lt;&gt;"Costos clínicos",D1835&lt;&gt;"Remuneración familiar",D1835&lt;&gt;"Nómina y honorarios",D1835&lt;&gt;"Renta",D1835&lt;&gt;"Marketing",D1835&lt;&gt;"Servicios y software",D1835&lt;&gt;"Mantenimiento",D1835&lt;&gt;"Otros",D1835&lt;&gt;"Intereses")),"Tipo o categoría inválido",IF(COUNTA(A1835:J1835)=0,"",IF(OR(A1835="",B1835="",C1835="",H1835=""),"Faltan datos",IF(COUNTIF($A$7:$A$2006,A1835)&gt;1,"ID duplicado",IF(OR(B1835&lt;DATE(Configuración!$C$5,1,1),B1835&gt;=DATE(Configuración!$C$5+1,1,1)),"Fecha fuera del año",IF(OR(H1835&lt;0,I1835&lt;0),"Revisar signo",IF(AND(C1835&lt;&gt;"Gasto",I1835&lt;&gt;0),"IVA solo en Gasto",IF(AND(C1835="Gasto",D1835=""),"Falta categoría","OK")))))))))</f>
        <v/>
      </c>
    </row>
    <row r="1836" spans="1:12" ht="22" customHeight="1">
      <c r="A1836" s="3"/>
      <c r="B1836" s="7"/>
      <c r="C1836" s="3"/>
      <c r="D1836" s="3"/>
      <c r="E1836" s="3"/>
      <c r="F1836" s="3"/>
      <c r="G1836" s="3"/>
      <c r="H1836" s="4"/>
      <c r="I1836" s="4"/>
      <c r="J1836" s="3"/>
      <c r="K1836" s="8" t="str">
        <f t="shared" si="28"/>
        <v/>
      </c>
      <c r="L1836" s="1" t="str">
        <f>IF(COUNTA(A1836:J1836)=0,"",IF(OR(AND(C1836&lt;&gt;"Gasto",C1836&lt;&gt;"Pago proveedor",C1836&lt;&gt;"Retiro familiar",C1836&lt;&gt;"Aportación",C1836&lt;&gt;"Pago activo",C1836&lt;&gt;"ISR devengado",C1836&lt;&gt;"Pago ISR",C1836&lt;&gt;"Pago IVA",C1836&lt;&gt;"Compensación ISR",C1836&lt;&gt;"Compensación IVA"),AND(C1836="Gasto",D1836&lt;&gt;"Costos clínicos",D1836&lt;&gt;"Remuneración familiar",D1836&lt;&gt;"Nómina y honorarios",D1836&lt;&gt;"Renta",D1836&lt;&gt;"Marketing",D1836&lt;&gt;"Servicios y software",D1836&lt;&gt;"Mantenimiento",D1836&lt;&gt;"Otros",D1836&lt;&gt;"Intereses")),"Tipo o categoría inválido",IF(COUNTA(A1836:J1836)=0,"",IF(OR(A1836="",B1836="",C1836="",H1836=""),"Faltan datos",IF(COUNTIF($A$7:$A$2006,A1836)&gt;1,"ID duplicado",IF(OR(B1836&lt;DATE(Configuración!$C$5,1,1),B1836&gt;=DATE(Configuración!$C$5+1,1,1)),"Fecha fuera del año",IF(OR(H1836&lt;0,I1836&lt;0),"Revisar signo",IF(AND(C1836&lt;&gt;"Gasto",I1836&lt;&gt;0),"IVA solo en Gasto",IF(AND(C1836="Gasto",D1836=""),"Falta categoría","OK")))))))))</f>
        <v/>
      </c>
    </row>
    <row r="1837" spans="1:12" ht="22" customHeight="1">
      <c r="A1837" s="3"/>
      <c r="B1837" s="7"/>
      <c r="C1837" s="3"/>
      <c r="D1837" s="3"/>
      <c r="E1837" s="3"/>
      <c r="F1837" s="3"/>
      <c r="G1837" s="3"/>
      <c r="H1837" s="4"/>
      <c r="I1837" s="4"/>
      <c r="J1837" s="3"/>
      <c r="K1837" s="8" t="str">
        <f t="shared" si="28"/>
        <v/>
      </c>
      <c r="L1837" s="1" t="str">
        <f>IF(COUNTA(A1837:J1837)=0,"",IF(OR(AND(C1837&lt;&gt;"Gasto",C1837&lt;&gt;"Pago proveedor",C1837&lt;&gt;"Retiro familiar",C1837&lt;&gt;"Aportación",C1837&lt;&gt;"Pago activo",C1837&lt;&gt;"ISR devengado",C1837&lt;&gt;"Pago ISR",C1837&lt;&gt;"Pago IVA",C1837&lt;&gt;"Compensación ISR",C1837&lt;&gt;"Compensación IVA"),AND(C1837="Gasto",D1837&lt;&gt;"Costos clínicos",D1837&lt;&gt;"Remuneración familiar",D1837&lt;&gt;"Nómina y honorarios",D1837&lt;&gt;"Renta",D1837&lt;&gt;"Marketing",D1837&lt;&gt;"Servicios y software",D1837&lt;&gt;"Mantenimiento",D1837&lt;&gt;"Otros",D1837&lt;&gt;"Intereses")),"Tipo o categoría inválido",IF(COUNTA(A1837:J1837)=0,"",IF(OR(A1837="",B1837="",C1837="",H1837=""),"Faltan datos",IF(COUNTIF($A$7:$A$2006,A1837)&gt;1,"ID duplicado",IF(OR(B1837&lt;DATE(Configuración!$C$5,1,1),B1837&gt;=DATE(Configuración!$C$5+1,1,1)),"Fecha fuera del año",IF(OR(H1837&lt;0,I1837&lt;0),"Revisar signo",IF(AND(C1837&lt;&gt;"Gasto",I1837&lt;&gt;0),"IVA solo en Gasto",IF(AND(C1837="Gasto",D1837=""),"Falta categoría","OK")))))))))</f>
        <v/>
      </c>
    </row>
    <row r="1838" spans="1:12" ht="22" customHeight="1">
      <c r="A1838" s="3"/>
      <c r="B1838" s="7"/>
      <c r="C1838" s="3"/>
      <c r="D1838" s="3"/>
      <c r="E1838" s="3"/>
      <c r="F1838" s="3"/>
      <c r="G1838" s="3"/>
      <c r="H1838" s="4"/>
      <c r="I1838" s="4"/>
      <c r="J1838" s="3"/>
      <c r="K1838" s="8" t="str">
        <f t="shared" si="28"/>
        <v/>
      </c>
      <c r="L1838" s="1" t="str">
        <f>IF(COUNTA(A1838:J1838)=0,"",IF(OR(AND(C1838&lt;&gt;"Gasto",C1838&lt;&gt;"Pago proveedor",C1838&lt;&gt;"Retiro familiar",C1838&lt;&gt;"Aportación",C1838&lt;&gt;"Pago activo",C1838&lt;&gt;"ISR devengado",C1838&lt;&gt;"Pago ISR",C1838&lt;&gt;"Pago IVA",C1838&lt;&gt;"Compensación ISR",C1838&lt;&gt;"Compensación IVA"),AND(C1838="Gasto",D1838&lt;&gt;"Costos clínicos",D1838&lt;&gt;"Remuneración familiar",D1838&lt;&gt;"Nómina y honorarios",D1838&lt;&gt;"Renta",D1838&lt;&gt;"Marketing",D1838&lt;&gt;"Servicios y software",D1838&lt;&gt;"Mantenimiento",D1838&lt;&gt;"Otros",D1838&lt;&gt;"Intereses")),"Tipo o categoría inválido",IF(COUNTA(A1838:J1838)=0,"",IF(OR(A1838="",B1838="",C1838="",H1838=""),"Faltan datos",IF(COUNTIF($A$7:$A$2006,A1838)&gt;1,"ID duplicado",IF(OR(B1838&lt;DATE(Configuración!$C$5,1,1),B1838&gt;=DATE(Configuración!$C$5+1,1,1)),"Fecha fuera del año",IF(OR(H1838&lt;0,I1838&lt;0),"Revisar signo",IF(AND(C1838&lt;&gt;"Gasto",I1838&lt;&gt;0),"IVA solo en Gasto",IF(AND(C1838="Gasto",D1838=""),"Falta categoría","OK")))))))))</f>
        <v/>
      </c>
    </row>
    <row r="1839" spans="1:12" ht="22" customHeight="1">
      <c r="A1839" s="3"/>
      <c r="B1839" s="7"/>
      <c r="C1839" s="3"/>
      <c r="D1839" s="3"/>
      <c r="E1839" s="3"/>
      <c r="F1839" s="3"/>
      <c r="G1839" s="3"/>
      <c r="H1839" s="4"/>
      <c r="I1839" s="4"/>
      <c r="J1839" s="3"/>
      <c r="K1839" s="8" t="str">
        <f t="shared" si="28"/>
        <v/>
      </c>
      <c r="L1839" s="1" t="str">
        <f>IF(COUNTA(A1839:J1839)=0,"",IF(OR(AND(C1839&lt;&gt;"Gasto",C1839&lt;&gt;"Pago proveedor",C1839&lt;&gt;"Retiro familiar",C1839&lt;&gt;"Aportación",C1839&lt;&gt;"Pago activo",C1839&lt;&gt;"ISR devengado",C1839&lt;&gt;"Pago ISR",C1839&lt;&gt;"Pago IVA",C1839&lt;&gt;"Compensación ISR",C1839&lt;&gt;"Compensación IVA"),AND(C1839="Gasto",D1839&lt;&gt;"Costos clínicos",D1839&lt;&gt;"Remuneración familiar",D1839&lt;&gt;"Nómina y honorarios",D1839&lt;&gt;"Renta",D1839&lt;&gt;"Marketing",D1839&lt;&gt;"Servicios y software",D1839&lt;&gt;"Mantenimiento",D1839&lt;&gt;"Otros",D1839&lt;&gt;"Intereses")),"Tipo o categoría inválido",IF(COUNTA(A1839:J1839)=0,"",IF(OR(A1839="",B1839="",C1839="",H1839=""),"Faltan datos",IF(COUNTIF($A$7:$A$2006,A1839)&gt;1,"ID duplicado",IF(OR(B1839&lt;DATE(Configuración!$C$5,1,1),B1839&gt;=DATE(Configuración!$C$5+1,1,1)),"Fecha fuera del año",IF(OR(H1839&lt;0,I1839&lt;0),"Revisar signo",IF(AND(C1839&lt;&gt;"Gasto",I1839&lt;&gt;0),"IVA solo en Gasto",IF(AND(C1839="Gasto",D1839=""),"Falta categoría","OK")))))))))</f>
        <v/>
      </c>
    </row>
    <row r="1840" spans="1:12" ht="22" customHeight="1">
      <c r="A1840" s="3"/>
      <c r="B1840" s="7"/>
      <c r="C1840" s="3"/>
      <c r="D1840" s="3"/>
      <c r="E1840" s="3"/>
      <c r="F1840" s="3"/>
      <c r="G1840" s="3"/>
      <c r="H1840" s="4"/>
      <c r="I1840" s="4"/>
      <c r="J1840" s="3"/>
      <c r="K1840" s="8" t="str">
        <f t="shared" si="28"/>
        <v/>
      </c>
      <c r="L1840" s="1" t="str">
        <f>IF(COUNTA(A1840:J1840)=0,"",IF(OR(AND(C1840&lt;&gt;"Gasto",C1840&lt;&gt;"Pago proveedor",C1840&lt;&gt;"Retiro familiar",C1840&lt;&gt;"Aportación",C1840&lt;&gt;"Pago activo",C1840&lt;&gt;"ISR devengado",C1840&lt;&gt;"Pago ISR",C1840&lt;&gt;"Pago IVA",C1840&lt;&gt;"Compensación ISR",C1840&lt;&gt;"Compensación IVA"),AND(C1840="Gasto",D1840&lt;&gt;"Costos clínicos",D1840&lt;&gt;"Remuneración familiar",D1840&lt;&gt;"Nómina y honorarios",D1840&lt;&gt;"Renta",D1840&lt;&gt;"Marketing",D1840&lt;&gt;"Servicios y software",D1840&lt;&gt;"Mantenimiento",D1840&lt;&gt;"Otros",D1840&lt;&gt;"Intereses")),"Tipo o categoría inválido",IF(COUNTA(A1840:J1840)=0,"",IF(OR(A1840="",B1840="",C1840="",H1840=""),"Faltan datos",IF(COUNTIF($A$7:$A$2006,A1840)&gt;1,"ID duplicado",IF(OR(B1840&lt;DATE(Configuración!$C$5,1,1),B1840&gt;=DATE(Configuración!$C$5+1,1,1)),"Fecha fuera del año",IF(OR(H1840&lt;0,I1840&lt;0),"Revisar signo",IF(AND(C1840&lt;&gt;"Gasto",I1840&lt;&gt;0),"IVA solo en Gasto",IF(AND(C1840="Gasto",D1840=""),"Falta categoría","OK")))))))))</f>
        <v/>
      </c>
    </row>
    <row r="1841" spans="1:12" ht="22" customHeight="1">
      <c r="A1841" s="3"/>
      <c r="B1841" s="7"/>
      <c r="C1841" s="3"/>
      <c r="D1841" s="3"/>
      <c r="E1841" s="3"/>
      <c r="F1841" s="3"/>
      <c r="G1841" s="3"/>
      <c r="H1841" s="4"/>
      <c r="I1841" s="4"/>
      <c r="J1841" s="3"/>
      <c r="K1841" s="8" t="str">
        <f t="shared" si="28"/>
        <v/>
      </c>
      <c r="L1841" s="1" t="str">
        <f>IF(COUNTA(A1841:J1841)=0,"",IF(OR(AND(C1841&lt;&gt;"Gasto",C1841&lt;&gt;"Pago proveedor",C1841&lt;&gt;"Retiro familiar",C1841&lt;&gt;"Aportación",C1841&lt;&gt;"Pago activo",C1841&lt;&gt;"ISR devengado",C1841&lt;&gt;"Pago ISR",C1841&lt;&gt;"Pago IVA",C1841&lt;&gt;"Compensación ISR",C1841&lt;&gt;"Compensación IVA"),AND(C1841="Gasto",D1841&lt;&gt;"Costos clínicos",D1841&lt;&gt;"Remuneración familiar",D1841&lt;&gt;"Nómina y honorarios",D1841&lt;&gt;"Renta",D1841&lt;&gt;"Marketing",D1841&lt;&gt;"Servicios y software",D1841&lt;&gt;"Mantenimiento",D1841&lt;&gt;"Otros",D1841&lt;&gt;"Intereses")),"Tipo o categoría inválido",IF(COUNTA(A1841:J1841)=0,"",IF(OR(A1841="",B1841="",C1841="",H1841=""),"Faltan datos",IF(COUNTIF($A$7:$A$2006,A1841)&gt;1,"ID duplicado",IF(OR(B1841&lt;DATE(Configuración!$C$5,1,1),B1841&gt;=DATE(Configuración!$C$5+1,1,1)),"Fecha fuera del año",IF(OR(H1841&lt;0,I1841&lt;0),"Revisar signo",IF(AND(C1841&lt;&gt;"Gasto",I1841&lt;&gt;0),"IVA solo en Gasto",IF(AND(C1841="Gasto",D1841=""),"Falta categoría","OK")))))))))</f>
        <v/>
      </c>
    </row>
    <row r="1842" spans="1:12" ht="22" customHeight="1">
      <c r="A1842" s="3"/>
      <c r="B1842" s="7"/>
      <c r="C1842" s="3"/>
      <c r="D1842" s="3"/>
      <c r="E1842" s="3"/>
      <c r="F1842" s="3"/>
      <c r="G1842" s="3"/>
      <c r="H1842" s="4"/>
      <c r="I1842" s="4"/>
      <c r="J1842" s="3"/>
      <c r="K1842" s="8" t="str">
        <f t="shared" si="28"/>
        <v/>
      </c>
      <c r="L1842" s="1" t="str">
        <f>IF(COUNTA(A1842:J1842)=0,"",IF(OR(AND(C1842&lt;&gt;"Gasto",C1842&lt;&gt;"Pago proveedor",C1842&lt;&gt;"Retiro familiar",C1842&lt;&gt;"Aportación",C1842&lt;&gt;"Pago activo",C1842&lt;&gt;"ISR devengado",C1842&lt;&gt;"Pago ISR",C1842&lt;&gt;"Pago IVA",C1842&lt;&gt;"Compensación ISR",C1842&lt;&gt;"Compensación IVA"),AND(C1842="Gasto",D1842&lt;&gt;"Costos clínicos",D1842&lt;&gt;"Remuneración familiar",D1842&lt;&gt;"Nómina y honorarios",D1842&lt;&gt;"Renta",D1842&lt;&gt;"Marketing",D1842&lt;&gt;"Servicios y software",D1842&lt;&gt;"Mantenimiento",D1842&lt;&gt;"Otros",D1842&lt;&gt;"Intereses")),"Tipo o categoría inválido",IF(COUNTA(A1842:J1842)=0,"",IF(OR(A1842="",B1842="",C1842="",H1842=""),"Faltan datos",IF(COUNTIF($A$7:$A$2006,A1842)&gt;1,"ID duplicado",IF(OR(B1842&lt;DATE(Configuración!$C$5,1,1),B1842&gt;=DATE(Configuración!$C$5+1,1,1)),"Fecha fuera del año",IF(OR(H1842&lt;0,I1842&lt;0),"Revisar signo",IF(AND(C1842&lt;&gt;"Gasto",I1842&lt;&gt;0),"IVA solo en Gasto",IF(AND(C1842="Gasto",D1842=""),"Falta categoría","OK")))))))))</f>
        <v/>
      </c>
    </row>
    <row r="1843" spans="1:12" ht="22" customHeight="1">
      <c r="A1843" s="3"/>
      <c r="B1843" s="7"/>
      <c r="C1843" s="3"/>
      <c r="D1843" s="3"/>
      <c r="E1843" s="3"/>
      <c r="F1843" s="3"/>
      <c r="G1843" s="3"/>
      <c r="H1843" s="4"/>
      <c r="I1843" s="4"/>
      <c r="J1843" s="3"/>
      <c r="K1843" s="8" t="str">
        <f t="shared" si="28"/>
        <v/>
      </c>
      <c r="L1843" s="1" t="str">
        <f>IF(COUNTA(A1843:J1843)=0,"",IF(OR(AND(C1843&lt;&gt;"Gasto",C1843&lt;&gt;"Pago proveedor",C1843&lt;&gt;"Retiro familiar",C1843&lt;&gt;"Aportación",C1843&lt;&gt;"Pago activo",C1843&lt;&gt;"ISR devengado",C1843&lt;&gt;"Pago ISR",C1843&lt;&gt;"Pago IVA",C1843&lt;&gt;"Compensación ISR",C1843&lt;&gt;"Compensación IVA"),AND(C1843="Gasto",D1843&lt;&gt;"Costos clínicos",D1843&lt;&gt;"Remuneración familiar",D1843&lt;&gt;"Nómina y honorarios",D1843&lt;&gt;"Renta",D1843&lt;&gt;"Marketing",D1843&lt;&gt;"Servicios y software",D1843&lt;&gt;"Mantenimiento",D1843&lt;&gt;"Otros",D1843&lt;&gt;"Intereses")),"Tipo o categoría inválido",IF(COUNTA(A1843:J1843)=0,"",IF(OR(A1843="",B1843="",C1843="",H1843=""),"Faltan datos",IF(COUNTIF($A$7:$A$2006,A1843)&gt;1,"ID duplicado",IF(OR(B1843&lt;DATE(Configuración!$C$5,1,1),B1843&gt;=DATE(Configuración!$C$5+1,1,1)),"Fecha fuera del año",IF(OR(H1843&lt;0,I1843&lt;0),"Revisar signo",IF(AND(C1843&lt;&gt;"Gasto",I1843&lt;&gt;0),"IVA solo en Gasto",IF(AND(C1843="Gasto",D1843=""),"Falta categoría","OK")))))))))</f>
        <v/>
      </c>
    </row>
    <row r="1844" spans="1:12" ht="22" customHeight="1">
      <c r="A1844" s="3"/>
      <c r="B1844" s="7"/>
      <c r="C1844" s="3"/>
      <c r="D1844" s="3"/>
      <c r="E1844" s="3"/>
      <c r="F1844" s="3"/>
      <c r="G1844" s="3"/>
      <c r="H1844" s="4"/>
      <c r="I1844" s="4"/>
      <c r="J1844" s="3"/>
      <c r="K1844" s="8" t="str">
        <f t="shared" si="28"/>
        <v/>
      </c>
      <c r="L1844" s="1" t="str">
        <f>IF(COUNTA(A1844:J1844)=0,"",IF(OR(AND(C1844&lt;&gt;"Gasto",C1844&lt;&gt;"Pago proveedor",C1844&lt;&gt;"Retiro familiar",C1844&lt;&gt;"Aportación",C1844&lt;&gt;"Pago activo",C1844&lt;&gt;"ISR devengado",C1844&lt;&gt;"Pago ISR",C1844&lt;&gt;"Pago IVA",C1844&lt;&gt;"Compensación ISR",C1844&lt;&gt;"Compensación IVA"),AND(C1844="Gasto",D1844&lt;&gt;"Costos clínicos",D1844&lt;&gt;"Remuneración familiar",D1844&lt;&gt;"Nómina y honorarios",D1844&lt;&gt;"Renta",D1844&lt;&gt;"Marketing",D1844&lt;&gt;"Servicios y software",D1844&lt;&gt;"Mantenimiento",D1844&lt;&gt;"Otros",D1844&lt;&gt;"Intereses")),"Tipo o categoría inválido",IF(COUNTA(A1844:J1844)=0,"",IF(OR(A1844="",B1844="",C1844="",H1844=""),"Faltan datos",IF(COUNTIF($A$7:$A$2006,A1844)&gt;1,"ID duplicado",IF(OR(B1844&lt;DATE(Configuración!$C$5,1,1),B1844&gt;=DATE(Configuración!$C$5+1,1,1)),"Fecha fuera del año",IF(OR(H1844&lt;0,I1844&lt;0),"Revisar signo",IF(AND(C1844&lt;&gt;"Gasto",I1844&lt;&gt;0),"IVA solo en Gasto",IF(AND(C1844="Gasto",D1844=""),"Falta categoría","OK")))))))))</f>
        <v/>
      </c>
    </row>
    <row r="1845" spans="1:12" ht="22" customHeight="1">
      <c r="A1845" s="3"/>
      <c r="B1845" s="7"/>
      <c r="C1845" s="3"/>
      <c r="D1845" s="3"/>
      <c r="E1845" s="3"/>
      <c r="F1845" s="3"/>
      <c r="G1845" s="3"/>
      <c r="H1845" s="4"/>
      <c r="I1845" s="4"/>
      <c r="J1845" s="3"/>
      <c r="K1845" s="8" t="str">
        <f t="shared" si="28"/>
        <v/>
      </c>
      <c r="L1845" s="1" t="str">
        <f>IF(COUNTA(A1845:J1845)=0,"",IF(OR(AND(C1845&lt;&gt;"Gasto",C1845&lt;&gt;"Pago proveedor",C1845&lt;&gt;"Retiro familiar",C1845&lt;&gt;"Aportación",C1845&lt;&gt;"Pago activo",C1845&lt;&gt;"ISR devengado",C1845&lt;&gt;"Pago ISR",C1845&lt;&gt;"Pago IVA",C1845&lt;&gt;"Compensación ISR",C1845&lt;&gt;"Compensación IVA"),AND(C1845="Gasto",D1845&lt;&gt;"Costos clínicos",D1845&lt;&gt;"Remuneración familiar",D1845&lt;&gt;"Nómina y honorarios",D1845&lt;&gt;"Renta",D1845&lt;&gt;"Marketing",D1845&lt;&gt;"Servicios y software",D1845&lt;&gt;"Mantenimiento",D1845&lt;&gt;"Otros",D1845&lt;&gt;"Intereses")),"Tipo o categoría inválido",IF(COUNTA(A1845:J1845)=0,"",IF(OR(A1845="",B1845="",C1845="",H1845=""),"Faltan datos",IF(COUNTIF($A$7:$A$2006,A1845)&gt;1,"ID duplicado",IF(OR(B1845&lt;DATE(Configuración!$C$5,1,1),B1845&gt;=DATE(Configuración!$C$5+1,1,1)),"Fecha fuera del año",IF(OR(H1845&lt;0,I1845&lt;0),"Revisar signo",IF(AND(C1845&lt;&gt;"Gasto",I1845&lt;&gt;0),"IVA solo en Gasto",IF(AND(C1845="Gasto",D1845=""),"Falta categoría","OK")))))))))</f>
        <v/>
      </c>
    </row>
    <row r="1846" spans="1:12" ht="22" customHeight="1">
      <c r="A1846" s="3"/>
      <c r="B1846" s="7"/>
      <c r="C1846" s="3"/>
      <c r="D1846" s="3"/>
      <c r="E1846" s="3"/>
      <c r="F1846" s="3"/>
      <c r="G1846" s="3"/>
      <c r="H1846" s="4"/>
      <c r="I1846" s="4"/>
      <c r="J1846" s="3"/>
      <c r="K1846" s="8" t="str">
        <f t="shared" si="28"/>
        <v/>
      </c>
      <c r="L1846" s="1" t="str">
        <f>IF(COUNTA(A1846:J1846)=0,"",IF(OR(AND(C1846&lt;&gt;"Gasto",C1846&lt;&gt;"Pago proveedor",C1846&lt;&gt;"Retiro familiar",C1846&lt;&gt;"Aportación",C1846&lt;&gt;"Pago activo",C1846&lt;&gt;"ISR devengado",C1846&lt;&gt;"Pago ISR",C1846&lt;&gt;"Pago IVA",C1846&lt;&gt;"Compensación ISR",C1846&lt;&gt;"Compensación IVA"),AND(C1846="Gasto",D1846&lt;&gt;"Costos clínicos",D1846&lt;&gt;"Remuneración familiar",D1846&lt;&gt;"Nómina y honorarios",D1846&lt;&gt;"Renta",D1846&lt;&gt;"Marketing",D1846&lt;&gt;"Servicios y software",D1846&lt;&gt;"Mantenimiento",D1846&lt;&gt;"Otros",D1846&lt;&gt;"Intereses")),"Tipo o categoría inválido",IF(COUNTA(A1846:J1846)=0,"",IF(OR(A1846="",B1846="",C1846="",H1846=""),"Faltan datos",IF(COUNTIF($A$7:$A$2006,A1846)&gt;1,"ID duplicado",IF(OR(B1846&lt;DATE(Configuración!$C$5,1,1),B1846&gt;=DATE(Configuración!$C$5+1,1,1)),"Fecha fuera del año",IF(OR(H1846&lt;0,I1846&lt;0),"Revisar signo",IF(AND(C1846&lt;&gt;"Gasto",I1846&lt;&gt;0),"IVA solo en Gasto",IF(AND(C1846="Gasto",D1846=""),"Falta categoría","OK")))))))))</f>
        <v/>
      </c>
    </row>
    <row r="1847" spans="1:12" ht="22" customHeight="1">
      <c r="A1847" s="3"/>
      <c r="B1847" s="7"/>
      <c r="C1847" s="3"/>
      <c r="D1847" s="3"/>
      <c r="E1847" s="3"/>
      <c r="F1847" s="3"/>
      <c r="G1847" s="3"/>
      <c r="H1847" s="4"/>
      <c r="I1847" s="4"/>
      <c r="J1847" s="3"/>
      <c r="K1847" s="8" t="str">
        <f t="shared" si="28"/>
        <v/>
      </c>
      <c r="L1847" s="1" t="str">
        <f>IF(COUNTA(A1847:J1847)=0,"",IF(OR(AND(C1847&lt;&gt;"Gasto",C1847&lt;&gt;"Pago proveedor",C1847&lt;&gt;"Retiro familiar",C1847&lt;&gt;"Aportación",C1847&lt;&gt;"Pago activo",C1847&lt;&gt;"ISR devengado",C1847&lt;&gt;"Pago ISR",C1847&lt;&gt;"Pago IVA",C1847&lt;&gt;"Compensación ISR",C1847&lt;&gt;"Compensación IVA"),AND(C1847="Gasto",D1847&lt;&gt;"Costos clínicos",D1847&lt;&gt;"Remuneración familiar",D1847&lt;&gt;"Nómina y honorarios",D1847&lt;&gt;"Renta",D1847&lt;&gt;"Marketing",D1847&lt;&gt;"Servicios y software",D1847&lt;&gt;"Mantenimiento",D1847&lt;&gt;"Otros",D1847&lt;&gt;"Intereses")),"Tipo o categoría inválido",IF(COUNTA(A1847:J1847)=0,"",IF(OR(A1847="",B1847="",C1847="",H1847=""),"Faltan datos",IF(COUNTIF($A$7:$A$2006,A1847)&gt;1,"ID duplicado",IF(OR(B1847&lt;DATE(Configuración!$C$5,1,1),B1847&gt;=DATE(Configuración!$C$5+1,1,1)),"Fecha fuera del año",IF(OR(H1847&lt;0,I1847&lt;0),"Revisar signo",IF(AND(C1847&lt;&gt;"Gasto",I1847&lt;&gt;0),"IVA solo en Gasto",IF(AND(C1847="Gasto",D1847=""),"Falta categoría","OK")))))))))</f>
        <v/>
      </c>
    </row>
    <row r="1848" spans="1:12" ht="22" customHeight="1">
      <c r="A1848" s="3"/>
      <c r="B1848" s="7"/>
      <c r="C1848" s="3"/>
      <c r="D1848" s="3"/>
      <c r="E1848" s="3"/>
      <c r="F1848" s="3"/>
      <c r="G1848" s="3"/>
      <c r="H1848" s="4"/>
      <c r="I1848" s="4"/>
      <c r="J1848" s="3"/>
      <c r="K1848" s="8" t="str">
        <f t="shared" si="28"/>
        <v/>
      </c>
      <c r="L1848" s="1" t="str">
        <f>IF(COUNTA(A1848:J1848)=0,"",IF(OR(AND(C1848&lt;&gt;"Gasto",C1848&lt;&gt;"Pago proveedor",C1848&lt;&gt;"Retiro familiar",C1848&lt;&gt;"Aportación",C1848&lt;&gt;"Pago activo",C1848&lt;&gt;"ISR devengado",C1848&lt;&gt;"Pago ISR",C1848&lt;&gt;"Pago IVA",C1848&lt;&gt;"Compensación ISR",C1848&lt;&gt;"Compensación IVA"),AND(C1848="Gasto",D1848&lt;&gt;"Costos clínicos",D1848&lt;&gt;"Remuneración familiar",D1848&lt;&gt;"Nómina y honorarios",D1848&lt;&gt;"Renta",D1848&lt;&gt;"Marketing",D1848&lt;&gt;"Servicios y software",D1848&lt;&gt;"Mantenimiento",D1848&lt;&gt;"Otros",D1848&lt;&gt;"Intereses")),"Tipo o categoría inválido",IF(COUNTA(A1848:J1848)=0,"",IF(OR(A1848="",B1848="",C1848="",H1848=""),"Faltan datos",IF(COUNTIF($A$7:$A$2006,A1848)&gt;1,"ID duplicado",IF(OR(B1848&lt;DATE(Configuración!$C$5,1,1),B1848&gt;=DATE(Configuración!$C$5+1,1,1)),"Fecha fuera del año",IF(OR(H1848&lt;0,I1848&lt;0),"Revisar signo",IF(AND(C1848&lt;&gt;"Gasto",I1848&lt;&gt;0),"IVA solo en Gasto",IF(AND(C1848="Gasto",D1848=""),"Falta categoría","OK")))))))))</f>
        <v/>
      </c>
    </row>
    <row r="1849" spans="1:12" ht="22" customHeight="1">
      <c r="A1849" s="3"/>
      <c r="B1849" s="7"/>
      <c r="C1849" s="3"/>
      <c r="D1849" s="3"/>
      <c r="E1849" s="3"/>
      <c r="F1849" s="3"/>
      <c r="G1849" s="3"/>
      <c r="H1849" s="4"/>
      <c r="I1849" s="4"/>
      <c r="J1849" s="3"/>
      <c r="K1849" s="8" t="str">
        <f t="shared" si="28"/>
        <v/>
      </c>
      <c r="L1849" s="1" t="str">
        <f>IF(COUNTA(A1849:J1849)=0,"",IF(OR(AND(C1849&lt;&gt;"Gasto",C1849&lt;&gt;"Pago proveedor",C1849&lt;&gt;"Retiro familiar",C1849&lt;&gt;"Aportación",C1849&lt;&gt;"Pago activo",C1849&lt;&gt;"ISR devengado",C1849&lt;&gt;"Pago ISR",C1849&lt;&gt;"Pago IVA",C1849&lt;&gt;"Compensación ISR",C1849&lt;&gt;"Compensación IVA"),AND(C1849="Gasto",D1849&lt;&gt;"Costos clínicos",D1849&lt;&gt;"Remuneración familiar",D1849&lt;&gt;"Nómina y honorarios",D1849&lt;&gt;"Renta",D1849&lt;&gt;"Marketing",D1849&lt;&gt;"Servicios y software",D1849&lt;&gt;"Mantenimiento",D1849&lt;&gt;"Otros",D1849&lt;&gt;"Intereses")),"Tipo o categoría inválido",IF(COUNTA(A1849:J1849)=0,"",IF(OR(A1849="",B1849="",C1849="",H1849=""),"Faltan datos",IF(COUNTIF($A$7:$A$2006,A1849)&gt;1,"ID duplicado",IF(OR(B1849&lt;DATE(Configuración!$C$5,1,1),B1849&gt;=DATE(Configuración!$C$5+1,1,1)),"Fecha fuera del año",IF(OR(H1849&lt;0,I1849&lt;0),"Revisar signo",IF(AND(C1849&lt;&gt;"Gasto",I1849&lt;&gt;0),"IVA solo en Gasto",IF(AND(C1849="Gasto",D1849=""),"Falta categoría","OK")))))))))</f>
        <v/>
      </c>
    </row>
    <row r="1850" spans="1:12" ht="22" customHeight="1">
      <c r="A1850" s="3"/>
      <c r="B1850" s="7"/>
      <c r="C1850" s="3"/>
      <c r="D1850" s="3"/>
      <c r="E1850" s="3"/>
      <c r="F1850" s="3"/>
      <c r="G1850" s="3"/>
      <c r="H1850" s="4"/>
      <c r="I1850" s="4"/>
      <c r="J1850" s="3"/>
      <c r="K1850" s="8" t="str">
        <f t="shared" si="28"/>
        <v/>
      </c>
      <c r="L1850" s="1" t="str">
        <f>IF(COUNTA(A1850:J1850)=0,"",IF(OR(AND(C1850&lt;&gt;"Gasto",C1850&lt;&gt;"Pago proveedor",C1850&lt;&gt;"Retiro familiar",C1850&lt;&gt;"Aportación",C1850&lt;&gt;"Pago activo",C1850&lt;&gt;"ISR devengado",C1850&lt;&gt;"Pago ISR",C1850&lt;&gt;"Pago IVA",C1850&lt;&gt;"Compensación ISR",C1850&lt;&gt;"Compensación IVA"),AND(C1850="Gasto",D1850&lt;&gt;"Costos clínicos",D1850&lt;&gt;"Remuneración familiar",D1850&lt;&gt;"Nómina y honorarios",D1850&lt;&gt;"Renta",D1850&lt;&gt;"Marketing",D1850&lt;&gt;"Servicios y software",D1850&lt;&gt;"Mantenimiento",D1850&lt;&gt;"Otros",D1850&lt;&gt;"Intereses")),"Tipo o categoría inválido",IF(COUNTA(A1850:J1850)=0,"",IF(OR(A1850="",B1850="",C1850="",H1850=""),"Faltan datos",IF(COUNTIF($A$7:$A$2006,A1850)&gt;1,"ID duplicado",IF(OR(B1850&lt;DATE(Configuración!$C$5,1,1),B1850&gt;=DATE(Configuración!$C$5+1,1,1)),"Fecha fuera del año",IF(OR(H1850&lt;0,I1850&lt;0),"Revisar signo",IF(AND(C1850&lt;&gt;"Gasto",I1850&lt;&gt;0),"IVA solo en Gasto",IF(AND(C1850="Gasto",D1850=""),"Falta categoría","OK")))))))))</f>
        <v/>
      </c>
    </row>
    <row r="1851" spans="1:12" ht="22" customHeight="1">
      <c r="A1851" s="3"/>
      <c r="B1851" s="7"/>
      <c r="C1851" s="3"/>
      <c r="D1851" s="3"/>
      <c r="E1851" s="3"/>
      <c r="F1851" s="3"/>
      <c r="G1851" s="3"/>
      <c r="H1851" s="4"/>
      <c r="I1851" s="4"/>
      <c r="J1851" s="3"/>
      <c r="K1851" s="8" t="str">
        <f t="shared" si="28"/>
        <v/>
      </c>
      <c r="L1851" s="1" t="str">
        <f>IF(COUNTA(A1851:J1851)=0,"",IF(OR(AND(C1851&lt;&gt;"Gasto",C1851&lt;&gt;"Pago proveedor",C1851&lt;&gt;"Retiro familiar",C1851&lt;&gt;"Aportación",C1851&lt;&gt;"Pago activo",C1851&lt;&gt;"ISR devengado",C1851&lt;&gt;"Pago ISR",C1851&lt;&gt;"Pago IVA",C1851&lt;&gt;"Compensación ISR",C1851&lt;&gt;"Compensación IVA"),AND(C1851="Gasto",D1851&lt;&gt;"Costos clínicos",D1851&lt;&gt;"Remuneración familiar",D1851&lt;&gt;"Nómina y honorarios",D1851&lt;&gt;"Renta",D1851&lt;&gt;"Marketing",D1851&lt;&gt;"Servicios y software",D1851&lt;&gt;"Mantenimiento",D1851&lt;&gt;"Otros",D1851&lt;&gt;"Intereses")),"Tipo o categoría inválido",IF(COUNTA(A1851:J1851)=0,"",IF(OR(A1851="",B1851="",C1851="",H1851=""),"Faltan datos",IF(COUNTIF($A$7:$A$2006,A1851)&gt;1,"ID duplicado",IF(OR(B1851&lt;DATE(Configuración!$C$5,1,1),B1851&gt;=DATE(Configuración!$C$5+1,1,1)),"Fecha fuera del año",IF(OR(H1851&lt;0,I1851&lt;0),"Revisar signo",IF(AND(C1851&lt;&gt;"Gasto",I1851&lt;&gt;0),"IVA solo en Gasto",IF(AND(C1851="Gasto",D1851=""),"Falta categoría","OK")))))))))</f>
        <v/>
      </c>
    </row>
    <row r="1852" spans="1:12" ht="22" customHeight="1">
      <c r="A1852" s="3"/>
      <c r="B1852" s="7"/>
      <c r="C1852" s="3"/>
      <c r="D1852" s="3"/>
      <c r="E1852" s="3"/>
      <c r="F1852" s="3"/>
      <c r="G1852" s="3"/>
      <c r="H1852" s="4"/>
      <c r="I1852" s="4"/>
      <c r="J1852" s="3"/>
      <c r="K1852" s="8" t="str">
        <f t="shared" si="28"/>
        <v/>
      </c>
      <c r="L1852" s="1" t="str">
        <f>IF(COUNTA(A1852:J1852)=0,"",IF(OR(AND(C1852&lt;&gt;"Gasto",C1852&lt;&gt;"Pago proveedor",C1852&lt;&gt;"Retiro familiar",C1852&lt;&gt;"Aportación",C1852&lt;&gt;"Pago activo",C1852&lt;&gt;"ISR devengado",C1852&lt;&gt;"Pago ISR",C1852&lt;&gt;"Pago IVA",C1852&lt;&gt;"Compensación ISR",C1852&lt;&gt;"Compensación IVA"),AND(C1852="Gasto",D1852&lt;&gt;"Costos clínicos",D1852&lt;&gt;"Remuneración familiar",D1852&lt;&gt;"Nómina y honorarios",D1852&lt;&gt;"Renta",D1852&lt;&gt;"Marketing",D1852&lt;&gt;"Servicios y software",D1852&lt;&gt;"Mantenimiento",D1852&lt;&gt;"Otros",D1852&lt;&gt;"Intereses")),"Tipo o categoría inválido",IF(COUNTA(A1852:J1852)=0,"",IF(OR(A1852="",B1852="",C1852="",H1852=""),"Faltan datos",IF(COUNTIF($A$7:$A$2006,A1852)&gt;1,"ID duplicado",IF(OR(B1852&lt;DATE(Configuración!$C$5,1,1),B1852&gt;=DATE(Configuración!$C$5+1,1,1)),"Fecha fuera del año",IF(OR(H1852&lt;0,I1852&lt;0),"Revisar signo",IF(AND(C1852&lt;&gt;"Gasto",I1852&lt;&gt;0),"IVA solo en Gasto",IF(AND(C1852="Gasto",D1852=""),"Falta categoría","OK")))))))))</f>
        <v/>
      </c>
    </row>
    <row r="1853" spans="1:12" ht="22" customHeight="1">
      <c r="A1853" s="3"/>
      <c r="B1853" s="7"/>
      <c r="C1853" s="3"/>
      <c r="D1853" s="3"/>
      <c r="E1853" s="3"/>
      <c r="F1853" s="3"/>
      <c r="G1853" s="3"/>
      <c r="H1853" s="4"/>
      <c r="I1853" s="4"/>
      <c r="J1853" s="3"/>
      <c r="K1853" s="8" t="str">
        <f t="shared" si="28"/>
        <v/>
      </c>
      <c r="L1853" s="1" t="str">
        <f>IF(COUNTA(A1853:J1853)=0,"",IF(OR(AND(C1853&lt;&gt;"Gasto",C1853&lt;&gt;"Pago proveedor",C1853&lt;&gt;"Retiro familiar",C1853&lt;&gt;"Aportación",C1853&lt;&gt;"Pago activo",C1853&lt;&gt;"ISR devengado",C1853&lt;&gt;"Pago ISR",C1853&lt;&gt;"Pago IVA",C1853&lt;&gt;"Compensación ISR",C1853&lt;&gt;"Compensación IVA"),AND(C1853="Gasto",D1853&lt;&gt;"Costos clínicos",D1853&lt;&gt;"Remuneración familiar",D1853&lt;&gt;"Nómina y honorarios",D1853&lt;&gt;"Renta",D1853&lt;&gt;"Marketing",D1853&lt;&gt;"Servicios y software",D1853&lt;&gt;"Mantenimiento",D1853&lt;&gt;"Otros",D1853&lt;&gt;"Intereses")),"Tipo o categoría inválido",IF(COUNTA(A1853:J1853)=0,"",IF(OR(A1853="",B1853="",C1853="",H1853=""),"Faltan datos",IF(COUNTIF($A$7:$A$2006,A1853)&gt;1,"ID duplicado",IF(OR(B1853&lt;DATE(Configuración!$C$5,1,1),B1853&gt;=DATE(Configuración!$C$5+1,1,1)),"Fecha fuera del año",IF(OR(H1853&lt;0,I1853&lt;0),"Revisar signo",IF(AND(C1853&lt;&gt;"Gasto",I1853&lt;&gt;0),"IVA solo en Gasto",IF(AND(C1853="Gasto",D1853=""),"Falta categoría","OK")))))))))</f>
        <v/>
      </c>
    </row>
    <row r="1854" spans="1:12" ht="22" customHeight="1">
      <c r="A1854" s="3"/>
      <c r="B1854" s="7"/>
      <c r="C1854" s="3"/>
      <c r="D1854" s="3"/>
      <c r="E1854" s="3"/>
      <c r="F1854" s="3"/>
      <c r="G1854" s="3"/>
      <c r="H1854" s="4"/>
      <c r="I1854" s="4"/>
      <c r="J1854" s="3"/>
      <c r="K1854" s="8" t="str">
        <f t="shared" si="28"/>
        <v/>
      </c>
      <c r="L1854" s="1" t="str">
        <f>IF(COUNTA(A1854:J1854)=0,"",IF(OR(AND(C1854&lt;&gt;"Gasto",C1854&lt;&gt;"Pago proveedor",C1854&lt;&gt;"Retiro familiar",C1854&lt;&gt;"Aportación",C1854&lt;&gt;"Pago activo",C1854&lt;&gt;"ISR devengado",C1854&lt;&gt;"Pago ISR",C1854&lt;&gt;"Pago IVA",C1854&lt;&gt;"Compensación ISR",C1854&lt;&gt;"Compensación IVA"),AND(C1854="Gasto",D1854&lt;&gt;"Costos clínicos",D1854&lt;&gt;"Remuneración familiar",D1854&lt;&gt;"Nómina y honorarios",D1854&lt;&gt;"Renta",D1854&lt;&gt;"Marketing",D1854&lt;&gt;"Servicios y software",D1854&lt;&gt;"Mantenimiento",D1854&lt;&gt;"Otros",D1854&lt;&gt;"Intereses")),"Tipo o categoría inválido",IF(COUNTA(A1854:J1854)=0,"",IF(OR(A1854="",B1854="",C1854="",H1854=""),"Faltan datos",IF(COUNTIF($A$7:$A$2006,A1854)&gt;1,"ID duplicado",IF(OR(B1854&lt;DATE(Configuración!$C$5,1,1),B1854&gt;=DATE(Configuración!$C$5+1,1,1)),"Fecha fuera del año",IF(OR(H1854&lt;0,I1854&lt;0),"Revisar signo",IF(AND(C1854&lt;&gt;"Gasto",I1854&lt;&gt;0),"IVA solo en Gasto",IF(AND(C1854="Gasto",D1854=""),"Falta categoría","OK")))))))))</f>
        <v/>
      </c>
    </row>
    <row r="1855" spans="1:12" ht="22" customHeight="1">
      <c r="A1855" s="3"/>
      <c r="B1855" s="7"/>
      <c r="C1855" s="3"/>
      <c r="D1855" s="3"/>
      <c r="E1855" s="3"/>
      <c r="F1855" s="3"/>
      <c r="G1855" s="3"/>
      <c r="H1855" s="4"/>
      <c r="I1855" s="4"/>
      <c r="J1855" s="3"/>
      <c r="K1855" s="8" t="str">
        <f t="shared" si="28"/>
        <v/>
      </c>
      <c r="L1855" s="1" t="str">
        <f>IF(COUNTA(A1855:J1855)=0,"",IF(OR(AND(C1855&lt;&gt;"Gasto",C1855&lt;&gt;"Pago proveedor",C1855&lt;&gt;"Retiro familiar",C1855&lt;&gt;"Aportación",C1855&lt;&gt;"Pago activo",C1855&lt;&gt;"ISR devengado",C1855&lt;&gt;"Pago ISR",C1855&lt;&gt;"Pago IVA",C1855&lt;&gt;"Compensación ISR",C1855&lt;&gt;"Compensación IVA"),AND(C1855="Gasto",D1855&lt;&gt;"Costos clínicos",D1855&lt;&gt;"Remuneración familiar",D1855&lt;&gt;"Nómina y honorarios",D1855&lt;&gt;"Renta",D1855&lt;&gt;"Marketing",D1855&lt;&gt;"Servicios y software",D1855&lt;&gt;"Mantenimiento",D1855&lt;&gt;"Otros",D1855&lt;&gt;"Intereses")),"Tipo o categoría inválido",IF(COUNTA(A1855:J1855)=0,"",IF(OR(A1855="",B1855="",C1855="",H1855=""),"Faltan datos",IF(COUNTIF($A$7:$A$2006,A1855)&gt;1,"ID duplicado",IF(OR(B1855&lt;DATE(Configuración!$C$5,1,1),B1855&gt;=DATE(Configuración!$C$5+1,1,1)),"Fecha fuera del año",IF(OR(H1855&lt;0,I1855&lt;0),"Revisar signo",IF(AND(C1855&lt;&gt;"Gasto",I1855&lt;&gt;0),"IVA solo en Gasto",IF(AND(C1855="Gasto",D1855=""),"Falta categoría","OK")))))))))</f>
        <v/>
      </c>
    </row>
    <row r="1856" spans="1:12" ht="22" customHeight="1">
      <c r="A1856" s="3"/>
      <c r="B1856" s="7"/>
      <c r="C1856" s="3"/>
      <c r="D1856" s="3"/>
      <c r="E1856" s="3"/>
      <c r="F1856" s="3"/>
      <c r="G1856" s="3"/>
      <c r="H1856" s="4"/>
      <c r="I1856" s="4"/>
      <c r="J1856" s="3"/>
      <c r="K1856" s="8" t="str">
        <f t="shared" si="28"/>
        <v/>
      </c>
      <c r="L1856" s="1" t="str">
        <f>IF(COUNTA(A1856:J1856)=0,"",IF(OR(AND(C1856&lt;&gt;"Gasto",C1856&lt;&gt;"Pago proveedor",C1856&lt;&gt;"Retiro familiar",C1856&lt;&gt;"Aportación",C1856&lt;&gt;"Pago activo",C1856&lt;&gt;"ISR devengado",C1856&lt;&gt;"Pago ISR",C1856&lt;&gt;"Pago IVA",C1856&lt;&gt;"Compensación ISR",C1856&lt;&gt;"Compensación IVA"),AND(C1856="Gasto",D1856&lt;&gt;"Costos clínicos",D1856&lt;&gt;"Remuneración familiar",D1856&lt;&gt;"Nómina y honorarios",D1856&lt;&gt;"Renta",D1856&lt;&gt;"Marketing",D1856&lt;&gt;"Servicios y software",D1856&lt;&gt;"Mantenimiento",D1856&lt;&gt;"Otros",D1856&lt;&gt;"Intereses")),"Tipo o categoría inválido",IF(COUNTA(A1856:J1856)=0,"",IF(OR(A1856="",B1856="",C1856="",H1856=""),"Faltan datos",IF(COUNTIF($A$7:$A$2006,A1856)&gt;1,"ID duplicado",IF(OR(B1856&lt;DATE(Configuración!$C$5,1,1),B1856&gt;=DATE(Configuración!$C$5+1,1,1)),"Fecha fuera del año",IF(OR(H1856&lt;0,I1856&lt;0),"Revisar signo",IF(AND(C1856&lt;&gt;"Gasto",I1856&lt;&gt;0),"IVA solo en Gasto",IF(AND(C1856="Gasto",D1856=""),"Falta categoría","OK")))))))))</f>
        <v/>
      </c>
    </row>
    <row r="1857" spans="1:12" ht="22" customHeight="1">
      <c r="A1857" s="3"/>
      <c r="B1857" s="7"/>
      <c r="C1857" s="3"/>
      <c r="D1857" s="3"/>
      <c r="E1857" s="3"/>
      <c r="F1857" s="3"/>
      <c r="G1857" s="3"/>
      <c r="H1857" s="4"/>
      <c r="I1857" s="4"/>
      <c r="J1857" s="3"/>
      <c r="K1857" s="8" t="str">
        <f t="shared" si="28"/>
        <v/>
      </c>
      <c r="L1857" s="1" t="str">
        <f>IF(COUNTA(A1857:J1857)=0,"",IF(OR(AND(C1857&lt;&gt;"Gasto",C1857&lt;&gt;"Pago proveedor",C1857&lt;&gt;"Retiro familiar",C1857&lt;&gt;"Aportación",C1857&lt;&gt;"Pago activo",C1857&lt;&gt;"ISR devengado",C1857&lt;&gt;"Pago ISR",C1857&lt;&gt;"Pago IVA",C1857&lt;&gt;"Compensación ISR",C1857&lt;&gt;"Compensación IVA"),AND(C1857="Gasto",D1857&lt;&gt;"Costos clínicos",D1857&lt;&gt;"Remuneración familiar",D1857&lt;&gt;"Nómina y honorarios",D1857&lt;&gt;"Renta",D1857&lt;&gt;"Marketing",D1857&lt;&gt;"Servicios y software",D1857&lt;&gt;"Mantenimiento",D1857&lt;&gt;"Otros",D1857&lt;&gt;"Intereses")),"Tipo o categoría inválido",IF(COUNTA(A1857:J1857)=0,"",IF(OR(A1857="",B1857="",C1857="",H1857=""),"Faltan datos",IF(COUNTIF($A$7:$A$2006,A1857)&gt;1,"ID duplicado",IF(OR(B1857&lt;DATE(Configuración!$C$5,1,1),B1857&gt;=DATE(Configuración!$C$5+1,1,1)),"Fecha fuera del año",IF(OR(H1857&lt;0,I1857&lt;0),"Revisar signo",IF(AND(C1857&lt;&gt;"Gasto",I1857&lt;&gt;0),"IVA solo en Gasto",IF(AND(C1857="Gasto",D1857=""),"Falta categoría","OK")))))))))</f>
        <v/>
      </c>
    </row>
    <row r="1858" spans="1:12" ht="22" customHeight="1">
      <c r="A1858" s="3"/>
      <c r="B1858" s="7"/>
      <c r="C1858" s="3"/>
      <c r="D1858" s="3"/>
      <c r="E1858" s="3"/>
      <c r="F1858" s="3"/>
      <c r="G1858" s="3"/>
      <c r="H1858" s="4"/>
      <c r="I1858" s="4"/>
      <c r="J1858" s="3"/>
      <c r="K1858" s="8" t="str">
        <f t="shared" si="28"/>
        <v/>
      </c>
      <c r="L1858" s="1" t="str">
        <f>IF(COUNTA(A1858:J1858)=0,"",IF(OR(AND(C1858&lt;&gt;"Gasto",C1858&lt;&gt;"Pago proveedor",C1858&lt;&gt;"Retiro familiar",C1858&lt;&gt;"Aportación",C1858&lt;&gt;"Pago activo",C1858&lt;&gt;"ISR devengado",C1858&lt;&gt;"Pago ISR",C1858&lt;&gt;"Pago IVA",C1858&lt;&gt;"Compensación ISR",C1858&lt;&gt;"Compensación IVA"),AND(C1858="Gasto",D1858&lt;&gt;"Costos clínicos",D1858&lt;&gt;"Remuneración familiar",D1858&lt;&gt;"Nómina y honorarios",D1858&lt;&gt;"Renta",D1858&lt;&gt;"Marketing",D1858&lt;&gt;"Servicios y software",D1858&lt;&gt;"Mantenimiento",D1858&lt;&gt;"Otros",D1858&lt;&gt;"Intereses")),"Tipo o categoría inválido",IF(COUNTA(A1858:J1858)=0,"",IF(OR(A1858="",B1858="",C1858="",H1858=""),"Faltan datos",IF(COUNTIF($A$7:$A$2006,A1858)&gt;1,"ID duplicado",IF(OR(B1858&lt;DATE(Configuración!$C$5,1,1),B1858&gt;=DATE(Configuración!$C$5+1,1,1)),"Fecha fuera del año",IF(OR(H1858&lt;0,I1858&lt;0),"Revisar signo",IF(AND(C1858&lt;&gt;"Gasto",I1858&lt;&gt;0),"IVA solo en Gasto",IF(AND(C1858="Gasto",D1858=""),"Falta categoría","OK")))))))))</f>
        <v/>
      </c>
    </row>
    <row r="1859" spans="1:12" ht="22" customHeight="1">
      <c r="A1859" s="3"/>
      <c r="B1859" s="7"/>
      <c r="C1859" s="3"/>
      <c r="D1859" s="3"/>
      <c r="E1859" s="3"/>
      <c r="F1859" s="3"/>
      <c r="G1859" s="3"/>
      <c r="H1859" s="4"/>
      <c r="I1859" s="4"/>
      <c r="J1859" s="3"/>
      <c r="K1859" s="8" t="str">
        <f t="shared" si="28"/>
        <v/>
      </c>
      <c r="L1859" s="1" t="str">
        <f>IF(COUNTA(A1859:J1859)=0,"",IF(OR(AND(C1859&lt;&gt;"Gasto",C1859&lt;&gt;"Pago proveedor",C1859&lt;&gt;"Retiro familiar",C1859&lt;&gt;"Aportación",C1859&lt;&gt;"Pago activo",C1859&lt;&gt;"ISR devengado",C1859&lt;&gt;"Pago ISR",C1859&lt;&gt;"Pago IVA",C1859&lt;&gt;"Compensación ISR",C1859&lt;&gt;"Compensación IVA"),AND(C1859="Gasto",D1859&lt;&gt;"Costos clínicos",D1859&lt;&gt;"Remuneración familiar",D1859&lt;&gt;"Nómina y honorarios",D1859&lt;&gt;"Renta",D1859&lt;&gt;"Marketing",D1859&lt;&gt;"Servicios y software",D1859&lt;&gt;"Mantenimiento",D1859&lt;&gt;"Otros",D1859&lt;&gt;"Intereses")),"Tipo o categoría inválido",IF(COUNTA(A1859:J1859)=0,"",IF(OR(A1859="",B1859="",C1859="",H1859=""),"Faltan datos",IF(COUNTIF($A$7:$A$2006,A1859)&gt;1,"ID duplicado",IF(OR(B1859&lt;DATE(Configuración!$C$5,1,1),B1859&gt;=DATE(Configuración!$C$5+1,1,1)),"Fecha fuera del año",IF(OR(H1859&lt;0,I1859&lt;0),"Revisar signo",IF(AND(C1859&lt;&gt;"Gasto",I1859&lt;&gt;0),"IVA solo en Gasto",IF(AND(C1859="Gasto",D1859=""),"Falta categoría","OK")))))))))</f>
        <v/>
      </c>
    </row>
    <row r="1860" spans="1:12" ht="22" customHeight="1">
      <c r="A1860" s="3"/>
      <c r="B1860" s="7"/>
      <c r="C1860" s="3"/>
      <c r="D1860" s="3"/>
      <c r="E1860" s="3"/>
      <c r="F1860" s="3"/>
      <c r="G1860" s="3"/>
      <c r="H1860" s="4"/>
      <c r="I1860" s="4"/>
      <c r="J1860" s="3"/>
      <c r="K1860" s="8" t="str">
        <f t="shared" si="28"/>
        <v/>
      </c>
      <c r="L1860" s="1" t="str">
        <f>IF(COUNTA(A1860:J1860)=0,"",IF(OR(AND(C1860&lt;&gt;"Gasto",C1860&lt;&gt;"Pago proveedor",C1860&lt;&gt;"Retiro familiar",C1860&lt;&gt;"Aportación",C1860&lt;&gt;"Pago activo",C1860&lt;&gt;"ISR devengado",C1860&lt;&gt;"Pago ISR",C1860&lt;&gt;"Pago IVA",C1860&lt;&gt;"Compensación ISR",C1860&lt;&gt;"Compensación IVA"),AND(C1860="Gasto",D1860&lt;&gt;"Costos clínicos",D1860&lt;&gt;"Remuneración familiar",D1860&lt;&gt;"Nómina y honorarios",D1860&lt;&gt;"Renta",D1860&lt;&gt;"Marketing",D1860&lt;&gt;"Servicios y software",D1860&lt;&gt;"Mantenimiento",D1860&lt;&gt;"Otros",D1860&lt;&gt;"Intereses")),"Tipo o categoría inválido",IF(COUNTA(A1860:J1860)=0,"",IF(OR(A1860="",B1860="",C1860="",H1860=""),"Faltan datos",IF(COUNTIF($A$7:$A$2006,A1860)&gt;1,"ID duplicado",IF(OR(B1860&lt;DATE(Configuración!$C$5,1,1),B1860&gt;=DATE(Configuración!$C$5+1,1,1)),"Fecha fuera del año",IF(OR(H1860&lt;0,I1860&lt;0),"Revisar signo",IF(AND(C1860&lt;&gt;"Gasto",I1860&lt;&gt;0),"IVA solo en Gasto",IF(AND(C1860="Gasto",D1860=""),"Falta categoría","OK")))))))))</f>
        <v/>
      </c>
    </row>
    <row r="1861" spans="1:12" ht="22" customHeight="1">
      <c r="A1861" s="3"/>
      <c r="B1861" s="7"/>
      <c r="C1861" s="3"/>
      <c r="D1861" s="3"/>
      <c r="E1861" s="3"/>
      <c r="F1861" s="3"/>
      <c r="G1861" s="3"/>
      <c r="H1861" s="4"/>
      <c r="I1861" s="4"/>
      <c r="J1861" s="3"/>
      <c r="K1861" s="8" t="str">
        <f t="shared" si="28"/>
        <v/>
      </c>
      <c r="L1861" s="1" t="str">
        <f>IF(COUNTA(A1861:J1861)=0,"",IF(OR(AND(C1861&lt;&gt;"Gasto",C1861&lt;&gt;"Pago proveedor",C1861&lt;&gt;"Retiro familiar",C1861&lt;&gt;"Aportación",C1861&lt;&gt;"Pago activo",C1861&lt;&gt;"ISR devengado",C1861&lt;&gt;"Pago ISR",C1861&lt;&gt;"Pago IVA",C1861&lt;&gt;"Compensación ISR",C1861&lt;&gt;"Compensación IVA"),AND(C1861="Gasto",D1861&lt;&gt;"Costos clínicos",D1861&lt;&gt;"Remuneración familiar",D1861&lt;&gt;"Nómina y honorarios",D1861&lt;&gt;"Renta",D1861&lt;&gt;"Marketing",D1861&lt;&gt;"Servicios y software",D1861&lt;&gt;"Mantenimiento",D1861&lt;&gt;"Otros",D1861&lt;&gt;"Intereses")),"Tipo o categoría inválido",IF(COUNTA(A1861:J1861)=0,"",IF(OR(A1861="",B1861="",C1861="",H1861=""),"Faltan datos",IF(COUNTIF($A$7:$A$2006,A1861)&gt;1,"ID duplicado",IF(OR(B1861&lt;DATE(Configuración!$C$5,1,1),B1861&gt;=DATE(Configuración!$C$5+1,1,1)),"Fecha fuera del año",IF(OR(H1861&lt;0,I1861&lt;0),"Revisar signo",IF(AND(C1861&lt;&gt;"Gasto",I1861&lt;&gt;0),"IVA solo en Gasto",IF(AND(C1861="Gasto",D1861=""),"Falta categoría","OK")))))))))</f>
        <v/>
      </c>
    </row>
    <row r="1862" spans="1:12" ht="22" customHeight="1">
      <c r="A1862" s="3"/>
      <c r="B1862" s="7"/>
      <c r="C1862" s="3"/>
      <c r="D1862" s="3"/>
      <c r="E1862" s="3"/>
      <c r="F1862" s="3"/>
      <c r="G1862" s="3"/>
      <c r="H1862" s="4"/>
      <c r="I1862" s="4"/>
      <c r="J1862" s="3"/>
      <c r="K1862" s="8" t="str">
        <f t="shared" si="28"/>
        <v/>
      </c>
      <c r="L1862" s="1" t="str">
        <f>IF(COUNTA(A1862:J1862)=0,"",IF(OR(AND(C1862&lt;&gt;"Gasto",C1862&lt;&gt;"Pago proveedor",C1862&lt;&gt;"Retiro familiar",C1862&lt;&gt;"Aportación",C1862&lt;&gt;"Pago activo",C1862&lt;&gt;"ISR devengado",C1862&lt;&gt;"Pago ISR",C1862&lt;&gt;"Pago IVA",C1862&lt;&gt;"Compensación ISR",C1862&lt;&gt;"Compensación IVA"),AND(C1862="Gasto",D1862&lt;&gt;"Costos clínicos",D1862&lt;&gt;"Remuneración familiar",D1862&lt;&gt;"Nómina y honorarios",D1862&lt;&gt;"Renta",D1862&lt;&gt;"Marketing",D1862&lt;&gt;"Servicios y software",D1862&lt;&gt;"Mantenimiento",D1862&lt;&gt;"Otros",D1862&lt;&gt;"Intereses")),"Tipo o categoría inválido",IF(COUNTA(A1862:J1862)=0,"",IF(OR(A1862="",B1862="",C1862="",H1862=""),"Faltan datos",IF(COUNTIF($A$7:$A$2006,A1862)&gt;1,"ID duplicado",IF(OR(B1862&lt;DATE(Configuración!$C$5,1,1),B1862&gt;=DATE(Configuración!$C$5+1,1,1)),"Fecha fuera del año",IF(OR(H1862&lt;0,I1862&lt;0),"Revisar signo",IF(AND(C1862&lt;&gt;"Gasto",I1862&lt;&gt;0),"IVA solo en Gasto",IF(AND(C1862="Gasto",D1862=""),"Falta categoría","OK")))))))))</f>
        <v/>
      </c>
    </row>
    <row r="1863" spans="1:12" ht="22" customHeight="1">
      <c r="A1863" s="3"/>
      <c r="B1863" s="7"/>
      <c r="C1863" s="3"/>
      <c r="D1863" s="3"/>
      <c r="E1863" s="3"/>
      <c r="F1863" s="3"/>
      <c r="G1863" s="3"/>
      <c r="H1863" s="4"/>
      <c r="I1863" s="4"/>
      <c r="J1863" s="3"/>
      <c r="K1863" s="8" t="str">
        <f t="shared" ref="K1863:K1926" si="29">IF(A1863="","",H1863+I1863)</f>
        <v/>
      </c>
      <c r="L1863" s="1" t="str">
        <f>IF(COUNTA(A1863:J1863)=0,"",IF(OR(AND(C1863&lt;&gt;"Gasto",C1863&lt;&gt;"Pago proveedor",C1863&lt;&gt;"Retiro familiar",C1863&lt;&gt;"Aportación",C1863&lt;&gt;"Pago activo",C1863&lt;&gt;"ISR devengado",C1863&lt;&gt;"Pago ISR",C1863&lt;&gt;"Pago IVA",C1863&lt;&gt;"Compensación ISR",C1863&lt;&gt;"Compensación IVA"),AND(C1863="Gasto",D1863&lt;&gt;"Costos clínicos",D1863&lt;&gt;"Remuneración familiar",D1863&lt;&gt;"Nómina y honorarios",D1863&lt;&gt;"Renta",D1863&lt;&gt;"Marketing",D1863&lt;&gt;"Servicios y software",D1863&lt;&gt;"Mantenimiento",D1863&lt;&gt;"Otros",D1863&lt;&gt;"Intereses")),"Tipo o categoría inválido",IF(COUNTA(A1863:J1863)=0,"",IF(OR(A1863="",B1863="",C1863="",H1863=""),"Faltan datos",IF(COUNTIF($A$7:$A$2006,A1863)&gt;1,"ID duplicado",IF(OR(B1863&lt;DATE(Configuración!$C$5,1,1),B1863&gt;=DATE(Configuración!$C$5+1,1,1)),"Fecha fuera del año",IF(OR(H1863&lt;0,I1863&lt;0),"Revisar signo",IF(AND(C1863&lt;&gt;"Gasto",I1863&lt;&gt;0),"IVA solo en Gasto",IF(AND(C1863="Gasto",D1863=""),"Falta categoría","OK")))))))))</f>
        <v/>
      </c>
    </row>
    <row r="1864" spans="1:12" ht="22" customHeight="1">
      <c r="A1864" s="3"/>
      <c r="B1864" s="7"/>
      <c r="C1864" s="3"/>
      <c r="D1864" s="3"/>
      <c r="E1864" s="3"/>
      <c r="F1864" s="3"/>
      <c r="G1864" s="3"/>
      <c r="H1864" s="4"/>
      <c r="I1864" s="4"/>
      <c r="J1864" s="3"/>
      <c r="K1864" s="8" t="str">
        <f t="shared" si="29"/>
        <v/>
      </c>
      <c r="L1864" s="1" t="str">
        <f>IF(COUNTA(A1864:J1864)=0,"",IF(OR(AND(C1864&lt;&gt;"Gasto",C1864&lt;&gt;"Pago proveedor",C1864&lt;&gt;"Retiro familiar",C1864&lt;&gt;"Aportación",C1864&lt;&gt;"Pago activo",C1864&lt;&gt;"ISR devengado",C1864&lt;&gt;"Pago ISR",C1864&lt;&gt;"Pago IVA",C1864&lt;&gt;"Compensación ISR",C1864&lt;&gt;"Compensación IVA"),AND(C1864="Gasto",D1864&lt;&gt;"Costos clínicos",D1864&lt;&gt;"Remuneración familiar",D1864&lt;&gt;"Nómina y honorarios",D1864&lt;&gt;"Renta",D1864&lt;&gt;"Marketing",D1864&lt;&gt;"Servicios y software",D1864&lt;&gt;"Mantenimiento",D1864&lt;&gt;"Otros",D1864&lt;&gt;"Intereses")),"Tipo o categoría inválido",IF(COUNTA(A1864:J1864)=0,"",IF(OR(A1864="",B1864="",C1864="",H1864=""),"Faltan datos",IF(COUNTIF($A$7:$A$2006,A1864)&gt;1,"ID duplicado",IF(OR(B1864&lt;DATE(Configuración!$C$5,1,1),B1864&gt;=DATE(Configuración!$C$5+1,1,1)),"Fecha fuera del año",IF(OR(H1864&lt;0,I1864&lt;0),"Revisar signo",IF(AND(C1864&lt;&gt;"Gasto",I1864&lt;&gt;0),"IVA solo en Gasto",IF(AND(C1864="Gasto",D1864=""),"Falta categoría","OK")))))))))</f>
        <v/>
      </c>
    </row>
    <row r="1865" spans="1:12" ht="22" customHeight="1">
      <c r="A1865" s="3"/>
      <c r="B1865" s="7"/>
      <c r="C1865" s="3"/>
      <c r="D1865" s="3"/>
      <c r="E1865" s="3"/>
      <c r="F1865" s="3"/>
      <c r="G1865" s="3"/>
      <c r="H1865" s="4"/>
      <c r="I1865" s="4"/>
      <c r="J1865" s="3"/>
      <c r="K1865" s="8" t="str">
        <f t="shared" si="29"/>
        <v/>
      </c>
      <c r="L1865" s="1" t="str">
        <f>IF(COUNTA(A1865:J1865)=0,"",IF(OR(AND(C1865&lt;&gt;"Gasto",C1865&lt;&gt;"Pago proveedor",C1865&lt;&gt;"Retiro familiar",C1865&lt;&gt;"Aportación",C1865&lt;&gt;"Pago activo",C1865&lt;&gt;"ISR devengado",C1865&lt;&gt;"Pago ISR",C1865&lt;&gt;"Pago IVA",C1865&lt;&gt;"Compensación ISR",C1865&lt;&gt;"Compensación IVA"),AND(C1865="Gasto",D1865&lt;&gt;"Costos clínicos",D1865&lt;&gt;"Remuneración familiar",D1865&lt;&gt;"Nómina y honorarios",D1865&lt;&gt;"Renta",D1865&lt;&gt;"Marketing",D1865&lt;&gt;"Servicios y software",D1865&lt;&gt;"Mantenimiento",D1865&lt;&gt;"Otros",D1865&lt;&gt;"Intereses")),"Tipo o categoría inválido",IF(COUNTA(A1865:J1865)=0,"",IF(OR(A1865="",B1865="",C1865="",H1865=""),"Faltan datos",IF(COUNTIF($A$7:$A$2006,A1865)&gt;1,"ID duplicado",IF(OR(B1865&lt;DATE(Configuración!$C$5,1,1),B1865&gt;=DATE(Configuración!$C$5+1,1,1)),"Fecha fuera del año",IF(OR(H1865&lt;0,I1865&lt;0),"Revisar signo",IF(AND(C1865&lt;&gt;"Gasto",I1865&lt;&gt;0),"IVA solo en Gasto",IF(AND(C1865="Gasto",D1865=""),"Falta categoría","OK")))))))))</f>
        <v/>
      </c>
    </row>
    <row r="1866" spans="1:12" ht="22" customHeight="1">
      <c r="A1866" s="3"/>
      <c r="B1866" s="7"/>
      <c r="C1866" s="3"/>
      <c r="D1866" s="3"/>
      <c r="E1866" s="3"/>
      <c r="F1866" s="3"/>
      <c r="G1866" s="3"/>
      <c r="H1866" s="4"/>
      <c r="I1866" s="4"/>
      <c r="J1866" s="3"/>
      <c r="K1866" s="8" t="str">
        <f t="shared" si="29"/>
        <v/>
      </c>
      <c r="L1866" s="1" t="str">
        <f>IF(COUNTA(A1866:J1866)=0,"",IF(OR(AND(C1866&lt;&gt;"Gasto",C1866&lt;&gt;"Pago proveedor",C1866&lt;&gt;"Retiro familiar",C1866&lt;&gt;"Aportación",C1866&lt;&gt;"Pago activo",C1866&lt;&gt;"ISR devengado",C1866&lt;&gt;"Pago ISR",C1866&lt;&gt;"Pago IVA",C1866&lt;&gt;"Compensación ISR",C1866&lt;&gt;"Compensación IVA"),AND(C1866="Gasto",D1866&lt;&gt;"Costos clínicos",D1866&lt;&gt;"Remuneración familiar",D1866&lt;&gt;"Nómina y honorarios",D1866&lt;&gt;"Renta",D1866&lt;&gt;"Marketing",D1866&lt;&gt;"Servicios y software",D1866&lt;&gt;"Mantenimiento",D1866&lt;&gt;"Otros",D1866&lt;&gt;"Intereses")),"Tipo o categoría inválido",IF(COUNTA(A1866:J1866)=0,"",IF(OR(A1866="",B1866="",C1866="",H1866=""),"Faltan datos",IF(COUNTIF($A$7:$A$2006,A1866)&gt;1,"ID duplicado",IF(OR(B1866&lt;DATE(Configuración!$C$5,1,1),B1866&gt;=DATE(Configuración!$C$5+1,1,1)),"Fecha fuera del año",IF(OR(H1866&lt;0,I1866&lt;0),"Revisar signo",IF(AND(C1866&lt;&gt;"Gasto",I1866&lt;&gt;0),"IVA solo en Gasto",IF(AND(C1866="Gasto",D1866=""),"Falta categoría","OK")))))))))</f>
        <v/>
      </c>
    </row>
    <row r="1867" spans="1:12" ht="22" customHeight="1">
      <c r="A1867" s="3"/>
      <c r="B1867" s="7"/>
      <c r="C1867" s="3"/>
      <c r="D1867" s="3"/>
      <c r="E1867" s="3"/>
      <c r="F1867" s="3"/>
      <c r="G1867" s="3"/>
      <c r="H1867" s="4"/>
      <c r="I1867" s="4"/>
      <c r="J1867" s="3"/>
      <c r="K1867" s="8" t="str">
        <f t="shared" si="29"/>
        <v/>
      </c>
      <c r="L1867" s="1" t="str">
        <f>IF(COUNTA(A1867:J1867)=0,"",IF(OR(AND(C1867&lt;&gt;"Gasto",C1867&lt;&gt;"Pago proveedor",C1867&lt;&gt;"Retiro familiar",C1867&lt;&gt;"Aportación",C1867&lt;&gt;"Pago activo",C1867&lt;&gt;"ISR devengado",C1867&lt;&gt;"Pago ISR",C1867&lt;&gt;"Pago IVA",C1867&lt;&gt;"Compensación ISR",C1867&lt;&gt;"Compensación IVA"),AND(C1867="Gasto",D1867&lt;&gt;"Costos clínicos",D1867&lt;&gt;"Remuneración familiar",D1867&lt;&gt;"Nómina y honorarios",D1867&lt;&gt;"Renta",D1867&lt;&gt;"Marketing",D1867&lt;&gt;"Servicios y software",D1867&lt;&gt;"Mantenimiento",D1867&lt;&gt;"Otros",D1867&lt;&gt;"Intereses")),"Tipo o categoría inválido",IF(COUNTA(A1867:J1867)=0,"",IF(OR(A1867="",B1867="",C1867="",H1867=""),"Faltan datos",IF(COUNTIF($A$7:$A$2006,A1867)&gt;1,"ID duplicado",IF(OR(B1867&lt;DATE(Configuración!$C$5,1,1),B1867&gt;=DATE(Configuración!$C$5+1,1,1)),"Fecha fuera del año",IF(OR(H1867&lt;0,I1867&lt;0),"Revisar signo",IF(AND(C1867&lt;&gt;"Gasto",I1867&lt;&gt;0),"IVA solo en Gasto",IF(AND(C1867="Gasto",D1867=""),"Falta categoría","OK")))))))))</f>
        <v/>
      </c>
    </row>
    <row r="1868" spans="1:12" ht="22" customHeight="1">
      <c r="A1868" s="3"/>
      <c r="B1868" s="7"/>
      <c r="C1868" s="3"/>
      <c r="D1868" s="3"/>
      <c r="E1868" s="3"/>
      <c r="F1868" s="3"/>
      <c r="G1868" s="3"/>
      <c r="H1868" s="4"/>
      <c r="I1868" s="4"/>
      <c r="J1868" s="3"/>
      <c r="K1868" s="8" t="str">
        <f t="shared" si="29"/>
        <v/>
      </c>
      <c r="L1868" s="1" t="str">
        <f>IF(COUNTA(A1868:J1868)=0,"",IF(OR(AND(C1868&lt;&gt;"Gasto",C1868&lt;&gt;"Pago proveedor",C1868&lt;&gt;"Retiro familiar",C1868&lt;&gt;"Aportación",C1868&lt;&gt;"Pago activo",C1868&lt;&gt;"ISR devengado",C1868&lt;&gt;"Pago ISR",C1868&lt;&gt;"Pago IVA",C1868&lt;&gt;"Compensación ISR",C1868&lt;&gt;"Compensación IVA"),AND(C1868="Gasto",D1868&lt;&gt;"Costos clínicos",D1868&lt;&gt;"Remuneración familiar",D1868&lt;&gt;"Nómina y honorarios",D1868&lt;&gt;"Renta",D1868&lt;&gt;"Marketing",D1868&lt;&gt;"Servicios y software",D1868&lt;&gt;"Mantenimiento",D1868&lt;&gt;"Otros",D1868&lt;&gt;"Intereses")),"Tipo o categoría inválido",IF(COUNTA(A1868:J1868)=0,"",IF(OR(A1868="",B1868="",C1868="",H1868=""),"Faltan datos",IF(COUNTIF($A$7:$A$2006,A1868)&gt;1,"ID duplicado",IF(OR(B1868&lt;DATE(Configuración!$C$5,1,1),B1868&gt;=DATE(Configuración!$C$5+1,1,1)),"Fecha fuera del año",IF(OR(H1868&lt;0,I1868&lt;0),"Revisar signo",IF(AND(C1868&lt;&gt;"Gasto",I1868&lt;&gt;0),"IVA solo en Gasto",IF(AND(C1868="Gasto",D1868=""),"Falta categoría","OK")))))))))</f>
        <v/>
      </c>
    </row>
    <row r="1869" spans="1:12" ht="22" customHeight="1">
      <c r="A1869" s="3"/>
      <c r="B1869" s="7"/>
      <c r="C1869" s="3"/>
      <c r="D1869" s="3"/>
      <c r="E1869" s="3"/>
      <c r="F1869" s="3"/>
      <c r="G1869" s="3"/>
      <c r="H1869" s="4"/>
      <c r="I1869" s="4"/>
      <c r="J1869" s="3"/>
      <c r="K1869" s="8" t="str">
        <f t="shared" si="29"/>
        <v/>
      </c>
      <c r="L1869" s="1" t="str">
        <f>IF(COUNTA(A1869:J1869)=0,"",IF(OR(AND(C1869&lt;&gt;"Gasto",C1869&lt;&gt;"Pago proveedor",C1869&lt;&gt;"Retiro familiar",C1869&lt;&gt;"Aportación",C1869&lt;&gt;"Pago activo",C1869&lt;&gt;"ISR devengado",C1869&lt;&gt;"Pago ISR",C1869&lt;&gt;"Pago IVA",C1869&lt;&gt;"Compensación ISR",C1869&lt;&gt;"Compensación IVA"),AND(C1869="Gasto",D1869&lt;&gt;"Costos clínicos",D1869&lt;&gt;"Remuneración familiar",D1869&lt;&gt;"Nómina y honorarios",D1869&lt;&gt;"Renta",D1869&lt;&gt;"Marketing",D1869&lt;&gt;"Servicios y software",D1869&lt;&gt;"Mantenimiento",D1869&lt;&gt;"Otros",D1869&lt;&gt;"Intereses")),"Tipo o categoría inválido",IF(COUNTA(A1869:J1869)=0,"",IF(OR(A1869="",B1869="",C1869="",H1869=""),"Faltan datos",IF(COUNTIF($A$7:$A$2006,A1869)&gt;1,"ID duplicado",IF(OR(B1869&lt;DATE(Configuración!$C$5,1,1),B1869&gt;=DATE(Configuración!$C$5+1,1,1)),"Fecha fuera del año",IF(OR(H1869&lt;0,I1869&lt;0),"Revisar signo",IF(AND(C1869&lt;&gt;"Gasto",I1869&lt;&gt;0),"IVA solo en Gasto",IF(AND(C1869="Gasto",D1869=""),"Falta categoría","OK")))))))))</f>
        <v/>
      </c>
    </row>
    <row r="1870" spans="1:12" ht="22" customHeight="1">
      <c r="A1870" s="3"/>
      <c r="B1870" s="7"/>
      <c r="C1870" s="3"/>
      <c r="D1870" s="3"/>
      <c r="E1870" s="3"/>
      <c r="F1870" s="3"/>
      <c r="G1870" s="3"/>
      <c r="H1870" s="4"/>
      <c r="I1870" s="4"/>
      <c r="J1870" s="3"/>
      <c r="K1870" s="8" t="str">
        <f t="shared" si="29"/>
        <v/>
      </c>
      <c r="L1870" s="1" t="str">
        <f>IF(COUNTA(A1870:J1870)=0,"",IF(OR(AND(C1870&lt;&gt;"Gasto",C1870&lt;&gt;"Pago proveedor",C1870&lt;&gt;"Retiro familiar",C1870&lt;&gt;"Aportación",C1870&lt;&gt;"Pago activo",C1870&lt;&gt;"ISR devengado",C1870&lt;&gt;"Pago ISR",C1870&lt;&gt;"Pago IVA",C1870&lt;&gt;"Compensación ISR",C1870&lt;&gt;"Compensación IVA"),AND(C1870="Gasto",D1870&lt;&gt;"Costos clínicos",D1870&lt;&gt;"Remuneración familiar",D1870&lt;&gt;"Nómina y honorarios",D1870&lt;&gt;"Renta",D1870&lt;&gt;"Marketing",D1870&lt;&gt;"Servicios y software",D1870&lt;&gt;"Mantenimiento",D1870&lt;&gt;"Otros",D1870&lt;&gt;"Intereses")),"Tipo o categoría inválido",IF(COUNTA(A1870:J1870)=0,"",IF(OR(A1870="",B1870="",C1870="",H1870=""),"Faltan datos",IF(COUNTIF($A$7:$A$2006,A1870)&gt;1,"ID duplicado",IF(OR(B1870&lt;DATE(Configuración!$C$5,1,1),B1870&gt;=DATE(Configuración!$C$5+1,1,1)),"Fecha fuera del año",IF(OR(H1870&lt;0,I1870&lt;0),"Revisar signo",IF(AND(C1870&lt;&gt;"Gasto",I1870&lt;&gt;0),"IVA solo en Gasto",IF(AND(C1870="Gasto",D1870=""),"Falta categoría","OK")))))))))</f>
        <v/>
      </c>
    </row>
    <row r="1871" spans="1:12" ht="22" customHeight="1">
      <c r="A1871" s="3"/>
      <c r="B1871" s="7"/>
      <c r="C1871" s="3"/>
      <c r="D1871" s="3"/>
      <c r="E1871" s="3"/>
      <c r="F1871" s="3"/>
      <c r="G1871" s="3"/>
      <c r="H1871" s="4"/>
      <c r="I1871" s="4"/>
      <c r="J1871" s="3"/>
      <c r="K1871" s="8" t="str">
        <f t="shared" si="29"/>
        <v/>
      </c>
      <c r="L1871" s="1" t="str">
        <f>IF(COUNTA(A1871:J1871)=0,"",IF(OR(AND(C1871&lt;&gt;"Gasto",C1871&lt;&gt;"Pago proveedor",C1871&lt;&gt;"Retiro familiar",C1871&lt;&gt;"Aportación",C1871&lt;&gt;"Pago activo",C1871&lt;&gt;"ISR devengado",C1871&lt;&gt;"Pago ISR",C1871&lt;&gt;"Pago IVA",C1871&lt;&gt;"Compensación ISR",C1871&lt;&gt;"Compensación IVA"),AND(C1871="Gasto",D1871&lt;&gt;"Costos clínicos",D1871&lt;&gt;"Remuneración familiar",D1871&lt;&gt;"Nómina y honorarios",D1871&lt;&gt;"Renta",D1871&lt;&gt;"Marketing",D1871&lt;&gt;"Servicios y software",D1871&lt;&gt;"Mantenimiento",D1871&lt;&gt;"Otros",D1871&lt;&gt;"Intereses")),"Tipo o categoría inválido",IF(COUNTA(A1871:J1871)=0,"",IF(OR(A1871="",B1871="",C1871="",H1871=""),"Faltan datos",IF(COUNTIF($A$7:$A$2006,A1871)&gt;1,"ID duplicado",IF(OR(B1871&lt;DATE(Configuración!$C$5,1,1),B1871&gt;=DATE(Configuración!$C$5+1,1,1)),"Fecha fuera del año",IF(OR(H1871&lt;0,I1871&lt;0),"Revisar signo",IF(AND(C1871&lt;&gt;"Gasto",I1871&lt;&gt;0),"IVA solo en Gasto",IF(AND(C1871="Gasto",D1871=""),"Falta categoría","OK")))))))))</f>
        <v/>
      </c>
    </row>
    <row r="1872" spans="1:12" ht="22" customHeight="1">
      <c r="A1872" s="3"/>
      <c r="B1872" s="7"/>
      <c r="C1872" s="3"/>
      <c r="D1872" s="3"/>
      <c r="E1872" s="3"/>
      <c r="F1872" s="3"/>
      <c r="G1872" s="3"/>
      <c r="H1872" s="4"/>
      <c r="I1872" s="4"/>
      <c r="J1872" s="3"/>
      <c r="K1872" s="8" t="str">
        <f t="shared" si="29"/>
        <v/>
      </c>
      <c r="L1872" s="1" t="str">
        <f>IF(COUNTA(A1872:J1872)=0,"",IF(OR(AND(C1872&lt;&gt;"Gasto",C1872&lt;&gt;"Pago proveedor",C1872&lt;&gt;"Retiro familiar",C1872&lt;&gt;"Aportación",C1872&lt;&gt;"Pago activo",C1872&lt;&gt;"ISR devengado",C1872&lt;&gt;"Pago ISR",C1872&lt;&gt;"Pago IVA",C1872&lt;&gt;"Compensación ISR",C1872&lt;&gt;"Compensación IVA"),AND(C1872="Gasto",D1872&lt;&gt;"Costos clínicos",D1872&lt;&gt;"Remuneración familiar",D1872&lt;&gt;"Nómina y honorarios",D1872&lt;&gt;"Renta",D1872&lt;&gt;"Marketing",D1872&lt;&gt;"Servicios y software",D1872&lt;&gt;"Mantenimiento",D1872&lt;&gt;"Otros",D1872&lt;&gt;"Intereses")),"Tipo o categoría inválido",IF(COUNTA(A1872:J1872)=0,"",IF(OR(A1872="",B1872="",C1872="",H1872=""),"Faltan datos",IF(COUNTIF($A$7:$A$2006,A1872)&gt;1,"ID duplicado",IF(OR(B1872&lt;DATE(Configuración!$C$5,1,1),B1872&gt;=DATE(Configuración!$C$5+1,1,1)),"Fecha fuera del año",IF(OR(H1872&lt;0,I1872&lt;0),"Revisar signo",IF(AND(C1872&lt;&gt;"Gasto",I1872&lt;&gt;0),"IVA solo en Gasto",IF(AND(C1872="Gasto",D1872=""),"Falta categoría","OK")))))))))</f>
        <v/>
      </c>
    </row>
    <row r="1873" spans="1:12" ht="22" customHeight="1">
      <c r="A1873" s="3"/>
      <c r="B1873" s="7"/>
      <c r="C1873" s="3"/>
      <c r="D1873" s="3"/>
      <c r="E1873" s="3"/>
      <c r="F1873" s="3"/>
      <c r="G1873" s="3"/>
      <c r="H1873" s="4"/>
      <c r="I1873" s="4"/>
      <c r="J1873" s="3"/>
      <c r="K1873" s="8" t="str">
        <f t="shared" si="29"/>
        <v/>
      </c>
      <c r="L1873" s="1" t="str">
        <f>IF(COUNTA(A1873:J1873)=0,"",IF(OR(AND(C1873&lt;&gt;"Gasto",C1873&lt;&gt;"Pago proveedor",C1873&lt;&gt;"Retiro familiar",C1873&lt;&gt;"Aportación",C1873&lt;&gt;"Pago activo",C1873&lt;&gt;"ISR devengado",C1873&lt;&gt;"Pago ISR",C1873&lt;&gt;"Pago IVA",C1873&lt;&gt;"Compensación ISR",C1873&lt;&gt;"Compensación IVA"),AND(C1873="Gasto",D1873&lt;&gt;"Costos clínicos",D1873&lt;&gt;"Remuneración familiar",D1873&lt;&gt;"Nómina y honorarios",D1873&lt;&gt;"Renta",D1873&lt;&gt;"Marketing",D1873&lt;&gt;"Servicios y software",D1873&lt;&gt;"Mantenimiento",D1873&lt;&gt;"Otros",D1873&lt;&gt;"Intereses")),"Tipo o categoría inválido",IF(COUNTA(A1873:J1873)=0,"",IF(OR(A1873="",B1873="",C1873="",H1873=""),"Faltan datos",IF(COUNTIF($A$7:$A$2006,A1873)&gt;1,"ID duplicado",IF(OR(B1873&lt;DATE(Configuración!$C$5,1,1),B1873&gt;=DATE(Configuración!$C$5+1,1,1)),"Fecha fuera del año",IF(OR(H1873&lt;0,I1873&lt;0),"Revisar signo",IF(AND(C1873&lt;&gt;"Gasto",I1873&lt;&gt;0),"IVA solo en Gasto",IF(AND(C1873="Gasto",D1873=""),"Falta categoría","OK")))))))))</f>
        <v/>
      </c>
    </row>
    <row r="1874" spans="1:12" ht="22" customHeight="1">
      <c r="A1874" s="3"/>
      <c r="B1874" s="7"/>
      <c r="C1874" s="3"/>
      <c r="D1874" s="3"/>
      <c r="E1874" s="3"/>
      <c r="F1874" s="3"/>
      <c r="G1874" s="3"/>
      <c r="H1874" s="4"/>
      <c r="I1874" s="4"/>
      <c r="J1874" s="3"/>
      <c r="K1874" s="8" t="str">
        <f t="shared" si="29"/>
        <v/>
      </c>
      <c r="L1874" s="1" t="str">
        <f>IF(COUNTA(A1874:J1874)=0,"",IF(OR(AND(C1874&lt;&gt;"Gasto",C1874&lt;&gt;"Pago proveedor",C1874&lt;&gt;"Retiro familiar",C1874&lt;&gt;"Aportación",C1874&lt;&gt;"Pago activo",C1874&lt;&gt;"ISR devengado",C1874&lt;&gt;"Pago ISR",C1874&lt;&gt;"Pago IVA",C1874&lt;&gt;"Compensación ISR",C1874&lt;&gt;"Compensación IVA"),AND(C1874="Gasto",D1874&lt;&gt;"Costos clínicos",D1874&lt;&gt;"Remuneración familiar",D1874&lt;&gt;"Nómina y honorarios",D1874&lt;&gt;"Renta",D1874&lt;&gt;"Marketing",D1874&lt;&gt;"Servicios y software",D1874&lt;&gt;"Mantenimiento",D1874&lt;&gt;"Otros",D1874&lt;&gt;"Intereses")),"Tipo o categoría inválido",IF(COUNTA(A1874:J1874)=0,"",IF(OR(A1874="",B1874="",C1874="",H1874=""),"Faltan datos",IF(COUNTIF($A$7:$A$2006,A1874)&gt;1,"ID duplicado",IF(OR(B1874&lt;DATE(Configuración!$C$5,1,1),B1874&gt;=DATE(Configuración!$C$5+1,1,1)),"Fecha fuera del año",IF(OR(H1874&lt;0,I1874&lt;0),"Revisar signo",IF(AND(C1874&lt;&gt;"Gasto",I1874&lt;&gt;0),"IVA solo en Gasto",IF(AND(C1874="Gasto",D1874=""),"Falta categoría","OK")))))))))</f>
        <v/>
      </c>
    </row>
    <row r="1875" spans="1:12" ht="22" customHeight="1">
      <c r="A1875" s="3"/>
      <c r="B1875" s="7"/>
      <c r="C1875" s="3"/>
      <c r="D1875" s="3"/>
      <c r="E1875" s="3"/>
      <c r="F1875" s="3"/>
      <c r="G1875" s="3"/>
      <c r="H1875" s="4"/>
      <c r="I1875" s="4"/>
      <c r="J1875" s="3"/>
      <c r="K1875" s="8" t="str">
        <f t="shared" si="29"/>
        <v/>
      </c>
      <c r="L1875" s="1" t="str">
        <f>IF(COUNTA(A1875:J1875)=0,"",IF(OR(AND(C1875&lt;&gt;"Gasto",C1875&lt;&gt;"Pago proveedor",C1875&lt;&gt;"Retiro familiar",C1875&lt;&gt;"Aportación",C1875&lt;&gt;"Pago activo",C1875&lt;&gt;"ISR devengado",C1875&lt;&gt;"Pago ISR",C1875&lt;&gt;"Pago IVA",C1875&lt;&gt;"Compensación ISR",C1875&lt;&gt;"Compensación IVA"),AND(C1875="Gasto",D1875&lt;&gt;"Costos clínicos",D1875&lt;&gt;"Remuneración familiar",D1875&lt;&gt;"Nómina y honorarios",D1875&lt;&gt;"Renta",D1875&lt;&gt;"Marketing",D1875&lt;&gt;"Servicios y software",D1875&lt;&gt;"Mantenimiento",D1875&lt;&gt;"Otros",D1875&lt;&gt;"Intereses")),"Tipo o categoría inválido",IF(COUNTA(A1875:J1875)=0,"",IF(OR(A1875="",B1875="",C1875="",H1875=""),"Faltan datos",IF(COUNTIF($A$7:$A$2006,A1875)&gt;1,"ID duplicado",IF(OR(B1875&lt;DATE(Configuración!$C$5,1,1),B1875&gt;=DATE(Configuración!$C$5+1,1,1)),"Fecha fuera del año",IF(OR(H1875&lt;0,I1875&lt;0),"Revisar signo",IF(AND(C1875&lt;&gt;"Gasto",I1875&lt;&gt;0),"IVA solo en Gasto",IF(AND(C1875="Gasto",D1875=""),"Falta categoría","OK")))))))))</f>
        <v/>
      </c>
    </row>
    <row r="1876" spans="1:12" ht="22" customHeight="1">
      <c r="A1876" s="3"/>
      <c r="B1876" s="7"/>
      <c r="C1876" s="3"/>
      <c r="D1876" s="3"/>
      <c r="E1876" s="3"/>
      <c r="F1876" s="3"/>
      <c r="G1876" s="3"/>
      <c r="H1876" s="4"/>
      <c r="I1876" s="4"/>
      <c r="J1876" s="3"/>
      <c r="K1876" s="8" t="str">
        <f t="shared" si="29"/>
        <v/>
      </c>
      <c r="L1876" s="1" t="str">
        <f>IF(COUNTA(A1876:J1876)=0,"",IF(OR(AND(C1876&lt;&gt;"Gasto",C1876&lt;&gt;"Pago proveedor",C1876&lt;&gt;"Retiro familiar",C1876&lt;&gt;"Aportación",C1876&lt;&gt;"Pago activo",C1876&lt;&gt;"ISR devengado",C1876&lt;&gt;"Pago ISR",C1876&lt;&gt;"Pago IVA",C1876&lt;&gt;"Compensación ISR",C1876&lt;&gt;"Compensación IVA"),AND(C1876="Gasto",D1876&lt;&gt;"Costos clínicos",D1876&lt;&gt;"Remuneración familiar",D1876&lt;&gt;"Nómina y honorarios",D1876&lt;&gt;"Renta",D1876&lt;&gt;"Marketing",D1876&lt;&gt;"Servicios y software",D1876&lt;&gt;"Mantenimiento",D1876&lt;&gt;"Otros",D1876&lt;&gt;"Intereses")),"Tipo o categoría inválido",IF(COUNTA(A1876:J1876)=0,"",IF(OR(A1876="",B1876="",C1876="",H1876=""),"Faltan datos",IF(COUNTIF($A$7:$A$2006,A1876)&gt;1,"ID duplicado",IF(OR(B1876&lt;DATE(Configuración!$C$5,1,1),B1876&gt;=DATE(Configuración!$C$5+1,1,1)),"Fecha fuera del año",IF(OR(H1876&lt;0,I1876&lt;0),"Revisar signo",IF(AND(C1876&lt;&gt;"Gasto",I1876&lt;&gt;0),"IVA solo en Gasto",IF(AND(C1876="Gasto",D1876=""),"Falta categoría","OK")))))))))</f>
        <v/>
      </c>
    </row>
    <row r="1877" spans="1:12" ht="22" customHeight="1">
      <c r="A1877" s="3"/>
      <c r="B1877" s="7"/>
      <c r="C1877" s="3"/>
      <c r="D1877" s="3"/>
      <c r="E1877" s="3"/>
      <c r="F1877" s="3"/>
      <c r="G1877" s="3"/>
      <c r="H1877" s="4"/>
      <c r="I1877" s="4"/>
      <c r="J1877" s="3"/>
      <c r="K1877" s="8" t="str">
        <f t="shared" si="29"/>
        <v/>
      </c>
      <c r="L1877" s="1" t="str">
        <f>IF(COUNTA(A1877:J1877)=0,"",IF(OR(AND(C1877&lt;&gt;"Gasto",C1877&lt;&gt;"Pago proveedor",C1877&lt;&gt;"Retiro familiar",C1877&lt;&gt;"Aportación",C1877&lt;&gt;"Pago activo",C1877&lt;&gt;"ISR devengado",C1877&lt;&gt;"Pago ISR",C1877&lt;&gt;"Pago IVA",C1877&lt;&gt;"Compensación ISR",C1877&lt;&gt;"Compensación IVA"),AND(C1877="Gasto",D1877&lt;&gt;"Costos clínicos",D1877&lt;&gt;"Remuneración familiar",D1877&lt;&gt;"Nómina y honorarios",D1877&lt;&gt;"Renta",D1877&lt;&gt;"Marketing",D1877&lt;&gt;"Servicios y software",D1877&lt;&gt;"Mantenimiento",D1877&lt;&gt;"Otros",D1877&lt;&gt;"Intereses")),"Tipo o categoría inválido",IF(COUNTA(A1877:J1877)=0,"",IF(OR(A1877="",B1877="",C1877="",H1877=""),"Faltan datos",IF(COUNTIF($A$7:$A$2006,A1877)&gt;1,"ID duplicado",IF(OR(B1877&lt;DATE(Configuración!$C$5,1,1),B1877&gt;=DATE(Configuración!$C$5+1,1,1)),"Fecha fuera del año",IF(OR(H1877&lt;0,I1877&lt;0),"Revisar signo",IF(AND(C1877&lt;&gt;"Gasto",I1877&lt;&gt;0),"IVA solo en Gasto",IF(AND(C1877="Gasto",D1877=""),"Falta categoría","OK")))))))))</f>
        <v/>
      </c>
    </row>
    <row r="1878" spans="1:12" ht="22" customHeight="1">
      <c r="A1878" s="3"/>
      <c r="B1878" s="7"/>
      <c r="C1878" s="3"/>
      <c r="D1878" s="3"/>
      <c r="E1878" s="3"/>
      <c r="F1878" s="3"/>
      <c r="G1878" s="3"/>
      <c r="H1878" s="4"/>
      <c r="I1878" s="4"/>
      <c r="J1878" s="3"/>
      <c r="K1878" s="8" t="str">
        <f t="shared" si="29"/>
        <v/>
      </c>
      <c r="L1878" s="1" t="str">
        <f>IF(COUNTA(A1878:J1878)=0,"",IF(OR(AND(C1878&lt;&gt;"Gasto",C1878&lt;&gt;"Pago proveedor",C1878&lt;&gt;"Retiro familiar",C1878&lt;&gt;"Aportación",C1878&lt;&gt;"Pago activo",C1878&lt;&gt;"ISR devengado",C1878&lt;&gt;"Pago ISR",C1878&lt;&gt;"Pago IVA",C1878&lt;&gt;"Compensación ISR",C1878&lt;&gt;"Compensación IVA"),AND(C1878="Gasto",D1878&lt;&gt;"Costos clínicos",D1878&lt;&gt;"Remuneración familiar",D1878&lt;&gt;"Nómina y honorarios",D1878&lt;&gt;"Renta",D1878&lt;&gt;"Marketing",D1878&lt;&gt;"Servicios y software",D1878&lt;&gt;"Mantenimiento",D1878&lt;&gt;"Otros",D1878&lt;&gt;"Intereses")),"Tipo o categoría inválido",IF(COUNTA(A1878:J1878)=0,"",IF(OR(A1878="",B1878="",C1878="",H1878=""),"Faltan datos",IF(COUNTIF($A$7:$A$2006,A1878)&gt;1,"ID duplicado",IF(OR(B1878&lt;DATE(Configuración!$C$5,1,1),B1878&gt;=DATE(Configuración!$C$5+1,1,1)),"Fecha fuera del año",IF(OR(H1878&lt;0,I1878&lt;0),"Revisar signo",IF(AND(C1878&lt;&gt;"Gasto",I1878&lt;&gt;0),"IVA solo en Gasto",IF(AND(C1878="Gasto",D1878=""),"Falta categoría","OK")))))))))</f>
        <v/>
      </c>
    </row>
    <row r="1879" spans="1:12" ht="22" customHeight="1">
      <c r="A1879" s="3"/>
      <c r="B1879" s="7"/>
      <c r="C1879" s="3"/>
      <c r="D1879" s="3"/>
      <c r="E1879" s="3"/>
      <c r="F1879" s="3"/>
      <c r="G1879" s="3"/>
      <c r="H1879" s="4"/>
      <c r="I1879" s="4"/>
      <c r="J1879" s="3"/>
      <c r="K1879" s="8" t="str">
        <f t="shared" si="29"/>
        <v/>
      </c>
      <c r="L1879" s="1" t="str">
        <f>IF(COUNTA(A1879:J1879)=0,"",IF(OR(AND(C1879&lt;&gt;"Gasto",C1879&lt;&gt;"Pago proveedor",C1879&lt;&gt;"Retiro familiar",C1879&lt;&gt;"Aportación",C1879&lt;&gt;"Pago activo",C1879&lt;&gt;"ISR devengado",C1879&lt;&gt;"Pago ISR",C1879&lt;&gt;"Pago IVA",C1879&lt;&gt;"Compensación ISR",C1879&lt;&gt;"Compensación IVA"),AND(C1879="Gasto",D1879&lt;&gt;"Costos clínicos",D1879&lt;&gt;"Remuneración familiar",D1879&lt;&gt;"Nómina y honorarios",D1879&lt;&gt;"Renta",D1879&lt;&gt;"Marketing",D1879&lt;&gt;"Servicios y software",D1879&lt;&gt;"Mantenimiento",D1879&lt;&gt;"Otros",D1879&lt;&gt;"Intereses")),"Tipo o categoría inválido",IF(COUNTA(A1879:J1879)=0,"",IF(OR(A1879="",B1879="",C1879="",H1879=""),"Faltan datos",IF(COUNTIF($A$7:$A$2006,A1879)&gt;1,"ID duplicado",IF(OR(B1879&lt;DATE(Configuración!$C$5,1,1),B1879&gt;=DATE(Configuración!$C$5+1,1,1)),"Fecha fuera del año",IF(OR(H1879&lt;0,I1879&lt;0),"Revisar signo",IF(AND(C1879&lt;&gt;"Gasto",I1879&lt;&gt;0),"IVA solo en Gasto",IF(AND(C1879="Gasto",D1879=""),"Falta categoría","OK")))))))))</f>
        <v/>
      </c>
    </row>
    <row r="1880" spans="1:12" ht="22" customHeight="1">
      <c r="A1880" s="3"/>
      <c r="B1880" s="7"/>
      <c r="C1880" s="3"/>
      <c r="D1880" s="3"/>
      <c r="E1880" s="3"/>
      <c r="F1880" s="3"/>
      <c r="G1880" s="3"/>
      <c r="H1880" s="4"/>
      <c r="I1880" s="4"/>
      <c r="J1880" s="3"/>
      <c r="K1880" s="8" t="str">
        <f t="shared" si="29"/>
        <v/>
      </c>
      <c r="L1880" s="1" t="str">
        <f>IF(COUNTA(A1880:J1880)=0,"",IF(OR(AND(C1880&lt;&gt;"Gasto",C1880&lt;&gt;"Pago proveedor",C1880&lt;&gt;"Retiro familiar",C1880&lt;&gt;"Aportación",C1880&lt;&gt;"Pago activo",C1880&lt;&gt;"ISR devengado",C1880&lt;&gt;"Pago ISR",C1880&lt;&gt;"Pago IVA",C1880&lt;&gt;"Compensación ISR",C1880&lt;&gt;"Compensación IVA"),AND(C1880="Gasto",D1880&lt;&gt;"Costos clínicos",D1880&lt;&gt;"Remuneración familiar",D1880&lt;&gt;"Nómina y honorarios",D1880&lt;&gt;"Renta",D1880&lt;&gt;"Marketing",D1880&lt;&gt;"Servicios y software",D1880&lt;&gt;"Mantenimiento",D1880&lt;&gt;"Otros",D1880&lt;&gt;"Intereses")),"Tipo o categoría inválido",IF(COUNTA(A1880:J1880)=0,"",IF(OR(A1880="",B1880="",C1880="",H1880=""),"Faltan datos",IF(COUNTIF($A$7:$A$2006,A1880)&gt;1,"ID duplicado",IF(OR(B1880&lt;DATE(Configuración!$C$5,1,1),B1880&gt;=DATE(Configuración!$C$5+1,1,1)),"Fecha fuera del año",IF(OR(H1880&lt;0,I1880&lt;0),"Revisar signo",IF(AND(C1880&lt;&gt;"Gasto",I1880&lt;&gt;0),"IVA solo en Gasto",IF(AND(C1880="Gasto",D1880=""),"Falta categoría","OK")))))))))</f>
        <v/>
      </c>
    </row>
    <row r="1881" spans="1:12" ht="22" customHeight="1">
      <c r="A1881" s="3"/>
      <c r="B1881" s="7"/>
      <c r="C1881" s="3"/>
      <c r="D1881" s="3"/>
      <c r="E1881" s="3"/>
      <c r="F1881" s="3"/>
      <c r="G1881" s="3"/>
      <c r="H1881" s="4"/>
      <c r="I1881" s="4"/>
      <c r="J1881" s="3"/>
      <c r="K1881" s="8" t="str">
        <f t="shared" si="29"/>
        <v/>
      </c>
      <c r="L1881" s="1" t="str">
        <f>IF(COUNTA(A1881:J1881)=0,"",IF(OR(AND(C1881&lt;&gt;"Gasto",C1881&lt;&gt;"Pago proveedor",C1881&lt;&gt;"Retiro familiar",C1881&lt;&gt;"Aportación",C1881&lt;&gt;"Pago activo",C1881&lt;&gt;"ISR devengado",C1881&lt;&gt;"Pago ISR",C1881&lt;&gt;"Pago IVA",C1881&lt;&gt;"Compensación ISR",C1881&lt;&gt;"Compensación IVA"),AND(C1881="Gasto",D1881&lt;&gt;"Costos clínicos",D1881&lt;&gt;"Remuneración familiar",D1881&lt;&gt;"Nómina y honorarios",D1881&lt;&gt;"Renta",D1881&lt;&gt;"Marketing",D1881&lt;&gt;"Servicios y software",D1881&lt;&gt;"Mantenimiento",D1881&lt;&gt;"Otros",D1881&lt;&gt;"Intereses")),"Tipo o categoría inválido",IF(COUNTA(A1881:J1881)=0,"",IF(OR(A1881="",B1881="",C1881="",H1881=""),"Faltan datos",IF(COUNTIF($A$7:$A$2006,A1881)&gt;1,"ID duplicado",IF(OR(B1881&lt;DATE(Configuración!$C$5,1,1),B1881&gt;=DATE(Configuración!$C$5+1,1,1)),"Fecha fuera del año",IF(OR(H1881&lt;0,I1881&lt;0),"Revisar signo",IF(AND(C1881&lt;&gt;"Gasto",I1881&lt;&gt;0),"IVA solo en Gasto",IF(AND(C1881="Gasto",D1881=""),"Falta categoría","OK")))))))))</f>
        <v/>
      </c>
    </row>
    <row r="1882" spans="1:12" ht="22" customHeight="1">
      <c r="A1882" s="3"/>
      <c r="B1882" s="7"/>
      <c r="C1882" s="3"/>
      <c r="D1882" s="3"/>
      <c r="E1882" s="3"/>
      <c r="F1882" s="3"/>
      <c r="G1882" s="3"/>
      <c r="H1882" s="4"/>
      <c r="I1882" s="4"/>
      <c r="J1882" s="3"/>
      <c r="K1882" s="8" t="str">
        <f t="shared" si="29"/>
        <v/>
      </c>
      <c r="L1882" s="1" t="str">
        <f>IF(COUNTA(A1882:J1882)=0,"",IF(OR(AND(C1882&lt;&gt;"Gasto",C1882&lt;&gt;"Pago proveedor",C1882&lt;&gt;"Retiro familiar",C1882&lt;&gt;"Aportación",C1882&lt;&gt;"Pago activo",C1882&lt;&gt;"ISR devengado",C1882&lt;&gt;"Pago ISR",C1882&lt;&gt;"Pago IVA",C1882&lt;&gt;"Compensación ISR",C1882&lt;&gt;"Compensación IVA"),AND(C1882="Gasto",D1882&lt;&gt;"Costos clínicos",D1882&lt;&gt;"Remuneración familiar",D1882&lt;&gt;"Nómina y honorarios",D1882&lt;&gt;"Renta",D1882&lt;&gt;"Marketing",D1882&lt;&gt;"Servicios y software",D1882&lt;&gt;"Mantenimiento",D1882&lt;&gt;"Otros",D1882&lt;&gt;"Intereses")),"Tipo o categoría inválido",IF(COUNTA(A1882:J1882)=0,"",IF(OR(A1882="",B1882="",C1882="",H1882=""),"Faltan datos",IF(COUNTIF($A$7:$A$2006,A1882)&gt;1,"ID duplicado",IF(OR(B1882&lt;DATE(Configuración!$C$5,1,1),B1882&gt;=DATE(Configuración!$C$5+1,1,1)),"Fecha fuera del año",IF(OR(H1882&lt;0,I1882&lt;0),"Revisar signo",IF(AND(C1882&lt;&gt;"Gasto",I1882&lt;&gt;0),"IVA solo en Gasto",IF(AND(C1882="Gasto",D1882=""),"Falta categoría","OK")))))))))</f>
        <v/>
      </c>
    </row>
    <row r="1883" spans="1:12" ht="22" customHeight="1">
      <c r="A1883" s="3"/>
      <c r="B1883" s="7"/>
      <c r="C1883" s="3"/>
      <c r="D1883" s="3"/>
      <c r="E1883" s="3"/>
      <c r="F1883" s="3"/>
      <c r="G1883" s="3"/>
      <c r="H1883" s="4"/>
      <c r="I1883" s="4"/>
      <c r="J1883" s="3"/>
      <c r="K1883" s="8" t="str">
        <f t="shared" si="29"/>
        <v/>
      </c>
      <c r="L1883" s="1" t="str">
        <f>IF(COUNTA(A1883:J1883)=0,"",IF(OR(AND(C1883&lt;&gt;"Gasto",C1883&lt;&gt;"Pago proveedor",C1883&lt;&gt;"Retiro familiar",C1883&lt;&gt;"Aportación",C1883&lt;&gt;"Pago activo",C1883&lt;&gt;"ISR devengado",C1883&lt;&gt;"Pago ISR",C1883&lt;&gt;"Pago IVA",C1883&lt;&gt;"Compensación ISR",C1883&lt;&gt;"Compensación IVA"),AND(C1883="Gasto",D1883&lt;&gt;"Costos clínicos",D1883&lt;&gt;"Remuneración familiar",D1883&lt;&gt;"Nómina y honorarios",D1883&lt;&gt;"Renta",D1883&lt;&gt;"Marketing",D1883&lt;&gt;"Servicios y software",D1883&lt;&gt;"Mantenimiento",D1883&lt;&gt;"Otros",D1883&lt;&gt;"Intereses")),"Tipo o categoría inválido",IF(COUNTA(A1883:J1883)=0,"",IF(OR(A1883="",B1883="",C1883="",H1883=""),"Faltan datos",IF(COUNTIF($A$7:$A$2006,A1883)&gt;1,"ID duplicado",IF(OR(B1883&lt;DATE(Configuración!$C$5,1,1),B1883&gt;=DATE(Configuración!$C$5+1,1,1)),"Fecha fuera del año",IF(OR(H1883&lt;0,I1883&lt;0),"Revisar signo",IF(AND(C1883&lt;&gt;"Gasto",I1883&lt;&gt;0),"IVA solo en Gasto",IF(AND(C1883="Gasto",D1883=""),"Falta categoría","OK")))))))))</f>
        <v/>
      </c>
    </row>
    <row r="1884" spans="1:12" ht="22" customHeight="1">
      <c r="A1884" s="3"/>
      <c r="B1884" s="7"/>
      <c r="C1884" s="3"/>
      <c r="D1884" s="3"/>
      <c r="E1884" s="3"/>
      <c r="F1884" s="3"/>
      <c r="G1884" s="3"/>
      <c r="H1884" s="4"/>
      <c r="I1884" s="4"/>
      <c r="J1884" s="3"/>
      <c r="K1884" s="8" t="str">
        <f t="shared" si="29"/>
        <v/>
      </c>
      <c r="L1884" s="1" t="str">
        <f>IF(COUNTA(A1884:J1884)=0,"",IF(OR(AND(C1884&lt;&gt;"Gasto",C1884&lt;&gt;"Pago proveedor",C1884&lt;&gt;"Retiro familiar",C1884&lt;&gt;"Aportación",C1884&lt;&gt;"Pago activo",C1884&lt;&gt;"ISR devengado",C1884&lt;&gt;"Pago ISR",C1884&lt;&gt;"Pago IVA",C1884&lt;&gt;"Compensación ISR",C1884&lt;&gt;"Compensación IVA"),AND(C1884="Gasto",D1884&lt;&gt;"Costos clínicos",D1884&lt;&gt;"Remuneración familiar",D1884&lt;&gt;"Nómina y honorarios",D1884&lt;&gt;"Renta",D1884&lt;&gt;"Marketing",D1884&lt;&gt;"Servicios y software",D1884&lt;&gt;"Mantenimiento",D1884&lt;&gt;"Otros",D1884&lt;&gt;"Intereses")),"Tipo o categoría inválido",IF(COUNTA(A1884:J1884)=0,"",IF(OR(A1884="",B1884="",C1884="",H1884=""),"Faltan datos",IF(COUNTIF($A$7:$A$2006,A1884)&gt;1,"ID duplicado",IF(OR(B1884&lt;DATE(Configuración!$C$5,1,1),B1884&gt;=DATE(Configuración!$C$5+1,1,1)),"Fecha fuera del año",IF(OR(H1884&lt;0,I1884&lt;0),"Revisar signo",IF(AND(C1884&lt;&gt;"Gasto",I1884&lt;&gt;0),"IVA solo en Gasto",IF(AND(C1884="Gasto",D1884=""),"Falta categoría","OK")))))))))</f>
        <v/>
      </c>
    </row>
    <row r="1885" spans="1:12" ht="22" customHeight="1">
      <c r="A1885" s="3"/>
      <c r="B1885" s="7"/>
      <c r="C1885" s="3"/>
      <c r="D1885" s="3"/>
      <c r="E1885" s="3"/>
      <c r="F1885" s="3"/>
      <c r="G1885" s="3"/>
      <c r="H1885" s="4"/>
      <c r="I1885" s="4"/>
      <c r="J1885" s="3"/>
      <c r="K1885" s="8" t="str">
        <f t="shared" si="29"/>
        <v/>
      </c>
      <c r="L1885" s="1" t="str">
        <f>IF(COUNTA(A1885:J1885)=0,"",IF(OR(AND(C1885&lt;&gt;"Gasto",C1885&lt;&gt;"Pago proveedor",C1885&lt;&gt;"Retiro familiar",C1885&lt;&gt;"Aportación",C1885&lt;&gt;"Pago activo",C1885&lt;&gt;"ISR devengado",C1885&lt;&gt;"Pago ISR",C1885&lt;&gt;"Pago IVA",C1885&lt;&gt;"Compensación ISR",C1885&lt;&gt;"Compensación IVA"),AND(C1885="Gasto",D1885&lt;&gt;"Costos clínicos",D1885&lt;&gt;"Remuneración familiar",D1885&lt;&gt;"Nómina y honorarios",D1885&lt;&gt;"Renta",D1885&lt;&gt;"Marketing",D1885&lt;&gt;"Servicios y software",D1885&lt;&gt;"Mantenimiento",D1885&lt;&gt;"Otros",D1885&lt;&gt;"Intereses")),"Tipo o categoría inválido",IF(COUNTA(A1885:J1885)=0,"",IF(OR(A1885="",B1885="",C1885="",H1885=""),"Faltan datos",IF(COUNTIF($A$7:$A$2006,A1885)&gt;1,"ID duplicado",IF(OR(B1885&lt;DATE(Configuración!$C$5,1,1),B1885&gt;=DATE(Configuración!$C$5+1,1,1)),"Fecha fuera del año",IF(OR(H1885&lt;0,I1885&lt;0),"Revisar signo",IF(AND(C1885&lt;&gt;"Gasto",I1885&lt;&gt;0),"IVA solo en Gasto",IF(AND(C1885="Gasto",D1885=""),"Falta categoría","OK")))))))))</f>
        <v/>
      </c>
    </row>
    <row r="1886" spans="1:12" ht="22" customHeight="1">
      <c r="A1886" s="3"/>
      <c r="B1886" s="7"/>
      <c r="C1886" s="3"/>
      <c r="D1886" s="3"/>
      <c r="E1886" s="3"/>
      <c r="F1886" s="3"/>
      <c r="G1886" s="3"/>
      <c r="H1886" s="4"/>
      <c r="I1886" s="4"/>
      <c r="J1886" s="3"/>
      <c r="K1886" s="8" t="str">
        <f t="shared" si="29"/>
        <v/>
      </c>
      <c r="L1886" s="1" t="str">
        <f>IF(COUNTA(A1886:J1886)=0,"",IF(OR(AND(C1886&lt;&gt;"Gasto",C1886&lt;&gt;"Pago proveedor",C1886&lt;&gt;"Retiro familiar",C1886&lt;&gt;"Aportación",C1886&lt;&gt;"Pago activo",C1886&lt;&gt;"ISR devengado",C1886&lt;&gt;"Pago ISR",C1886&lt;&gt;"Pago IVA",C1886&lt;&gt;"Compensación ISR",C1886&lt;&gt;"Compensación IVA"),AND(C1886="Gasto",D1886&lt;&gt;"Costos clínicos",D1886&lt;&gt;"Remuneración familiar",D1886&lt;&gt;"Nómina y honorarios",D1886&lt;&gt;"Renta",D1886&lt;&gt;"Marketing",D1886&lt;&gt;"Servicios y software",D1886&lt;&gt;"Mantenimiento",D1886&lt;&gt;"Otros",D1886&lt;&gt;"Intereses")),"Tipo o categoría inválido",IF(COUNTA(A1886:J1886)=0,"",IF(OR(A1886="",B1886="",C1886="",H1886=""),"Faltan datos",IF(COUNTIF($A$7:$A$2006,A1886)&gt;1,"ID duplicado",IF(OR(B1886&lt;DATE(Configuración!$C$5,1,1),B1886&gt;=DATE(Configuración!$C$5+1,1,1)),"Fecha fuera del año",IF(OR(H1886&lt;0,I1886&lt;0),"Revisar signo",IF(AND(C1886&lt;&gt;"Gasto",I1886&lt;&gt;0),"IVA solo en Gasto",IF(AND(C1886="Gasto",D1886=""),"Falta categoría","OK")))))))))</f>
        <v/>
      </c>
    </row>
    <row r="1887" spans="1:12" ht="22" customHeight="1">
      <c r="A1887" s="3"/>
      <c r="B1887" s="7"/>
      <c r="C1887" s="3"/>
      <c r="D1887" s="3"/>
      <c r="E1887" s="3"/>
      <c r="F1887" s="3"/>
      <c r="G1887" s="3"/>
      <c r="H1887" s="4"/>
      <c r="I1887" s="4"/>
      <c r="J1887" s="3"/>
      <c r="K1887" s="8" t="str">
        <f t="shared" si="29"/>
        <v/>
      </c>
      <c r="L1887" s="1" t="str">
        <f>IF(COUNTA(A1887:J1887)=0,"",IF(OR(AND(C1887&lt;&gt;"Gasto",C1887&lt;&gt;"Pago proveedor",C1887&lt;&gt;"Retiro familiar",C1887&lt;&gt;"Aportación",C1887&lt;&gt;"Pago activo",C1887&lt;&gt;"ISR devengado",C1887&lt;&gt;"Pago ISR",C1887&lt;&gt;"Pago IVA",C1887&lt;&gt;"Compensación ISR",C1887&lt;&gt;"Compensación IVA"),AND(C1887="Gasto",D1887&lt;&gt;"Costos clínicos",D1887&lt;&gt;"Remuneración familiar",D1887&lt;&gt;"Nómina y honorarios",D1887&lt;&gt;"Renta",D1887&lt;&gt;"Marketing",D1887&lt;&gt;"Servicios y software",D1887&lt;&gt;"Mantenimiento",D1887&lt;&gt;"Otros",D1887&lt;&gt;"Intereses")),"Tipo o categoría inválido",IF(COUNTA(A1887:J1887)=0,"",IF(OR(A1887="",B1887="",C1887="",H1887=""),"Faltan datos",IF(COUNTIF($A$7:$A$2006,A1887)&gt;1,"ID duplicado",IF(OR(B1887&lt;DATE(Configuración!$C$5,1,1),B1887&gt;=DATE(Configuración!$C$5+1,1,1)),"Fecha fuera del año",IF(OR(H1887&lt;0,I1887&lt;0),"Revisar signo",IF(AND(C1887&lt;&gt;"Gasto",I1887&lt;&gt;0),"IVA solo en Gasto",IF(AND(C1887="Gasto",D1887=""),"Falta categoría","OK")))))))))</f>
        <v/>
      </c>
    </row>
    <row r="1888" spans="1:12" ht="22" customHeight="1">
      <c r="A1888" s="3"/>
      <c r="B1888" s="7"/>
      <c r="C1888" s="3"/>
      <c r="D1888" s="3"/>
      <c r="E1888" s="3"/>
      <c r="F1888" s="3"/>
      <c r="G1888" s="3"/>
      <c r="H1888" s="4"/>
      <c r="I1888" s="4"/>
      <c r="J1888" s="3"/>
      <c r="K1888" s="8" t="str">
        <f t="shared" si="29"/>
        <v/>
      </c>
      <c r="L1888" s="1" t="str">
        <f>IF(COUNTA(A1888:J1888)=0,"",IF(OR(AND(C1888&lt;&gt;"Gasto",C1888&lt;&gt;"Pago proveedor",C1888&lt;&gt;"Retiro familiar",C1888&lt;&gt;"Aportación",C1888&lt;&gt;"Pago activo",C1888&lt;&gt;"ISR devengado",C1888&lt;&gt;"Pago ISR",C1888&lt;&gt;"Pago IVA",C1888&lt;&gt;"Compensación ISR",C1888&lt;&gt;"Compensación IVA"),AND(C1888="Gasto",D1888&lt;&gt;"Costos clínicos",D1888&lt;&gt;"Remuneración familiar",D1888&lt;&gt;"Nómina y honorarios",D1888&lt;&gt;"Renta",D1888&lt;&gt;"Marketing",D1888&lt;&gt;"Servicios y software",D1888&lt;&gt;"Mantenimiento",D1888&lt;&gt;"Otros",D1888&lt;&gt;"Intereses")),"Tipo o categoría inválido",IF(COUNTA(A1888:J1888)=0,"",IF(OR(A1888="",B1888="",C1888="",H1888=""),"Faltan datos",IF(COUNTIF($A$7:$A$2006,A1888)&gt;1,"ID duplicado",IF(OR(B1888&lt;DATE(Configuración!$C$5,1,1),B1888&gt;=DATE(Configuración!$C$5+1,1,1)),"Fecha fuera del año",IF(OR(H1888&lt;0,I1888&lt;0),"Revisar signo",IF(AND(C1888&lt;&gt;"Gasto",I1888&lt;&gt;0),"IVA solo en Gasto",IF(AND(C1888="Gasto",D1888=""),"Falta categoría","OK")))))))))</f>
        <v/>
      </c>
    </row>
    <row r="1889" spans="1:12" ht="22" customHeight="1">
      <c r="A1889" s="3"/>
      <c r="B1889" s="7"/>
      <c r="C1889" s="3"/>
      <c r="D1889" s="3"/>
      <c r="E1889" s="3"/>
      <c r="F1889" s="3"/>
      <c r="G1889" s="3"/>
      <c r="H1889" s="4"/>
      <c r="I1889" s="4"/>
      <c r="J1889" s="3"/>
      <c r="K1889" s="8" t="str">
        <f t="shared" si="29"/>
        <v/>
      </c>
      <c r="L1889" s="1" t="str">
        <f>IF(COUNTA(A1889:J1889)=0,"",IF(OR(AND(C1889&lt;&gt;"Gasto",C1889&lt;&gt;"Pago proveedor",C1889&lt;&gt;"Retiro familiar",C1889&lt;&gt;"Aportación",C1889&lt;&gt;"Pago activo",C1889&lt;&gt;"ISR devengado",C1889&lt;&gt;"Pago ISR",C1889&lt;&gt;"Pago IVA",C1889&lt;&gt;"Compensación ISR",C1889&lt;&gt;"Compensación IVA"),AND(C1889="Gasto",D1889&lt;&gt;"Costos clínicos",D1889&lt;&gt;"Remuneración familiar",D1889&lt;&gt;"Nómina y honorarios",D1889&lt;&gt;"Renta",D1889&lt;&gt;"Marketing",D1889&lt;&gt;"Servicios y software",D1889&lt;&gt;"Mantenimiento",D1889&lt;&gt;"Otros",D1889&lt;&gt;"Intereses")),"Tipo o categoría inválido",IF(COUNTA(A1889:J1889)=0,"",IF(OR(A1889="",B1889="",C1889="",H1889=""),"Faltan datos",IF(COUNTIF($A$7:$A$2006,A1889)&gt;1,"ID duplicado",IF(OR(B1889&lt;DATE(Configuración!$C$5,1,1),B1889&gt;=DATE(Configuración!$C$5+1,1,1)),"Fecha fuera del año",IF(OR(H1889&lt;0,I1889&lt;0),"Revisar signo",IF(AND(C1889&lt;&gt;"Gasto",I1889&lt;&gt;0),"IVA solo en Gasto",IF(AND(C1889="Gasto",D1889=""),"Falta categoría","OK")))))))))</f>
        <v/>
      </c>
    </row>
    <row r="1890" spans="1:12" ht="22" customHeight="1">
      <c r="A1890" s="3"/>
      <c r="B1890" s="7"/>
      <c r="C1890" s="3"/>
      <c r="D1890" s="3"/>
      <c r="E1890" s="3"/>
      <c r="F1890" s="3"/>
      <c r="G1890" s="3"/>
      <c r="H1890" s="4"/>
      <c r="I1890" s="4"/>
      <c r="J1890" s="3"/>
      <c r="K1890" s="8" t="str">
        <f t="shared" si="29"/>
        <v/>
      </c>
      <c r="L1890" s="1" t="str">
        <f>IF(COUNTA(A1890:J1890)=0,"",IF(OR(AND(C1890&lt;&gt;"Gasto",C1890&lt;&gt;"Pago proveedor",C1890&lt;&gt;"Retiro familiar",C1890&lt;&gt;"Aportación",C1890&lt;&gt;"Pago activo",C1890&lt;&gt;"ISR devengado",C1890&lt;&gt;"Pago ISR",C1890&lt;&gt;"Pago IVA",C1890&lt;&gt;"Compensación ISR",C1890&lt;&gt;"Compensación IVA"),AND(C1890="Gasto",D1890&lt;&gt;"Costos clínicos",D1890&lt;&gt;"Remuneración familiar",D1890&lt;&gt;"Nómina y honorarios",D1890&lt;&gt;"Renta",D1890&lt;&gt;"Marketing",D1890&lt;&gt;"Servicios y software",D1890&lt;&gt;"Mantenimiento",D1890&lt;&gt;"Otros",D1890&lt;&gt;"Intereses")),"Tipo o categoría inválido",IF(COUNTA(A1890:J1890)=0,"",IF(OR(A1890="",B1890="",C1890="",H1890=""),"Faltan datos",IF(COUNTIF($A$7:$A$2006,A1890)&gt;1,"ID duplicado",IF(OR(B1890&lt;DATE(Configuración!$C$5,1,1),B1890&gt;=DATE(Configuración!$C$5+1,1,1)),"Fecha fuera del año",IF(OR(H1890&lt;0,I1890&lt;0),"Revisar signo",IF(AND(C1890&lt;&gt;"Gasto",I1890&lt;&gt;0),"IVA solo en Gasto",IF(AND(C1890="Gasto",D1890=""),"Falta categoría","OK")))))))))</f>
        <v/>
      </c>
    </row>
    <row r="1891" spans="1:12" ht="22" customHeight="1">
      <c r="A1891" s="3"/>
      <c r="B1891" s="7"/>
      <c r="C1891" s="3"/>
      <c r="D1891" s="3"/>
      <c r="E1891" s="3"/>
      <c r="F1891" s="3"/>
      <c r="G1891" s="3"/>
      <c r="H1891" s="4"/>
      <c r="I1891" s="4"/>
      <c r="J1891" s="3"/>
      <c r="K1891" s="8" t="str">
        <f t="shared" si="29"/>
        <v/>
      </c>
      <c r="L1891" s="1" t="str">
        <f>IF(COUNTA(A1891:J1891)=0,"",IF(OR(AND(C1891&lt;&gt;"Gasto",C1891&lt;&gt;"Pago proveedor",C1891&lt;&gt;"Retiro familiar",C1891&lt;&gt;"Aportación",C1891&lt;&gt;"Pago activo",C1891&lt;&gt;"ISR devengado",C1891&lt;&gt;"Pago ISR",C1891&lt;&gt;"Pago IVA",C1891&lt;&gt;"Compensación ISR",C1891&lt;&gt;"Compensación IVA"),AND(C1891="Gasto",D1891&lt;&gt;"Costos clínicos",D1891&lt;&gt;"Remuneración familiar",D1891&lt;&gt;"Nómina y honorarios",D1891&lt;&gt;"Renta",D1891&lt;&gt;"Marketing",D1891&lt;&gt;"Servicios y software",D1891&lt;&gt;"Mantenimiento",D1891&lt;&gt;"Otros",D1891&lt;&gt;"Intereses")),"Tipo o categoría inválido",IF(COUNTA(A1891:J1891)=0,"",IF(OR(A1891="",B1891="",C1891="",H1891=""),"Faltan datos",IF(COUNTIF($A$7:$A$2006,A1891)&gt;1,"ID duplicado",IF(OR(B1891&lt;DATE(Configuración!$C$5,1,1),B1891&gt;=DATE(Configuración!$C$5+1,1,1)),"Fecha fuera del año",IF(OR(H1891&lt;0,I1891&lt;0),"Revisar signo",IF(AND(C1891&lt;&gt;"Gasto",I1891&lt;&gt;0),"IVA solo en Gasto",IF(AND(C1891="Gasto",D1891=""),"Falta categoría","OK")))))))))</f>
        <v/>
      </c>
    </row>
    <row r="1892" spans="1:12" ht="22" customHeight="1">
      <c r="A1892" s="3"/>
      <c r="B1892" s="7"/>
      <c r="C1892" s="3"/>
      <c r="D1892" s="3"/>
      <c r="E1892" s="3"/>
      <c r="F1892" s="3"/>
      <c r="G1892" s="3"/>
      <c r="H1892" s="4"/>
      <c r="I1892" s="4"/>
      <c r="J1892" s="3"/>
      <c r="K1892" s="8" t="str">
        <f t="shared" si="29"/>
        <v/>
      </c>
      <c r="L1892" s="1" t="str">
        <f>IF(COUNTA(A1892:J1892)=0,"",IF(OR(AND(C1892&lt;&gt;"Gasto",C1892&lt;&gt;"Pago proveedor",C1892&lt;&gt;"Retiro familiar",C1892&lt;&gt;"Aportación",C1892&lt;&gt;"Pago activo",C1892&lt;&gt;"ISR devengado",C1892&lt;&gt;"Pago ISR",C1892&lt;&gt;"Pago IVA",C1892&lt;&gt;"Compensación ISR",C1892&lt;&gt;"Compensación IVA"),AND(C1892="Gasto",D1892&lt;&gt;"Costos clínicos",D1892&lt;&gt;"Remuneración familiar",D1892&lt;&gt;"Nómina y honorarios",D1892&lt;&gt;"Renta",D1892&lt;&gt;"Marketing",D1892&lt;&gt;"Servicios y software",D1892&lt;&gt;"Mantenimiento",D1892&lt;&gt;"Otros",D1892&lt;&gt;"Intereses")),"Tipo o categoría inválido",IF(COUNTA(A1892:J1892)=0,"",IF(OR(A1892="",B1892="",C1892="",H1892=""),"Faltan datos",IF(COUNTIF($A$7:$A$2006,A1892)&gt;1,"ID duplicado",IF(OR(B1892&lt;DATE(Configuración!$C$5,1,1),B1892&gt;=DATE(Configuración!$C$5+1,1,1)),"Fecha fuera del año",IF(OR(H1892&lt;0,I1892&lt;0),"Revisar signo",IF(AND(C1892&lt;&gt;"Gasto",I1892&lt;&gt;0),"IVA solo en Gasto",IF(AND(C1892="Gasto",D1892=""),"Falta categoría","OK")))))))))</f>
        <v/>
      </c>
    </row>
    <row r="1893" spans="1:12" ht="22" customHeight="1">
      <c r="A1893" s="3"/>
      <c r="B1893" s="7"/>
      <c r="C1893" s="3"/>
      <c r="D1893" s="3"/>
      <c r="E1893" s="3"/>
      <c r="F1893" s="3"/>
      <c r="G1893" s="3"/>
      <c r="H1893" s="4"/>
      <c r="I1893" s="4"/>
      <c r="J1893" s="3"/>
      <c r="K1893" s="8" t="str">
        <f t="shared" si="29"/>
        <v/>
      </c>
      <c r="L1893" s="1" t="str">
        <f>IF(COUNTA(A1893:J1893)=0,"",IF(OR(AND(C1893&lt;&gt;"Gasto",C1893&lt;&gt;"Pago proveedor",C1893&lt;&gt;"Retiro familiar",C1893&lt;&gt;"Aportación",C1893&lt;&gt;"Pago activo",C1893&lt;&gt;"ISR devengado",C1893&lt;&gt;"Pago ISR",C1893&lt;&gt;"Pago IVA",C1893&lt;&gt;"Compensación ISR",C1893&lt;&gt;"Compensación IVA"),AND(C1893="Gasto",D1893&lt;&gt;"Costos clínicos",D1893&lt;&gt;"Remuneración familiar",D1893&lt;&gt;"Nómina y honorarios",D1893&lt;&gt;"Renta",D1893&lt;&gt;"Marketing",D1893&lt;&gt;"Servicios y software",D1893&lt;&gt;"Mantenimiento",D1893&lt;&gt;"Otros",D1893&lt;&gt;"Intereses")),"Tipo o categoría inválido",IF(COUNTA(A1893:J1893)=0,"",IF(OR(A1893="",B1893="",C1893="",H1893=""),"Faltan datos",IF(COUNTIF($A$7:$A$2006,A1893)&gt;1,"ID duplicado",IF(OR(B1893&lt;DATE(Configuración!$C$5,1,1),B1893&gt;=DATE(Configuración!$C$5+1,1,1)),"Fecha fuera del año",IF(OR(H1893&lt;0,I1893&lt;0),"Revisar signo",IF(AND(C1893&lt;&gt;"Gasto",I1893&lt;&gt;0),"IVA solo en Gasto",IF(AND(C1893="Gasto",D1893=""),"Falta categoría","OK")))))))))</f>
        <v/>
      </c>
    </row>
    <row r="1894" spans="1:12" ht="22" customHeight="1">
      <c r="A1894" s="3"/>
      <c r="B1894" s="7"/>
      <c r="C1894" s="3"/>
      <c r="D1894" s="3"/>
      <c r="E1894" s="3"/>
      <c r="F1894" s="3"/>
      <c r="G1894" s="3"/>
      <c r="H1894" s="4"/>
      <c r="I1894" s="4"/>
      <c r="J1894" s="3"/>
      <c r="K1894" s="8" t="str">
        <f t="shared" si="29"/>
        <v/>
      </c>
      <c r="L1894" s="1" t="str">
        <f>IF(COUNTA(A1894:J1894)=0,"",IF(OR(AND(C1894&lt;&gt;"Gasto",C1894&lt;&gt;"Pago proveedor",C1894&lt;&gt;"Retiro familiar",C1894&lt;&gt;"Aportación",C1894&lt;&gt;"Pago activo",C1894&lt;&gt;"ISR devengado",C1894&lt;&gt;"Pago ISR",C1894&lt;&gt;"Pago IVA",C1894&lt;&gt;"Compensación ISR",C1894&lt;&gt;"Compensación IVA"),AND(C1894="Gasto",D1894&lt;&gt;"Costos clínicos",D1894&lt;&gt;"Remuneración familiar",D1894&lt;&gt;"Nómina y honorarios",D1894&lt;&gt;"Renta",D1894&lt;&gt;"Marketing",D1894&lt;&gt;"Servicios y software",D1894&lt;&gt;"Mantenimiento",D1894&lt;&gt;"Otros",D1894&lt;&gt;"Intereses")),"Tipo o categoría inválido",IF(COUNTA(A1894:J1894)=0,"",IF(OR(A1894="",B1894="",C1894="",H1894=""),"Faltan datos",IF(COUNTIF($A$7:$A$2006,A1894)&gt;1,"ID duplicado",IF(OR(B1894&lt;DATE(Configuración!$C$5,1,1),B1894&gt;=DATE(Configuración!$C$5+1,1,1)),"Fecha fuera del año",IF(OR(H1894&lt;0,I1894&lt;0),"Revisar signo",IF(AND(C1894&lt;&gt;"Gasto",I1894&lt;&gt;0),"IVA solo en Gasto",IF(AND(C1894="Gasto",D1894=""),"Falta categoría","OK")))))))))</f>
        <v/>
      </c>
    </row>
    <row r="1895" spans="1:12" ht="22" customHeight="1">
      <c r="A1895" s="3"/>
      <c r="B1895" s="7"/>
      <c r="C1895" s="3"/>
      <c r="D1895" s="3"/>
      <c r="E1895" s="3"/>
      <c r="F1895" s="3"/>
      <c r="G1895" s="3"/>
      <c r="H1895" s="4"/>
      <c r="I1895" s="4"/>
      <c r="J1895" s="3"/>
      <c r="K1895" s="8" t="str">
        <f t="shared" si="29"/>
        <v/>
      </c>
      <c r="L1895" s="1" t="str">
        <f>IF(COUNTA(A1895:J1895)=0,"",IF(OR(AND(C1895&lt;&gt;"Gasto",C1895&lt;&gt;"Pago proveedor",C1895&lt;&gt;"Retiro familiar",C1895&lt;&gt;"Aportación",C1895&lt;&gt;"Pago activo",C1895&lt;&gt;"ISR devengado",C1895&lt;&gt;"Pago ISR",C1895&lt;&gt;"Pago IVA",C1895&lt;&gt;"Compensación ISR",C1895&lt;&gt;"Compensación IVA"),AND(C1895="Gasto",D1895&lt;&gt;"Costos clínicos",D1895&lt;&gt;"Remuneración familiar",D1895&lt;&gt;"Nómina y honorarios",D1895&lt;&gt;"Renta",D1895&lt;&gt;"Marketing",D1895&lt;&gt;"Servicios y software",D1895&lt;&gt;"Mantenimiento",D1895&lt;&gt;"Otros",D1895&lt;&gt;"Intereses")),"Tipo o categoría inválido",IF(COUNTA(A1895:J1895)=0,"",IF(OR(A1895="",B1895="",C1895="",H1895=""),"Faltan datos",IF(COUNTIF($A$7:$A$2006,A1895)&gt;1,"ID duplicado",IF(OR(B1895&lt;DATE(Configuración!$C$5,1,1),B1895&gt;=DATE(Configuración!$C$5+1,1,1)),"Fecha fuera del año",IF(OR(H1895&lt;0,I1895&lt;0),"Revisar signo",IF(AND(C1895&lt;&gt;"Gasto",I1895&lt;&gt;0),"IVA solo en Gasto",IF(AND(C1895="Gasto",D1895=""),"Falta categoría","OK")))))))))</f>
        <v/>
      </c>
    </row>
    <row r="1896" spans="1:12" ht="22" customHeight="1">
      <c r="A1896" s="3"/>
      <c r="B1896" s="7"/>
      <c r="C1896" s="3"/>
      <c r="D1896" s="3"/>
      <c r="E1896" s="3"/>
      <c r="F1896" s="3"/>
      <c r="G1896" s="3"/>
      <c r="H1896" s="4"/>
      <c r="I1896" s="4"/>
      <c r="J1896" s="3"/>
      <c r="K1896" s="8" t="str">
        <f t="shared" si="29"/>
        <v/>
      </c>
      <c r="L1896" s="1" t="str">
        <f>IF(COUNTA(A1896:J1896)=0,"",IF(OR(AND(C1896&lt;&gt;"Gasto",C1896&lt;&gt;"Pago proveedor",C1896&lt;&gt;"Retiro familiar",C1896&lt;&gt;"Aportación",C1896&lt;&gt;"Pago activo",C1896&lt;&gt;"ISR devengado",C1896&lt;&gt;"Pago ISR",C1896&lt;&gt;"Pago IVA",C1896&lt;&gt;"Compensación ISR",C1896&lt;&gt;"Compensación IVA"),AND(C1896="Gasto",D1896&lt;&gt;"Costos clínicos",D1896&lt;&gt;"Remuneración familiar",D1896&lt;&gt;"Nómina y honorarios",D1896&lt;&gt;"Renta",D1896&lt;&gt;"Marketing",D1896&lt;&gt;"Servicios y software",D1896&lt;&gt;"Mantenimiento",D1896&lt;&gt;"Otros",D1896&lt;&gt;"Intereses")),"Tipo o categoría inválido",IF(COUNTA(A1896:J1896)=0,"",IF(OR(A1896="",B1896="",C1896="",H1896=""),"Faltan datos",IF(COUNTIF($A$7:$A$2006,A1896)&gt;1,"ID duplicado",IF(OR(B1896&lt;DATE(Configuración!$C$5,1,1),B1896&gt;=DATE(Configuración!$C$5+1,1,1)),"Fecha fuera del año",IF(OR(H1896&lt;0,I1896&lt;0),"Revisar signo",IF(AND(C1896&lt;&gt;"Gasto",I1896&lt;&gt;0),"IVA solo en Gasto",IF(AND(C1896="Gasto",D1896=""),"Falta categoría","OK")))))))))</f>
        <v/>
      </c>
    </row>
    <row r="1897" spans="1:12" ht="22" customHeight="1">
      <c r="A1897" s="3"/>
      <c r="B1897" s="7"/>
      <c r="C1897" s="3"/>
      <c r="D1897" s="3"/>
      <c r="E1897" s="3"/>
      <c r="F1897" s="3"/>
      <c r="G1897" s="3"/>
      <c r="H1897" s="4"/>
      <c r="I1897" s="4"/>
      <c r="J1897" s="3"/>
      <c r="K1897" s="8" t="str">
        <f t="shared" si="29"/>
        <v/>
      </c>
      <c r="L1897" s="1" t="str">
        <f>IF(COUNTA(A1897:J1897)=0,"",IF(OR(AND(C1897&lt;&gt;"Gasto",C1897&lt;&gt;"Pago proveedor",C1897&lt;&gt;"Retiro familiar",C1897&lt;&gt;"Aportación",C1897&lt;&gt;"Pago activo",C1897&lt;&gt;"ISR devengado",C1897&lt;&gt;"Pago ISR",C1897&lt;&gt;"Pago IVA",C1897&lt;&gt;"Compensación ISR",C1897&lt;&gt;"Compensación IVA"),AND(C1897="Gasto",D1897&lt;&gt;"Costos clínicos",D1897&lt;&gt;"Remuneración familiar",D1897&lt;&gt;"Nómina y honorarios",D1897&lt;&gt;"Renta",D1897&lt;&gt;"Marketing",D1897&lt;&gt;"Servicios y software",D1897&lt;&gt;"Mantenimiento",D1897&lt;&gt;"Otros",D1897&lt;&gt;"Intereses")),"Tipo o categoría inválido",IF(COUNTA(A1897:J1897)=0,"",IF(OR(A1897="",B1897="",C1897="",H1897=""),"Faltan datos",IF(COUNTIF($A$7:$A$2006,A1897)&gt;1,"ID duplicado",IF(OR(B1897&lt;DATE(Configuración!$C$5,1,1),B1897&gt;=DATE(Configuración!$C$5+1,1,1)),"Fecha fuera del año",IF(OR(H1897&lt;0,I1897&lt;0),"Revisar signo",IF(AND(C1897&lt;&gt;"Gasto",I1897&lt;&gt;0),"IVA solo en Gasto",IF(AND(C1897="Gasto",D1897=""),"Falta categoría","OK")))))))))</f>
        <v/>
      </c>
    </row>
    <row r="1898" spans="1:12" ht="22" customHeight="1">
      <c r="A1898" s="3"/>
      <c r="B1898" s="7"/>
      <c r="C1898" s="3"/>
      <c r="D1898" s="3"/>
      <c r="E1898" s="3"/>
      <c r="F1898" s="3"/>
      <c r="G1898" s="3"/>
      <c r="H1898" s="4"/>
      <c r="I1898" s="4"/>
      <c r="J1898" s="3"/>
      <c r="K1898" s="8" t="str">
        <f t="shared" si="29"/>
        <v/>
      </c>
      <c r="L1898" s="1" t="str">
        <f>IF(COUNTA(A1898:J1898)=0,"",IF(OR(AND(C1898&lt;&gt;"Gasto",C1898&lt;&gt;"Pago proveedor",C1898&lt;&gt;"Retiro familiar",C1898&lt;&gt;"Aportación",C1898&lt;&gt;"Pago activo",C1898&lt;&gt;"ISR devengado",C1898&lt;&gt;"Pago ISR",C1898&lt;&gt;"Pago IVA",C1898&lt;&gt;"Compensación ISR",C1898&lt;&gt;"Compensación IVA"),AND(C1898="Gasto",D1898&lt;&gt;"Costos clínicos",D1898&lt;&gt;"Remuneración familiar",D1898&lt;&gt;"Nómina y honorarios",D1898&lt;&gt;"Renta",D1898&lt;&gt;"Marketing",D1898&lt;&gt;"Servicios y software",D1898&lt;&gt;"Mantenimiento",D1898&lt;&gt;"Otros",D1898&lt;&gt;"Intereses")),"Tipo o categoría inválido",IF(COUNTA(A1898:J1898)=0,"",IF(OR(A1898="",B1898="",C1898="",H1898=""),"Faltan datos",IF(COUNTIF($A$7:$A$2006,A1898)&gt;1,"ID duplicado",IF(OR(B1898&lt;DATE(Configuración!$C$5,1,1),B1898&gt;=DATE(Configuración!$C$5+1,1,1)),"Fecha fuera del año",IF(OR(H1898&lt;0,I1898&lt;0),"Revisar signo",IF(AND(C1898&lt;&gt;"Gasto",I1898&lt;&gt;0),"IVA solo en Gasto",IF(AND(C1898="Gasto",D1898=""),"Falta categoría","OK")))))))))</f>
        <v/>
      </c>
    </row>
    <row r="1899" spans="1:12" ht="22" customHeight="1">
      <c r="A1899" s="3"/>
      <c r="B1899" s="7"/>
      <c r="C1899" s="3"/>
      <c r="D1899" s="3"/>
      <c r="E1899" s="3"/>
      <c r="F1899" s="3"/>
      <c r="G1899" s="3"/>
      <c r="H1899" s="4"/>
      <c r="I1899" s="4"/>
      <c r="J1899" s="3"/>
      <c r="K1899" s="8" t="str">
        <f t="shared" si="29"/>
        <v/>
      </c>
      <c r="L1899" s="1" t="str">
        <f>IF(COUNTA(A1899:J1899)=0,"",IF(OR(AND(C1899&lt;&gt;"Gasto",C1899&lt;&gt;"Pago proveedor",C1899&lt;&gt;"Retiro familiar",C1899&lt;&gt;"Aportación",C1899&lt;&gt;"Pago activo",C1899&lt;&gt;"ISR devengado",C1899&lt;&gt;"Pago ISR",C1899&lt;&gt;"Pago IVA",C1899&lt;&gt;"Compensación ISR",C1899&lt;&gt;"Compensación IVA"),AND(C1899="Gasto",D1899&lt;&gt;"Costos clínicos",D1899&lt;&gt;"Remuneración familiar",D1899&lt;&gt;"Nómina y honorarios",D1899&lt;&gt;"Renta",D1899&lt;&gt;"Marketing",D1899&lt;&gt;"Servicios y software",D1899&lt;&gt;"Mantenimiento",D1899&lt;&gt;"Otros",D1899&lt;&gt;"Intereses")),"Tipo o categoría inválido",IF(COUNTA(A1899:J1899)=0,"",IF(OR(A1899="",B1899="",C1899="",H1899=""),"Faltan datos",IF(COUNTIF($A$7:$A$2006,A1899)&gt;1,"ID duplicado",IF(OR(B1899&lt;DATE(Configuración!$C$5,1,1),B1899&gt;=DATE(Configuración!$C$5+1,1,1)),"Fecha fuera del año",IF(OR(H1899&lt;0,I1899&lt;0),"Revisar signo",IF(AND(C1899&lt;&gt;"Gasto",I1899&lt;&gt;0),"IVA solo en Gasto",IF(AND(C1899="Gasto",D1899=""),"Falta categoría","OK")))))))))</f>
        <v/>
      </c>
    </row>
    <row r="1900" spans="1:12" ht="22" customHeight="1">
      <c r="A1900" s="3"/>
      <c r="B1900" s="7"/>
      <c r="C1900" s="3"/>
      <c r="D1900" s="3"/>
      <c r="E1900" s="3"/>
      <c r="F1900" s="3"/>
      <c r="G1900" s="3"/>
      <c r="H1900" s="4"/>
      <c r="I1900" s="4"/>
      <c r="J1900" s="3"/>
      <c r="K1900" s="8" t="str">
        <f t="shared" si="29"/>
        <v/>
      </c>
      <c r="L1900" s="1" t="str">
        <f>IF(COUNTA(A1900:J1900)=0,"",IF(OR(AND(C1900&lt;&gt;"Gasto",C1900&lt;&gt;"Pago proveedor",C1900&lt;&gt;"Retiro familiar",C1900&lt;&gt;"Aportación",C1900&lt;&gt;"Pago activo",C1900&lt;&gt;"ISR devengado",C1900&lt;&gt;"Pago ISR",C1900&lt;&gt;"Pago IVA",C1900&lt;&gt;"Compensación ISR",C1900&lt;&gt;"Compensación IVA"),AND(C1900="Gasto",D1900&lt;&gt;"Costos clínicos",D1900&lt;&gt;"Remuneración familiar",D1900&lt;&gt;"Nómina y honorarios",D1900&lt;&gt;"Renta",D1900&lt;&gt;"Marketing",D1900&lt;&gt;"Servicios y software",D1900&lt;&gt;"Mantenimiento",D1900&lt;&gt;"Otros",D1900&lt;&gt;"Intereses")),"Tipo o categoría inválido",IF(COUNTA(A1900:J1900)=0,"",IF(OR(A1900="",B1900="",C1900="",H1900=""),"Faltan datos",IF(COUNTIF($A$7:$A$2006,A1900)&gt;1,"ID duplicado",IF(OR(B1900&lt;DATE(Configuración!$C$5,1,1),B1900&gt;=DATE(Configuración!$C$5+1,1,1)),"Fecha fuera del año",IF(OR(H1900&lt;0,I1900&lt;0),"Revisar signo",IF(AND(C1900&lt;&gt;"Gasto",I1900&lt;&gt;0),"IVA solo en Gasto",IF(AND(C1900="Gasto",D1900=""),"Falta categoría","OK")))))))))</f>
        <v/>
      </c>
    </row>
    <row r="1901" spans="1:12" ht="22" customHeight="1">
      <c r="A1901" s="3"/>
      <c r="B1901" s="7"/>
      <c r="C1901" s="3"/>
      <c r="D1901" s="3"/>
      <c r="E1901" s="3"/>
      <c r="F1901" s="3"/>
      <c r="G1901" s="3"/>
      <c r="H1901" s="4"/>
      <c r="I1901" s="4"/>
      <c r="J1901" s="3"/>
      <c r="K1901" s="8" t="str">
        <f t="shared" si="29"/>
        <v/>
      </c>
      <c r="L1901" s="1" t="str">
        <f>IF(COUNTA(A1901:J1901)=0,"",IF(OR(AND(C1901&lt;&gt;"Gasto",C1901&lt;&gt;"Pago proveedor",C1901&lt;&gt;"Retiro familiar",C1901&lt;&gt;"Aportación",C1901&lt;&gt;"Pago activo",C1901&lt;&gt;"ISR devengado",C1901&lt;&gt;"Pago ISR",C1901&lt;&gt;"Pago IVA",C1901&lt;&gt;"Compensación ISR",C1901&lt;&gt;"Compensación IVA"),AND(C1901="Gasto",D1901&lt;&gt;"Costos clínicos",D1901&lt;&gt;"Remuneración familiar",D1901&lt;&gt;"Nómina y honorarios",D1901&lt;&gt;"Renta",D1901&lt;&gt;"Marketing",D1901&lt;&gt;"Servicios y software",D1901&lt;&gt;"Mantenimiento",D1901&lt;&gt;"Otros",D1901&lt;&gt;"Intereses")),"Tipo o categoría inválido",IF(COUNTA(A1901:J1901)=0,"",IF(OR(A1901="",B1901="",C1901="",H1901=""),"Faltan datos",IF(COUNTIF($A$7:$A$2006,A1901)&gt;1,"ID duplicado",IF(OR(B1901&lt;DATE(Configuración!$C$5,1,1),B1901&gt;=DATE(Configuración!$C$5+1,1,1)),"Fecha fuera del año",IF(OR(H1901&lt;0,I1901&lt;0),"Revisar signo",IF(AND(C1901&lt;&gt;"Gasto",I1901&lt;&gt;0),"IVA solo en Gasto",IF(AND(C1901="Gasto",D1901=""),"Falta categoría","OK")))))))))</f>
        <v/>
      </c>
    </row>
    <row r="1902" spans="1:12" ht="22" customHeight="1">
      <c r="A1902" s="3"/>
      <c r="B1902" s="7"/>
      <c r="C1902" s="3"/>
      <c r="D1902" s="3"/>
      <c r="E1902" s="3"/>
      <c r="F1902" s="3"/>
      <c r="G1902" s="3"/>
      <c r="H1902" s="4"/>
      <c r="I1902" s="4"/>
      <c r="J1902" s="3"/>
      <c r="K1902" s="8" t="str">
        <f t="shared" si="29"/>
        <v/>
      </c>
      <c r="L1902" s="1" t="str">
        <f>IF(COUNTA(A1902:J1902)=0,"",IF(OR(AND(C1902&lt;&gt;"Gasto",C1902&lt;&gt;"Pago proveedor",C1902&lt;&gt;"Retiro familiar",C1902&lt;&gt;"Aportación",C1902&lt;&gt;"Pago activo",C1902&lt;&gt;"ISR devengado",C1902&lt;&gt;"Pago ISR",C1902&lt;&gt;"Pago IVA",C1902&lt;&gt;"Compensación ISR",C1902&lt;&gt;"Compensación IVA"),AND(C1902="Gasto",D1902&lt;&gt;"Costos clínicos",D1902&lt;&gt;"Remuneración familiar",D1902&lt;&gt;"Nómina y honorarios",D1902&lt;&gt;"Renta",D1902&lt;&gt;"Marketing",D1902&lt;&gt;"Servicios y software",D1902&lt;&gt;"Mantenimiento",D1902&lt;&gt;"Otros",D1902&lt;&gt;"Intereses")),"Tipo o categoría inválido",IF(COUNTA(A1902:J1902)=0,"",IF(OR(A1902="",B1902="",C1902="",H1902=""),"Faltan datos",IF(COUNTIF($A$7:$A$2006,A1902)&gt;1,"ID duplicado",IF(OR(B1902&lt;DATE(Configuración!$C$5,1,1),B1902&gt;=DATE(Configuración!$C$5+1,1,1)),"Fecha fuera del año",IF(OR(H1902&lt;0,I1902&lt;0),"Revisar signo",IF(AND(C1902&lt;&gt;"Gasto",I1902&lt;&gt;0),"IVA solo en Gasto",IF(AND(C1902="Gasto",D1902=""),"Falta categoría","OK")))))))))</f>
        <v/>
      </c>
    </row>
    <row r="1903" spans="1:12" ht="22" customHeight="1">
      <c r="A1903" s="3"/>
      <c r="B1903" s="7"/>
      <c r="C1903" s="3"/>
      <c r="D1903" s="3"/>
      <c r="E1903" s="3"/>
      <c r="F1903" s="3"/>
      <c r="G1903" s="3"/>
      <c r="H1903" s="4"/>
      <c r="I1903" s="4"/>
      <c r="J1903" s="3"/>
      <c r="K1903" s="8" t="str">
        <f t="shared" si="29"/>
        <v/>
      </c>
      <c r="L1903" s="1" t="str">
        <f>IF(COUNTA(A1903:J1903)=0,"",IF(OR(AND(C1903&lt;&gt;"Gasto",C1903&lt;&gt;"Pago proveedor",C1903&lt;&gt;"Retiro familiar",C1903&lt;&gt;"Aportación",C1903&lt;&gt;"Pago activo",C1903&lt;&gt;"ISR devengado",C1903&lt;&gt;"Pago ISR",C1903&lt;&gt;"Pago IVA",C1903&lt;&gt;"Compensación ISR",C1903&lt;&gt;"Compensación IVA"),AND(C1903="Gasto",D1903&lt;&gt;"Costos clínicos",D1903&lt;&gt;"Remuneración familiar",D1903&lt;&gt;"Nómina y honorarios",D1903&lt;&gt;"Renta",D1903&lt;&gt;"Marketing",D1903&lt;&gt;"Servicios y software",D1903&lt;&gt;"Mantenimiento",D1903&lt;&gt;"Otros",D1903&lt;&gt;"Intereses")),"Tipo o categoría inválido",IF(COUNTA(A1903:J1903)=0,"",IF(OR(A1903="",B1903="",C1903="",H1903=""),"Faltan datos",IF(COUNTIF($A$7:$A$2006,A1903)&gt;1,"ID duplicado",IF(OR(B1903&lt;DATE(Configuración!$C$5,1,1),B1903&gt;=DATE(Configuración!$C$5+1,1,1)),"Fecha fuera del año",IF(OR(H1903&lt;0,I1903&lt;0),"Revisar signo",IF(AND(C1903&lt;&gt;"Gasto",I1903&lt;&gt;0),"IVA solo en Gasto",IF(AND(C1903="Gasto",D1903=""),"Falta categoría","OK")))))))))</f>
        <v/>
      </c>
    </row>
    <row r="1904" spans="1:12" ht="22" customHeight="1">
      <c r="A1904" s="3"/>
      <c r="B1904" s="7"/>
      <c r="C1904" s="3"/>
      <c r="D1904" s="3"/>
      <c r="E1904" s="3"/>
      <c r="F1904" s="3"/>
      <c r="G1904" s="3"/>
      <c r="H1904" s="4"/>
      <c r="I1904" s="4"/>
      <c r="J1904" s="3"/>
      <c r="K1904" s="8" t="str">
        <f t="shared" si="29"/>
        <v/>
      </c>
      <c r="L1904" s="1" t="str">
        <f>IF(COUNTA(A1904:J1904)=0,"",IF(OR(AND(C1904&lt;&gt;"Gasto",C1904&lt;&gt;"Pago proveedor",C1904&lt;&gt;"Retiro familiar",C1904&lt;&gt;"Aportación",C1904&lt;&gt;"Pago activo",C1904&lt;&gt;"ISR devengado",C1904&lt;&gt;"Pago ISR",C1904&lt;&gt;"Pago IVA",C1904&lt;&gt;"Compensación ISR",C1904&lt;&gt;"Compensación IVA"),AND(C1904="Gasto",D1904&lt;&gt;"Costos clínicos",D1904&lt;&gt;"Remuneración familiar",D1904&lt;&gt;"Nómina y honorarios",D1904&lt;&gt;"Renta",D1904&lt;&gt;"Marketing",D1904&lt;&gt;"Servicios y software",D1904&lt;&gt;"Mantenimiento",D1904&lt;&gt;"Otros",D1904&lt;&gt;"Intereses")),"Tipo o categoría inválido",IF(COUNTA(A1904:J1904)=0,"",IF(OR(A1904="",B1904="",C1904="",H1904=""),"Faltan datos",IF(COUNTIF($A$7:$A$2006,A1904)&gt;1,"ID duplicado",IF(OR(B1904&lt;DATE(Configuración!$C$5,1,1),B1904&gt;=DATE(Configuración!$C$5+1,1,1)),"Fecha fuera del año",IF(OR(H1904&lt;0,I1904&lt;0),"Revisar signo",IF(AND(C1904&lt;&gt;"Gasto",I1904&lt;&gt;0),"IVA solo en Gasto",IF(AND(C1904="Gasto",D1904=""),"Falta categoría","OK")))))))))</f>
        <v/>
      </c>
    </row>
    <row r="1905" spans="1:12" ht="22" customHeight="1">
      <c r="A1905" s="3"/>
      <c r="B1905" s="7"/>
      <c r="C1905" s="3"/>
      <c r="D1905" s="3"/>
      <c r="E1905" s="3"/>
      <c r="F1905" s="3"/>
      <c r="G1905" s="3"/>
      <c r="H1905" s="4"/>
      <c r="I1905" s="4"/>
      <c r="J1905" s="3"/>
      <c r="K1905" s="8" t="str">
        <f t="shared" si="29"/>
        <v/>
      </c>
      <c r="L1905" s="1" t="str">
        <f>IF(COUNTA(A1905:J1905)=0,"",IF(OR(AND(C1905&lt;&gt;"Gasto",C1905&lt;&gt;"Pago proveedor",C1905&lt;&gt;"Retiro familiar",C1905&lt;&gt;"Aportación",C1905&lt;&gt;"Pago activo",C1905&lt;&gt;"ISR devengado",C1905&lt;&gt;"Pago ISR",C1905&lt;&gt;"Pago IVA",C1905&lt;&gt;"Compensación ISR",C1905&lt;&gt;"Compensación IVA"),AND(C1905="Gasto",D1905&lt;&gt;"Costos clínicos",D1905&lt;&gt;"Remuneración familiar",D1905&lt;&gt;"Nómina y honorarios",D1905&lt;&gt;"Renta",D1905&lt;&gt;"Marketing",D1905&lt;&gt;"Servicios y software",D1905&lt;&gt;"Mantenimiento",D1905&lt;&gt;"Otros",D1905&lt;&gt;"Intereses")),"Tipo o categoría inválido",IF(COUNTA(A1905:J1905)=0,"",IF(OR(A1905="",B1905="",C1905="",H1905=""),"Faltan datos",IF(COUNTIF($A$7:$A$2006,A1905)&gt;1,"ID duplicado",IF(OR(B1905&lt;DATE(Configuración!$C$5,1,1),B1905&gt;=DATE(Configuración!$C$5+1,1,1)),"Fecha fuera del año",IF(OR(H1905&lt;0,I1905&lt;0),"Revisar signo",IF(AND(C1905&lt;&gt;"Gasto",I1905&lt;&gt;0),"IVA solo en Gasto",IF(AND(C1905="Gasto",D1905=""),"Falta categoría","OK")))))))))</f>
        <v/>
      </c>
    </row>
    <row r="1906" spans="1:12" ht="22" customHeight="1">
      <c r="A1906" s="3"/>
      <c r="B1906" s="7"/>
      <c r="C1906" s="3"/>
      <c r="D1906" s="3"/>
      <c r="E1906" s="3"/>
      <c r="F1906" s="3"/>
      <c r="G1906" s="3"/>
      <c r="H1906" s="4"/>
      <c r="I1906" s="4"/>
      <c r="J1906" s="3"/>
      <c r="K1906" s="8" t="str">
        <f t="shared" si="29"/>
        <v/>
      </c>
      <c r="L1906" s="1" t="str">
        <f>IF(COUNTA(A1906:J1906)=0,"",IF(OR(AND(C1906&lt;&gt;"Gasto",C1906&lt;&gt;"Pago proveedor",C1906&lt;&gt;"Retiro familiar",C1906&lt;&gt;"Aportación",C1906&lt;&gt;"Pago activo",C1906&lt;&gt;"ISR devengado",C1906&lt;&gt;"Pago ISR",C1906&lt;&gt;"Pago IVA",C1906&lt;&gt;"Compensación ISR",C1906&lt;&gt;"Compensación IVA"),AND(C1906="Gasto",D1906&lt;&gt;"Costos clínicos",D1906&lt;&gt;"Remuneración familiar",D1906&lt;&gt;"Nómina y honorarios",D1906&lt;&gt;"Renta",D1906&lt;&gt;"Marketing",D1906&lt;&gt;"Servicios y software",D1906&lt;&gt;"Mantenimiento",D1906&lt;&gt;"Otros",D1906&lt;&gt;"Intereses")),"Tipo o categoría inválido",IF(COUNTA(A1906:J1906)=0,"",IF(OR(A1906="",B1906="",C1906="",H1906=""),"Faltan datos",IF(COUNTIF($A$7:$A$2006,A1906)&gt;1,"ID duplicado",IF(OR(B1906&lt;DATE(Configuración!$C$5,1,1),B1906&gt;=DATE(Configuración!$C$5+1,1,1)),"Fecha fuera del año",IF(OR(H1906&lt;0,I1906&lt;0),"Revisar signo",IF(AND(C1906&lt;&gt;"Gasto",I1906&lt;&gt;0),"IVA solo en Gasto",IF(AND(C1906="Gasto",D1906=""),"Falta categoría","OK")))))))))</f>
        <v/>
      </c>
    </row>
    <row r="1907" spans="1:12" ht="22" customHeight="1">
      <c r="A1907" s="3"/>
      <c r="B1907" s="7"/>
      <c r="C1907" s="3"/>
      <c r="D1907" s="3"/>
      <c r="E1907" s="3"/>
      <c r="F1907" s="3"/>
      <c r="G1907" s="3"/>
      <c r="H1907" s="4"/>
      <c r="I1907" s="4"/>
      <c r="J1907" s="3"/>
      <c r="K1907" s="8" t="str">
        <f t="shared" si="29"/>
        <v/>
      </c>
      <c r="L1907" s="1" t="str">
        <f>IF(COUNTA(A1907:J1907)=0,"",IF(OR(AND(C1907&lt;&gt;"Gasto",C1907&lt;&gt;"Pago proveedor",C1907&lt;&gt;"Retiro familiar",C1907&lt;&gt;"Aportación",C1907&lt;&gt;"Pago activo",C1907&lt;&gt;"ISR devengado",C1907&lt;&gt;"Pago ISR",C1907&lt;&gt;"Pago IVA",C1907&lt;&gt;"Compensación ISR",C1907&lt;&gt;"Compensación IVA"),AND(C1907="Gasto",D1907&lt;&gt;"Costos clínicos",D1907&lt;&gt;"Remuneración familiar",D1907&lt;&gt;"Nómina y honorarios",D1907&lt;&gt;"Renta",D1907&lt;&gt;"Marketing",D1907&lt;&gt;"Servicios y software",D1907&lt;&gt;"Mantenimiento",D1907&lt;&gt;"Otros",D1907&lt;&gt;"Intereses")),"Tipo o categoría inválido",IF(COUNTA(A1907:J1907)=0,"",IF(OR(A1907="",B1907="",C1907="",H1907=""),"Faltan datos",IF(COUNTIF($A$7:$A$2006,A1907)&gt;1,"ID duplicado",IF(OR(B1907&lt;DATE(Configuración!$C$5,1,1),B1907&gt;=DATE(Configuración!$C$5+1,1,1)),"Fecha fuera del año",IF(OR(H1907&lt;0,I1907&lt;0),"Revisar signo",IF(AND(C1907&lt;&gt;"Gasto",I1907&lt;&gt;0),"IVA solo en Gasto",IF(AND(C1907="Gasto",D1907=""),"Falta categoría","OK")))))))))</f>
        <v/>
      </c>
    </row>
    <row r="1908" spans="1:12" ht="22" customHeight="1">
      <c r="A1908" s="3"/>
      <c r="B1908" s="7"/>
      <c r="C1908" s="3"/>
      <c r="D1908" s="3"/>
      <c r="E1908" s="3"/>
      <c r="F1908" s="3"/>
      <c r="G1908" s="3"/>
      <c r="H1908" s="4"/>
      <c r="I1908" s="4"/>
      <c r="J1908" s="3"/>
      <c r="K1908" s="8" t="str">
        <f t="shared" si="29"/>
        <v/>
      </c>
      <c r="L1908" s="1" t="str">
        <f>IF(COUNTA(A1908:J1908)=0,"",IF(OR(AND(C1908&lt;&gt;"Gasto",C1908&lt;&gt;"Pago proveedor",C1908&lt;&gt;"Retiro familiar",C1908&lt;&gt;"Aportación",C1908&lt;&gt;"Pago activo",C1908&lt;&gt;"ISR devengado",C1908&lt;&gt;"Pago ISR",C1908&lt;&gt;"Pago IVA",C1908&lt;&gt;"Compensación ISR",C1908&lt;&gt;"Compensación IVA"),AND(C1908="Gasto",D1908&lt;&gt;"Costos clínicos",D1908&lt;&gt;"Remuneración familiar",D1908&lt;&gt;"Nómina y honorarios",D1908&lt;&gt;"Renta",D1908&lt;&gt;"Marketing",D1908&lt;&gt;"Servicios y software",D1908&lt;&gt;"Mantenimiento",D1908&lt;&gt;"Otros",D1908&lt;&gt;"Intereses")),"Tipo o categoría inválido",IF(COUNTA(A1908:J1908)=0,"",IF(OR(A1908="",B1908="",C1908="",H1908=""),"Faltan datos",IF(COUNTIF($A$7:$A$2006,A1908)&gt;1,"ID duplicado",IF(OR(B1908&lt;DATE(Configuración!$C$5,1,1),B1908&gt;=DATE(Configuración!$C$5+1,1,1)),"Fecha fuera del año",IF(OR(H1908&lt;0,I1908&lt;0),"Revisar signo",IF(AND(C1908&lt;&gt;"Gasto",I1908&lt;&gt;0),"IVA solo en Gasto",IF(AND(C1908="Gasto",D1908=""),"Falta categoría","OK")))))))))</f>
        <v/>
      </c>
    </row>
    <row r="1909" spans="1:12" ht="22" customHeight="1">
      <c r="A1909" s="3"/>
      <c r="B1909" s="7"/>
      <c r="C1909" s="3"/>
      <c r="D1909" s="3"/>
      <c r="E1909" s="3"/>
      <c r="F1909" s="3"/>
      <c r="G1909" s="3"/>
      <c r="H1909" s="4"/>
      <c r="I1909" s="4"/>
      <c r="J1909" s="3"/>
      <c r="K1909" s="8" t="str">
        <f t="shared" si="29"/>
        <v/>
      </c>
      <c r="L1909" s="1" t="str">
        <f>IF(COUNTA(A1909:J1909)=0,"",IF(OR(AND(C1909&lt;&gt;"Gasto",C1909&lt;&gt;"Pago proveedor",C1909&lt;&gt;"Retiro familiar",C1909&lt;&gt;"Aportación",C1909&lt;&gt;"Pago activo",C1909&lt;&gt;"ISR devengado",C1909&lt;&gt;"Pago ISR",C1909&lt;&gt;"Pago IVA",C1909&lt;&gt;"Compensación ISR",C1909&lt;&gt;"Compensación IVA"),AND(C1909="Gasto",D1909&lt;&gt;"Costos clínicos",D1909&lt;&gt;"Remuneración familiar",D1909&lt;&gt;"Nómina y honorarios",D1909&lt;&gt;"Renta",D1909&lt;&gt;"Marketing",D1909&lt;&gt;"Servicios y software",D1909&lt;&gt;"Mantenimiento",D1909&lt;&gt;"Otros",D1909&lt;&gt;"Intereses")),"Tipo o categoría inválido",IF(COUNTA(A1909:J1909)=0,"",IF(OR(A1909="",B1909="",C1909="",H1909=""),"Faltan datos",IF(COUNTIF($A$7:$A$2006,A1909)&gt;1,"ID duplicado",IF(OR(B1909&lt;DATE(Configuración!$C$5,1,1),B1909&gt;=DATE(Configuración!$C$5+1,1,1)),"Fecha fuera del año",IF(OR(H1909&lt;0,I1909&lt;0),"Revisar signo",IF(AND(C1909&lt;&gt;"Gasto",I1909&lt;&gt;0),"IVA solo en Gasto",IF(AND(C1909="Gasto",D1909=""),"Falta categoría","OK")))))))))</f>
        <v/>
      </c>
    </row>
    <row r="1910" spans="1:12" ht="22" customHeight="1">
      <c r="A1910" s="3"/>
      <c r="B1910" s="7"/>
      <c r="C1910" s="3"/>
      <c r="D1910" s="3"/>
      <c r="E1910" s="3"/>
      <c r="F1910" s="3"/>
      <c r="G1910" s="3"/>
      <c r="H1910" s="4"/>
      <c r="I1910" s="4"/>
      <c r="J1910" s="3"/>
      <c r="K1910" s="8" t="str">
        <f t="shared" si="29"/>
        <v/>
      </c>
      <c r="L1910" s="1" t="str">
        <f>IF(COUNTA(A1910:J1910)=0,"",IF(OR(AND(C1910&lt;&gt;"Gasto",C1910&lt;&gt;"Pago proveedor",C1910&lt;&gt;"Retiro familiar",C1910&lt;&gt;"Aportación",C1910&lt;&gt;"Pago activo",C1910&lt;&gt;"ISR devengado",C1910&lt;&gt;"Pago ISR",C1910&lt;&gt;"Pago IVA",C1910&lt;&gt;"Compensación ISR",C1910&lt;&gt;"Compensación IVA"),AND(C1910="Gasto",D1910&lt;&gt;"Costos clínicos",D1910&lt;&gt;"Remuneración familiar",D1910&lt;&gt;"Nómina y honorarios",D1910&lt;&gt;"Renta",D1910&lt;&gt;"Marketing",D1910&lt;&gt;"Servicios y software",D1910&lt;&gt;"Mantenimiento",D1910&lt;&gt;"Otros",D1910&lt;&gt;"Intereses")),"Tipo o categoría inválido",IF(COUNTA(A1910:J1910)=0,"",IF(OR(A1910="",B1910="",C1910="",H1910=""),"Faltan datos",IF(COUNTIF($A$7:$A$2006,A1910)&gt;1,"ID duplicado",IF(OR(B1910&lt;DATE(Configuración!$C$5,1,1),B1910&gt;=DATE(Configuración!$C$5+1,1,1)),"Fecha fuera del año",IF(OR(H1910&lt;0,I1910&lt;0),"Revisar signo",IF(AND(C1910&lt;&gt;"Gasto",I1910&lt;&gt;0),"IVA solo en Gasto",IF(AND(C1910="Gasto",D1910=""),"Falta categoría","OK")))))))))</f>
        <v/>
      </c>
    </row>
    <row r="1911" spans="1:12" ht="22" customHeight="1">
      <c r="A1911" s="3"/>
      <c r="B1911" s="7"/>
      <c r="C1911" s="3"/>
      <c r="D1911" s="3"/>
      <c r="E1911" s="3"/>
      <c r="F1911" s="3"/>
      <c r="G1911" s="3"/>
      <c r="H1911" s="4"/>
      <c r="I1911" s="4"/>
      <c r="J1911" s="3"/>
      <c r="K1911" s="8" t="str">
        <f t="shared" si="29"/>
        <v/>
      </c>
      <c r="L1911" s="1" t="str">
        <f>IF(COUNTA(A1911:J1911)=0,"",IF(OR(AND(C1911&lt;&gt;"Gasto",C1911&lt;&gt;"Pago proveedor",C1911&lt;&gt;"Retiro familiar",C1911&lt;&gt;"Aportación",C1911&lt;&gt;"Pago activo",C1911&lt;&gt;"ISR devengado",C1911&lt;&gt;"Pago ISR",C1911&lt;&gt;"Pago IVA",C1911&lt;&gt;"Compensación ISR",C1911&lt;&gt;"Compensación IVA"),AND(C1911="Gasto",D1911&lt;&gt;"Costos clínicos",D1911&lt;&gt;"Remuneración familiar",D1911&lt;&gt;"Nómina y honorarios",D1911&lt;&gt;"Renta",D1911&lt;&gt;"Marketing",D1911&lt;&gt;"Servicios y software",D1911&lt;&gt;"Mantenimiento",D1911&lt;&gt;"Otros",D1911&lt;&gt;"Intereses")),"Tipo o categoría inválido",IF(COUNTA(A1911:J1911)=0,"",IF(OR(A1911="",B1911="",C1911="",H1911=""),"Faltan datos",IF(COUNTIF($A$7:$A$2006,A1911)&gt;1,"ID duplicado",IF(OR(B1911&lt;DATE(Configuración!$C$5,1,1),B1911&gt;=DATE(Configuración!$C$5+1,1,1)),"Fecha fuera del año",IF(OR(H1911&lt;0,I1911&lt;0),"Revisar signo",IF(AND(C1911&lt;&gt;"Gasto",I1911&lt;&gt;0),"IVA solo en Gasto",IF(AND(C1911="Gasto",D1911=""),"Falta categoría","OK")))))))))</f>
        <v/>
      </c>
    </row>
    <row r="1912" spans="1:12" ht="22" customHeight="1">
      <c r="A1912" s="3"/>
      <c r="B1912" s="7"/>
      <c r="C1912" s="3"/>
      <c r="D1912" s="3"/>
      <c r="E1912" s="3"/>
      <c r="F1912" s="3"/>
      <c r="G1912" s="3"/>
      <c r="H1912" s="4"/>
      <c r="I1912" s="4"/>
      <c r="J1912" s="3"/>
      <c r="K1912" s="8" t="str">
        <f t="shared" si="29"/>
        <v/>
      </c>
      <c r="L1912" s="1" t="str">
        <f>IF(COUNTA(A1912:J1912)=0,"",IF(OR(AND(C1912&lt;&gt;"Gasto",C1912&lt;&gt;"Pago proveedor",C1912&lt;&gt;"Retiro familiar",C1912&lt;&gt;"Aportación",C1912&lt;&gt;"Pago activo",C1912&lt;&gt;"ISR devengado",C1912&lt;&gt;"Pago ISR",C1912&lt;&gt;"Pago IVA",C1912&lt;&gt;"Compensación ISR",C1912&lt;&gt;"Compensación IVA"),AND(C1912="Gasto",D1912&lt;&gt;"Costos clínicos",D1912&lt;&gt;"Remuneración familiar",D1912&lt;&gt;"Nómina y honorarios",D1912&lt;&gt;"Renta",D1912&lt;&gt;"Marketing",D1912&lt;&gt;"Servicios y software",D1912&lt;&gt;"Mantenimiento",D1912&lt;&gt;"Otros",D1912&lt;&gt;"Intereses")),"Tipo o categoría inválido",IF(COUNTA(A1912:J1912)=0,"",IF(OR(A1912="",B1912="",C1912="",H1912=""),"Faltan datos",IF(COUNTIF($A$7:$A$2006,A1912)&gt;1,"ID duplicado",IF(OR(B1912&lt;DATE(Configuración!$C$5,1,1),B1912&gt;=DATE(Configuración!$C$5+1,1,1)),"Fecha fuera del año",IF(OR(H1912&lt;0,I1912&lt;0),"Revisar signo",IF(AND(C1912&lt;&gt;"Gasto",I1912&lt;&gt;0),"IVA solo en Gasto",IF(AND(C1912="Gasto",D1912=""),"Falta categoría","OK")))))))))</f>
        <v/>
      </c>
    </row>
    <row r="1913" spans="1:12" ht="22" customHeight="1">
      <c r="A1913" s="3"/>
      <c r="B1913" s="7"/>
      <c r="C1913" s="3"/>
      <c r="D1913" s="3"/>
      <c r="E1913" s="3"/>
      <c r="F1913" s="3"/>
      <c r="G1913" s="3"/>
      <c r="H1913" s="4"/>
      <c r="I1913" s="4"/>
      <c r="J1913" s="3"/>
      <c r="K1913" s="8" t="str">
        <f t="shared" si="29"/>
        <v/>
      </c>
      <c r="L1913" s="1" t="str">
        <f>IF(COUNTA(A1913:J1913)=0,"",IF(OR(AND(C1913&lt;&gt;"Gasto",C1913&lt;&gt;"Pago proveedor",C1913&lt;&gt;"Retiro familiar",C1913&lt;&gt;"Aportación",C1913&lt;&gt;"Pago activo",C1913&lt;&gt;"ISR devengado",C1913&lt;&gt;"Pago ISR",C1913&lt;&gt;"Pago IVA",C1913&lt;&gt;"Compensación ISR",C1913&lt;&gt;"Compensación IVA"),AND(C1913="Gasto",D1913&lt;&gt;"Costos clínicos",D1913&lt;&gt;"Remuneración familiar",D1913&lt;&gt;"Nómina y honorarios",D1913&lt;&gt;"Renta",D1913&lt;&gt;"Marketing",D1913&lt;&gt;"Servicios y software",D1913&lt;&gt;"Mantenimiento",D1913&lt;&gt;"Otros",D1913&lt;&gt;"Intereses")),"Tipo o categoría inválido",IF(COUNTA(A1913:J1913)=0,"",IF(OR(A1913="",B1913="",C1913="",H1913=""),"Faltan datos",IF(COUNTIF($A$7:$A$2006,A1913)&gt;1,"ID duplicado",IF(OR(B1913&lt;DATE(Configuración!$C$5,1,1),B1913&gt;=DATE(Configuración!$C$5+1,1,1)),"Fecha fuera del año",IF(OR(H1913&lt;0,I1913&lt;0),"Revisar signo",IF(AND(C1913&lt;&gt;"Gasto",I1913&lt;&gt;0),"IVA solo en Gasto",IF(AND(C1913="Gasto",D1913=""),"Falta categoría","OK")))))))))</f>
        <v/>
      </c>
    </row>
    <row r="1914" spans="1:12" ht="22" customHeight="1">
      <c r="A1914" s="3"/>
      <c r="B1914" s="7"/>
      <c r="C1914" s="3"/>
      <c r="D1914" s="3"/>
      <c r="E1914" s="3"/>
      <c r="F1914" s="3"/>
      <c r="G1914" s="3"/>
      <c r="H1914" s="4"/>
      <c r="I1914" s="4"/>
      <c r="J1914" s="3"/>
      <c r="K1914" s="8" t="str">
        <f t="shared" si="29"/>
        <v/>
      </c>
      <c r="L1914" s="1" t="str">
        <f>IF(COUNTA(A1914:J1914)=0,"",IF(OR(AND(C1914&lt;&gt;"Gasto",C1914&lt;&gt;"Pago proveedor",C1914&lt;&gt;"Retiro familiar",C1914&lt;&gt;"Aportación",C1914&lt;&gt;"Pago activo",C1914&lt;&gt;"ISR devengado",C1914&lt;&gt;"Pago ISR",C1914&lt;&gt;"Pago IVA",C1914&lt;&gt;"Compensación ISR",C1914&lt;&gt;"Compensación IVA"),AND(C1914="Gasto",D1914&lt;&gt;"Costos clínicos",D1914&lt;&gt;"Remuneración familiar",D1914&lt;&gt;"Nómina y honorarios",D1914&lt;&gt;"Renta",D1914&lt;&gt;"Marketing",D1914&lt;&gt;"Servicios y software",D1914&lt;&gt;"Mantenimiento",D1914&lt;&gt;"Otros",D1914&lt;&gt;"Intereses")),"Tipo o categoría inválido",IF(COUNTA(A1914:J1914)=0,"",IF(OR(A1914="",B1914="",C1914="",H1914=""),"Faltan datos",IF(COUNTIF($A$7:$A$2006,A1914)&gt;1,"ID duplicado",IF(OR(B1914&lt;DATE(Configuración!$C$5,1,1),B1914&gt;=DATE(Configuración!$C$5+1,1,1)),"Fecha fuera del año",IF(OR(H1914&lt;0,I1914&lt;0),"Revisar signo",IF(AND(C1914&lt;&gt;"Gasto",I1914&lt;&gt;0),"IVA solo en Gasto",IF(AND(C1914="Gasto",D1914=""),"Falta categoría","OK")))))))))</f>
        <v/>
      </c>
    </row>
    <row r="1915" spans="1:12" ht="22" customHeight="1">
      <c r="A1915" s="3"/>
      <c r="B1915" s="7"/>
      <c r="C1915" s="3"/>
      <c r="D1915" s="3"/>
      <c r="E1915" s="3"/>
      <c r="F1915" s="3"/>
      <c r="G1915" s="3"/>
      <c r="H1915" s="4"/>
      <c r="I1915" s="4"/>
      <c r="J1915" s="3"/>
      <c r="K1915" s="8" t="str">
        <f t="shared" si="29"/>
        <v/>
      </c>
      <c r="L1915" s="1" t="str">
        <f>IF(COUNTA(A1915:J1915)=0,"",IF(OR(AND(C1915&lt;&gt;"Gasto",C1915&lt;&gt;"Pago proveedor",C1915&lt;&gt;"Retiro familiar",C1915&lt;&gt;"Aportación",C1915&lt;&gt;"Pago activo",C1915&lt;&gt;"ISR devengado",C1915&lt;&gt;"Pago ISR",C1915&lt;&gt;"Pago IVA",C1915&lt;&gt;"Compensación ISR",C1915&lt;&gt;"Compensación IVA"),AND(C1915="Gasto",D1915&lt;&gt;"Costos clínicos",D1915&lt;&gt;"Remuneración familiar",D1915&lt;&gt;"Nómina y honorarios",D1915&lt;&gt;"Renta",D1915&lt;&gt;"Marketing",D1915&lt;&gt;"Servicios y software",D1915&lt;&gt;"Mantenimiento",D1915&lt;&gt;"Otros",D1915&lt;&gt;"Intereses")),"Tipo o categoría inválido",IF(COUNTA(A1915:J1915)=0,"",IF(OR(A1915="",B1915="",C1915="",H1915=""),"Faltan datos",IF(COUNTIF($A$7:$A$2006,A1915)&gt;1,"ID duplicado",IF(OR(B1915&lt;DATE(Configuración!$C$5,1,1),B1915&gt;=DATE(Configuración!$C$5+1,1,1)),"Fecha fuera del año",IF(OR(H1915&lt;0,I1915&lt;0),"Revisar signo",IF(AND(C1915&lt;&gt;"Gasto",I1915&lt;&gt;0),"IVA solo en Gasto",IF(AND(C1915="Gasto",D1915=""),"Falta categoría","OK")))))))))</f>
        <v/>
      </c>
    </row>
    <row r="1916" spans="1:12" ht="22" customHeight="1">
      <c r="A1916" s="3"/>
      <c r="B1916" s="7"/>
      <c r="C1916" s="3"/>
      <c r="D1916" s="3"/>
      <c r="E1916" s="3"/>
      <c r="F1916" s="3"/>
      <c r="G1916" s="3"/>
      <c r="H1916" s="4"/>
      <c r="I1916" s="4"/>
      <c r="J1916" s="3"/>
      <c r="K1916" s="8" t="str">
        <f t="shared" si="29"/>
        <v/>
      </c>
      <c r="L1916" s="1" t="str">
        <f>IF(COUNTA(A1916:J1916)=0,"",IF(OR(AND(C1916&lt;&gt;"Gasto",C1916&lt;&gt;"Pago proveedor",C1916&lt;&gt;"Retiro familiar",C1916&lt;&gt;"Aportación",C1916&lt;&gt;"Pago activo",C1916&lt;&gt;"ISR devengado",C1916&lt;&gt;"Pago ISR",C1916&lt;&gt;"Pago IVA",C1916&lt;&gt;"Compensación ISR",C1916&lt;&gt;"Compensación IVA"),AND(C1916="Gasto",D1916&lt;&gt;"Costos clínicos",D1916&lt;&gt;"Remuneración familiar",D1916&lt;&gt;"Nómina y honorarios",D1916&lt;&gt;"Renta",D1916&lt;&gt;"Marketing",D1916&lt;&gt;"Servicios y software",D1916&lt;&gt;"Mantenimiento",D1916&lt;&gt;"Otros",D1916&lt;&gt;"Intereses")),"Tipo o categoría inválido",IF(COUNTA(A1916:J1916)=0,"",IF(OR(A1916="",B1916="",C1916="",H1916=""),"Faltan datos",IF(COUNTIF($A$7:$A$2006,A1916)&gt;1,"ID duplicado",IF(OR(B1916&lt;DATE(Configuración!$C$5,1,1),B1916&gt;=DATE(Configuración!$C$5+1,1,1)),"Fecha fuera del año",IF(OR(H1916&lt;0,I1916&lt;0),"Revisar signo",IF(AND(C1916&lt;&gt;"Gasto",I1916&lt;&gt;0),"IVA solo en Gasto",IF(AND(C1916="Gasto",D1916=""),"Falta categoría","OK")))))))))</f>
        <v/>
      </c>
    </row>
    <row r="1917" spans="1:12" ht="22" customHeight="1">
      <c r="A1917" s="3"/>
      <c r="B1917" s="7"/>
      <c r="C1917" s="3"/>
      <c r="D1917" s="3"/>
      <c r="E1917" s="3"/>
      <c r="F1917" s="3"/>
      <c r="G1917" s="3"/>
      <c r="H1917" s="4"/>
      <c r="I1917" s="4"/>
      <c r="J1917" s="3"/>
      <c r="K1917" s="8" t="str">
        <f t="shared" si="29"/>
        <v/>
      </c>
      <c r="L1917" s="1" t="str">
        <f>IF(COUNTA(A1917:J1917)=0,"",IF(OR(AND(C1917&lt;&gt;"Gasto",C1917&lt;&gt;"Pago proveedor",C1917&lt;&gt;"Retiro familiar",C1917&lt;&gt;"Aportación",C1917&lt;&gt;"Pago activo",C1917&lt;&gt;"ISR devengado",C1917&lt;&gt;"Pago ISR",C1917&lt;&gt;"Pago IVA",C1917&lt;&gt;"Compensación ISR",C1917&lt;&gt;"Compensación IVA"),AND(C1917="Gasto",D1917&lt;&gt;"Costos clínicos",D1917&lt;&gt;"Remuneración familiar",D1917&lt;&gt;"Nómina y honorarios",D1917&lt;&gt;"Renta",D1917&lt;&gt;"Marketing",D1917&lt;&gt;"Servicios y software",D1917&lt;&gt;"Mantenimiento",D1917&lt;&gt;"Otros",D1917&lt;&gt;"Intereses")),"Tipo o categoría inválido",IF(COUNTA(A1917:J1917)=0,"",IF(OR(A1917="",B1917="",C1917="",H1917=""),"Faltan datos",IF(COUNTIF($A$7:$A$2006,A1917)&gt;1,"ID duplicado",IF(OR(B1917&lt;DATE(Configuración!$C$5,1,1),B1917&gt;=DATE(Configuración!$C$5+1,1,1)),"Fecha fuera del año",IF(OR(H1917&lt;0,I1917&lt;0),"Revisar signo",IF(AND(C1917&lt;&gt;"Gasto",I1917&lt;&gt;0),"IVA solo en Gasto",IF(AND(C1917="Gasto",D1917=""),"Falta categoría","OK")))))))))</f>
        <v/>
      </c>
    </row>
    <row r="1918" spans="1:12" ht="22" customHeight="1">
      <c r="A1918" s="3"/>
      <c r="B1918" s="7"/>
      <c r="C1918" s="3"/>
      <c r="D1918" s="3"/>
      <c r="E1918" s="3"/>
      <c r="F1918" s="3"/>
      <c r="G1918" s="3"/>
      <c r="H1918" s="4"/>
      <c r="I1918" s="4"/>
      <c r="J1918" s="3"/>
      <c r="K1918" s="8" t="str">
        <f t="shared" si="29"/>
        <v/>
      </c>
      <c r="L1918" s="1" t="str">
        <f>IF(COUNTA(A1918:J1918)=0,"",IF(OR(AND(C1918&lt;&gt;"Gasto",C1918&lt;&gt;"Pago proveedor",C1918&lt;&gt;"Retiro familiar",C1918&lt;&gt;"Aportación",C1918&lt;&gt;"Pago activo",C1918&lt;&gt;"ISR devengado",C1918&lt;&gt;"Pago ISR",C1918&lt;&gt;"Pago IVA",C1918&lt;&gt;"Compensación ISR",C1918&lt;&gt;"Compensación IVA"),AND(C1918="Gasto",D1918&lt;&gt;"Costos clínicos",D1918&lt;&gt;"Remuneración familiar",D1918&lt;&gt;"Nómina y honorarios",D1918&lt;&gt;"Renta",D1918&lt;&gt;"Marketing",D1918&lt;&gt;"Servicios y software",D1918&lt;&gt;"Mantenimiento",D1918&lt;&gt;"Otros",D1918&lt;&gt;"Intereses")),"Tipo o categoría inválido",IF(COUNTA(A1918:J1918)=0,"",IF(OR(A1918="",B1918="",C1918="",H1918=""),"Faltan datos",IF(COUNTIF($A$7:$A$2006,A1918)&gt;1,"ID duplicado",IF(OR(B1918&lt;DATE(Configuración!$C$5,1,1),B1918&gt;=DATE(Configuración!$C$5+1,1,1)),"Fecha fuera del año",IF(OR(H1918&lt;0,I1918&lt;0),"Revisar signo",IF(AND(C1918&lt;&gt;"Gasto",I1918&lt;&gt;0),"IVA solo en Gasto",IF(AND(C1918="Gasto",D1918=""),"Falta categoría","OK")))))))))</f>
        <v/>
      </c>
    </row>
    <row r="1919" spans="1:12" ht="22" customHeight="1">
      <c r="A1919" s="3"/>
      <c r="B1919" s="7"/>
      <c r="C1919" s="3"/>
      <c r="D1919" s="3"/>
      <c r="E1919" s="3"/>
      <c r="F1919" s="3"/>
      <c r="G1919" s="3"/>
      <c r="H1919" s="4"/>
      <c r="I1919" s="4"/>
      <c r="J1919" s="3"/>
      <c r="K1919" s="8" t="str">
        <f t="shared" si="29"/>
        <v/>
      </c>
      <c r="L1919" s="1" t="str">
        <f>IF(COUNTA(A1919:J1919)=0,"",IF(OR(AND(C1919&lt;&gt;"Gasto",C1919&lt;&gt;"Pago proveedor",C1919&lt;&gt;"Retiro familiar",C1919&lt;&gt;"Aportación",C1919&lt;&gt;"Pago activo",C1919&lt;&gt;"ISR devengado",C1919&lt;&gt;"Pago ISR",C1919&lt;&gt;"Pago IVA",C1919&lt;&gt;"Compensación ISR",C1919&lt;&gt;"Compensación IVA"),AND(C1919="Gasto",D1919&lt;&gt;"Costos clínicos",D1919&lt;&gt;"Remuneración familiar",D1919&lt;&gt;"Nómina y honorarios",D1919&lt;&gt;"Renta",D1919&lt;&gt;"Marketing",D1919&lt;&gt;"Servicios y software",D1919&lt;&gt;"Mantenimiento",D1919&lt;&gt;"Otros",D1919&lt;&gt;"Intereses")),"Tipo o categoría inválido",IF(COUNTA(A1919:J1919)=0,"",IF(OR(A1919="",B1919="",C1919="",H1919=""),"Faltan datos",IF(COUNTIF($A$7:$A$2006,A1919)&gt;1,"ID duplicado",IF(OR(B1919&lt;DATE(Configuración!$C$5,1,1),B1919&gt;=DATE(Configuración!$C$5+1,1,1)),"Fecha fuera del año",IF(OR(H1919&lt;0,I1919&lt;0),"Revisar signo",IF(AND(C1919&lt;&gt;"Gasto",I1919&lt;&gt;0),"IVA solo en Gasto",IF(AND(C1919="Gasto",D1919=""),"Falta categoría","OK")))))))))</f>
        <v/>
      </c>
    </row>
    <row r="1920" spans="1:12" ht="22" customHeight="1">
      <c r="A1920" s="3"/>
      <c r="B1920" s="7"/>
      <c r="C1920" s="3"/>
      <c r="D1920" s="3"/>
      <c r="E1920" s="3"/>
      <c r="F1920" s="3"/>
      <c r="G1920" s="3"/>
      <c r="H1920" s="4"/>
      <c r="I1920" s="4"/>
      <c r="J1920" s="3"/>
      <c r="K1920" s="8" t="str">
        <f t="shared" si="29"/>
        <v/>
      </c>
      <c r="L1920" s="1" t="str">
        <f>IF(COUNTA(A1920:J1920)=0,"",IF(OR(AND(C1920&lt;&gt;"Gasto",C1920&lt;&gt;"Pago proveedor",C1920&lt;&gt;"Retiro familiar",C1920&lt;&gt;"Aportación",C1920&lt;&gt;"Pago activo",C1920&lt;&gt;"ISR devengado",C1920&lt;&gt;"Pago ISR",C1920&lt;&gt;"Pago IVA",C1920&lt;&gt;"Compensación ISR",C1920&lt;&gt;"Compensación IVA"),AND(C1920="Gasto",D1920&lt;&gt;"Costos clínicos",D1920&lt;&gt;"Remuneración familiar",D1920&lt;&gt;"Nómina y honorarios",D1920&lt;&gt;"Renta",D1920&lt;&gt;"Marketing",D1920&lt;&gt;"Servicios y software",D1920&lt;&gt;"Mantenimiento",D1920&lt;&gt;"Otros",D1920&lt;&gt;"Intereses")),"Tipo o categoría inválido",IF(COUNTA(A1920:J1920)=0,"",IF(OR(A1920="",B1920="",C1920="",H1920=""),"Faltan datos",IF(COUNTIF($A$7:$A$2006,A1920)&gt;1,"ID duplicado",IF(OR(B1920&lt;DATE(Configuración!$C$5,1,1),B1920&gt;=DATE(Configuración!$C$5+1,1,1)),"Fecha fuera del año",IF(OR(H1920&lt;0,I1920&lt;0),"Revisar signo",IF(AND(C1920&lt;&gt;"Gasto",I1920&lt;&gt;0),"IVA solo en Gasto",IF(AND(C1920="Gasto",D1920=""),"Falta categoría","OK")))))))))</f>
        <v/>
      </c>
    </row>
    <row r="1921" spans="1:12" ht="22" customHeight="1">
      <c r="A1921" s="3"/>
      <c r="B1921" s="7"/>
      <c r="C1921" s="3"/>
      <c r="D1921" s="3"/>
      <c r="E1921" s="3"/>
      <c r="F1921" s="3"/>
      <c r="G1921" s="3"/>
      <c r="H1921" s="4"/>
      <c r="I1921" s="4"/>
      <c r="J1921" s="3"/>
      <c r="K1921" s="8" t="str">
        <f t="shared" si="29"/>
        <v/>
      </c>
      <c r="L1921" s="1" t="str">
        <f>IF(COUNTA(A1921:J1921)=0,"",IF(OR(AND(C1921&lt;&gt;"Gasto",C1921&lt;&gt;"Pago proveedor",C1921&lt;&gt;"Retiro familiar",C1921&lt;&gt;"Aportación",C1921&lt;&gt;"Pago activo",C1921&lt;&gt;"ISR devengado",C1921&lt;&gt;"Pago ISR",C1921&lt;&gt;"Pago IVA",C1921&lt;&gt;"Compensación ISR",C1921&lt;&gt;"Compensación IVA"),AND(C1921="Gasto",D1921&lt;&gt;"Costos clínicos",D1921&lt;&gt;"Remuneración familiar",D1921&lt;&gt;"Nómina y honorarios",D1921&lt;&gt;"Renta",D1921&lt;&gt;"Marketing",D1921&lt;&gt;"Servicios y software",D1921&lt;&gt;"Mantenimiento",D1921&lt;&gt;"Otros",D1921&lt;&gt;"Intereses")),"Tipo o categoría inválido",IF(COUNTA(A1921:J1921)=0,"",IF(OR(A1921="",B1921="",C1921="",H1921=""),"Faltan datos",IF(COUNTIF($A$7:$A$2006,A1921)&gt;1,"ID duplicado",IF(OR(B1921&lt;DATE(Configuración!$C$5,1,1),B1921&gt;=DATE(Configuración!$C$5+1,1,1)),"Fecha fuera del año",IF(OR(H1921&lt;0,I1921&lt;0),"Revisar signo",IF(AND(C1921&lt;&gt;"Gasto",I1921&lt;&gt;0),"IVA solo en Gasto",IF(AND(C1921="Gasto",D1921=""),"Falta categoría","OK")))))))))</f>
        <v/>
      </c>
    </row>
    <row r="1922" spans="1:12" ht="22" customHeight="1">
      <c r="A1922" s="3"/>
      <c r="B1922" s="7"/>
      <c r="C1922" s="3"/>
      <c r="D1922" s="3"/>
      <c r="E1922" s="3"/>
      <c r="F1922" s="3"/>
      <c r="G1922" s="3"/>
      <c r="H1922" s="4"/>
      <c r="I1922" s="4"/>
      <c r="J1922" s="3"/>
      <c r="K1922" s="8" t="str">
        <f t="shared" si="29"/>
        <v/>
      </c>
      <c r="L1922" s="1" t="str">
        <f>IF(COUNTA(A1922:J1922)=0,"",IF(OR(AND(C1922&lt;&gt;"Gasto",C1922&lt;&gt;"Pago proveedor",C1922&lt;&gt;"Retiro familiar",C1922&lt;&gt;"Aportación",C1922&lt;&gt;"Pago activo",C1922&lt;&gt;"ISR devengado",C1922&lt;&gt;"Pago ISR",C1922&lt;&gt;"Pago IVA",C1922&lt;&gt;"Compensación ISR",C1922&lt;&gt;"Compensación IVA"),AND(C1922="Gasto",D1922&lt;&gt;"Costos clínicos",D1922&lt;&gt;"Remuneración familiar",D1922&lt;&gt;"Nómina y honorarios",D1922&lt;&gt;"Renta",D1922&lt;&gt;"Marketing",D1922&lt;&gt;"Servicios y software",D1922&lt;&gt;"Mantenimiento",D1922&lt;&gt;"Otros",D1922&lt;&gt;"Intereses")),"Tipo o categoría inválido",IF(COUNTA(A1922:J1922)=0,"",IF(OR(A1922="",B1922="",C1922="",H1922=""),"Faltan datos",IF(COUNTIF($A$7:$A$2006,A1922)&gt;1,"ID duplicado",IF(OR(B1922&lt;DATE(Configuración!$C$5,1,1),B1922&gt;=DATE(Configuración!$C$5+1,1,1)),"Fecha fuera del año",IF(OR(H1922&lt;0,I1922&lt;0),"Revisar signo",IF(AND(C1922&lt;&gt;"Gasto",I1922&lt;&gt;0),"IVA solo en Gasto",IF(AND(C1922="Gasto",D1922=""),"Falta categoría","OK")))))))))</f>
        <v/>
      </c>
    </row>
    <row r="1923" spans="1:12" ht="22" customHeight="1">
      <c r="A1923" s="3"/>
      <c r="B1923" s="7"/>
      <c r="C1923" s="3"/>
      <c r="D1923" s="3"/>
      <c r="E1923" s="3"/>
      <c r="F1923" s="3"/>
      <c r="G1923" s="3"/>
      <c r="H1923" s="4"/>
      <c r="I1923" s="4"/>
      <c r="J1923" s="3"/>
      <c r="K1923" s="8" t="str">
        <f t="shared" si="29"/>
        <v/>
      </c>
      <c r="L1923" s="1" t="str">
        <f>IF(COUNTA(A1923:J1923)=0,"",IF(OR(AND(C1923&lt;&gt;"Gasto",C1923&lt;&gt;"Pago proveedor",C1923&lt;&gt;"Retiro familiar",C1923&lt;&gt;"Aportación",C1923&lt;&gt;"Pago activo",C1923&lt;&gt;"ISR devengado",C1923&lt;&gt;"Pago ISR",C1923&lt;&gt;"Pago IVA",C1923&lt;&gt;"Compensación ISR",C1923&lt;&gt;"Compensación IVA"),AND(C1923="Gasto",D1923&lt;&gt;"Costos clínicos",D1923&lt;&gt;"Remuneración familiar",D1923&lt;&gt;"Nómina y honorarios",D1923&lt;&gt;"Renta",D1923&lt;&gt;"Marketing",D1923&lt;&gt;"Servicios y software",D1923&lt;&gt;"Mantenimiento",D1923&lt;&gt;"Otros",D1923&lt;&gt;"Intereses")),"Tipo o categoría inválido",IF(COUNTA(A1923:J1923)=0,"",IF(OR(A1923="",B1923="",C1923="",H1923=""),"Faltan datos",IF(COUNTIF($A$7:$A$2006,A1923)&gt;1,"ID duplicado",IF(OR(B1923&lt;DATE(Configuración!$C$5,1,1),B1923&gt;=DATE(Configuración!$C$5+1,1,1)),"Fecha fuera del año",IF(OR(H1923&lt;0,I1923&lt;0),"Revisar signo",IF(AND(C1923&lt;&gt;"Gasto",I1923&lt;&gt;0),"IVA solo en Gasto",IF(AND(C1923="Gasto",D1923=""),"Falta categoría","OK")))))))))</f>
        <v/>
      </c>
    </row>
    <row r="1924" spans="1:12" ht="22" customHeight="1">
      <c r="A1924" s="3"/>
      <c r="B1924" s="7"/>
      <c r="C1924" s="3"/>
      <c r="D1924" s="3"/>
      <c r="E1924" s="3"/>
      <c r="F1924" s="3"/>
      <c r="G1924" s="3"/>
      <c r="H1924" s="4"/>
      <c r="I1924" s="4"/>
      <c r="J1924" s="3"/>
      <c r="K1924" s="8" t="str">
        <f t="shared" si="29"/>
        <v/>
      </c>
      <c r="L1924" s="1" t="str">
        <f>IF(COUNTA(A1924:J1924)=0,"",IF(OR(AND(C1924&lt;&gt;"Gasto",C1924&lt;&gt;"Pago proveedor",C1924&lt;&gt;"Retiro familiar",C1924&lt;&gt;"Aportación",C1924&lt;&gt;"Pago activo",C1924&lt;&gt;"ISR devengado",C1924&lt;&gt;"Pago ISR",C1924&lt;&gt;"Pago IVA",C1924&lt;&gt;"Compensación ISR",C1924&lt;&gt;"Compensación IVA"),AND(C1924="Gasto",D1924&lt;&gt;"Costos clínicos",D1924&lt;&gt;"Remuneración familiar",D1924&lt;&gt;"Nómina y honorarios",D1924&lt;&gt;"Renta",D1924&lt;&gt;"Marketing",D1924&lt;&gt;"Servicios y software",D1924&lt;&gt;"Mantenimiento",D1924&lt;&gt;"Otros",D1924&lt;&gt;"Intereses")),"Tipo o categoría inválido",IF(COUNTA(A1924:J1924)=0,"",IF(OR(A1924="",B1924="",C1924="",H1924=""),"Faltan datos",IF(COUNTIF($A$7:$A$2006,A1924)&gt;1,"ID duplicado",IF(OR(B1924&lt;DATE(Configuración!$C$5,1,1),B1924&gt;=DATE(Configuración!$C$5+1,1,1)),"Fecha fuera del año",IF(OR(H1924&lt;0,I1924&lt;0),"Revisar signo",IF(AND(C1924&lt;&gt;"Gasto",I1924&lt;&gt;0),"IVA solo en Gasto",IF(AND(C1924="Gasto",D1924=""),"Falta categoría","OK")))))))))</f>
        <v/>
      </c>
    </row>
    <row r="1925" spans="1:12" ht="22" customHeight="1">
      <c r="A1925" s="3"/>
      <c r="B1925" s="7"/>
      <c r="C1925" s="3"/>
      <c r="D1925" s="3"/>
      <c r="E1925" s="3"/>
      <c r="F1925" s="3"/>
      <c r="G1925" s="3"/>
      <c r="H1925" s="4"/>
      <c r="I1925" s="4"/>
      <c r="J1925" s="3"/>
      <c r="K1925" s="8" t="str">
        <f t="shared" si="29"/>
        <v/>
      </c>
      <c r="L1925" s="1" t="str">
        <f>IF(COUNTA(A1925:J1925)=0,"",IF(OR(AND(C1925&lt;&gt;"Gasto",C1925&lt;&gt;"Pago proveedor",C1925&lt;&gt;"Retiro familiar",C1925&lt;&gt;"Aportación",C1925&lt;&gt;"Pago activo",C1925&lt;&gt;"ISR devengado",C1925&lt;&gt;"Pago ISR",C1925&lt;&gt;"Pago IVA",C1925&lt;&gt;"Compensación ISR",C1925&lt;&gt;"Compensación IVA"),AND(C1925="Gasto",D1925&lt;&gt;"Costos clínicos",D1925&lt;&gt;"Remuneración familiar",D1925&lt;&gt;"Nómina y honorarios",D1925&lt;&gt;"Renta",D1925&lt;&gt;"Marketing",D1925&lt;&gt;"Servicios y software",D1925&lt;&gt;"Mantenimiento",D1925&lt;&gt;"Otros",D1925&lt;&gt;"Intereses")),"Tipo o categoría inválido",IF(COUNTA(A1925:J1925)=0,"",IF(OR(A1925="",B1925="",C1925="",H1925=""),"Faltan datos",IF(COUNTIF($A$7:$A$2006,A1925)&gt;1,"ID duplicado",IF(OR(B1925&lt;DATE(Configuración!$C$5,1,1),B1925&gt;=DATE(Configuración!$C$5+1,1,1)),"Fecha fuera del año",IF(OR(H1925&lt;0,I1925&lt;0),"Revisar signo",IF(AND(C1925&lt;&gt;"Gasto",I1925&lt;&gt;0),"IVA solo en Gasto",IF(AND(C1925="Gasto",D1925=""),"Falta categoría","OK")))))))))</f>
        <v/>
      </c>
    </row>
    <row r="1926" spans="1:12" ht="22" customHeight="1">
      <c r="A1926" s="3"/>
      <c r="B1926" s="7"/>
      <c r="C1926" s="3"/>
      <c r="D1926" s="3"/>
      <c r="E1926" s="3"/>
      <c r="F1926" s="3"/>
      <c r="G1926" s="3"/>
      <c r="H1926" s="4"/>
      <c r="I1926" s="4"/>
      <c r="J1926" s="3"/>
      <c r="K1926" s="8" t="str">
        <f t="shared" si="29"/>
        <v/>
      </c>
      <c r="L1926" s="1" t="str">
        <f>IF(COUNTA(A1926:J1926)=0,"",IF(OR(AND(C1926&lt;&gt;"Gasto",C1926&lt;&gt;"Pago proveedor",C1926&lt;&gt;"Retiro familiar",C1926&lt;&gt;"Aportación",C1926&lt;&gt;"Pago activo",C1926&lt;&gt;"ISR devengado",C1926&lt;&gt;"Pago ISR",C1926&lt;&gt;"Pago IVA",C1926&lt;&gt;"Compensación ISR",C1926&lt;&gt;"Compensación IVA"),AND(C1926="Gasto",D1926&lt;&gt;"Costos clínicos",D1926&lt;&gt;"Remuneración familiar",D1926&lt;&gt;"Nómina y honorarios",D1926&lt;&gt;"Renta",D1926&lt;&gt;"Marketing",D1926&lt;&gt;"Servicios y software",D1926&lt;&gt;"Mantenimiento",D1926&lt;&gt;"Otros",D1926&lt;&gt;"Intereses")),"Tipo o categoría inválido",IF(COUNTA(A1926:J1926)=0,"",IF(OR(A1926="",B1926="",C1926="",H1926=""),"Faltan datos",IF(COUNTIF($A$7:$A$2006,A1926)&gt;1,"ID duplicado",IF(OR(B1926&lt;DATE(Configuración!$C$5,1,1),B1926&gt;=DATE(Configuración!$C$5+1,1,1)),"Fecha fuera del año",IF(OR(H1926&lt;0,I1926&lt;0),"Revisar signo",IF(AND(C1926&lt;&gt;"Gasto",I1926&lt;&gt;0),"IVA solo en Gasto",IF(AND(C1926="Gasto",D1926=""),"Falta categoría","OK")))))))))</f>
        <v/>
      </c>
    </row>
    <row r="1927" spans="1:12" ht="22" customHeight="1">
      <c r="A1927" s="3"/>
      <c r="B1927" s="7"/>
      <c r="C1927" s="3"/>
      <c r="D1927" s="3"/>
      <c r="E1927" s="3"/>
      <c r="F1927" s="3"/>
      <c r="G1927" s="3"/>
      <c r="H1927" s="4"/>
      <c r="I1927" s="4"/>
      <c r="J1927" s="3"/>
      <c r="K1927" s="8" t="str">
        <f t="shared" ref="K1927:K1990" si="30">IF(A1927="","",H1927+I1927)</f>
        <v/>
      </c>
      <c r="L1927" s="1" t="str">
        <f>IF(COUNTA(A1927:J1927)=0,"",IF(OR(AND(C1927&lt;&gt;"Gasto",C1927&lt;&gt;"Pago proveedor",C1927&lt;&gt;"Retiro familiar",C1927&lt;&gt;"Aportación",C1927&lt;&gt;"Pago activo",C1927&lt;&gt;"ISR devengado",C1927&lt;&gt;"Pago ISR",C1927&lt;&gt;"Pago IVA",C1927&lt;&gt;"Compensación ISR",C1927&lt;&gt;"Compensación IVA"),AND(C1927="Gasto",D1927&lt;&gt;"Costos clínicos",D1927&lt;&gt;"Remuneración familiar",D1927&lt;&gt;"Nómina y honorarios",D1927&lt;&gt;"Renta",D1927&lt;&gt;"Marketing",D1927&lt;&gt;"Servicios y software",D1927&lt;&gt;"Mantenimiento",D1927&lt;&gt;"Otros",D1927&lt;&gt;"Intereses")),"Tipo o categoría inválido",IF(COUNTA(A1927:J1927)=0,"",IF(OR(A1927="",B1927="",C1927="",H1927=""),"Faltan datos",IF(COUNTIF($A$7:$A$2006,A1927)&gt;1,"ID duplicado",IF(OR(B1927&lt;DATE(Configuración!$C$5,1,1),B1927&gt;=DATE(Configuración!$C$5+1,1,1)),"Fecha fuera del año",IF(OR(H1927&lt;0,I1927&lt;0),"Revisar signo",IF(AND(C1927&lt;&gt;"Gasto",I1927&lt;&gt;0),"IVA solo en Gasto",IF(AND(C1927="Gasto",D1927=""),"Falta categoría","OK")))))))))</f>
        <v/>
      </c>
    </row>
    <row r="1928" spans="1:12" ht="22" customHeight="1">
      <c r="A1928" s="3"/>
      <c r="B1928" s="7"/>
      <c r="C1928" s="3"/>
      <c r="D1928" s="3"/>
      <c r="E1928" s="3"/>
      <c r="F1928" s="3"/>
      <c r="G1928" s="3"/>
      <c r="H1928" s="4"/>
      <c r="I1928" s="4"/>
      <c r="J1928" s="3"/>
      <c r="K1928" s="8" t="str">
        <f t="shared" si="30"/>
        <v/>
      </c>
      <c r="L1928" s="1" t="str">
        <f>IF(COUNTA(A1928:J1928)=0,"",IF(OR(AND(C1928&lt;&gt;"Gasto",C1928&lt;&gt;"Pago proveedor",C1928&lt;&gt;"Retiro familiar",C1928&lt;&gt;"Aportación",C1928&lt;&gt;"Pago activo",C1928&lt;&gt;"ISR devengado",C1928&lt;&gt;"Pago ISR",C1928&lt;&gt;"Pago IVA",C1928&lt;&gt;"Compensación ISR",C1928&lt;&gt;"Compensación IVA"),AND(C1928="Gasto",D1928&lt;&gt;"Costos clínicos",D1928&lt;&gt;"Remuneración familiar",D1928&lt;&gt;"Nómina y honorarios",D1928&lt;&gt;"Renta",D1928&lt;&gt;"Marketing",D1928&lt;&gt;"Servicios y software",D1928&lt;&gt;"Mantenimiento",D1928&lt;&gt;"Otros",D1928&lt;&gt;"Intereses")),"Tipo o categoría inválido",IF(COUNTA(A1928:J1928)=0,"",IF(OR(A1928="",B1928="",C1928="",H1928=""),"Faltan datos",IF(COUNTIF($A$7:$A$2006,A1928)&gt;1,"ID duplicado",IF(OR(B1928&lt;DATE(Configuración!$C$5,1,1),B1928&gt;=DATE(Configuración!$C$5+1,1,1)),"Fecha fuera del año",IF(OR(H1928&lt;0,I1928&lt;0),"Revisar signo",IF(AND(C1928&lt;&gt;"Gasto",I1928&lt;&gt;0),"IVA solo en Gasto",IF(AND(C1928="Gasto",D1928=""),"Falta categoría","OK")))))))))</f>
        <v/>
      </c>
    </row>
    <row r="1929" spans="1:12" ht="22" customHeight="1">
      <c r="A1929" s="3"/>
      <c r="B1929" s="7"/>
      <c r="C1929" s="3"/>
      <c r="D1929" s="3"/>
      <c r="E1929" s="3"/>
      <c r="F1929" s="3"/>
      <c r="G1929" s="3"/>
      <c r="H1929" s="4"/>
      <c r="I1929" s="4"/>
      <c r="J1929" s="3"/>
      <c r="K1929" s="8" t="str">
        <f t="shared" si="30"/>
        <v/>
      </c>
      <c r="L1929" s="1" t="str">
        <f>IF(COUNTA(A1929:J1929)=0,"",IF(OR(AND(C1929&lt;&gt;"Gasto",C1929&lt;&gt;"Pago proveedor",C1929&lt;&gt;"Retiro familiar",C1929&lt;&gt;"Aportación",C1929&lt;&gt;"Pago activo",C1929&lt;&gt;"ISR devengado",C1929&lt;&gt;"Pago ISR",C1929&lt;&gt;"Pago IVA",C1929&lt;&gt;"Compensación ISR",C1929&lt;&gt;"Compensación IVA"),AND(C1929="Gasto",D1929&lt;&gt;"Costos clínicos",D1929&lt;&gt;"Remuneración familiar",D1929&lt;&gt;"Nómina y honorarios",D1929&lt;&gt;"Renta",D1929&lt;&gt;"Marketing",D1929&lt;&gt;"Servicios y software",D1929&lt;&gt;"Mantenimiento",D1929&lt;&gt;"Otros",D1929&lt;&gt;"Intereses")),"Tipo o categoría inválido",IF(COUNTA(A1929:J1929)=0,"",IF(OR(A1929="",B1929="",C1929="",H1929=""),"Faltan datos",IF(COUNTIF($A$7:$A$2006,A1929)&gt;1,"ID duplicado",IF(OR(B1929&lt;DATE(Configuración!$C$5,1,1),B1929&gt;=DATE(Configuración!$C$5+1,1,1)),"Fecha fuera del año",IF(OR(H1929&lt;0,I1929&lt;0),"Revisar signo",IF(AND(C1929&lt;&gt;"Gasto",I1929&lt;&gt;0),"IVA solo en Gasto",IF(AND(C1929="Gasto",D1929=""),"Falta categoría","OK")))))))))</f>
        <v/>
      </c>
    </row>
    <row r="1930" spans="1:12" ht="22" customHeight="1">
      <c r="A1930" s="3"/>
      <c r="B1930" s="7"/>
      <c r="C1930" s="3"/>
      <c r="D1930" s="3"/>
      <c r="E1930" s="3"/>
      <c r="F1930" s="3"/>
      <c r="G1930" s="3"/>
      <c r="H1930" s="4"/>
      <c r="I1930" s="4"/>
      <c r="J1930" s="3"/>
      <c r="K1930" s="8" t="str">
        <f t="shared" si="30"/>
        <v/>
      </c>
      <c r="L1930" s="1" t="str">
        <f>IF(COUNTA(A1930:J1930)=0,"",IF(OR(AND(C1930&lt;&gt;"Gasto",C1930&lt;&gt;"Pago proveedor",C1930&lt;&gt;"Retiro familiar",C1930&lt;&gt;"Aportación",C1930&lt;&gt;"Pago activo",C1930&lt;&gt;"ISR devengado",C1930&lt;&gt;"Pago ISR",C1930&lt;&gt;"Pago IVA",C1930&lt;&gt;"Compensación ISR",C1930&lt;&gt;"Compensación IVA"),AND(C1930="Gasto",D1930&lt;&gt;"Costos clínicos",D1930&lt;&gt;"Remuneración familiar",D1930&lt;&gt;"Nómina y honorarios",D1930&lt;&gt;"Renta",D1930&lt;&gt;"Marketing",D1930&lt;&gt;"Servicios y software",D1930&lt;&gt;"Mantenimiento",D1930&lt;&gt;"Otros",D1930&lt;&gt;"Intereses")),"Tipo o categoría inválido",IF(COUNTA(A1930:J1930)=0,"",IF(OR(A1930="",B1930="",C1930="",H1930=""),"Faltan datos",IF(COUNTIF($A$7:$A$2006,A1930)&gt;1,"ID duplicado",IF(OR(B1930&lt;DATE(Configuración!$C$5,1,1),B1930&gt;=DATE(Configuración!$C$5+1,1,1)),"Fecha fuera del año",IF(OR(H1930&lt;0,I1930&lt;0),"Revisar signo",IF(AND(C1930&lt;&gt;"Gasto",I1930&lt;&gt;0),"IVA solo en Gasto",IF(AND(C1930="Gasto",D1930=""),"Falta categoría","OK")))))))))</f>
        <v/>
      </c>
    </row>
    <row r="1931" spans="1:12" ht="22" customHeight="1">
      <c r="A1931" s="3"/>
      <c r="B1931" s="7"/>
      <c r="C1931" s="3"/>
      <c r="D1931" s="3"/>
      <c r="E1931" s="3"/>
      <c r="F1931" s="3"/>
      <c r="G1931" s="3"/>
      <c r="H1931" s="4"/>
      <c r="I1931" s="4"/>
      <c r="J1931" s="3"/>
      <c r="K1931" s="8" t="str">
        <f t="shared" si="30"/>
        <v/>
      </c>
      <c r="L1931" s="1" t="str">
        <f>IF(COUNTA(A1931:J1931)=0,"",IF(OR(AND(C1931&lt;&gt;"Gasto",C1931&lt;&gt;"Pago proveedor",C1931&lt;&gt;"Retiro familiar",C1931&lt;&gt;"Aportación",C1931&lt;&gt;"Pago activo",C1931&lt;&gt;"ISR devengado",C1931&lt;&gt;"Pago ISR",C1931&lt;&gt;"Pago IVA",C1931&lt;&gt;"Compensación ISR",C1931&lt;&gt;"Compensación IVA"),AND(C1931="Gasto",D1931&lt;&gt;"Costos clínicos",D1931&lt;&gt;"Remuneración familiar",D1931&lt;&gt;"Nómina y honorarios",D1931&lt;&gt;"Renta",D1931&lt;&gt;"Marketing",D1931&lt;&gt;"Servicios y software",D1931&lt;&gt;"Mantenimiento",D1931&lt;&gt;"Otros",D1931&lt;&gt;"Intereses")),"Tipo o categoría inválido",IF(COUNTA(A1931:J1931)=0,"",IF(OR(A1931="",B1931="",C1931="",H1931=""),"Faltan datos",IF(COUNTIF($A$7:$A$2006,A1931)&gt;1,"ID duplicado",IF(OR(B1931&lt;DATE(Configuración!$C$5,1,1),B1931&gt;=DATE(Configuración!$C$5+1,1,1)),"Fecha fuera del año",IF(OR(H1931&lt;0,I1931&lt;0),"Revisar signo",IF(AND(C1931&lt;&gt;"Gasto",I1931&lt;&gt;0),"IVA solo en Gasto",IF(AND(C1931="Gasto",D1931=""),"Falta categoría","OK")))))))))</f>
        <v/>
      </c>
    </row>
    <row r="1932" spans="1:12" ht="22" customHeight="1">
      <c r="A1932" s="3"/>
      <c r="B1932" s="7"/>
      <c r="C1932" s="3"/>
      <c r="D1932" s="3"/>
      <c r="E1932" s="3"/>
      <c r="F1932" s="3"/>
      <c r="G1932" s="3"/>
      <c r="H1932" s="4"/>
      <c r="I1932" s="4"/>
      <c r="J1932" s="3"/>
      <c r="K1932" s="8" t="str">
        <f t="shared" si="30"/>
        <v/>
      </c>
      <c r="L1932" s="1" t="str">
        <f>IF(COUNTA(A1932:J1932)=0,"",IF(OR(AND(C1932&lt;&gt;"Gasto",C1932&lt;&gt;"Pago proveedor",C1932&lt;&gt;"Retiro familiar",C1932&lt;&gt;"Aportación",C1932&lt;&gt;"Pago activo",C1932&lt;&gt;"ISR devengado",C1932&lt;&gt;"Pago ISR",C1932&lt;&gt;"Pago IVA",C1932&lt;&gt;"Compensación ISR",C1932&lt;&gt;"Compensación IVA"),AND(C1932="Gasto",D1932&lt;&gt;"Costos clínicos",D1932&lt;&gt;"Remuneración familiar",D1932&lt;&gt;"Nómina y honorarios",D1932&lt;&gt;"Renta",D1932&lt;&gt;"Marketing",D1932&lt;&gt;"Servicios y software",D1932&lt;&gt;"Mantenimiento",D1932&lt;&gt;"Otros",D1932&lt;&gt;"Intereses")),"Tipo o categoría inválido",IF(COUNTA(A1932:J1932)=0,"",IF(OR(A1932="",B1932="",C1932="",H1932=""),"Faltan datos",IF(COUNTIF($A$7:$A$2006,A1932)&gt;1,"ID duplicado",IF(OR(B1932&lt;DATE(Configuración!$C$5,1,1),B1932&gt;=DATE(Configuración!$C$5+1,1,1)),"Fecha fuera del año",IF(OR(H1932&lt;0,I1932&lt;0),"Revisar signo",IF(AND(C1932&lt;&gt;"Gasto",I1932&lt;&gt;0),"IVA solo en Gasto",IF(AND(C1932="Gasto",D1932=""),"Falta categoría","OK")))))))))</f>
        <v/>
      </c>
    </row>
    <row r="1933" spans="1:12" ht="22" customHeight="1">
      <c r="A1933" s="3"/>
      <c r="B1933" s="7"/>
      <c r="C1933" s="3"/>
      <c r="D1933" s="3"/>
      <c r="E1933" s="3"/>
      <c r="F1933" s="3"/>
      <c r="G1933" s="3"/>
      <c r="H1933" s="4"/>
      <c r="I1933" s="4"/>
      <c r="J1933" s="3"/>
      <c r="K1933" s="8" t="str">
        <f t="shared" si="30"/>
        <v/>
      </c>
      <c r="L1933" s="1" t="str">
        <f>IF(COUNTA(A1933:J1933)=0,"",IF(OR(AND(C1933&lt;&gt;"Gasto",C1933&lt;&gt;"Pago proveedor",C1933&lt;&gt;"Retiro familiar",C1933&lt;&gt;"Aportación",C1933&lt;&gt;"Pago activo",C1933&lt;&gt;"ISR devengado",C1933&lt;&gt;"Pago ISR",C1933&lt;&gt;"Pago IVA",C1933&lt;&gt;"Compensación ISR",C1933&lt;&gt;"Compensación IVA"),AND(C1933="Gasto",D1933&lt;&gt;"Costos clínicos",D1933&lt;&gt;"Remuneración familiar",D1933&lt;&gt;"Nómina y honorarios",D1933&lt;&gt;"Renta",D1933&lt;&gt;"Marketing",D1933&lt;&gt;"Servicios y software",D1933&lt;&gt;"Mantenimiento",D1933&lt;&gt;"Otros",D1933&lt;&gt;"Intereses")),"Tipo o categoría inválido",IF(COUNTA(A1933:J1933)=0,"",IF(OR(A1933="",B1933="",C1933="",H1933=""),"Faltan datos",IF(COUNTIF($A$7:$A$2006,A1933)&gt;1,"ID duplicado",IF(OR(B1933&lt;DATE(Configuración!$C$5,1,1),B1933&gt;=DATE(Configuración!$C$5+1,1,1)),"Fecha fuera del año",IF(OR(H1933&lt;0,I1933&lt;0),"Revisar signo",IF(AND(C1933&lt;&gt;"Gasto",I1933&lt;&gt;0),"IVA solo en Gasto",IF(AND(C1933="Gasto",D1933=""),"Falta categoría","OK")))))))))</f>
        <v/>
      </c>
    </row>
    <row r="1934" spans="1:12" ht="22" customHeight="1">
      <c r="A1934" s="3"/>
      <c r="B1934" s="7"/>
      <c r="C1934" s="3"/>
      <c r="D1934" s="3"/>
      <c r="E1934" s="3"/>
      <c r="F1934" s="3"/>
      <c r="G1934" s="3"/>
      <c r="H1934" s="4"/>
      <c r="I1934" s="4"/>
      <c r="J1934" s="3"/>
      <c r="K1934" s="8" t="str">
        <f t="shared" si="30"/>
        <v/>
      </c>
      <c r="L1934" s="1" t="str">
        <f>IF(COUNTA(A1934:J1934)=0,"",IF(OR(AND(C1934&lt;&gt;"Gasto",C1934&lt;&gt;"Pago proveedor",C1934&lt;&gt;"Retiro familiar",C1934&lt;&gt;"Aportación",C1934&lt;&gt;"Pago activo",C1934&lt;&gt;"ISR devengado",C1934&lt;&gt;"Pago ISR",C1934&lt;&gt;"Pago IVA",C1934&lt;&gt;"Compensación ISR",C1934&lt;&gt;"Compensación IVA"),AND(C1934="Gasto",D1934&lt;&gt;"Costos clínicos",D1934&lt;&gt;"Remuneración familiar",D1934&lt;&gt;"Nómina y honorarios",D1934&lt;&gt;"Renta",D1934&lt;&gt;"Marketing",D1934&lt;&gt;"Servicios y software",D1934&lt;&gt;"Mantenimiento",D1934&lt;&gt;"Otros",D1934&lt;&gt;"Intereses")),"Tipo o categoría inválido",IF(COUNTA(A1934:J1934)=0,"",IF(OR(A1934="",B1934="",C1934="",H1934=""),"Faltan datos",IF(COUNTIF($A$7:$A$2006,A1934)&gt;1,"ID duplicado",IF(OR(B1934&lt;DATE(Configuración!$C$5,1,1),B1934&gt;=DATE(Configuración!$C$5+1,1,1)),"Fecha fuera del año",IF(OR(H1934&lt;0,I1934&lt;0),"Revisar signo",IF(AND(C1934&lt;&gt;"Gasto",I1934&lt;&gt;0),"IVA solo en Gasto",IF(AND(C1934="Gasto",D1934=""),"Falta categoría","OK")))))))))</f>
        <v/>
      </c>
    </row>
    <row r="1935" spans="1:12" ht="22" customHeight="1">
      <c r="A1935" s="3"/>
      <c r="B1935" s="7"/>
      <c r="C1935" s="3"/>
      <c r="D1935" s="3"/>
      <c r="E1935" s="3"/>
      <c r="F1935" s="3"/>
      <c r="G1935" s="3"/>
      <c r="H1935" s="4"/>
      <c r="I1935" s="4"/>
      <c r="J1935" s="3"/>
      <c r="K1935" s="8" t="str">
        <f t="shared" si="30"/>
        <v/>
      </c>
      <c r="L1935" s="1" t="str">
        <f>IF(COUNTA(A1935:J1935)=0,"",IF(OR(AND(C1935&lt;&gt;"Gasto",C1935&lt;&gt;"Pago proveedor",C1935&lt;&gt;"Retiro familiar",C1935&lt;&gt;"Aportación",C1935&lt;&gt;"Pago activo",C1935&lt;&gt;"ISR devengado",C1935&lt;&gt;"Pago ISR",C1935&lt;&gt;"Pago IVA",C1935&lt;&gt;"Compensación ISR",C1935&lt;&gt;"Compensación IVA"),AND(C1935="Gasto",D1935&lt;&gt;"Costos clínicos",D1935&lt;&gt;"Remuneración familiar",D1935&lt;&gt;"Nómina y honorarios",D1935&lt;&gt;"Renta",D1935&lt;&gt;"Marketing",D1935&lt;&gt;"Servicios y software",D1935&lt;&gt;"Mantenimiento",D1935&lt;&gt;"Otros",D1935&lt;&gt;"Intereses")),"Tipo o categoría inválido",IF(COUNTA(A1935:J1935)=0,"",IF(OR(A1935="",B1935="",C1935="",H1935=""),"Faltan datos",IF(COUNTIF($A$7:$A$2006,A1935)&gt;1,"ID duplicado",IF(OR(B1935&lt;DATE(Configuración!$C$5,1,1),B1935&gt;=DATE(Configuración!$C$5+1,1,1)),"Fecha fuera del año",IF(OR(H1935&lt;0,I1935&lt;0),"Revisar signo",IF(AND(C1935&lt;&gt;"Gasto",I1935&lt;&gt;0),"IVA solo en Gasto",IF(AND(C1935="Gasto",D1935=""),"Falta categoría","OK")))))))))</f>
        <v/>
      </c>
    </row>
    <row r="1936" spans="1:12" ht="22" customHeight="1">
      <c r="A1936" s="3"/>
      <c r="B1936" s="7"/>
      <c r="C1936" s="3"/>
      <c r="D1936" s="3"/>
      <c r="E1936" s="3"/>
      <c r="F1936" s="3"/>
      <c r="G1936" s="3"/>
      <c r="H1936" s="4"/>
      <c r="I1936" s="4"/>
      <c r="J1936" s="3"/>
      <c r="K1936" s="8" t="str">
        <f t="shared" si="30"/>
        <v/>
      </c>
      <c r="L1936" s="1" t="str">
        <f>IF(COUNTA(A1936:J1936)=0,"",IF(OR(AND(C1936&lt;&gt;"Gasto",C1936&lt;&gt;"Pago proveedor",C1936&lt;&gt;"Retiro familiar",C1936&lt;&gt;"Aportación",C1936&lt;&gt;"Pago activo",C1936&lt;&gt;"ISR devengado",C1936&lt;&gt;"Pago ISR",C1936&lt;&gt;"Pago IVA",C1936&lt;&gt;"Compensación ISR",C1936&lt;&gt;"Compensación IVA"),AND(C1936="Gasto",D1936&lt;&gt;"Costos clínicos",D1936&lt;&gt;"Remuneración familiar",D1936&lt;&gt;"Nómina y honorarios",D1936&lt;&gt;"Renta",D1936&lt;&gt;"Marketing",D1936&lt;&gt;"Servicios y software",D1936&lt;&gt;"Mantenimiento",D1936&lt;&gt;"Otros",D1936&lt;&gt;"Intereses")),"Tipo o categoría inválido",IF(COUNTA(A1936:J1936)=0,"",IF(OR(A1936="",B1936="",C1936="",H1936=""),"Faltan datos",IF(COUNTIF($A$7:$A$2006,A1936)&gt;1,"ID duplicado",IF(OR(B1936&lt;DATE(Configuración!$C$5,1,1),B1936&gt;=DATE(Configuración!$C$5+1,1,1)),"Fecha fuera del año",IF(OR(H1936&lt;0,I1936&lt;0),"Revisar signo",IF(AND(C1936&lt;&gt;"Gasto",I1936&lt;&gt;0),"IVA solo en Gasto",IF(AND(C1936="Gasto",D1936=""),"Falta categoría","OK")))))))))</f>
        <v/>
      </c>
    </row>
    <row r="1937" spans="1:12" ht="22" customHeight="1">
      <c r="A1937" s="3"/>
      <c r="B1937" s="7"/>
      <c r="C1937" s="3"/>
      <c r="D1937" s="3"/>
      <c r="E1937" s="3"/>
      <c r="F1937" s="3"/>
      <c r="G1937" s="3"/>
      <c r="H1937" s="4"/>
      <c r="I1937" s="4"/>
      <c r="J1937" s="3"/>
      <c r="K1937" s="8" t="str">
        <f t="shared" si="30"/>
        <v/>
      </c>
      <c r="L1937" s="1" t="str">
        <f>IF(COUNTA(A1937:J1937)=0,"",IF(OR(AND(C1937&lt;&gt;"Gasto",C1937&lt;&gt;"Pago proveedor",C1937&lt;&gt;"Retiro familiar",C1937&lt;&gt;"Aportación",C1937&lt;&gt;"Pago activo",C1937&lt;&gt;"ISR devengado",C1937&lt;&gt;"Pago ISR",C1937&lt;&gt;"Pago IVA",C1937&lt;&gt;"Compensación ISR",C1937&lt;&gt;"Compensación IVA"),AND(C1937="Gasto",D1937&lt;&gt;"Costos clínicos",D1937&lt;&gt;"Remuneración familiar",D1937&lt;&gt;"Nómina y honorarios",D1937&lt;&gt;"Renta",D1937&lt;&gt;"Marketing",D1937&lt;&gt;"Servicios y software",D1937&lt;&gt;"Mantenimiento",D1937&lt;&gt;"Otros",D1937&lt;&gt;"Intereses")),"Tipo o categoría inválido",IF(COUNTA(A1937:J1937)=0,"",IF(OR(A1937="",B1937="",C1937="",H1937=""),"Faltan datos",IF(COUNTIF($A$7:$A$2006,A1937)&gt;1,"ID duplicado",IF(OR(B1937&lt;DATE(Configuración!$C$5,1,1),B1937&gt;=DATE(Configuración!$C$5+1,1,1)),"Fecha fuera del año",IF(OR(H1937&lt;0,I1937&lt;0),"Revisar signo",IF(AND(C1937&lt;&gt;"Gasto",I1937&lt;&gt;0),"IVA solo en Gasto",IF(AND(C1937="Gasto",D1937=""),"Falta categoría","OK")))))))))</f>
        <v/>
      </c>
    </row>
    <row r="1938" spans="1:12" ht="22" customHeight="1">
      <c r="A1938" s="3"/>
      <c r="B1938" s="7"/>
      <c r="C1938" s="3"/>
      <c r="D1938" s="3"/>
      <c r="E1938" s="3"/>
      <c r="F1938" s="3"/>
      <c r="G1938" s="3"/>
      <c r="H1938" s="4"/>
      <c r="I1938" s="4"/>
      <c r="J1938" s="3"/>
      <c r="K1938" s="8" t="str">
        <f t="shared" si="30"/>
        <v/>
      </c>
      <c r="L1938" s="1" t="str">
        <f>IF(COUNTA(A1938:J1938)=0,"",IF(OR(AND(C1938&lt;&gt;"Gasto",C1938&lt;&gt;"Pago proveedor",C1938&lt;&gt;"Retiro familiar",C1938&lt;&gt;"Aportación",C1938&lt;&gt;"Pago activo",C1938&lt;&gt;"ISR devengado",C1938&lt;&gt;"Pago ISR",C1938&lt;&gt;"Pago IVA",C1938&lt;&gt;"Compensación ISR",C1938&lt;&gt;"Compensación IVA"),AND(C1938="Gasto",D1938&lt;&gt;"Costos clínicos",D1938&lt;&gt;"Remuneración familiar",D1938&lt;&gt;"Nómina y honorarios",D1938&lt;&gt;"Renta",D1938&lt;&gt;"Marketing",D1938&lt;&gt;"Servicios y software",D1938&lt;&gt;"Mantenimiento",D1938&lt;&gt;"Otros",D1938&lt;&gt;"Intereses")),"Tipo o categoría inválido",IF(COUNTA(A1938:J1938)=0,"",IF(OR(A1938="",B1938="",C1938="",H1938=""),"Faltan datos",IF(COUNTIF($A$7:$A$2006,A1938)&gt;1,"ID duplicado",IF(OR(B1938&lt;DATE(Configuración!$C$5,1,1),B1938&gt;=DATE(Configuración!$C$5+1,1,1)),"Fecha fuera del año",IF(OR(H1938&lt;0,I1938&lt;0),"Revisar signo",IF(AND(C1938&lt;&gt;"Gasto",I1938&lt;&gt;0),"IVA solo en Gasto",IF(AND(C1938="Gasto",D1938=""),"Falta categoría","OK")))))))))</f>
        <v/>
      </c>
    </row>
    <row r="1939" spans="1:12" ht="22" customHeight="1">
      <c r="A1939" s="3"/>
      <c r="B1939" s="7"/>
      <c r="C1939" s="3"/>
      <c r="D1939" s="3"/>
      <c r="E1939" s="3"/>
      <c r="F1939" s="3"/>
      <c r="G1939" s="3"/>
      <c r="H1939" s="4"/>
      <c r="I1939" s="4"/>
      <c r="J1939" s="3"/>
      <c r="K1939" s="8" t="str">
        <f t="shared" si="30"/>
        <v/>
      </c>
      <c r="L1939" s="1" t="str">
        <f>IF(COUNTA(A1939:J1939)=0,"",IF(OR(AND(C1939&lt;&gt;"Gasto",C1939&lt;&gt;"Pago proveedor",C1939&lt;&gt;"Retiro familiar",C1939&lt;&gt;"Aportación",C1939&lt;&gt;"Pago activo",C1939&lt;&gt;"ISR devengado",C1939&lt;&gt;"Pago ISR",C1939&lt;&gt;"Pago IVA",C1939&lt;&gt;"Compensación ISR",C1939&lt;&gt;"Compensación IVA"),AND(C1939="Gasto",D1939&lt;&gt;"Costos clínicos",D1939&lt;&gt;"Remuneración familiar",D1939&lt;&gt;"Nómina y honorarios",D1939&lt;&gt;"Renta",D1939&lt;&gt;"Marketing",D1939&lt;&gt;"Servicios y software",D1939&lt;&gt;"Mantenimiento",D1939&lt;&gt;"Otros",D1939&lt;&gt;"Intereses")),"Tipo o categoría inválido",IF(COUNTA(A1939:J1939)=0,"",IF(OR(A1939="",B1939="",C1939="",H1939=""),"Faltan datos",IF(COUNTIF($A$7:$A$2006,A1939)&gt;1,"ID duplicado",IF(OR(B1939&lt;DATE(Configuración!$C$5,1,1),B1939&gt;=DATE(Configuración!$C$5+1,1,1)),"Fecha fuera del año",IF(OR(H1939&lt;0,I1939&lt;0),"Revisar signo",IF(AND(C1939&lt;&gt;"Gasto",I1939&lt;&gt;0),"IVA solo en Gasto",IF(AND(C1939="Gasto",D1939=""),"Falta categoría","OK")))))))))</f>
        <v/>
      </c>
    </row>
    <row r="1940" spans="1:12" ht="22" customHeight="1">
      <c r="A1940" s="3"/>
      <c r="B1940" s="7"/>
      <c r="C1940" s="3"/>
      <c r="D1940" s="3"/>
      <c r="E1940" s="3"/>
      <c r="F1940" s="3"/>
      <c r="G1940" s="3"/>
      <c r="H1940" s="4"/>
      <c r="I1940" s="4"/>
      <c r="J1940" s="3"/>
      <c r="K1940" s="8" t="str">
        <f t="shared" si="30"/>
        <v/>
      </c>
      <c r="L1940" s="1" t="str">
        <f>IF(COUNTA(A1940:J1940)=0,"",IF(OR(AND(C1940&lt;&gt;"Gasto",C1940&lt;&gt;"Pago proveedor",C1940&lt;&gt;"Retiro familiar",C1940&lt;&gt;"Aportación",C1940&lt;&gt;"Pago activo",C1940&lt;&gt;"ISR devengado",C1940&lt;&gt;"Pago ISR",C1940&lt;&gt;"Pago IVA",C1940&lt;&gt;"Compensación ISR",C1940&lt;&gt;"Compensación IVA"),AND(C1940="Gasto",D1940&lt;&gt;"Costos clínicos",D1940&lt;&gt;"Remuneración familiar",D1940&lt;&gt;"Nómina y honorarios",D1940&lt;&gt;"Renta",D1940&lt;&gt;"Marketing",D1940&lt;&gt;"Servicios y software",D1940&lt;&gt;"Mantenimiento",D1940&lt;&gt;"Otros",D1940&lt;&gt;"Intereses")),"Tipo o categoría inválido",IF(COUNTA(A1940:J1940)=0,"",IF(OR(A1940="",B1940="",C1940="",H1940=""),"Faltan datos",IF(COUNTIF($A$7:$A$2006,A1940)&gt;1,"ID duplicado",IF(OR(B1940&lt;DATE(Configuración!$C$5,1,1),B1940&gt;=DATE(Configuración!$C$5+1,1,1)),"Fecha fuera del año",IF(OR(H1940&lt;0,I1940&lt;0),"Revisar signo",IF(AND(C1940&lt;&gt;"Gasto",I1940&lt;&gt;0),"IVA solo en Gasto",IF(AND(C1940="Gasto",D1940=""),"Falta categoría","OK")))))))))</f>
        <v/>
      </c>
    </row>
    <row r="1941" spans="1:12" ht="22" customHeight="1">
      <c r="A1941" s="3"/>
      <c r="B1941" s="7"/>
      <c r="C1941" s="3"/>
      <c r="D1941" s="3"/>
      <c r="E1941" s="3"/>
      <c r="F1941" s="3"/>
      <c r="G1941" s="3"/>
      <c r="H1941" s="4"/>
      <c r="I1941" s="4"/>
      <c r="J1941" s="3"/>
      <c r="K1941" s="8" t="str">
        <f t="shared" si="30"/>
        <v/>
      </c>
      <c r="L1941" s="1" t="str">
        <f>IF(COUNTA(A1941:J1941)=0,"",IF(OR(AND(C1941&lt;&gt;"Gasto",C1941&lt;&gt;"Pago proveedor",C1941&lt;&gt;"Retiro familiar",C1941&lt;&gt;"Aportación",C1941&lt;&gt;"Pago activo",C1941&lt;&gt;"ISR devengado",C1941&lt;&gt;"Pago ISR",C1941&lt;&gt;"Pago IVA",C1941&lt;&gt;"Compensación ISR",C1941&lt;&gt;"Compensación IVA"),AND(C1941="Gasto",D1941&lt;&gt;"Costos clínicos",D1941&lt;&gt;"Remuneración familiar",D1941&lt;&gt;"Nómina y honorarios",D1941&lt;&gt;"Renta",D1941&lt;&gt;"Marketing",D1941&lt;&gt;"Servicios y software",D1941&lt;&gt;"Mantenimiento",D1941&lt;&gt;"Otros",D1941&lt;&gt;"Intereses")),"Tipo o categoría inválido",IF(COUNTA(A1941:J1941)=0,"",IF(OR(A1941="",B1941="",C1941="",H1941=""),"Faltan datos",IF(COUNTIF($A$7:$A$2006,A1941)&gt;1,"ID duplicado",IF(OR(B1941&lt;DATE(Configuración!$C$5,1,1),B1941&gt;=DATE(Configuración!$C$5+1,1,1)),"Fecha fuera del año",IF(OR(H1941&lt;0,I1941&lt;0),"Revisar signo",IF(AND(C1941&lt;&gt;"Gasto",I1941&lt;&gt;0),"IVA solo en Gasto",IF(AND(C1941="Gasto",D1941=""),"Falta categoría","OK")))))))))</f>
        <v/>
      </c>
    </row>
    <row r="1942" spans="1:12" ht="22" customHeight="1">
      <c r="A1942" s="3"/>
      <c r="B1942" s="7"/>
      <c r="C1942" s="3"/>
      <c r="D1942" s="3"/>
      <c r="E1942" s="3"/>
      <c r="F1942" s="3"/>
      <c r="G1942" s="3"/>
      <c r="H1942" s="4"/>
      <c r="I1942" s="4"/>
      <c r="J1942" s="3"/>
      <c r="K1942" s="8" t="str">
        <f t="shared" si="30"/>
        <v/>
      </c>
      <c r="L1942" s="1" t="str">
        <f>IF(COUNTA(A1942:J1942)=0,"",IF(OR(AND(C1942&lt;&gt;"Gasto",C1942&lt;&gt;"Pago proveedor",C1942&lt;&gt;"Retiro familiar",C1942&lt;&gt;"Aportación",C1942&lt;&gt;"Pago activo",C1942&lt;&gt;"ISR devengado",C1942&lt;&gt;"Pago ISR",C1942&lt;&gt;"Pago IVA",C1942&lt;&gt;"Compensación ISR",C1942&lt;&gt;"Compensación IVA"),AND(C1942="Gasto",D1942&lt;&gt;"Costos clínicos",D1942&lt;&gt;"Remuneración familiar",D1942&lt;&gt;"Nómina y honorarios",D1942&lt;&gt;"Renta",D1942&lt;&gt;"Marketing",D1942&lt;&gt;"Servicios y software",D1942&lt;&gt;"Mantenimiento",D1942&lt;&gt;"Otros",D1942&lt;&gt;"Intereses")),"Tipo o categoría inválido",IF(COUNTA(A1942:J1942)=0,"",IF(OR(A1942="",B1942="",C1942="",H1942=""),"Faltan datos",IF(COUNTIF($A$7:$A$2006,A1942)&gt;1,"ID duplicado",IF(OR(B1942&lt;DATE(Configuración!$C$5,1,1),B1942&gt;=DATE(Configuración!$C$5+1,1,1)),"Fecha fuera del año",IF(OR(H1942&lt;0,I1942&lt;0),"Revisar signo",IF(AND(C1942&lt;&gt;"Gasto",I1942&lt;&gt;0),"IVA solo en Gasto",IF(AND(C1942="Gasto",D1942=""),"Falta categoría","OK")))))))))</f>
        <v/>
      </c>
    </row>
    <row r="1943" spans="1:12" ht="22" customHeight="1">
      <c r="A1943" s="3"/>
      <c r="B1943" s="7"/>
      <c r="C1943" s="3"/>
      <c r="D1943" s="3"/>
      <c r="E1943" s="3"/>
      <c r="F1943" s="3"/>
      <c r="G1943" s="3"/>
      <c r="H1943" s="4"/>
      <c r="I1943" s="4"/>
      <c r="J1943" s="3"/>
      <c r="K1943" s="8" t="str">
        <f t="shared" si="30"/>
        <v/>
      </c>
      <c r="L1943" s="1" t="str">
        <f>IF(COUNTA(A1943:J1943)=0,"",IF(OR(AND(C1943&lt;&gt;"Gasto",C1943&lt;&gt;"Pago proveedor",C1943&lt;&gt;"Retiro familiar",C1943&lt;&gt;"Aportación",C1943&lt;&gt;"Pago activo",C1943&lt;&gt;"ISR devengado",C1943&lt;&gt;"Pago ISR",C1943&lt;&gt;"Pago IVA",C1943&lt;&gt;"Compensación ISR",C1943&lt;&gt;"Compensación IVA"),AND(C1943="Gasto",D1943&lt;&gt;"Costos clínicos",D1943&lt;&gt;"Remuneración familiar",D1943&lt;&gt;"Nómina y honorarios",D1943&lt;&gt;"Renta",D1943&lt;&gt;"Marketing",D1943&lt;&gt;"Servicios y software",D1943&lt;&gt;"Mantenimiento",D1943&lt;&gt;"Otros",D1943&lt;&gt;"Intereses")),"Tipo o categoría inválido",IF(COUNTA(A1943:J1943)=0,"",IF(OR(A1943="",B1943="",C1943="",H1943=""),"Faltan datos",IF(COUNTIF($A$7:$A$2006,A1943)&gt;1,"ID duplicado",IF(OR(B1943&lt;DATE(Configuración!$C$5,1,1),B1943&gt;=DATE(Configuración!$C$5+1,1,1)),"Fecha fuera del año",IF(OR(H1943&lt;0,I1943&lt;0),"Revisar signo",IF(AND(C1943&lt;&gt;"Gasto",I1943&lt;&gt;0),"IVA solo en Gasto",IF(AND(C1943="Gasto",D1943=""),"Falta categoría","OK")))))))))</f>
        <v/>
      </c>
    </row>
    <row r="1944" spans="1:12" ht="22" customHeight="1">
      <c r="A1944" s="3"/>
      <c r="B1944" s="7"/>
      <c r="C1944" s="3"/>
      <c r="D1944" s="3"/>
      <c r="E1944" s="3"/>
      <c r="F1944" s="3"/>
      <c r="G1944" s="3"/>
      <c r="H1944" s="4"/>
      <c r="I1944" s="4"/>
      <c r="J1944" s="3"/>
      <c r="K1944" s="8" t="str">
        <f t="shared" si="30"/>
        <v/>
      </c>
      <c r="L1944" s="1" t="str">
        <f>IF(COUNTA(A1944:J1944)=0,"",IF(OR(AND(C1944&lt;&gt;"Gasto",C1944&lt;&gt;"Pago proveedor",C1944&lt;&gt;"Retiro familiar",C1944&lt;&gt;"Aportación",C1944&lt;&gt;"Pago activo",C1944&lt;&gt;"ISR devengado",C1944&lt;&gt;"Pago ISR",C1944&lt;&gt;"Pago IVA",C1944&lt;&gt;"Compensación ISR",C1944&lt;&gt;"Compensación IVA"),AND(C1944="Gasto",D1944&lt;&gt;"Costos clínicos",D1944&lt;&gt;"Remuneración familiar",D1944&lt;&gt;"Nómina y honorarios",D1944&lt;&gt;"Renta",D1944&lt;&gt;"Marketing",D1944&lt;&gt;"Servicios y software",D1944&lt;&gt;"Mantenimiento",D1944&lt;&gt;"Otros",D1944&lt;&gt;"Intereses")),"Tipo o categoría inválido",IF(COUNTA(A1944:J1944)=0,"",IF(OR(A1944="",B1944="",C1944="",H1944=""),"Faltan datos",IF(COUNTIF($A$7:$A$2006,A1944)&gt;1,"ID duplicado",IF(OR(B1944&lt;DATE(Configuración!$C$5,1,1),B1944&gt;=DATE(Configuración!$C$5+1,1,1)),"Fecha fuera del año",IF(OR(H1944&lt;0,I1944&lt;0),"Revisar signo",IF(AND(C1944&lt;&gt;"Gasto",I1944&lt;&gt;0),"IVA solo en Gasto",IF(AND(C1944="Gasto",D1944=""),"Falta categoría","OK")))))))))</f>
        <v/>
      </c>
    </row>
    <row r="1945" spans="1:12" ht="22" customHeight="1">
      <c r="A1945" s="3"/>
      <c r="B1945" s="7"/>
      <c r="C1945" s="3"/>
      <c r="D1945" s="3"/>
      <c r="E1945" s="3"/>
      <c r="F1945" s="3"/>
      <c r="G1945" s="3"/>
      <c r="H1945" s="4"/>
      <c r="I1945" s="4"/>
      <c r="J1945" s="3"/>
      <c r="K1945" s="8" t="str">
        <f t="shared" si="30"/>
        <v/>
      </c>
      <c r="L1945" s="1" t="str">
        <f>IF(COUNTA(A1945:J1945)=0,"",IF(OR(AND(C1945&lt;&gt;"Gasto",C1945&lt;&gt;"Pago proveedor",C1945&lt;&gt;"Retiro familiar",C1945&lt;&gt;"Aportación",C1945&lt;&gt;"Pago activo",C1945&lt;&gt;"ISR devengado",C1945&lt;&gt;"Pago ISR",C1945&lt;&gt;"Pago IVA",C1945&lt;&gt;"Compensación ISR",C1945&lt;&gt;"Compensación IVA"),AND(C1945="Gasto",D1945&lt;&gt;"Costos clínicos",D1945&lt;&gt;"Remuneración familiar",D1945&lt;&gt;"Nómina y honorarios",D1945&lt;&gt;"Renta",D1945&lt;&gt;"Marketing",D1945&lt;&gt;"Servicios y software",D1945&lt;&gt;"Mantenimiento",D1945&lt;&gt;"Otros",D1945&lt;&gt;"Intereses")),"Tipo o categoría inválido",IF(COUNTA(A1945:J1945)=0,"",IF(OR(A1945="",B1945="",C1945="",H1945=""),"Faltan datos",IF(COUNTIF($A$7:$A$2006,A1945)&gt;1,"ID duplicado",IF(OR(B1945&lt;DATE(Configuración!$C$5,1,1),B1945&gt;=DATE(Configuración!$C$5+1,1,1)),"Fecha fuera del año",IF(OR(H1945&lt;0,I1945&lt;0),"Revisar signo",IF(AND(C1945&lt;&gt;"Gasto",I1945&lt;&gt;0),"IVA solo en Gasto",IF(AND(C1945="Gasto",D1945=""),"Falta categoría","OK")))))))))</f>
        <v/>
      </c>
    </row>
    <row r="1946" spans="1:12" ht="22" customHeight="1">
      <c r="A1946" s="3"/>
      <c r="B1946" s="7"/>
      <c r="C1946" s="3"/>
      <c r="D1946" s="3"/>
      <c r="E1946" s="3"/>
      <c r="F1946" s="3"/>
      <c r="G1946" s="3"/>
      <c r="H1946" s="4"/>
      <c r="I1946" s="4"/>
      <c r="J1946" s="3"/>
      <c r="K1946" s="8" t="str">
        <f t="shared" si="30"/>
        <v/>
      </c>
      <c r="L1946" s="1" t="str">
        <f>IF(COUNTA(A1946:J1946)=0,"",IF(OR(AND(C1946&lt;&gt;"Gasto",C1946&lt;&gt;"Pago proveedor",C1946&lt;&gt;"Retiro familiar",C1946&lt;&gt;"Aportación",C1946&lt;&gt;"Pago activo",C1946&lt;&gt;"ISR devengado",C1946&lt;&gt;"Pago ISR",C1946&lt;&gt;"Pago IVA",C1946&lt;&gt;"Compensación ISR",C1946&lt;&gt;"Compensación IVA"),AND(C1946="Gasto",D1946&lt;&gt;"Costos clínicos",D1946&lt;&gt;"Remuneración familiar",D1946&lt;&gt;"Nómina y honorarios",D1946&lt;&gt;"Renta",D1946&lt;&gt;"Marketing",D1946&lt;&gt;"Servicios y software",D1946&lt;&gt;"Mantenimiento",D1946&lt;&gt;"Otros",D1946&lt;&gt;"Intereses")),"Tipo o categoría inválido",IF(COUNTA(A1946:J1946)=0,"",IF(OR(A1946="",B1946="",C1946="",H1946=""),"Faltan datos",IF(COUNTIF($A$7:$A$2006,A1946)&gt;1,"ID duplicado",IF(OR(B1946&lt;DATE(Configuración!$C$5,1,1),B1946&gt;=DATE(Configuración!$C$5+1,1,1)),"Fecha fuera del año",IF(OR(H1946&lt;0,I1946&lt;0),"Revisar signo",IF(AND(C1946&lt;&gt;"Gasto",I1946&lt;&gt;0),"IVA solo en Gasto",IF(AND(C1946="Gasto",D1946=""),"Falta categoría","OK")))))))))</f>
        <v/>
      </c>
    </row>
    <row r="1947" spans="1:12" ht="22" customHeight="1">
      <c r="A1947" s="3"/>
      <c r="B1947" s="7"/>
      <c r="C1947" s="3"/>
      <c r="D1947" s="3"/>
      <c r="E1947" s="3"/>
      <c r="F1947" s="3"/>
      <c r="G1947" s="3"/>
      <c r="H1947" s="4"/>
      <c r="I1947" s="4"/>
      <c r="J1947" s="3"/>
      <c r="K1947" s="8" t="str">
        <f t="shared" si="30"/>
        <v/>
      </c>
      <c r="L1947" s="1" t="str">
        <f>IF(COUNTA(A1947:J1947)=0,"",IF(OR(AND(C1947&lt;&gt;"Gasto",C1947&lt;&gt;"Pago proveedor",C1947&lt;&gt;"Retiro familiar",C1947&lt;&gt;"Aportación",C1947&lt;&gt;"Pago activo",C1947&lt;&gt;"ISR devengado",C1947&lt;&gt;"Pago ISR",C1947&lt;&gt;"Pago IVA",C1947&lt;&gt;"Compensación ISR",C1947&lt;&gt;"Compensación IVA"),AND(C1947="Gasto",D1947&lt;&gt;"Costos clínicos",D1947&lt;&gt;"Remuneración familiar",D1947&lt;&gt;"Nómina y honorarios",D1947&lt;&gt;"Renta",D1947&lt;&gt;"Marketing",D1947&lt;&gt;"Servicios y software",D1947&lt;&gt;"Mantenimiento",D1947&lt;&gt;"Otros",D1947&lt;&gt;"Intereses")),"Tipo o categoría inválido",IF(COUNTA(A1947:J1947)=0,"",IF(OR(A1947="",B1947="",C1947="",H1947=""),"Faltan datos",IF(COUNTIF($A$7:$A$2006,A1947)&gt;1,"ID duplicado",IF(OR(B1947&lt;DATE(Configuración!$C$5,1,1),B1947&gt;=DATE(Configuración!$C$5+1,1,1)),"Fecha fuera del año",IF(OR(H1947&lt;0,I1947&lt;0),"Revisar signo",IF(AND(C1947&lt;&gt;"Gasto",I1947&lt;&gt;0),"IVA solo en Gasto",IF(AND(C1947="Gasto",D1947=""),"Falta categoría","OK")))))))))</f>
        <v/>
      </c>
    </row>
    <row r="1948" spans="1:12" ht="22" customHeight="1">
      <c r="A1948" s="3"/>
      <c r="B1948" s="7"/>
      <c r="C1948" s="3"/>
      <c r="D1948" s="3"/>
      <c r="E1948" s="3"/>
      <c r="F1948" s="3"/>
      <c r="G1948" s="3"/>
      <c r="H1948" s="4"/>
      <c r="I1948" s="4"/>
      <c r="J1948" s="3"/>
      <c r="K1948" s="8" t="str">
        <f t="shared" si="30"/>
        <v/>
      </c>
      <c r="L1948" s="1" t="str">
        <f>IF(COUNTA(A1948:J1948)=0,"",IF(OR(AND(C1948&lt;&gt;"Gasto",C1948&lt;&gt;"Pago proveedor",C1948&lt;&gt;"Retiro familiar",C1948&lt;&gt;"Aportación",C1948&lt;&gt;"Pago activo",C1948&lt;&gt;"ISR devengado",C1948&lt;&gt;"Pago ISR",C1948&lt;&gt;"Pago IVA",C1948&lt;&gt;"Compensación ISR",C1948&lt;&gt;"Compensación IVA"),AND(C1948="Gasto",D1948&lt;&gt;"Costos clínicos",D1948&lt;&gt;"Remuneración familiar",D1948&lt;&gt;"Nómina y honorarios",D1948&lt;&gt;"Renta",D1948&lt;&gt;"Marketing",D1948&lt;&gt;"Servicios y software",D1948&lt;&gt;"Mantenimiento",D1948&lt;&gt;"Otros",D1948&lt;&gt;"Intereses")),"Tipo o categoría inválido",IF(COUNTA(A1948:J1948)=0,"",IF(OR(A1948="",B1948="",C1948="",H1948=""),"Faltan datos",IF(COUNTIF($A$7:$A$2006,A1948)&gt;1,"ID duplicado",IF(OR(B1948&lt;DATE(Configuración!$C$5,1,1),B1948&gt;=DATE(Configuración!$C$5+1,1,1)),"Fecha fuera del año",IF(OR(H1948&lt;0,I1948&lt;0),"Revisar signo",IF(AND(C1948&lt;&gt;"Gasto",I1948&lt;&gt;0),"IVA solo en Gasto",IF(AND(C1948="Gasto",D1948=""),"Falta categoría","OK")))))))))</f>
        <v/>
      </c>
    </row>
    <row r="1949" spans="1:12" ht="22" customHeight="1">
      <c r="A1949" s="3"/>
      <c r="B1949" s="7"/>
      <c r="C1949" s="3"/>
      <c r="D1949" s="3"/>
      <c r="E1949" s="3"/>
      <c r="F1949" s="3"/>
      <c r="G1949" s="3"/>
      <c r="H1949" s="4"/>
      <c r="I1949" s="4"/>
      <c r="J1949" s="3"/>
      <c r="K1949" s="8" t="str">
        <f t="shared" si="30"/>
        <v/>
      </c>
      <c r="L1949" s="1" t="str">
        <f>IF(COUNTA(A1949:J1949)=0,"",IF(OR(AND(C1949&lt;&gt;"Gasto",C1949&lt;&gt;"Pago proveedor",C1949&lt;&gt;"Retiro familiar",C1949&lt;&gt;"Aportación",C1949&lt;&gt;"Pago activo",C1949&lt;&gt;"ISR devengado",C1949&lt;&gt;"Pago ISR",C1949&lt;&gt;"Pago IVA",C1949&lt;&gt;"Compensación ISR",C1949&lt;&gt;"Compensación IVA"),AND(C1949="Gasto",D1949&lt;&gt;"Costos clínicos",D1949&lt;&gt;"Remuneración familiar",D1949&lt;&gt;"Nómina y honorarios",D1949&lt;&gt;"Renta",D1949&lt;&gt;"Marketing",D1949&lt;&gt;"Servicios y software",D1949&lt;&gt;"Mantenimiento",D1949&lt;&gt;"Otros",D1949&lt;&gt;"Intereses")),"Tipo o categoría inválido",IF(COUNTA(A1949:J1949)=0,"",IF(OR(A1949="",B1949="",C1949="",H1949=""),"Faltan datos",IF(COUNTIF($A$7:$A$2006,A1949)&gt;1,"ID duplicado",IF(OR(B1949&lt;DATE(Configuración!$C$5,1,1),B1949&gt;=DATE(Configuración!$C$5+1,1,1)),"Fecha fuera del año",IF(OR(H1949&lt;0,I1949&lt;0),"Revisar signo",IF(AND(C1949&lt;&gt;"Gasto",I1949&lt;&gt;0),"IVA solo en Gasto",IF(AND(C1949="Gasto",D1949=""),"Falta categoría","OK")))))))))</f>
        <v/>
      </c>
    </row>
    <row r="1950" spans="1:12" ht="22" customHeight="1">
      <c r="A1950" s="3"/>
      <c r="B1950" s="7"/>
      <c r="C1950" s="3"/>
      <c r="D1950" s="3"/>
      <c r="E1950" s="3"/>
      <c r="F1950" s="3"/>
      <c r="G1950" s="3"/>
      <c r="H1950" s="4"/>
      <c r="I1950" s="4"/>
      <c r="J1950" s="3"/>
      <c r="K1950" s="8" t="str">
        <f t="shared" si="30"/>
        <v/>
      </c>
      <c r="L1950" s="1" t="str">
        <f>IF(COUNTA(A1950:J1950)=0,"",IF(OR(AND(C1950&lt;&gt;"Gasto",C1950&lt;&gt;"Pago proveedor",C1950&lt;&gt;"Retiro familiar",C1950&lt;&gt;"Aportación",C1950&lt;&gt;"Pago activo",C1950&lt;&gt;"ISR devengado",C1950&lt;&gt;"Pago ISR",C1950&lt;&gt;"Pago IVA",C1950&lt;&gt;"Compensación ISR",C1950&lt;&gt;"Compensación IVA"),AND(C1950="Gasto",D1950&lt;&gt;"Costos clínicos",D1950&lt;&gt;"Remuneración familiar",D1950&lt;&gt;"Nómina y honorarios",D1950&lt;&gt;"Renta",D1950&lt;&gt;"Marketing",D1950&lt;&gt;"Servicios y software",D1950&lt;&gt;"Mantenimiento",D1950&lt;&gt;"Otros",D1950&lt;&gt;"Intereses")),"Tipo o categoría inválido",IF(COUNTA(A1950:J1950)=0,"",IF(OR(A1950="",B1950="",C1950="",H1950=""),"Faltan datos",IF(COUNTIF($A$7:$A$2006,A1950)&gt;1,"ID duplicado",IF(OR(B1950&lt;DATE(Configuración!$C$5,1,1),B1950&gt;=DATE(Configuración!$C$5+1,1,1)),"Fecha fuera del año",IF(OR(H1950&lt;0,I1950&lt;0),"Revisar signo",IF(AND(C1950&lt;&gt;"Gasto",I1950&lt;&gt;0),"IVA solo en Gasto",IF(AND(C1950="Gasto",D1950=""),"Falta categoría","OK")))))))))</f>
        <v/>
      </c>
    </row>
    <row r="1951" spans="1:12" ht="22" customHeight="1">
      <c r="A1951" s="3"/>
      <c r="B1951" s="7"/>
      <c r="C1951" s="3"/>
      <c r="D1951" s="3"/>
      <c r="E1951" s="3"/>
      <c r="F1951" s="3"/>
      <c r="G1951" s="3"/>
      <c r="H1951" s="4"/>
      <c r="I1951" s="4"/>
      <c r="J1951" s="3"/>
      <c r="K1951" s="8" t="str">
        <f t="shared" si="30"/>
        <v/>
      </c>
      <c r="L1951" s="1" t="str">
        <f>IF(COUNTA(A1951:J1951)=0,"",IF(OR(AND(C1951&lt;&gt;"Gasto",C1951&lt;&gt;"Pago proveedor",C1951&lt;&gt;"Retiro familiar",C1951&lt;&gt;"Aportación",C1951&lt;&gt;"Pago activo",C1951&lt;&gt;"ISR devengado",C1951&lt;&gt;"Pago ISR",C1951&lt;&gt;"Pago IVA",C1951&lt;&gt;"Compensación ISR",C1951&lt;&gt;"Compensación IVA"),AND(C1951="Gasto",D1951&lt;&gt;"Costos clínicos",D1951&lt;&gt;"Remuneración familiar",D1951&lt;&gt;"Nómina y honorarios",D1951&lt;&gt;"Renta",D1951&lt;&gt;"Marketing",D1951&lt;&gt;"Servicios y software",D1951&lt;&gt;"Mantenimiento",D1951&lt;&gt;"Otros",D1951&lt;&gt;"Intereses")),"Tipo o categoría inválido",IF(COUNTA(A1951:J1951)=0,"",IF(OR(A1951="",B1951="",C1951="",H1951=""),"Faltan datos",IF(COUNTIF($A$7:$A$2006,A1951)&gt;1,"ID duplicado",IF(OR(B1951&lt;DATE(Configuración!$C$5,1,1),B1951&gt;=DATE(Configuración!$C$5+1,1,1)),"Fecha fuera del año",IF(OR(H1951&lt;0,I1951&lt;0),"Revisar signo",IF(AND(C1951&lt;&gt;"Gasto",I1951&lt;&gt;0),"IVA solo en Gasto",IF(AND(C1951="Gasto",D1951=""),"Falta categoría","OK")))))))))</f>
        <v/>
      </c>
    </row>
    <row r="1952" spans="1:12" ht="22" customHeight="1">
      <c r="A1952" s="3"/>
      <c r="B1952" s="7"/>
      <c r="C1952" s="3"/>
      <c r="D1952" s="3"/>
      <c r="E1952" s="3"/>
      <c r="F1952" s="3"/>
      <c r="G1952" s="3"/>
      <c r="H1952" s="4"/>
      <c r="I1952" s="4"/>
      <c r="J1952" s="3"/>
      <c r="K1952" s="8" t="str">
        <f t="shared" si="30"/>
        <v/>
      </c>
      <c r="L1952" s="1" t="str">
        <f>IF(COUNTA(A1952:J1952)=0,"",IF(OR(AND(C1952&lt;&gt;"Gasto",C1952&lt;&gt;"Pago proveedor",C1952&lt;&gt;"Retiro familiar",C1952&lt;&gt;"Aportación",C1952&lt;&gt;"Pago activo",C1952&lt;&gt;"ISR devengado",C1952&lt;&gt;"Pago ISR",C1952&lt;&gt;"Pago IVA",C1952&lt;&gt;"Compensación ISR",C1952&lt;&gt;"Compensación IVA"),AND(C1952="Gasto",D1952&lt;&gt;"Costos clínicos",D1952&lt;&gt;"Remuneración familiar",D1952&lt;&gt;"Nómina y honorarios",D1952&lt;&gt;"Renta",D1952&lt;&gt;"Marketing",D1952&lt;&gt;"Servicios y software",D1952&lt;&gt;"Mantenimiento",D1952&lt;&gt;"Otros",D1952&lt;&gt;"Intereses")),"Tipo o categoría inválido",IF(COUNTA(A1952:J1952)=0,"",IF(OR(A1952="",B1952="",C1952="",H1952=""),"Faltan datos",IF(COUNTIF($A$7:$A$2006,A1952)&gt;1,"ID duplicado",IF(OR(B1952&lt;DATE(Configuración!$C$5,1,1),B1952&gt;=DATE(Configuración!$C$5+1,1,1)),"Fecha fuera del año",IF(OR(H1952&lt;0,I1952&lt;0),"Revisar signo",IF(AND(C1952&lt;&gt;"Gasto",I1952&lt;&gt;0),"IVA solo en Gasto",IF(AND(C1952="Gasto",D1952=""),"Falta categoría","OK")))))))))</f>
        <v/>
      </c>
    </row>
    <row r="1953" spans="1:12" ht="22" customHeight="1">
      <c r="A1953" s="3"/>
      <c r="B1953" s="7"/>
      <c r="C1953" s="3"/>
      <c r="D1953" s="3"/>
      <c r="E1953" s="3"/>
      <c r="F1953" s="3"/>
      <c r="G1953" s="3"/>
      <c r="H1953" s="4"/>
      <c r="I1953" s="4"/>
      <c r="J1953" s="3"/>
      <c r="K1953" s="8" t="str">
        <f t="shared" si="30"/>
        <v/>
      </c>
      <c r="L1953" s="1" t="str">
        <f>IF(COUNTA(A1953:J1953)=0,"",IF(OR(AND(C1953&lt;&gt;"Gasto",C1953&lt;&gt;"Pago proveedor",C1953&lt;&gt;"Retiro familiar",C1953&lt;&gt;"Aportación",C1953&lt;&gt;"Pago activo",C1953&lt;&gt;"ISR devengado",C1953&lt;&gt;"Pago ISR",C1953&lt;&gt;"Pago IVA",C1953&lt;&gt;"Compensación ISR",C1953&lt;&gt;"Compensación IVA"),AND(C1953="Gasto",D1953&lt;&gt;"Costos clínicos",D1953&lt;&gt;"Remuneración familiar",D1953&lt;&gt;"Nómina y honorarios",D1953&lt;&gt;"Renta",D1953&lt;&gt;"Marketing",D1953&lt;&gt;"Servicios y software",D1953&lt;&gt;"Mantenimiento",D1953&lt;&gt;"Otros",D1953&lt;&gt;"Intereses")),"Tipo o categoría inválido",IF(COUNTA(A1953:J1953)=0,"",IF(OR(A1953="",B1953="",C1953="",H1953=""),"Faltan datos",IF(COUNTIF($A$7:$A$2006,A1953)&gt;1,"ID duplicado",IF(OR(B1953&lt;DATE(Configuración!$C$5,1,1),B1953&gt;=DATE(Configuración!$C$5+1,1,1)),"Fecha fuera del año",IF(OR(H1953&lt;0,I1953&lt;0),"Revisar signo",IF(AND(C1953&lt;&gt;"Gasto",I1953&lt;&gt;0),"IVA solo en Gasto",IF(AND(C1953="Gasto",D1953=""),"Falta categoría","OK")))))))))</f>
        <v/>
      </c>
    </row>
    <row r="1954" spans="1:12" ht="22" customHeight="1">
      <c r="A1954" s="3"/>
      <c r="B1954" s="7"/>
      <c r="C1954" s="3"/>
      <c r="D1954" s="3"/>
      <c r="E1954" s="3"/>
      <c r="F1954" s="3"/>
      <c r="G1954" s="3"/>
      <c r="H1954" s="4"/>
      <c r="I1954" s="4"/>
      <c r="J1954" s="3"/>
      <c r="K1954" s="8" t="str">
        <f t="shared" si="30"/>
        <v/>
      </c>
      <c r="L1954" s="1" t="str">
        <f>IF(COUNTA(A1954:J1954)=0,"",IF(OR(AND(C1954&lt;&gt;"Gasto",C1954&lt;&gt;"Pago proveedor",C1954&lt;&gt;"Retiro familiar",C1954&lt;&gt;"Aportación",C1954&lt;&gt;"Pago activo",C1954&lt;&gt;"ISR devengado",C1954&lt;&gt;"Pago ISR",C1954&lt;&gt;"Pago IVA",C1954&lt;&gt;"Compensación ISR",C1954&lt;&gt;"Compensación IVA"),AND(C1954="Gasto",D1954&lt;&gt;"Costos clínicos",D1954&lt;&gt;"Remuneración familiar",D1954&lt;&gt;"Nómina y honorarios",D1954&lt;&gt;"Renta",D1954&lt;&gt;"Marketing",D1954&lt;&gt;"Servicios y software",D1954&lt;&gt;"Mantenimiento",D1954&lt;&gt;"Otros",D1954&lt;&gt;"Intereses")),"Tipo o categoría inválido",IF(COUNTA(A1954:J1954)=0,"",IF(OR(A1954="",B1954="",C1954="",H1954=""),"Faltan datos",IF(COUNTIF($A$7:$A$2006,A1954)&gt;1,"ID duplicado",IF(OR(B1954&lt;DATE(Configuración!$C$5,1,1),B1954&gt;=DATE(Configuración!$C$5+1,1,1)),"Fecha fuera del año",IF(OR(H1954&lt;0,I1954&lt;0),"Revisar signo",IF(AND(C1954&lt;&gt;"Gasto",I1954&lt;&gt;0),"IVA solo en Gasto",IF(AND(C1954="Gasto",D1954=""),"Falta categoría","OK")))))))))</f>
        <v/>
      </c>
    </row>
    <row r="1955" spans="1:12" ht="22" customHeight="1">
      <c r="A1955" s="3"/>
      <c r="B1955" s="7"/>
      <c r="C1955" s="3"/>
      <c r="D1955" s="3"/>
      <c r="E1955" s="3"/>
      <c r="F1955" s="3"/>
      <c r="G1955" s="3"/>
      <c r="H1955" s="4"/>
      <c r="I1955" s="4"/>
      <c r="J1955" s="3"/>
      <c r="K1955" s="8" t="str">
        <f t="shared" si="30"/>
        <v/>
      </c>
      <c r="L1955" s="1" t="str">
        <f>IF(COUNTA(A1955:J1955)=0,"",IF(OR(AND(C1955&lt;&gt;"Gasto",C1955&lt;&gt;"Pago proveedor",C1955&lt;&gt;"Retiro familiar",C1955&lt;&gt;"Aportación",C1955&lt;&gt;"Pago activo",C1955&lt;&gt;"ISR devengado",C1955&lt;&gt;"Pago ISR",C1955&lt;&gt;"Pago IVA",C1955&lt;&gt;"Compensación ISR",C1955&lt;&gt;"Compensación IVA"),AND(C1955="Gasto",D1955&lt;&gt;"Costos clínicos",D1955&lt;&gt;"Remuneración familiar",D1955&lt;&gt;"Nómina y honorarios",D1955&lt;&gt;"Renta",D1955&lt;&gt;"Marketing",D1955&lt;&gt;"Servicios y software",D1955&lt;&gt;"Mantenimiento",D1955&lt;&gt;"Otros",D1955&lt;&gt;"Intereses")),"Tipo o categoría inválido",IF(COUNTA(A1955:J1955)=0,"",IF(OR(A1955="",B1955="",C1955="",H1955=""),"Faltan datos",IF(COUNTIF($A$7:$A$2006,A1955)&gt;1,"ID duplicado",IF(OR(B1955&lt;DATE(Configuración!$C$5,1,1),B1955&gt;=DATE(Configuración!$C$5+1,1,1)),"Fecha fuera del año",IF(OR(H1955&lt;0,I1955&lt;0),"Revisar signo",IF(AND(C1955&lt;&gt;"Gasto",I1955&lt;&gt;0),"IVA solo en Gasto",IF(AND(C1955="Gasto",D1955=""),"Falta categoría","OK")))))))))</f>
        <v/>
      </c>
    </row>
    <row r="1956" spans="1:12" ht="22" customHeight="1">
      <c r="A1956" s="3"/>
      <c r="B1956" s="7"/>
      <c r="C1956" s="3"/>
      <c r="D1956" s="3"/>
      <c r="E1956" s="3"/>
      <c r="F1956" s="3"/>
      <c r="G1956" s="3"/>
      <c r="H1956" s="4"/>
      <c r="I1956" s="4"/>
      <c r="J1956" s="3"/>
      <c r="K1956" s="8" t="str">
        <f t="shared" si="30"/>
        <v/>
      </c>
      <c r="L1956" s="1" t="str">
        <f>IF(COUNTA(A1956:J1956)=0,"",IF(OR(AND(C1956&lt;&gt;"Gasto",C1956&lt;&gt;"Pago proveedor",C1956&lt;&gt;"Retiro familiar",C1956&lt;&gt;"Aportación",C1956&lt;&gt;"Pago activo",C1956&lt;&gt;"ISR devengado",C1956&lt;&gt;"Pago ISR",C1956&lt;&gt;"Pago IVA",C1956&lt;&gt;"Compensación ISR",C1956&lt;&gt;"Compensación IVA"),AND(C1956="Gasto",D1956&lt;&gt;"Costos clínicos",D1956&lt;&gt;"Remuneración familiar",D1956&lt;&gt;"Nómina y honorarios",D1956&lt;&gt;"Renta",D1956&lt;&gt;"Marketing",D1956&lt;&gt;"Servicios y software",D1956&lt;&gt;"Mantenimiento",D1956&lt;&gt;"Otros",D1956&lt;&gt;"Intereses")),"Tipo o categoría inválido",IF(COUNTA(A1956:J1956)=0,"",IF(OR(A1956="",B1956="",C1956="",H1956=""),"Faltan datos",IF(COUNTIF($A$7:$A$2006,A1956)&gt;1,"ID duplicado",IF(OR(B1956&lt;DATE(Configuración!$C$5,1,1),B1956&gt;=DATE(Configuración!$C$5+1,1,1)),"Fecha fuera del año",IF(OR(H1956&lt;0,I1956&lt;0),"Revisar signo",IF(AND(C1956&lt;&gt;"Gasto",I1956&lt;&gt;0),"IVA solo en Gasto",IF(AND(C1956="Gasto",D1956=""),"Falta categoría","OK")))))))))</f>
        <v/>
      </c>
    </row>
    <row r="1957" spans="1:12" ht="22" customHeight="1">
      <c r="A1957" s="3"/>
      <c r="B1957" s="7"/>
      <c r="C1957" s="3"/>
      <c r="D1957" s="3"/>
      <c r="E1957" s="3"/>
      <c r="F1957" s="3"/>
      <c r="G1957" s="3"/>
      <c r="H1957" s="4"/>
      <c r="I1957" s="4"/>
      <c r="J1957" s="3"/>
      <c r="K1957" s="8" t="str">
        <f t="shared" si="30"/>
        <v/>
      </c>
      <c r="L1957" s="1" t="str">
        <f>IF(COUNTA(A1957:J1957)=0,"",IF(OR(AND(C1957&lt;&gt;"Gasto",C1957&lt;&gt;"Pago proveedor",C1957&lt;&gt;"Retiro familiar",C1957&lt;&gt;"Aportación",C1957&lt;&gt;"Pago activo",C1957&lt;&gt;"ISR devengado",C1957&lt;&gt;"Pago ISR",C1957&lt;&gt;"Pago IVA",C1957&lt;&gt;"Compensación ISR",C1957&lt;&gt;"Compensación IVA"),AND(C1957="Gasto",D1957&lt;&gt;"Costos clínicos",D1957&lt;&gt;"Remuneración familiar",D1957&lt;&gt;"Nómina y honorarios",D1957&lt;&gt;"Renta",D1957&lt;&gt;"Marketing",D1957&lt;&gt;"Servicios y software",D1957&lt;&gt;"Mantenimiento",D1957&lt;&gt;"Otros",D1957&lt;&gt;"Intereses")),"Tipo o categoría inválido",IF(COUNTA(A1957:J1957)=0,"",IF(OR(A1957="",B1957="",C1957="",H1957=""),"Faltan datos",IF(COUNTIF($A$7:$A$2006,A1957)&gt;1,"ID duplicado",IF(OR(B1957&lt;DATE(Configuración!$C$5,1,1),B1957&gt;=DATE(Configuración!$C$5+1,1,1)),"Fecha fuera del año",IF(OR(H1957&lt;0,I1957&lt;0),"Revisar signo",IF(AND(C1957&lt;&gt;"Gasto",I1957&lt;&gt;0),"IVA solo en Gasto",IF(AND(C1957="Gasto",D1957=""),"Falta categoría","OK")))))))))</f>
        <v/>
      </c>
    </row>
    <row r="1958" spans="1:12" ht="22" customHeight="1">
      <c r="A1958" s="3"/>
      <c r="B1958" s="7"/>
      <c r="C1958" s="3"/>
      <c r="D1958" s="3"/>
      <c r="E1958" s="3"/>
      <c r="F1958" s="3"/>
      <c r="G1958" s="3"/>
      <c r="H1958" s="4"/>
      <c r="I1958" s="4"/>
      <c r="J1958" s="3"/>
      <c r="K1958" s="8" t="str">
        <f t="shared" si="30"/>
        <v/>
      </c>
      <c r="L1958" s="1" t="str">
        <f>IF(COUNTA(A1958:J1958)=0,"",IF(OR(AND(C1958&lt;&gt;"Gasto",C1958&lt;&gt;"Pago proveedor",C1958&lt;&gt;"Retiro familiar",C1958&lt;&gt;"Aportación",C1958&lt;&gt;"Pago activo",C1958&lt;&gt;"ISR devengado",C1958&lt;&gt;"Pago ISR",C1958&lt;&gt;"Pago IVA",C1958&lt;&gt;"Compensación ISR",C1958&lt;&gt;"Compensación IVA"),AND(C1958="Gasto",D1958&lt;&gt;"Costos clínicos",D1958&lt;&gt;"Remuneración familiar",D1958&lt;&gt;"Nómina y honorarios",D1958&lt;&gt;"Renta",D1958&lt;&gt;"Marketing",D1958&lt;&gt;"Servicios y software",D1958&lt;&gt;"Mantenimiento",D1958&lt;&gt;"Otros",D1958&lt;&gt;"Intereses")),"Tipo o categoría inválido",IF(COUNTA(A1958:J1958)=0,"",IF(OR(A1958="",B1958="",C1958="",H1958=""),"Faltan datos",IF(COUNTIF($A$7:$A$2006,A1958)&gt;1,"ID duplicado",IF(OR(B1958&lt;DATE(Configuración!$C$5,1,1),B1958&gt;=DATE(Configuración!$C$5+1,1,1)),"Fecha fuera del año",IF(OR(H1958&lt;0,I1958&lt;0),"Revisar signo",IF(AND(C1958&lt;&gt;"Gasto",I1958&lt;&gt;0),"IVA solo en Gasto",IF(AND(C1958="Gasto",D1958=""),"Falta categoría","OK")))))))))</f>
        <v/>
      </c>
    </row>
    <row r="1959" spans="1:12" ht="22" customHeight="1">
      <c r="A1959" s="3"/>
      <c r="B1959" s="7"/>
      <c r="C1959" s="3"/>
      <c r="D1959" s="3"/>
      <c r="E1959" s="3"/>
      <c r="F1959" s="3"/>
      <c r="G1959" s="3"/>
      <c r="H1959" s="4"/>
      <c r="I1959" s="4"/>
      <c r="J1959" s="3"/>
      <c r="K1959" s="8" t="str">
        <f t="shared" si="30"/>
        <v/>
      </c>
      <c r="L1959" s="1" t="str">
        <f>IF(COUNTA(A1959:J1959)=0,"",IF(OR(AND(C1959&lt;&gt;"Gasto",C1959&lt;&gt;"Pago proveedor",C1959&lt;&gt;"Retiro familiar",C1959&lt;&gt;"Aportación",C1959&lt;&gt;"Pago activo",C1959&lt;&gt;"ISR devengado",C1959&lt;&gt;"Pago ISR",C1959&lt;&gt;"Pago IVA",C1959&lt;&gt;"Compensación ISR",C1959&lt;&gt;"Compensación IVA"),AND(C1959="Gasto",D1959&lt;&gt;"Costos clínicos",D1959&lt;&gt;"Remuneración familiar",D1959&lt;&gt;"Nómina y honorarios",D1959&lt;&gt;"Renta",D1959&lt;&gt;"Marketing",D1959&lt;&gt;"Servicios y software",D1959&lt;&gt;"Mantenimiento",D1959&lt;&gt;"Otros",D1959&lt;&gt;"Intereses")),"Tipo o categoría inválido",IF(COUNTA(A1959:J1959)=0,"",IF(OR(A1959="",B1959="",C1959="",H1959=""),"Faltan datos",IF(COUNTIF($A$7:$A$2006,A1959)&gt;1,"ID duplicado",IF(OR(B1959&lt;DATE(Configuración!$C$5,1,1),B1959&gt;=DATE(Configuración!$C$5+1,1,1)),"Fecha fuera del año",IF(OR(H1959&lt;0,I1959&lt;0),"Revisar signo",IF(AND(C1959&lt;&gt;"Gasto",I1959&lt;&gt;0),"IVA solo en Gasto",IF(AND(C1959="Gasto",D1959=""),"Falta categoría","OK")))))))))</f>
        <v/>
      </c>
    </row>
    <row r="1960" spans="1:12" ht="22" customHeight="1">
      <c r="A1960" s="3"/>
      <c r="B1960" s="7"/>
      <c r="C1960" s="3"/>
      <c r="D1960" s="3"/>
      <c r="E1960" s="3"/>
      <c r="F1960" s="3"/>
      <c r="G1960" s="3"/>
      <c r="H1960" s="4"/>
      <c r="I1960" s="4"/>
      <c r="J1960" s="3"/>
      <c r="K1960" s="8" t="str">
        <f t="shared" si="30"/>
        <v/>
      </c>
      <c r="L1960" s="1" t="str">
        <f>IF(COUNTA(A1960:J1960)=0,"",IF(OR(AND(C1960&lt;&gt;"Gasto",C1960&lt;&gt;"Pago proveedor",C1960&lt;&gt;"Retiro familiar",C1960&lt;&gt;"Aportación",C1960&lt;&gt;"Pago activo",C1960&lt;&gt;"ISR devengado",C1960&lt;&gt;"Pago ISR",C1960&lt;&gt;"Pago IVA",C1960&lt;&gt;"Compensación ISR",C1960&lt;&gt;"Compensación IVA"),AND(C1960="Gasto",D1960&lt;&gt;"Costos clínicos",D1960&lt;&gt;"Remuneración familiar",D1960&lt;&gt;"Nómina y honorarios",D1960&lt;&gt;"Renta",D1960&lt;&gt;"Marketing",D1960&lt;&gt;"Servicios y software",D1960&lt;&gt;"Mantenimiento",D1960&lt;&gt;"Otros",D1960&lt;&gt;"Intereses")),"Tipo o categoría inválido",IF(COUNTA(A1960:J1960)=0,"",IF(OR(A1960="",B1960="",C1960="",H1960=""),"Faltan datos",IF(COUNTIF($A$7:$A$2006,A1960)&gt;1,"ID duplicado",IF(OR(B1960&lt;DATE(Configuración!$C$5,1,1),B1960&gt;=DATE(Configuración!$C$5+1,1,1)),"Fecha fuera del año",IF(OR(H1960&lt;0,I1960&lt;0),"Revisar signo",IF(AND(C1960&lt;&gt;"Gasto",I1960&lt;&gt;0),"IVA solo en Gasto",IF(AND(C1960="Gasto",D1960=""),"Falta categoría","OK")))))))))</f>
        <v/>
      </c>
    </row>
    <row r="1961" spans="1:12" ht="22" customHeight="1">
      <c r="A1961" s="3"/>
      <c r="B1961" s="7"/>
      <c r="C1961" s="3"/>
      <c r="D1961" s="3"/>
      <c r="E1961" s="3"/>
      <c r="F1961" s="3"/>
      <c r="G1961" s="3"/>
      <c r="H1961" s="4"/>
      <c r="I1961" s="4"/>
      <c r="J1961" s="3"/>
      <c r="K1961" s="8" t="str">
        <f t="shared" si="30"/>
        <v/>
      </c>
      <c r="L1961" s="1" t="str">
        <f>IF(COUNTA(A1961:J1961)=0,"",IF(OR(AND(C1961&lt;&gt;"Gasto",C1961&lt;&gt;"Pago proveedor",C1961&lt;&gt;"Retiro familiar",C1961&lt;&gt;"Aportación",C1961&lt;&gt;"Pago activo",C1961&lt;&gt;"ISR devengado",C1961&lt;&gt;"Pago ISR",C1961&lt;&gt;"Pago IVA",C1961&lt;&gt;"Compensación ISR",C1961&lt;&gt;"Compensación IVA"),AND(C1961="Gasto",D1961&lt;&gt;"Costos clínicos",D1961&lt;&gt;"Remuneración familiar",D1961&lt;&gt;"Nómina y honorarios",D1961&lt;&gt;"Renta",D1961&lt;&gt;"Marketing",D1961&lt;&gt;"Servicios y software",D1961&lt;&gt;"Mantenimiento",D1961&lt;&gt;"Otros",D1961&lt;&gt;"Intereses")),"Tipo o categoría inválido",IF(COUNTA(A1961:J1961)=0,"",IF(OR(A1961="",B1961="",C1961="",H1961=""),"Faltan datos",IF(COUNTIF($A$7:$A$2006,A1961)&gt;1,"ID duplicado",IF(OR(B1961&lt;DATE(Configuración!$C$5,1,1),B1961&gt;=DATE(Configuración!$C$5+1,1,1)),"Fecha fuera del año",IF(OR(H1961&lt;0,I1961&lt;0),"Revisar signo",IF(AND(C1961&lt;&gt;"Gasto",I1961&lt;&gt;0),"IVA solo en Gasto",IF(AND(C1961="Gasto",D1961=""),"Falta categoría","OK")))))))))</f>
        <v/>
      </c>
    </row>
    <row r="1962" spans="1:12" ht="22" customHeight="1">
      <c r="A1962" s="3"/>
      <c r="B1962" s="7"/>
      <c r="C1962" s="3"/>
      <c r="D1962" s="3"/>
      <c r="E1962" s="3"/>
      <c r="F1962" s="3"/>
      <c r="G1962" s="3"/>
      <c r="H1962" s="4"/>
      <c r="I1962" s="4"/>
      <c r="J1962" s="3"/>
      <c r="K1962" s="8" t="str">
        <f t="shared" si="30"/>
        <v/>
      </c>
      <c r="L1962" s="1" t="str">
        <f>IF(COUNTA(A1962:J1962)=0,"",IF(OR(AND(C1962&lt;&gt;"Gasto",C1962&lt;&gt;"Pago proveedor",C1962&lt;&gt;"Retiro familiar",C1962&lt;&gt;"Aportación",C1962&lt;&gt;"Pago activo",C1962&lt;&gt;"ISR devengado",C1962&lt;&gt;"Pago ISR",C1962&lt;&gt;"Pago IVA",C1962&lt;&gt;"Compensación ISR",C1962&lt;&gt;"Compensación IVA"),AND(C1962="Gasto",D1962&lt;&gt;"Costos clínicos",D1962&lt;&gt;"Remuneración familiar",D1962&lt;&gt;"Nómina y honorarios",D1962&lt;&gt;"Renta",D1962&lt;&gt;"Marketing",D1962&lt;&gt;"Servicios y software",D1962&lt;&gt;"Mantenimiento",D1962&lt;&gt;"Otros",D1962&lt;&gt;"Intereses")),"Tipo o categoría inválido",IF(COUNTA(A1962:J1962)=0,"",IF(OR(A1962="",B1962="",C1962="",H1962=""),"Faltan datos",IF(COUNTIF($A$7:$A$2006,A1962)&gt;1,"ID duplicado",IF(OR(B1962&lt;DATE(Configuración!$C$5,1,1),B1962&gt;=DATE(Configuración!$C$5+1,1,1)),"Fecha fuera del año",IF(OR(H1962&lt;0,I1962&lt;0),"Revisar signo",IF(AND(C1962&lt;&gt;"Gasto",I1962&lt;&gt;0),"IVA solo en Gasto",IF(AND(C1962="Gasto",D1962=""),"Falta categoría","OK")))))))))</f>
        <v/>
      </c>
    </row>
    <row r="1963" spans="1:12" ht="22" customHeight="1">
      <c r="A1963" s="3"/>
      <c r="B1963" s="7"/>
      <c r="C1963" s="3"/>
      <c r="D1963" s="3"/>
      <c r="E1963" s="3"/>
      <c r="F1963" s="3"/>
      <c r="G1963" s="3"/>
      <c r="H1963" s="4"/>
      <c r="I1963" s="4"/>
      <c r="J1963" s="3"/>
      <c r="K1963" s="8" t="str">
        <f t="shared" si="30"/>
        <v/>
      </c>
      <c r="L1963" s="1" t="str">
        <f>IF(COUNTA(A1963:J1963)=0,"",IF(OR(AND(C1963&lt;&gt;"Gasto",C1963&lt;&gt;"Pago proveedor",C1963&lt;&gt;"Retiro familiar",C1963&lt;&gt;"Aportación",C1963&lt;&gt;"Pago activo",C1963&lt;&gt;"ISR devengado",C1963&lt;&gt;"Pago ISR",C1963&lt;&gt;"Pago IVA",C1963&lt;&gt;"Compensación ISR",C1963&lt;&gt;"Compensación IVA"),AND(C1963="Gasto",D1963&lt;&gt;"Costos clínicos",D1963&lt;&gt;"Remuneración familiar",D1963&lt;&gt;"Nómina y honorarios",D1963&lt;&gt;"Renta",D1963&lt;&gt;"Marketing",D1963&lt;&gt;"Servicios y software",D1963&lt;&gt;"Mantenimiento",D1963&lt;&gt;"Otros",D1963&lt;&gt;"Intereses")),"Tipo o categoría inválido",IF(COUNTA(A1963:J1963)=0,"",IF(OR(A1963="",B1963="",C1963="",H1963=""),"Faltan datos",IF(COUNTIF($A$7:$A$2006,A1963)&gt;1,"ID duplicado",IF(OR(B1963&lt;DATE(Configuración!$C$5,1,1),B1963&gt;=DATE(Configuración!$C$5+1,1,1)),"Fecha fuera del año",IF(OR(H1963&lt;0,I1963&lt;0),"Revisar signo",IF(AND(C1963&lt;&gt;"Gasto",I1963&lt;&gt;0),"IVA solo en Gasto",IF(AND(C1963="Gasto",D1963=""),"Falta categoría","OK")))))))))</f>
        <v/>
      </c>
    </row>
    <row r="1964" spans="1:12" ht="22" customHeight="1">
      <c r="A1964" s="3"/>
      <c r="B1964" s="7"/>
      <c r="C1964" s="3"/>
      <c r="D1964" s="3"/>
      <c r="E1964" s="3"/>
      <c r="F1964" s="3"/>
      <c r="G1964" s="3"/>
      <c r="H1964" s="4"/>
      <c r="I1964" s="4"/>
      <c r="J1964" s="3"/>
      <c r="K1964" s="8" t="str">
        <f t="shared" si="30"/>
        <v/>
      </c>
      <c r="L1964" s="1" t="str">
        <f>IF(COUNTA(A1964:J1964)=0,"",IF(OR(AND(C1964&lt;&gt;"Gasto",C1964&lt;&gt;"Pago proveedor",C1964&lt;&gt;"Retiro familiar",C1964&lt;&gt;"Aportación",C1964&lt;&gt;"Pago activo",C1964&lt;&gt;"ISR devengado",C1964&lt;&gt;"Pago ISR",C1964&lt;&gt;"Pago IVA",C1964&lt;&gt;"Compensación ISR",C1964&lt;&gt;"Compensación IVA"),AND(C1964="Gasto",D1964&lt;&gt;"Costos clínicos",D1964&lt;&gt;"Remuneración familiar",D1964&lt;&gt;"Nómina y honorarios",D1964&lt;&gt;"Renta",D1964&lt;&gt;"Marketing",D1964&lt;&gt;"Servicios y software",D1964&lt;&gt;"Mantenimiento",D1964&lt;&gt;"Otros",D1964&lt;&gt;"Intereses")),"Tipo o categoría inválido",IF(COUNTA(A1964:J1964)=0,"",IF(OR(A1964="",B1964="",C1964="",H1964=""),"Faltan datos",IF(COUNTIF($A$7:$A$2006,A1964)&gt;1,"ID duplicado",IF(OR(B1964&lt;DATE(Configuración!$C$5,1,1),B1964&gt;=DATE(Configuración!$C$5+1,1,1)),"Fecha fuera del año",IF(OR(H1964&lt;0,I1964&lt;0),"Revisar signo",IF(AND(C1964&lt;&gt;"Gasto",I1964&lt;&gt;0),"IVA solo en Gasto",IF(AND(C1964="Gasto",D1964=""),"Falta categoría","OK")))))))))</f>
        <v/>
      </c>
    </row>
    <row r="1965" spans="1:12" ht="22" customHeight="1">
      <c r="A1965" s="3"/>
      <c r="B1965" s="7"/>
      <c r="C1965" s="3"/>
      <c r="D1965" s="3"/>
      <c r="E1965" s="3"/>
      <c r="F1965" s="3"/>
      <c r="G1965" s="3"/>
      <c r="H1965" s="4"/>
      <c r="I1965" s="4"/>
      <c r="J1965" s="3"/>
      <c r="K1965" s="8" t="str">
        <f t="shared" si="30"/>
        <v/>
      </c>
      <c r="L1965" s="1" t="str">
        <f>IF(COUNTA(A1965:J1965)=0,"",IF(OR(AND(C1965&lt;&gt;"Gasto",C1965&lt;&gt;"Pago proveedor",C1965&lt;&gt;"Retiro familiar",C1965&lt;&gt;"Aportación",C1965&lt;&gt;"Pago activo",C1965&lt;&gt;"ISR devengado",C1965&lt;&gt;"Pago ISR",C1965&lt;&gt;"Pago IVA",C1965&lt;&gt;"Compensación ISR",C1965&lt;&gt;"Compensación IVA"),AND(C1965="Gasto",D1965&lt;&gt;"Costos clínicos",D1965&lt;&gt;"Remuneración familiar",D1965&lt;&gt;"Nómina y honorarios",D1965&lt;&gt;"Renta",D1965&lt;&gt;"Marketing",D1965&lt;&gt;"Servicios y software",D1965&lt;&gt;"Mantenimiento",D1965&lt;&gt;"Otros",D1965&lt;&gt;"Intereses")),"Tipo o categoría inválido",IF(COUNTA(A1965:J1965)=0,"",IF(OR(A1965="",B1965="",C1965="",H1965=""),"Faltan datos",IF(COUNTIF($A$7:$A$2006,A1965)&gt;1,"ID duplicado",IF(OR(B1965&lt;DATE(Configuración!$C$5,1,1),B1965&gt;=DATE(Configuración!$C$5+1,1,1)),"Fecha fuera del año",IF(OR(H1965&lt;0,I1965&lt;0),"Revisar signo",IF(AND(C1965&lt;&gt;"Gasto",I1965&lt;&gt;0),"IVA solo en Gasto",IF(AND(C1965="Gasto",D1965=""),"Falta categoría","OK")))))))))</f>
        <v/>
      </c>
    </row>
    <row r="1966" spans="1:12" ht="22" customHeight="1">
      <c r="A1966" s="3"/>
      <c r="B1966" s="7"/>
      <c r="C1966" s="3"/>
      <c r="D1966" s="3"/>
      <c r="E1966" s="3"/>
      <c r="F1966" s="3"/>
      <c r="G1966" s="3"/>
      <c r="H1966" s="4"/>
      <c r="I1966" s="4"/>
      <c r="J1966" s="3"/>
      <c r="K1966" s="8" t="str">
        <f t="shared" si="30"/>
        <v/>
      </c>
      <c r="L1966" s="1" t="str">
        <f>IF(COUNTA(A1966:J1966)=0,"",IF(OR(AND(C1966&lt;&gt;"Gasto",C1966&lt;&gt;"Pago proveedor",C1966&lt;&gt;"Retiro familiar",C1966&lt;&gt;"Aportación",C1966&lt;&gt;"Pago activo",C1966&lt;&gt;"ISR devengado",C1966&lt;&gt;"Pago ISR",C1966&lt;&gt;"Pago IVA",C1966&lt;&gt;"Compensación ISR",C1966&lt;&gt;"Compensación IVA"),AND(C1966="Gasto",D1966&lt;&gt;"Costos clínicos",D1966&lt;&gt;"Remuneración familiar",D1966&lt;&gt;"Nómina y honorarios",D1966&lt;&gt;"Renta",D1966&lt;&gt;"Marketing",D1966&lt;&gt;"Servicios y software",D1966&lt;&gt;"Mantenimiento",D1966&lt;&gt;"Otros",D1966&lt;&gt;"Intereses")),"Tipo o categoría inválido",IF(COUNTA(A1966:J1966)=0,"",IF(OR(A1966="",B1966="",C1966="",H1966=""),"Faltan datos",IF(COUNTIF($A$7:$A$2006,A1966)&gt;1,"ID duplicado",IF(OR(B1966&lt;DATE(Configuración!$C$5,1,1),B1966&gt;=DATE(Configuración!$C$5+1,1,1)),"Fecha fuera del año",IF(OR(H1966&lt;0,I1966&lt;0),"Revisar signo",IF(AND(C1966&lt;&gt;"Gasto",I1966&lt;&gt;0),"IVA solo en Gasto",IF(AND(C1966="Gasto",D1966=""),"Falta categoría","OK")))))))))</f>
        <v/>
      </c>
    </row>
    <row r="1967" spans="1:12" ht="22" customHeight="1">
      <c r="A1967" s="3"/>
      <c r="B1967" s="7"/>
      <c r="C1967" s="3"/>
      <c r="D1967" s="3"/>
      <c r="E1967" s="3"/>
      <c r="F1967" s="3"/>
      <c r="G1967" s="3"/>
      <c r="H1967" s="4"/>
      <c r="I1967" s="4"/>
      <c r="J1967" s="3"/>
      <c r="K1967" s="8" t="str">
        <f t="shared" si="30"/>
        <v/>
      </c>
      <c r="L1967" s="1" t="str">
        <f>IF(COUNTA(A1967:J1967)=0,"",IF(OR(AND(C1967&lt;&gt;"Gasto",C1967&lt;&gt;"Pago proveedor",C1967&lt;&gt;"Retiro familiar",C1967&lt;&gt;"Aportación",C1967&lt;&gt;"Pago activo",C1967&lt;&gt;"ISR devengado",C1967&lt;&gt;"Pago ISR",C1967&lt;&gt;"Pago IVA",C1967&lt;&gt;"Compensación ISR",C1967&lt;&gt;"Compensación IVA"),AND(C1967="Gasto",D1967&lt;&gt;"Costos clínicos",D1967&lt;&gt;"Remuneración familiar",D1967&lt;&gt;"Nómina y honorarios",D1967&lt;&gt;"Renta",D1967&lt;&gt;"Marketing",D1967&lt;&gt;"Servicios y software",D1967&lt;&gt;"Mantenimiento",D1967&lt;&gt;"Otros",D1967&lt;&gt;"Intereses")),"Tipo o categoría inválido",IF(COUNTA(A1967:J1967)=0,"",IF(OR(A1967="",B1967="",C1967="",H1967=""),"Faltan datos",IF(COUNTIF($A$7:$A$2006,A1967)&gt;1,"ID duplicado",IF(OR(B1967&lt;DATE(Configuración!$C$5,1,1),B1967&gt;=DATE(Configuración!$C$5+1,1,1)),"Fecha fuera del año",IF(OR(H1967&lt;0,I1967&lt;0),"Revisar signo",IF(AND(C1967&lt;&gt;"Gasto",I1967&lt;&gt;0),"IVA solo en Gasto",IF(AND(C1967="Gasto",D1967=""),"Falta categoría","OK")))))))))</f>
        <v/>
      </c>
    </row>
    <row r="1968" spans="1:12" ht="22" customHeight="1">
      <c r="A1968" s="3"/>
      <c r="B1968" s="7"/>
      <c r="C1968" s="3"/>
      <c r="D1968" s="3"/>
      <c r="E1968" s="3"/>
      <c r="F1968" s="3"/>
      <c r="G1968" s="3"/>
      <c r="H1968" s="4"/>
      <c r="I1968" s="4"/>
      <c r="J1968" s="3"/>
      <c r="K1968" s="8" t="str">
        <f t="shared" si="30"/>
        <v/>
      </c>
      <c r="L1968" s="1" t="str">
        <f>IF(COUNTA(A1968:J1968)=0,"",IF(OR(AND(C1968&lt;&gt;"Gasto",C1968&lt;&gt;"Pago proveedor",C1968&lt;&gt;"Retiro familiar",C1968&lt;&gt;"Aportación",C1968&lt;&gt;"Pago activo",C1968&lt;&gt;"ISR devengado",C1968&lt;&gt;"Pago ISR",C1968&lt;&gt;"Pago IVA",C1968&lt;&gt;"Compensación ISR",C1968&lt;&gt;"Compensación IVA"),AND(C1968="Gasto",D1968&lt;&gt;"Costos clínicos",D1968&lt;&gt;"Remuneración familiar",D1968&lt;&gt;"Nómina y honorarios",D1968&lt;&gt;"Renta",D1968&lt;&gt;"Marketing",D1968&lt;&gt;"Servicios y software",D1968&lt;&gt;"Mantenimiento",D1968&lt;&gt;"Otros",D1968&lt;&gt;"Intereses")),"Tipo o categoría inválido",IF(COUNTA(A1968:J1968)=0,"",IF(OR(A1968="",B1968="",C1968="",H1968=""),"Faltan datos",IF(COUNTIF($A$7:$A$2006,A1968)&gt;1,"ID duplicado",IF(OR(B1968&lt;DATE(Configuración!$C$5,1,1),B1968&gt;=DATE(Configuración!$C$5+1,1,1)),"Fecha fuera del año",IF(OR(H1968&lt;0,I1968&lt;0),"Revisar signo",IF(AND(C1968&lt;&gt;"Gasto",I1968&lt;&gt;0),"IVA solo en Gasto",IF(AND(C1968="Gasto",D1968=""),"Falta categoría","OK")))))))))</f>
        <v/>
      </c>
    </row>
    <row r="1969" spans="1:12" ht="22" customHeight="1">
      <c r="A1969" s="3"/>
      <c r="B1969" s="7"/>
      <c r="C1969" s="3"/>
      <c r="D1969" s="3"/>
      <c r="E1969" s="3"/>
      <c r="F1969" s="3"/>
      <c r="G1969" s="3"/>
      <c r="H1969" s="4"/>
      <c r="I1969" s="4"/>
      <c r="J1969" s="3"/>
      <c r="K1969" s="8" t="str">
        <f t="shared" si="30"/>
        <v/>
      </c>
      <c r="L1969" s="1" t="str">
        <f>IF(COUNTA(A1969:J1969)=0,"",IF(OR(AND(C1969&lt;&gt;"Gasto",C1969&lt;&gt;"Pago proveedor",C1969&lt;&gt;"Retiro familiar",C1969&lt;&gt;"Aportación",C1969&lt;&gt;"Pago activo",C1969&lt;&gt;"ISR devengado",C1969&lt;&gt;"Pago ISR",C1969&lt;&gt;"Pago IVA",C1969&lt;&gt;"Compensación ISR",C1969&lt;&gt;"Compensación IVA"),AND(C1969="Gasto",D1969&lt;&gt;"Costos clínicos",D1969&lt;&gt;"Remuneración familiar",D1969&lt;&gt;"Nómina y honorarios",D1969&lt;&gt;"Renta",D1969&lt;&gt;"Marketing",D1969&lt;&gt;"Servicios y software",D1969&lt;&gt;"Mantenimiento",D1969&lt;&gt;"Otros",D1969&lt;&gt;"Intereses")),"Tipo o categoría inválido",IF(COUNTA(A1969:J1969)=0,"",IF(OR(A1969="",B1969="",C1969="",H1969=""),"Faltan datos",IF(COUNTIF($A$7:$A$2006,A1969)&gt;1,"ID duplicado",IF(OR(B1969&lt;DATE(Configuración!$C$5,1,1),B1969&gt;=DATE(Configuración!$C$5+1,1,1)),"Fecha fuera del año",IF(OR(H1969&lt;0,I1969&lt;0),"Revisar signo",IF(AND(C1969&lt;&gt;"Gasto",I1969&lt;&gt;0),"IVA solo en Gasto",IF(AND(C1969="Gasto",D1969=""),"Falta categoría","OK")))))))))</f>
        <v/>
      </c>
    </row>
    <row r="1970" spans="1:12" ht="22" customHeight="1">
      <c r="A1970" s="3"/>
      <c r="B1970" s="7"/>
      <c r="C1970" s="3"/>
      <c r="D1970" s="3"/>
      <c r="E1970" s="3"/>
      <c r="F1970" s="3"/>
      <c r="G1970" s="3"/>
      <c r="H1970" s="4"/>
      <c r="I1970" s="4"/>
      <c r="J1970" s="3"/>
      <c r="K1970" s="8" t="str">
        <f t="shared" si="30"/>
        <v/>
      </c>
      <c r="L1970" s="1" t="str">
        <f>IF(COUNTA(A1970:J1970)=0,"",IF(OR(AND(C1970&lt;&gt;"Gasto",C1970&lt;&gt;"Pago proveedor",C1970&lt;&gt;"Retiro familiar",C1970&lt;&gt;"Aportación",C1970&lt;&gt;"Pago activo",C1970&lt;&gt;"ISR devengado",C1970&lt;&gt;"Pago ISR",C1970&lt;&gt;"Pago IVA",C1970&lt;&gt;"Compensación ISR",C1970&lt;&gt;"Compensación IVA"),AND(C1970="Gasto",D1970&lt;&gt;"Costos clínicos",D1970&lt;&gt;"Remuneración familiar",D1970&lt;&gt;"Nómina y honorarios",D1970&lt;&gt;"Renta",D1970&lt;&gt;"Marketing",D1970&lt;&gt;"Servicios y software",D1970&lt;&gt;"Mantenimiento",D1970&lt;&gt;"Otros",D1970&lt;&gt;"Intereses")),"Tipo o categoría inválido",IF(COUNTA(A1970:J1970)=0,"",IF(OR(A1970="",B1970="",C1970="",H1970=""),"Faltan datos",IF(COUNTIF($A$7:$A$2006,A1970)&gt;1,"ID duplicado",IF(OR(B1970&lt;DATE(Configuración!$C$5,1,1),B1970&gt;=DATE(Configuración!$C$5+1,1,1)),"Fecha fuera del año",IF(OR(H1970&lt;0,I1970&lt;0),"Revisar signo",IF(AND(C1970&lt;&gt;"Gasto",I1970&lt;&gt;0),"IVA solo en Gasto",IF(AND(C1970="Gasto",D1970=""),"Falta categoría","OK")))))))))</f>
        <v/>
      </c>
    </row>
    <row r="1971" spans="1:12" ht="22" customHeight="1">
      <c r="A1971" s="3"/>
      <c r="B1971" s="7"/>
      <c r="C1971" s="3"/>
      <c r="D1971" s="3"/>
      <c r="E1971" s="3"/>
      <c r="F1971" s="3"/>
      <c r="G1971" s="3"/>
      <c r="H1971" s="4"/>
      <c r="I1971" s="4"/>
      <c r="J1971" s="3"/>
      <c r="K1971" s="8" t="str">
        <f t="shared" si="30"/>
        <v/>
      </c>
      <c r="L1971" s="1" t="str">
        <f>IF(COUNTA(A1971:J1971)=0,"",IF(OR(AND(C1971&lt;&gt;"Gasto",C1971&lt;&gt;"Pago proveedor",C1971&lt;&gt;"Retiro familiar",C1971&lt;&gt;"Aportación",C1971&lt;&gt;"Pago activo",C1971&lt;&gt;"ISR devengado",C1971&lt;&gt;"Pago ISR",C1971&lt;&gt;"Pago IVA",C1971&lt;&gt;"Compensación ISR",C1971&lt;&gt;"Compensación IVA"),AND(C1971="Gasto",D1971&lt;&gt;"Costos clínicos",D1971&lt;&gt;"Remuneración familiar",D1971&lt;&gt;"Nómina y honorarios",D1971&lt;&gt;"Renta",D1971&lt;&gt;"Marketing",D1971&lt;&gt;"Servicios y software",D1971&lt;&gt;"Mantenimiento",D1971&lt;&gt;"Otros",D1971&lt;&gt;"Intereses")),"Tipo o categoría inválido",IF(COUNTA(A1971:J1971)=0,"",IF(OR(A1971="",B1971="",C1971="",H1971=""),"Faltan datos",IF(COUNTIF($A$7:$A$2006,A1971)&gt;1,"ID duplicado",IF(OR(B1971&lt;DATE(Configuración!$C$5,1,1),B1971&gt;=DATE(Configuración!$C$5+1,1,1)),"Fecha fuera del año",IF(OR(H1971&lt;0,I1971&lt;0),"Revisar signo",IF(AND(C1971&lt;&gt;"Gasto",I1971&lt;&gt;0),"IVA solo en Gasto",IF(AND(C1971="Gasto",D1971=""),"Falta categoría","OK")))))))))</f>
        <v/>
      </c>
    </row>
    <row r="1972" spans="1:12" ht="22" customHeight="1">
      <c r="A1972" s="3"/>
      <c r="B1972" s="7"/>
      <c r="C1972" s="3"/>
      <c r="D1972" s="3"/>
      <c r="E1972" s="3"/>
      <c r="F1972" s="3"/>
      <c r="G1972" s="3"/>
      <c r="H1972" s="4"/>
      <c r="I1972" s="4"/>
      <c r="J1972" s="3"/>
      <c r="K1972" s="8" t="str">
        <f t="shared" si="30"/>
        <v/>
      </c>
      <c r="L1972" s="1" t="str">
        <f>IF(COUNTA(A1972:J1972)=0,"",IF(OR(AND(C1972&lt;&gt;"Gasto",C1972&lt;&gt;"Pago proveedor",C1972&lt;&gt;"Retiro familiar",C1972&lt;&gt;"Aportación",C1972&lt;&gt;"Pago activo",C1972&lt;&gt;"ISR devengado",C1972&lt;&gt;"Pago ISR",C1972&lt;&gt;"Pago IVA",C1972&lt;&gt;"Compensación ISR",C1972&lt;&gt;"Compensación IVA"),AND(C1972="Gasto",D1972&lt;&gt;"Costos clínicos",D1972&lt;&gt;"Remuneración familiar",D1972&lt;&gt;"Nómina y honorarios",D1972&lt;&gt;"Renta",D1972&lt;&gt;"Marketing",D1972&lt;&gt;"Servicios y software",D1972&lt;&gt;"Mantenimiento",D1972&lt;&gt;"Otros",D1972&lt;&gt;"Intereses")),"Tipo o categoría inválido",IF(COUNTA(A1972:J1972)=0,"",IF(OR(A1972="",B1972="",C1972="",H1972=""),"Faltan datos",IF(COUNTIF($A$7:$A$2006,A1972)&gt;1,"ID duplicado",IF(OR(B1972&lt;DATE(Configuración!$C$5,1,1),B1972&gt;=DATE(Configuración!$C$5+1,1,1)),"Fecha fuera del año",IF(OR(H1972&lt;0,I1972&lt;0),"Revisar signo",IF(AND(C1972&lt;&gt;"Gasto",I1972&lt;&gt;0),"IVA solo en Gasto",IF(AND(C1972="Gasto",D1972=""),"Falta categoría","OK")))))))))</f>
        <v/>
      </c>
    </row>
    <row r="1973" spans="1:12" ht="22" customHeight="1">
      <c r="A1973" s="3"/>
      <c r="B1973" s="7"/>
      <c r="C1973" s="3"/>
      <c r="D1973" s="3"/>
      <c r="E1973" s="3"/>
      <c r="F1973" s="3"/>
      <c r="G1973" s="3"/>
      <c r="H1973" s="4"/>
      <c r="I1973" s="4"/>
      <c r="J1973" s="3"/>
      <c r="K1973" s="8" t="str">
        <f t="shared" si="30"/>
        <v/>
      </c>
      <c r="L1973" s="1" t="str">
        <f>IF(COUNTA(A1973:J1973)=0,"",IF(OR(AND(C1973&lt;&gt;"Gasto",C1973&lt;&gt;"Pago proveedor",C1973&lt;&gt;"Retiro familiar",C1973&lt;&gt;"Aportación",C1973&lt;&gt;"Pago activo",C1973&lt;&gt;"ISR devengado",C1973&lt;&gt;"Pago ISR",C1973&lt;&gt;"Pago IVA",C1973&lt;&gt;"Compensación ISR",C1973&lt;&gt;"Compensación IVA"),AND(C1973="Gasto",D1973&lt;&gt;"Costos clínicos",D1973&lt;&gt;"Remuneración familiar",D1973&lt;&gt;"Nómina y honorarios",D1973&lt;&gt;"Renta",D1973&lt;&gt;"Marketing",D1973&lt;&gt;"Servicios y software",D1973&lt;&gt;"Mantenimiento",D1973&lt;&gt;"Otros",D1973&lt;&gt;"Intereses")),"Tipo o categoría inválido",IF(COUNTA(A1973:J1973)=0,"",IF(OR(A1973="",B1973="",C1973="",H1973=""),"Faltan datos",IF(COUNTIF($A$7:$A$2006,A1973)&gt;1,"ID duplicado",IF(OR(B1973&lt;DATE(Configuración!$C$5,1,1),B1973&gt;=DATE(Configuración!$C$5+1,1,1)),"Fecha fuera del año",IF(OR(H1973&lt;0,I1973&lt;0),"Revisar signo",IF(AND(C1973&lt;&gt;"Gasto",I1973&lt;&gt;0),"IVA solo en Gasto",IF(AND(C1973="Gasto",D1973=""),"Falta categoría","OK")))))))))</f>
        <v/>
      </c>
    </row>
    <row r="1974" spans="1:12" ht="22" customHeight="1">
      <c r="A1974" s="3"/>
      <c r="B1974" s="7"/>
      <c r="C1974" s="3"/>
      <c r="D1974" s="3"/>
      <c r="E1974" s="3"/>
      <c r="F1974" s="3"/>
      <c r="G1974" s="3"/>
      <c r="H1974" s="4"/>
      <c r="I1974" s="4"/>
      <c r="J1974" s="3"/>
      <c r="K1974" s="8" t="str">
        <f t="shared" si="30"/>
        <v/>
      </c>
      <c r="L1974" s="1" t="str">
        <f>IF(COUNTA(A1974:J1974)=0,"",IF(OR(AND(C1974&lt;&gt;"Gasto",C1974&lt;&gt;"Pago proveedor",C1974&lt;&gt;"Retiro familiar",C1974&lt;&gt;"Aportación",C1974&lt;&gt;"Pago activo",C1974&lt;&gt;"ISR devengado",C1974&lt;&gt;"Pago ISR",C1974&lt;&gt;"Pago IVA",C1974&lt;&gt;"Compensación ISR",C1974&lt;&gt;"Compensación IVA"),AND(C1974="Gasto",D1974&lt;&gt;"Costos clínicos",D1974&lt;&gt;"Remuneración familiar",D1974&lt;&gt;"Nómina y honorarios",D1974&lt;&gt;"Renta",D1974&lt;&gt;"Marketing",D1974&lt;&gt;"Servicios y software",D1974&lt;&gt;"Mantenimiento",D1974&lt;&gt;"Otros",D1974&lt;&gt;"Intereses")),"Tipo o categoría inválido",IF(COUNTA(A1974:J1974)=0,"",IF(OR(A1974="",B1974="",C1974="",H1974=""),"Faltan datos",IF(COUNTIF($A$7:$A$2006,A1974)&gt;1,"ID duplicado",IF(OR(B1974&lt;DATE(Configuración!$C$5,1,1),B1974&gt;=DATE(Configuración!$C$5+1,1,1)),"Fecha fuera del año",IF(OR(H1974&lt;0,I1974&lt;0),"Revisar signo",IF(AND(C1974&lt;&gt;"Gasto",I1974&lt;&gt;0),"IVA solo en Gasto",IF(AND(C1974="Gasto",D1974=""),"Falta categoría","OK")))))))))</f>
        <v/>
      </c>
    </row>
    <row r="1975" spans="1:12" ht="22" customHeight="1">
      <c r="A1975" s="3"/>
      <c r="B1975" s="7"/>
      <c r="C1975" s="3"/>
      <c r="D1975" s="3"/>
      <c r="E1975" s="3"/>
      <c r="F1975" s="3"/>
      <c r="G1975" s="3"/>
      <c r="H1975" s="4"/>
      <c r="I1975" s="4"/>
      <c r="J1975" s="3"/>
      <c r="K1975" s="8" t="str">
        <f t="shared" si="30"/>
        <v/>
      </c>
      <c r="L1975" s="1" t="str">
        <f>IF(COUNTA(A1975:J1975)=0,"",IF(OR(AND(C1975&lt;&gt;"Gasto",C1975&lt;&gt;"Pago proveedor",C1975&lt;&gt;"Retiro familiar",C1975&lt;&gt;"Aportación",C1975&lt;&gt;"Pago activo",C1975&lt;&gt;"ISR devengado",C1975&lt;&gt;"Pago ISR",C1975&lt;&gt;"Pago IVA",C1975&lt;&gt;"Compensación ISR",C1975&lt;&gt;"Compensación IVA"),AND(C1975="Gasto",D1975&lt;&gt;"Costos clínicos",D1975&lt;&gt;"Remuneración familiar",D1975&lt;&gt;"Nómina y honorarios",D1975&lt;&gt;"Renta",D1975&lt;&gt;"Marketing",D1975&lt;&gt;"Servicios y software",D1975&lt;&gt;"Mantenimiento",D1975&lt;&gt;"Otros",D1975&lt;&gt;"Intereses")),"Tipo o categoría inválido",IF(COUNTA(A1975:J1975)=0,"",IF(OR(A1975="",B1975="",C1975="",H1975=""),"Faltan datos",IF(COUNTIF($A$7:$A$2006,A1975)&gt;1,"ID duplicado",IF(OR(B1975&lt;DATE(Configuración!$C$5,1,1),B1975&gt;=DATE(Configuración!$C$5+1,1,1)),"Fecha fuera del año",IF(OR(H1975&lt;0,I1975&lt;0),"Revisar signo",IF(AND(C1975&lt;&gt;"Gasto",I1975&lt;&gt;0),"IVA solo en Gasto",IF(AND(C1975="Gasto",D1975=""),"Falta categoría","OK")))))))))</f>
        <v/>
      </c>
    </row>
    <row r="1976" spans="1:12" ht="22" customHeight="1">
      <c r="A1976" s="3"/>
      <c r="B1976" s="7"/>
      <c r="C1976" s="3"/>
      <c r="D1976" s="3"/>
      <c r="E1976" s="3"/>
      <c r="F1976" s="3"/>
      <c r="G1976" s="3"/>
      <c r="H1976" s="4"/>
      <c r="I1976" s="4"/>
      <c r="J1976" s="3"/>
      <c r="K1976" s="8" t="str">
        <f t="shared" si="30"/>
        <v/>
      </c>
      <c r="L1976" s="1" t="str">
        <f>IF(COUNTA(A1976:J1976)=0,"",IF(OR(AND(C1976&lt;&gt;"Gasto",C1976&lt;&gt;"Pago proveedor",C1976&lt;&gt;"Retiro familiar",C1976&lt;&gt;"Aportación",C1976&lt;&gt;"Pago activo",C1976&lt;&gt;"ISR devengado",C1976&lt;&gt;"Pago ISR",C1976&lt;&gt;"Pago IVA",C1976&lt;&gt;"Compensación ISR",C1976&lt;&gt;"Compensación IVA"),AND(C1976="Gasto",D1976&lt;&gt;"Costos clínicos",D1976&lt;&gt;"Remuneración familiar",D1976&lt;&gt;"Nómina y honorarios",D1976&lt;&gt;"Renta",D1976&lt;&gt;"Marketing",D1976&lt;&gt;"Servicios y software",D1976&lt;&gt;"Mantenimiento",D1976&lt;&gt;"Otros",D1976&lt;&gt;"Intereses")),"Tipo o categoría inválido",IF(COUNTA(A1976:J1976)=0,"",IF(OR(A1976="",B1976="",C1976="",H1976=""),"Faltan datos",IF(COUNTIF($A$7:$A$2006,A1976)&gt;1,"ID duplicado",IF(OR(B1976&lt;DATE(Configuración!$C$5,1,1),B1976&gt;=DATE(Configuración!$C$5+1,1,1)),"Fecha fuera del año",IF(OR(H1976&lt;0,I1976&lt;0),"Revisar signo",IF(AND(C1976&lt;&gt;"Gasto",I1976&lt;&gt;0),"IVA solo en Gasto",IF(AND(C1976="Gasto",D1976=""),"Falta categoría","OK")))))))))</f>
        <v/>
      </c>
    </row>
    <row r="1977" spans="1:12" ht="22" customHeight="1">
      <c r="A1977" s="3"/>
      <c r="B1977" s="7"/>
      <c r="C1977" s="3"/>
      <c r="D1977" s="3"/>
      <c r="E1977" s="3"/>
      <c r="F1977" s="3"/>
      <c r="G1977" s="3"/>
      <c r="H1977" s="4"/>
      <c r="I1977" s="4"/>
      <c r="J1977" s="3"/>
      <c r="K1977" s="8" t="str">
        <f t="shared" si="30"/>
        <v/>
      </c>
      <c r="L1977" s="1" t="str">
        <f>IF(COUNTA(A1977:J1977)=0,"",IF(OR(AND(C1977&lt;&gt;"Gasto",C1977&lt;&gt;"Pago proveedor",C1977&lt;&gt;"Retiro familiar",C1977&lt;&gt;"Aportación",C1977&lt;&gt;"Pago activo",C1977&lt;&gt;"ISR devengado",C1977&lt;&gt;"Pago ISR",C1977&lt;&gt;"Pago IVA",C1977&lt;&gt;"Compensación ISR",C1977&lt;&gt;"Compensación IVA"),AND(C1977="Gasto",D1977&lt;&gt;"Costos clínicos",D1977&lt;&gt;"Remuneración familiar",D1977&lt;&gt;"Nómina y honorarios",D1977&lt;&gt;"Renta",D1977&lt;&gt;"Marketing",D1977&lt;&gt;"Servicios y software",D1977&lt;&gt;"Mantenimiento",D1977&lt;&gt;"Otros",D1977&lt;&gt;"Intereses")),"Tipo o categoría inválido",IF(COUNTA(A1977:J1977)=0,"",IF(OR(A1977="",B1977="",C1977="",H1977=""),"Faltan datos",IF(COUNTIF($A$7:$A$2006,A1977)&gt;1,"ID duplicado",IF(OR(B1977&lt;DATE(Configuración!$C$5,1,1),B1977&gt;=DATE(Configuración!$C$5+1,1,1)),"Fecha fuera del año",IF(OR(H1977&lt;0,I1977&lt;0),"Revisar signo",IF(AND(C1977&lt;&gt;"Gasto",I1977&lt;&gt;0),"IVA solo en Gasto",IF(AND(C1977="Gasto",D1977=""),"Falta categoría","OK")))))))))</f>
        <v/>
      </c>
    </row>
    <row r="1978" spans="1:12" ht="22" customHeight="1">
      <c r="A1978" s="3"/>
      <c r="B1978" s="7"/>
      <c r="C1978" s="3"/>
      <c r="D1978" s="3"/>
      <c r="E1978" s="3"/>
      <c r="F1978" s="3"/>
      <c r="G1978" s="3"/>
      <c r="H1978" s="4"/>
      <c r="I1978" s="4"/>
      <c r="J1978" s="3"/>
      <c r="K1978" s="8" t="str">
        <f t="shared" si="30"/>
        <v/>
      </c>
      <c r="L1978" s="1" t="str">
        <f>IF(COUNTA(A1978:J1978)=0,"",IF(OR(AND(C1978&lt;&gt;"Gasto",C1978&lt;&gt;"Pago proveedor",C1978&lt;&gt;"Retiro familiar",C1978&lt;&gt;"Aportación",C1978&lt;&gt;"Pago activo",C1978&lt;&gt;"ISR devengado",C1978&lt;&gt;"Pago ISR",C1978&lt;&gt;"Pago IVA",C1978&lt;&gt;"Compensación ISR",C1978&lt;&gt;"Compensación IVA"),AND(C1978="Gasto",D1978&lt;&gt;"Costos clínicos",D1978&lt;&gt;"Remuneración familiar",D1978&lt;&gt;"Nómina y honorarios",D1978&lt;&gt;"Renta",D1978&lt;&gt;"Marketing",D1978&lt;&gt;"Servicios y software",D1978&lt;&gt;"Mantenimiento",D1978&lt;&gt;"Otros",D1978&lt;&gt;"Intereses")),"Tipo o categoría inválido",IF(COUNTA(A1978:J1978)=0,"",IF(OR(A1978="",B1978="",C1978="",H1978=""),"Faltan datos",IF(COUNTIF($A$7:$A$2006,A1978)&gt;1,"ID duplicado",IF(OR(B1978&lt;DATE(Configuración!$C$5,1,1),B1978&gt;=DATE(Configuración!$C$5+1,1,1)),"Fecha fuera del año",IF(OR(H1978&lt;0,I1978&lt;0),"Revisar signo",IF(AND(C1978&lt;&gt;"Gasto",I1978&lt;&gt;0),"IVA solo en Gasto",IF(AND(C1978="Gasto",D1978=""),"Falta categoría","OK")))))))))</f>
        <v/>
      </c>
    </row>
    <row r="1979" spans="1:12" ht="22" customHeight="1">
      <c r="A1979" s="3"/>
      <c r="B1979" s="7"/>
      <c r="C1979" s="3"/>
      <c r="D1979" s="3"/>
      <c r="E1979" s="3"/>
      <c r="F1979" s="3"/>
      <c r="G1979" s="3"/>
      <c r="H1979" s="4"/>
      <c r="I1979" s="4"/>
      <c r="J1979" s="3"/>
      <c r="K1979" s="8" t="str">
        <f t="shared" si="30"/>
        <v/>
      </c>
      <c r="L1979" s="1" t="str">
        <f>IF(COUNTA(A1979:J1979)=0,"",IF(OR(AND(C1979&lt;&gt;"Gasto",C1979&lt;&gt;"Pago proveedor",C1979&lt;&gt;"Retiro familiar",C1979&lt;&gt;"Aportación",C1979&lt;&gt;"Pago activo",C1979&lt;&gt;"ISR devengado",C1979&lt;&gt;"Pago ISR",C1979&lt;&gt;"Pago IVA",C1979&lt;&gt;"Compensación ISR",C1979&lt;&gt;"Compensación IVA"),AND(C1979="Gasto",D1979&lt;&gt;"Costos clínicos",D1979&lt;&gt;"Remuneración familiar",D1979&lt;&gt;"Nómina y honorarios",D1979&lt;&gt;"Renta",D1979&lt;&gt;"Marketing",D1979&lt;&gt;"Servicios y software",D1979&lt;&gt;"Mantenimiento",D1979&lt;&gt;"Otros",D1979&lt;&gt;"Intereses")),"Tipo o categoría inválido",IF(COUNTA(A1979:J1979)=0,"",IF(OR(A1979="",B1979="",C1979="",H1979=""),"Faltan datos",IF(COUNTIF($A$7:$A$2006,A1979)&gt;1,"ID duplicado",IF(OR(B1979&lt;DATE(Configuración!$C$5,1,1),B1979&gt;=DATE(Configuración!$C$5+1,1,1)),"Fecha fuera del año",IF(OR(H1979&lt;0,I1979&lt;0),"Revisar signo",IF(AND(C1979&lt;&gt;"Gasto",I1979&lt;&gt;0),"IVA solo en Gasto",IF(AND(C1979="Gasto",D1979=""),"Falta categoría","OK")))))))))</f>
        <v/>
      </c>
    </row>
    <row r="1980" spans="1:12" ht="22" customHeight="1">
      <c r="A1980" s="3"/>
      <c r="B1980" s="7"/>
      <c r="C1980" s="3"/>
      <c r="D1980" s="3"/>
      <c r="E1980" s="3"/>
      <c r="F1980" s="3"/>
      <c r="G1980" s="3"/>
      <c r="H1980" s="4"/>
      <c r="I1980" s="4"/>
      <c r="J1980" s="3"/>
      <c r="K1980" s="8" t="str">
        <f t="shared" si="30"/>
        <v/>
      </c>
      <c r="L1980" s="1" t="str">
        <f>IF(COUNTA(A1980:J1980)=0,"",IF(OR(AND(C1980&lt;&gt;"Gasto",C1980&lt;&gt;"Pago proveedor",C1980&lt;&gt;"Retiro familiar",C1980&lt;&gt;"Aportación",C1980&lt;&gt;"Pago activo",C1980&lt;&gt;"ISR devengado",C1980&lt;&gt;"Pago ISR",C1980&lt;&gt;"Pago IVA",C1980&lt;&gt;"Compensación ISR",C1980&lt;&gt;"Compensación IVA"),AND(C1980="Gasto",D1980&lt;&gt;"Costos clínicos",D1980&lt;&gt;"Remuneración familiar",D1980&lt;&gt;"Nómina y honorarios",D1980&lt;&gt;"Renta",D1980&lt;&gt;"Marketing",D1980&lt;&gt;"Servicios y software",D1980&lt;&gt;"Mantenimiento",D1980&lt;&gt;"Otros",D1980&lt;&gt;"Intereses")),"Tipo o categoría inválido",IF(COUNTA(A1980:J1980)=0,"",IF(OR(A1980="",B1980="",C1980="",H1980=""),"Faltan datos",IF(COUNTIF($A$7:$A$2006,A1980)&gt;1,"ID duplicado",IF(OR(B1980&lt;DATE(Configuración!$C$5,1,1),B1980&gt;=DATE(Configuración!$C$5+1,1,1)),"Fecha fuera del año",IF(OR(H1980&lt;0,I1980&lt;0),"Revisar signo",IF(AND(C1980&lt;&gt;"Gasto",I1980&lt;&gt;0),"IVA solo en Gasto",IF(AND(C1980="Gasto",D1980=""),"Falta categoría","OK")))))))))</f>
        <v/>
      </c>
    </row>
    <row r="1981" spans="1:12" ht="22" customHeight="1">
      <c r="A1981" s="3"/>
      <c r="B1981" s="7"/>
      <c r="C1981" s="3"/>
      <c r="D1981" s="3"/>
      <c r="E1981" s="3"/>
      <c r="F1981" s="3"/>
      <c r="G1981" s="3"/>
      <c r="H1981" s="4"/>
      <c r="I1981" s="4"/>
      <c r="J1981" s="3"/>
      <c r="K1981" s="8" t="str">
        <f t="shared" si="30"/>
        <v/>
      </c>
      <c r="L1981" s="1" t="str">
        <f>IF(COUNTA(A1981:J1981)=0,"",IF(OR(AND(C1981&lt;&gt;"Gasto",C1981&lt;&gt;"Pago proveedor",C1981&lt;&gt;"Retiro familiar",C1981&lt;&gt;"Aportación",C1981&lt;&gt;"Pago activo",C1981&lt;&gt;"ISR devengado",C1981&lt;&gt;"Pago ISR",C1981&lt;&gt;"Pago IVA",C1981&lt;&gt;"Compensación ISR",C1981&lt;&gt;"Compensación IVA"),AND(C1981="Gasto",D1981&lt;&gt;"Costos clínicos",D1981&lt;&gt;"Remuneración familiar",D1981&lt;&gt;"Nómina y honorarios",D1981&lt;&gt;"Renta",D1981&lt;&gt;"Marketing",D1981&lt;&gt;"Servicios y software",D1981&lt;&gt;"Mantenimiento",D1981&lt;&gt;"Otros",D1981&lt;&gt;"Intereses")),"Tipo o categoría inválido",IF(COUNTA(A1981:J1981)=0,"",IF(OR(A1981="",B1981="",C1981="",H1981=""),"Faltan datos",IF(COUNTIF($A$7:$A$2006,A1981)&gt;1,"ID duplicado",IF(OR(B1981&lt;DATE(Configuración!$C$5,1,1),B1981&gt;=DATE(Configuración!$C$5+1,1,1)),"Fecha fuera del año",IF(OR(H1981&lt;0,I1981&lt;0),"Revisar signo",IF(AND(C1981&lt;&gt;"Gasto",I1981&lt;&gt;0),"IVA solo en Gasto",IF(AND(C1981="Gasto",D1981=""),"Falta categoría","OK")))))))))</f>
        <v/>
      </c>
    </row>
    <row r="1982" spans="1:12" ht="22" customHeight="1">
      <c r="A1982" s="3"/>
      <c r="B1982" s="7"/>
      <c r="C1982" s="3"/>
      <c r="D1982" s="3"/>
      <c r="E1982" s="3"/>
      <c r="F1982" s="3"/>
      <c r="G1982" s="3"/>
      <c r="H1982" s="4"/>
      <c r="I1982" s="4"/>
      <c r="J1982" s="3"/>
      <c r="K1982" s="8" t="str">
        <f t="shared" si="30"/>
        <v/>
      </c>
      <c r="L1982" s="1" t="str">
        <f>IF(COUNTA(A1982:J1982)=0,"",IF(OR(AND(C1982&lt;&gt;"Gasto",C1982&lt;&gt;"Pago proveedor",C1982&lt;&gt;"Retiro familiar",C1982&lt;&gt;"Aportación",C1982&lt;&gt;"Pago activo",C1982&lt;&gt;"ISR devengado",C1982&lt;&gt;"Pago ISR",C1982&lt;&gt;"Pago IVA",C1982&lt;&gt;"Compensación ISR",C1982&lt;&gt;"Compensación IVA"),AND(C1982="Gasto",D1982&lt;&gt;"Costos clínicos",D1982&lt;&gt;"Remuneración familiar",D1982&lt;&gt;"Nómina y honorarios",D1982&lt;&gt;"Renta",D1982&lt;&gt;"Marketing",D1982&lt;&gt;"Servicios y software",D1982&lt;&gt;"Mantenimiento",D1982&lt;&gt;"Otros",D1982&lt;&gt;"Intereses")),"Tipo o categoría inválido",IF(COUNTA(A1982:J1982)=0,"",IF(OR(A1982="",B1982="",C1982="",H1982=""),"Faltan datos",IF(COUNTIF($A$7:$A$2006,A1982)&gt;1,"ID duplicado",IF(OR(B1982&lt;DATE(Configuración!$C$5,1,1),B1982&gt;=DATE(Configuración!$C$5+1,1,1)),"Fecha fuera del año",IF(OR(H1982&lt;0,I1982&lt;0),"Revisar signo",IF(AND(C1982&lt;&gt;"Gasto",I1982&lt;&gt;0),"IVA solo en Gasto",IF(AND(C1982="Gasto",D1982=""),"Falta categoría","OK")))))))))</f>
        <v/>
      </c>
    </row>
    <row r="1983" spans="1:12" ht="22" customHeight="1">
      <c r="A1983" s="3"/>
      <c r="B1983" s="7"/>
      <c r="C1983" s="3"/>
      <c r="D1983" s="3"/>
      <c r="E1983" s="3"/>
      <c r="F1983" s="3"/>
      <c r="G1983" s="3"/>
      <c r="H1983" s="4"/>
      <c r="I1983" s="4"/>
      <c r="J1983" s="3"/>
      <c r="K1983" s="8" t="str">
        <f t="shared" si="30"/>
        <v/>
      </c>
      <c r="L1983" s="1" t="str">
        <f>IF(COUNTA(A1983:J1983)=0,"",IF(OR(AND(C1983&lt;&gt;"Gasto",C1983&lt;&gt;"Pago proveedor",C1983&lt;&gt;"Retiro familiar",C1983&lt;&gt;"Aportación",C1983&lt;&gt;"Pago activo",C1983&lt;&gt;"ISR devengado",C1983&lt;&gt;"Pago ISR",C1983&lt;&gt;"Pago IVA",C1983&lt;&gt;"Compensación ISR",C1983&lt;&gt;"Compensación IVA"),AND(C1983="Gasto",D1983&lt;&gt;"Costos clínicos",D1983&lt;&gt;"Remuneración familiar",D1983&lt;&gt;"Nómina y honorarios",D1983&lt;&gt;"Renta",D1983&lt;&gt;"Marketing",D1983&lt;&gt;"Servicios y software",D1983&lt;&gt;"Mantenimiento",D1983&lt;&gt;"Otros",D1983&lt;&gt;"Intereses")),"Tipo o categoría inválido",IF(COUNTA(A1983:J1983)=0,"",IF(OR(A1983="",B1983="",C1983="",H1983=""),"Faltan datos",IF(COUNTIF($A$7:$A$2006,A1983)&gt;1,"ID duplicado",IF(OR(B1983&lt;DATE(Configuración!$C$5,1,1),B1983&gt;=DATE(Configuración!$C$5+1,1,1)),"Fecha fuera del año",IF(OR(H1983&lt;0,I1983&lt;0),"Revisar signo",IF(AND(C1983&lt;&gt;"Gasto",I1983&lt;&gt;0),"IVA solo en Gasto",IF(AND(C1983="Gasto",D1983=""),"Falta categoría","OK")))))))))</f>
        <v/>
      </c>
    </row>
    <row r="1984" spans="1:12" ht="22" customHeight="1">
      <c r="A1984" s="3"/>
      <c r="B1984" s="7"/>
      <c r="C1984" s="3"/>
      <c r="D1984" s="3"/>
      <c r="E1984" s="3"/>
      <c r="F1984" s="3"/>
      <c r="G1984" s="3"/>
      <c r="H1984" s="4"/>
      <c r="I1984" s="4"/>
      <c r="J1984" s="3"/>
      <c r="K1984" s="8" t="str">
        <f t="shared" si="30"/>
        <v/>
      </c>
      <c r="L1984" s="1" t="str">
        <f>IF(COUNTA(A1984:J1984)=0,"",IF(OR(AND(C1984&lt;&gt;"Gasto",C1984&lt;&gt;"Pago proveedor",C1984&lt;&gt;"Retiro familiar",C1984&lt;&gt;"Aportación",C1984&lt;&gt;"Pago activo",C1984&lt;&gt;"ISR devengado",C1984&lt;&gt;"Pago ISR",C1984&lt;&gt;"Pago IVA",C1984&lt;&gt;"Compensación ISR",C1984&lt;&gt;"Compensación IVA"),AND(C1984="Gasto",D1984&lt;&gt;"Costos clínicos",D1984&lt;&gt;"Remuneración familiar",D1984&lt;&gt;"Nómina y honorarios",D1984&lt;&gt;"Renta",D1984&lt;&gt;"Marketing",D1984&lt;&gt;"Servicios y software",D1984&lt;&gt;"Mantenimiento",D1984&lt;&gt;"Otros",D1984&lt;&gt;"Intereses")),"Tipo o categoría inválido",IF(COUNTA(A1984:J1984)=0,"",IF(OR(A1984="",B1984="",C1984="",H1984=""),"Faltan datos",IF(COUNTIF($A$7:$A$2006,A1984)&gt;1,"ID duplicado",IF(OR(B1984&lt;DATE(Configuración!$C$5,1,1),B1984&gt;=DATE(Configuración!$C$5+1,1,1)),"Fecha fuera del año",IF(OR(H1984&lt;0,I1984&lt;0),"Revisar signo",IF(AND(C1984&lt;&gt;"Gasto",I1984&lt;&gt;0),"IVA solo en Gasto",IF(AND(C1984="Gasto",D1984=""),"Falta categoría","OK")))))))))</f>
        <v/>
      </c>
    </row>
    <row r="1985" spans="1:12" ht="22" customHeight="1">
      <c r="A1985" s="3"/>
      <c r="B1985" s="7"/>
      <c r="C1985" s="3"/>
      <c r="D1985" s="3"/>
      <c r="E1985" s="3"/>
      <c r="F1985" s="3"/>
      <c r="G1985" s="3"/>
      <c r="H1985" s="4"/>
      <c r="I1985" s="4"/>
      <c r="J1985" s="3"/>
      <c r="K1985" s="8" t="str">
        <f t="shared" si="30"/>
        <v/>
      </c>
      <c r="L1985" s="1" t="str">
        <f>IF(COUNTA(A1985:J1985)=0,"",IF(OR(AND(C1985&lt;&gt;"Gasto",C1985&lt;&gt;"Pago proveedor",C1985&lt;&gt;"Retiro familiar",C1985&lt;&gt;"Aportación",C1985&lt;&gt;"Pago activo",C1985&lt;&gt;"ISR devengado",C1985&lt;&gt;"Pago ISR",C1985&lt;&gt;"Pago IVA",C1985&lt;&gt;"Compensación ISR",C1985&lt;&gt;"Compensación IVA"),AND(C1985="Gasto",D1985&lt;&gt;"Costos clínicos",D1985&lt;&gt;"Remuneración familiar",D1985&lt;&gt;"Nómina y honorarios",D1985&lt;&gt;"Renta",D1985&lt;&gt;"Marketing",D1985&lt;&gt;"Servicios y software",D1985&lt;&gt;"Mantenimiento",D1985&lt;&gt;"Otros",D1985&lt;&gt;"Intereses")),"Tipo o categoría inválido",IF(COUNTA(A1985:J1985)=0,"",IF(OR(A1985="",B1985="",C1985="",H1985=""),"Faltan datos",IF(COUNTIF($A$7:$A$2006,A1985)&gt;1,"ID duplicado",IF(OR(B1985&lt;DATE(Configuración!$C$5,1,1),B1985&gt;=DATE(Configuración!$C$5+1,1,1)),"Fecha fuera del año",IF(OR(H1985&lt;0,I1985&lt;0),"Revisar signo",IF(AND(C1985&lt;&gt;"Gasto",I1985&lt;&gt;0),"IVA solo en Gasto",IF(AND(C1985="Gasto",D1985=""),"Falta categoría","OK")))))))))</f>
        <v/>
      </c>
    </row>
    <row r="1986" spans="1:12" ht="22" customHeight="1">
      <c r="A1986" s="3"/>
      <c r="B1986" s="7"/>
      <c r="C1986" s="3"/>
      <c r="D1986" s="3"/>
      <c r="E1986" s="3"/>
      <c r="F1986" s="3"/>
      <c r="G1986" s="3"/>
      <c r="H1986" s="4"/>
      <c r="I1986" s="4"/>
      <c r="J1986" s="3"/>
      <c r="K1986" s="8" t="str">
        <f t="shared" si="30"/>
        <v/>
      </c>
      <c r="L1986" s="1" t="str">
        <f>IF(COUNTA(A1986:J1986)=0,"",IF(OR(AND(C1986&lt;&gt;"Gasto",C1986&lt;&gt;"Pago proveedor",C1986&lt;&gt;"Retiro familiar",C1986&lt;&gt;"Aportación",C1986&lt;&gt;"Pago activo",C1986&lt;&gt;"ISR devengado",C1986&lt;&gt;"Pago ISR",C1986&lt;&gt;"Pago IVA",C1986&lt;&gt;"Compensación ISR",C1986&lt;&gt;"Compensación IVA"),AND(C1986="Gasto",D1986&lt;&gt;"Costos clínicos",D1986&lt;&gt;"Remuneración familiar",D1986&lt;&gt;"Nómina y honorarios",D1986&lt;&gt;"Renta",D1986&lt;&gt;"Marketing",D1986&lt;&gt;"Servicios y software",D1986&lt;&gt;"Mantenimiento",D1986&lt;&gt;"Otros",D1986&lt;&gt;"Intereses")),"Tipo o categoría inválido",IF(COUNTA(A1986:J1986)=0,"",IF(OR(A1986="",B1986="",C1986="",H1986=""),"Faltan datos",IF(COUNTIF($A$7:$A$2006,A1986)&gt;1,"ID duplicado",IF(OR(B1986&lt;DATE(Configuración!$C$5,1,1),B1986&gt;=DATE(Configuración!$C$5+1,1,1)),"Fecha fuera del año",IF(OR(H1986&lt;0,I1986&lt;0),"Revisar signo",IF(AND(C1986&lt;&gt;"Gasto",I1986&lt;&gt;0),"IVA solo en Gasto",IF(AND(C1986="Gasto",D1986=""),"Falta categoría","OK")))))))))</f>
        <v/>
      </c>
    </row>
    <row r="1987" spans="1:12" ht="22" customHeight="1">
      <c r="A1987" s="3"/>
      <c r="B1987" s="7"/>
      <c r="C1987" s="3"/>
      <c r="D1987" s="3"/>
      <c r="E1987" s="3"/>
      <c r="F1987" s="3"/>
      <c r="G1987" s="3"/>
      <c r="H1987" s="4"/>
      <c r="I1987" s="4"/>
      <c r="J1987" s="3"/>
      <c r="K1987" s="8" t="str">
        <f t="shared" si="30"/>
        <v/>
      </c>
      <c r="L1987" s="1" t="str">
        <f>IF(COUNTA(A1987:J1987)=0,"",IF(OR(AND(C1987&lt;&gt;"Gasto",C1987&lt;&gt;"Pago proveedor",C1987&lt;&gt;"Retiro familiar",C1987&lt;&gt;"Aportación",C1987&lt;&gt;"Pago activo",C1987&lt;&gt;"ISR devengado",C1987&lt;&gt;"Pago ISR",C1987&lt;&gt;"Pago IVA",C1987&lt;&gt;"Compensación ISR",C1987&lt;&gt;"Compensación IVA"),AND(C1987="Gasto",D1987&lt;&gt;"Costos clínicos",D1987&lt;&gt;"Remuneración familiar",D1987&lt;&gt;"Nómina y honorarios",D1987&lt;&gt;"Renta",D1987&lt;&gt;"Marketing",D1987&lt;&gt;"Servicios y software",D1987&lt;&gt;"Mantenimiento",D1987&lt;&gt;"Otros",D1987&lt;&gt;"Intereses")),"Tipo o categoría inválido",IF(COUNTA(A1987:J1987)=0,"",IF(OR(A1987="",B1987="",C1987="",H1987=""),"Faltan datos",IF(COUNTIF($A$7:$A$2006,A1987)&gt;1,"ID duplicado",IF(OR(B1987&lt;DATE(Configuración!$C$5,1,1),B1987&gt;=DATE(Configuración!$C$5+1,1,1)),"Fecha fuera del año",IF(OR(H1987&lt;0,I1987&lt;0),"Revisar signo",IF(AND(C1987&lt;&gt;"Gasto",I1987&lt;&gt;0),"IVA solo en Gasto",IF(AND(C1987="Gasto",D1987=""),"Falta categoría","OK")))))))))</f>
        <v/>
      </c>
    </row>
    <row r="1988" spans="1:12" ht="22" customHeight="1">
      <c r="A1988" s="3"/>
      <c r="B1988" s="7"/>
      <c r="C1988" s="3"/>
      <c r="D1988" s="3"/>
      <c r="E1988" s="3"/>
      <c r="F1988" s="3"/>
      <c r="G1988" s="3"/>
      <c r="H1988" s="4"/>
      <c r="I1988" s="4"/>
      <c r="J1988" s="3"/>
      <c r="K1988" s="8" t="str">
        <f t="shared" si="30"/>
        <v/>
      </c>
      <c r="L1988" s="1" t="str">
        <f>IF(COUNTA(A1988:J1988)=0,"",IF(OR(AND(C1988&lt;&gt;"Gasto",C1988&lt;&gt;"Pago proveedor",C1988&lt;&gt;"Retiro familiar",C1988&lt;&gt;"Aportación",C1988&lt;&gt;"Pago activo",C1988&lt;&gt;"ISR devengado",C1988&lt;&gt;"Pago ISR",C1988&lt;&gt;"Pago IVA",C1988&lt;&gt;"Compensación ISR",C1988&lt;&gt;"Compensación IVA"),AND(C1988="Gasto",D1988&lt;&gt;"Costos clínicos",D1988&lt;&gt;"Remuneración familiar",D1988&lt;&gt;"Nómina y honorarios",D1988&lt;&gt;"Renta",D1988&lt;&gt;"Marketing",D1988&lt;&gt;"Servicios y software",D1988&lt;&gt;"Mantenimiento",D1988&lt;&gt;"Otros",D1988&lt;&gt;"Intereses")),"Tipo o categoría inválido",IF(COUNTA(A1988:J1988)=0,"",IF(OR(A1988="",B1988="",C1988="",H1988=""),"Faltan datos",IF(COUNTIF($A$7:$A$2006,A1988)&gt;1,"ID duplicado",IF(OR(B1988&lt;DATE(Configuración!$C$5,1,1),B1988&gt;=DATE(Configuración!$C$5+1,1,1)),"Fecha fuera del año",IF(OR(H1988&lt;0,I1988&lt;0),"Revisar signo",IF(AND(C1988&lt;&gt;"Gasto",I1988&lt;&gt;0),"IVA solo en Gasto",IF(AND(C1988="Gasto",D1988=""),"Falta categoría","OK")))))))))</f>
        <v/>
      </c>
    </row>
    <row r="1989" spans="1:12" ht="22" customHeight="1">
      <c r="A1989" s="3"/>
      <c r="B1989" s="7"/>
      <c r="C1989" s="3"/>
      <c r="D1989" s="3"/>
      <c r="E1989" s="3"/>
      <c r="F1989" s="3"/>
      <c r="G1989" s="3"/>
      <c r="H1989" s="4"/>
      <c r="I1989" s="4"/>
      <c r="J1989" s="3"/>
      <c r="K1989" s="8" t="str">
        <f t="shared" si="30"/>
        <v/>
      </c>
      <c r="L1989" s="1" t="str">
        <f>IF(COUNTA(A1989:J1989)=0,"",IF(OR(AND(C1989&lt;&gt;"Gasto",C1989&lt;&gt;"Pago proveedor",C1989&lt;&gt;"Retiro familiar",C1989&lt;&gt;"Aportación",C1989&lt;&gt;"Pago activo",C1989&lt;&gt;"ISR devengado",C1989&lt;&gt;"Pago ISR",C1989&lt;&gt;"Pago IVA",C1989&lt;&gt;"Compensación ISR",C1989&lt;&gt;"Compensación IVA"),AND(C1989="Gasto",D1989&lt;&gt;"Costos clínicos",D1989&lt;&gt;"Remuneración familiar",D1989&lt;&gt;"Nómina y honorarios",D1989&lt;&gt;"Renta",D1989&lt;&gt;"Marketing",D1989&lt;&gt;"Servicios y software",D1989&lt;&gt;"Mantenimiento",D1989&lt;&gt;"Otros",D1989&lt;&gt;"Intereses")),"Tipo o categoría inválido",IF(COUNTA(A1989:J1989)=0,"",IF(OR(A1989="",B1989="",C1989="",H1989=""),"Faltan datos",IF(COUNTIF($A$7:$A$2006,A1989)&gt;1,"ID duplicado",IF(OR(B1989&lt;DATE(Configuración!$C$5,1,1),B1989&gt;=DATE(Configuración!$C$5+1,1,1)),"Fecha fuera del año",IF(OR(H1989&lt;0,I1989&lt;0),"Revisar signo",IF(AND(C1989&lt;&gt;"Gasto",I1989&lt;&gt;0),"IVA solo en Gasto",IF(AND(C1989="Gasto",D1989=""),"Falta categoría","OK")))))))))</f>
        <v/>
      </c>
    </row>
    <row r="1990" spans="1:12" ht="22" customHeight="1">
      <c r="A1990" s="3"/>
      <c r="B1990" s="7"/>
      <c r="C1990" s="3"/>
      <c r="D1990" s="3"/>
      <c r="E1990" s="3"/>
      <c r="F1990" s="3"/>
      <c r="G1990" s="3"/>
      <c r="H1990" s="4"/>
      <c r="I1990" s="4"/>
      <c r="J1990" s="3"/>
      <c r="K1990" s="8" t="str">
        <f t="shared" si="30"/>
        <v/>
      </c>
      <c r="L1990" s="1" t="str">
        <f>IF(COUNTA(A1990:J1990)=0,"",IF(OR(AND(C1990&lt;&gt;"Gasto",C1990&lt;&gt;"Pago proveedor",C1990&lt;&gt;"Retiro familiar",C1990&lt;&gt;"Aportación",C1990&lt;&gt;"Pago activo",C1990&lt;&gt;"ISR devengado",C1990&lt;&gt;"Pago ISR",C1990&lt;&gt;"Pago IVA",C1990&lt;&gt;"Compensación ISR",C1990&lt;&gt;"Compensación IVA"),AND(C1990="Gasto",D1990&lt;&gt;"Costos clínicos",D1990&lt;&gt;"Remuneración familiar",D1990&lt;&gt;"Nómina y honorarios",D1990&lt;&gt;"Renta",D1990&lt;&gt;"Marketing",D1990&lt;&gt;"Servicios y software",D1990&lt;&gt;"Mantenimiento",D1990&lt;&gt;"Otros",D1990&lt;&gt;"Intereses")),"Tipo o categoría inválido",IF(COUNTA(A1990:J1990)=0,"",IF(OR(A1990="",B1990="",C1990="",H1990=""),"Faltan datos",IF(COUNTIF($A$7:$A$2006,A1990)&gt;1,"ID duplicado",IF(OR(B1990&lt;DATE(Configuración!$C$5,1,1),B1990&gt;=DATE(Configuración!$C$5+1,1,1)),"Fecha fuera del año",IF(OR(H1990&lt;0,I1990&lt;0),"Revisar signo",IF(AND(C1990&lt;&gt;"Gasto",I1990&lt;&gt;0),"IVA solo en Gasto",IF(AND(C1990="Gasto",D1990=""),"Falta categoría","OK")))))))))</f>
        <v/>
      </c>
    </row>
    <row r="1991" spans="1:12" ht="22" customHeight="1">
      <c r="A1991" s="3"/>
      <c r="B1991" s="7"/>
      <c r="C1991" s="3"/>
      <c r="D1991" s="3"/>
      <c r="E1991" s="3"/>
      <c r="F1991" s="3"/>
      <c r="G1991" s="3"/>
      <c r="H1991" s="4"/>
      <c r="I1991" s="4"/>
      <c r="J1991" s="3"/>
      <c r="K1991" s="8" t="str">
        <f t="shared" ref="K1991:K2006" si="31">IF(A1991="","",H1991+I1991)</f>
        <v/>
      </c>
      <c r="L1991" s="1" t="str">
        <f>IF(COUNTA(A1991:J1991)=0,"",IF(OR(AND(C1991&lt;&gt;"Gasto",C1991&lt;&gt;"Pago proveedor",C1991&lt;&gt;"Retiro familiar",C1991&lt;&gt;"Aportación",C1991&lt;&gt;"Pago activo",C1991&lt;&gt;"ISR devengado",C1991&lt;&gt;"Pago ISR",C1991&lt;&gt;"Pago IVA",C1991&lt;&gt;"Compensación ISR",C1991&lt;&gt;"Compensación IVA"),AND(C1991="Gasto",D1991&lt;&gt;"Costos clínicos",D1991&lt;&gt;"Remuneración familiar",D1991&lt;&gt;"Nómina y honorarios",D1991&lt;&gt;"Renta",D1991&lt;&gt;"Marketing",D1991&lt;&gt;"Servicios y software",D1991&lt;&gt;"Mantenimiento",D1991&lt;&gt;"Otros",D1991&lt;&gt;"Intereses")),"Tipo o categoría inválido",IF(COUNTA(A1991:J1991)=0,"",IF(OR(A1991="",B1991="",C1991="",H1991=""),"Faltan datos",IF(COUNTIF($A$7:$A$2006,A1991)&gt;1,"ID duplicado",IF(OR(B1991&lt;DATE(Configuración!$C$5,1,1),B1991&gt;=DATE(Configuración!$C$5+1,1,1)),"Fecha fuera del año",IF(OR(H1991&lt;0,I1991&lt;0),"Revisar signo",IF(AND(C1991&lt;&gt;"Gasto",I1991&lt;&gt;0),"IVA solo en Gasto",IF(AND(C1991="Gasto",D1991=""),"Falta categoría","OK")))))))))</f>
        <v/>
      </c>
    </row>
    <row r="1992" spans="1:12" ht="22" customHeight="1">
      <c r="A1992" s="3"/>
      <c r="B1992" s="7"/>
      <c r="C1992" s="3"/>
      <c r="D1992" s="3"/>
      <c r="E1992" s="3"/>
      <c r="F1992" s="3"/>
      <c r="G1992" s="3"/>
      <c r="H1992" s="4"/>
      <c r="I1992" s="4"/>
      <c r="J1992" s="3"/>
      <c r="K1992" s="8" t="str">
        <f t="shared" si="31"/>
        <v/>
      </c>
      <c r="L1992" s="1" t="str">
        <f>IF(COUNTA(A1992:J1992)=0,"",IF(OR(AND(C1992&lt;&gt;"Gasto",C1992&lt;&gt;"Pago proveedor",C1992&lt;&gt;"Retiro familiar",C1992&lt;&gt;"Aportación",C1992&lt;&gt;"Pago activo",C1992&lt;&gt;"ISR devengado",C1992&lt;&gt;"Pago ISR",C1992&lt;&gt;"Pago IVA",C1992&lt;&gt;"Compensación ISR",C1992&lt;&gt;"Compensación IVA"),AND(C1992="Gasto",D1992&lt;&gt;"Costos clínicos",D1992&lt;&gt;"Remuneración familiar",D1992&lt;&gt;"Nómina y honorarios",D1992&lt;&gt;"Renta",D1992&lt;&gt;"Marketing",D1992&lt;&gt;"Servicios y software",D1992&lt;&gt;"Mantenimiento",D1992&lt;&gt;"Otros",D1992&lt;&gt;"Intereses")),"Tipo o categoría inválido",IF(COUNTA(A1992:J1992)=0,"",IF(OR(A1992="",B1992="",C1992="",H1992=""),"Faltan datos",IF(COUNTIF($A$7:$A$2006,A1992)&gt;1,"ID duplicado",IF(OR(B1992&lt;DATE(Configuración!$C$5,1,1),B1992&gt;=DATE(Configuración!$C$5+1,1,1)),"Fecha fuera del año",IF(OR(H1992&lt;0,I1992&lt;0),"Revisar signo",IF(AND(C1992&lt;&gt;"Gasto",I1992&lt;&gt;0),"IVA solo en Gasto",IF(AND(C1992="Gasto",D1992=""),"Falta categoría","OK")))))))))</f>
        <v/>
      </c>
    </row>
    <row r="1993" spans="1:12" ht="22" customHeight="1">
      <c r="A1993" s="3"/>
      <c r="B1993" s="7"/>
      <c r="C1993" s="3"/>
      <c r="D1993" s="3"/>
      <c r="E1993" s="3"/>
      <c r="F1993" s="3"/>
      <c r="G1993" s="3"/>
      <c r="H1993" s="4"/>
      <c r="I1993" s="4"/>
      <c r="J1993" s="3"/>
      <c r="K1993" s="8" t="str">
        <f t="shared" si="31"/>
        <v/>
      </c>
      <c r="L1993" s="1" t="str">
        <f>IF(COUNTA(A1993:J1993)=0,"",IF(OR(AND(C1993&lt;&gt;"Gasto",C1993&lt;&gt;"Pago proveedor",C1993&lt;&gt;"Retiro familiar",C1993&lt;&gt;"Aportación",C1993&lt;&gt;"Pago activo",C1993&lt;&gt;"ISR devengado",C1993&lt;&gt;"Pago ISR",C1993&lt;&gt;"Pago IVA",C1993&lt;&gt;"Compensación ISR",C1993&lt;&gt;"Compensación IVA"),AND(C1993="Gasto",D1993&lt;&gt;"Costos clínicos",D1993&lt;&gt;"Remuneración familiar",D1993&lt;&gt;"Nómina y honorarios",D1993&lt;&gt;"Renta",D1993&lt;&gt;"Marketing",D1993&lt;&gt;"Servicios y software",D1993&lt;&gt;"Mantenimiento",D1993&lt;&gt;"Otros",D1993&lt;&gt;"Intereses")),"Tipo o categoría inválido",IF(COUNTA(A1993:J1993)=0,"",IF(OR(A1993="",B1993="",C1993="",H1993=""),"Faltan datos",IF(COUNTIF($A$7:$A$2006,A1993)&gt;1,"ID duplicado",IF(OR(B1993&lt;DATE(Configuración!$C$5,1,1),B1993&gt;=DATE(Configuración!$C$5+1,1,1)),"Fecha fuera del año",IF(OR(H1993&lt;0,I1993&lt;0),"Revisar signo",IF(AND(C1993&lt;&gt;"Gasto",I1993&lt;&gt;0),"IVA solo en Gasto",IF(AND(C1993="Gasto",D1993=""),"Falta categoría","OK")))))))))</f>
        <v/>
      </c>
    </row>
    <row r="1994" spans="1:12" ht="22" customHeight="1">
      <c r="A1994" s="3"/>
      <c r="B1994" s="7"/>
      <c r="C1994" s="3"/>
      <c r="D1994" s="3"/>
      <c r="E1994" s="3"/>
      <c r="F1994" s="3"/>
      <c r="G1994" s="3"/>
      <c r="H1994" s="4"/>
      <c r="I1994" s="4"/>
      <c r="J1994" s="3"/>
      <c r="K1994" s="8" t="str">
        <f t="shared" si="31"/>
        <v/>
      </c>
      <c r="L1994" s="1" t="str">
        <f>IF(COUNTA(A1994:J1994)=0,"",IF(OR(AND(C1994&lt;&gt;"Gasto",C1994&lt;&gt;"Pago proveedor",C1994&lt;&gt;"Retiro familiar",C1994&lt;&gt;"Aportación",C1994&lt;&gt;"Pago activo",C1994&lt;&gt;"ISR devengado",C1994&lt;&gt;"Pago ISR",C1994&lt;&gt;"Pago IVA",C1994&lt;&gt;"Compensación ISR",C1994&lt;&gt;"Compensación IVA"),AND(C1994="Gasto",D1994&lt;&gt;"Costos clínicos",D1994&lt;&gt;"Remuneración familiar",D1994&lt;&gt;"Nómina y honorarios",D1994&lt;&gt;"Renta",D1994&lt;&gt;"Marketing",D1994&lt;&gt;"Servicios y software",D1994&lt;&gt;"Mantenimiento",D1994&lt;&gt;"Otros",D1994&lt;&gt;"Intereses")),"Tipo o categoría inválido",IF(COUNTA(A1994:J1994)=0,"",IF(OR(A1994="",B1994="",C1994="",H1994=""),"Faltan datos",IF(COUNTIF($A$7:$A$2006,A1994)&gt;1,"ID duplicado",IF(OR(B1994&lt;DATE(Configuración!$C$5,1,1),B1994&gt;=DATE(Configuración!$C$5+1,1,1)),"Fecha fuera del año",IF(OR(H1994&lt;0,I1994&lt;0),"Revisar signo",IF(AND(C1994&lt;&gt;"Gasto",I1994&lt;&gt;0),"IVA solo en Gasto",IF(AND(C1994="Gasto",D1994=""),"Falta categoría","OK")))))))))</f>
        <v/>
      </c>
    </row>
    <row r="1995" spans="1:12" ht="22" customHeight="1">
      <c r="A1995" s="3"/>
      <c r="B1995" s="7"/>
      <c r="C1995" s="3"/>
      <c r="D1995" s="3"/>
      <c r="E1995" s="3"/>
      <c r="F1995" s="3"/>
      <c r="G1995" s="3"/>
      <c r="H1995" s="4"/>
      <c r="I1995" s="4"/>
      <c r="J1995" s="3"/>
      <c r="K1995" s="8" t="str">
        <f t="shared" si="31"/>
        <v/>
      </c>
      <c r="L1995" s="1" t="str">
        <f>IF(COUNTA(A1995:J1995)=0,"",IF(OR(AND(C1995&lt;&gt;"Gasto",C1995&lt;&gt;"Pago proveedor",C1995&lt;&gt;"Retiro familiar",C1995&lt;&gt;"Aportación",C1995&lt;&gt;"Pago activo",C1995&lt;&gt;"ISR devengado",C1995&lt;&gt;"Pago ISR",C1995&lt;&gt;"Pago IVA",C1995&lt;&gt;"Compensación ISR",C1995&lt;&gt;"Compensación IVA"),AND(C1995="Gasto",D1995&lt;&gt;"Costos clínicos",D1995&lt;&gt;"Remuneración familiar",D1995&lt;&gt;"Nómina y honorarios",D1995&lt;&gt;"Renta",D1995&lt;&gt;"Marketing",D1995&lt;&gt;"Servicios y software",D1995&lt;&gt;"Mantenimiento",D1995&lt;&gt;"Otros",D1995&lt;&gt;"Intereses")),"Tipo o categoría inválido",IF(COUNTA(A1995:J1995)=0,"",IF(OR(A1995="",B1995="",C1995="",H1995=""),"Faltan datos",IF(COUNTIF($A$7:$A$2006,A1995)&gt;1,"ID duplicado",IF(OR(B1995&lt;DATE(Configuración!$C$5,1,1),B1995&gt;=DATE(Configuración!$C$5+1,1,1)),"Fecha fuera del año",IF(OR(H1995&lt;0,I1995&lt;0),"Revisar signo",IF(AND(C1995&lt;&gt;"Gasto",I1995&lt;&gt;0),"IVA solo en Gasto",IF(AND(C1995="Gasto",D1995=""),"Falta categoría","OK")))))))))</f>
        <v/>
      </c>
    </row>
    <row r="1996" spans="1:12" ht="22" customHeight="1">
      <c r="A1996" s="3"/>
      <c r="B1996" s="7"/>
      <c r="C1996" s="3"/>
      <c r="D1996" s="3"/>
      <c r="E1996" s="3"/>
      <c r="F1996" s="3"/>
      <c r="G1996" s="3"/>
      <c r="H1996" s="4"/>
      <c r="I1996" s="4"/>
      <c r="J1996" s="3"/>
      <c r="K1996" s="8" t="str">
        <f t="shared" si="31"/>
        <v/>
      </c>
      <c r="L1996" s="1" t="str">
        <f>IF(COUNTA(A1996:J1996)=0,"",IF(OR(AND(C1996&lt;&gt;"Gasto",C1996&lt;&gt;"Pago proveedor",C1996&lt;&gt;"Retiro familiar",C1996&lt;&gt;"Aportación",C1996&lt;&gt;"Pago activo",C1996&lt;&gt;"ISR devengado",C1996&lt;&gt;"Pago ISR",C1996&lt;&gt;"Pago IVA",C1996&lt;&gt;"Compensación ISR",C1996&lt;&gt;"Compensación IVA"),AND(C1996="Gasto",D1996&lt;&gt;"Costos clínicos",D1996&lt;&gt;"Remuneración familiar",D1996&lt;&gt;"Nómina y honorarios",D1996&lt;&gt;"Renta",D1996&lt;&gt;"Marketing",D1996&lt;&gt;"Servicios y software",D1996&lt;&gt;"Mantenimiento",D1996&lt;&gt;"Otros",D1996&lt;&gt;"Intereses")),"Tipo o categoría inválido",IF(COUNTA(A1996:J1996)=0,"",IF(OR(A1996="",B1996="",C1996="",H1996=""),"Faltan datos",IF(COUNTIF($A$7:$A$2006,A1996)&gt;1,"ID duplicado",IF(OR(B1996&lt;DATE(Configuración!$C$5,1,1),B1996&gt;=DATE(Configuración!$C$5+1,1,1)),"Fecha fuera del año",IF(OR(H1996&lt;0,I1996&lt;0),"Revisar signo",IF(AND(C1996&lt;&gt;"Gasto",I1996&lt;&gt;0),"IVA solo en Gasto",IF(AND(C1996="Gasto",D1996=""),"Falta categoría","OK")))))))))</f>
        <v/>
      </c>
    </row>
    <row r="1997" spans="1:12" ht="22" customHeight="1">
      <c r="A1997" s="3"/>
      <c r="B1997" s="7"/>
      <c r="C1997" s="3"/>
      <c r="D1997" s="3"/>
      <c r="E1997" s="3"/>
      <c r="F1997" s="3"/>
      <c r="G1997" s="3"/>
      <c r="H1997" s="4"/>
      <c r="I1997" s="4"/>
      <c r="J1997" s="3"/>
      <c r="K1997" s="8" t="str">
        <f t="shared" si="31"/>
        <v/>
      </c>
      <c r="L1997" s="1" t="str">
        <f>IF(COUNTA(A1997:J1997)=0,"",IF(OR(AND(C1997&lt;&gt;"Gasto",C1997&lt;&gt;"Pago proveedor",C1997&lt;&gt;"Retiro familiar",C1997&lt;&gt;"Aportación",C1997&lt;&gt;"Pago activo",C1997&lt;&gt;"ISR devengado",C1997&lt;&gt;"Pago ISR",C1997&lt;&gt;"Pago IVA",C1997&lt;&gt;"Compensación ISR",C1997&lt;&gt;"Compensación IVA"),AND(C1997="Gasto",D1997&lt;&gt;"Costos clínicos",D1997&lt;&gt;"Remuneración familiar",D1997&lt;&gt;"Nómina y honorarios",D1997&lt;&gt;"Renta",D1997&lt;&gt;"Marketing",D1997&lt;&gt;"Servicios y software",D1997&lt;&gt;"Mantenimiento",D1997&lt;&gt;"Otros",D1997&lt;&gt;"Intereses")),"Tipo o categoría inválido",IF(COUNTA(A1997:J1997)=0,"",IF(OR(A1997="",B1997="",C1997="",H1997=""),"Faltan datos",IF(COUNTIF($A$7:$A$2006,A1997)&gt;1,"ID duplicado",IF(OR(B1997&lt;DATE(Configuración!$C$5,1,1),B1997&gt;=DATE(Configuración!$C$5+1,1,1)),"Fecha fuera del año",IF(OR(H1997&lt;0,I1997&lt;0),"Revisar signo",IF(AND(C1997&lt;&gt;"Gasto",I1997&lt;&gt;0),"IVA solo en Gasto",IF(AND(C1997="Gasto",D1997=""),"Falta categoría","OK")))))))))</f>
        <v/>
      </c>
    </row>
    <row r="1998" spans="1:12" ht="22" customHeight="1">
      <c r="A1998" s="3"/>
      <c r="B1998" s="7"/>
      <c r="C1998" s="3"/>
      <c r="D1998" s="3"/>
      <c r="E1998" s="3"/>
      <c r="F1998" s="3"/>
      <c r="G1998" s="3"/>
      <c r="H1998" s="4"/>
      <c r="I1998" s="4"/>
      <c r="J1998" s="3"/>
      <c r="K1998" s="8" t="str">
        <f t="shared" si="31"/>
        <v/>
      </c>
      <c r="L1998" s="1" t="str">
        <f>IF(COUNTA(A1998:J1998)=0,"",IF(OR(AND(C1998&lt;&gt;"Gasto",C1998&lt;&gt;"Pago proveedor",C1998&lt;&gt;"Retiro familiar",C1998&lt;&gt;"Aportación",C1998&lt;&gt;"Pago activo",C1998&lt;&gt;"ISR devengado",C1998&lt;&gt;"Pago ISR",C1998&lt;&gt;"Pago IVA",C1998&lt;&gt;"Compensación ISR",C1998&lt;&gt;"Compensación IVA"),AND(C1998="Gasto",D1998&lt;&gt;"Costos clínicos",D1998&lt;&gt;"Remuneración familiar",D1998&lt;&gt;"Nómina y honorarios",D1998&lt;&gt;"Renta",D1998&lt;&gt;"Marketing",D1998&lt;&gt;"Servicios y software",D1998&lt;&gt;"Mantenimiento",D1998&lt;&gt;"Otros",D1998&lt;&gt;"Intereses")),"Tipo o categoría inválido",IF(COUNTA(A1998:J1998)=0,"",IF(OR(A1998="",B1998="",C1998="",H1998=""),"Faltan datos",IF(COUNTIF($A$7:$A$2006,A1998)&gt;1,"ID duplicado",IF(OR(B1998&lt;DATE(Configuración!$C$5,1,1),B1998&gt;=DATE(Configuración!$C$5+1,1,1)),"Fecha fuera del año",IF(OR(H1998&lt;0,I1998&lt;0),"Revisar signo",IF(AND(C1998&lt;&gt;"Gasto",I1998&lt;&gt;0),"IVA solo en Gasto",IF(AND(C1998="Gasto",D1998=""),"Falta categoría","OK")))))))))</f>
        <v/>
      </c>
    </row>
    <row r="1999" spans="1:12" ht="22" customHeight="1">
      <c r="A1999" s="3"/>
      <c r="B1999" s="7"/>
      <c r="C1999" s="3"/>
      <c r="D1999" s="3"/>
      <c r="E1999" s="3"/>
      <c r="F1999" s="3"/>
      <c r="G1999" s="3"/>
      <c r="H1999" s="4"/>
      <c r="I1999" s="4"/>
      <c r="J1999" s="3"/>
      <c r="K1999" s="8" t="str">
        <f t="shared" si="31"/>
        <v/>
      </c>
      <c r="L1999" s="1" t="str">
        <f>IF(COUNTA(A1999:J1999)=0,"",IF(OR(AND(C1999&lt;&gt;"Gasto",C1999&lt;&gt;"Pago proveedor",C1999&lt;&gt;"Retiro familiar",C1999&lt;&gt;"Aportación",C1999&lt;&gt;"Pago activo",C1999&lt;&gt;"ISR devengado",C1999&lt;&gt;"Pago ISR",C1999&lt;&gt;"Pago IVA",C1999&lt;&gt;"Compensación ISR",C1999&lt;&gt;"Compensación IVA"),AND(C1999="Gasto",D1999&lt;&gt;"Costos clínicos",D1999&lt;&gt;"Remuneración familiar",D1999&lt;&gt;"Nómina y honorarios",D1999&lt;&gt;"Renta",D1999&lt;&gt;"Marketing",D1999&lt;&gt;"Servicios y software",D1999&lt;&gt;"Mantenimiento",D1999&lt;&gt;"Otros",D1999&lt;&gt;"Intereses")),"Tipo o categoría inválido",IF(COUNTA(A1999:J1999)=0,"",IF(OR(A1999="",B1999="",C1999="",H1999=""),"Faltan datos",IF(COUNTIF($A$7:$A$2006,A1999)&gt;1,"ID duplicado",IF(OR(B1999&lt;DATE(Configuración!$C$5,1,1),B1999&gt;=DATE(Configuración!$C$5+1,1,1)),"Fecha fuera del año",IF(OR(H1999&lt;0,I1999&lt;0),"Revisar signo",IF(AND(C1999&lt;&gt;"Gasto",I1999&lt;&gt;0),"IVA solo en Gasto",IF(AND(C1999="Gasto",D1999=""),"Falta categoría","OK")))))))))</f>
        <v/>
      </c>
    </row>
    <row r="2000" spans="1:12" ht="22" customHeight="1">
      <c r="A2000" s="3"/>
      <c r="B2000" s="7"/>
      <c r="C2000" s="3"/>
      <c r="D2000" s="3"/>
      <c r="E2000" s="3"/>
      <c r="F2000" s="3"/>
      <c r="G2000" s="3"/>
      <c r="H2000" s="4"/>
      <c r="I2000" s="4"/>
      <c r="J2000" s="3"/>
      <c r="K2000" s="8" t="str">
        <f t="shared" si="31"/>
        <v/>
      </c>
      <c r="L2000" s="1" t="str">
        <f>IF(COUNTA(A2000:J2000)=0,"",IF(OR(AND(C2000&lt;&gt;"Gasto",C2000&lt;&gt;"Pago proveedor",C2000&lt;&gt;"Retiro familiar",C2000&lt;&gt;"Aportación",C2000&lt;&gt;"Pago activo",C2000&lt;&gt;"ISR devengado",C2000&lt;&gt;"Pago ISR",C2000&lt;&gt;"Pago IVA",C2000&lt;&gt;"Compensación ISR",C2000&lt;&gt;"Compensación IVA"),AND(C2000="Gasto",D2000&lt;&gt;"Costos clínicos",D2000&lt;&gt;"Remuneración familiar",D2000&lt;&gt;"Nómina y honorarios",D2000&lt;&gt;"Renta",D2000&lt;&gt;"Marketing",D2000&lt;&gt;"Servicios y software",D2000&lt;&gt;"Mantenimiento",D2000&lt;&gt;"Otros",D2000&lt;&gt;"Intereses")),"Tipo o categoría inválido",IF(COUNTA(A2000:J2000)=0,"",IF(OR(A2000="",B2000="",C2000="",H2000=""),"Faltan datos",IF(COUNTIF($A$7:$A$2006,A2000)&gt;1,"ID duplicado",IF(OR(B2000&lt;DATE(Configuración!$C$5,1,1),B2000&gt;=DATE(Configuración!$C$5+1,1,1)),"Fecha fuera del año",IF(OR(H2000&lt;0,I2000&lt;0),"Revisar signo",IF(AND(C2000&lt;&gt;"Gasto",I2000&lt;&gt;0),"IVA solo en Gasto",IF(AND(C2000="Gasto",D2000=""),"Falta categoría","OK")))))))))</f>
        <v/>
      </c>
    </row>
    <row r="2001" spans="1:12" ht="22" customHeight="1">
      <c r="A2001" s="3"/>
      <c r="B2001" s="7"/>
      <c r="C2001" s="3"/>
      <c r="D2001" s="3"/>
      <c r="E2001" s="3"/>
      <c r="F2001" s="3"/>
      <c r="G2001" s="3"/>
      <c r="H2001" s="4"/>
      <c r="I2001" s="4"/>
      <c r="J2001" s="3"/>
      <c r="K2001" s="8" t="str">
        <f t="shared" si="31"/>
        <v/>
      </c>
      <c r="L2001" s="1" t="str">
        <f>IF(COUNTA(A2001:J2001)=0,"",IF(OR(AND(C2001&lt;&gt;"Gasto",C2001&lt;&gt;"Pago proveedor",C2001&lt;&gt;"Retiro familiar",C2001&lt;&gt;"Aportación",C2001&lt;&gt;"Pago activo",C2001&lt;&gt;"ISR devengado",C2001&lt;&gt;"Pago ISR",C2001&lt;&gt;"Pago IVA",C2001&lt;&gt;"Compensación ISR",C2001&lt;&gt;"Compensación IVA"),AND(C2001="Gasto",D2001&lt;&gt;"Costos clínicos",D2001&lt;&gt;"Remuneración familiar",D2001&lt;&gt;"Nómina y honorarios",D2001&lt;&gt;"Renta",D2001&lt;&gt;"Marketing",D2001&lt;&gt;"Servicios y software",D2001&lt;&gt;"Mantenimiento",D2001&lt;&gt;"Otros",D2001&lt;&gt;"Intereses")),"Tipo o categoría inválido",IF(COUNTA(A2001:J2001)=0,"",IF(OR(A2001="",B2001="",C2001="",H2001=""),"Faltan datos",IF(COUNTIF($A$7:$A$2006,A2001)&gt;1,"ID duplicado",IF(OR(B2001&lt;DATE(Configuración!$C$5,1,1),B2001&gt;=DATE(Configuración!$C$5+1,1,1)),"Fecha fuera del año",IF(OR(H2001&lt;0,I2001&lt;0),"Revisar signo",IF(AND(C2001&lt;&gt;"Gasto",I2001&lt;&gt;0),"IVA solo en Gasto",IF(AND(C2001="Gasto",D2001=""),"Falta categoría","OK")))))))))</f>
        <v/>
      </c>
    </row>
    <row r="2002" spans="1:12" ht="22" customHeight="1">
      <c r="A2002" s="3"/>
      <c r="B2002" s="7"/>
      <c r="C2002" s="3"/>
      <c r="D2002" s="3"/>
      <c r="E2002" s="3"/>
      <c r="F2002" s="3"/>
      <c r="G2002" s="3"/>
      <c r="H2002" s="4"/>
      <c r="I2002" s="4"/>
      <c r="J2002" s="3"/>
      <c r="K2002" s="8" t="str">
        <f t="shared" si="31"/>
        <v/>
      </c>
      <c r="L2002" s="1" t="str">
        <f>IF(COUNTA(A2002:J2002)=0,"",IF(OR(AND(C2002&lt;&gt;"Gasto",C2002&lt;&gt;"Pago proveedor",C2002&lt;&gt;"Retiro familiar",C2002&lt;&gt;"Aportación",C2002&lt;&gt;"Pago activo",C2002&lt;&gt;"ISR devengado",C2002&lt;&gt;"Pago ISR",C2002&lt;&gt;"Pago IVA",C2002&lt;&gt;"Compensación ISR",C2002&lt;&gt;"Compensación IVA"),AND(C2002="Gasto",D2002&lt;&gt;"Costos clínicos",D2002&lt;&gt;"Remuneración familiar",D2002&lt;&gt;"Nómina y honorarios",D2002&lt;&gt;"Renta",D2002&lt;&gt;"Marketing",D2002&lt;&gt;"Servicios y software",D2002&lt;&gt;"Mantenimiento",D2002&lt;&gt;"Otros",D2002&lt;&gt;"Intereses")),"Tipo o categoría inválido",IF(COUNTA(A2002:J2002)=0,"",IF(OR(A2002="",B2002="",C2002="",H2002=""),"Faltan datos",IF(COUNTIF($A$7:$A$2006,A2002)&gt;1,"ID duplicado",IF(OR(B2002&lt;DATE(Configuración!$C$5,1,1),B2002&gt;=DATE(Configuración!$C$5+1,1,1)),"Fecha fuera del año",IF(OR(H2002&lt;0,I2002&lt;0),"Revisar signo",IF(AND(C2002&lt;&gt;"Gasto",I2002&lt;&gt;0),"IVA solo en Gasto",IF(AND(C2002="Gasto",D2002=""),"Falta categoría","OK")))))))))</f>
        <v/>
      </c>
    </row>
    <row r="2003" spans="1:12" ht="22" customHeight="1">
      <c r="A2003" s="3"/>
      <c r="B2003" s="7"/>
      <c r="C2003" s="3"/>
      <c r="D2003" s="3"/>
      <c r="E2003" s="3"/>
      <c r="F2003" s="3"/>
      <c r="G2003" s="3"/>
      <c r="H2003" s="4"/>
      <c r="I2003" s="4"/>
      <c r="J2003" s="3"/>
      <c r="K2003" s="8" t="str">
        <f t="shared" si="31"/>
        <v/>
      </c>
      <c r="L2003" s="1" t="str">
        <f>IF(COUNTA(A2003:J2003)=0,"",IF(OR(AND(C2003&lt;&gt;"Gasto",C2003&lt;&gt;"Pago proveedor",C2003&lt;&gt;"Retiro familiar",C2003&lt;&gt;"Aportación",C2003&lt;&gt;"Pago activo",C2003&lt;&gt;"ISR devengado",C2003&lt;&gt;"Pago ISR",C2003&lt;&gt;"Pago IVA",C2003&lt;&gt;"Compensación ISR",C2003&lt;&gt;"Compensación IVA"),AND(C2003="Gasto",D2003&lt;&gt;"Costos clínicos",D2003&lt;&gt;"Remuneración familiar",D2003&lt;&gt;"Nómina y honorarios",D2003&lt;&gt;"Renta",D2003&lt;&gt;"Marketing",D2003&lt;&gt;"Servicios y software",D2003&lt;&gt;"Mantenimiento",D2003&lt;&gt;"Otros",D2003&lt;&gt;"Intereses")),"Tipo o categoría inválido",IF(COUNTA(A2003:J2003)=0,"",IF(OR(A2003="",B2003="",C2003="",H2003=""),"Faltan datos",IF(COUNTIF($A$7:$A$2006,A2003)&gt;1,"ID duplicado",IF(OR(B2003&lt;DATE(Configuración!$C$5,1,1),B2003&gt;=DATE(Configuración!$C$5+1,1,1)),"Fecha fuera del año",IF(OR(H2003&lt;0,I2003&lt;0),"Revisar signo",IF(AND(C2003&lt;&gt;"Gasto",I2003&lt;&gt;0),"IVA solo en Gasto",IF(AND(C2003="Gasto",D2003=""),"Falta categoría","OK")))))))))</f>
        <v/>
      </c>
    </row>
    <row r="2004" spans="1:12" ht="22" customHeight="1">
      <c r="A2004" s="3"/>
      <c r="B2004" s="7"/>
      <c r="C2004" s="3"/>
      <c r="D2004" s="3"/>
      <c r="E2004" s="3"/>
      <c r="F2004" s="3"/>
      <c r="G2004" s="3"/>
      <c r="H2004" s="4"/>
      <c r="I2004" s="4"/>
      <c r="J2004" s="3"/>
      <c r="K2004" s="8" t="str">
        <f t="shared" si="31"/>
        <v/>
      </c>
      <c r="L2004" s="1" t="str">
        <f>IF(COUNTA(A2004:J2004)=0,"",IF(OR(AND(C2004&lt;&gt;"Gasto",C2004&lt;&gt;"Pago proveedor",C2004&lt;&gt;"Retiro familiar",C2004&lt;&gt;"Aportación",C2004&lt;&gt;"Pago activo",C2004&lt;&gt;"ISR devengado",C2004&lt;&gt;"Pago ISR",C2004&lt;&gt;"Pago IVA",C2004&lt;&gt;"Compensación ISR",C2004&lt;&gt;"Compensación IVA"),AND(C2004="Gasto",D2004&lt;&gt;"Costos clínicos",D2004&lt;&gt;"Remuneración familiar",D2004&lt;&gt;"Nómina y honorarios",D2004&lt;&gt;"Renta",D2004&lt;&gt;"Marketing",D2004&lt;&gt;"Servicios y software",D2004&lt;&gt;"Mantenimiento",D2004&lt;&gt;"Otros",D2004&lt;&gt;"Intereses")),"Tipo o categoría inválido",IF(COUNTA(A2004:J2004)=0,"",IF(OR(A2004="",B2004="",C2004="",H2004=""),"Faltan datos",IF(COUNTIF($A$7:$A$2006,A2004)&gt;1,"ID duplicado",IF(OR(B2004&lt;DATE(Configuración!$C$5,1,1),B2004&gt;=DATE(Configuración!$C$5+1,1,1)),"Fecha fuera del año",IF(OR(H2004&lt;0,I2004&lt;0),"Revisar signo",IF(AND(C2004&lt;&gt;"Gasto",I2004&lt;&gt;0),"IVA solo en Gasto",IF(AND(C2004="Gasto",D2004=""),"Falta categoría","OK")))))))))</f>
        <v/>
      </c>
    </row>
    <row r="2005" spans="1:12" ht="22" customHeight="1">
      <c r="A2005" s="3"/>
      <c r="B2005" s="7"/>
      <c r="C2005" s="3"/>
      <c r="D2005" s="3"/>
      <c r="E2005" s="3"/>
      <c r="F2005" s="3"/>
      <c r="G2005" s="3"/>
      <c r="H2005" s="4"/>
      <c r="I2005" s="4"/>
      <c r="J2005" s="3"/>
      <c r="K2005" s="8" t="str">
        <f t="shared" si="31"/>
        <v/>
      </c>
      <c r="L2005" s="1" t="str">
        <f>IF(COUNTA(A2005:J2005)=0,"",IF(OR(AND(C2005&lt;&gt;"Gasto",C2005&lt;&gt;"Pago proveedor",C2005&lt;&gt;"Retiro familiar",C2005&lt;&gt;"Aportación",C2005&lt;&gt;"Pago activo",C2005&lt;&gt;"ISR devengado",C2005&lt;&gt;"Pago ISR",C2005&lt;&gt;"Pago IVA",C2005&lt;&gt;"Compensación ISR",C2005&lt;&gt;"Compensación IVA"),AND(C2005="Gasto",D2005&lt;&gt;"Costos clínicos",D2005&lt;&gt;"Remuneración familiar",D2005&lt;&gt;"Nómina y honorarios",D2005&lt;&gt;"Renta",D2005&lt;&gt;"Marketing",D2005&lt;&gt;"Servicios y software",D2005&lt;&gt;"Mantenimiento",D2005&lt;&gt;"Otros",D2005&lt;&gt;"Intereses")),"Tipo o categoría inválido",IF(COUNTA(A2005:J2005)=0,"",IF(OR(A2005="",B2005="",C2005="",H2005=""),"Faltan datos",IF(COUNTIF($A$7:$A$2006,A2005)&gt;1,"ID duplicado",IF(OR(B2005&lt;DATE(Configuración!$C$5,1,1),B2005&gt;=DATE(Configuración!$C$5+1,1,1)),"Fecha fuera del año",IF(OR(H2005&lt;0,I2005&lt;0),"Revisar signo",IF(AND(C2005&lt;&gt;"Gasto",I2005&lt;&gt;0),"IVA solo en Gasto",IF(AND(C2005="Gasto",D2005=""),"Falta categoría","OK")))))))))</f>
        <v/>
      </c>
    </row>
    <row r="2006" spans="1:12" ht="22" customHeight="1">
      <c r="A2006" s="3"/>
      <c r="B2006" s="7"/>
      <c r="C2006" s="3"/>
      <c r="D2006" s="3"/>
      <c r="E2006" s="3"/>
      <c r="F2006" s="3"/>
      <c r="G2006" s="3"/>
      <c r="H2006" s="4"/>
      <c r="I2006" s="4"/>
      <c r="J2006" s="3"/>
      <c r="K2006" s="8" t="str">
        <f t="shared" si="31"/>
        <v/>
      </c>
      <c r="L2006" s="1" t="str">
        <f>IF(COUNTA(A2006:J2006)=0,"",IF(OR(AND(C2006&lt;&gt;"Gasto",C2006&lt;&gt;"Pago proveedor",C2006&lt;&gt;"Retiro familiar",C2006&lt;&gt;"Aportación",C2006&lt;&gt;"Pago activo",C2006&lt;&gt;"ISR devengado",C2006&lt;&gt;"Pago ISR",C2006&lt;&gt;"Pago IVA",C2006&lt;&gt;"Compensación ISR",C2006&lt;&gt;"Compensación IVA"),AND(C2006="Gasto",D2006&lt;&gt;"Costos clínicos",D2006&lt;&gt;"Remuneración familiar",D2006&lt;&gt;"Nómina y honorarios",D2006&lt;&gt;"Renta",D2006&lt;&gt;"Marketing",D2006&lt;&gt;"Servicios y software",D2006&lt;&gt;"Mantenimiento",D2006&lt;&gt;"Otros",D2006&lt;&gt;"Intereses")),"Tipo o categoría inválido",IF(COUNTA(A2006:J2006)=0,"",IF(OR(A2006="",B2006="",C2006="",H2006=""),"Faltan datos",IF(COUNTIF($A$7:$A$2006,A2006)&gt;1,"ID duplicado",IF(OR(B2006&lt;DATE(Configuración!$C$5,1,1),B2006&gt;=DATE(Configuración!$C$5+1,1,1)),"Fecha fuera del año",IF(OR(H2006&lt;0,I2006&lt;0),"Revisar signo",IF(AND(C2006&lt;&gt;"Gasto",I2006&lt;&gt;0),"IVA solo en Gasto",IF(AND(C2006="Gasto",D2006=""),"Falta categoría","OK")))))))))</f>
        <v/>
      </c>
    </row>
  </sheetData>
  <conditionalFormatting sqref="L7:L2006">
    <cfRule type="expression" dxfId="3" priority="1">
      <formula>AND($L7&lt;&gt;"",$L7&lt;&gt;"OK")</formula>
    </cfRule>
  </conditionalFormatting>
  <dataValidations count="3">
    <dataValidation type="list" sqref="C7:C2006" xr:uid="{00000000-0002-0000-0700-000000000000}">
      <formula1>"Gasto,Pago proveedor,Retiro familiar,Aportación,Pago activo,ISR devengado,Pago ISR,Pago IVA,Compensación ISR,Compensación IVA"</formula1>
    </dataValidation>
    <dataValidation type="list" sqref="D7:D2006" xr:uid="{00000000-0002-0000-0700-000001000000}">
      <formula1>"Costos clínicos,Remuneración familiar,Nómina y honorarios,Renta,Marketing,Servicios y software,Mantenimiento,Otros,Intereses"</formula1>
    </dataValidation>
    <dataValidation type="list" sqref="F7:F2006" xr:uid="{00000000-0002-0000-0700-000002000000}">
      <formula1>"Sí,No"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C7B78F"/>
  </sheetPr>
  <dimension ref="A1:X106"/>
  <sheetViews>
    <sheetView showGridLines="0" tabSelected="1" zoomScale="93" workbookViewId="0">
      <pane ySplit="6" topLeftCell="A7" activePane="bottomLeft" state="frozen"/>
      <selection pane="bottomLeft"/>
    </sheetView>
  </sheetViews>
  <sheetFormatPr baseColWidth="10" defaultColWidth="8.83203125" defaultRowHeight="15"/>
  <cols>
    <col min="1" max="1" width="18" customWidth="1"/>
    <col min="2" max="2" width="28" customWidth="1"/>
    <col min="3" max="4" width="15" customWidth="1"/>
    <col min="5" max="5" width="21" customWidth="1"/>
    <col min="6" max="9" width="18" customWidth="1"/>
    <col min="10" max="10" width="28" customWidth="1"/>
    <col min="11" max="11" width="18" customWidth="1"/>
    <col min="12" max="12" width="28" customWidth="1"/>
    <col min="13" max="24" width="17" customWidth="1"/>
  </cols>
  <sheetData>
    <row r="1" spans="1:24" ht="22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22" customHeight="1">
      <c r="A2" s="2" t="s">
        <v>162</v>
      </c>
      <c r="B2" s="2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22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22" customHeight="1">
      <c r="A4" s="1" t="s">
        <v>163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22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9">
        <f>DATE(Configuración!$C$5,1,1)</f>
        <v>46023</v>
      </c>
      <c r="N5" s="9">
        <f>DATE(Configuración!$C$5,2,1)</f>
        <v>46054</v>
      </c>
      <c r="O5" s="9">
        <f>DATE(Configuración!$C$5,3,1)</f>
        <v>46082</v>
      </c>
      <c r="P5" s="9">
        <f>DATE(Configuración!$C$5,4,1)</f>
        <v>46113</v>
      </c>
      <c r="Q5" s="9">
        <f>DATE(Configuración!$C$5,5,1)</f>
        <v>46143</v>
      </c>
      <c r="R5" s="9">
        <f>DATE(Configuración!$C$5,6,1)</f>
        <v>46174</v>
      </c>
      <c r="S5" s="9">
        <f>DATE(Configuración!$C$5,7,1)</f>
        <v>46204</v>
      </c>
      <c r="T5" s="9">
        <f>DATE(Configuración!$C$5,8,1)</f>
        <v>46235</v>
      </c>
      <c r="U5" s="9">
        <f>DATE(Configuración!$C$5,9,1)</f>
        <v>46266</v>
      </c>
      <c r="V5" s="9">
        <f>DATE(Configuración!$C$5,10,1)</f>
        <v>46296</v>
      </c>
      <c r="W5" s="9">
        <f>DATE(Configuración!$C$5,11,1)</f>
        <v>46327</v>
      </c>
      <c r="X5" s="9">
        <f>DATE(Configuración!$C$5,12,1)</f>
        <v>46357</v>
      </c>
    </row>
    <row r="6" spans="1:24" ht="40" customHeight="1">
      <c r="A6" s="6" t="s">
        <v>164</v>
      </c>
      <c r="B6" s="6" t="s">
        <v>165</v>
      </c>
      <c r="C6" s="6" t="s">
        <v>166</v>
      </c>
      <c r="D6" s="6" t="s">
        <v>167</v>
      </c>
      <c r="E6" s="6" t="s">
        <v>168</v>
      </c>
      <c r="F6" s="6" t="s">
        <v>161</v>
      </c>
      <c r="G6" s="6" t="s">
        <v>169</v>
      </c>
      <c r="H6" s="6" t="s">
        <v>170</v>
      </c>
      <c r="I6" s="6" t="s">
        <v>171</v>
      </c>
      <c r="J6" s="6" t="s">
        <v>153</v>
      </c>
      <c r="K6" s="6" t="s">
        <v>172</v>
      </c>
      <c r="L6" s="6" t="s">
        <v>155</v>
      </c>
      <c r="M6" s="6" t="s">
        <v>173</v>
      </c>
      <c r="N6" s="6" t="s">
        <v>174</v>
      </c>
      <c r="O6" s="6" t="s">
        <v>175</v>
      </c>
      <c r="P6" s="6" t="s">
        <v>176</v>
      </c>
      <c r="Q6" s="6" t="s">
        <v>177</v>
      </c>
      <c r="R6" s="6" t="s">
        <v>178</v>
      </c>
      <c r="S6" s="6" t="s">
        <v>179</v>
      </c>
      <c r="T6" s="6" t="s">
        <v>180</v>
      </c>
      <c r="U6" s="6" t="s">
        <v>181</v>
      </c>
      <c r="V6" s="6" t="s">
        <v>182</v>
      </c>
      <c r="W6" s="6" t="s">
        <v>183</v>
      </c>
      <c r="X6" s="6" t="s">
        <v>184</v>
      </c>
    </row>
    <row r="7" spans="1:24" ht="22" customHeight="1">
      <c r="A7" s="3"/>
      <c r="B7" s="3"/>
      <c r="C7" s="7"/>
      <c r="D7" s="7"/>
      <c r="E7" s="4"/>
      <c r="F7" s="4"/>
      <c r="G7" s="4"/>
      <c r="H7" s="3"/>
      <c r="I7" s="4"/>
      <c r="J7" s="3"/>
      <c r="K7" s="8" t="str">
        <f t="shared" ref="K7:K38" si="0">IF(A7="","",IF(OR(H7="",H7&lt;=0),0,(E7-G7)/H7))</f>
        <v/>
      </c>
      <c r="L7" s="8" t="str">
        <f>IF(COUNTA(A7:J7)=0,"",IF(OR(A7="",C7="",D7="",E7="",H7&lt;=0),"Faltan datos",IF(COUNTIF($A$7:$A$106,A7)&gt;1,"ID duplicado",IF(OR(E7&lt;0,G7&lt;0,I7&lt;0,G7+I7&gt;E7,D7&lt;C7),"Revisar activo",IF(AND(C7&gt;=DATE(Configuración!$C$5,1,1),I7&lt;&gt;0),"Dep. inicial no procede","OK")))))</f>
        <v/>
      </c>
      <c r="M7" s="8">
        <f t="shared" ref="M7:M38" si="1">IF(OR($A7="",$D7="",$D7&gt;=EDATE(M$5,1)),0,MAX(0,MIN($K7,$E7-$G7-$I7-0)))</f>
        <v>0</v>
      </c>
      <c r="N7" s="8">
        <f>IF(OR($A7="",$D7="",$D7&gt;=EDATE(N$5,1)),0,MAX(0,MIN($K7,$E7-$G7-$I7-SUM($M7:M7))))</f>
        <v>0</v>
      </c>
      <c r="O7" s="8">
        <f>IF(OR($A7="",$D7="",$D7&gt;=EDATE(O$5,1)),0,MAX(0,MIN($K7,$E7-$G7-$I7-SUM($M7:N7))))</f>
        <v>0</v>
      </c>
      <c r="P7" s="8">
        <f>IF(OR($A7="",$D7="",$D7&gt;=EDATE(P$5,1)),0,MAX(0,MIN($K7,$E7-$G7-$I7-SUM($M7:O7))))</f>
        <v>0</v>
      </c>
      <c r="Q7" s="8">
        <f>IF(OR($A7="",$D7="",$D7&gt;=EDATE(Q$5,1)),0,MAX(0,MIN($K7,$E7-$G7-$I7-SUM($M7:P7))))</f>
        <v>0</v>
      </c>
      <c r="R7" s="8">
        <f>IF(OR($A7="",$D7="",$D7&gt;=EDATE(R$5,1)),0,MAX(0,MIN($K7,$E7-$G7-$I7-SUM($M7:Q7))))</f>
        <v>0</v>
      </c>
      <c r="S7" s="8">
        <f>IF(OR($A7="",$D7="",$D7&gt;=EDATE(S$5,1)),0,MAX(0,MIN($K7,$E7-$G7-$I7-SUM($M7:R7))))</f>
        <v>0</v>
      </c>
      <c r="T7" s="8">
        <f>IF(OR($A7="",$D7="",$D7&gt;=EDATE(T$5,1)),0,MAX(0,MIN($K7,$E7-$G7-$I7-SUM($M7:S7))))</f>
        <v>0</v>
      </c>
      <c r="U7" s="8">
        <f>IF(OR($A7="",$D7="",$D7&gt;=EDATE(U$5,1)),0,MAX(0,MIN($K7,$E7-$G7-$I7-SUM($M7:T7))))</f>
        <v>0</v>
      </c>
      <c r="V7" s="8">
        <f>IF(OR($A7="",$D7="",$D7&gt;=EDATE(V$5,1)),0,MAX(0,MIN($K7,$E7-$G7-$I7-SUM($M7:U7))))</f>
        <v>0</v>
      </c>
      <c r="W7" s="8">
        <f>IF(OR($A7="",$D7="",$D7&gt;=EDATE(W$5,1)),0,MAX(0,MIN($K7,$E7-$G7-$I7-SUM($M7:V7))))</f>
        <v>0</v>
      </c>
      <c r="X7" s="8">
        <f>IF(OR($A7="",$D7="",$D7&gt;=EDATE(X$5,1)),0,MAX(0,MIN($K7,$E7-$G7-$I7-SUM($M7:W7))))</f>
        <v>0</v>
      </c>
    </row>
    <row r="8" spans="1:24" ht="22" customHeight="1">
      <c r="A8" s="3"/>
      <c r="B8" s="3"/>
      <c r="C8" s="7"/>
      <c r="D8" s="7"/>
      <c r="E8" s="4"/>
      <c r="F8" s="4"/>
      <c r="G8" s="4"/>
      <c r="H8" s="3"/>
      <c r="I8" s="4"/>
      <c r="J8" s="3"/>
      <c r="K8" s="8" t="str">
        <f t="shared" si="0"/>
        <v/>
      </c>
      <c r="L8" s="8" t="str">
        <f>IF(COUNTA(A8:J8)=0,"",IF(OR(A8="",C8="",D8="",E8="",H8&lt;=0),"Faltan datos",IF(COUNTIF($A$7:$A$106,A8)&gt;1,"ID duplicado",IF(OR(E8&lt;0,G8&lt;0,I8&lt;0,G8+I8&gt;E8,D8&lt;C8),"Revisar activo",IF(AND(C8&gt;=DATE(Configuración!$C$5,1,1),I8&lt;&gt;0),"Dep. inicial no procede","OK")))))</f>
        <v/>
      </c>
      <c r="M8" s="8">
        <f t="shared" si="1"/>
        <v>0</v>
      </c>
      <c r="N8" s="8">
        <f>IF(OR($A8="",$D8="",$D8&gt;=EDATE(N$5,1)),0,MAX(0,MIN($K8,$E8-$G8-$I8-SUM($M8:M8))))</f>
        <v>0</v>
      </c>
      <c r="O8" s="8">
        <f>IF(OR($A8="",$D8="",$D8&gt;=EDATE(O$5,1)),0,MAX(0,MIN($K8,$E8-$G8-$I8-SUM($M8:N8))))</f>
        <v>0</v>
      </c>
      <c r="P8" s="8">
        <f>IF(OR($A8="",$D8="",$D8&gt;=EDATE(P$5,1)),0,MAX(0,MIN($K8,$E8-$G8-$I8-SUM($M8:O8))))</f>
        <v>0</v>
      </c>
      <c r="Q8" s="8">
        <f>IF(OR($A8="",$D8="",$D8&gt;=EDATE(Q$5,1)),0,MAX(0,MIN($K8,$E8-$G8-$I8-SUM($M8:P8))))</f>
        <v>0</v>
      </c>
      <c r="R8" s="8">
        <f>IF(OR($A8="",$D8="",$D8&gt;=EDATE(R$5,1)),0,MAX(0,MIN($K8,$E8-$G8-$I8-SUM($M8:Q8))))</f>
        <v>0</v>
      </c>
      <c r="S8" s="8">
        <f>IF(OR($A8="",$D8="",$D8&gt;=EDATE(S$5,1)),0,MAX(0,MIN($K8,$E8-$G8-$I8-SUM($M8:R8))))</f>
        <v>0</v>
      </c>
      <c r="T8" s="8">
        <f>IF(OR($A8="",$D8="",$D8&gt;=EDATE(T$5,1)),0,MAX(0,MIN($K8,$E8-$G8-$I8-SUM($M8:S8))))</f>
        <v>0</v>
      </c>
      <c r="U8" s="8">
        <f>IF(OR($A8="",$D8="",$D8&gt;=EDATE(U$5,1)),0,MAX(0,MIN($K8,$E8-$G8-$I8-SUM($M8:T8))))</f>
        <v>0</v>
      </c>
      <c r="V8" s="8">
        <f>IF(OR($A8="",$D8="",$D8&gt;=EDATE(V$5,1)),0,MAX(0,MIN($K8,$E8-$G8-$I8-SUM($M8:U8))))</f>
        <v>0</v>
      </c>
      <c r="W8" s="8">
        <f>IF(OR($A8="",$D8="",$D8&gt;=EDATE(W$5,1)),0,MAX(0,MIN($K8,$E8-$G8-$I8-SUM($M8:V8))))</f>
        <v>0</v>
      </c>
      <c r="X8" s="8">
        <f>IF(OR($A8="",$D8="",$D8&gt;=EDATE(X$5,1)),0,MAX(0,MIN($K8,$E8-$G8-$I8-SUM($M8:W8))))</f>
        <v>0</v>
      </c>
    </row>
    <row r="9" spans="1:24" ht="22" customHeight="1">
      <c r="A9" s="3"/>
      <c r="B9" s="3"/>
      <c r="C9" s="7"/>
      <c r="D9" s="7"/>
      <c r="E9" s="4"/>
      <c r="F9" s="4"/>
      <c r="G9" s="4"/>
      <c r="H9" s="3"/>
      <c r="I9" s="4"/>
      <c r="J9" s="3"/>
      <c r="K9" s="8" t="str">
        <f t="shared" si="0"/>
        <v/>
      </c>
      <c r="L9" s="8" t="str">
        <f>IF(COUNTA(A9:J9)=0,"",IF(OR(A9="",C9="",D9="",E9="",H9&lt;=0),"Faltan datos",IF(COUNTIF($A$7:$A$106,A9)&gt;1,"ID duplicado",IF(OR(E9&lt;0,G9&lt;0,I9&lt;0,G9+I9&gt;E9,D9&lt;C9),"Revisar activo",IF(AND(C9&gt;=DATE(Configuración!$C$5,1,1),I9&lt;&gt;0),"Dep. inicial no procede","OK")))))</f>
        <v/>
      </c>
      <c r="M9" s="8">
        <f t="shared" si="1"/>
        <v>0</v>
      </c>
      <c r="N9" s="8">
        <f>IF(OR($A9="",$D9="",$D9&gt;=EDATE(N$5,1)),0,MAX(0,MIN($K9,$E9-$G9-$I9-SUM($M9:M9))))</f>
        <v>0</v>
      </c>
      <c r="O9" s="8">
        <f>IF(OR($A9="",$D9="",$D9&gt;=EDATE(O$5,1)),0,MAX(0,MIN($K9,$E9-$G9-$I9-SUM($M9:N9))))</f>
        <v>0</v>
      </c>
      <c r="P9" s="8">
        <f>IF(OR($A9="",$D9="",$D9&gt;=EDATE(P$5,1)),0,MAX(0,MIN($K9,$E9-$G9-$I9-SUM($M9:O9))))</f>
        <v>0</v>
      </c>
      <c r="Q9" s="8">
        <f>IF(OR($A9="",$D9="",$D9&gt;=EDATE(Q$5,1)),0,MAX(0,MIN($K9,$E9-$G9-$I9-SUM($M9:P9))))</f>
        <v>0</v>
      </c>
      <c r="R9" s="8">
        <f>IF(OR($A9="",$D9="",$D9&gt;=EDATE(R$5,1)),0,MAX(0,MIN($K9,$E9-$G9-$I9-SUM($M9:Q9))))</f>
        <v>0</v>
      </c>
      <c r="S9" s="8">
        <f>IF(OR($A9="",$D9="",$D9&gt;=EDATE(S$5,1)),0,MAX(0,MIN($K9,$E9-$G9-$I9-SUM($M9:R9))))</f>
        <v>0</v>
      </c>
      <c r="T9" s="8">
        <f>IF(OR($A9="",$D9="",$D9&gt;=EDATE(T$5,1)),0,MAX(0,MIN($K9,$E9-$G9-$I9-SUM($M9:S9))))</f>
        <v>0</v>
      </c>
      <c r="U9" s="8">
        <f>IF(OR($A9="",$D9="",$D9&gt;=EDATE(U$5,1)),0,MAX(0,MIN($K9,$E9-$G9-$I9-SUM($M9:T9))))</f>
        <v>0</v>
      </c>
      <c r="V9" s="8">
        <f>IF(OR($A9="",$D9="",$D9&gt;=EDATE(V$5,1)),0,MAX(0,MIN($K9,$E9-$G9-$I9-SUM($M9:U9))))</f>
        <v>0</v>
      </c>
      <c r="W9" s="8">
        <f>IF(OR($A9="",$D9="",$D9&gt;=EDATE(W$5,1)),0,MAX(0,MIN($K9,$E9-$G9-$I9-SUM($M9:V9))))</f>
        <v>0</v>
      </c>
      <c r="X9" s="8">
        <f>IF(OR($A9="",$D9="",$D9&gt;=EDATE(X$5,1)),0,MAX(0,MIN($K9,$E9-$G9-$I9-SUM($M9:W9))))</f>
        <v>0</v>
      </c>
    </row>
    <row r="10" spans="1:24" ht="22" customHeight="1">
      <c r="A10" s="3"/>
      <c r="B10" s="3"/>
      <c r="C10" s="7"/>
      <c r="D10" s="7"/>
      <c r="E10" s="4"/>
      <c r="F10" s="4"/>
      <c r="G10" s="4"/>
      <c r="H10" s="3"/>
      <c r="I10" s="4"/>
      <c r="J10" s="3"/>
      <c r="K10" s="8" t="str">
        <f t="shared" si="0"/>
        <v/>
      </c>
      <c r="L10" s="8" t="str">
        <f>IF(COUNTA(A10:J10)=0,"",IF(OR(A10="",C10="",D10="",E10="",H10&lt;=0),"Faltan datos",IF(COUNTIF($A$7:$A$106,A10)&gt;1,"ID duplicado",IF(OR(E10&lt;0,G10&lt;0,I10&lt;0,G10+I10&gt;E10,D10&lt;C10),"Revisar activo",IF(AND(C10&gt;=DATE(Configuración!$C$5,1,1),I10&lt;&gt;0),"Dep. inicial no procede","OK")))))</f>
        <v/>
      </c>
      <c r="M10" s="8">
        <f t="shared" si="1"/>
        <v>0</v>
      </c>
      <c r="N10" s="8">
        <f>IF(OR($A10="",$D10="",$D10&gt;=EDATE(N$5,1)),0,MAX(0,MIN($K10,$E10-$G10-$I10-SUM($M10:M10))))</f>
        <v>0</v>
      </c>
      <c r="O10" s="8">
        <f>IF(OR($A10="",$D10="",$D10&gt;=EDATE(O$5,1)),0,MAX(0,MIN($K10,$E10-$G10-$I10-SUM($M10:N10))))</f>
        <v>0</v>
      </c>
      <c r="P10" s="8">
        <f>IF(OR($A10="",$D10="",$D10&gt;=EDATE(P$5,1)),0,MAX(0,MIN($K10,$E10-$G10-$I10-SUM($M10:O10))))</f>
        <v>0</v>
      </c>
      <c r="Q10" s="8">
        <f>IF(OR($A10="",$D10="",$D10&gt;=EDATE(Q$5,1)),0,MAX(0,MIN($K10,$E10-$G10-$I10-SUM($M10:P10))))</f>
        <v>0</v>
      </c>
      <c r="R10" s="8">
        <f>IF(OR($A10="",$D10="",$D10&gt;=EDATE(R$5,1)),0,MAX(0,MIN($K10,$E10-$G10-$I10-SUM($M10:Q10))))</f>
        <v>0</v>
      </c>
      <c r="S10" s="8">
        <f>IF(OR($A10="",$D10="",$D10&gt;=EDATE(S$5,1)),0,MAX(0,MIN($K10,$E10-$G10-$I10-SUM($M10:R10))))</f>
        <v>0</v>
      </c>
      <c r="T10" s="8">
        <f>IF(OR($A10="",$D10="",$D10&gt;=EDATE(T$5,1)),0,MAX(0,MIN($K10,$E10-$G10-$I10-SUM($M10:S10))))</f>
        <v>0</v>
      </c>
      <c r="U10" s="8">
        <f>IF(OR($A10="",$D10="",$D10&gt;=EDATE(U$5,1)),0,MAX(0,MIN($K10,$E10-$G10-$I10-SUM($M10:T10))))</f>
        <v>0</v>
      </c>
      <c r="V10" s="8">
        <f>IF(OR($A10="",$D10="",$D10&gt;=EDATE(V$5,1)),0,MAX(0,MIN($K10,$E10-$G10-$I10-SUM($M10:U10))))</f>
        <v>0</v>
      </c>
      <c r="W10" s="8">
        <f>IF(OR($A10="",$D10="",$D10&gt;=EDATE(W$5,1)),0,MAX(0,MIN($K10,$E10-$G10-$I10-SUM($M10:V10))))</f>
        <v>0</v>
      </c>
      <c r="X10" s="8">
        <f>IF(OR($A10="",$D10="",$D10&gt;=EDATE(X$5,1)),0,MAX(0,MIN($K10,$E10-$G10-$I10-SUM($M10:W10))))</f>
        <v>0</v>
      </c>
    </row>
    <row r="11" spans="1:24" ht="22" customHeight="1">
      <c r="A11" s="3"/>
      <c r="B11" s="3"/>
      <c r="C11" s="7"/>
      <c r="D11" s="7"/>
      <c r="E11" s="4"/>
      <c r="F11" s="4"/>
      <c r="G11" s="4"/>
      <c r="H11" s="3"/>
      <c r="I11" s="4"/>
      <c r="J11" s="3"/>
      <c r="K11" s="8" t="str">
        <f t="shared" si="0"/>
        <v/>
      </c>
      <c r="L11" s="8" t="str">
        <f>IF(COUNTA(A11:J11)=0,"",IF(OR(A11="",C11="",D11="",E11="",H11&lt;=0),"Faltan datos",IF(COUNTIF($A$7:$A$106,A11)&gt;1,"ID duplicado",IF(OR(E11&lt;0,G11&lt;0,I11&lt;0,G11+I11&gt;E11,D11&lt;C11),"Revisar activo",IF(AND(C11&gt;=DATE(Configuración!$C$5,1,1),I11&lt;&gt;0),"Dep. inicial no procede","OK")))))</f>
        <v/>
      </c>
      <c r="M11" s="8">
        <f t="shared" si="1"/>
        <v>0</v>
      </c>
      <c r="N11" s="8">
        <f>IF(OR($A11="",$D11="",$D11&gt;=EDATE(N$5,1)),0,MAX(0,MIN($K11,$E11-$G11-$I11-SUM($M11:M11))))</f>
        <v>0</v>
      </c>
      <c r="O11" s="8">
        <f>IF(OR($A11="",$D11="",$D11&gt;=EDATE(O$5,1)),0,MAX(0,MIN($K11,$E11-$G11-$I11-SUM($M11:N11))))</f>
        <v>0</v>
      </c>
      <c r="P11" s="8">
        <f>IF(OR($A11="",$D11="",$D11&gt;=EDATE(P$5,1)),0,MAX(0,MIN($K11,$E11-$G11-$I11-SUM($M11:O11))))</f>
        <v>0</v>
      </c>
      <c r="Q11" s="8">
        <f>IF(OR($A11="",$D11="",$D11&gt;=EDATE(Q$5,1)),0,MAX(0,MIN($K11,$E11-$G11-$I11-SUM($M11:P11))))</f>
        <v>0</v>
      </c>
      <c r="R11" s="8">
        <f>IF(OR($A11="",$D11="",$D11&gt;=EDATE(R$5,1)),0,MAX(0,MIN($K11,$E11-$G11-$I11-SUM($M11:Q11))))</f>
        <v>0</v>
      </c>
      <c r="S11" s="8">
        <f>IF(OR($A11="",$D11="",$D11&gt;=EDATE(S$5,1)),0,MAX(0,MIN($K11,$E11-$G11-$I11-SUM($M11:R11))))</f>
        <v>0</v>
      </c>
      <c r="T11" s="8">
        <f>IF(OR($A11="",$D11="",$D11&gt;=EDATE(T$5,1)),0,MAX(0,MIN($K11,$E11-$G11-$I11-SUM($M11:S11))))</f>
        <v>0</v>
      </c>
      <c r="U11" s="8">
        <f>IF(OR($A11="",$D11="",$D11&gt;=EDATE(U$5,1)),0,MAX(0,MIN($K11,$E11-$G11-$I11-SUM($M11:T11))))</f>
        <v>0</v>
      </c>
      <c r="V11" s="8">
        <f>IF(OR($A11="",$D11="",$D11&gt;=EDATE(V$5,1)),0,MAX(0,MIN($K11,$E11-$G11-$I11-SUM($M11:U11))))</f>
        <v>0</v>
      </c>
      <c r="W11" s="8">
        <f>IF(OR($A11="",$D11="",$D11&gt;=EDATE(W$5,1)),0,MAX(0,MIN($K11,$E11-$G11-$I11-SUM($M11:V11))))</f>
        <v>0</v>
      </c>
      <c r="X11" s="8">
        <f>IF(OR($A11="",$D11="",$D11&gt;=EDATE(X$5,1)),0,MAX(0,MIN($K11,$E11-$G11-$I11-SUM($M11:W11))))</f>
        <v>0</v>
      </c>
    </row>
    <row r="12" spans="1:24" ht="22" customHeight="1">
      <c r="A12" s="3"/>
      <c r="B12" s="3"/>
      <c r="C12" s="7"/>
      <c r="D12" s="7"/>
      <c r="E12" s="4"/>
      <c r="F12" s="4"/>
      <c r="G12" s="4"/>
      <c r="H12" s="3"/>
      <c r="I12" s="4"/>
      <c r="J12" s="3"/>
      <c r="K12" s="8" t="str">
        <f t="shared" si="0"/>
        <v/>
      </c>
      <c r="L12" s="8" t="str">
        <f>IF(COUNTA(A12:J12)=0,"",IF(OR(A12="",C12="",D12="",E12="",H12&lt;=0),"Faltan datos",IF(COUNTIF($A$7:$A$106,A12)&gt;1,"ID duplicado",IF(OR(E12&lt;0,G12&lt;0,I12&lt;0,G12+I12&gt;E12,D12&lt;C12),"Revisar activo",IF(AND(C12&gt;=DATE(Configuración!$C$5,1,1),I12&lt;&gt;0),"Dep. inicial no procede","OK")))))</f>
        <v/>
      </c>
      <c r="M12" s="8">
        <f t="shared" si="1"/>
        <v>0</v>
      </c>
      <c r="N12" s="8">
        <f>IF(OR($A12="",$D12="",$D12&gt;=EDATE(N$5,1)),0,MAX(0,MIN($K12,$E12-$G12-$I12-SUM($M12:M12))))</f>
        <v>0</v>
      </c>
      <c r="O12" s="8">
        <f>IF(OR($A12="",$D12="",$D12&gt;=EDATE(O$5,1)),0,MAX(0,MIN($K12,$E12-$G12-$I12-SUM($M12:N12))))</f>
        <v>0</v>
      </c>
      <c r="P12" s="8">
        <f>IF(OR($A12="",$D12="",$D12&gt;=EDATE(P$5,1)),0,MAX(0,MIN($K12,$E12-$G12-$I12-SUM($M12:O12))))</f>
        <v>0</v>
      </c>
      <c r="Q12" s="8">
        <f>IF(OR($A12="",$D12="",$D12&gt;=EDATE(Q$5,1)),0,MAX(0,MIN($K12,$E12-$G12-$I12-SUM($M12:P12))))</f>
        <v>0</v>
      </c>
      <c r="R12" s="8">
        <f>IF(OR($A12="",$D12="",$D12&gt;=EDATE(R$5,1)),0,MAX(0,MIN($K12,$E12-$G12-$I12-SUM($M12:Q12))))</f>
        <v>0</v>
      </c>
      <c r="S12" s="8">
        <f>IF(OR($A12="",$D12="",$D12&gt;=EDATE(S$5,1)),0,MAX(0,MIN($K12,$E12-$G12-$I12-SUM($M12:R12))))</f>
        <v>0</v>
      </c>
      <c r="T12" s="8">
        <f>IF(OR($A12="",$D12="",$D12&gt;=EDATE(T$5,1)),0,MAX(0,MIN($K12,$E12-$G12-$I12-SUM($M12:S12))))</f>
        <v>0</v>
      </c>
      <c r="U12" s="8">
        <f>IF(OR($A12="",$D12="",$D12&gt;=EDATE(U$5,1)),0,MAX(0,MIN($K12,$E12-$G12-$I12-SUM($M12:T12))))</f>
        <v>0</v>
      </c>
      <c r="V12" s="8">
        <f>IF(OR($A12="",$D12="",$D12&gt;=EDATE(V$5,1)),0,MAX(0,MIN($K12,$E12-$G12-$I12-SUM($M12:U12))))</f>
        <v>0</v>
      </c>
      <c r="W12" s="8">
        <f>IF(OR($A12="",$D12="",$D12&gt;=EDATE(W$5,1)),0,MAX(0,MIN($K12,$E12-$G12-$I12-SUM($M12:V12))))</f>
        <v>0</v>
      </c>
      <c r="X12" s="8">
        <f>IF(OR($A12="",$D12="",$D12&gt;=EDATE(X$5,1)),0,MAX(0,MIN($K12,$E12-$G12-$I12-SUM($M12:W12))))</f>
        <v>0</v>
      </c>
    </row>
    <row r="13" spans="1:24" ht="22" customHeight="1">
      <c r="A13" s="3"/>
      <c r="B13" s="3"/>
      <c r="C13" s="7"/>
      <c r="D13" s="7"/>
      <c r="E13" s="4"/>
      <c r="F13" s="4"/>
      <c r="G13" s="4"/>
      <c r="H13" s="3"/>
      <c r="I13" s="4"/>
      <c r="J13" s="3"/>
      <c r="K13" s="8" t="str">
        <f t="shared" si="0"/>
        <v/>
      </c>
      <c r="L13" s="8" t="str">
        <f>IF(COUNTA(A13:J13)=0,"",IF(OR(A13="",C13="",D13="",E13="",H13&lt;=0),"Faltan datos",IF(COUNTIF($A$7:$A$106,A13)&gt;1,"ID duplicado",IF(OR(E13&lt;0,G13&lt;0,I13&lt;0,G13+I13&gt;E13,D13&lt;C13),"Revisar activo",IF(AND(C13&gt;=DATE(Configuración!$C$5,1,1),I13&lt;&gt;0),"Dep. inicial no procede","OK")))))</f>
        <v/>
      </c>
      <c r="M13" s="8">
        <f t="shared" si="1"/>
        <v>0</v>
      </c>
      <c r="N13" s="8">
        <f>IF(OR($A13="",$D13="",$D13&gt;=EDATE(N$5,1)),0,MAX(0,MIN($K13,$E13-$G13-$I13-SUM($M13:M13))))</f>
        <v>0</v>
      </c>
      <c r="O13" s="8">
        <f>IF(OR($A13="",$D13="",$D13&gt;=EDATE(O$5,1)),0,MAX(0,MIN($K13,$E13-$G13-$I13-SUM($M13:N13))))</f>
        <v>0</v>
      </c>
      <c r="P13" s="8">
        <f>IF(OR($A13="",$D13="",$D13&gt;=EDATE(P$5,1)),0,MAX(0,MIN($K13,$E13-$G13-$I13-SUM($M13:O13))))</f>
        <v>0</v>
      </c>
      <c r="Q13" s="8">
        <f>IF(OR($A13="",$D13="",$D13&gt;=EDATE(Q$5,1)),0,MAX(0,MIN($K13,$E13-$G13-$I13-SUM($M13:P13))))</f>
        <v>0</v>
      </c>
      <c r="R13" s="8">
        <f>IF(OR($A13="",$D13="",$D13&gt;=EDATE(R$5,1)),0,MAX(0,MIN($K13,$E13-$G13-$I13-SUM($M13:Q13))))</f>
        <v>0</v>
      </c>
      <c r="S13" s="8">
        <f>IF(OR($A13="",$D13="",$D13&gt;=EDATE(S$5,1)),0,MAX(0,MIN($K13,$E13-$G13-$I13-SUM($M13:R13))))</f>
        <v>0</v>
      </c>
      <c r="T13" s="8">
        <f>IF(OR($A13="",$D13="",$D13&gt;=EDATE(T$5,1)),0,MAX(0,MIN($K13,$E13-$G13-$I13-SUM($M13:S13))))</f>
        <v>0</v>
      </c>
      <c r="U13" s="8">
        <f>IF(OR($A13="",$D13="",$D13&gt;=EDATE(U$5,1)),0,MAX(0,MIN($K13,$E13-$G13-$I13-SUM($M13:T13))))</f>
        <v>0</v>
      </c>
      <c r="V13" s="8">
        <f>IF(OR($A13="",$D13="",$D13&gt;=EDATE(V$5,1)),0,MAX(0,MIN($K13,$E13-$G13-$I13-SUM($M13:U13))))</f>
        <v>0</v>
      </c>
      <c r="W13" s="8">
        <f>IF(OR($A13="",$D13="",$D13&gt;=EDATE(W$5,1)),0,MAX(0,MIN($K13,$E13-$G13-$I13-SUM($M13:V13))))</f>
        <v>0</v>
      </c>
      <c r="X13" s="8">
        <f>IF(OR($A13="",$D13="",$D13&gt;=EDATE(X$5,1)),0,MAX(0,MIN($K13,$E13-$G13-$I13-SUM($M13:W13))))</f>
        <v>0</v>
      </c>
    </row>
    <row r="14" spans="1:24" ht="22" customHeight="1">
      <c r="A14" s="3"/>
      <c r="B14" s="3"/>
      <c r="C14" s="7"/>
      <c r="D14" s="7"/>
      <c r="E14" s="4"/>
      <c r="F14" s="4"/>
      <c r="G14" s="4"/>
      <c r="H14" s="3"/>
      <c r="I14" s="4"/>
      <c r="J14" s="3"/>
      <c r="K14" s="8" t="str">
        <f t="shared" si="0"/>
        <v/>
      </c>
      <c r="L14" s="8" t="str">
        <f>IF(COUNTA(A14:J14)=0,"",IF(OR(A14="",C14="",D14="",E14="",H14&lt;=0),"Faltan datos",IF(COUNTIF($A$7:$A$106,A14)&gt;1,"ID duplicado",IF(OR(E14&lt;0,G14&lt;0,I14&lt;0,G14+I14&gt;E14,D14&lt;C14),"Revisar activo",IF(AND(C14&gt;=DATE(Configuración!$C$5,1,1),I14&lt;&gt;0),"Dep. inicial no procede","OK")))))</f>
        <v/>
      </c>
      <c r="M14" s="8">
        <f t="shared" si="1"/>
        <v>0</v>
      </c>
      <c r="N14" s="8">
        <f>IF(OR($A14="",$D14="",$D14&gt;=EDATE(N$5,1)),0,MAX(0,MIN($K14,$E14-$G14-$I14-SUM($M14:M14))))</f>
        <v>0</v>
      </c>
      <c r="O14" s="8">
        <f>IF(OR($A14="",$D14="",$D14&gt;=EDATE(O$5,1)),0,MAX(0,MIN($K14,$E14-$G14-$I14-SUM($M14:N14))))</f>
        <v>0</v>
      </c>
      <c r="P14" s="8">
        <f>IF(OR($A14="",$D14="",$D14&gt;=EDATE(P$5,1)),0,MAX(0,MIN($K14,$E14-$G14-$I14-SUM($M14:O14))))</f>
        <v>0</v>
      </c>
      <c r="Q14" s="8">
        <f>IF(OR($A14="",$D14="",$D14&gt;=EDATE(Q$5,1)),0,MAX(0,MIN($K14,$E14-$G14-$I14-SUM($M14:P14))))</f>
        <v>0</v>
      </c>
      <c r="R14" s="8">
        <f>IF(OR($A14="",$D14="",$D14&gt;=EDATE(R$5,1)),0,MAX(0,MIN($K14,$E14-$G14-$I14-SUM($M14:Q14))))</f>
        <v>0</v>
      </c>
      <c r="S14" s="8">
        <f>IF(OR($A14="",$D14="",$D14&gt;=EDATE(S$5,1)),0,MAX(0,MIN($K14,$E14-$G14-$I14-SUM($M14:R14))))</f>
        <v>0</v>
      </c>
      <c r="T14" s="8">
        <f>IF(OR($A14="",$D14="",$D14&gt;=EDATE(T$5,1)),0,MAX(0,MIN($K14,$E14-$G14-$I14-SUM($M14:S14))))</f>
        <v>0</v>
      </c>
      <c r="U14" s="8">
        <f>IF(OR($A14="",$D14="",$D14&gt;=EDATE(U$5,1)),0,MAX(0,MIN($K14,$E14-$G14-$I14-SUM($M14:T14))))</f>
        <v>0</v>
      </c>
      <c r="V14" s="8">
        <f>IF(OR($A14="",$D14="",$D14&gt;=EDATE(V$5,1)),0,MAX(0,MIN($K14,$E14-$G14-$I14-SUM($M14:U14))))</f>
        <v>0</v>
      </c>
      <c r="W14" s="8">
        <f>IF(OR($A14="",$D14="",$D14&gt;=EDATE(W$5,1)),0,MAX(0,MIN($K14,$E14-$G14-$I14-SUM($M14:V14))))</f>
        <v>0</v>
      </c>
      <c r="X14" s="8">
        <f>IF(OR($A14="",$D14="",$D14&gt;=EDATE(X$5,1)),0,MAX(0,MIN($K14,$E14-$G14-$I14-SUM($M14:W14))))</f>
        <v>0</v>
      </c>
    </row>
    <row r="15" spans="1:24" ht="22" customHeight="1">
      <c r="A15" s="3"/>
      <c r="B15" s="3"/>
      <c r="C15" s="7"/>
      <c r="D15" s="7"/>
      <c r="E15" s="4"/>
      <c r="F15" s="4"/>
      <c r="G15" s="4"/>
      <c r="H15" s="3"/>
      <c r="I15" s="4"/>
      <c r="J15" s="3"/>
      <c r="K15" s="8" t="str">
        <f t="shared" si="0"/>
        <v/>
      </c>
      <c r="L15" s="8" t="str">
        <f>IF(COUNTA(A15:J15)=0,"",IF(OR(A15="",C15="",D15="",E15="",H15&lt;=0),"Faltan datos",IF(COUNTIF($A$7:$A$106,A15)&gt;1,"ID duplicado",IF(OR(E15&lt;0,G15&lt;0,I15&lt;0,G15+I15&gt;E15,D15&lt;C15),"Revisar activo",IF(AND(C15&gt;=DATE(Configuración!$C$5,1,1),I15&lt;&gt;0),"Dep. inicial no procede","OK")))))</f>
        <v/>
      </c>
      <c r="M15" s="8">
        <f t="shared" si="1"/>
        <v>0</v>
      </c>
      <c r="N15" s="8">
        <f>IF(OR($A15="",$D15="",$D15&gt;=EDATE(N$5,1)),0,MAX(0,MIN($K15,$E15-$G15-$I15-SUM($M15:M15))))</f>
        <v>0</v>
      </c>
      <c r="O15" s="8">
        <f>IF(OR($A15="",$D15="",$D15&gt;=EDATE(O$5,1)),0,MAX(0,MIN($K15,$E15-$G15-$I15-SUM($M15:N15))))</f>
        <v>0</v>
      </c>
      <c r="P15" s="8">
        <f>IF(OR($A15="",$D15="",$D15&gt;=EDATE(P$5,1)),0,MAX(0,MIN($K15,$E15-$G15-$I15-SUM($M15:O15))))</f>
        <v>0</v>
      </c>
      <c r="Q15" s="8">
        <f>IF(OR($A15="",$D15="",$D15&gt;=EDATE(Q$5,1)),0,MAX(0,MIN($K15,$E15-$G15-$I15-SUM($M15:P15))))</f>
        <v>0</v>
      </c>
      <c r="R15" s="8">
        <f>IF(OR($A15="",$D15="",$D15&gt;=EDATE(R$5,1)),0,MAX(0,MIN($K15,$E15-$G15-$I15-SUM($M15:Q15))))</f>
        <v>0</v>
      </c>
      <c r="S15" s="8">
        <f>IF(OR($A15="",$D15="",$D15&gt;=EDATE(S$5,1)),0,MAX(0,MIN($K15,$E15-$G15-$I15-SUM($M15:R15))))</f>
        <v>0</v>
      </c>
      <c r="T15" s="8">
        <f>IF(OR($A15="",$D15="",$D15&gt;=EDATE(T$5,1)),0,MAX(0,MIN($K15,$E15-$G15-$I15-SUM($M15:S15))))</f>
        <v>0</v>
      </c>
      <c r="U15" s="8">
        <f>IF(OR($A15="",$D15="",$D15&gt;=EDATE(U$5,1)),0,MAX(0,MIN($K15,$E15-$G15-$I15-SUM($M15:T15))))</f>
        <v>0</v>
      </c>
      <c r="V15" s="8">
        <f>IF(OR($A15="",$D15="",$D15&gt;=EDATE(V$5,1)),0,MAX(0,MIN($K15,$E15-$G15-$I15-SUM($M15:U15))))</f>
        <v>0</v>
      </c>
      <c r="W15" s="8">
        <f>IF(OR($A15="",$D15="",$D15&gt;=EDATE(W$5,1)),0,MAX(0,MIN($K15,$E15-$G15-$I15-SUM($M15:V15))))</f>
        <v>0</v>
      </c>
      <c r="X15" s="8">
        <f>IF(OR($A15="",$D15="",$D15&gt;=EDATE(X$5,1)),0,MAX(0,MIN($K15,$E15-$G15-$I15-SUM($M15:W15))))</f>
        <v>0</v>
      </c>
    </row>
    <row r="16" spans="1:24" ht="22" customHeight="1">
      <c r="A16" s="3"/>
      <c r="B16" s="3"/>
      <c r="C16" s="7"/>
      <c r="D16" s="7"/>
      <c r="E16" s="4"/>
      <c r="F16" s="4"/>
      <c r="G16" s="4"/>
      <c r="H16" s="3"/>
      <c r="I16" s="4"/>
      <c r="J16" s="3"/>
      <c r="K16" s="8" t="str">
        <f t="shared" si="0"/>
        <v/>
      </c>
      <c r="L16" s="8" t="str">
        <f>IF(COUNTA(A16:J16)=0,"",IF(OR(A16="",C16="",D16="",E16="",H16&lt;=0),"Faltan datos",IF(COUNTIF($A$7:$A$106,A16)&gt;1,"ID duplicado",IF(OR(E16&lt;0,G16&lt;0,I16&lt;0,G16+I16&gt;E16,D16&lt;C16),"Revisar activo",IF(AND(C16&gt;=DATE(Configuración!$C$5,1,1),I16&lt;&gt;0),"Dep. inicial no procede","OK")))))</f>
        <v/>
      </c>
      <c r="M16" s="8">
        <f t="shared" si="1"/>
        <v>0</v>
      </c>
      <c r="N16" s="8">
        <f>IF(OR($A16="",$D16="",$D16&gt;=EDATE(N$5,1)),0,MAX(0,MIN($K16,$E16-$G16-$I16-SUM($M16:M16))))</f>
        <v>0</v>
      </c>
      <c r="O16" s="8">
        <f>IF(OR($A16="",$D16="",$D16&gt;=EDATE(O$5,1)),0,MAX(0,MIN($K16,$E16-$G16-$I16-SUM($M16:N16))))</f>
        <v>0</v>
      </c>
      <c r="P16" s="8">
        <f>IF(OR($A16="",$D16="",$D16&gt;=EDATE(P$5,1)),0,MAX(0,MIN($K16,$E16-$G16-$I16-SUM($M16:O16))))</f>
        <v>0</v>
      </c>
      <c r="Q16" s="8">
        <f>IF(OR($A16="",$D16="",$D16&gt;=EDATE(Q$5,1)),0,MAX(0,MIN($K16,$E16-$G16-$I16-SUM($M16:P16))))</f>
        <v>0</v>
      </c>
      <c r="R16" s="8">
        <f>IF(OR($A16="",$D16="",$D16&gt;=EDATE(R$5,1)),0,MAX(0,MIN($K16,$E16-$G16-$I16-SUM($M16:Q16))))</f>
        <v>0</v>
      </c>
      <c r="S16" s="8">
        <f>IF(OR($A16="",$D16="",$D16&gt;=EDATE(S$5,1)),0,MAX(0,MIN($K16,$E16-$G16-$I16-SUM($M16:R16))))</f>
        <v>0</v>
      </c>
      <c r="T16" s="8">
        <f>IF(OR($A16="",$D16="",$D16&gt;=EDATE(T$5,1)),0,MAX(0,MIN($K16,$E16-$G16-$I16-SUM($M16:S16))))</f>
        <v>0</v>
      </c>
      <c r="U16" s="8">
        <f>IF(OR($A16="",$D16="",$D16&gt;=EDATE(U$5,1)),0,MAX(0,MIN($K16,$E16-$G16-$I16-SUM($M16:T16))))</f>
        <v>0</v>
      </c>
      <c r="V16" s="8">
        <f>IF(OR($A16="",$D16="",$D16&gt;=EDATE(V$5,1)),0,MAX(0,MIN($K16,$E16-$G16-$I16-SUM($M16:U16))))</f>
        <v>0</v>
      </c>
      <c r="W16" s="8">
        <f>IF(OR($A16="",$D16="",$D16&gt;=EDATE(W$5,1)),0,MAX(0,MIN($K16,$E16-$G16-$I16-SUM($M16:V16))))</f>
        <v>0</v>
      </c>
      <c r="X16" s="8">
        <f>IF(OR($A16="",$D16="",$D16&gt;=EDATE(X$5,1)),0,MAX(0,MIN($K16,$E16-$G16-$I16-SUM($M16:W16))))</f>
        <v>0</v>
      </c>
    </row>
    <row r="17" spans="1:24" ht="22" customHeight="1">
      <c r="A17" s="3"/>
      <c r="B17" s="3"/>
      <c r="C17" s="7"/>
      <c r="D17" s="7"/>
      <c r="E17" s="4"/>
      <c r="F17" s="4"/>
      <c r="G17" s="4"/>
      <c r="H17" s="3"/>
      <c r="I17" s="4"/>
      <c r="J17" s="3"/>
      <c r="K17" s="8" t="str">
        <f t="shared" si="0"/>
        <v/>
      </c>
      <c r="L17" s="8" t="str">
        <f>IF(COUNTA(A17:J17)=0,"",IF(OR(A17="",C17="",D17="",E17="",H17&lt;=0),"Faltan datos",IF(COUNTIF($A$7:$A$106,A17)&gt;1,"ID duplicado",IF(OR(E17&lt;0,G17&lt;0,I17&lt;0,G17+I17&gt;E17,D17&lt;C17),"Revisar activo",IF(AND(C17&gt;=DATE(Configuración!$C$5,1,1),I17&lt;&gt;0),"Dep. inicial no procede","OK")))))</f>
        <v/>
      </c>
      <c r="M17" s="8">
        <f t="shared" si="1"/>
        <v>0</v>
      </c>
      <c r="N17" s="8">
        <f>IF(OR($A17="",$D17="",$D17&gt;=EDATE(N$5,1)),0,MAX(0,MIN($K17,$E17-$G17-$I17-SUM($M17:M17))))</f>
        <v>0</v>
      </c>
      <c r="O17" s="8">
        <f>IF(OR($A17="",$D17="",$D17&gt;=EDATE(O$5,1)),0,MAX(0,MIN($K17,$E17-$G17-$I17-SUM($M17:N17))))</f>
        <v>0</v>
      </c>
      <c r="P17" s="8">
        <f>IF(OR($A17="",$D17="",$D17&gt;=EDATE(P$5,1)),0,MAX(0,MIN($K17,$E17-$G17-$I17-SUM($M17:O17))))</f>
        <v>0</v>
      </c>
      <c r="Q17" s="8">
        <f>IF(OR($A17="",$D17="",$D17&gt;=EDATE(Q$5,1)),0,MAX(0,MIN($K17,$E17-$G17-$I17-SUM($M17:P17))))</f>
        <v>0</v>
      </c>
      <c r="R17" s="8">
        <f>IF(OR($A17="",$D17="",$D17&gt;=EDATE(R$5,1)),0,MAX(0,MIN($K17,$E17-$G17-$I17-SUM($M17:Q17))))</f>
        <v>0</v>
      </c>
      <c r="S17" s="8">
        <f>IF(OR($A17="",$D17="",$D17&gt;=EDATE(S$5,1)),0,MAX(0,MIN($K17,$E17-$G17-$I17-SUM($M17:R17))))</f>
        <v>0</v>
      </c>
      <c r="T17" s="8">
        <f>IF(OR($A17="",$D17="",$D17&gt;=EDATE(T$5,1)),0,MAX(0,MIN($K17,$E17-$G17-$I17-SUM($M17:S17))))</f>
        <v>0</v>
      </c>
      <c r="U17" s="8">
        <f>IF(OR($A17="",$D17="",$D17&gt;=EDATE(U$5,1)),0,MAX(0,MIN($K17,$E17-$G17-$I17-SUM($M17:T17))))</f>
        <v>0</v>
      </c>
      <c r="V17" s="8">
        <f>IF(OR($A17="",$D17="",$D17&gt;=EDATE(V$5,1)),0,MAX(0,MIN($K17,$E17-$G17-$I17-SUM($M17:U17))))</f>
        <v>0</v>
      </c>
      <c r="W17" s="8">
        <f>IF(OR($A17="",$D17="",$D17&gt;=EDATE(W$5,1)),0,MAX(0,MIN($K17,$E17-$G17-$I17-SUM($M17:V17))))</f>
        <v>0</v>
      </c>
      <c r="X17" s="8">
        <f>IF(OR($A17="",$D17="",$D17&gt;=EDATE(X$5,1)),0,MAX(0,MIN($K17,$E17-$G17-$I17-SUM($M17:W17))))</f>
        <v>0</v>
      </c>
    </row>
    <row r="18" spans="1:24" ht="22" customHeight="1">
      <c r="A18" s="3"/>
      <c r="B18" s="3"/>
      <c r="C18" s="7"/>
      <c r="D18" s="7"/>
      <c r="E18" s="4"/>
      <c r="F18" s="4"/>
      <c r="G18" s="4"/>
      <c r="H18" s="3"/>
      <c r="I18" s="4"/>
      <c r="J18" s="3"/>
      <c r="K18" s="8" t="str">
        <f t="shared" si="0"/>
        <v/>
      </c>
      <c r="L18" s="8" t="str">
        <f>IF(COUNTA(A18:J18)=0,"",IF(OR(A18="",C18="",D18="",E18="",H18&lt;=0),"Faltan datos",IF(COUNTIF($A$7:$A$106,A18)&gt;1,"ID duplicado",IF(OR(E18&lt;0,G18&lt;0,I18&lt;0,G18+I18&gt;E18,D18&lt;C18),"Revisar activo",IF(AND(C18&gt;=DATE(Configuración!$C$5,1,1),I18&lt;&gt;0),"Dep. inicial no procede","OK")))))</f>
        <v/>
      </c>
      <c r="M18" s="8">
        <f t="shared" si="1"/>
        <v>0</v>
      </c>
      <c r="N18" s="8">
        <f>IF(OR($A18="",$D18="",$D18&gt;=EDATE(N$5,1)),0,MAX(0,MIN($K18,$E18-$G18-$I18-SUM($M18:M18))))</f>
        <v>0</v>
      </c>
      <c r="O18" s="8">
        <f>IF(OR($A18="",$D18="",$D18&gt;=EDATE(O$5,1)),0,MAX(0,MIN($K18,$E18-$G18-$I18-SUM($M18:N18))))</f>
        <v>0</v>
      </c>
      <c r="P18" s="8">
        <f>IF(OR($A18="",$D18="",$D18&gt;=EDATE(P$5,1)),0,MAX(0,MIN($K18,$E18-$G18-$I18-SUM($M18:O18))))</f>
        <v>0</v>
      </c>
      <c r="Q18" s="8">
        <f>IF(OR($A18="",$D18="",$D18&gt;=EDATE(Q$5,1)),0,MAX(0,MIN($K18,$E18-$G18-$I18-SUM($M18:P18))))</f>
        <v>0</v>
      </c>
      <c r="R18" s="8">
        <f>IF(OR($A18="",$D18="",$D18&gt;=EDATE(R$5,1)),0,MAX(0,MIN($K18,$E18-$G18-$I18-SUM($M18:Q18))))</f>
        <v>0</v>
      </c>
      <c r="S18" s="8">
        <f>IF(OR($A18="",$D18="",$D18&gt;=EDATE(S$5,1)),0,MAX(0,MIN($K18,$E18-$G18-$I18-SUM($M18:R18))))</f>
        <v>0</v>
      </c>
      <c r="T18" s="8">
        <f>IF(OR($A18="",$D18="",$D18&gt;=EDATE(T$5,1)),0,MAX(0,MIN($K18,$E18-$G18-$I18-SUM($M18:S18))))</f>
        <v>0</v>
      </c>
      <c r="U18" s="8">
        <f>IF(OR($A18="",$D18="",$D18&gt;=EDATE(U$5,1)),0,MAX(0,MIN($K18,$E18-$G18-$I18-SUM($M18:T18))))</f>
        <v>0</v>
      </c>
      <c r="V18" s="8">
        <f>IF(OR($A18="",$D18="",$D18&gt;=EDATE(V$5,1)),0,MAX(0,MIN($K18,$E18-$G18-$I18-SUM($M18:U18))))</f>
        <v>0</v>
      </c>
      <c r="W18" s="8">
        <f>IF(OR($A18="",$D18="",$D18&gt;=EDATE(W$5,1)),0,MAX(0,MIN($K18,$E18-$G18-$I18-SUM($M18:V18))))</f>
        <v>0</v>
      </c>
      <c r="X18" s="8">
        <f>IF(OR($A18="",$D18="",$D18&gt;=EDATE(X$5,1)),0,MAX(0,MIN($K18,$E18-$G18-$I18-SUM($M18:W18))))</f>
        <v>0</v>
      </c>
    </row>
    <row r="19" spans="1:24" ht="22" customHeight="1">
      <c r="A19" s="3"/>
      <c r="B19" s="3"/>
      <c r="C19" s="7"/>
      <c r="D19" s="7"/>
      <c r="E19" s="4"/>
      <c r="F19" s="4"/>
      <c r="G19" s="4"/>
      <c r="H19" s="3"/>
      <c r="I19" s="4"/>
      <c r="J19" s="3"/>
      <c r="K19" s="8" t="str">
        <f t="shared" si="0"/>
        <v/>
      </c>
      <c r="L19" s="8" t="str">
        <f>IF(COUNTA(A19:J19)=0,"",IF(OR(A19="",C19="",D19="",E19="",H19&lt;=0),"Faltan datos",IF(COUNTIF($A$7:$A$106,A19)&gt;1,"ID duplicado",IF(OR(E19&lt;0,G19&lt;0,I19&lt;0,G19+I19&gt;E19,D19&lt;C19),"Revisar activo",IF(AND(C19&gt;=DATE(Configuración!$C$5,1,1),I19&lt;&gt;0),"Dep. inicial no procede","OK")))))</f>
        <v/>
      </c>
      <c r="M19" s="8">
        <f t="shared" si="1"/>
        <v>0</v>
      </c>
      <c r="N19" s="8">
        <f>IF(OR($A19="",$D19="",$D19&gt;=EDATE(N$5,1)),0,MAX(0,MIN($K19,$E19-$G19-$I19-SUM($M19:M19))))</f>
        <v>0</v>
      </c>
      <c r="O19" s="8">
        <f>IF(OR($A19="",$D19="",$D19&gt;=EDATE(O$5,1)),0,MAX(0,MIN($K19,$E19-$G19-$I19-SUM($M19:N19))))</f>
        <v>0</v>
      </c>
      <c r="P19" s="8">
        <f>IF(OR($A19="",$D19="",$D19&gt;=EDATE(P$5,1)),0,MAX(0,MIN($K19,$E19-$G19-$I19-SUM($M19:O19))))</f>
        <v>0</v>
      </c>
      <c r="Q19" s="8">
        <f>IF(OR($A19="",$D19="",$D19&gt;=EDATE(Q$5,1)),0,MAX(0,MIN($K19,$E19-$G19-$I19-SUM($M19:P19))))</f>
        <v>0</v>
      </c>
      <c r="R19" s="8">
        <f>IF(OR($A19="",$D19="",$D19&gt;=EDATE(R$5,1)),0,MAX(0,MIN($K19,$E19-$G19-$I19-SUM($M19:Q19))))</f>
        <v>0</v>
      </c>
      <c r="S19" s="8">
        <f>IF(OR($A19="",$D19="",$D19&gt;=EDATE(S$5,1)),0,MAX(0,MIN($K19,$E19-$G19-$I19-SUM($M19:R19))))</f>
        <v>0</v>
      </c>
      <c r="T19" s="8">
        <f>IF(OR($A19="",$D19="",$D19&gt;=EDATE(T$5,1)),0,MAX(0,MIN($K19,$E19-$G19-$I19-SUM($M19:S19))))</f>
        <v>0</v>
      </c>
      <c r="U19" s="8">
        <f>IF(OR($A19="",$D19="",$D19&gt;=EDATE(U$5,1)),0,MAX(0,MIN($K19,$E19-$G19-$I19-SUM($M19:T19))))</f>
        <v>0</v>
      </c>
      <c r="V19" s="8">
        <f>IF(OR($A19="",$D19="",$D19&gt;=EDATE(V$5,1)),0,MAX(0,MIN($K19,$E19-$G19-$I19-SUM($M19:U19))))</f>
        <v>0</v>
      </c>
      <c r="W19" s="8">
        <f>IF(OR($A19="",$D19="",$D19&gt;=EDATE(W$5,1)),0,MAX(0,MIN($K19,$E19-$G19-$I19-SUM($M19:V19))))</f>
        <v>0</v>
      </c>
      <c r="X19" s="8">
        <f>IF(OR($A19="",$D19="",$D19&gt;=EDATE(X$5,1)),0,MAX(0,MIN($K19,$E19-$G19-$I19-SUM($M19:W19))))</f>
        <v>0</v>
      </c>
    </row>
    <row r="20" spans="1:24" ht="22" customHeight="1">
      <c r="A20" s="3"/>
      <c r="B20" s="3"/>
      <c r="C20" s="7"/>
      <c r="D20" s="7"/>
      <c r="E20" s="4"/>
      <c r="F20" s="4"/>
      <c r="G20" s="4"/>
      <c r="H20" s="3"/>
      <c r="I20" s="4"/>
      <c r="J20" s="3"/>
      <c r="K20" s="8" t="str">
        <f t="shared" si="0"/>
        <v/>
      </c>
      <c r="L20" s="8" t="str">
        <f>IF(COUNTA(A20:J20)=0,"",IF(OR(A20="",C20="",D20="",E20="",H20&lt;=0),"Faltan datos",IF(COUNTIF($A$7:$A$106,A20)&gt;1,"ID duplicado",IF(OR(E20&lt;0,G20&lt;0,I20&lt;0,G20+I20&gt;E20,D20&lt;C20),"Revisar activo",IF(AND(C20&gt;=DATE(Configuración!$C$5,1,1),I20&lt;&gt;0),"Dep. inicial no procede","OK")))))</f>
        <v/>
      </c>
      <c r="M20" s="8">
        <f t="shared" si="1"/>
        <v>0</v>
      </c>
      <c r="N20" s="8">
        <f>IF(OR($A20="",$D20="",$D20&gt;=EDATE(N$5,1)),0,MAX(0,MIN($K20,$E20-$G20-$I20-SUM($M20:M20))))</f>
        <v>0</v>
      </c>
      <c r="O20" s="8">
        <f>IF(OR($A20="",$D20="",$D20&gt;=EDATE(O$5,1)),0,MAX(0,MIN($K20,$E20-$G20-$I20-SUM($M20:N20))))</f>
        <v>0</v>
      </c>
      <c r="P20" s="8">
        <f>IF(OR($A20="",$D20="",$D20&gt;=EDATE(P$5,1)),0,MAX(0,MIN($K20,$E20-$G20-$I20-SUM($M20:O20))))</f>
        <v>0</v>
      </c>
      <c r="Q20" s="8">
        <f>IF(OR($A20="",$D20="",$D20&gt;=EDATE(Q$5,1)),0,MAX(0,MIN($K20,$E20-$G20-$I20-SUM($M20:P20))))</f>
        <v>0</v>
      </c>
      <c r="R20" s="8">
        <f>IF(OR($A20="",$D20="",$D20&gt;=EDATE(R$5,1)),0,MAX(0,MIN($K20,$E20-$G20-$I20-SUM($M20:Q20))))</f>
        <v>0</v>
      </c>
      <c r="S20" s="8">
        <f>IF(OR($A20="",$D20="",$D20&gt;=EDATE(S$5,1)),0,MAX(0,MIN($K20,$E20-$G20-$I20-SUM($M20:R20))))</f>
        <v>0</v>
      </c>
      <c r="T20" s="8">
        <f>IF(OR($A20="",$D20="",$D20&gt;=EDATE(T$5,1)),0,MAX(0,MIN($K20,$E20-$G20-$I20-SUM($M20:S20))))</f>
        <v>0</v>
      </c>
      <c r="U20" s="8">
        <f>IF(OR($A20="",$D20="",$D20&gt;=EDATE(U$5,1)),0,MAX(0,MIN($K20,$E20-$G20-$I20-SUM($M20:T20))))</f>
        <v>0</v>
      </c>
      <c r="V20" s="8">
        <f>IF(OR($A20="",$D20="",$D20&gt;=EDATE(V$5,1)),0,MAX(0,MIN($K20,$E20-$G20-$I20-SUM($M20:U20))))</f>
        <v>0</v>
      </c>
      <c r="W20" s="8">
        <f>IF(OR($A20="",$D20="",$D20&gt;=EDATE(W$5,1)),0,MAX(0,MIN($K20,$E20-$G20-$I20-SUM($M20:V20))))</f>
        <v>0</v>
      </c>
      <c r="X20" s="8">
        <f>IF(OR($A20="",$D20="",$D20&gt;=EDATE(X$5,1)),0,MAX(0,MIN($K20,$E20-$G20-$I20-SUM($M20:W20))))</f>
        <v>0</v>
      </c>
    </row>
    <row r="21" spans="1:24" ht="22" customHeight="1">
      <c r="A21" s="3"/>
      <c r="B21" s="3"/>
      <c r="C21" s="7"/>
      <c r="D21" s="7"/>
      <c r="E21" s="4"/>
      <c r="F21" s="4"/>
      <c r="G21" s="4"/>
      <c r="H21" s="3"/>
      <c r="I21" s="4"/>
      <c r="J21" s="3"/>
      <c r="K21" s="8" t="str">
        <f t="shared" si="0"/>
        <v/>
      </c>
      <c r="L21" s="8" t="str">
        <f>IF(COUNTA(A21:J21)=0,"",IF(OR(A21="",C21="",D21="",E21="",H21&lt;=0),"Faltan datos",IF(COUNTIF($A$7:$A$106,A21)&gt;1,"ID duplicado",IF(OR(E21&lt;0,G21&lt;0,I21&lt;0,G21+I21&gt;E21,D21&lt;C21),"Revisar activo",IF(AND(C21&gt;=DATE(Configuración!$C$5,1,1),I21&lt;&gt;0),"Dep. inicial no procede","OK")))))</f>
        <v/>
      </c>
      <c r="M21" s="8">
        <f t="shared" si="1"/>
        <v>0</v>
      </c>
      <c r="N21" s="8">
        <f>IF(OR($A21="",$D21="",$D21&gt;=EDATE(N$5,1)),0,MAX(0,MIN($K21,$E21-$G21-$I21-SUM($M21:M21))))</f>
        <v>0</v>
      </c>
      <c r="O21" s="8">
        <f>IF(OR($A21="",$D21="",$D21&gt;=EDATE(O$5,1)),0,MAX(0,MIN($K21,$E21-$G21-$I21-SUM($M21:N21))))</f>
        <v>0</v>
      </c>
      <c r="P21" s="8">
        <f>IF(OR($A21="",$D21="",$D21&gt;=EDATE(P$5,1)),0,MAX(0,MIN($K21,$E21-$G21-$I21-SUM($M21:O21))))</f>
        <v>0</v>
      </c>
      <c r="Q21" s="8">
        <f>IF(OR($A21="",$D21="",$D21&gt;=EDATE(Q$5,1)),0,MAX(0,MIN($K21,$E21-$G21-$I21-SUM($M21:P21))))</f>
        <v>0</v>
      </c>
      <c r="R21" s="8">
        <f>IF(OR($A21="",$D21="",$D21&gt;=EDATE(R$5,1)),0,MAX(0,MIN($K21,$E21-$G21-$I21-SUM($M21:Q21))))</f>
        <v>0</v>
      </c>
      <c r="S21" s="8">
        <f>IF(OR($A21="",$D21="",$D21&gt;=EDATE(S$5,1)),0,MAX(0,MIN($K21,$E21-$G21-$I21-SUM($M21:R21))))</f>
        <v>0</v>
      </c>
      <c r="T21" s="8">
        <f>IF(OR($A21="",$D21="",$D21&gt;=EDATE(T$5,1)),0,MAX(0,MIN($K21,$E21-$G21-$I21-SUM($M21:S21))))</f>
        <v>0</v>
      </c>
      <c r="U21" s="8">
        <f>IF(OR($A21="",$D21="",$D21&gt;=EDATE(U$5,1)),0,MAX(0,MIN($K21,$E21-$G21-$I21-SUM($M21:T21))))</f>
        <v>0</v>
      </c>
      <c r="V21" s="8">
        <f>IF(OR($A21="",$D21="",$D21&gt;=EDATE(V$5,1)),0,MAX(0,MIN($K21,$E21-$G21-$I21-SUM($M21:U21))))</f>
        <v>0</v>
      </c>
      <c r="W21" s="8">
        <f>IF(OR($A21="",$D21="",$D21&gt;=EDATE(W$5,1)),0,MAX(0,MIN($K21,$E21-$G21-$I21-SUM($M21:V21))))</f>
        <v>0</v>
      </c>
      <c r="X21" s="8">
        <f>IF(OR($A21="",$D21="",$D21&gt;=EDATE(X$5,1)),0,MAX(0,MIN($K21,$E21-$G21-$I21-SUM($M21:W21))))</f>
        <v>0</v>
      </c>
    </row>
    <row r="22" spans="1:24" ht="22" customHeight="1">
      <c r="A22" s="3"/>
      <c r="B22" s="3"/>
      <c r="C22" s="7"/>
      <c r="D22" s="7"/>
      <c r="E22" s="4"/>
      <c r="F22" s="4"/>
      <c r="G22" s="4"/>
      <c r="H22" s="3"/>
      <c r="I22" s="4"/>
      <c r="J22" s="3"/>
      <c r="K22" s="8" t="str">
        <f t="shared" si="0"/>
        <v/>
      </c>
      <c r="L22" s="8" t="str">
        <f>IF(COUNTA(A22:J22)=0,"",IF(OR(A22="",C22="",D22="",E22="",H22&lt;=0),"Faltan datos",IF(COUNTIF($A$7:$A$106,A22)&gt;1,"ID duplicado",IF(OR(E22&lt;0,G22&lt;0,I22&lt;0,G22+I22&gt;E22,D22&lt;C22),"Revisar activo",IF(AND(C22&gt;=DATE(Configuración!$C$5,1,1),I22&lt;&gt;0),"Dep. inicial no procede","OK")))))</f>
        <v/>
      </c>
      <c r="M22" s="8">
        <f t="shared" si="1"/>
        <v>0</v>
      </c>
      <c r="N22" s="8">
        <f>IF(OR($A22="",$D22="",$D22&gt;=EDATE(N$5,1)),0,MAX(0,MIN($K22,$E22-$G22-$I22-SUM($M22:M22))))</f>
        <v>0</v>
      </c>
      <c r="O22" s="8">
        <f>IF(OR($A22="",$D22="",$D22&gt;=EDATE(O$5,1)),0,MAX(0,MIN($K22,$E22-$G22-$I22-SUM($M22:N22))))</f>
        <v>0</v>
      </c>
      <c r="P22" s="8">
        <f>IF(OR($A22="",$D22="",$D22&gt;=EDATE(P$5,1)),0,MAX(0,MIN($K22,$E22-$G22-$I22-SUM($M22:O22))))</f>
        <v>0</v>
      </c>
      <c r="Q22" s="8">
        <f>IF(OR($A22="",$D22="",$D22&gt;=EDATE(Q$5,1)),0,MAX(0,MIN($K22,$E22-$G22-$I22-SUM($M22:P22))))</f>
        <v>0</v>
      </c>
      <c r="R22" s="8">
        <f>IF(OR($A22="",$D22="",$D22&gt;=EDATE(R$5,1)),0,MAX(0,MIN($K22,$E22-$G22-$I22-SUM($M22:Q22))))</f>
        <v>0</v>
      </c>
      <c r="S22" s="8">
        <f>IF(OR($A22="",$D22="",$D22&gt;=EDATE(S$5,1)),0,MAX(0,MIN($K22,$E22-$G22-$I22-SUM($M22:R22))))</f>
        <v>0</v>
      </c>
      <c r="T22" s="8">
        <f>IF(OR($A22="",$D22="",$D22&gt;=EDATE(T$5,1)),0,MAX(0,MIN($K22,$E22-$G22-$I22-SUM($M22:S22))))</f>
        <v>0</v>
      </c>
      <c r="U22" s="8">
        <f>IF(OR($A22="",$D22="",$D22&gt;=EDATE(U$5,1)),0,MAX(0,MIN($K22,$E22-$G22-$I22-SUM($M22:T22))))</f>
        <v>0</v>
      </c>
      <c r="V22" s="8">
        <f>IF(OR($A22="",$D22="",$D22&gt;=EDATE(V$5,1)),0,MAX(0,MIN($K22,$E22-$G22-$I22-SUM($M22:U22))))</f>
        <v>0</v>
      </c>
      <c r="W22" s="8">
        <f>IF(OR($A22="",$D22="",$D22&gt;=EDATE(W$5,1)),0,MAX(0,MIN($K22,$E22-$G22-$I22-SUM($M22:V22))))</f>
        <v>0</v>
      </c>
      <c r="X22" s="8">
        <f>IF(OR($A22="",$D22="",$D22&gt;=EDATE(X$5,1)),0,MAX(0,MIN($K22,$E22-$G22-$I22-SUM($M22:W22))))</f>
        <v>0</v>
      </c>
    </row>
    <row r="23" spans="1:24" ht="22" customHeight="1">
      <c r="A23" s="3"/>
      <c r="B23" s="3"/>
      <c r="C23" s="7"/>
      <c r="D23" s="7"/>
      <c r="E23" s="4"/>
      <c r="F23" s="4"/>
      <c r="G23" s="4"/>
      <c r="H23" s="3"/>
      <c r="I23" s="4"/>
      <c r="J23" s="3"/>
      <c r="K23" s="8" t="str">
        <f t="shared" si="0"/>
        <v/>
      </c>
      <c r="L23" s="8" t="str">
        <f>IF(COUNTA(A23:J23)=0,"",IF(OR(A23="",C23="",D23="",E23="",H23&lt;=0),"Faltan datos",IF(COUNTIF($A$7:$A$106,A23)&gt;1,"ID duplicado",IF(OR(E23&lt;0,G23&lt;0,I23&lt;0,G23+I23&gt;E23,D23&lt;C23),"Revisar activo",IF(AND(C23&gt;=DATE(Configuración!$C$5,1,1),I23&lt;&gt;0),"Dep. inicial no procede","OK")))))</f>
        <v/>
      </c>
      <c r="M23" s="8">
        <f t="shared" si="1"/>
        <v>0</v>
      </c>
      <c r="N23" s="8">
        <f>IF(OR($A23="",$D23="",$D23&gt;=EDATE(N$5,1)),0,MAX(0,MIN($K23,$E23-$G23-$I23-SUM($M23:M23))))</f>
        <v>0</v>
      </c>
      <c r="O23" s="8">
        <f>IF(OR($A23="",$D23="",$D23&gt;=EDATE(O$5,1)),0,MAX(0,MIN($K23,$E23-$G23-$I23-SUM($M23:N23))))</f>
        <v>0</v>
      </c>
      <c r="P23" s="8">
        <f>IF(OR($A23="",$D23="",$D23&gt;=EDATE(P$5,1)),0,MAX(0,MIN($K23,$E23-$G23-$I23-SUM($M23:O23))))</f>
        <v>0</v>
      </c>
      <c r="Q23" s="8">
        <f>IF(OR($A23="",$D23="",$D23&gt;=EDATE(Q$5,1)),0,MAX(0,MIN($K23,$E23-$G23-$I23-SUM($M23:P23))))</f>
        <v>0</v>
      </c>
      <c r="R23" s="8">
        <f>IF(OR($A23="",$D23="",$D23&gt;=EDATE(R$5,1)),0,MAX(0,MIN($K23,$E23-$G23-$I23-SUM($M23:Q23))))</f>
        <v>0</v>
      </c>
      <c r="S23" s="8">
        <f>IF(OR($A23="",$D23="",$D23&gt;=EDATE(S$5,1)),0,MAX(0,MIN($K23,$E23-$G23-$I23-SUM($M23:R23))))</f>
        <v>0</v>
      </c>
      <c r="T23" s="8">
        <f>IF(OR($A23="",$D23="",$D23&gt;=EDATE(T$5,1)),0,MAX(0,MIN($K23,$E23-$G23-$I23-SUM($M23:S23))))</f>
        <v>0</v>
      </c>
      <c r="U23" s="8">
        <f>IF(OR($A23="",$D23="",$D23&gt;=EDATE(U$5,1)),0,MAX(0,MIN($K23,$E23-$G23-$I23-SUM($M23:T23))))</f>
        <v>0</v>
      </c>
      <c r="V23" s="8">
        <f>IF(OR($A23="",$D23="",$D23&gt;=EDATE(V$5,1)),0,MAX(0,MIN($K23,$E23-$G23-$I23-SUM($M23:U23))))</f>
        <v>0</v>
      </c>
      <c r="W23" s="8">
        <f>IF(OR($A23="",$D23="",$D23&gt;=EDATE(W$5,1)),0,MAX(0,MIN($K23,$E23-$G23-$I23-SUM($M23:V23))))</f>
        <v>0</v>
      </c>
      <c r="X23" s="8">
        <f>IF(OR($A23="",$D23="",$D23&gt;=EDATE(X$5,1)),0,MAX(0,MIN($K23,$E23-$G23-$I23-SUM($M23:W23))))</f>
        <v>0</v>
      </c>
    </row>
    <row r="24" spans="1:24" ht="22" customHeight="1">
      <c r="A24" s="3"/>
      <c r="B24" s="3"/>
      <c r="C24" s="7"/>
      <c r="D24" s="7"/>
      <c r="E24" s="4"/>
      <c r="F24" s="4"/>
      <c r="G24" s="4"/>
      <c r="H24" s="3"/>
      <c r="I24" s="4"/>
      <c r="J24" s="3"/>
      <c r="K24" s="8" t="str">
        <f t="shared" si="0"/>
        <v/>
      </c>
      <c r="L24" s="8" t="str">
        <f>IF(COUNTA(A24:J24)=0,"",IF(OR(A24="",C24="",D24="",E24="",H24&lt;=0),"Faltan datos",IF(COUNTIF($A$7:$A$106,A24)&gt;1,"ID duplicado",IF(OR(E24&lt;0,G24&lt;0,I24&lt;0,G24+I24&gt;E24,D24&lt;C24),"Revisar activo",IF(AND(C24&gt;=DATE(Configuración!$C$5,1,1),I24&lt;&gt;0),"Dep. inicial no procede","OK")))))</f>
        <v/>
      </c>
      <c r="M24" s="8">
        <f t="shared" si="1"/>
        <v>0</v>
      </c>
      <c r="N24" s="8">
        <f>IF(OR($A24="",$D24="",$D24&gt;=EDATE(N$5,1)),0,MAX(0,MIN($K24,$E24-$G24-$I24-SUM($M24:M24))))</f>
        <v>0</v>
      </c>
      <c r="O24" s="8">
        <f>IF(OR($A24="",$D24="",$D24&gt;=EDATE(O$5,1)),0,MAX(0,MIN($K24,$E24-$G24-$I24-SUM($M24:N24))))</f>
        <v>0</v>
      </c>
      <c r="P24" s="8">
        <f>IF(OR($A24="",$D24="",$D24&gt;=EDATE(P$5,1)),0,MAX(0,MIN($K24,$E24-$G24-$I24-SUM($M24:O24))))</f>
        <v>0</v>
      </c>
      <c r="Q24" s="8">
        <f>IF(OR($A24="",$D24="",$D24&gt;=EDATE(Q$5,1)),0,MAX(0,MIN($K24,$E24-$G24-$I24-SUM($M24:P24))))</f>
        <v>0</v>
      </c>
      <c r="R24" s="8">
        <f>IF(OR($A24="",$D24="",$D24&gt;=EDATE(R$5,1)),0,MAX(0,MIN($K24,$E24-$G24-$I24-SUM($M24:Q24))))</f>
        <v>0</v>
      </c>
      <c r="S24" s="8">
        <f>IF(OR($A24="",$D24="",$D24&gt;=EDATE(S$5,1)),0,MAX(0,MIN($K24,$E24-$G24-$I24-SUM($M24:R24))))</f>
        <v>0</v>
      </c>
      <c r="T24" s="8">
        <f>IF(OR($A24="",$D24="",$D24&gt;=EDATE(T$5,1)),0,MAX(0,MIN($K24,$E24-$G24-$I24-SUM($M24:S24))))</f>
        <v>0</v>
      </c>
      <c r="U24" s="8">
        <f>IF(OR($A24="",$D24="",$D24&gt;=EDATE(U$5,1)),0,MAX(0,MIN($K24,$E24-$G24-$I24-SUM($M24:T24))))</f>
        <v>0</v>
      </c>
      <c r="V24" s="8">
        <f>IF(OR($A24="",$D24="",$D24&gt;=EDATE(V$5,1)),0,MAX(0,MIN($K24,$E24-$G24-$I24-SUM($M24:U24))))</f>
        <v>0</v>
      </c>
      <c r="W24" s="8">
        <f>IF(OR($A24="",$D24="",$D24&gt;=EDATE(W$5,1)),0,MAX(0,MIN($K24,$E24-$G24-$I24-SUM($M24:V24))))</f>
        <v>0</v>
      </c>
      <c r="X24" s="8">
        <f>IF(OR($A24="",$D24="",$D24&gt;=EDATE(X$5,1)),0,MAX(0,MIN($K24,$E24-$G24-$I24-SUM($M24:W24))))</f>
        <v>0</v>
      </c>
    </row>
    <row r="25" spans="1:24" ht="22" customHeight="1">
      <c r="A25" s="3"/>
      <c r="B25" s="3"/>
      <c r="C25" s="7"/>
      <c r="D25" s="7"/>
      <c r="E25" s="4"/>
      <c r="F25" s="4"/>
      <c r="G25" s="4"/>
      <c r="H25" s="3"/>
      <c r="I25" s="4"/>
      <c r="J25" s="3"/>
      <c r="K25" s="8" t="str">
        <f t="shared" si="0"/>
        <v/>
      </c>
      <c r="L25" s="8" t="str">
        <f>IF(COUNTA(A25:J25)=0,"",IF(OR(A25="",C25="",D25="",E25="",H25&lt;=0),"Faltan datos",IF(COUNTIF($A$7:$A$106,A25)&gt;1,"ID duplicado",IF(OR(E25&lt;0,G25&lt;0,I25&lt;0,G25+I25&gt;E25,D25&lt;C25),"Revisar activo",IF(AND(C25&gt;=DATE(Configuración!$C$5,1,1),I25&lt;&gt;0),"Dep. inicial no procede","OK")))))</f>
        <v/>
      </c>
      <c r="M25" s="8">
        <f t="shared" si="1"/>
        <v>0</v>
      </c>
      <c r="N25" s="8">
        <f>IF(OR($A25="",$D25="",$D25&gt;=EDATE(N$5,1)),0,MAX(0,MIN($K25,$E25-$G25-$I25-SUM($M25:M25))))</f>
        <v>0</v>
      </c>
      <c r="O25" s="8">
        <f>IF(OR($A25="",$D25="",$D25&gt;=EDATE(O$5,1)),0,MAX(0,MIN($K25,$E25-$G25-$I25-SUM($M25:N25))))</f>
        <v>0</v>
      </c>
      <c r="P25" s="8">
        <f>IF(OR($A25="",$D25="",$D25&gt;=EDATE(P$5,1)),0,MAX(0,MIN($K25,$E25-$G25-$I25-SUM($M25:O25))))</f>
        <v>0</v>
      </c>
      <c r="Q25" s="8">
        <f>IF(OR($A25="",$D25="",$D25&gt;=EDATE(Q$5,1)),0,MAX(0,MIN($K25,$E25-$G25-$I25-SUM($M25:P25))))</f>
        <v>0</v>
      </c>
      <c r="R25" s="8">
        <f>IF(OR($A25="",$D25="",$D25&gt;=EDATE(R$5,1)),0,MAX(0,MIN($K25,$E25-$G25-$I25-SUM($M25:Q25))))</f>
        <v>0</v>
      </c>
      <c r="S25" s="8">
        <f>IF(OR($A25="",$D25="",$D25&gt;=EDATE(S$5,1)),0,MAX(0,MIN($K25,$E25-$G25-$I25-SUM($M25:R25))))</f>
        <v>0</v>
      </c>
      <c r="T25" s="8">
        <f>IF(OR($A25="",$D25="",$D25&gt;=EDATE(T$5,1)),0,MAX(0,MIN($K25,$E25-$G25-$I25-SUM($M25:S25))))</f>
        <v>0</v>
      </c>
      <c r="U25" s="8">
        <f>IF(OR($A25="",$D25="",$D25&gt;=EDATE(U$5,1)),0,MAX(0,MIN($K25,$E25-$G25-$I25-SUM($M25:T25))))</f>
        <v>0</v>
      </c>
      <c r="V25" s="8">
        <f>IF(OR($A25="",$D25="",$D25&gt;=EDATE(V$5,1)),0,MAX(0,MIN($K25,$E25-$G25-$I25-SUM($M25:U25))))</f>
        <v>0</v>
      </c>
      <c r="W25" s="8">
        <f>IF(OR($A25="",$D25="",$D25&gt;=EDATE(W$5,1)),0,MAX(0,MIN($K25,$E25-$G25-$I25-SUM($M25:V25))))</f>
        <v>0</v>
      </c>
      <c r="X25" s="8">
        <f>IF(OR($A25="",$D25="",$D25&gt;=EDATE(X$5,1)),0,MAX(0,MIN($K25,$E25-$G25-$I25-SUM($M25:W25))))</f>
        <v>0</v>
      </c>
    </row>
    <row r="26" spans="1:24" ht="22" customHeight="1">
      <c r="A26" s="3"/>
      <c r="B26" s="3"/>
      <c r="C26" s="7"/>
      <c r="D26" s="7"/>
      <c r="E26" s="4"/>
      <c r="F26" s="4"/>
      <c r="G26" s="4"/>
      <c r="H26" s="3"/>
      <c r="I26" s="4"/>
      <c r="J26" s="3"/>
      <c r="K26" s="8" t="str">
        <f t="shared" si="0"/>
        <v/>
      </c>
      <c r="L26" s="8" t="str">
        <f>IF(COUNTA(A26:J26)=0,"",IF(OR(A26="",C26="",D26="",E26="",H26&lt;=0),"Faltan datos",IF(COUNTIF($A$7:$A$106,A26)&gt;1,"ID duplicado",IF(OR(E26&lt;0,G26&lt;0,I26&lt;0,G26+I26&gt;E26,D26&lt;C26),"Revisar activo",IF(AND(C26&gt;=DATE(Configuración!$C$5,1,1),I26&lt;&gt;0),"Dep. inicial no procede","OK")))))</f>
        <v/>
      </c>
      <c r="M26" s="8">
        <f t="shared" si="1"/>
        <v>0</v>
      </c>
      <c r="N26" s="8">
        <f>IF(OR($A26="",$D26="",$D26&gt;=EDATE(N$5,1)),0,MAX(0,MIN($K26,$E26-$G26-$I26-SUM($M26:M26))))</f>
        <v>0</v>
      </c>
      <c r="O26" s="8">
        <f>IF(OR($A26="",$D26="",$D26&gt;=EDATE(O$5,1)),0,MAX(0,MIN($K26,$E26-$G26-$I26-SUM($M26:N26))))</f>
        <v>0</v>
      </c>
      <c r="P26" s="8">
        <f>IF(OR($A26="",$D26="",$D26&gt;=EDATE(P$5,1)),0,MAX(0,MIN($K26,$E26-$G26-$I26-SUM($M26:O26))))</f>
        <v>0</v>
      </c>
      <c r="Q26" s="8">
        <f>IF(OR($A26="",$D26="",$D26&gt;=EDATE(Q$5,1)),0,MAX(0,MIN($K26,$E26-$G26-$I26-SUM($M26:P26))))</f>
        <v>0</v>
      </c>
      <c r="R26" s="8">
        <f>IF(OR($A26="",$D26="",$D26&gt;=EDATE(R$5,1)),0,MAX(0,MIN($K26,$E26-$G26-$I26-SUM($M26:Q26))))</f>
        <v>0</v>
      </c>
      <c r="S26" s="8">
        <f>IF(OR($A26="",$D26="",$D26&gt;=EDATE(S$5,1)),0,MAX(0,MIN($K26,$E26-$G26-$I26-SUM($M26:R26))))</f>
        <v>0</v>
      </c>
      <c r="T26" s="8">
        <f>IF(OR($A26="",$D26="",$D26&gt;=EDATE(T$5,1)),0,MAX(0,MIN($K26,$E26-$G26-$I26-SUM($M26:S26))))</f>
        <v>0</v>
      </c>
      <c r="U26" s="8">
        <f>IF(OR($A26="",$D26="",$D26&gt;=EDATE(U$5,1)),0,MAX(0,MIN($K26,$E26-$G26-$I26-SUM($M26:T26))))</f>
        <v>0</v>
      </c>
      <c r="V26" s="8">
        <f>IF(OR($A26="",$D26="",$D26&gt;=EDATE(V$5,1)),0,MAX(0,MIN($K26,$E26-$G26-$I26-SUM($M26:U26))))</f>
        <v>0</v>
      </c>
      <c r="W26" s="8">
        <f>IF(OR($A26="",$D26="",$D26&gt;=EDATE(W$5,1)),0,MAX(0,MIN($K26,$E26-$G26-$I26-SUM($M26:V26))))</f>
        <v>0</v>
      </c>
      <c r="X26" s="8">
        <f>IF(OR($A26="",$D26="",$D26&gt;=EDATE(X$5,1)),0,MAX(0,MIN($K26,$E26-$G26-$I26-SUM($M26:W26))))</f>
        <v>0</v>
      </c>
    </row>
    <row r="27" spans="1:24" ht="22" customHeight="1">
      <c r="A27" s="3"/>
      <c r="B27" s="3"/>
      <c r="C27" s="7"/>
      <c r="D27" s="7"/>
      <c r="E27" s="4"/>
      <c r="F27" s="4"/>
      <c r="G27" s="4"/>
      <c r="H27" s="3"/>
      <c r="I27" s="4"/>
      <c r="J27" s="3"/>
      <c r="K27" s="8" t="str">
        <f t="shared" si="0"/>
        <v/>
      </c>
      <c r="L27" s="8" t="str">
        <f>IF(COUNTA(A27:J27)=0,"",IF(OR(A27="",C27="",D27="",E27="",H27&lt;=0),"Faltan datos",IF(COUNTIF($A$7:$A$106,A27)&gt;1,"ID duplicado",IF(OR(E27&lt;0,G27&lt;0,I27&lt;0,G27+I27&gt;E27,D27&lt;C27),"Revisar activo",IF(AND(C27&gt;=DATE(Configuración!$C$5,1,1),I27&lt;&gt;0),"Dep. inicial no procede","OK")))))</f>
        <v/>
      </c>
      <c r="M27" s="8">
        <f t="shared" si="1"/>
        <v>0</v>
      </c>
      <c r="N27" s="8">
        <f>IF(OR($A27="",$D27="",$D27&gt;=EDATE(N$5,1)),0,MAX(0,MIN($K27,$E27-$G27-$I27-SUM($M27:M27))))</f>
        <v>0</v>
      </c>
      <c r="O27" s="8">
        <f>IF(OR($A27="",$D27="",$D27&gt;=EDATE(O$5,1)),0,MAX(0,MIN($K27,$E27-$G27-$I27-SUM($M27:N27))))</f>
        <v>0</v>
      </c>
      <c r="P27" s="8">
        <f>IF(OR($A27="",$D27="",$D27&gt;=EDATE(P$5,1)),0,MAX(0,MIN($K27,$E27-$G27-$I27-SUM($M27:O27))))</f>
        <v>0</v>
      </c>
      <c r="Q27" s="8">
        <f>IF(OR($A27="",$D27="",$D27&gt;=EDATE(Q$5,1)),0,MAX(0,MIN($K27,$E27-$G27-$I27-SUM($M27:P27))))</f>
        <v>0</v>
      </c>
      <c r="R27" s="8">
        <f>IF(OR($A27="",$D27="",$D27&gt;=EDATE(R$5,1)),0,MAX(0,MIN($K27,$E27-$G27-$I27-SUM($M27:Q27))))</f>
        <v>0</v>
      </c>
      <c r="S27" s="8">
        <f>IF(OR($A27="",$D27="",$D27&gt;=EDATE(S$5,1)),0,MAX(0,MIN($K27,$E27-$G27-$I27-SUM($M27:R27))))</f>
        <v>0</v>
      </c>
      <c r="T27" s="8">
        <f>IF(OR($A27="",$D27="",$D27&gt;=EDATE(T$5,1)),0,MAX(0,MIN($K27,$E27-$G27-$I27-SUM($M27:S27))))</f>
        <v>0</v>
      </c>
      <c r="U27" s="8">
        <f>IF(OR($A27="",$D27="",$D27&gt;=EDATE(U$5,1)),0,MAX(0,MIN($K27,$E27-$G27-$I27-SUM($M27:T27))))</f>
        <v>0</v>
      </c>
      <c r="V27" s="8">
        <f>IF(OR($A27="",$D27="",$D27&gt;=EDATE(V$5,1)),0,MAX(0,MIN($K27,$E27-$G27-$I27-SUM($M27:U27))))</f>
        <v>0</v>
      </c>
      <c r="W27" s="8">
        <f>IF(OR($A27="",$D27="",$D27&gt;=EDATE(W$5,1)),0,MAX(0,MIN($K27,$E27-$G27-$I27-SUM($M27:V27))))</f>
        <v>0</v>
      </c>
      <c r="X27" s="8">
        <f>IF(OR($A27="",$D27="",$D27&gt;=EDATE(X$5,1)),0,MAX(0,MIN($K27,$E27-$G27-$I27-SUM($M27:W27))))</f>
        <v>0</v>
      </c>
    </row>
    <row r="28" spans="1:24" ht="22" customHeight="1">
      <c r="A28" s="3"/>
      <c r="B28" s="3"/>
      <c r="C28" s="7"/>
      <c r="D28" s="7"/>
      <c r="E28" s="4"/>
      <c r="F28" s="4"/>
      <c r="G28" s="4"/>
      <c r="H28" s="3"/>
      <c r="I28" s="4"/>
      <c r="J28" s="3"/>
      <c r="K28" s="8" t="str">
        <f t="shared" si="0"/>
        <v/>
      </c>
      <c r="L28" s="8" t="str">
        <f>IF(COUNTA(A28:J28)=0,"",IF(OR(A28="",C28="",D28="",E28="",H28&lt;=0),"Faltan datos",IF(COUNTIF($A$7:$A$106,A28)&gt;1,"ID duplicado",IF(OR(E28&lt;0,G28&lt;0,I28&lt;0,G28+I28&gt;E28,D28&lt;C28),"Revisar activo",IF(AND(C28&gt;=DATE(Configuración!$C$5,1,1),I28&lt;&gt;0),"Dep. inicial no procede","OK")))))</f>
        <v/>
      </c>
      <c r="M28" s="8">
        <f t="shared" si="1"/>
        <v>0</v>
      </c>
      <c r="N28" s="8">
        <f>IF(OR($A28="",$D28="",$D28&gt;=EDATE(N$5,1)),0,MAX(0,MIN($K28,$E28-$G28-$I28-SUM($M28:M28))))</f>
        <v>0</v>
      </c>
      <c r="O28" s="8">
        <f>IF(OR($A28="",$D28="",$D28&gt;=EDATE(O$5,1)),0,MAX(0,MIN($K28,$E28-$G28-$I28-SUM($M28:N28))))</f>
        <v>0</v>
      </c>
      <c r="P28" s="8">
        <f>IF(OR($A28="",$D28="",$D28&gt;=EDATE(P$5,1)),0,MAX(0,MIN($K28,$E28-$G28-$I28-SUM($M28:O28))))</f>
        <v>0</v>
      </c>
      <c r="Q28" s="8">
        <f>IF(OR($A28="",$D28="",$D28&gt;=EDATE(Q$5,1)),0,MAX(0,MIN($K28,$E28-$G28-$I28-SUM($M28:P28))))</f>
        <v>0</v>
      </c>
      <c r="R28" s="8">
        <f>IF(OR($A28="",$D28="",$D28&gt;=EDATE(R$5,1)),0,MAX(0,MIN($K28,$E28-$G28-$I28-SUM($M28:Q28))))</f>
        <v>0</v>
      </c>
      <c r="S28" s="8">
        <f>IF(OR($A28="",$D28="",$D28&gt;=EDATE(S$5,1)),0,MAX(0,MIN($K28,$E28-$G28-$I28-SUM($M28:R28))))</f>
        <v>0</v>
      </c>
      <c r="T28" s="8">
        <f>IF(OR($A28="",$D28="",$D28&gt;=EDATE(T$5,1)),0,MAX(0,MIN($K28,$E28-$G28-$I28-SUM($M28:S28))))</f>
        <v>0</v>
      </c>
      <c r="U28" s="8">
        <f>IF(OR($A28="",$D28="",$D28&gt;=EDATE(U$5,1)),0,MAX(0,MIN($K28,$E28-$G28-$I28-SUM($M28:T28))))</f>
        <v>0</v>
      </c>
      <c r="V28" s="8">
        <f>IF(OR($A28="",$D28="",$D28&gt;=EDATE(V$5,1)),0,MAX(0,MIN($K28,$E28-$G28-$I28-SUM($M28:U28))))</f>
        <v>0</v>
      </c>
      <c r="W28" s="8">
        <f>IF(OR($A28="",$D28="",$D28&gt;=EDATE(W$5,1)),0,MAX(0,MIN($K28,$E28-$G28-$I28-SUM($M28:V28))))</f>
        <v>0</v>
      </c>
      <c r="X28" s="8">
        <f>IF(OR($A28="",$D28="",$D28&gt;=EDATE(X$5,1)),0,MAX(0,MIN($K28,$E28-$G28-$I28-SUM($M28:W28))))</f>
        <v>0</v>
      </c>
    </row>
    <row r="29" spans="1:24" ht="22" customHeight="1">
      <c r="A29" s="3"/>
      <c r="B29" s="3"/>
      <c r="C29" s="7"/>
      <c r="D29" s="7"/>
      <c r="E29" s="4"/>
      <c r="F29" s="4"/>
      <c r="G29" s="4"/>
      <c r="H29" s="3"/>
      <c r="I29" s="4"/>
      <c r="J29" s="3"/>
      <c r="K29" s="8" t="str">
        <f t="shared" si="0"/>
        <v/>
      </c>
      <c r="L29" s="8" t="str">
        <f>IF(COUNTA(A29:J29)=0,"",IF(OR(A29="",C29="",D29="",E29="",H29&lt;=0),"Faltan datos",IF(COUNTIF($A$7:$A$106,A29)&gt;1,"ID duplicado",IF(OR(E29&lt;0,G29&lt;0,I29&lt;0,G29+I29&gt;E29,D29&lt;C29),"Revisar activo",IF(AND(C29&gt;=DATE(Configuración!$C$5,1,1),I29&lt;&gt;0),"Dep. inicial no procede","OK")))))</f>
        <v/>
      </c>
      <c r="M29" s="8">
        <f t="shared" si="1"/>
        <v>0</v>
      </c>
      <c r="N29" s="8">
        <f>IF(OR($A29="",$D29="",$D29&gt;=EDATE(N$5,1)),0,MAX(0,MIN($K29,$E29-$G29-$I29-SUM($M29:M29))))</f>
        <v>0</v>
      </c>
      <c r="O29" s="8">
        <f>IF(OR($A29="",$D29="",$D29&gt;=EDATE(O$5,1)),0,MAX(0,MIN($K29,$E29-$G29-$I29-SUM($M29:N29))))</f>
        <v>0</v>
      </c>
      <c r="P29" s="8">
        <f>IF(OR($A29="",$D29="",$D29&gt;=EDATE(P$5,1)),0,MAX(0,MIN($K29,$E29-$G29-$I29-SUM($M29:O29))))</f>
        <v>0</v>
      </c>
      <c r="Q29" s="8">
        <f>IF(OR($A29="",$D29="",$D29&gt;=EDATE(Q$5,1)),0,MAX(0,MIN($K29,$E29-$G29-$I29-SUM($M29:P29))))</f>
        <v>0</v>
      </c>
      <c r="R29" s="8">
        <f>IF(OR($A29="",$D29="",$D29&gt;=EDATE(R$5,1)),0,MAX(0,MIN($K29,$E29-$G29-$I29-SUM($M29:Q29))))</f>
        <v>0</v>
      </c>
      <c r="S29" s="8">
        <f>IF(OR($A29="",$D29="",$D29&gt;=EDATE(S$5,1)),0,MAX(0,MIN($K29,$E29-$G29-$I29-SUM($M29:R29))))</f>
        <v>0</v>
      </c>
      <c r="T29" s="8">
        <f>IF(OR($A29="",$D29="",$D29&gt;=EDATE(T$5,1)),0,MAX(0,MIN($K29,$E29-$G29-$I29-SUM($M29:S29))))</f>
        <v>0</v>
      </c>
      <c r="U29" s="8">
        <f>IF(OR($A29="",$D29="",$D29&gt;=EDATE(U$5,1)),0,MAX(0,MIN($K29,$E29-$G29-$I29-SUM($M29:T29))))</f>
        <v>0</v>
      </c>
      <c r="V29" s="8">
        <f>IF(OR($A29="",$D29="",$D29&gt;=EDATE(V$5,1)),0,MAX(0,MIN($K29,$E29-$G29-$I29-SUM($M29:U29))))</f>
        <v>0</v>
      </c>
      <c r="W29" s="8">
        <f>IF(OR($A29="",$D29="",$D29&gt;=EDATE(W$5,1)),0,MAX(0,MIN($K29,$E29-$G29-$I29-SUM($M29:V29))))</f>
        <v>0</v>
      </c>
      <c r="X29" s="8">
        <f>IF(OR($A29="",$D29="",$D29&gt;=EDATE(X$5,1)),0,MAX(0,MIN($K29,$E29-$G29-$I29-SUM($M29:W29))))</f>
        <v>0</v>
      </c>
    </row>
    <row r="30" spans="1:24" ht="22" customHeight="1">
      <c r="A30" s="3"/>
      <c r="B30" s="3"/>
      <c r="C30" s="7"/>
      <c r="D30" s="7"/>
      <c r="E30" s="4"/>
      <c r="F30" s="4"/>
      <c r="G30" s="4"/>
      <c r="H30" s="3"/>
      <c r="I30" s="4"/>
      <c r="J30" s="3"/>
      <c r="K30" s="8" t="str">
        <f t="shared" si="0"/>
        <v/>
      </c>
      <c r="L30" s="8" t="str">
        <f>IF(COUNTA(A30:J30)=0,"",IF(OR(A30="",C30="",D30="",E30="",H30&lt;=0),"Faltan datos",IF(COUNTIF($A$7:$A$106,A30)&gt;1,"ID duplicado",IF(OR(E30&lt;0,G30&lt;0,I30&lt;0,G30+I30&gt;E30,D30&lt;C30),"Revisar activo",IF(AND(C30&gt;=DATE(Configuración!$C$5,1,1),I30&lt;&gt;0),"Dep. inicial no procede","OK")))))</f>
        <v/>
      </c>
      <c r="M30" s="8">
        <f t="shared" si="1"/>
        <v>0</v>
      </c>
      <c r="N30" s="8">
        <f>IF(OR($A30="",$D30="",$D30&gt;=EDATE(N$5,1)),0,MAX(0,MIN($K30,$E30-$G30-$I30-SUM($M30:M30))))</f>
        <v>0</v>
      </c>
      <c r="O30" s="8">
        <f>IF(OR($A30="",$D30="",$D30&gt;=EDATE(O$5,1)),0,MAX(0,MIN($K30,$E30-$G30-$I30-SUM($M30:N30))))</f>
        <v>0</v>
      </c>
      <c r="P30" s="8">
        <f>IF(OR($A30="",$D30="",$D30&gt;=EDATE(P$5,1)),0,MAX(0,MIN($K30,$E30-$G30-$I30-SUM($M30:O30))))</f>
        <v>0</v>
      </c>
      <c r="Q30" s="8">
        <f>IF(OR($A30="",$D30="",$D30&gt;=EDATE(Q$5,1)),0,MAX(0,MIN($K30,$E30-$G30-$I30-SUM($M30:P30))))</f>
        <v>0</v>
      </c>
      <c r="R30" s="8">
        <f>IF(OR($A30="",$D30="",$D30&gt;=EDATE(R$5,1)),0,MAX(0,MIN($K30,$E30-$G30-$I30-SUM($M30:Q30))))</f>
        <v>0</v>
      </c>
      <c r="S30" s="8">
        <f>IF(OR($A30="",$D30="",$D30&gt;=EDATE(S$5,1)),0,MAX(0,MIN($K30,$E30-$G30-$I30-SUM($M30:R30))))</f>
        <v>0</v>
      </c>
      <c r="T30" s="8">
        <f>IF(OR($A30="",$D30="",$D30&gt;=EDATE(T$5,1)),0,MAX(0,MIN($K30,$E30-$G30-$I30-SUM($M30:S30))))</f>
        <v>0</v>
      </c>
      <c r="U30" s="8">
        <f>IF(OR($A30="",$D30="",$D30&gt;=EDATE(U$5,1)),0,MAX(0,MIN($K30,$E30-$G30-$I30-SUM($M30:T30))))</f>
        <v>0</v>
      </c>
      <c r="V30" s="8">
        <f>IF(OR($A30="",$D30="",$D30&gt;=EDATE(V$5,1)),0,MAX(0,MIN($K30,$E30-$G30-$I30-SUM($M30:U30))))</f>
        <v>0</v>
      </c>
      <c r="W30" s="8">
        <f>IF(OR($A30="",$D30="",$D30&gt;=EDATE(W$5,1)),0,MAX(0,MIN($K30,$E30-$G30-$I30-SUM($M30:V30))))</f>
        <v>0</v>
      </c>
      <c r="X30" s="8">
        <f>IF(OR($A30="",$D30="",$D30&gt;=EDATE(X$5,1)),0,MAX(0,MIN($K30,$E30-$G30-$I30-SUM($M30:W30))))</f>
        <v>0</v>
      </c>
    </row>
    <row r="31" spans="1:24" ht="22" customHeight="1">
      <c r="A31" s="3"/>
      <c r="B31" s="3"/>
      <c r="C31" s="7"/>
      <c r="D31" s="7"/>
      <c r="E31" s="4"/>
      <c r="F31" s="4"/>
      <c r="G31" s="4"/>
      <c r="H31" s="3"/>
      <c r="I31" s="4"/>
      <c r="J31" s="3"/>
      <c r="K31" s="8" t="str">
        <f t="shared" si="0"/>
        <v/>
      </c>
      <c r="L31" s="8" t="str">
        <f>IF(COUNTA(A31:J31)=0,"",IF(OR(A31="",C31="",D31="",E31="",H31&lt;=0),"Faltan datos",IF(COUNTIF($A$7:$A$106,A31)&gt;1,"ID duplicado",IF(OR(E31&lt;0,G31&lt;0,I31&lt;0,G31+I31&gt;E31,D31&lt;C31),"Revisar activo",IF(AND(C31&gt;=DATE(Configuración!$C$5,1,1),I31&lt;&gt;0),"Dep. inicial no procede","OK")))))</f>
        <v/>
      </c>
      <c r="M31" s="8">
        <f t="shared" si="1"/>
        <v>0</v>
      </c>
      <c r="N31" s="8">
        <f>IF(OR($A31="",$D31="",$D31&gt;=EDATE(N$5,1)),0,MAX(0,MIN($K31,$E31-$G31-$I31-SUM($M31:M31))))</f>
        <v>0</v>
      </c>
      <c r="O31" s="8">
        <f>IF(OR($A31="",$D31="",$D31&gt;=EDATE(O$5,1)),0,MAX(0,MIN($K31,$E31-$G31-$I31-SUM($M31:N31))))</f>
        <v>0</v>
      </c>
      <c r="P31" s="8">
        <f>IF(OR($A31="",$D31="",$D31&gt;=EDATE(P$5,1)),0,MAX(0,MIN($K31,$E31-$G31-$I31-SUM($M31:O31))))</f>
        <v>0</v>
      </c>
      <c r="Q31" s="8">
        <f>IF(OR($A31="",$D31="",$D31&gt;=EDATE(Q$5,1)),0,MAX(0,MIN($K31,$E31-$G31-$I31-SUM($M31:P31))))</f>
        <v>0</v>
      </c>
      <c r="R31" s="8">
        <f>IF(OR($A31="",$D31="",$D31&gt;=EDATE(R$5,1)),0,MAX(0,MIN($K31,$E31-$G31-$I31-SUM($M31:Q31))))</f>
        <v>0</v>
      </c>
      <c r="S31" s="8">
        <f>IF(OR($A31="",$D31="",$D31&gt;=EDATE(S$5,1)),0,MAX(0,MIN($K31,$E31-$G31-$I31-SUM($M31:R31))))</f>
        <v>0</v>
      </c>
      <c r="T31" s="8">
        <f>IF(OR($A31="",$D31="",$D31&gt;=EDATE(T$5,1)),0,MAX(0,MIN($K31,$E31-$G31-$I31-SUM($M31:S31))))</f>
        <v>0</v>
      </c>
      <c r="U31" s="8">
        <f>IF(OR($A31="",$D31="",$D31&gt;=EDATE(U$5,1)),0,MAX(0,MIN($K31,$E31-$G31-$I31-SUM($M31:T31))))</f>
        <v>0</v>
      </c>
      <c r="V31" s="8">
        <f>IF(OR($A31="",$D31="",$D31&gt;=EDATE(V$5,1)),0,MAX(0,MIN($K31,$E31-$G31-$I31-SUM($M31:U31))))</f>
        <v>0</v>
      </c>
      <c r="W31" s="8">
        <f>IF(OR($A31="",$D31="",$D31&gt;=EDATE(W$5,1)),0,MAX(0,MIN($K31,$E31-$G31-$I31-SUM($M31:V31))))</f>
        <v>0</v>
      </c>
      <c r="X31" s="8">
        <f>IF(OR($A31="",$D31="",$D31&gt;=EDATE(X$5,1)),0,MAX(0,MIN($K31,$E31-$G31-$I31-SUM($M31:W31))))</f>
        <v>0</v>
      </c>
    </row>
    <row r="32" spans="1:24" ht="22" customHeight="1">
      <c r="A32" s="3"/>
      <c r="B32" s="3"/>
      <c r="C32" s="7"/>
      <c r="D32" s="7"/>
      <c r="E32" s="4"/>
      <c r="F32" s="4"/>
      <c r="G32" s="4"/>
      <c r="H32" s="3"/>
      <c r="I32" s="4"/>
      <c r="J32" s="3"/>
      <c r="K32" s="8" t="str">
        <f t="shared" si="0"/>
        <v/>
      </c>
      <c r="L32" s="8" t="str">
        <f>IF(COUNTA(A32:J32)=0,"",IF(OR(A32="",C32="",D32="",E32="",H32&lt;=0),"Faltan datos",IF(COUNTIF($A$7:$A$106,A32)&gt;1,"ID duplicado",IF(OR(E32&lt;0,G32&lt;0,I32&lt;0,G32+I32&gt;E32,D32&lt;C32),"Revisar activo",IF(AND(C32&gt;=DATE(Configuración!$C$5,1,1),I32&lt;&gt;0),"Dep. inicial no procede","OK")))))</f>
        <v/>
      </c>
      <c r="M32" s="8">
        <f t="shared" si="1"/>
        <v>0</v>
      </c>
      <c r="N32" s="8">
        <f>IF(OR($A32="",$D32="",$D32&gt;=EDATE(N$5,1)),0,MAX(0,MIN($K32,$E32-$G32-$I32-SUM($M32:M32))))</f>
        <v>0</v>
      </c>
      <c r="O32" s="8">
        <f>IF(OR($A32="",$D32="",$D32&gt;=EDATE(O$5,1)),0,MAX(0,MIN($K32,$E32-$G32-$I32-SUM($M32:N32))))</f>
        <v>0</v>
      </c>
      <c r="P32" s="8">
        <f>IF(OR($A32="",$D32="",$D32&gt;=EDATE(P$5,1)),0,MAX(0,MIN($K32,$E32-$G32-$I32-SUM($M32:O32))))</f>
        <v>0</v>
      </c>
      <c r="Q32" s="8">
        <f>IF(OR($A32="",$D32="",$D32&gt;=EDATE(Q$5,1)),0,MAX(0,MIN($K32,$E32-$G32-$I32-SUM($M32:P32))))</f>
        <v>0</v>
      </c>
      <c r="R32" s="8">
        <f>IF(OR($A32="",$D32="",$D32&gt;=EDATE(R$5,1)),0,MAX(0,MIN($K32,$E32-$G32-$I32-SUM($M32:Q32))))</f>
        <v>0</v>
      </c>
      <c r="S32" s="8">
        <f>IF(OR($A32="",$D32="",$D32&gt;=EDATE(S$5,1)),0,MAX(0,MIN($K32,$E32-$G32-$I32-SUM($M32:R32))))</f>
        <v>0</v>
      </c>
      <c r="T32" s="8">
        <f>IF(OR($A32="",$D32="",$D32&gt;=EDATE(T$5,1)),0,MAX(0,MIN($K32,$E32-$G32-$I32-SUM($M32:S32))))</f>
        <v>0</v>
      </c>
      <c r="U32" s="8">
        <f>IF(OR($A32="",$D32="",$D32&gt;=EDATE(U$5,1)),0,MAX(0,MIN($K32,$E32-$G32-$I32-SUM($M32:T32))))</f>
        <v>0</v>
      </c>
      <c r="V32" s="8">
        <f>IF(OR($A32="",$D32="",$D32&gt;=EDATE(V$5,1)),0,MAX(0,MIN($K32,$E32-$G32-$I32-SUM($M32:U32))))</f>
        <v>0</v>
      </c>
      <c r="W32" s="8">
        <f>IF(OR($A32="",$D32="",$D32&gt;=EDATE(W$5,1)),0,MAX(0,MIN($K32,$E32-$G32-$I32-SUM($M32:V32))))</f>
        <v>0</v>
      </c>
      <c r="X32" s="8">
        <f>IF(OR($A32="",$D32="",$D32&gt;=EDATE(X$5,1)),0,MAX(0,MIN($K32,$E32-$G32-$I32-SUM($M32:W32))))</f>
        <v>0</v>
      </c>
    </row>
    <row r="33" spans="1:24" ht="22" customHeight="1">
      <c r="A33" s="3"/>
      <c r="B33" s="3"/>
      <c r="C33" s="7"/>
      <c r="D33" s="7"/>
      <c r="E33" s="4"/>
      <c r="F33" s="4"/>
      <c r="G33" s="4"/>
      <c r="H33" s="3"/>
      <c r="I33" s="4"/>
      <c r="J33" s="3"/>
      <c r="K33" s="8" t="str">
        <f t="shared" si="0"/>
        <v/>
      </c>
      <c r="L33" s="8" t="str">
        <f>IF(COUNTA(A33:J33)=0,"",IF(OR(A33="",C33="",D33="",E33="",H33&lt;=0),"Faltan datos",IF(COUNTIF($A$7:$A$106,A33)&gt;1,"ID duplicado",IF(OR(E33&lt;0,G33&lt;0,I33&lt;0,G33+I33&gt;E33,D33&lt;C33),"Revisar activo",IF(AND(C33&gt;=DATE(Configuración!$C$5,1,1),I33&lt;&gt;0),"Dep. inicial no procede","OK")))))</f>
        <v/>
      </c>
      <c r="M33" s="8">
        <f t="shared" si="1"/>
        <v>0</v>
      </c>
      <c r="N33" s="8">
        <f>IF(OR($A33="",$D33="",$D33&gt;=EDATE(N$5,1)),0,MAX(0,MIN($K33,$E33-$G33-$I33-SUM($M33:M33))))</f>
        <v>0</v>
      </c>
      <c r="O33" s="8">
        <f>IF(OR($A33="",$D33="",$D33&gt;=EDATE(O$5,1)),0,MAX(0,MIN($K33,$E33-$G33-$I33-SUM($M33:N33))))</f>
        <v>0</v>
      </c>
      <c r="P33" s="8">
        <f>IF(OR($A33="",$D33="",$D33&gt;=EDATE(P$5,1)),0,MAX(0,MIN($K33,$E33-$G33-$I33-SUM($M33:O33))))</f>
        <v>0</v>
      </c>
      <c r="Q33" s="8">
        <f>IF(OR($A33="",$D33="",$D33&gt;=EDATE(Q$5,1)),0,MAX(0,MIN($K33,$E33-$G33-$I33-SUM($M33:P33))))</f>
        <v>0</v>
      </c>
      <c r="R33" s="8">
        <f>IF(OR($A33="",$D33="",$D33&gt;=EDATE(R$5,1)),0,MAX(0,MIN($K33,$E33-$G33-$I33-SUM($M33:Q33))))</f>
        <v>0</v>
      </c>
      <c r="S33" s="8">
        <f>IF(OR($A33="",$D33="",$D33&gt;=EDATE(S$5,1)),0,MAX(0,MIN($K33,$E33-$G33-$I33-SUM($M33:R33))))</f>
        <v>0</v>
      </c>
      <c r="T33" s="8">
        <f>IF(OR($A33="",$D33="",$D33&gt;=EDATE(T$5,1)),0,MAX(0,MIN($K33,$E33-$G33-$I33-SUM($M33:S33))))</f>
        <v>0</v>
      </c>
      <c r="U33" s="8">
        <f>IF(OR($A33="",$D33="",$D33&gt;=EDATE(U$5,1)),0,MAX(0,MIN($K33,$E33-$G33-$I33-SUM($M33:T33))))</f>
        <v>0</v>
      </c>
      <c r="V33" s="8">
        <f>IF(OR($A33="",$D33="",$D33&gt;=EDATE(V$5,1)),0,MAX(0,MIN($K33,$E33-$G33-$I33-SUM($M33:U33))))</f>
        <v>0</v>
      </c>
      <c r="W33" s="8">
        <f>IF(OR($A33="",$D33="",$D33&gt;=EDATE(W$5,1)),0,MAX(0,MIN($K33,$E33-$G33-$I33-SUM($M33:V33))))</f>
        <v>0</v>
      </c>
      <c r="X33" s="8">
        <f>IF(OR($A33="",$D33="",$D33&gt;=EDATE(X$5,1)),0,MAX(0,MIN($K33,$E33-$G33-$I33-SUM($M33:W33))))</f>
        <v>0</v>
      </c>
    </row>
    <row r="34" spans="1:24" ht="22" customHeight="1">
      <c r="A34" s="3"/>
      <c r="B34" s="3"/>
      <c r="C34" s="7"/>
      <c r="D34" s="7"/>
      <c r="E34" s="4"/>
      <c r="F34" s="4"/>
      <c r="G34" s="4"/>
      <c r="H34" s="3"/>
      <c r="I34" s="4"/>
      <c r="J34" s="3"/>
      <c r="K34" s="8" t="str">
        <f t="shared" si="0"/>
        <v/>
      </c>
      <c r="L34" s="8" t="str">
        <f>IF(COUNTA(A34:J34)=0,"",IF(OR(A34="",C34="",D34="",E34="",H34&lt;=0),"Faltan datos",IF(COUNTIF($A$7:$A$106,A34)&gt;1,"ID duplicado",IF(OR(E34&lt;0,G34&lt;0,I34&lt;0,G34+I34&gt;E34,D34&lt;C34),"Revisar activo",IF(AND(C34&gt;=DATE(Configuración!$C$5,1,1),I34&lt;&gt;0),"Dep. inicial no procede","OK")))))</f>
        <v/>
      </c>
      <c r="M34" s="8">
        <f t="shared" si="1"/>
        <v>0</v>
      </c>
      <c r="N34" s="8">
        <f>IF(OR($A34="",$D34="",$D34&gt;=EDATE(N$5,1)),0,MAX(0,MIN($K34,$E34-$G34-$I34-SUM($M34:M34))))</f>
        <v>0</v>
      </c>
      <c r="O34" s="8">
        <f>IF(OR($A34="",$D34="",$D34&gt;=EDATE(O$5,1)),0,MAX(0,MIN($K34,$E34-$G34-$I34-SUM($M34:N34))))</f>
        <v>0</v>
      </c>
      <c r="P34" s="8">
        <f>IF(OR($A34="",$D34="",$D34&gt;=EDATE(P$5,1)),0,MAX(0,MIN($K34,$E34-$G34-$I34-SUM($M34:O34))))</f>
        <v>0</v>
      </c>
      <c r="Q34" s="8">
        <f>IF(OR($A34="",$D34="",$D34&gt;=EDATE(Q$5,1)),0,MAX(0,MIN($K34,$E34-$G34-$I34-SUM($M34:P34))))</f>
        <v>0</v>
      </c>
      <c r="R34" s="8">
        <f>IF(OR($A34="",$D34="",$D34&gt;=EDATE(R$5,1)),0,MAX(0,MIN($K34,$E34-$G34-$I34-SUM($M34:Q34))))</f>
        <v>0</v>
      </c>
      <c r="S34" s="8">
        <f>IF(OR($A34="",$D34="",$D34&gt;=EDATE(S$5,1)),0,MAX(0,MIN($K34,$E34-$G34-$I34-SUM($M34:R34))))</f>
        <v>0</v>
      </c>
      <c r="T34" s="8">
        <f>IF(OR($A34="",$D34="",$D34&gt;=EDATE(T$5,1)),0,MAX(0,MIN($K34,$E34-$G34-$I34-SUM($M34:S34))))</f>
        <v>0</v>
      </c>
      <c r="U34" s="8">
        <f>IF(OR($A34="",$D34="",$D34&gt;=EDATE(U$5,1)),0,MAX(0,MIN($K34,$E34-$G34-$I34-SUM($M34:T34))))</f>
        <v>0</v>
      </c>
      <c r="V34" s="8">
        <f>IF(OR($A34="",$D34="",$D34&gt;=EDATE(V$5,1)),0,MAX(0,MIN($K34,$E34-$G34-$I34-SUM($M34:U34))))</f>
        <v>0</v>
      </c>
      <c r="W34" s="8">
        <f>IF(OR($A34="",$D34="",$D34&gt;=EDATE(W$5,1)),0,MAX(0,MIN($K34,$E34-$G34-$I34-SUM($M34:V34))))</f>
        <v>0</v>
      </c>
      <c r="X34" s="8">
        <f>IF(OR($A34="",$D34="",$D34&gt;=EDATE(X$5,1)),0,MAX(0,MIN($K34,$E34-$G34-$I34-SUM($M34:W34))))</f>
        <v>0</v>
      </c>
    </row>
    <row r="35" spans="1:24" ht="22" customHeight="1">
      <c r="A35" s="3"/>
      <c r="B35" s="3"/>
      <c r="C35" s="7"/>
      <c r="D35" s="7"/>
      <c r="E35" s="4"/>
      <c r="F35" s="4"/>
      <c r="G35" s="4"/>
      <c r="H35" s="3"/>
      <c r="I35" s="4"/>
      <c r="J35" s="3"/>
      <c r="K35" s="8" t="str">
        <f t="shared" si="0"/>
        <v/>
      </c>
      <c r="L35" s="8" t="str">
        <f>IF(COUNTA(A35:J35)=0,"",IF(OR(A35="",C35="",D35="",E35="",H35&lt;=0),"Faltan datos",IF(COUNTIF($A$7:$A$106,A35)&gt;1,"ID duplicado",IF(OR(E35&lt;0,G35&lt;0,I35&lt;0,G35+I35&gt;E35,D35&lt;C35),"Revisar activo",IF(AND(C35&gt;=DATE(Configuración!$C$5,1,1),I35&lt;&gt;0),"Dep. inicial no procede","OK")))))</f>
        <v/>
      </c>
      <c r="M35" s="8">
        <f t="shared" si="1"/>
        <v>0</v>
      </c>
      <c r="N35" s="8">
        <f>IF(OR($A35="",$D35="",$D35&gt;=EDATE(N$5,1)),0,MAX(0,MIN($K35,$E35-$G35-$I35-SUM($M35:M35))))</f>
        <v>0</v>
      </c>
      <c r="O35" s="8">
        <f>IF(OR($A35="",$D35="",$D35&gt;=EDATE(O$5,1)),0,MAX(0,MIN($K35,$E35-$G35-$I35-SUM($M35:N35))))</f>
        <v>0</v>
      </c>
      <c r="P35" s="8">
        <f>IF(OR($A35="",$D35="",$D35&gt;=EDATE(P$5,1)),0,MAX(0,MIN($K35,$E35-$G35-$I35-SUM($M35:O35))))</f>
        <v>0</v>
      </c>
      <c r="Q35" s="8">
        <f>IF(OR($A35="",$D35="",$D35&gt;=EDATE(Q$5,1)),0,MAX(0,MIN($K35,$E35-$G35-$I35-SUM($M35:P35))))</f>
        <v>0</v>
      </c>
      <c r="R35" s="8">
        <f>IF(OR($A35="",$D35="",$D35&gt;=EDATE(R$5,1)),0,MAX(0,MIN($K35,$E35-$G35-$I35-SUM($M35:Q35))))</f>
        <v>0</v>
      </c>
      <c r="S35" s="8">
        <f>IF(OR($A35="",$D35="",$D35&gt;=EDATE(S$5,1)),0,MAX(0,MIN($K35,$E35-$G35-$I35-SUM($M35:R35))))</f>
        <v>0</v>
      </c>
      <c r="T35" s="8">
        <f>IF(OR($A35="",$D35="",$D35&gt;=EDATE(T$5,1)),0,MAX(0,MIN($K35,$E35-$G35-$I35-SUM($M35:S35))))</f>
        <v>0</v>
      </c>
      <c r="U35" s="8">
        <f>IF(OR($A35="",$D35="",$D35&gt;=EDATE(U$5,1)),0,MAX(0,MIN($K35,$E35-$G35-$I35-SUM($M35:T35))))</f>
        <v>0</v>
      </c>
      <c r="V35" s="8">
        <f>IF(OR($A35="",$D35="",$D35&gt;=EDATE(V$5,1)),0,MAX(0,MIN($K35,$E35-$G35-$I35-SUM($M35:U35))))</f>
        <v>0</v>
      </c>
      <c r="W35" s="8">
        <f>IF(OR($A35="",$D35="",$D35&gt;=EDATE(W$5,1)),0,MAX(0,MIN($K35,$E35-$G35-$I35-SUM($M35:V35))))</f>
        <v>0</v>
      </c>
      <c r="X35" s="8">
        <f>IF(OR($A35="",$D35="",$D35&gt;=EDATE(X$5,1)),0,MAX(0,MIN($K35,$E35-$G35-$I35-SUM($M35:W35))))</f>
        <v>0</v>
      </c>
    </row>
    <row r="36" spans="1:24" ht="22" customHeight="1">
      <c r="A36" s="3"/>
      <c r="B36" s="3"/>
      <c r="C36" s="7"/>
      <c r="D36" s="7"/>
      <c r="E36" s="4"/>
      <c r="F36" s="4"/>
      <c r="G36" s="4"/>
      <c r="H36" s="3"/>
      <c r="I36" s="4"/>
      <c r="J36" s="3"/>
      <c r="K36" s="8" t="str">
        <f t="shared" si="0"/>
        <v/>
      </c>
      <c r="L36" s="8" t="str">
        <f>IF(COUNTA(A36:J36)=0,"",IF(OR(A36="",C36="",D36="",E36="",H36&lt;=0),"Faltan datos",IF(COUNTIF($A$7:$A$106,A36)&gt;1,"ID duplicado",IF(OR(E36&lt;0,G36&lt;0,I36&lt;0,G36+I36&gt;E36,D36&lt;C36),"Revisar activo",IF(AND(C36&gt;=DATE(Configuración!$C$5,1,1),I36&lt;&gt;0),"Dep. inicial no procede","OK")))))</f>
        <v/>
      </c>
      <c r="M36" s="8">
        <f t="shared" si="1"/>
        <v>0</v>
      </c>
      <c r="N36" s="8">
        <f>IF(OR($A36="",$D36="",$D36&gt;=EDATE(N$5,1)),0,MAX(0,MIN($K36,$E36-$G36-$I36-SUM($M36:M36))))</f>
        <v>0</v>
      </c>
      <c r="O36" s="8">
        <f>IF(OR($A36="",$D36="",$D36&gt;=EDATE(O$5,1)),0,MAX(0,MIN($K36,$E36-$G36-$I36-SUM($M36:N36))))</f>
        <v>0</v>
      </c>
      <c r="P36" s="8">
        <f>IF(OR($A36="",$D36="",$D36&gt;=EDATE(P$5,1)),0,MAX(0,MIN($K36,$E36-$G36-$I36-SUM($M36:O36))))</f>
        <v>0</v>
      </c>
      <c r="Q36" s="8">
        <f>IF(OR($A36="",$D36="",$D36&gt;=EDATE(Q$5,1)),0,MAX(0,MIN($K36,$E36-$G36-$I36-SUM($M36:P36))))</f>
        <v>0</v>
      </c>
      <c r="R36" s="8">
        <f>IF(OR($A36="",$D36="",$D36&gt;=EDATE(R$5,1)),0,MAX(0,MIN($K36,$E36-$G36-$I36-SUM($M36:Q36))))</f>
        <v>0</v>
      </c>
      <c r="S36" s="8">
        <f>IF(OR($A36="",$D36="",$D36&gt;=EDATE(S$5,1)),0,MAX(0,MIN($K36,$E36-$G36-$I36-SUM($M36:R36))))</f>
        <v>0</v>
      </c>
      <c r="T36" s="8">
        <f>IF(OR($A36="",$D36="",$D36&gt;=EDATE(T$5,1)),0,MAX(0,MIN($K36,$E36-$G36-$I36-SUM($M36:S36))))</f>
        <v>0</v>
      </c>
      <c r="U36" s="8">
        <f>IF(OR($A36="",$D36="",$D36&gt;=EDATE(U$5,1)),0,MAX(0,MIN($K36,$E36-$G36-$I36-SUM($M36:T36))))</f>
        <v>0</v>
      </c>
      <c r="V36" s="8">
        <f>IF(OR($A36="",$D36="",$D36&gt;=EDATE(V$5,1)),0,MAX(0,MIN($K36,$E36-$G36-$I36-SUM($M36:U36))))</f>
        <v>0</v>
      </c>
      <c r="W36" s="8">
        <f>IF(OR($A36="",$D36="",$D36&gt;=EDATE(W$5,1)),0,MAX(0,MIN($K36,$E36-$G36-$I36-SUM($M36:V36))))</f>
        <v>0</v>
      </c>
      <c r="X36" s="8">
        <f>IF(OR($A36="",$D36="",$D36&gt;=EDATE(X$5,1)),0,MAX(0,MIN($K36,$E36-$G36-$I36-SUM($M36:W36))))</f>
        <v>0</v>
      </c>
    </row>
    <row r="37" spans="1:24" ht="22" customHeight="1">
      <c r="A37" s="3"/>
      <c r="B37" s="3"/>
      <c r="C37" s="7"/>
      <c r="D37" s="7"/>
      <c r="E37" s="4"/>
      <c r="F37" s="4"/>
      <c r="G37" s="4"/>
      <c r="H37" s="3"/>
      <c r="I37" s="4"/>
      <c r="J37" s="3"/>
      <c r="K37" s="8" t="str">
        <f t="shared" si="0"/>
        <v/>
      </c>
      <c r="L37" s="8" t="str">
        <f>IF(COUNTA(A37:J37)=0,"",IF(OR(A37="",C37="",D37="",E37="",H37&lt;=0),"Faltan datos",IF(COUNTIF($A$7:$A$106,A37)&gt;1,"ID duplicado",IF(OR(E37&lt;0,G37&lt;0,I37&lt;0,G37+I37&gt;E37,D37&lt;C37),"Revisar activo",IF(AND(C37&gt;=DATE(Configuración!$C$5,1,1),I37&lt;&gt;0),"Dep. inicial no procede","OK")))))</f>
        <v/>
      </c>
      <c r="M37" s="8">
        <f t="shared" si="1"/>
        <v>0</v>
      </c>
      <c r="N37" s="8">
        <f>IF(OR($A37="",$D37="",$D37&gt;=EDATE(N$5,1)),0,MAX(0,MIN($K37,$E37-$G37-$I37-SUM($M37:M37))))</f>
        <v>0</v>
      </c>
      <c r="O37" s="8">
        <f>IF(OR($A37="",$D37="",$D37&gt;=EDATE(O$5,1)),0,MAX(0,MIN($K37,$E37-$G37-$I37-SUM($M37:N37))))</f>
        <v>0</v>
      </c>
      <c r="P37" s="8">
        <f>IF(OR($A37="",$D37="",$D37&gt;=EDATE(P$5,1)),0,MAX(0,MIN($K37,$E37-$G37-$I37-SUM($M37:O37))))</f>
        <v>0</v>
      </c>
      <c r="Q37" s="8">
        <f>IF(OR($A37="",$D37="",$D37&gt;=EDATE(Q$5,1)),0,MAX(0,MIN($K37,$E37-$G37-$I37-SUM($M37:P37))))</f>
        <v>0</v>
      </c>
      <c r="R37" s="8">
        <f>IF(OR($A37="",$D37="",$D37&gt;=EDATE(R$5,1)),0,MAX(0,MIN($K37,$E37-$G37-$I37-SUM($M37:Q37))))</f>
        <v>0</v>
      </c>
      <c r="S37" s="8">
        <f>IF(OR($A37="",$D37="",$D37&gt;=EDATE(S$5,1)),0,MAX(0,MIN($K37,$E37-$G37-$I37-SUM($M37:R37))))</f>
        <v>0</v>
      </c>
      <c r="T37" s="8">
        <f>IF(OR($A37="",$D37="",$D37&gt;=EDATE(T$5,1)),0,MAX(0,MIN($K37,$E37-$G37-$I37-SUM($M37:S37))))</f>
        <v>0</v>
      </c>
      <c r="U37" s="8">
        <f>IF(OR($A37="",$D37="",$D37&gt;=EDATE(U$5,1)),0,MAX(0,MIN($K37,$E37-$G37-$I37-SUM($M37:T37))))</f>
        <v>0</v>
      </c>
      <c r="V37" s="8">
        <f>IF(OR($A37="",$D37="",$D37&gt;=EDATE(V$5,1)),0,MAX(0,MIN($K37,$E37-$G37-$I37-SUM($M37:U37))))</f>
        <v>0</v>
      </c>
      <c r="W37" s="8">
        <f>IF(OR($A37="",$D37="",$D37&gt;=EDATE(W$5,1)),0,MAX(0,MIN($K37,$E37-$G37-$I37-SUM($M37:V37))))</f>
        <v>0</v>
      </c>
      <c r="X37" s="8">
        <f>IF(OR($A37="",$D37="",$D37&gt;=EDATE(X$5,1)),0,MAX(0,MIN($K37,$E37-$G37-$I37-SUM($M37:W37))))</f>
        <v>0</v>
      </c>
    </row>
    <row r="38" spans="1:24" ht="22" customHeight="1">
      <c r="A38" s="3"/>
      <c r="B38" s="3"/>
      <c r="C38" s="7"/>
      <c r="D38" s="7"/>
      <c r="E38" s="4"/>
      <c r="F38" s="4"/>
      <c r="G38" s="4"/>
      <c r="H38" s="3"/>
      <c r="I38" s="4"/>
      <c r="J38" s="3"/>
      <c r="K38" s="8" t="str">
        <f t="shared" si="0"/>
        <v/>
      </c>
      <c r="L38" s="8" t="str">
        <f>IF(COUNTA(A38:J38)=0,"",IF(OR(A38="",C38="",D38="",E38="",H38&lt;=0),"Faltan datos",IF(COUNTIF($A$7:$A$106,A38)&gt;1,"ID duplicado",IF(OR(E38&lt;0,G38&lt;0,I38&lt;0,G38+I38&gt;E38,D38&lt;C38),"Revisar activo",IF(AND(C38&gt;=DATE(Configuración!$C$5,1,1),I38&lt;&gt;0),"Dep. inicial no procede","OK")))))</f>
        <v/>
      </c>
      <c r="M38" s="8">
        <f t="shared" si="1"/>
        <v>0</v>
      </c>
      <c r="N38" s="8">
        <f>IF(OR($A38="",$D38="",$D38&gt;=EDATE(N$5,1)),0,MAX(0,MIN($K38,$E38-$G38-$I38-SUM($M38:M38))))</f>
        <v>0</v>
      </c>
      <c r="O38" s="8">
        <f>IF(OR($A38="",$D38="",$D38&gt;=EDATE(O$5,1)),0,MAX(0,MIN($K38,$E38-$G38-$I38-SUM($M38:N38))))</f>
        <v>0</v>
      </c>
      <c r="P38" s="8">
        <f>IF(OR($A38="",$D38="",$D38&gt;=EDATE(P$5,1)),0,MAX(0,MIN($K38,$E38-$G38-$I38-SUM($M38:O38))))</f>
        <v>0</v>
      </c>
      <c r="Q38" s="8">
        <f>IF(OR($A38="",$D38="",$D38&gt;=EDATE(Q$5,1)),0,MAX(0,MIN($K38,$E38-$G38-$I38-SUM($M38:P38))))</f>
        <v>0</v>
      </c>
      <c r="R38" s="8">
        <f>IF(OR($A38="",$D38="",$D38&gt;=EDATE(R$5,1)),0,MAX(0,MIN($K38,$E38-$G38-$I38-SUM($M38:Q38))))</f>
        <v>0</v>
      </c>
      <c r="S38" s="8">
        <f>IF(OR($A38="",$D38="",$D38&gt;=EDATE(S$5,1)),0,MAX(0,MIN($K38,$E38-$G38-$I38-SUM($M38:R38))))</f>
        <v>0</v>
      </c>
      <c r="T38" s="8">
        <f>IF(OR($A38="",$D38="",$D38&gt;=EDATE(T$5,1)),0,MAX(0,MIN($K38,$E38-$G38-$I38-SUM($M38:S38))))</f>
        <v>0</v>
      </c>
      <c r="U38" s="8">
        <f>IF(OR($A38="",$D38="",$D38&gt;=EDATE(U$5,1)),0,MAX(0,MIN($K38,$E38-$G38-$I38-SUM($M38:T38))))</f>
        <v>0</v>
      </c>
      <c r="V38" s="8">
        <f>IF(OR($A38="",$D38="",$D38&gt;=EDATE(V$5,1)),0,MAX(0,MIN($K38,$E38-$G38-$I38-SUM($M38:U38))))</f>
        <v>0</v>
      </c>
      <c r="W38" s="8">
        <f>IF(OR($A38="",$D38="",$D38&gt;=EDATE(W$5,1)),0,MAX(0,MIN($K38,$E38-$G38-$I38-SUM($M38:V38))))</f>
        <v>0</v>
      </c>
      <c r="X38" s="8">
        <f>IF(OR($A38="",$D38="",$D38&gt;=EDATE(X$5,1)),0,MAX(0,MIN($K38,$E38-$G38-$I38-SUM($M38:W38))))</f>
        <v>0</v>
      </c>
    </row>
    <row r="39" spans="1:24" ht="22" customHeight="1">
      <c r="A39" s="3"/>
      <c r="B39" s="3"/>
      <c r="C39" s="7"/>
      <c r="D39" s="7"/>
      <c r="E39" s="4"/>
      <c r="F39" s="4"/>
      <c r="G39" s="4"/>
      <c r="H39" s="3"/>
      <c r="I39" s="4"/>
      <c r="J39" s="3"/>
      <c r="K39" s="8" t="str">
        <f t="shared" ref="K39:K70" si="2">IF(A39="","",IF(OR(H39="",H39&lt;=0),0,(E39-G39)/H39))</f>
        <v/>
      </c>
      <c r="L39" s="8" t="str">
        <f>IF(COUNTA(A39:J39)=0,"",IF(OR(A39="",C39="",D39="",E39="",H39&lt;=0),"Faltan datos",IF(COUNTIF($A$7:$A$106,A39)&gt;1,"ID duplicado",IF(OR(E39&lt;0,G39&lt;0,I39&lt;0,G39+I39&gt;E39,D39&lt;C39),"Revisar activo",IF(AND(C39&gt;=DATE(Configuración!$C$5,1,1),I39&lt;&gt;0),"Dep. inicial no procede","OK")))))</f>
        <v/>
      </c>
      <c r="M39" s="8">
        <f t="shared" ref="M39:M70" si="3">IF(OR($A39="",$D39="",$D39&gt;=EDATE(M$5,1)),0,MAX(0,MIN($K39,$E39-$G39-$I39-0)))</f>
        <v>0</v>
      </c>
      <c r="N39" s="8">
        <f>IF(OR($A39="",$D39="",$D39&gt;=EDATE(N$5,1)),0,MAX(0,MIN($K39,$E39-$G39-$I39-SUM($M39:M39))))</f>
        <v>0</v>
      </c>
      <c r="O39" s="8">
        <f>IF(OR($A39="",$D39="",$D39&gt;=EDATE(O$5,1)),0,MAX(0,MIN($K39,$E39-$G39-$I39-SUM($M39:N39))))</f>
        <v>0</v>
      </c>
      <c r="P39" s="8">
        <f>IF(OR($A39="",$D39="",$D39&gt;=EDATE(P$5,1)),0,MAX(0,MIN($K39,$E39-$G39-$I39-SUM($M39:O39))))</f>
        <v>0</v>
      </c>
      <c r="Q39" s="8">
        <f>IF(OR($A39="",$D39="",$D39&gt;=EDATE(Q$5,1)),0,MAX(0,MIN($K39,$E39-$G39-$I39-SUM($M39:P39))))</f>
        <v>0</v>
      </c>
      <c r="R39" s="8">
        <f>IF(OR($A39="",$D39="",$D39&gt;=EDATE(R$5,1)),0,MAX(0,MIN($K39,$E39-$G39-$I39-SUM($M39:Q39))))</f>
        <v>0</v>
      </c>
      <c r="S39" s="8">
        <f>IF(OR($A39="",$D39="",$D39&gt;=EDATE(S$5,1)),0,MAX(0,MIN($K39,$E39-$G39-$I39-SUM($M39:R39))))</f>
        <v>0</v>
      </c>
      <c r="T39" s="8">
        <f>IF(OR($A39="",$D39="",$D39&gt;=EDATE(T$5,1)),0,MAX(0,MIN($K39,$E39-$G39-$I39-SUM($M39:S39))))</f>
        <v>0</v>
      </c>
      <c r="U39" s="8">
        <f>IF(OR($A39="",$D39="",$D39&gt;=EDATE(U$5,1)),0,MAX(0,MIN($K39,$E39-$G39-$I39-SUM($M39:T39))))</f>
        <v>0</v>
      </c>
      <c r="V39" s="8">
        <f>IF(OR($A39="",$D39="",$D39&gt;=EDATE(V$5,1)),0,MAX(0,MIN($K39,$E39-$G39-$I39-SUM($M39:U39))))</f>
        <v>0</v>
      </c>
      <c r="W39" s="8">
        <f>IF(OR($A39="",$D39="",$D39&gt;=EDATE(W$5,1)),0,MAX(0,MIN($K39,$E39-$G39-$I39-SUM($M39:V39))))</f>
        <v>0</v>
      </c>
      <c r="X39" s="8">
        <f>IF(OR($A39="",$D39="",$D39&gt;=EDATE(X$5,1)),0,MAX(0,MIN($K39,$E39-$G39-$I39-SUM($M39:W39))))</f>
        <v>0</v>
      </c>
    </row>
    <row r="40" spans="1:24" ht="22" customHeight="1">
      <c r="A40" s="3"/>
      <c r="B40" s="3"/>
      <c r="C40" s="7"/>
      <c r="D40" s="7"/>
      <c r="E40" s="4"/>
      <c r="F40" s="4"/>
      <c r="G40" s="4"/>
      <c r="H40" s="3"/>
      <c r="I40" s="4"/>
      <c r="J40" s="3"/>
      <c r="K40" s="8" t="str">
        <f t="shared" si="2"/>
        <v/>
      </c>
      <c r="L40" s="8" t="str">
        <f>IF(COUNTA(A40:J40)=0,"",IF(OR(A40="",C40="",D40="",E40="",H40&lt;=0),"Faltan datos",IF(COUNTIF($A$7:$A$106,A40)&gt;1,"ID duplicado",IF(OR(E40&lt;0,G40&lt;0,I40&lt;0,G40+I40&gt;E40,D40&lt;C40),"Revisar activo",IF(AND(C40&gt;=DATE(Configuración!$C$5,1,1),I40&lt;&gt;0),"Dep. inicial no procede","OK")))))</f>
        <v/>
      </c>
      <c r="M40" s="8">
        <f t="shared" si="3"/>
        <v>0</v>
      </c>
      <c r="N40" s="8">
        <f>IF(OR($A40="",$D40="",$D40&gt;=EDATE(N$5,1)),0,MAX(0,MIN($K40,$E40-$G40-$I40-SUM($M40:M40))))</f>
        <v>0</v>
      </c>
      <c r="O40" s="8">
        <f>IF(OR($A40="",$D40="",$D40&gt;=EDATE(O$5,1)),0,MAX(0,MIN($K40,$E40-$G40-$I40-SUM($M40:N40))))</f>
        <v>0</v>
      </c>
      <c r="P40" s="8">
        <f>IF(OR($A40="",$D40="",$D40&gt;=EDATE(P$5,1)),0,MAX(0,MIN($K40,$E40-$G40-$I40-SUM($M40:O40))))</f>
        <v>0</v>
      </c>
      <c r="Q40" s="8">
        <f>IF(OR($A40="",$D40="",$D40&gt;=EDATE(Q$5,1)),0,MAX(0,MIN($K40,$E40-$G40-$I40-SUM($M40:P40))))</f>
        <v>0</v>
      </c>
      <c r="R40" s="8">
        <f>IF(OR($A40="",$D40="",$D40&gt;=EDATE(R$5,1)),0,MAX(0,MIN($K40,$E40-$G40-$I40-SUM($M40:Q40))))</f>
        <v>0</v>
      </c>
      <c r="S40" s="8">
        <f>IF(OR($A40="",$D40="",$D40&gt;=EDATE(S$5,1)),0,MAX(0,MIN($K40,$E40-$G40-$I40-SUM($M40:R40))))</f>
        <v>0</v>
      </c>
      <c r="T40" s="8">
        <f>IF(OR($A40="",$D40="",$D40&gt;=EDATE(T$5,1)),0,MAX(0,MIN($K40,$E40-$G40-$I40-SUM($M40:S40))))</f>
        <v>0</v>
      </c>
      <c r="U40" s="8">
        <f>IF(OR($A40="",$D40="",$D40&gt;=EDATE(U$5,1)),0,MAX(0,MIN($K40,$E40-$G40-$I40-SUM($M40:T40))))</f>
        <v>0</v>
      </c>
      <c r="V40" s="8">
        <f>IF(OR($A40="",$D40="",$D40&gt;=EDATE(V$5,1)),0,MAX(0,MIN($K40,$E40-$G40-$I40-SUM($M40:U40))))</f>
        <v>0</v>
      </c>
      <c r="W40" s="8">
        <f>IF(OR($A40="",$D40="",$D40&gt;=EDATE(W$5,1)),0,MAX(0,MIN($K40,$E40-$G40-$I40-SUM($M40:V40))))</f>
        <v>0</v>
      </c>
      <c r="X40" s="8">
        <f>IF(OR($A40="",$D40="",$D40&gt;=EDATE(X$5,1)),0,MAX(0,MIN($K40,$E40-$G40-$I40-SUM($M40:W40))))</f>
        <v>0</v>
      </c>
    </row>
    <row r="41" spans="1:24" ht="22" customHeight="1">
      <c r="A41" s="3"/>
      <c r="B41" s="3"/>
      <c r="C41" s="7"/>
      <c r="D41" s="7"/>
      <c r="E41" s="4"/>
      <c r="F41" s="4"/>
      <c r="G41" s="4"/>
      <c r="H41" s="3"/>
      <c r="I41" s="4"/>
      <c r="J41" s="3"/>
      <c r="K41" s="8" t="str">
        <f t="shared" si="2"/>
        <v/>
      </c>
      <c r="L41" s="8" t="str">
        <f>IF(COUNTA(A41:J41)=0,"",IF(OR(A41="",C41="",D41="",E41="",H41&lt;=0),"Faltan datos",IF(COUNTIF($A$7:$A$106,A41)&gt;1,"ID duplicado",IF(OR(E41&lt;0,G41&lt;0,I41&lt;0,G41+I41&gt;E41,D41&lt;C41),"Revisar activo",IF(AND(C41&gt;=DATE(Configuración!$C$5,1,1),I41&lt;&gt;0),"Dep. inicial no procede","OK")))))</f>
        <v/>
      </c>
      <c r="M41" s="8">
        <f t="shared" si="3"/>
        <v>0</v>
      </c>
      <c r="N41" s="8">
        <f>IF(OR($A41="",$D41="",$D41&gt;=EDATE(N$5,1)),0,MAX(0,MIN($K41,$E41-$G41-$I41-SUM($M41:M41))))</f>
        <v>0</v>
      </c>
      <c r="O41" s="8">
        <f>IF(OR($A41="",$D41="",$D41&gt;=EDATE(O$5,1)),0,MAX(0,MIN($K41,$E41-$G41-$I41-SUM($M41:N41))))</f>
        <v>0</v>
      </c>
      <c r="P41" s="8">
        <f>IF(OR($A41="",$D41="",$D41&gt;=EDATE(P$5,1)),0,MAX(0,MIN($K41,$E41-$G41-$I41-SUM($M41:O41))))</f>
        <v>0</v>
      </c>
      <c r="Q41" s="8">
        <f>IF(OR($A41="",$D41="",$D41&gt;=EDATE(Q$5,1)),0,MAX(0,MIN($K41,$E41-$G41-$I41-SUM($M41:P41))))</f>
        <v>0</v>
      </c>
      <c r="R41" s="8">
        <f>IF(OR($A41="",$D41="",$D41&gt;=EDATE(R$5,1)),0,MAX(0,MIN($K41,$E41-$G41-$I41-SUM($M41:Q41))))</f>
        <v>0</v>
      </c>
      <c r="S41" s="8">
        <f>IF(OR($A41="",$D41="",$D41&gt;=EDATE(S$5,1)),0,MAX(0,MIN($K41,$E41-$G41-$I41-SUM($M41:R41))))</f>
        <v>0</v>
      </c>
      <c r="T41" s="8">
        <f>IF(OR($A41="",$D41="",$D41&gt;=EDATE(T$5,1)),0,MAX(0,MIN($K41,$E41-$G41-$I41-SUM($M41:S41))))</f>
        <v>0</v>
      </c>
      <c r="U41" s="8">
        <f>IF(OR($A41="",$D41="",$D41&gt;=EDATE(U$5,1)),0,MAX(0,MIN($K41,$E41-$G41-$I41-SUM($M41:T41))))</f>
        <v>0</v>
      </c>
      <c r="V41" s="8">
        <f>IF(OR($A41="",$D41="",$D41&gt;=EDATE(V$5,1)),0,MAX(0,MIN($K41,$E41-$G41-$I41-SUM($M41:U41))))</f>
        <v>0</v>
      </c>
      <c r="W41" s="8">
        <f>IF(OR($A41="",$D41="",$D41&gt;=EDATE(W$5,1)),0,MAX(0,MIN($K41,$E41-$G41-$I41-SUM($M41:V41))))</f>
        <v>0</v>
      </c>
      <c r="X41" s="8">
        <f>IF(OR($A41="",$D41="",$D41&gt;=EDATE(X$5,1)),0,MAX(0,MIN($K41,$E41-$G41-$I41-SUM($M41:W41))))</f>
        <v>0</v>
      </c>
    </row>
    <row r="42" spans="1:24" ht="22" customHeight="1">
      <c r="A42" s="3"/>
      <c r="B42" s="3"/>
      <c r="C42" s="7"/>
      <c r="D42" s="7"/>
      <c r="E42" s="4"/>
      <c r="F42" s="4"/>
      <c r="G42" s="4"/>
      <c r="H42" s="3"/>
      <c r="I42" s="4"/>
      <c r="J42" s="3"/>
      <c r="K42" s="8" t="str">
        <f t="shared" si="2"/>
        <v/>
      </c>
      <c r="L42" s="8" t="str">
        <f>IF(COUNTA(A42:J42)=0,"",IF(OR(A42="",C42="",D42="",E42="",H42&lt;=0),"Faltan datos",IF(COUNTIF($A$7:$A$106,A42)&gt;1,"ID duplicado",IF(OR(E42&lt;0,G42&lt;0,I42&lt;0,G42+I42&gt;E42,D42&lt;C42),"Revisar activo",IF(AND(C42&gt;=DATE(Configuración!$C$5,1,1),I42&lt;&gt;0),"Dep. inicial no procede","OK")))))</f>
        <v/>
      </c>
      <c r="M42" s="8">
        <f t="shared" si="3"/>
        <v>0</v>
      </c>
      <c r="N42" s="8">
        <f>IF(OR($A42="",$D42="",$D42&gt;=EDATE(N$5,1)),0,MAX(0,MIN($K42,$E42-$G42-$I42-SUM($M42:M42))))</f>
        <v>0</v>
      </c>
      <c r="O42" s="8">
        <f>IF(OR($A42="",$D42="",$D42&gt;=EDATE(O$5,1)),0,MAX(0,MIN($K42,$E42-$G42-$I42-SUM($M42:N42))))</f>
        <v>0</v>
      </c>
      <c r="P42" s="8">
        <f>IF(OR($A42="",$D42="",$D42&gt;=EDATE(P$5,1)),0,MAX(0,MIN($K42,$E42-$G42-$I42-SUM($M42:O42))))</f>
        <v>0</v>
      </c>
      <c r="Q42" s="8">
        <f>IF(OR($A42="",$D42="",$D42&gt;=EDATE(Q$5,1)),0,MAX(0,MIN($K42,$E42-$G42-$I42-SUM($M42:P42))))</f>
        <v>0</v>
      </c>
      <c r="R42" s="8">
        <f>IF(OR($A42="",$D42="",$D42&gt;=EDATE(R$5,1)),0,MAX(0,MIN($K42,$E42-$G42-$I42-SUM($M42:Q42))))</f>
        <v>0</v>
      </c>
      <c r="S42" s="8">
        <f>IF(OR($A42="",$D42="",$D42&gt;=EDATE(S$5,1)),0,MAX(0,MIN($K42,$E42-$G42-$I42-SUM($M42:R42))))</f>
        <v>0</v>
      </c>
      <c r="T42" s="8">
        <f>IF(OR($A42="",$D42="",$D42&gt;=EDATE(T$5,1)),0,MAX(0,MIN($K42,$E42-$G42-$I42-SUM($M42:S42))))</f>
        <v>0</v>
      </c>
      <c r="U42" s="8">
        <f>IF(OR($A42="",$D42="",$D42&gt;=EDATE(U$5,1)),0,MAX(0,MIN($K42,$E42-$G42-$I42-SUM($M42:T42))))</f>
        <v>0</v>
      </c>
      <c r="V42" s="8">
        <f>IF(OR($A42="",$D42="",$D42&gt;=EDATE(V$5,1)),0,MAX(0,MIN($K42,$E42-$G42-$I42-SUM($M42:U42))))</f>
        <v>0</v>
      </c>
      <c r="W42" s="8">
        <f>IF(OR($A42="",$D42="",$D42&gt;=EDATE(W$5,1)),0,MAX(0,MIN($K42,$E42-$G42-$I42-SUM($M42:V42))))</f>
        <v>0</v>
      </c>
      <c r="X42" s="8">
        <f>IF(OR($A42="",$D42="",$D42&gt;=EDATE(X$5,1)),0,MAX(0,MIN($K42,$E42-$G42-$I42-SUM($M42:W42))))</f>
        <v>0</v>
      </c>
    </row>
    <row r="43" spans="1:24" ht="22" customHeight="1">
      <c r="A43" s="3"/>
      <c r="B43" s="3"/>
      <c r="C43" s="7"/>
      <c r="D43" s="7"/>
      <c r="E43" s="4"/>
      <c r="F43" s="4"/>
      <c r="G43" s="4"/>
      <c r="H43" s="3"/>
      <c r="I43" s="4"/>
      <c r="J43" s="3"/>
      <c r="K43" s="8" t="str">
        <f t="shared" si="2"/>
        <v/>
      </c>
      <c r="L43" s="8" t="str">
        <f>IF(COUNTA(A43:J43)=0,"",IF(OR(A43="",C43="",D43="",E43="",H43&lt;=0),"Faltan datos",IF(COUNTIF($A$7:$A$106,A43)&gt;1,"ID duplicado",IF(OR(E43&lt;0,G43&lt;0,I43&lt;0,G43+I43&gt;E43,D43&lt;C43),"Revisar activo",IF(AND(C43&gt;=DATE(Configuración!$C$5,1,1),I43&lt;&gt;0),"Dep. inicial no procede","OK")))))</f>
        <v/>
      </c>
      <c r="M43" s="8">
        <f t="shared" si="3"/>
        <v>0</v>
      </c>
      <c r="N43" s="8">
        <f>IF(OR($A43="",$D43="",$D43&gt;=EDATE(N$5,1)),0,MAX(0,MIN($K43,$E43-$G43-$I43-SUM($M43:M43))))</f>
        <v>0</v>
      </c>
      <c r="O43" s="8">
        <f>IF(OR($A43="",$D43="",$D43&gt;=EDATE(O$5,1)),0,MAX(0,MIN($K43,$E43-$G43-$I43-SUM($M43:N43))))</f>
        <v>0</v>
      </c>
      <c r="P43" s="8">
        <f>IF(OR($A43="",$D43="",$D43&gt;=EDATE(P$5,1)),0,MAX(0,MIN($K43,$E43-$G43-$I43-SUM($M43:O43))))</f>
        <v>0</v>
      </c>
      <c r="Q43" s="8">
        <f>IF(OR($A43="",$D43="",$D43&gt;=EDATE(Q$5,1)),0,MAX(0,MIN($K43,$E43-$G43-$I43-SUM($M43:P43))))</f>
        <v>0</v>
      </c>
      <c r="R43" s="8">
        <f>IF(OR($A43="",$D43="",$D43&gt;=EDATE(R$5,1)),0,MAX(0,MIN($K43,$E43-$G43-$I43-SUM($M43:Q43))))</f>
        <v>0</v>
      </c>
      <c r="S43" s="8">
        <f>IF(OR($A43="",$D43="",$D43&gt;=EDATE(S$5,1)),0,MAX(0,MIN($K43,$E43-$G43-$I43-SUM($M43:R43))))</f>
        <v>0</v>
      </c>
      <c r="T43" s="8">
        <f>IF(OR($A43="",$D43="",$D43&gt;=EDATE(T$5,1)),0,MAX(0,MIN($K43,$E43-$G43-$I43-SUM($M43:S43))))</f>
        <v>0</v>
      </c>
      <c r="U43" s="8">
        <f>IF(OR($A43="",$D43="",$D43&gt;=EDATE(U$5,1)),0,MAX(0,MIN($K43,$E43-$G43-$I43-SUM($M43:T43))))</f>
        <v>0</v>
      </c>
      <c r="V43" s="8">
        <f>IF(OR($A43="",$D43="",$D43&gt;=EDATE(V$5,1)),0,MAX(0,MIN($K43,$E43-$G43-$I43-SUM($M43:U43))))</f>
        <v>0</v>
      </c>
      <c r="W43" s="8">
        <f>IF(OR($A43="",$D43="",$D43&gt;=EDATE(W$5,1)),0,MAX(0,MIN($K43,$E43-$G43-$I43-SUM($M43:V43))))</f>
        <v>0</v>
      </c>
      <c r="X43" s="8">
        <f>IF(OR($A43="",$D43="",$D43&gt;=EDATE(X$5,1)),0,MAX(0,MIN($K43,$E43-$G43-$I43-SUM($M43:W43))))</f>
        <v>0</v>
      </c>
    </row>
    <row r="44" spans="1:24" ht="22" customHeight="1">
      <c r="A44" s="3"/>
      <c r="B44" s="3"/>
      <c r="C44" s="7"/>
      <c r="D44" s="7"/>
      <c r="E44" s="4"/>
      <c r="F44" s="4"/>
      <c r="G44" s="4"/>
      <c r="H44" s="3"/>
      <c r="I44" s="4"/>
      <c r="J44" s="3"/>
      <c r="K44" s="8" t="str">
        <f t="shared" si="2"/>
        <v/>
      </c>
      <c r="L44" s="8" t="str">
        <f>IF(COUNTA(A44:J44)=0,"",IF(OR(A44="",C44="",D44="",E44="",H44&lt;=0),"Faltan datos",IF(COUNTIF($A$7:$A$106,A44)&gt;1,"ID duplicado",IF(OR(E44&lt;0,G44&lt;0,I44&lt;0,G44+I44&gt;E44,D44&lt;C44),"Revisar activo",IF(AND(C44&gt;=DATE(Configuración!$C$5,1,1),I44&lt;&gt;0),"Dep. inicial no procede","OK")))))</f>
        <v/>
      </c>
      <c r="M44" s="8">
        <f t="shared" si="3"/>
        <v>0</v>
      </c>
      <c r="N44" s="8">
        <f>IF(OR($A44="",$D44="",$D44&gt;=EDATE(N$5,1)),0,MAX(0,MIN($K44,$E44-$G44-$I44-SUM($M44:M44))))</f>
        <v>0</v>
      </c>
      <c r="O44" s="8">
        <f>IF(OR($A44="",$D44="",$D44&gt;=EDATE(O$5,1)),0,MAX(0,MIN($K44,$E44-$G44-$I44-SUM($M44:N44))))</f>
        <v>0</v>
      </c>
      <c r="P44" s="8">
        <f>IF(OR($A44="",$D44="",$D44&gt;=EDATE(P$5,1)),0,MAX(0,MIN($K44,$E44-$G44-$I44-SUM($M44:O44))))</f>
        <v>0</v>
      </c>
      <c r="Q44" s="8">
        <f>IF(OR($A44="",$D44="",$D44&gt;=EDATE(Q$5,1)),0,MAX(0,MIN($K44,$E44-$G44-$I44-SUM($M44:P44))))</f>
        <v>0</v>
      </c>
      <c r="R44" s="8">
        <f>IF(OR($A44="",$D44="",$D44&gt;=EDATE(R$5,1)),0,MAX(0,MIN($K44,$E44-$G44-$I44-SUM($M44:Q44))))</f>
        <v>0</v>
      </c>
      <c r="S44" s="8">
        <f>IF(OR($A44="",$D44="",$D44&gt;=EDATE(S$5,1)),0,MAX(0,MIN($K44,$E44-$G44-$I44-SUM($M44:R44))))</f>
        <v>0</v>
      </c>
      <c r="T44" s="8">
        <f>IF(OR($A44="",$D44="",$D44&gt;=EDATE(T$5,1)),0,MAX(0,MIN($K44,$E44-$G44-$I44-SUM($M44:S44))))</f>
        <v>0</v>
      </c>
      <c r="U44" s="8">
        <f>IF(OR($A44="",$D44="",$D44&gt;=EDATE(U$5,1)),0,MAX(0,MIN($K44,$E44-$G44-$I44-SUM($M44:T44))))</f>
        <v>0</v>
      </c>
      <c r="V44" s="8">
        <f>IF(OR($A44="",$D44="",$D44&gt;=EDATE(V$5,1)),0,MAX(0,MIN($K44,$E44-$G44-$I44-SUM($M44:U44))))</f>
        <v>0</v>
      </c>
      <c r="W44" s="8">
        <f>IF(OR($A44="",$D44="",$D44&gt;=EDATE(W$5,1)),0,MAX(0,MIN($K44,$E44-$G44-$I44-SUM($M44:V44))))</f>
        <v>0</v>
      </c>
      <c r="X44" s="8">
        <f>IF(OR($A44="",$D44="",$D44&gt;=EDATE(X$5,1)),0,MAX(0,MIN($K44,$E44-$G44-$I44-SUM($M44:W44))))</f>
        <v>0</v>
      </c>
    </row>
    <row r="45" spans="1:24" ht="22" customHeight="1">
      <c r="A45" s="3"/>
      <c r="B45" s="3"/>
      <c r="C45" s="7"/>
      <c r="D45" s="7"/>
      <c r="E45" s="4"/>
      <c r="F45" s="4"/>
      <c r="G45" s="4"/>
      <c r="H45" s="3"/>
      <c r="I45" s="4"/>
      <c r="J45" s="3"/>
      <c r="K45" s="8" t="str">
        <f t="shared" si="2"/>
        <v/>
      </c>
      <c r="L45" s="8" t="str">
        <f>IF(COUNTA(A45:J45)=0,"",IF(OR(A45="",C45="",D45="",E45="",H45&lt;=0),"Faltan datos",IF(COUNTIF($A$7:$A$106,A45)&gt;1,"ID duplicado",IF(OR(E45&lt;0,G45&lt;0,I45&lt;0,G45+I45&gt;E45,D45&lt;C45),"Revisar activo",IF(AND(C45&gt;=DATE(Configuración!$C$5,1,1),I45&lt;&gt;0),"Dep. inicial no procede","OK")))))</f>
        <v/>
      </c>
      <c r="M45" s="8">
        <f t="shared" si="3"/>
        <v>0</v>
      </c>
      <c r="N45" s="8">
        <f>IF(OR($A45="",$D45="",$D45&gt;=EDATE(N$5,1)),0,MAX(0,MIN($K45,$E45-$G45-$I45-SUM($M45:M45))))</f>
        <v>0</v>
      </c>
      <c r="O45" s="8">
        <f>IF(OR($A45="",$D45="",$D45&gt;=EDATE(O$5,1)),0,MAX(0,MIN($K45,$E45-$G45-$I45-SUM($M45:N45))))</f>
        <v>0</v>
      </c>
      <c r="P45" s="8">
        <f>IF(OR($A45="",$D45="",$D45&gt;=EDATE(P$5,1)),0,MAX(0,MIN($K45,$E45-$G45-$I45-SUM($M45:O45))))</f>
        <v>0</v>
      </c>
      <c r="Q45" s="8">
        <f>IF(OR($A45="",$D45="",$D45&gt;=EDATE(Q$5,1)),0,MAX(0,MIN($K45,$E45-$G45-$I45-SUM($M45:P45))))</f>
        <v>0</v>
      </c>
      <c r="R45" s="8">
        <f>IF(OR($A45="",$D45="",$D45&gt;=EDATE(R$5,1)),0,MAX(0,MIN($K45,$E45-$G45-$I45-SUM($M45:Q45))))</f>
        <v>0</v>
      </c>
      <c r="S45" s="8">
        <f>IF(OR($A45="",$D45="",$D45&gt;=EDATE(S$5,1)),0,MAX(0,MIN($K45,$E45-$G45-$I45-SUM($M45:R45))))</f>
        <v>0</v>
      </c>
      <c r="T45" s="8">
        <f>IF(OR($A45="",$D45="",$D45&gt;=EDATE(T$5,1)),0,MAX(0,MIN($K45,$E45-$G45-$I45-SUM($M45:S45))))</f>
        <v>0</v>
      </c>
      <c r="U45" s="8">
        <f>IF(OR($A45="",$D45="",$D45&gt;=EDATE(U$5,1)),0,MAX(0,MIN($K45,$E45-$G45-$I45-SUM($M45:T45))))</f>
        <v>0</v>
      </c>
      <c r="V45" s="8">
        <f>IF(OR($A45="",$D45="",$D45&gt;=EDATE(V$5,1)),0,MAX(0,MIN($K45,$E45-$G45-$I45-SUM($M45:U45))))</f>
        <v>0</v>
      </c>
      <c r="W45" s="8">
        <f>IF(OR($A45="",$D45="",$D45&gt;=EDATE(W$5,1)),0,MAX(0,MIN($K45,$E45-$G45-$I45-SUM($M45:V45))))</f>
        <v>0</v>
      </c>
      <c r="X45" s="8">
        <f>IF(OR($A45="",$D45="",$D45&gt;=EDATE(X$5,1)),0,MAX(0,MIN($K45,$E45-$G45-$I45-SUM($M45:W45))))</f>
        <v>0</v>
      </c>
    </row>
    <row r="46" spans="1:24" ht="22" customHeight="1">
      <c r="A46" s="3"/>
      <c r="B46" s="3"/>
      <c r="C46" s="7"/>
      <c r="D46" s="7"/>
      <c r="E46" s="4"/>
      <c r="F46" s="4"/>
      <c r="G46" s="4"/>
      <c r="H46" s="3"/>
      <c r="I46" s="4"/>
      <c r="J46" s="3"/>
      <c r="K46" s="8" t="str">
        <f t="shared" si="2"/>
        <v/>
      </c>
      <c r="L46" s="8" t="str">
        <f>IF(COUNTA(A46:J46)=0,"",IF(OR(A46="",C46="",D46="",E46="",H46&lt;=0),"Faltan datos",IF(COUNTIF($A$7:$A$106,A46)&gt;1,"ID duplicado",IF(OR(E46&lt;0,G46&lt;0,I46&lt;0,G46+I46&gt;E46,D46&lt;C46),"Revisar activo",IF(AND(C46&gt;=DATE(Configuración!$C$5,1,1),I46&lt;&gt;0),"Dep. inicial no procede","OK")))))</f>
        <v/>
      </c>
      <c r="M46" s="8">
        <f t="shared" si="3"/>
        <v>0</v>
      </c>
      <c r="N46" s="8">
        <f>IF(OR($A46="",$D46="",$D46&gt;=EDATE(N$5,1)),0,MAX(0,MIN($K46,$E46-$G46-$I46-SUM($M46:M46))))</f>
        <v>0</v>
      </c>
      <c r="O46" s="8">
        <f>IF(OR($A46="",$D46="",$D46&gt;=EDATE(O$5,1)),0,MAX(0,MIN($K46,$E46-$G46-$I46-SUM($M46:N46))))</f>
        <v>0</v>
      </c>
      <c r="P46" s="8">
        <f>IF(OR($A46="",$D46="",$D46&gt;=EDATE(P$5,1)),0,MAX(0,MIN($K46,$E46-$G46-$I46-SUM($M46:O46))))</f>
        <v>0</v>
      </c>
      <c r="Q46" s="8">
        <f>IF(OR($A46="",$D46="",$D46&gt;=EDATE(Q$5,1)),0,MAX(0,MIN($K46,$E46-$G46-$I46-SUM($M46:P46))))</f>
        <v>0</v>
      </c>
      <c r="R46" s="8">
        <f>IF(OR($A46="",$D46="",$D46&gt;=EDATE(R$5,1)),0,MAX(0,MIN($K46,$E46-$G46-$I46-SUM($M46:Q46))))</f>
        <v>0</v>
      </c>
      <c r="S46" s="8">
        <f>IF(OR($A46="",$D46="",$D46&gt;=EDATE(S$5,1)),0,MAX(0,MIN($K46,$E46-$G46-$I46-SUM($M46:R46))))</f>
        <v>0</v>
      </c>
      <c r="T46" s="8">
        <f>IF(OR($A46="",$D46="",$D46&gt;=EDATE(T$5,1)),0,MAX(0,MIN($K46,$E46-$G46-$I46-SUM($M46:S46))))</f>
        <v>0</v>
      </c>
      <c r="U46" s="8">
        <f>IF(OR($A46="",$D46="",$D46&gt;=EDATE(U$5,1)),0,MAX(0,MIN($K46,$E46-$G46-$I46-SUM($M46:T46))))</f>
        <v>0</v>
      </c>
      <c r="V46" s="8">
        <f>IF(OR($A46="",$D46="",$D46&gt;=EDATE(V$5,1)),0,MAX(0,MIN($K46,$E46-$G46-$I46-SUM($M46:U46))))</f>
        <v>0</v>
      </c>
      <c r="W46" s="8">
        <f>IF(OR($A46="",$D46="",$D46&gt;=EDATE(W$5,1)),0,MAX(0,MIN($K46,$E46-$G46-$I46-SUM($M46:V46))))</f>
        <v>0</v>
      </c>
      <c r="X46" s="8">
        <f>IF(OR($A46="",$D46="",$D46&gt;=EDATE(X$5,1)),0,MAX(0,MIN($K46,$E46-$G46-$I46-SUM($M46:W46))))</f>
        <v>0</v>
      </c>
    </row>
    <row r="47" spans="1:24" ht="22" customHeight="1">
      <c r="A47" s="3"/>
      <c r="B47" s="3"/>
      <c r="C47" s="7"/>
      <c r="D47" s="7"/>
      <c r="E47" s="4"/>
      <c r="F47" s="4"/>
      <c r="G47" s="4"/>
      <c r="H47" s="3"/>
      <c r="I47" s="4"/>
      <c r="J47" s="3"/>
      <c r="K47" s="8" t="str">
        <f t="shared" si="2"/>
        <v/>
      </c>
      <c r="L47" s="8" t="str">
        <f>IF(COUNTA(A47:J47)=0,"",IF(OR(A47="",C47="",D47="",E47="",H47&lt;=0),"Faltan datos",IF(COUNTIF($A$7:$A$106,A47)&gt;1,"ID duplicado",IF(OR(E47&lt;0,G47&lt;0,I47&lt;0,G47+I47&gt;E47,D47&lt;C47),"Revisar activo",IF(AND(C47&gt;=DATE(Configuración!$C$5,1,1),I47&lt;&gt;0),"Dep. inicial no procede","OK")))))</f>
        <v/>
      </c>
      <c r="M47" s="8">
        <f t="shared" si="3"/>
        <v>0</v>
      </c>
      <c r="N47" s="8">
        <f>IF(OR($A47="",$D47="",$D47&gt;=EDATE(N$5,1)),0,MAX(0,MIN($K47,$E47-$G47-$I47-SUM($M47:M47))))</f>
        <v>0</v>
      </c>
      <c r="O47" s="8">
        <f>IF(OR($A47="",$D47="",$D47&gt;=EDATE(O$5,1)),0,MAX(0,MIN($K47,$E47-$G47-$I47-SUM($M47:N47))))</f>
        <v>0</v>
      </c>
      <c r="P47" s="8">
        <f>IF(OR($A47="",$D47="",$D47&gt;=EDATE(P$5,1)),0,MAX(0,MIN($K47,$E47-$G47-$I47-SUM($M47:O47))))</f>
        <v>0</v>
      </c>
      <c r="Q47" s="8">
        <f>IF(OR($A47="",$D47="",$D47&gt;=EDATE(Q$5,1)),0,MAX(0,MIN($K47,$E47-$G47-$I47-SUM($M47:P47))))</f>
        <v>0</v>
      </c>
      <c r="R47" s="8">
        <f>IF(OR($A47="",$D47="",$D47&gt;=EDATE(R$5,1)),0,MAX(0,MIN($K47,$E47-$G47-$I47-SUM($M47:Q47))))</f>
        <v>0</v>
      </c>
      <c r="S47" s="8">
        <f>IF(OR($A47="",$D47="",$D47&gt;=EDATE(S$5,1)),0,MAX(0,MIN($K47,$E47-$G47-$I47-SUM($M47:R47))))</f>
        <v>0</v>
      </c>
      <c r="T47" s="8">
        <f>IF(OR($A47="",$D47="",$D47&gt;=EDATE(T$5,1)),0,MAX(0,MIN($K47,$E47-$G47-$I47-SUM($M47:S47))))</f>
        <v>0</v>
      </c>
      <c r="U47" s="8">
        <f>IF(OR($A47="",$D47="",$D47&gt;=EDATE(U$5,1)),0,MAX(0,MIN($K47,$E47-$G47-$I47-SUM($M47:T47))))</f>
        <v>0</v>
      </c>
      <c r="V47" s="8">
        <f>IF(OR($A47="",$D47="",$D47&gt;=EDATE(V$5,1)),0,MAX(0,MIN($K47,$E47-$G47-$I47-SUM($M47:U47))))</f>
        <v>0</v>
      </c>
      <c r="W47" s="8">
        <f>IF(OR($A47="",$D47="",$D47&gt;=EDATE(W$5,1)),0,MAX(0,MIN($K47,$E47-$G47-$I47-SUM($M47:V47))))</f>
        <v>0</v>
      </c>
      <c r="X47" s="8">
        <f>IF(OR($A47="",$D47="",$D47&gt;=EDATE(X$5,1)),0,MAX(0,MIN($K47,$E47-$G47-$I47-SUM($M47:W47))))</f>
        <v>0</v>
      </c>
    </row>
    <row r="48" spans="1:24" ht="22" customHeight="1">
      <c r="A48" s="3"/>
      <c r="B48" s="3"/>
      <c r="C48" s="7"/>
      <c r="D48" s="7"/>
      <c r="E48" s="4"/>
      <c r="F48" s="4"/>
      <c r="G48" s="4"/>
      <c r="H48" s="3"/>
      <c r="I48" s="4"/>
      <c r="J48" s="3"/>
      <c r="K48" s="8" t="str">
        <f t="shared" si="2"/>
        <v/>
      </c>
      <c r="L48" s="8" t="str">
        <f>IF(COUNTA(A48:J48)=0,"",IF(OR(A48="",C48="",D48="",E48="",H48&lt;=0),"Faltan datos",IF(COUNTIF($A$7:$A$106,A48)&gt;1,"ID duplicado",IF(OR(E48&lt;0,G48&lt;0,I48&lt;0,G48+I48&gt;E48,D48&lt;C48),"Revisar activo",IF(AND(C48&gt;=DATE(Configuración!$C$5,1,1),I48&lt;&gt;0),"Dep. inicial no procede","OK")))))</f>
        <v/>
      </c>
      <c r="M48" s="8">
        <f t="shared" si="3"/>
        <v>0</v>
      </c>
      <c r="N48" s="8">
        <f>IF(OR($A48="",$D48="",$D48&gt;=EDATE(N$5,1)),0,MAX(0,MIN($K48,$E48-$G48-$I48-SUM($M48:M48))))</f>
        <v>0</v>
      </c>
      <c r="O48" s="8">
        <f>IF(OR($A48="",$D48="",$D48&gt;=EDATE(O$5,1)),0,MAX(0,MIN($K48,$E48-$G48-$I48-SUM($M48:N48))))</f>
        <v>0</v>
      </c>
      <c r="P48" s="8">
        <f>IF(OR($A48="",$D48="",$D48&gt;=EDATE(P$5,1)),0,MAX(0,MIN($K48,$E48-$G48-$I48-SUM($M48:O48))))</f>
        <v>0</v>
      </c>
      <c r="Q48" s="8">
        <f>IF(OR($A48="",$D48="",$D48&gt;=EDATE(Q$5,1)),0,MAX(0,MIN($K48,$E48-$G48-$I48-SUM($M48:P48))))</f>
        <v>0</v>
      </c>
      <c r="R48" s="8">
        <f>IF(OR($A48="",$D48="",$D48&gt;=EDATE(R$5,1)),0,MAX(0,MIN($K48,$E48-$G48-$I48-SUM($M48:Q48))))</f>
        <v>0</v>
      </c>
      <c r="S48" s="8">
        <f>IF(OR($A48="",$D48="",$D48&gt;=EDATE(S$5,1)),0,MAX(0,MIN($K48,$E48-$G48-$I48-SUM($M48:R48))))</f>
        <v>0</v>
      </c>
      <c r="T48" s="8">
        <f>IF(OR($A48="",$D48="",$D48&gt;=EDATE(T$5,1)),0,MAX(0,MIN($K48,$E48-$G48-$I48-SUM($M48:S48))))</f>
        <v>0</v>
      </c>
      <c r="U48" s="8">
        <f>IF(OR($A48="",$D48="",$D48&gt;=EDATE(U$5,1)),0,MAX(0,MIN($K48,$E48-$G48-$I48-SUM($M48:T48))))</f>
        <v>0</v>
      </c>
      <c r="V48" s="8">
        <f>IF(OR($A48="",$D48="",$D48&gt;=EDATE(V$5,1)),0,MAX(0,MIN($K48,$E48-$G48-$I48-SUM($M48:U48))))</f>
        <v>0</v>
      </c>
      <c r="W48" s="8">
        <f>IF(OR($A48="",$D48="",$D48&gt;=EDATE(W$5,1)),0,MAX(0,MIN($K48,$E48-$G48-$I48-SUM($M48:V48))))</f>
        <v>0</v>
      </c>
      <c r="X48" s="8">
        <f>IF(OR($A48="",$D48="",$D48&gt;=EDATE(X$5,1)),0,MAX(0,MIN($K48,$E48-$G48-$I48-SUM($M48:W48))))</f>
        <v>0</v>
      </c>
    </row>
    <row r="49" spans="1:24" ht="22" customHeight="1">
      <c r="A49" s="3"/>
      <c r="B49" s="3"/>
      <c r="C49" s="7"/>
      <c r="D49" s="7"/>
      <c r="E49" s="4"/>
      <c r="F49" s="4"/>
      <c r="G49" s="4"/>
      <c r="H49" s="3"/>
      <c r="I49" s="4"/>
      <c r="J49" s="3"/>
      <c r="K49" s="8" t="str">
        <f t="shared" si="2"/>
        <v/>
      </c>
      <c r="L49" s="8" t="str">
        <f>IF(COUNTA(A49:J49)=0,"",IF(OR(A49="",C49="",D49="",E49="",H49&lt;=0),"Faltan datos",IF(COUNTIF($A$7:$A$106,A49)&gt;1,"ID duplicado",IF(OR(E49&lt;0,G49&lt;0,I49&lt;0,G49+I49&gt;E49,D49&lt;C49),"Revisar activo",IF(AND(C49&gt;=DATE(Configuración!$C$5,1,1),I49&lt;&gt;0),"Dep. inicial no procede","OK")))))</f>
        <v/>
      </c>
      <c r="M49" s="8">
        <f t="shared" si="3"/>
        <v>0</v>
      </c>
      <c r="N49" s="8">
        <f>IF(OR($A49="",$D49="",$D49&gt;=EDATE(N$5,1)),0,MAX(0,MIN($K49,$E49-$G49-$I49-SUM($M49:M49))))</f>
        <v>0</v>
      </c>
      <c r="O49" s="8">
        <f>IF(OR($A49="",$D49="",$D49&gt;=EDATE(O$5,1)),0,MAX(0,MIN($K49,$E49-$G49-$I49-SUM($M49:N49))))</f>
        <v>0</v>
      </c>
      <c r="P49" s="8">
        <f>IF(OR($A49="",$D49="",$D49&gt;=EDATE(P$5,1)),0,MAX(0,MIN($K49,$E49-$G49-$I49-SUM($M49:O49))))</f>
        <v>0</v>
      </c>
      <c r="Q49" s="8">
        <f>IF(OR($A49="",$D49="",$D49&gt;=EDATE(Q$5,1)),0,MAX(0,MIN($K49,$E49-$G49-$I49-SUM($M49:P49))))</f>
        <v>0</v>
      </c>
      <c r="R49" s="8">
        <f>IF(OR($A49="",$D49="",$D49&gt;=EDATE(R$5,1)),0,MAX(0,MIN($K49,$E49-$G49-$I49-SUM($M49:Q49))))</f>
        <v>0</v>
      </c>
      <c r="S49" s="8">
        <f>IF(OR($A49="",$D49="",$D49&gt;=EDATE(S$5,1)),0,MAX(0,MIN($K49,$E49-$G49-$I49-SUM($M49:R49))))</f>
        <v>0</v>
      </c>
      <c r="T49" s="8">
        <f>IF(OR($A49="",$D49="",$D49&gt;=EDATE(T$5,1)),0,MAX(0,MIN($K49,$E49-$G49-$I49-SUM($M49:S49))))</f>
        <v>0</v>
      </c>
      <c r="U49" s="8">
        <f>IF(OR($A49="",$D49="",$D49&gt;=EDATE(U$5,1)),0,MAX(0,MIN($K49,$E49-$G49-$I49-SUM($M49:T49))))</f>
        <v>0</v>
      </c>
      <c r="V49" s="8">
        <f>IF(OR($A49="",$D49="",$D49&gt;=EDATE(V$5,1)),0,MAX(0,MIN($K49,$E49-$G49-$I49-SUM($M49:U49))))</f>
        <v>0</v>
      </c>
      <c r="W49" s="8">
        <f>IF(OR($A49="",$D49="",$D49&gt;=EDATE(W$5,1)),0,MAX(0,MIN($K49,$E49-$G49-$I49-SUM($M49:V49))))</f>
        <v>0</v>
      </c>
      <c r="X49" s="8">
        <f>IF(OR($A49="",$D49="",$D49&gt;=EDATE(X$5,1)),0,MAX(0,MIN($K49,$E49-$G49-$I49-SUM($M49:W49))))</f>
        <v>0</v>
      </c>
    </row>
    <row r="50" spans="1:24" ht="22" customHeight="1">
      <c r="A50" s="3"/>
      <c r="B50" s="3"/>
      <c r="C50" s="7"/>
      <c r="D50" s="7"/>
      <c r="E50" s="4"/>
      <c r="F50" s="4"/>
      <c r="G50" s="4"/>
      <c r="H50" s="3"/>
      <c r="I50" s="4"/>
      <c r="J50" s="3"/>
      <c r="K50" s="8" t="str">
        <f t="shared" si="2"/>
        <v/>
      </c>
      <c r="L50" s="8" t="str">
        <f>IF(COUNTA(A50:J50)=0,"",IF(OR(A50="",C50="",D50="",E50="",H50&lt;=0),"Faltan datos",IF(COUNTIF($A$7:$A$106,A50)&gt;1,"ID duplicado",IF(OR(E50&lt;0,G50&lt;0,I50&lt;0,G50+I50&gt;E50,D50&lt;C50),"Revisar activo",IF(AND(C50&gt;=DATE(Configuración!$C$5,1,1),I50&lt;&gt;0),"Dep. inicial no procede","OK")))))</f>
        <v/>
      </c>
      <c r="M50" s="8">
        <f t="shared" si="3"/>
        <v>0</v>
      </c>
      <c r="N50" s="8">
        <f>IF(OR($A50="",$D50="",$D50&gt;=EDATE(N$5,1)),0,MAX(0,MIN($K50,$E50-$G50-$I50-SUM($M50:M50))))</f>
        <v>0</v>
      </c>
      <c r="O50" s="8">
        <f>IF(OR($A50="",$D50="",$D50&gt;=EDATE(O$5,1)),0,MAX(0,MIN($K50,$E50-$G50-$I50-SUM($M50:N50))))</f>
        <v>0</v>
      </c>
      <c r="P50" s="8">
        <f>IF(OR($A50="",$D50="",$D50&gt;=EDATE(P$5,1)),0,MAX(0,MIN($K50,$E50-$G50-$I50-SUM($M50:O50))))</f>
        <v>0</v>
      </c>
      <c r="Q50" s="8">
        <f>IF(OR($A50="",$D50="",$D50&gt;=EDATE(Q$5,1)),0,MAX(0,MIN($K50,$E50-$G50-$I50-SUM($M50:P50))))</f>
        <v>0</v>
      </c>
      <c r="R50" s="8">
        <f>IF(OR($A50="",$D50="",$D50&gt;=EDATE(R$5,1)),0,MAX(0,MIN($K50,$E50-$G50-$I50-SUM($M50:Q50))))</f>
        <v>0</v>
      </c>
      <c r="S50" s="8">
        <f>IF(OR($A50="",$D50="",$D50&gt;=EDATE(S$5,1)),0,MAX(0,MIN($K50,$E50-$G50-$I50-SUM($M50:R50))))</f>
        <v>0</v>
      </c>
      <c r="T50" s="8">
        <f>IF(OR($A50="",$D50="",$D50&gt;=EDATE(T$5,1)),0,MAX(0,MIN($K50,$E50-$G50-$I50-SUM($M50:S50))))</f>
        <v>0</v>
      </c>
      <c r="U50" s="8">
        <f>IF(OR($A50="",$D50="",$D50&gt;=EDATE(U$5,1)),0,MAX(0,MIN($K50,$E50-$G50-$I50-SUM($M50:T50))))</f>
        <v>0</v>
      </c>
      <c r="V50" s="8">
        <f>IF(OR($A50="",$D50="",$D50&gt;=EDATE(V$5,1)),0,MAX(0,MIN($K50,$E50-$G50-$I50-SUM($M50:U50))))</f>
        <v>0</v>
      </c>
      <c r="W50" s="8">
        <f>IF(OR($A50="",$D50="",$D50&gt;=EDATE(W$5,1)),0,MAX(0,MIN($K50,$E50-$G50-$I50-SUM($M50:V50))))</f>
        <v>0</v>
      </c>
      <c r="X50" s="8">
        <f>IF(OR($A50="",$D50="",$D50&gt;=EDATE(X$5,1)),0,MAX(0,MIN($K50,$E50-$G50-$I50-SUM($M50:W50))))</f>
        <v>0</v>
      </c>
    </row>
    <row r="51" spans="1:24" ht="22" customHeight="1">
      <c r="A51" s="3"/>
      <c r="B51" s="3"/>
      <c r="C51" s="7"/>
      <c r="D51" s="7"/>
      <c r="E51" s="4"/>
      <c r="F51" s="4"/>
      <c r="G51" s="4"/>
      <c r="H51" s="3"/>
      <c r="I51" s="4"/>
      <c r="J51" s="3"/>
      <c r="K51" s="8" t="str">
        <f t="shared" si="2"/>
        <v/>
      </c>
      <c r="L51" s="8" t="str">
        <f>IF(COUNTA(A51:J51)=0,"",IF(OR(A51="",C51="",D51="",E51="",H51&lt;=0),"Faltan datos",IF(COUNTIF($A$7:$A$106,A51)&gt;1,"ID duplicado",IF(OR(E51&lt;0,G51&lt;0,I51&lt;0,G51+I51&gt;E51,D51&lt;C51),"Revisar activo",IF(AND(C51&gt;=DATE(Configuración!$C$5,1,1),I51&lt;&gt;0),"Dep. inicial no procede","OK")))))</f>
        <v/>
      </c>
      <c r="M51" s="8">
        <f t="shared" si="3"/>
        <v>0</v>
      </c>
      <c r="N51" s="8">
        <f>IF(OR($A51="",$D51="",$D51&gt;=EDATE(N$5,1)),0,MAX(0,MIN($K51,$E51-$G51-$I51-SUM($M51:M51))))</f>
        <v>0</v>
      </c>
      <c r="O51" s="8">
        <f>IF(OR($A51="",$D51="",$D51&gt;=EDATE(O$5,1)),0,MAX(0,MIN($K51,$E51-$G51-$I51-SUM($M51:N51))))</f>
        <v>0</v>
      </c>
      <c r="P51" s="8">
        <f>IF(OR($A51="",$D51="",$D51&gt;=EDATE(P$5,1)),0,MAX(0,MIN($K51,$E51-$G51-$I51-SUM($M51:O51))))</f>
        <v>0</v>
      </c>
      <c r="Q51" s="8">
        <f>IF(OR($A51="",$D51="",$D51&gt;=EDATE(Q$5,1)),0,MAX(0,MIN($K51,$E51-$G51-$I51-SUM($M51:P51))))</f>
        <v>0</v>
      </c>
      <c r="R51" s="8">
        <f>IF(OR($A51="",$D51="",$D51&gt;=EDATE(R$5,1)),0,MAX(0,MIN($K51,$E51-$G51-$I51-SUM($M51:Q51))))</f>
        <v>0</v>
      </c>
      <c r="S51" s="8">
        <f>IF(OR($A51="",$D51="",$D51&gt;=EDATE(S$5,1)),0,MAX(0,MIN($K51,$E51-$G51-$I51-SUM($M51:R51))))</f>
        <v>0</v>
      </c>
      <c r="T51" s="8">
        <f>IF(OR($A51="",$D51="",$D51&gt;=EDATE(T$5,1)),0,MAX(0,MIN($K51,$E51-$G51-$I51-SUM($M51:S51))))</f>
        <v>0</v>
      </c>
      <c r="U51" s="8">
        <f>IF(OR($A51="",$D51="",$D51&gt;=EDATE(U$5,1)),0,MAX(0,MIN($K51,$E51-$G51-$I51-SUM($M51:T51))))</f>
        <v>0</v>
      </c>
      <c r="V51" s="8">
        <f>IF(OR($A51="",$D51="",$D51&gt;=EDATE(V$5,1)),0,MAX(0,MIN($K51,$E51-$G51-$I51-SUM($M51:U51))))</f>
        <v>0</v>
      </c>
      <c r="W51" s="8">
        <f>IF(OR($A51="",$D51="",$D51&gt;=EDATE(W$5,1)),0,MAX(0,MIN($K51,$E51-$G51-$I51-SUM($M51:V51))))</f>
        <v>0</v>
      </c>
      <c r="X51" s="8">
        <f>IF(OR($A51="",$D51="",$D51&gt;=EDATE(X$5,1)),0,MAX(0,MIN($K51,$E51-$G51-$I51-SUM($M51:W51))))</f>
        <v>0</v>
      </c>
    </row>
    <row r="52" spans="1:24" ht="22" customHeight="1">
      <c r="A52" s="3"/>
      <c r="B52" s="3"/>
      <c r="C52" s="7"/>
      <c r="D52" s="7"/>
      <c r="E52" s="4"/>
      <c r="F52" s="4"/>
      <c r="G52" s="4"/>
      <c r="H52" s="3"/>
      <c r="I52" s="4"/>
      <c r="J52" s="3"/>
      <c r="K52" s="8" t="str">
        <f t="shared" si="2"/>
        <v/>
      </c>
      <c r="L52" s="8" t="str">
        <f>IF(COUNTA(A52:J52)=0,"",IF(OR(A52="",C52="",D52="",E52="",H52&lt;=0),"Faltan datos",IF(COUNTIF($A$7:$A$106,A52)&gt;1,"ID duplicado",IF(OR(E52&lt;0,G52&lt;0,I52&lt;0,G52+I52&gt;E52,D52&lt;C52),"Revisar activo",IF(AND(C52&gt;=DATE(Configuración!$C$5,1,1),I52&lt;&gt;0),"Dep. inicial no procede","OK")))))</f>
        <v/>
      </c>
      <c r="M52" s="8">
        <f t="shared" si="3"/>
        <v>0</v>
      </c>
      <c r="N52" s="8">
        <f>IF(OR($A52="",$D52="",$D52&gt;=EDATE(N$5,1)),0,MAX(0,MIN($K52,$E52-$G52-$I52-SUM($M52:M52))))</f>
        <v>0</v>
      </c>
      <c r="O52" s="8">
        <f>IF(OR($A52="",$D52="",$D52&gt;=EDATE(O$5,1)),0,MAX(0,MIN($K52,$E52-$G52-$I52-SUM($M52:N52))))</f>
        <v>0</v>
      </c>
      <c r="P52" s="8">
        <f>IF(OR($A52="",$D52="",$D52&gt;=EDATE(P$5,1)),0,MAX(0,MIN($K52,$E52-$G52-$I52-SUM($M52:O52))))</f>
        <v>0</v>
      </c>
      <c r="Q52" s="8">
        <f>IF(OR($A52="",$D52="",$D52&gt;=EDATE(Q$5,1)),0,MAX(0,MIN($K52,$E52-$G52-$I52-SUM($M52:P52))))</f>
        <v>0</v>
      </c>
      <c r="R52" s="8">
        <f>IF(OR($A52="",$D52="",$D52&gt;=EDATE(R$5,1)),0,MAX(0,MIN($K52,$E52-$G52-$I52-SUM($M52:Q52))))</f>
        <v>0</v>
      </c>
      <c r="S52" s="8">
        <f>IF(OR($A52="",$D52="",$D52&gt;=EDATE(S$5,1)),0,MAX(0,MIN($K52,$E52-$G52-$I52-SUM($M52:R52))))</f>
        <v>0</v>
      </c>
      <c r="T52" s="8">
        <f>IF(OR($A52="",$D52="",$D52&gt;=EDATE(T$5,1)),0,MAX(0,MIN($K52,$E52-$G52-$I52-SUM($M52:S52))))</f>
        <v>0</v>
      </c>
      <c r="U52" s="8">
        <f>IF(OR($A52="",$D52="",$D52&gt;=EDATE(U$5,1)),0,MAX(0,MIN($K52,$E52-$G52-$I52-SUM($M52:T52))))</f>
        <v>0</v>
      </c>
      <c r="V52" s="8">
        <f>IF(OR($A52="",$D52="",$D52&gt;=EDATE(V$5,1)),0,MAX(0,MIN($K52,$E52-$G52-$I52-SUM($M52:U52))))</f>
        <v>0</v>
      </c>
      <c r="W52" s="8">
        <f>IF(OR($A52="",$D52="",$D52&gt;=EDATE(W$5,1)),0,MAX(0,MIN($K52,$E52-$G52-$I52-SUM($M52:V52))))</f>
        <v>0</v>
      </c>
      <c r="X52" s="8">
        <f>IF(OR($A52="",$D52="",$D52&gt;=EDATE(X$5,1)),0,MAX(0,MIN($K52,$E52-$G52-$I52-SUM($M52:W52))))</f>
        <v>0</v>
      </c>
    </row>
    <row r="53" spans="1:24" ht="22" customHeight="1">
      <c r="A53" s="3"/>
      <c r="B53" s="3"/>
      <c r="C53" s="7"/>
      <c r="D53" s="7"/>
      <c r="E53" s="4"/>
      <c r="F53" s="4"/>
      <c r="G53" s="4"/>
      <c r="H53" s="3"/>
      <c r="I53" s="4"/>
      <c r="J53" s="3"/>
      <c r="K53" s="8" t="str">
        <f t="shared" si="2"/>
        <v/>
      </c>
      <c r="L53" s="8" t="str">
        <f>IF(COUNTA(A53:J53)=0,"",IF(OR(A53="",C53="",D53="",E53="",H53&lt;=0),"Faltan datos",IF(COUNTIF($A$7:$A$106,A53)&gt;1,"ID duplicado",IF(OR(E53&lt;0,G53&lt;0,I53&lt;0,G53+I53&gt;E53,D53&lt;C53),"Revisar activo",IF(AND(C53&gt;=DATE(Configuración!$C$5,1,1),I53&lt;&gt;0),"Dep. inicial no procede","OK")))))</f>
        <v/>
      </c>
      <c r="M53" s="8">
        <f t="shared" si="3"/>
        <v>0</v>
      </c>
      <c r="N53" s="8">
        <f>IF(OR($A53="",$D53="",$D53&gt;=EDATE(N$5,1)),0,MAX(0,MIN($K53,$E53-$G53-$I53-SUM($M53:M53))))</f>
        <v>0</v>
      </c>
      <c r="O53" s="8">
        <f>IF(OR($A53="",$D53="",$D53&gt;=EDATE(O$5,1)),0,MAX(0,MIN($K53,$E53-$G53-$I53-SUM($M53:N53))))</f>
        <v>0</v>
      </c>
      <c r="P53" s="8">
        <f>IF(OR($A53="",$D53="",$D53&gt;=EDATE(P$5,1)),0,MAX(0,MIN($K53,$E53-$G53-$I53-SUM($M53:O53))))</f>
        <v>0</v>
      </c>
      <c r="Q53" s="8">
        <f>IF(OR($A53="",$D53="",$D53&gt;=EDATE(Q$5,1)),0,MAX(0,MIN($K53,$E53-$G53-$I53-SUM($M53:P53))))</f>
        <v>0</v>
      </c>
      <c r="R53" s="8">
        <f>IF(OR($A53="",$D53="",$D53&gt;=EDATE(R$5,1)),0,MAX(0,MIN($K53,$E53-$G53-$I53-SUM($M53:Q53))))</f>
        <v>0</v>
      </c>
      <c r="S53" s="8">
        <f>IF(OR($A53="",$D53="",$D53&gt;=EDATE(S$5,1)),0,MAX(0,MIN($K53,$E53-$G53-$I53-SUM($M53:R53))))</f>
        <v>0</v>
      </c>
      <c r="T53" s="8">
        <f>IF(OR($A53="",$D53="",$D53&gt;=EDATE(T$5,1)),0,MAX(0,MIN($K53,$E53-$G53-$I53-SUM($M53:S53))))</f>
        <v>0</v>
      </c>
      <c r="U53" s="8">
        <f>IF(OR($A53="",$D53="",$D53&gt;=EDATE(U$5,1)),0,MAX(0,MIN($K53,$E53-$G53-$I53-SUM($M53:T53))))</f>
        <v>0</v>
      </c>
      <c r="V53" s="8">
        <f>IF(OR($A53="",$D53="",$D53&gt;=EDATE(V$5,1)),0,MAX(0,MIN($K53,$E53-$G53-$I53-SUM($M53:U53))))</f>
        <v>0</v>
      </c>
      <c r="W53" s="8">
        <f>IF(OR($A53="",$D53="",$D53&gt;=EDATE(W$5,1)),0,MAX(0,MIN($K53,$E53-$G53-$I53-SUM($M53:V53))))</f>
        <v>0</v>
      </c>
      <c r="X53" s="8">
        <f>IF(OR($A53="",$D53="",$D53&gt;=EDATE(X$5,1)),0,MAX(0,MIN($K53,$E53-$G53-$I53-SUM($M53:W53))))</f>
        <v>0</v>
      </c>
    </row>
    <row r="54" spans="1:24" ht="22" customHeight="1">
      <c r="A54" s="3"/>
      <c r="B54" s="3"/>
      <c r="C54" s="7"/>
      <c r="D54" s="7"/>
      <c r="E54" s="4"/>
      <c r="F54" s="4"/>
      <c r="G54" s="4"/>
      <c r="H54" s="3"/>
      <c r="I54" s="4"/>
      <c r="J54" s="3"/>
      <c r="K54" s="8" t="str">
        <f t="shared" si="2"/>
        <v/>
      </c>
      <c r="L54" s="8" t="str">
        <f>IF(COUNTA(A54:J54)=0,"",IF(OR(A54="",C54="",D54="",E54="",H54&lt;=0),"Faltan datos",IF(COUNTIF($A$7:$A$106,A54)&gt;1,"ID duplicado",IF(OR(E54&lt;0,G54&lt;0,I54&lt;0,G54+I54&gt;E54,D54&lt;C54),"Revisar activo",IF(AND(C54&gt;=DATE(Configuración!$C$5,1,1),I54&lt;&gt;0),"Dep. inicial no procede","OK")))))</f>
        <v/>
      </c>
      <c r="M54" s="8">
        <f t="shared" si="3"/>
        <v>0</v>
      </c>
      <c r="N54" s="8">
        <f>IF(OR($A54="",$D54="",$D54&gt;=EDATE(N$5,1)),0,MAX(0,MIN($K54,$E54-$G54-$I54-SUM($M54:M54))))</f>
        <v>0</v>
      </c>
      <c r="O54" s="8">
        <f>IF(OR($A54="",$D54="",$D54&gt;=EDATE(O$5,1)),0,MAX(0,MIN($K54,$E54-$G54-$I54-SUM($M54:N54))))</f>
        <v>0</v>
      </c>
      <c r="P54" s="8">
        <f>IF(OR($A54="",$D54="",$D54&gt;=EDATE(P$5,1)),0,MAX(0,MIN($K54,$E54-$G54-$I54-SUM($M54:O54))))</f>
        <v>0</v>
      </c>
      <c r="Q54" s="8">
        <f>IF(OR($A54="",$D54="",$D54&gt;=EDATE(Q$5,1)),0,MAX(0,MIN($K54,$E54-$G54-$I54-SUM($M54:P54))))</f>
        <v>0</v>
      </c>
      <c r="R54" s="8">
        <f>IF(OR($A54="",$D54="",$D54&gt;=EDATE(R$5,1)),0,MAX(0,MIN($K54,$E54-$G54-$I54-SUM($M54:Q54))))</f>
        <v>0</v>
      </c>
      <c r="S54" s="8">
        <f>IF(OR($A54="",$D54="",$D54&gt;=EDATE(S$5,1)),0,MAX(0,MIN($K54,$E54-$G54-$I54-SUM($M54:R54))))</f>
        <v>0</v>
      </c>
      <c r="T54" s="8">
        <f>IF(OR($A54="",$D54="",$D54&gt;=EDATE(T$5,1)),0,MAX(0,MIN($K54,$E54-$G54-$I54-SUM($M54:S54))))</f>
        <v>0</v>
      </c>
      <c r="U54" s="8">
        <f>IF(OR($A54="",$D54="",$D54&gt;=EDATE(U$5,1)),0,MAX(0,MIN($K54,$E54-$G54-$I54-SUM($M54:T54))))</f>
        <v>0</v>
      </c>
      <c r="V54" s="8">
        <f>IF(OR($A54="",$D54="",$D54&gt;=EDATE(V$5,1)),0,MAX(0,MIN($K54,$E54-$G54-$I54-SUM($M54:U54))))</f>
        <v>0</v>
      </c>
      <c r="W54" s="8">
        <f>IF(OR($A54="",$D54="",$D54&gt;=EDATE(W$5,1)),0,MAX(0,MIN($K54,$E54-$G54-$I54-SUM($M54:V54))))</f>
        <v>0</v>
      </c>
      <c r="X54" s="8">
        <f>IF(OR($A54="",$D54="",$D54&gt;=EDATE(X$5,1)),0,MAX(0,MIN($K54,$E54-$G54-$I54-SUM($M54:W54))))</f>
        <v>0</v>
      </c>
    </row>
    <row r="55" spans="1:24" ht="22" customHeight="1">
      <c r="A55" s="3"/>
      <c r="B55" s="3"/>
      <c r="C55" s="7"/>
      <c r="D55" s="7"/>
      <c r="E55" s="4"/>
      <c r="F55" s="4"/>
      <c r="G55" s="4"/>
      <c r="H55" s="3"/>
      <c r="I55" s="4"/>
      <c r="J55" s="3"/>
      <c r="K55" s="8" t="str">
        <f t="shared" si="2"/>
        <v/>
      </c>
      <c r="L55" s="8" t="str">
        <f>IF(COUNTA(A55:J55)=0,"",IF(OR(A55="",C55="",D55="",E55="",H55&lt;=0),"Faltan datos",IF(COUNTIF($A$7:$A$106,A55)&gt;1,"ID duplicado",IF(OR(E55&lt;0,G55&lt;0,I55&lt;0,G55+I55&gt;E55,D55&lt;C55),"Revisar activo",IF(AND(C55&gt;=DATE(Configuración!$C$5,1,1),I55&lt;&gt;0),"Dep. inicial no procede","OK")))))</f>
        <v/>
      </c>
      <c r="M55" s="8">
        <f t="shared" si="3"/>
        <v>0</v>
      </c>
      <c r="N55" s="8">
        <f>IF(OR($A55="",$D55="",$D55&gt;=EDATE(N$5,1)),0,MAX(0,MIN($K55,$E55-$G55-$I55-SUM($M55:M55))))</f>
        <v>0</v>
      </c>
      <c r="O55" s="8">
        <f>IF(OR($A55="",$D55="",$D55&gt;=EDATE(O$5,1)),0,MAX(0,MIN($K55,$E55-$G55-$I55-SUM($M55:N55))))</f>
        <v>0</v>
      </c>
      <c r="P55" s="8">
        <f>IF(OR($A55="",$D55="",$D55&gt;=EDATE(P$5,1)),0,MAX(0,MIN($K55,$E55-$G55-$I55-SUM($M55:O55))))</f>
        <v>0</v>
      </c>
      <c r="Q55" s="8">
        <f>IF(OR($A55="",$D55="",$D55&gt;=EDATE(Q$5,1)),0,MAX(0,MIN($K55,$E55-$G55-$I55-SUM($M55:P55))))</f>
        <v>0</v>
      </c>
      <c r="R55" s="8">
        <f>IF(OR($A55="",$D55="",$D55&gt;=EDATE(R$5,1)),0,MAX(0,MIN($K55,$E55-$G55-$I55-SUM($M55:Q55))))</f>
        <v>0</v>
      </c>
      <c r="S55" s="8">
        <f>IF(OR($A55="",$D55="",$D55&gt;=EDATE(S$5,1)),0,MAX(0,MIN($K55,$E55-$G55-$I55-SUM($M55:R55))))</f>
        <v>0</v>
      </c>
      <c r="T55" s="8">
        <f>IF(OR($A55="",$D55="",$D55&gt;=EDATE(T$5,1)),0,MAX(0,MIN($K55,$E55-$G55-$I55-SUM($M55:S55))))</f>
        <v>0</v>
      </c>
      <c r="U55" s="8">
        <f>IF(OR($A55="",$D55="",$D55&gt;=EDATE(U$5,1)),0,MAX(0,MIN($K55,$E55-$G55-$I55-SUM($M55:T55))))</f>
        <v>0</v>
      </c>
      <c r="V55" s="8">
        <f>IF(OR($A55="",$D55="",$D55&gt;=EDATE(V$5,1)),0,MAX(0,MIN($K55,$E55-$G55-$I55-SUM($M55:U55))))</f>
        <v>0</v>
      </c>
      <c r="W55" s="8">
        <f>IF(OR($A55="",$D55="",$D55&gt;=EDATE(W$5,1)),0,MAX(0,MIN($K55,$E55-$G55-$I55-SUM($M55:V55))))</f>
        <v>0</v>
      </c>
      <c r="X55" s="8">
        <f>IF(OR($A55="",$D55="",$D55&gt;=EDATE(X$5,1)),0,MAX(0,MIN($K55,$E55-$G55-$I55-SUM($M55:W55))))</f>
        <v>0</v>
      </c>
    </row>
    <row r="56" spans="1:24" ht="22" customHeight="1">
      <c r="A56" s="3"/>
      <c r="B56" s="3"/>
      <c r="C56" s="7"/>
      <c r="D56" s="7"/>
      <c r="E56" s="4"/>
      <c r="F56" s="4"/>
      <c r="G56" s="4"/>
      <c r="H56" s="3"/>
      <c r="I56" s="4"/>
      <c r="J56" s="3"/>
      <c r="K56" s="8" t="str">
        <f t="shared" si="2"/>
        <v/>
      </c>
      <c r="L56" s="8" t="str">
        <f>IF(COUNTA(A56:J56)=0,"",IF(OR(A56="",C56="",D56="",E56="",H56&lt;=0),"Faltan datos",IF(COUNTIF($A$7:$A$106,A56)&gt;1,"ID duplicado",IF(OR(E56&lt;0,G56&lt;0,I56&lt;0,G56+I56&gt;E56,D56&lt;C56),"Revisar activo",IF(AND(C56&gt;=DATE(Configuración!$C$5,1,1),I56&lt;&gt;0),"Dep. inicial no procede","OK")))))</f>
        <v/>
      </c>
      <c r="M56" s="8">
        <f t="shared" si="3"/>
        <v>0</v>
      </c>
      <c r="N56" s="8">
        <f>IF(OR($A56="",$D56="",$D56&gt;=EDATE(N$5,1)),0,MAX(0,MIN($K56,$E56-$G56-$I56-SUM($M56:M56))))</f>
        <v>0</v>
      </c>
      <c r="O56" s="8">
        <f>IF(OR($A56="",$D56="",$D56&gt;=EDATE(O$5,1)),0,MAX(0,MIN($K56,$E56-$G56-$I56-SUM($M56:N56))))</f>
        <v>0</v>
      </c>
      <c r="P56" s="8">
        <f>IF(OR($A56="",$D56="",$D56&gt;=EDATE(P$5,1)),0,MAX(0,MIN($K56,$E56-$G56-$I56-SUM($M56:O56))))</f>
        <v>0</v>
      </c>
      <c r="Q56" s="8">
        <f>IF(OR($A56="",$D56="",$D56&gt;=EDATE(Q$5,1)),0,MAX(0,MIN($K56,$E56-$G56-$I56-SUM($M56:P56))))</f>
        <v>0</v>
      </c>
      <c r="R56" s="8">
        <f>IF(OR($A56="",$D56="",$D56&gt;=EDATE(R$5,1)),0,MAX(0,MIN($K56,$E56-$G56-$I56-SUM($M56:Q56))))</f>
        <v>0</v>
      </c>
      <c r="S56" s="8">
        <f>IF(OR($A56="",$D56="",$D56&gt;=EDATE(S$5,1)),0,MAX(0,MIN($K56,$E56-$G56-$I56-SUM($M56:R56))))</f>
        <v>0</v>
      </c>
      <c r="T56" s="8">
        <f>IF(OR($A56="",$D56="",$D56&gt;=EDATE(T$5,1)),0,MAX(0,MIN($K56,$E56-$G56-$I56-SUM($M56:S56))))</f>
        <v>0</v>
      </c>
      <c r="U56" s="8">
        <f>IF(OR($A56="",$D56="",$D56&gt;=EDATE(U$5,1)),0,MAX(0,MIN($K56,$E56-$G56-$I56-SUM($M56:T56))))</f>
        <v>0</v>
      </c>
      <c r="V56" s="8">
        <f>IF(OR($A56="",$D56="",$D56&gt;=EDATE(V$5,1)),0,MAX(0,MIN($K56,$E56-$G56-$I56-SUM($M56:U56))))</f>
        <v>0</v>
      </c>
      <c r="W56" s="8">
        <f>IF(OR($A56="",$D56="",$D56&gt;=EDATE(W$5,1)),0,MAX(0,MIN($K56,$E56-$G56-$I56-SUM($M56:V56))))</f>
        <v>0</v>
      </c>
      <c r="X56" s="8">
        <f>IF(OR($A56="",$D56="",$D56&gt;=EDATE(X$5,1)),0,MAX(0,MIN($K56,$E56-$G56-$I56-SUM($M56:W56))))</f>
        <v>0</v>
      </c>
    </row>
    <row r="57" spans="1:24" ht="22" customHeight="1">
      <c r="A57" s="3"/>
      <c r="B57" s="3"/>
      <c r="C57" s="7"/>
      <c r="D57" s="7"/>
      <c r="E57" s="4"/>
      <c r="F57" s="4"/>
      <c r="G57" s="4"/>
      <c r="H57" s="3"/>
      <c r="I57" s="4"/>
      <c r="J57" s="3"/>
      <c r="K57" s="8" t="str">
        <f t="shared" si="2"/>
        <v/>
      </c>
      <c r="L57" s="8" t="str">
        <f>IF(COUNTA(A57:J57)=0,"",IF(OR(A57="",C57="",D57="",E57="",H57&lt;=0),"Faltan datos",IF(COUNTIF($A$7:$A$106,A57)&gt;1,"ID duplicado",IF(OR(E57&lt;0,G57&lt;0,I57&lt;0,G57+I57&gt;E57,D57&lt;C57),"Revisar activo",IF(AND(C57&gt;=DATE(Configuración!$C$5,1,1),I57&lt;&gt;0),"Dep. inicial no procede","OK")))))</f>
        <v/>
      </c>
      <c r="M57" s="8">
        <f t="shared" si="3"/>
        <v>0</v>
      </c>
      <c r="N57" s="8">
        <f>IF(OR($A57="",$D57="",$D57&gt;=EDATE(N$5,1)),0,MAX(0,MIN($K57,$E57-$G57-$I57-SUM($M57:M57))))</f>
        <v>0</v>
      </c>
      <c r="O57" s="8">
        <f>IF(OR($A57="",$D57="",$D57&gt;=EDATE(O$5,1)),0,MAX(0,MIN($K57,$E57-$G57-$I57-SUM($M57:N57))))</f>
        <v>0</v>
      </c>
      <c r="P57" s="8">
        <f>IF(OR($A57="",$D57="",$D57&gt;=EDATE(P$5,1)),0,MAX(0,MIN($K57,$E57-$G57-$I57-SUM($M57:O57))))</f>
        <v>0</v>
      </c>
      <c r="Q57" s="8">
        <f>IF(OR($A57="",$D57="",$D57&gt;=EDATE(Q$5,1)),0,MAX(0,MIN($K57,$E57-$G57-$I57-SUM($M57:P57))))</f>
        <v>0</v>
      </c>
      <c r="R57" s="8">
        <f>IF(OR($A57="",$D57="",$D57&gt;=EDATE(R$5,1)),0,MAX(0,MIN($K57,$E57-$G57-$I57-SUM($M57:Q57))))</f>
        <v>0</v>
      </c>
      <c r="S57" s="8">
        <f>IF(OR($A57="",$D57="",$D57&gt;=EDATE(S$5,1)),0,MAX(0,MIN($K57,$E57-$G57-$I57-SUM($M57:R57))))</f>
        <v>0</v>
      </c>
      <c r="T57" s="8">
        <f>IF(OR($A57="",$D57="",$D57&gt;=EDATE(T$5,1)),0,MAX(0,MIN($K57,$E57-$G57-$I57-SUM($M57:S57))))</f>
        <v>0</v>
      </c>
      <c r="U57" s="8">
        <f>IF(OR($A57="",$D57="",$D57&gt;=EDATE(U$5,1)),0,MAX(0,MIN($K57,$E57-$G57-$I57-SUM($M57:T57))))</f>
        <v>0</v>
      </c>
      <c r="V57" s="8">
        <f>IF(OR($A57="",$D57="",$D57&gt;=EDATE(V$5,1)),0,MAX(0,MIN($K57,$E57-$G57-$I57-SUM($M57:U57))))</f>
        <v>0</v>
      </c>
      <c r="W57" s="8">
        <f>IF(OR($A57="",$D57="",$D57&gt;=EDATE(W$5,1)),0,MAX(0,MIN($K57,$E57-$G57-$I57-SUM($M57:V57))))</f>
        <v>0</v>
      </c>
      <c r="X57" s="8">
        <f>IF(OR($A57="",$D57="",$D57&gt;=EDATE(X$5,1)),0,MAX(0,MIN($K57,$E57-$G57-$I57-SUM($M57:W57))))</f>
        <v>0</v>
      </c>
    </row>
    <row r="58" spans="1:24" ht="22" customHeight="1">
      <c r="A58" s="3"/>
      <c r="B58" s="3"/>
      <c r="C58" s="7"/>
      <c r="D58" s="7"/>
      <c r="E58" s="4"/>
      <c r="F58" s="4"/>
      <c r="G58" s="4"/>
      <c r="H58" s="3"/>
      <c r="I58" s="4"/>
      <c r="J58" s="3"/>
      <c r="K58" s="8" t="str">
        <f t="shared" si="2"/>
        <v/>
      </c>
      <c r="L58" s="8" t="str">
        <f>IF(COUNTA(A58:J58)=0,"",IF(OR(A58="",C58="",D58="",E58="",H58&lt;=0),"Faltan datos",IF(COUNTIF($A$7:$A$106,A58)&gt;1,"ID duplicado",IF(OR(E58&lt;0,G58&lt;0,I58&lt;0,G58+I58&gt;E58,D58&lt;C58),"Revisar activo",IF(AND(C58&gt;=DATE(Configuración!$C$5,1,1),I58&lt;&gt;0),"Dep. inicial no procede","OK")))))</f>
        <v/>
      </c>
      <c r="M58" s="8">
        <f t="shared" si="3"/>
        <v>0</v>
      </c>
      <c r="N58" s="8">
        <f>IF(OR($A58="",$D58="",$D58&gt;=EDATE(N$5,1)),0,MAX(0,MIN($K58,$E58-$G58-$I58-SUM($M58:M58))))</f>
        <v>0</v>
      </c>
      <c r="O58" s="8">
        <f>IF(OR($A58="",$D58="",$D58&gt;=EDATE(O$5,1)),0,MAX(0,MIN($K58,$E58-$G58-$I58-SUM($M58:N58))))</f>
        <v>0</v>
      </c>
      <c r="P58" s="8">
        <f>IF(OR($A58="",$D58="",$D58&gt;=EDATE(P$5,1)),0,MAX(0,MIN($K58,$E58-$G58-$I58-SUM($M58:O58))))</f>
        <v>0</v>
      </c>
      <c r="Q58" s="8">
        <f>IF(OR($A58="",$D58="",$D58&gt;=EDATE(Q$5,1)),0,MAX(0,MIN($K58,$E58-$G58-$I58-SUM($M58:P58))))</f>
        <v>0</v>
      </c>
      <c r="R58" s="8">
        <f>IF(OR($A58="",$D58="",$D58&gt;=EDATE(R$5,1)),0,MAX(0,MIN($K58,$E58-$G58-$I58-SUM($M58:Q58))))</f>
        <v>0</v>
      </c>
      <c r="S58" s="8">
        <f>IF(OR($A58="",$D58="",$D58&gt;=EDATE(S$5,1)),0,MAX(0,MIN($K58,$E58-$G58-$I58-SUM($M58:R58))))</f>
        <v>0</v>
      </c>
      <c r="T58" s="8">
        <f>IF(OR($A58="",$D58="",$D58&gt;=EDATE(T$5,1)),0,MAX(0,MIN($K58,$E58-$G58-$I58-SUM($M58:S58))))</f>
        <v>0</v>
      </c>
      <c r="U58" s="8">
        <f>IF(OR($A58="",$D58="",$D58&gt;=EDATE(U$5,1)),0,MAX(0,MIN($K58,$E58-$G58-$I58-SUM($M58:T58))))</f>
        <v>0</v>
      </c>
      <c r="V58" s="8">
        <f>IF(OR($A58="",$D58="",$D58&gt;=EDATE(V$5,1)),0,MAX(0,MIN($K58,$E58-$G58-$I58-SUM($M58:U58))))</f>
        <v>0</v>
      </c>
      <c r="W58" s="8">
        <f>IF(OR($A58="",$D58="",$D58&gt;=EDATE(W$5,1)),0,MAX(0,MIN($K58,$E58-$G58-$I58-SUM($M58:V58))))</f>
        <v>0</v>
      </c>
      <c r="X58" s="8">
        <f>IF(OR($A58="",$D58="",$D58&gt;=EDATE(X$5,1)),0,MAX(0,MIN($K58,$E58-$G58-$I58-SUM($M58:W58))))</f>
        <v>0</v>
      </c>
    </row>
    <row r="59" spans="1:24" ht="22" customHeight="1">
      <c r="A59" s="3"/>
      <c r="B59" s="3"/>
      <c r="C59" s="7"/>
      <c r="D59" s="7"/>
      <c r="E59" s="4"/>
      <c r="F59" s="4"/>
      <c r="G59" s="4"/>
      <c r="H59" s="3"/>
      <c r="I59" s="4"/>
      <c r="J59" s="3"/>
      <c r="K59" s="8" t="str">
        <f t="shared" si="2"/>
        <v/>
      </c>
      <c r="L59" s="8" t="str">
        <f>IF(COUNTA(A59:J59)=0,"",IF(OR(A59="",C59="",D59="",E59="",H59&lt;=0),"Faltan datos",IF(COUNTIF($A$7:$A$106,A59)&gt;1,"ID duplicado",IF(OR(E59&lt;0,G59&lt;0,I59&lt;0,G59+I59&gt;E59,D59&lt;C59),"Revisar activo",IF(AND(C59&gt;=DATE(Configuración!$C$5,1,1),I59&lt;&gt;0),"Dep. inicial no procede","OK")))))</f>
        <v/>
      </c>
      <c r="M59" s="8">
        <f t="shared" si="3"/>
        <v>0</v>
      </c>
      <c r="N59" s="8">
        <f>IF(OR($A59="",$D59="",$D59&gt;=EDATE(N$5,1)),0,MAX(0,MIN($K59,$E59-$G59-$I59-SUM($M59:M59))))</f>
        <v>0</v>
      </c>
      <c r="O59" s="8">
        <f>IF(OR($A59="",$D59="",$D59&gt;=EDATE(O$5,1)),0,MAX(0,MIN($K59,$E59-$G59-$I59-SUM($M59:N59))))</f>
        <v>0</v>
      </c>
      <c r="P59" s="8">
        <f>IF(OR($A59="",$D59="",$D59&gt;=EDATE(P$5,1)),0,MAX(0,MIN($K59,$E59-$G59-$I59-SUM($M59:O59))))</f>
        <v>0</v>
      </c>
      <c r="Q59" s="8">
        <f>IF(OR($A59="",$D59="",$D59&gt;=EDATE(Q$5,1)),0,MAX(0,MIN($K59,$E59-$G59-$I59-SUM($M59:P59))))</f>
        <v>0</v>
      </c>
      <c r="R59" s="8">
        <f>IF(OR($A59="",$D59="",$D59&gt;=EDATE(R$5,1)),0,MAX(0,MIN($K59,$E59-$G59-$I59-SUM($M59:Q59))))</f>
        <v>0</v>
      </c>
      <c r="S59" s="8">
        <f>IF(OR($A59="",$D59="",$D59&gt;=EDATE(S$5,1)),0,MAX(0,MIN($K59,$E59-$G59-$I59-SUM($M59:R59))))</f>
        <v>0</v>
      </c>
      <c r="T59" s="8">
        <f>IF(OR($A59="",$D59="",$D59&gt;=EDATE(T$5,1)),0,MAX(0,MIN($K59,$E59-$G59-$I59-SUM($M59:S59))))</f>
        <v>0</v>
      </c>
      <c r="U59" s="8">
        <f>IF(OR($A59="",$D59="",$D59&gt;=EDATE(U$5,1)),0,MAX(0,MIN($K59,$E59-$G59-$I59-SUM($M59:T59))))</f>
        <v>0</v>
      </c>
      <c r="V59" s="8">
        <f>IF(OR($A59="",$D59="",$D59&gt;=EDATE(V$5,1)),0,MAX(0,MIN($K59,$E59-$G59-$I59-SUM($M59:U59))))</f>
        <v>0</v>
      </c>
      <c r="W59" s="8">
        <f>IF(OR($A59="",$D59="",$D59&gt;=EDATE(W$5,1)),0,MAX(0,MIN($K59,$E59-$G59-$I59-SUM($M59:V59))))</f>
        <v>0</v>
      </c>
      <c r="X59" s="8">
        <f>IF(OR($A59="",$D59="",$D59&gt;=EDATE(X$5,1)),0,MAX(0,MIN($K59,$E59-$G59-$I59-SUM($M59:W59))))</f>
        <v>0</v>
      </c>
    </row>
    <row r="60" spans="1:24" ht="22" customHeight="1">
      <c r="A60" s="3"/>
      <c r="B60" s="3"/>
      <c r="C60" s="7"/>
      <c r="D60" s="7"/>
      <c r="E60" s="4"/>
      <c r="F60" s="4"/>
      <c r="G60" s="4"/>
      <c r="H60" s="3"/>
      <c r="I60" s="4"/>
      <c r="J60" s="3"/>
      <c r="K60" s="8" t="str">
        <f t="shared" si="2"/>
        <v/>
      </c>
      <c r="L60" s="8" t="str">
        <f>IF(COUNTA(A60:J60)=0,"",IF(OR(A60="",C60="",D60="",E60="",H60&lt;=0),"Faltan datos",IF(COUNTIF($A$7:$A$106,A60)&gt;1,"ID duplicado",IF(OR(E60&lt;0,G60&lt;0,I60&lt;0,G60+I60&gt;E60,D60&lt;C60),"Revisar activo",IF(AND(C60&gt;=DATE(Configuración!$C$5,1,1),I60&lt;&gt;0),"Dep. inicial no procede","OK")))))</f>
        <v/>
      </c>
      <c r="M60" s="8">
        <f t="shared" si="3"/>
        <v>0</v>
      </c>
      <c r="N60" s="8">
        <f>IF(OR($A60="",$D60="",$D60&gt;=EDATE(N$5,1)),0,MAX(0,MIN($K60,$E60-$G60-$I60-SUM($M60:M60))))</f>
        <v>0</v>
      </c>
      <c r="O60" s="8">
        <f>IF(OR($A60="",$D60="",$D60&gt;=EDATE(O$5,1)),0,MAX(0,MIN($K60,$E60-$G60-$I60-SUM($M60:N60))))</f>
        <v>0</v>
      </c>
      <c r="P60" s="8">
        <f>IF(OR($A60="",$D60="",$D60&gt;=EDATE(P$5,1)),0,MAX(0,MIN($K60,$E60-$G60-$I60-SUM($M60:O60))))</f>
        <v>0</v>
      </c>
      <c r="Q60" s="8">
        <f>IF(OR($A60="",$D60="",$D60&gt;=EDATE(Q$5,1)),0,MAX(0,MIN($K60,$E60-$G60-$I60-SUM($M60:P60))))</f>
        <v>0</v>
      </c>
      <c r="R60" s="8">
        <f>IF(OR($A60="",$D60="",$D60&gt;=EDATE(R$5,1)),0,MAX(0,MIN($K60,$E60-$G60-$I60-SUM($M60:Q60))))</f>
        <v>0</v>
      </c>
      <c r="S60" s="8">
        <f>IF(OR($A60="",$D60="",$D60&gt;=EDATE(S$5,1)),0,MAX(0,MIN($K60,$E60-$G60-$I60-SUM($M60:R60))))</f>
        <v>0</v>
      </c>
      <c r="T60" s="8">
        <f>IF(OR($A60="",$D60="",$D60&gt;=EDATE(T$5,1)),0,MAX(0,MIN($K60,$E60-$G60-$I60-SUM($M60:S60))))</f>
        <v>0</v>
      </c>
      <c r="U60" s="8">
        <f>IF(OR($A60="",$D60="",$D60&gt;=EDATE(U$5,1)),0,MAX(0,MIN($K60,$E60-$G60-$I60-SUM($M60:T60))))</f>
        <v>0</v>
      </c>
      <c r="V60" s="8">
        <f>IF(OR($A60="",$D60="",$D60&gt;=EDATE(V$5,1)),0,MAX(0,MIN($K60,$E60-$G60-$I60-SUM($M60:U60))))</f>
        <v>0</v>
      </c>
      <c r="W60" s="8">
        <f>IF(OR($A60="",$D60="",$D60&gt;=EDATE(W$5,1)),0,MAX(0,MIN($K60,$E60-$G60-$I60-SUM($M60:V60))))</f>
        <v>0</v>
      </c>
      <c r="X60" s="8">
        <f>IF(OR($A60="",$D60="",$D60&gt;=EDATE(X$5,1)),0,MAX(0,MIN($K60,$E60-$G60-$I60-SUM($M60:W60))))</f>
        <v>0</v>
      </c>
    </row>
    <row r="61" spans="1:24" ht="22" customHeight="1">
      <c r="A61" s="3"/>
      <c r="B61" s="3"/>
      <c r="C61" s="7"/>
      <c r="D61" s="7"/>
      <c r="E61" s="4"/>
      <c r="F61" s="4"/>
      <c r="G61" s="4"/>
      <c r="H61" s="3"/>
      <c r="I61" s="4"/>
      <c r="J61" s="3"/>
      <c r="K61" s="8" t="str">
        <f t="shared" si="2"/>
        <v/>
      </c>
      <c r="L61" s="8" t="str">
        <f>IF(COUNTA(A61:J61)=0,"",IF(OR(A61="",C61="",D61="",E61="",H61&lt;=0),"Faltan datos",IF(COUNTIF($A$7:$A$106,A61)&gt;1,"ID duplicado",IF(OR(E61&lt;0,G61&lt;0,I61&lt;0,G61+I61&gt;E61,D61&lt;C61),"Revisar activo",IF(AND(C61&gt;=DATE(Configuración!$C$5,1,1),I61&lt;&gt;0),"Dep. inicial no procede","OK")))))</f>
        <v/>
      </c>
      <c r="M61" s="8">
        <f t="shared" si="3"/>
        <v>0</v>
      </c>
      <c r="N61" s="8">
        <f>IF(OR($A61="",$D61="",$D61&gt;=EDATE(N$5,1)),0,MAX(0,MIN($K61,$E61-$G61-$I61-SUM($M61:M61))))</f>
        <v>0</v>
      </c>
      <c r="O61" s="8">
        <f>IF(OR($A61="",$D61="",$D61&gt;=EDATE(O$5,1)),0,MAX(0,MIN($K61,$E61-$G61-$I61-SUM($M61:N61))))</f>
        <v>0</v>
      </c>
      <c r="P61" s="8">
        <f>IF(OR($A61="",$D61="",$D61&gt;=EDATE(P$5,1)),0,MAX(0,MIN($K61,$E61-$G61-$I61-SUM($M61:O61))))</f>
        <v>0</v>
      </c>
      <c r="Q61" s="8">
        <f>IF(OR($A61="",$D61="",$D61&gt;=EDATE(Q$5,1)),0,MAX(0,MIN($K61,$E61-$G61-$I61-SUM($M61:P61))))</f>
        <v>0</v>
      </c>
      <c r="R61" s="8">
        <f>IF(OR($A61="",$D61="",$D61&gt;=EDATE(R$5,1)),0,MAX(0,MIN($K61,$E61-$G61-$I61-SUM($M61:Q61))))</f>
        <v>0</v>
      </c>
      <c r="S61" s="8">
        <f>IF(OR($A61="",$D61="",$D61&gt;=EDATE(S$5,1)),0,MAX(0,MIN($K61,$E61-$G61-$I61-SUM($M61:R61))))</f>
        <v>0</v>
      </c>
      <c r="T61" s="8">
        <f>IF(OR($A61="",$D61="",$D61&gt;=EDATE(T$5,1)),0,MAX(0,MIN($K61,$E61-$G61-$I61-SUM($M61:S61))))</f>
        <v>0</v>
      </c>
      <c r="U61" s="8">
        <f>IF(OR($A61="",$D61="",$D61&gt;=EDATE(U$5,1)),0,MAX(0,MIN($K61,$E61-$G61-$I61-SUM($M61:T61))))</f>
        <v>0</v>
      </c>
      <c r="V61" s="8">
        <f>IF(OR($A61="",$D61="",$D61&gt;=EDATE(V$5,1)),0,MAX(0,MIN($K61,$E61-$G61-$I61-SUM($M61:U61))))</f>
        <v>0</v>
      </c>
      <c r="W61" s="8">
        <f>IF(OR($A61="",$D61="",$D61&gt;=EDATE(W$5,1)),0,MAX(0,MIN($K61,$E61-$G61-$I61-SUM($M61:V61))))</f>
        <v>0</v>
      </c>
      <c r="X61" s="8">
        <f>IF(OR($A61="",$D61="",$D61&gt;=EDATE(X$5,1)),0,MAX(0,MIN($K61,$E61-$G61-$I61-SUM($M61:W61))))</f>
        <v>0</v>
      </c>
    </row>
    <row r="62" spans="1:24" ht="22" customHeight="1">
      <c r="A62" s="3"/>
      <c r="B62" s="3"/>
      <c r="C62" s="7"/>
      <c r="D62" s="7"/>
      <c r="E62" s="4"/>
      <c r="F62" s="4"/>
      <c r="G62" s="4"/>
      <c r="H62" s="3"/>
      <c r="I62" s="4"/>
      <c r="J62" s="3"/>
      <c r="K62" s="8" t="str">
        <f t="shared" si="2"/>
        <v/>
      </c>
      <c r="L62" s="8" t="str">
        <f>IF(COUNTA(A62:J62)=0,"",IF(OR(A62="",C62="",D62="",E62="",H62&lt;=0),"Faltan datos",IF(COUNTIF($A$7:$A$106,A62)&gt;1,"ID duplicado",IF(OR(E62&lt;0,G62&lt;0,I62&lt;0,G62+I62&gt;E62,D62&lt;C62),"Revisar activo",IF(AND(C62&gt;=DATE(Configuración!$C$5,1,1),I62&lt;&gt;0),"Dep. inicial no procede","OK")))))</f>
        <v/>
      </c>
      <c r="M62" s="8">
        <f t="shared" si="3"/>
        <v>0</v>
      </c>
      <c r="N62" s="8">
        <f>IF(OR($A62="",$D62="",$D62&gt;=EDATE(N$5,1)),0,MAX(0,MIN($K62,$E62-$G62-$I62-SUM($M62:M62))))</f>
        <v>0</v>
      </c>
      <c r="O62" s="8">
        <f>IF(OR($A62="",$D62="",$D62&gt;=EDATE(O$5,1)),0,MAX(0,MIN($K62,$E62-$G62-$I62-SUM($M62:N62))))</f>
        <v>0</v>
      </c>
      <c r="P62" s="8">
        <f>IF(OR($A62="",$D62="",$D62&gt;=EDATE(P$5,1)),0,MAX(0,MIN($K62,$E62-$G62-$I62-SUM($M62:O62))))</f>
        <v>0</v>
      </c>
      <c r="Q62" s="8">
        <f>IF(OR($A62="",$D62="",$D62&gt;=EDATE(Q$5,1)),0,MAX(0,MIN($K62,$E62-$G62-$I62-SUM($M62:P62))))</f>
        <v>0</v>
      </c>
      <c r="R62" s="8">
        <f>IF(OR($A62="",$D62="",$D62&gt;=EDATE(R$5,1)),0,MAX(0,MIN($K62,$E62-$G62-$I62-SUM($M62:Q62))))</f>
        <v>0</v>
      </c>
      <c r="S62" s="8">
        <f>IF(OR($A62="",$D62="",$D62&gt;=EDATE(S$5,1)),0,MAX(0,MIN($K62,$E62-$G62-$I62-SUM($M62:R62))))</f>
        <v>0</v>
      </c>
      <c r="T62" s="8">
        <f>IF(OR($A62="",$D62="",$D62&gt;=EDATE(T$5,1)),0,MAX(0,MIN($K62,$E62-$G62-$I62-SUM($M62:S62))))</f>
        <v>0</v>
      </c>
      <c r="U62" s="8">
        <f>IF(OR($A62="",$D62="",$D62&gt;=EDATE(U$5,1)),0,MAX(0,MIN($K62,$E62-$G62-$I62-SUM($M62:T62))))</f>
        <v>0</v>
      </c>
      <c r="V62" s="8">
        <f>IF(OR($A62="",$D62="",$D62&gt;=EDATE(V$5,1)),0,MAX(0,MIN($K62,$E62-$G62-$I62-SUM($M62:U62))))</f>
        <v>0</v>
      </c>
      <c r="W62" s="8">
        <f>IF(OR($A62="",$D62="",$D62&gt;=EDATE(W$5,1)),0,MAX(0,MIN($K62,$E62-$G62-$I62-SUM($M62:V62))))</f>
        <v>0</v>
      </c>
      <c r="X62" s="8">
        <f>IF(OR($A62="",$D62="",$D62&gt;=EDATE(X$5,1)),0,MAX(0,MIN($K62,$E62-$G62-$I62-SUM($M62:W62))))</f>
        <v>0</v>
      </c>
    </row>
    <row r="63" spans="1:24" ht="22" customHeight="1">
      <c r="A63" s="3"/>
      <c r="B63" s="3"/>
      <c r="C63" s="7"/>
      <c r="D63" s="7"/>
      <c r="E63" s="4"/>
      <c r="F63" s="4"/>
      <c r="G63" s="4"/>
      <c r="H63" s="3"/>
      <c r="I63" s="4"/>
      <c r="J63" s="3"/>
      <c r="K63" s="8" t="str">
        <f t="shared" si="2"/>
        <v/>
      </c>
      <c r="L63" s="8" t="str">
        <f>IF(COUNTA(A63:J63)=0,"",IF(OR(A63="",C63="",D63="",E63="",H63&lt;=0),"Faltan datos",IF(COUNTIF($A$7:$A$106,A63)&gt;1,"ID duplicado",IF(OR(E63&lt;0,G63&lt;0,I63&lt;0,G63+I63&gt;E63,D63&lt;C63),"Revisar activo",IF(AND(C63&gt;=DATE(Configuración!$C$5,1,1),I63&lt;&gt;0),"Dep. inicial no procede","OK")))))</f>
        <v/>
      </c>
      <c r="M63" s="8">
        <f t="shared" si="3"/>
        <v>0</v>
      </c>
      <c r="N63" s="8">
        <f>IF(OR($A63="",$D63="",$D63&gt;=EDATE(N$5,1)),0,MAX(0,MIN($K63,$E63-$G63-$I63-SUM($M63:M63))))</f>
        <v>0</v>
      </c>
      <c r="O63" s="8">
        <f>IF(OR($A63="",$D63="",$D63&gt;=EDATE(O$5,1)),0,MAX(0,MIN($K63,$E63-$G63-$I63-SUM($M63:N63))))</f>
        <v>0</v>
      </c>
      <c r="P63" s="8">
        <f>IF(OR($A63="",$D63="",$D63&gt;=EDATE(P$5,1)),0,MAX(0,MIN($K63,$E63-$G63-$I63-SUM($M63:O63))))</f>
        <v>0</v>
      </c>
      <c r="Q63" s="8">
        <f>IF(OR($A63="",$D63="",$D63&gt;=EDATE(Q$5,1)),0,MAX(0,MIN($K63,$E63-$G63-$I63-SUM($M63:P63))))</f>
        <v>0</v>
      </c>
      <c r="R63" s="8">
        <f>IF(OR($A63="",$D63="",$D63&gt;=EDATE(R$5,1)),0,MAX(0,MIN($K63,$E63-$G63-$I63-SUM($M63:Q63))))</f>
        <v>0</v>
      </c>
      <c r="S63" s="8">
        <f>IF(OR($A63="",$D63="",$D63&gt;=EDATE(S$5,1)),0,MAX(0,MIN($K63,$E63-$G63-$I63-SUM($M63:R63))))</f>
        <v>0</v>
      </c>
      <c r="T63" s="8">
        <f>IF(OR($A63="",$D63="",$D63&gt;=EDATE(T$5,1)),0,MAX(0,MIN($K63,$E63-$G63-$I63-SUM($M63:S63))))</f>
        <v>0</v>
      </c>
      <c r="U63" s="8">
        <f>IF(OR($A63="",$D63="",$D63&gt;=EDATE(U$5,1)),0,MAX(0,MIN($K63,$E63-$G63-$I63-SUM($M63:T63))))</f>
        <v>0</v>
      </c>
      <c r="V63" s="8">
        <f>IF(OR($A63="",$D63="",$D63&gt;=EDATE(V$5,1)),0,MAX(0,MIN($K63,$E63-$G63-$I63-SUM($M63:U63))))</f>
        <v>0</v>
      </c>
      <c r="W63" s="8">
        <f>IF(OR($A63="",$D63="",$D63&gt;=EDATE(W$5,1)),0,MAX(0,MIN($K63,$E63-$G63-$I63-SUM($M63:V63))))</f>
        <v>0</v>
      </c>
      <c r="X63" s="8">
        <f>IF(OR($A63="",$D63="",$D63&gt;=EDATE(X$5,1)),0,MAX(0,MIN($K63,$E63-$G63-$I63-SUM($M63:W63))))</f>
        <v>0</v>
      </c>
    </row>
    <row r="64" spans="1:24" ht="22" customHeight="1">
      <c r="A64" s="3"/>
      <c r="B64" s="3"/>
      <c r="C64" s="7"/>
      <c r="D64" s="7"/>
      <c r="E64" s="4"/>
      <c r="F64" s="4"/>
      <c r="G64" s="4"/>
      <c r="H64" s="3"/>
      <c r="I64" s="4"/>
      <c r="J64" s="3"/>
      <c r="K64" s="8" t="str">
        <f t="shared" si="2"/>
        <v/>
      </c>
      <c r="L64" s="8" t="str">
        <f>IF(COUNTA(A64:J64)=0,"",IF(OR(A64="",C64="",D64="",E64="",H64&lt;=0),"Faltan datos",IF(COUNTIF($A$7:$A$106,A64)&gt;1,"ID duplicado",IF(OR(E64&lt;0,G64&lt;0,I64&lt;0,G64+I64&gt;E64,D64&lt;C64),"Revisar activo",IF(AND(C64&gt;=DATE(Configuración!$C$5,1,1),I64&lt;&gt;0),"Dep. inicial no procede","OK")))))</f>
        <v/>
      </c>
      <c r="M64" s="8">
        <f t="shared" si="3"/>
        <v>0</v>
      </c>
      <c r="N64" s="8">
        <f>IF(OR($A64="",$D64="",$D64&gt;=EDATE(N$5,1)),0,MAX(0,MIN($K64,$E64-$G64-$I64-SUM($M64:M64))))</f>
        <v>0</v>
      </c>
      <c r="O64" s="8">
        <f>IF(OR($A64="",$D64="",$D64&gt;=EDATE(O$5,1)),0,MAX(0,MIN($K64,$E64-$G64-$I64-SUM($M64:N64))))</f>
        <v>0</v>
      </c>
      <c r="P64" s="8">
        <f>IF(OR($A64="",$D64="",$D64&gt;=EDATE(P$5,1)),0,MAX(0,MIN($K64,$E64-$G64-$I64-SUM($M64:O64))))</f>
        <v>0</v>
      </c>
      <c r="Q64" s="8">
        <f>IF(OR($A64="",$D64="",$D64&gt;=EDATE(Q$5,1)),0,MAX(0,MIN($K64,$E64-$G64-$I64-SUM($M64:P64))))</f>
        <v>0</v>
      </c>
      <c r="R64" s="8">
        <f>IF(OR($A64="",$D64="",$D64&gt;=EDATE(R$5,1)),0,MAX(0,MIN($K64,$E64-$G64-$I64-SUM($M64:Q64))))</f>
        <v>0</v>
      </c>
      <c r="S64" s="8">
        <f>IF(OR($A64="",$D64="",$D64&gt;=EDATE(S$5,1)),0,MAX(0,MIN($K64,$E64-$G64-$I64-SUM($M64:R64))))</f>
        <v>0</v>
      </c>
      <c r="T64" s="8">
        <f>IF(OR($A64="",$D64="",$D64&gt;=EDATE(T$5,1)),0,MAX(0,MIN($K64,$E64-$G64-$I64-SUM($M64:S64))))</f>
        <v>0</v>
      </c>
      <c r="U64" s="8">
        <f>IF(OR($A64="",$D64="",$D64&gt;=EDATE(U$5,1)),0,MAX(0,MIN($K64,$E64-$G64-$I64-SUM($M64:T64))))</f>
        <v>0</v>
      </c>
      <c r="V64" s="8">
        <f>IF(OR($A64="",$D64="",$D64&gt;=EDATE(V$5,1)),0,MAX(0,MIN($K64,$E64-$G64-$I64-SUM($M64:U64))))</f>
        <v>0</v>
      </c>
      <c r="W64" s="8">
        <f>IF(OR($A64="",$D64="",$D64&gt;=EDATE(W$5,1)),0,MAX(0,MIN($K64,$E64-$G64-$I64-SUM($M64:V64))))</f>
        <v>0</v>
      </c>
      <c r="X64" s="8">
        <f>IF(OR($A64="",$D64="",$D64&gt;=EDATE(X$5,1)),0,MAX(0,MIN($K64,$E64-$G64-$I64-SUM($M64:W64))))</f>
        <v>0</v>
      </c>
    </row>
    <row r="65" spans="1:24" ht="22" customHeight="1">
      <c r="A65" s="3"/>
      <c r="B65" s="3"/>
      <c r="C65" s="7"/>
      <c r="D65" s="7"/>
      <c r="E65" s="4"/>
      <c r="F65" s="4"/>
      <c r="G65" s="4"/>
      <c r="H65" s="3"/>
      <c r="I65" s="4"/>
      <c r="J65" s="3"/>
      <c r="K65" s="8" t="str">
        <f t="shared" si="2"/>
        <v/>
      </c>
      <c r="L65" s="8" t="str">
        <f>IF(COUNTA(A65:J65)=0,"",IF(OR(A65="",C65="",D65="",E65="",H65&lt;=0),"Faltan datos",IF(COUNTIF($A$7:$A$106,A65)&gt;1,"ID duplicado",IF(OR(E65&lt;0,G65&lt;0,I65&lt;0,G65+I65&gt;E65,D65&lt;C65),"Revisar activo",IF(AND(C65&gt;=DATE(Configuración!$C$5,1,1),I65&lt;&gt;0),"Dep. inicial no procede","OK")))))</f>
        <v/>
      </c>
      <c r="M65" s="8">
        <f t="shared" si="3"/>
        <v>0</v>
      </c>
      <c r="N65" s="8">
        <f>IF(OR($A65="",$D65="",$D65&gt;=EDATE(N$5,1)),0,MAX(0,MIN($K65,$E65-$G65-$I65-SUM($M65:M65))))</f>
        <v>0</v>
      </c>
      <c r="O65" s="8">
        <f>IF(OR($A65="",$D65="",$D65&gt;=EDATE(O$5,1)),0,MAX(0,MIN($K65,$E65-$G65-$I65-SUM($M65:N65))))</f>
        <v>0</v>
      </c>
      <c r="P65" s="8">
        <f>IF(OR($A65="",$D65="",$D65&gt;=EDATE(P$5,1)),0,MAX(0,MIN($K65,$E65-$G65-$I65-SUM($M65:O65))))</f>
        <v>0</v>
      </c>
      <c r="Q65" s="8">
        <f>IF(OR($A65="",$D65="",$D65&gt;=EDATE(Q$5,1)),0,MAX(0,MIN($K65,$E65-$G65-$I65-SUM($M65:P65))))</f>
        <v>0</v>
      </c>
      <c r="R65" s="8">
        <f>IF(OR($A65="",$D65="",$D65&gt;=EDATE(R$5,1)),0,MAX(0,MIN($K65,$E65-$G65-$I65-SUM($M65:Q65))))</f>
        <v>0</v>
      </c>
      <c r="S65" s="8">
        <f>IF(OR($A65="",$D65="",$D65&gt;=EDATE(S$5,1)),0,MAX(0,MIN($K65,$E65-$G65-$I65-SUM($M65:R65))))</f>
        <v>0</v>
      </c>
      <c r="T65" s="8">
        <f>IF(OR($A65="",$D65="",$D65&gt;=EDATE(T$5,1)),0,MAX(0,MIN($K65,$E65-$G65-$I65-SUM($M65:S65))))</f>
        <v>0</v>
      </c>
      <c r="U65" s="8">
        <f>IF(OR($A65="",$D65="",$D65&gt;=EDATE(U$5,1)),0,MAX(0,MIN($K65,$E65-$G65-$I65-SUM($M65:T65))))</f>
        <v>0</v>
      </c>
      <c r="V65" s="8">
        <f>IF(OR($A65="",$D65="",$D65&gt;=EDATE(V$5,1)),0,MAX(0,MIN($K65,$E65-$G65-$I65-SUM($M65:U65))))</f>
        <v>0</v>
      </c>
      <c r="W65" s="8">
        <f>IF(OR($A65="",$D65="",$D65&gt;=EDATE(W$5,1)),0,MAX(0,MIN($K65,$E65-$G65-$I65-SUM($M65:V65))))</f>
        <v>0</v>
      </c>
      <c r="X65" s="8">
        <f>IF(OR($A65="",$D65="",$D65&gt;=EDATE(X$5,1)),0,MAX(0,MIN($K65,$E65-$G65-$I65-SUM($M65:W65))))</f>
        <v>0</v>
      </c>
    </row>
    <row r="66" spans="1:24" ht="22" customHeight="1">
      <c r="A66" s="3"/>
      <c r="B66" s="3"/>
      <c r="C66" s="7"/>
      <c r="D66" s="7"/>
      <c r="E66" s="4"/>
      <c r="F66" s="4"/>
      <c r="G66" s="4"/>
      <c r="H66" s="3"/>
      <c r="I66" s="4"/>
      <c r="J66" s="3"/>
      <c r="K66" s="8" t="str">
        <f t="shared" si="2"/>
        <v/>
      </c>
      <c r="L66" s="8" t="str">
        <f>IF(COUNTA(A66:J66)=0,"",IF(OR(A66="",C66="",D66="",E66="",H66&lt;=0),"Faltan datos",IF(COUNTIF($A$7:$A$106,A66)&gt;1,"ID duplicado",IF(OR(E66&lt;0,G66&lt;0,I66&lt;0,G66+I66&gt;E66,D66&lt;C66),"Revisar activo",IF(AND(C66&gt;=DATE(Configuración!$C$5,1,1),I66&lt;&gt;0),"Dep. inicial no procede","OK")))))</f>
        <v/>
      </c>
      <c r="M66" s="8">
        <f t="shared" si="3"/>
        <v>0</v>
      </c>
      <c r="N66" s="8">
        <f>IF(OR($A66="",$D66="",$D66&gt;=EDATE(N$5,1)),0,MAX(0,MIN($K66,$E66-$G66-$I66-SUM($M66:M66))))</f>
        <v>0</v>
      </c>
      <c r="O66" s="8">
        <f>IF(OR($A66="",$D66="",$D66&gt;=EDATE(O$5,1)),0,MAX(0,MIN($K66,$E66-$G66-$I66-SUM($M66:N66))))</f>
        <v>0</v>
      </c>
      <c r="P66" s="8">
        <f>IF(OR($A66="",$D66="",$D66&gt;=EDATE(P$5,1)),0,MAX(0,MIN($K66,$E66-$G66-$I66-SUM($M66:O66))))</f>
        <v>0</v>
      </c>
      <c r="Q66" s="8">
        <f>IF(OR($A66="",$D66="",$D66&gt;=EDATE(Q$5,1)),0,MAX(0,MIN($K66,$E66-$G66-$I66-SUM($M66:P66))))</f>
        <v>0</v>
      </c>
      <c r="R66" s="8">
        <f>IF(OR($A66="",$D66="",$D66&gt;=EDATE(R$5,1)),0,MAX(0,MIN($K66,$E66-$G66-$I66-SUM($M66:Q66))))</f>
        <v>0</v>
      </c>
      <c r="S66" s="8">
        <f>IF(OR($A66="",$D66="",$D66&gt;=EDATE(S$5,1)),0,MAX(0,MIN($K66,$E66-$G66-$I66-SUM($M66:R66))))</f>
        <v>0</v>
      </c>
      <c r="T66" s="8">
        <f>IF(OR($A66="",$D66="",$D66&gt;=EDATE(T$5,1)),0,MAX(0,MIN($K66,$E66-$G66-$I66-SUM($M66:S66))))</f>
        <v>0</v>
      </c>
      <c r="U66" s="8">
        <f>IF(OR($A66="",$D66="",$D66&gt;=EDATE(U$5,1)),0,MAX(0,MIN($K66,$E66-$G66-$I66-SUM($M66:T66))))</f>
        <v>0</v>
      </c>
      <c r="V66" s="8">
        <f>IF(OR($A66="",$D66="",$D66&gt;=EDATE(V$5,1)),0,MAX(0,MIN($K66,$E66-$G66-$I66-SUM($M66:U66))))</f>
        <v>0</v>
      </c>
      <c r="W66" s="8">
        <f>IF(OR($A66="",$D66="",$D66&gt;=EDATE(W$5,1)),0,MAX(0,MIN($K66,$E66-$G66-$I66-SUM($M66:V66))))</f>
        <v>0</v>
      </c>
      <c r="X66" s="8">
        <f>IF(OR($A66="",$D66="",$D66&gt;=EDATE(X$5,1)),0,MAX(0,MIN($K66,$E66-$G66-$I66-SUM($M66:W66))))</f>
        <v>0</v>
      </c>
    </row>
    <row r="67" spans="1:24" ht="22" customHeight="1">
      <c r="A67" s="3"/>
      <c r="B67" s="3"/>
      <c r="C67" s="7"/>
      <c r="D67" s="7"/>
      <c r="E67" s="4"/>
      <c r="F67" s="4"/>
      <c r="G67" s="4"/>
      <c r="H67" s="3"/>
      <c r="I67" s="4"/>
      <c r="J67" s="3"/>
      <c r="K67" s="8" t="str">
        <f t="shared" si="2"/>
        <v/>
      </c>
      <c r="L67" s="8" t="str">
        <f>IF(COUNTA(A67:J67)=0,"",IF(OR(A67="",C67="",D67="",E67="",H67&lt;=0),"Faltan datos",IF(COUNTIF($A$7:$A$106,A67)&gt;1,"ID duplicado",IF(OR(E67&lt;0,G67&lt;0,I67&lt;0,G67+I67&gt;E67,D67&lt;C67),"Revisar activo",IF(AND(C67&gt;=DATE(Configuración!$C$5,1,1),I67&lt;&gt;0),"Dep. inicial no procede","OK")))))</f>
        <v/>
      </c>
      <c r="M67" s="8">
        <f t="shared" si="3"/>
        <v>0</v>
      </c>
      <c r="N67" s="8">
        <f>IF(OR($A67="",$D67="",$D67&gt;=EDATE(N$5,1)),0,MAX(0,MIN($K67,$E67-$G67-$I67-SUM($M67:M67))))</f>
        <v>0</v>
      </c>
      <c r="O67" s="8">
        <f>IF(OR($A67="",$D67="",$D67&gt;=EDATE(O$5,1)),0,MAX(0,MIN($K67,$E67-$G67-$I67-SUM($M67:N67))))</f>
        <v>0</v>
      </c>
      <c r="P67" s="8">
        <f>IF(OR($A67="",$D67="",$D67&gt;=EDATE(P$5,1)),0,MAX(0,MIN($K67,$E67-$G67-$I67-SUM($M67:O67))))</f>
        <v>0</v>
      </c>
      <c r="Q67" s="8">
        <f>IF(OR($A67="",$D67="",$D67&gt;=EDATE(Q$5,1)),0,MAX(0,MIN($K67,$E67-$G67-$I67-SUM($M67:P67))))</f>
        <v>0</v>
      </c>
      <c r="R67" s="8">
        <f>IF(OR($A67="",$D67="",$D67&gt;=EDATE(R$5,1)),0,MAX(0,MIN($K67,$E67-$G67-$I67-SUM($M67:Q67))))</f>
        <v>0</v>
      </c>
      <c r="S67" s="8">
        <f>IF(OR($A67="",$D67="",$D67&gt;=EDATE(S$5,1)),0,MAX(0,MIN($K67,$E67-$G67-$I67-SUM($M67:R67))))</f>
        <v>0</v>
      </c>
      <c r="T67" s="8">
        <f>IF(OR($A67="",$D67="",$D67&gt;=EDATE(T$5,1)),0,MAX(0,MIN($K67,$E67-$G67-$I67-SUM($M67:S67))))</f>
        <v>0</v>
      </c>
      <c r="U67" s="8">
        <f>IF(OR($A67="",$D67="",$D67&gt;=EDATE(U$5,1)),0,MAX(0,MIN($K67,$E67-$G67-$I67-SUM($M67:T67))))</f>
        <v>0</v>
      </c>
      <c r="V67" s="8">
        <f>IF(OR($A67="",$D67="",$D67&gt;=EDATE(V$5,1)),0,MAX(0,MIN($K67,$E67-$G67-$I67-SUM($M67:U67))))</f>
        <v>0</v>
      </c>
      <c r="W67" s="8">
        <f>IF(OR($A67="",$D67="",$D67&gt;=EDATE(W$5,1)),0,MAX(0,MIN($K67,$E67-$G67-$I67-SUM($M67:V67))))</f>
        <v>0</v>
      </c>
      <c r="X67" s="8">
        <f>IF(OR($A67="",$D67="",$D67&gt;=EDATE(X$5,1)),0,MAX(0,MIN($K67,$E67-$G67-$I67-SUM($M67:W67))))</f>
        <v>0</v>
      </c>
    </row>
    <row r="68" spans="1:24" ht="22" customHeight="1">
      <c r="A68" s="3"/>
      <c r="B68" s="3"/>
      <c r="C68" s="7"/>
      <c r="D68" s="7"/>
      <c r="E68" s="4"/>
      <c r="F68" s="4"/>
      <c r="G68" s="4"/>
      <c r="H68" s="3"/>
      <c r="I68" s="4"/>
      <c r="J68" s="3"/>
      <c r="K68" s="8" t="str">
        <f t="shared" si="2"/>
        <v/>
      </c>
      <c r="L68" s="8" t="str">
        <f>IF(COUNTA(A68:J68)=0,"",IF(OR(A68="",C68="",D68="",E68="",H68&lt;=0),"Faltan datos",IF(COUNTIF($A$7:$A$106,A68)&gt;1,"ID duplicado",IF(OR(E68&lt;0,G68&lt;0,I68&lt;0,G68+I68&gt;E68,D68&lt;C68),"Revisar activo",IF(AND(C68&gt;=DATE(Configuración!$C$5,1,1),I68&lt;&gt;0),"Dep. inicial no procede","OK")))))</f>
        <v/>
      </c>
      <c r="M68" s="8">
        <f t="shared" si="3"/>
        <v>0</v>
      </c>
      <c r="N68" s="8">
        <f>IF(OR($A68="",$D68="",$D68&gt;=EDATE(N$5,1)),0,MAX(0,MIN($K68,$E68-$G68-$I68-SUM($M68:M68))))</f>
        <v>0</v>
      </c>
      <c r="O68" s="8">
        <f>IF(OR($A68="",$D68="",$D68&gt;=EDATE(O$5,1)),0,MAX(0,MIN($K68,$E68-$G68-$I68-SUM($M68:N68))))</f>
        <v>0</v>
      </c>
      <c r="P68" s="8">
        <f>IF(OR($A68="",$D68="",$D68&gt;=EDATE(P$5,1)),0,MAX(0,MIN($K68,$E68-$G68-$I68-SUM($M68:O68))))</f>
        <v>0</v>
      </c>
      <c r="Q68" s="8">
        <f>IF(OR($A68="",$D68="",$D68&gt;=EDATE(Q$5,1)),0,MAX(0,MIN($K68,$E68-$G68-$I68-SUM($M68:P68))))</f>
        <v>0</v>
      </c>
      <c r="R68" s="8">
        <f>IF(OR($A68="",$D68="",$D68&gt;=EDATE(R$5,1)),0,MAX(0,MIN($K68,$E68-$G68-$I68-SUM($M68:Q68))))</f>
        <v>0</v>
      </c>
      <c r="S68" s="8">
        <f>IF(OR($A68="",$D68="",$D68&gt;=EDATE(S$5,1)),0,MAX(0,MIN($K68,$E68-$G68-$I68-SUM($M68:R68))))</f>
        <v>0</v>
      </c>
      <c r="T68" s="8">
        <f>IF(OR($A68="",$D68="",$D68&gt;=EDATE(T$5,1)),0,MAX(0,MIN($K68,$E68-$G68-$I68-SUM($M68:S68))))</f>
        <v>0</v>
      </c>
      <c r="U68" s="8">
        <f>IF(OR($A68="",$D68="",$D68&gt;=EDATE(U$5,1)),0,MAX(0,MIN($K68,$E68-$G68-$I68-SUM($M68:T68))))</f>
        <v>0</v>
      </c>
      <c r="V68" s="8">
        <f>IF(OR($A68="",$D68="",$D68&gt;=EDATE(V$5,1)),0,MAX(0,MIN($K68,$E68-$G68-$I68-SUM($M68:U68))))</f>
        <v>0</v>
      </c>
      <c r="W68" s="8">
        <f>IF(OR($A68="",$D68="",$D68&gt;=EDATE(W$5,1)),0,MAX(0,MIN($K68,$E68-$G68-$I68-SUM($M68:V68))))</f>
        <v>0</v>
      </c>
      <c r="X68" s="8">
        <f>IF(OR($A68="",$D68="",$D68&gt;=EDATE(X$5,1)),0,MAX(0,MIN($K68,$E68-$G68-$I68-SUM($M68:W68))))</f>
        <v>0</v>
      </c>
    </row>
    <row r="69" spans="1:24" ht="22" customHeight="1">
      <c r="A69" s="3"/>
      <c r="B69" s="3"/>
      <c r="C69" s="7"/>
      <c r="D69" s="7"/>
      <c r="E69" s="4"/>
      <c r="F69" s="4"/>
      <c r="G69" s="4"/>
      <c r="H69" s="3"/>
      <c r="I69" s="4"/>
      <c r="J69" s="3"/>
      <c r="K69" s="8" t="str">
        <f t="shared" si="2"/>
        <v/>
      </c>
      <c r="L69" s="8" t="str">
        <f>IF(COUNTA(A69:J69)=0,"",IF(OR(A69="",C69="",D69="",E69="",H69&lt;=0),"Faltan datos",IF(COUNTIF($A$7:$A$106,A69)&gt;1,"ID duplicado",IF(OR(E69&lt;0,G69&lt;0,I69&lt;0,G69+I69&gt;E69,D69&lt;C69),"Revisar activo",IF(AND(C69&gt;=DATE(Configuración!$C$5,1,1),I69&lt;&gt;0),"Dep. inicial no procede","OK")))))</f>
        <v/>
      </c>
      <c r="M69" s="8">
        <f t="shared" si="3"/>
        <v>0</v>
      </c>
      <c r="N69" s="8">
        <f>IF(OR($A69="",$D69="",$D69&gt;=EDATE(N$5,1)),0,MAX(0,MIN($K69,$E69-$G69-$I69-SUM($M69:M69))))</f>
        <v>0</v>
      </c>
      <c r="O69" s="8">
        <f>IF(OR($A69="",$D69="",$D69&gt;=EDATE(O$5,1)),0,MAX(0,MIN($K69,$E69-$G69-$I69-SUM($M69:N69))))</f>
        <v>0</v>
      </c>
      <c r="P69" s="8">
        <f>IF(OR($A69="",$D69="",$D69&gt;=EDATE(P$5,1)),0,MAX(0,MIN($K69,$E69-$G69-$I69-SUM($M69:O69))))</f>
        <v>0</v>
      </c>
      <c r="Q69" s="8">
        <f>IF(OR($A69="",$D69="",$D69&gt;=EDATE(Q$5,1)),0,MAX(0,MIN($K69,$E69-$G69-$I69-SUM($M69:P69))))</f>
        <v>0</v>
      </c>
      <c r="R69" s="8">
        <f>IF(OR($A69="",$D69="",$D69&gt;=EDATE(R$5,1)),0,MAX(0,MIN($K69,$E69-$G69-$I69-SUM($M69:Q69))))</f>
        <v>0</v>
      </c>
      <c r="S69" s="8">
        <f>IF(OR($A69="",$D69="",$D69&gt;=EDATE(S$5,1)),0,MAX(0,MIN($K69,$E69-$G69-$I69-SUM($M69:R69))))</f>
        <v>0</v>
      </c>
      <c r="T69" s="8">
        <f>IF(OR($A69="",$D69="",$D69&gt;=EDATE(T$5,1)),0,MAX(0,MIN($K69,$E69-$G69-$I69-SUM($M69:S69))))</f>
        <v>0</v>
      </c>
      <c r="U69" s="8">
        <f>IF(OR($A69="",$D69="",$D69&gt;=EDATE(U$5,1)),0,MAX(0,MIN($K69,$E69-$G69-$I69-SUM($M69:T69))))</f>
        <v>0</v>
      </c>
      <c r="V69" s="8">
        <f>IF(OR($A69="",$D69="",$D69&gt;=EDATE(V$5,1)),0,MAX(0,MIN($K69,$E69-$G69-$I69-SUM($M69:U69))))</f>
        <v>0</v>
      </c>
      <c r="W69" s="8">
        <f>IF(OR($A69="",$D69="",$D69&gt;=EDATE(W$5,1)),0,MAX(0,MIN($K69,$E69-$G69-$I69-SUM($M69:V69))))</f>
        <v>0</v>
      </c>
      <c r="X69" s="8">
        <f>IF(OR($A69="",$D69="",$D69&gt;=EDATE(X$5,1)),0,MAX(0,MIN($K69,$E69-$G69-$I69-SUM($M69:W69))))</f>
        <v>0</v>
      </c>
    </row>
    <row r="70" spans="1:24" ht="22" customHeight="1">
      <c r="A70" s="3"/>
      <c r="B70" s="3"/>
      <c r="C70" s="7"/>
      <c r="D70" s="7"/>
      <c r="E70" s="4"/>
      <c r="F70" s="4"/>
      <c r="G70" s="4"/>
      <c r="H70" s="3"/>
      <c r="I70" s="4"/>
      <c r="J70" s="3"/>
      <c r="K70" s="8" t="str">
        <f t="shared" si="2"/>
        <v/>
      </c>
      <c r="L70" s="8" t="str">
        <f>IF(COUNTA(A70:J70)=0,"",IF(OR(A70="",C70="",D70="",E70="",H70&lt;=0),"Faltan datos",IF(COUNTIF($A$7:$A$106,A70)&gt;1,"ID duplicado",IF(OR(E70&lt;0,G70&lt;0,I70&lt;0,G70+I70&gt;E70,D70&lt;C70),"Revisar activo",IF(AND(C70&gt;=DATE(Configuración!$C$5,1,1),I70&lt;&gt;0),"Dep. inicial no procede","OK")))))</f>
        <v/>
      </c>
      <c r="M70" s="8">
        <f t="shared" si="3"/>
        <v>0</v>
      </c>
      <c r="N70" s="8">
        <f>IF(OR($A70="",$D70="",$D70&gt;=EDATE(N$5,1)),0,MAX(0,MIN($K70,$E70-$G70-$I70-SUM($M70:M70))))</f>
        <v>0</v>
      </c>
      <c r="O70" s="8">
        <f>IF(OR($A70="",$D70="",$D70&gt;=EDATE(O$5,1)),0,MAX(0,MIN($K70,$E70-$G70-$I70-SUM($M70:N70))))</f>
        <v>0</v>
      </c>
      <c r="P70" s="8">
        <f>IF(OR($A70="",$D70="",$D70&gt;=EDATE(P$5,1)),0,MAX(0,MIN($K70,$E70-$G70-$I70-SUM($M70:O70))))</f>
        <v>0</v>
      </c>
      <c r="Q70" s="8">
        <f>IF(OR($A70="",$D70="",$D70&gt;=EDATE(Q$5,1)),0,MAX(0,MIN($K70,$E70-$G70-$I70-SUM($M70:P70))))</f>
        <v>0</v>
      </c>
      <c r="R70" s="8">
        <f>IF(OR($A70="",$D70="",$D70&gt;=EDATE(R$5,1)),0,MAX(0,MIN($K70,$E70-$G70-$I70-SUM($M70:Q70))))</f>
        <v>0</v>
      </c>
      <c r="S70" s="8">
        <f>IF(OR($A70="",$D70="",$D70&gt;=EDATE(S$5,1)),0,MAX(0,MIN($K70,$E70-$G70-$I70-SUM($M70:R70))))</f>
        <v>0</v>
      </c>
      <c r="T70" s="8">
        <f>IF(OR($A70="",$D70="",$D70&gt;=EDATE(T$5,1)),0,MAX(0,MIN($K70,$E70-$G70-$I70-SUM($M70:S70))))</f>
        <v>0</v>
      </c>
      <c r="U70" s="8">
        <f>IF(OR($A70="",$D70="",$D70&gt;=EDATE(U$5,1)),0,MAX(0,MIN($K70,$E70-$G70-$I70-SUM($M70:T70))))</f>
        <v>0</v>
      </c>
      <c r="V70" s="8">
        <f>IF(OR($A70="",$D70="",$D70&gt;=EDATE(V$5,1)),0,MAX(0,MIN($K70,$E70-$G70-$I70-SUM($M70:U70))))</f>
        <v>0</v>
      </c>
      <c r="W70" s="8">
        <f>IF(OR($A70="",$D70="",$D70&gt;=EDATE(W$5,1)),0,MAX(0,MIN($K70,$E70-$G70-$I70-SUM($M70:V70))))</f>
        <v>0</v>
      </c>
      <c r="X70" s="8">
        <f>IF(OR($A70="",$D70="",$D70&gt;=EDATE(X$5,1)),0,MAX(0,MIN($K70,$E70-$G70-$I70-SUM($M70:W70))))</f>
        <v>0</v>
      </c>
    </row>
    <row r="71" spans="1:24" ht="22" customHeight="1">
      <c r="A71" s="3"/>
      <c r="B71" s="3"/>
      <c r="C71" s="7"/>
      <c r="D71" s="7"/>
      <c r="E71" s="4"/>
      <c r="F71" s="4"/>
      <c r="G71" s="4"/>
      <c r="H71" s="3"/>
      <c r="I71" s="4"/>
      <c r="J71" s="3"/>
      <c r="K71" s="8" t="str">
        <f t="shared" ref="K71:K106" si="4">IF(A71="","",IF(OR(H71="",H71&lt;=0),0,(E71-G71)/H71))</f>
        <v/>
      </c>
      <c r="L71" s="8" t="str">
        <f>IF(COUNTA(A71:J71)=0,"",IF(OR(A71="",C71="",D71="",E71="",H71&lt;=0),"Faltan datos",IF(COUNTIF($A$7:$A$106,A71)&gt;1,"ID duplicado",IF(OR(E71&lt;0,G71&lt;0,I71&lt;0,G71+I71&gt;E71,D71&lt;C71),"Revisar activo",IF(AND(C71&gt;=DATE(Configuración!$C$5,1,1),I71&lt;&gt;0),"Dep. inicial no procede","OK")))))</f>
        <v/>
      </c>
      <c r="M71" s="8">
        <f t="shared" ref="M71:M106" si="5">IF(OR($A71="",$D71="",$D71&gt;=EDATE(M$5,1)),0,MAX(0,MIN($K71,$E71-$G71-$I71-0)))</f>
        <v>0</v>
      </c>
      <c r="N71" s="8">
        <f>IF(OR($A71="",$D71="",$D71&gt;=EDATE(N$5,1)),0,MAX(0,MIN($K71,$E71-$G71-$I71-SUM($M71:M71))))</f>
        <v>0</v>
      </c>
      <c r="O71" s="8">
        <f>IF(OR($A71="",$D71="",$D71&gt;=EDATE(O$5,1)),0,MAX(0,MIN($K71,$E71-$G71-$I71-SUM($M71:N71))))</f>
        <v>0</v>
      </c>
      <c r="P71" s="8">
        <f>IF(OR($A71="",$D71="",$D71&gt;=EDATE(P$5,1)),0,MAX(0,MIN($K71,$E71-$G71-$I71-SUM($M71:O71))))</f>
        <v>0</v>
      </c>
      <c r="Q71" s="8">
        <f>IF(OR($A71="",$D71="",$D71&gt;=EDATE(Q$5,1)),0,MAX(0,MIN($K71,$E71-$G71-$I71-SUM($M71:P71))))</f>
        <v>0</v>
      </c>
      <c r="R71" s="8">
        <f>IF(OR($A71="",$D71="",$D71&gt;=EDATE(R$5,1)),0,MAX(0,MIN($K71,$E71-$G71-$I71-SUM($M71:Q71))))</f>
        <v>0</v>
      </c>
      <c r="S71" s="8">
        <f>IF(OR($A71="",$D71="",$D71&gt;=EDATE(S$5,1)),0,MAX(0,MIN($K71,$E71-$G71-$I71-SUM($M71:R71))))</f>
        <v>0</v>
      </c>
      <c r="T71" s="8">
        <f>IF(OR($A71="",$D71="",$D71&gt;=EDATE(T$5,1)),0,MAX(0,MIN($K71,$E71-$G71-$I71-SUM($M71:S71))))</f>
        <v>0</v>
      </c>
      <c r="U71" s="8">
        <f>IF(OR($A71="",$D71="",$D71&gt;=EDATE(U$5,1)),0,MAX(0,MIN($K71,$E71-$G71-$I71-SUM($M71:T71))))</f>
        <v>0</v>
      </c>
      <c r="V71" s="8">
        <f>IF(OR($A71="",$D71="",$D71&gt;=EDATE(V$5,1)),0,MAX(0,MIN($K71,$E71-$G71-$I71-SUM($M71:U71))))</f>
        <v>0</v>
      </c>
      <c r="W71" s="8">
        <f>IF(OR($A71="",$D71="",$D71&gt;=EDATE(W$5,1)),0,MAX(0,MIN($K71,$E71-$G71-$I71-SUM($M71:V71))))</f>
        <v>0</v>
      </c>
      <c r="X71" s="8">
        <f>IF(OR($A71="",$D71="",$D71&gt;=EDATE(X$5,1)),0,MAX(0,MIN($K71,$E71-$G71-$I71-SUM($M71:W71))))</f>
        <v>0</v>
      </c>
    </row>
    <row r="72" spans="1:24" ht="22" customHeight="1">
      <c r="A72" s="3"/>
      <c r="B72" s="3"/>
      <c r="C72" s="7"/>
      <c r="D72" s="7"/>
      <c r="E72" s="4"/>
      <c r="F72" s="4"/>
      <c r="G72" s="4"/>
      <c r="H72" s="3"/>
      <c r="I72" s="4"/>
      <c r="J72" s="3"/>
      <c r="K72" s="8" t="str">
        <f t="shared" si="4"/>
        <v/>
      </c>
      <c r="L72" s="8" t="str">
        <f>IF(COUNTA(A72:J72)=0,"",IF(OR(A72="",C72="",D72="",E72="",H72&lt;=0),"Faltan datos",IF(COUNTIF($A$7:$A$106,A72)&gt;1,"ID duplicado",IF(OR(E72&lt;0,G72&lt;0,I72&lt;0,G72+I72&gt;E72,D72&lt;C72),"Revisar activo",IF(AND(C72&gt;=DATE(Configuración!$C$5,1,1),I72&lt;&gt;0),"Dep. inicial no procede","OK")))))</f>
        <v/>
      </c>
      <c r="M72" s="8">
        <f t="shared" si="5"/>
        <v>0</v>
      </c>
      <c r="N72" s="8">
        <f>IF(OR($A72="",$D72="",$D72&gt;=EDATE(N$5,1)),0,MAX(0,MIN($K72,$E72-$G72-$I72-SUM($M72:M72))))</f>
        <v>0</v>
      </c>
      <c r="O72" s="8">
        <f>IF(OR($A72="",$D72="",$D72&gt;=EDATE(O$5,1)),0,MAX(0,MIN($K72,$E72-$G72-$I72-SUM($M72:N72))))</f>
        <v>0</v>
      </c>
      <c r="P72" s="8">
        <f>IF(OR($A72="",$D72="",$D72&gt;=EDATE(P$5,1)),0,MAX(0,MIN($K72,$E72-$G72-$I72-SUM($M72:O72))))</f>
        <v>0</v>
      </c>
      <c r="Q72" s="8">
        <f>IF(OR($A72="",$D72="",$D72&gt;=EDATE(Q$5,1)),0,MAX(0,MIN($K72,$E72-$G72-$I72-SUM($M72:P72))))</f>
        <v>0</v>
      </c>
      <c r="R72" s="8">
        <f>IF(OR($A72="",$D72="",$D72&gt;=EDATE(R$5,1)),0,MAX(0,MIN($K72,$E72-$G72-$I72-SUM($M72:Q72))))</f>
        <v>0</v>
      </c>
      <c r="S72" s="8">
        <f>IF(OR($A72="",$D72="",$D72&gt;=EDATE(S$5,1)),0,MAX(0,MIN($K72,$E72-$G72-$I72-SUM($M72:R72))))</f>
        <v>0</v>
      </c>
      <c r="T72" s="8">
        <f>IF(OR($A72="",$D72="",$D72&gt;=EDATE(T$5,1)),0,MAX(0,MIN($K72,$E72-$G72-$I72-SUM($M72:S72))))</f>
        <v>0</v>
      </c>
      <c r="U72" s="8">
        <f>IF(OR($A72="",$D72="",$D72&gt;=EDATE(U$5,1)),0,MAX(0,MIN($K72,$E72-$G72-$I72-SUM($M72:T72))))</f>
        <v>0</v>
      </c>
      <c r="V72" s="8">
        <f>IF(OR($A72="",$D72="",$D72&gt;=EDATE(V$5,1)),0,MAX(0,MIN($K72,$E72-$G72-$I72-SUM($M72:U72))))</f>
        <v>0</v>
      </c>
      <c r="W72" s="8">
        <f>IF(OR($A72="",$D72="",$D72&gt;=EDATE(W$5,1)),0,MAX(0,MIN($K72,$E72-$G72-$I72-SUM($M72:V72))))</f>
        <v>0</v>
      </c>
      <c r="X72" s="8">
        <f>IF(OR($A72="",$D72="",$D72&gt;=EDATE(X$5,1)),0,MAX(0,MIN($K72,$E72-$G72-$I72-SUM($M72:W72))))</f>
        <v>0</v>
      </c>
    </row>
    <row r="73" spans="1:24" ht="22" customHeight="1">
      <c r="A73" s="3"/>
      <c r="B73" s="3"/>
      <c r="C73" s="7"/>
      <c r="D73" s="7"/>
      <c r="E73" s="4"/>
      <c r="F73" s="4"/>
      <c r="G73" s="4"/>
      <c r="H73" s="3"/>
      <c r="I73" s="4"/>
      <c r="J73" s="3"/>
      <c r="K73" s="8" t="str">
        <f t="shared" si="4"/>
        <v/>
      </c>
      <c r="L73" s="8" t="str">
        <f>IF(COUNTA(A73:J73)=0,"",IF(OR(A73="",C73="",D73="",E73="",H73&lt;=0),"Faltan datos",IF(COUNTIF($A$7:$A$106,A73)&gt;1,"ID duplicado",IF(OR(E73&lt;0,G73&lt;0,I73&lt;0,G73+I73&gt;E73,D73&lt;C73),"Revisar activo",IF(AND(C73&gt;=DATE(Configuración!$C$5,1,1),I73&lt;&gt;0),"Dep. inicial no procede","OK")))))</f>
        <v/>
      </c>
      <c r="M73" s="8">
        <f t="shared" si="5"/>
        <v>0</v>
      </c>
      <c r="N73" s="8">
        <f>IF(OR($A73="",$D73="",$D73&gt;=EDATE(N$5,1)),0,MAX(0,MIN($K73,$E73-$G73-$I73-SUM($M73:M73))))</f>
        <v>0</v>
      </c>
      <c r="O73" s="8">
        <f>IF(OR($A73="",$D73="",$D73&gt;=EDATE(O$5,1)),0,MAX(0,MIN($K73,$E73-$G73-$I73-SUM($M73:N73))))</f>
        <v>0</v>
      </c>
      <c r="P73" s="8">
        <f>IF(OR($A73="",$D73="",$D73&gt;=EDATE(P$5,1)),0,MAX(0,MIN($K73,$E73-$G73-$I73-SUM($M73:O73))))</f>
        <v>0</v>
      </c>
      <c r="Q73" s="8">
        <f>IF(OR($A73="",$D73="",$D73&gt;=EDATE(Q$5,1)),0,MAX(0,MIN($K73,$E73-$G73-$I73-SUM($M73:P73))))</f>
        <v>0</v>
      </c>
      <c r="R73" s="8">
        <f>IF(OR($A73="",$D73="",$D73&gt;=EDATE(R$5,1)),0,MAX(0,MIN($K73,$E73-$G73-$I73-SUM($M73:Q73))))</f>
        <v>0</v>
      </c>
      <c r="S73" s="8">
        <f>IF(OR($A73="",$D73="",$D73&gt;=EDATE(S$5,1)),0,MAX(0,MIN($K73,$E73-$G73-$I73-SUM($M73:R73))))</f>
        <v>0</v>
      </c>
      <c r="T73" s="8">
        <f>IF(OR($A73="",$D73="",$D73&gt;=EDATE(T$5,1)),0,MAX(0,MIN($K73,$E73-$G73-$I73-SUM($M73:S73))))</f>
        <v>0</v>
      </c>
      <c r="U73" s="8">
        <f>IF(OR($A73="",$D73="",$D73&gt;=EDATE(U$5,1)),0,MAX(0,MIN($K73,$E73-$G73-$I73-SUM($M73:T73))))</f>
        <v>0</v>
      </c>
      <c r="V73" s="8">
        <f>IF(OR($A73="",$D73="",$D73&gt;=EDATE(V$5,1)),0,MAX(0,MIN($K73,$E73-$G73-$I73-SUM($M73:U73))))</f>
        <v>0</v>
      </c>
      <c r="W73" s="8">
        <f>IF(OR($A73="",$D73="",$D73&gt;=EDATE(W$5,1)),0,MAX(0,MIN($K73,$E73-$G73-$I73-SUM($M73:V73))))</f>
        <v>0</v>
      </c>
      <c r="X73" s="8">
        <f>IF(OR($A73="",$D73="",$D73&gt;=EDATE(X$5,1)),0,MAX(0,MIN($K73,$E73-$G73-$I73-SUM($M73:W73))))</f>
        <v>0</v>
      </c>
    </row>
    <row r="74" spans="1:24" ht="22" customHeight="1">
      <c r="A74" s="3"/>
      <c r="B74" s="3"/>
      <c r="C74" s="7"/>
      <c r="D74" s="7"/>
      <c r="E74" s="4"/>
      <c r="F74" s="4"/>
      <c r="G74" s="4"/>
      <c r="H74" s="3"/>
      <c r="I74" s="4"/>
      <c r="J74" s="3"/>
      <c r="K74" s="8" t="str">
        <f t="shared" si="4"/>
        <v/>
      </c>
      <c r="L74" s="8" t="str">
        <f>IF(COUNTA(A74:J74)=0,"",IF(OR(A74="",C74="",D74="",E74="",H74&lt;=0),"Faltan datos",IF(COUNTIF($A$7:$A$106,A74)&gt;1,"ID duplicado",IF(OR(E74&lt;0,G74&lt;0,I74&lt;0,G74+I74&gt;E74,D74&lt;C74),"Revisar activo",IF(AND(C74&gt;=DATE(Configuración!$C$5,1,1),I74&lt;&gt;0),"Dep. inicial no procede","OK")))))</f>
        <v/>
      </c>
      <c r="M74" s="8">
        <f t="shared" si="5"/>
        <v>0</v>
      </c>
      <c r="N74" s="8">
        <f>IF(OR($A74="",$D74="",$D74&gt;=EDATE(N$5,1)),0,MAX(0,MIN($K74,$E74-$G74-$I74-SUM($M74:M74))))</f>
        <v>0</v>
      </c>
      <c r="O74" s="8">
        <f>IF(OR($A74="",$D74="",$D74&gt;=EDATE(O$5,1)),0,MAX(0,MIN($K74,$E74-$G74-$I74-SUM($M74:N74))))</f>
        <v>0</v>
      </c>
      <c r="P74" s="8">
        <f>IF(OR($A74="",$D74="",$D74&gt;=EDATE(P$5,1)),0,MAX(0,MIN($K74,$E74-$G74-$I74-SUM($M74:O74))))</f>
        <v>0</v>
      </c>
      <c r="Q74" s="8">
        <f>IF(OR($A74="",$D74="",$D74&gt;=EDATE(Q$5,1)),0,MAX(0,MIN($K74,$E74-$G74-$I74-SUM($M74:P74))))</f>
        <v>0</v>
      </c>
      <c r="R74" s="8">
        <f>IF(OR($A74="",$D74="",$D74&gt;=EDATE(R$5,1)),0,MAX(0,MIN($K74,$E74-$G74-$I74-SUM($M74:Q74))))</f>
        <v>0</v>
      </c>
      <c r="S74" s="8">
        <f>IF(OR($A74="",$D74="",$D74&gt;=EDATE(S$5,1)),0,MAX(0,MIN($K74,$E74-$G74-$I74-SUM($M74:R74))))</f>
        <v>0</v>
      </c>
      <c r="T74" s="8">
        <f>IF(OR($A74="",$D74="",$D74&gt;=EDATE(T$5,1)),0,MAX(0,MIN($K74,$E74-$G74-$I74-SUM($M74:S74))))</f>
        <v>0</v>
      </c>
      <c r="U74" s="8">
        <f>IF(OR($A74="",$D74="",$D74&gt;=EDATE(U$5,1)),0,MAX(0,MIN($K74,$E74-$G74-$I74-SUM($M74:T74))))</f>
        <v>0</v>
      </c>
      <c r="V74" s="8">
        <f>IF(OR($A74="",$D74="",$D74&gt;=EDATE(V$5,1)),0,MAX(0,MIN($K74,$E74-$G74-$I74-SUM($M74:U74))))</f>
        <v>0</v>
      </c>
      <c r="W74" s="8">
        <f>IF(OR($A74="",$D74="",$D74&gt;=EDATE(W$5,1)),0,MAX(0,MIN($K74,$E74-$G74-$I74-SUM($M74:V74))))</f>
        <v>0</v>
      </c>
      <c r="X74" s="8">
        <f>IF(OR($A74="",$D74="",$D74&gt;=EDATE(X$5,1)),0,MAX(0,MIN($K74,$E74-$G74-$I74-SUM($M74:W74))))</f>
        <v>0</v>
      </c>
    </row>
    <row r="75" spans="1:24" ht="22" customHeight="1">
      <c r="A75" s="3"/>
      <c r="B75" s="3"/>
      <c r="C75" s="7"/>
      <c r="D75" s="7"/>
      <c r="E75" s="4"/>
      <c r="F75" s="4"/>
      <c r="G75" s="4"/>
      <c r="H75" s="3"/>
      <c r="I75" s="4"/>
      <c r="J75" s="3"/>
      <c r="K75" s="8" t="str">
        <f t="shared" si="4"/>
        <v/>
      </c>
      <c r="L75" s="8" t="str">
        <f>IF(COUNTA(A75:J75)=0,"",IF(OR(A75="",C75="",D75="",E75="",H75&lt;=0),"Faltan datos",IF(COUNTIF($A$7:$A$106,A75)&gt;1,"ID duplicado",IF(OR(E75&lt;0,G75&lt;0,I75&lt;0,G75+I75&gt;E75,D75&lt;C75),"Revisar activo",IF(AND(C75&gt;=DATE(Configuración!$C$5,1,1),I75&lt;&gt;0),"Dep. inicial no procede","OK")))))</f>
        <v/>
      </c>
      <c r="M75" s="8">
        <f t="shared" si="5"/>
        <v>0</v>
      </c>
      <c r="N75" s="8">
        <f>IF(OR($A75="",$D75="",$D75&gt;=EDATE(N$5,1)),0,MAX(0,MIN($K75,$E75-$G75-$I75-SUM($M75:M75))))</f>
        <v>0</v>
      </c>
      <c r="O75" s="8">
        <f>IF(OR($A75="",$D75="",$D75&gt;=EDATE(O$5,1)),0,MAX(0,MIN($K75,$E75-$G75-$I75-SUM($M75:N75))))</f>
        <v>0</v>
      </c>
      <c r="P75" s="8">
        <f>IF(OR($A75="",$D75="",$D75&gt;=EDATE(P$5,1)),0,MAX(0,MIN($K75,$E75-$G75-$I75-SUM($M75:O75))))</f>
        <v>0</v>
      </c>
      <c r="Q75" s="8">
        <f>IF(OR($A75="",$D75="",$D75&gt;=EDATE(Q$5,1)),0,MAX(0,MIN($K75,$E75-$G75-$I75-SUM($M75:P75))))</f>
        <v>0</v>
      </c>
      <c r="R75" s="8">
        <f>IF(OR($A75="",$D75="",$D75&gt;=EDATE(R$5,1)),0,MAX(0,MIN($K75,$E75-$G75-$I75-SUM($M75:Q75))))</f>
        <v>0</v>
      </c>
      <c r="S75" s="8">
        <f>IF(OR($A75="",$D75="",$D75&gt;=EDATE(S$5,1)),0,MAX(0,MIN($K75,$E75-$G75-$I75-SUM($M75:R75))))</f>
        <v>0</v>
      </c>
      <c r="T75" s="8">
        <f>IF(OR($A75="",$D75="",$D75&gt;=EDATE(T$5,1)),0,MAX(0,MIN($K75,$E75-$G75-$I75-SUM($M75:S75))))</f>
        <v>0</v>
      </c>
      <c r="U75" s="8">
        <f>IF(OR($A75="",$D75="",$D75&gt;=EDATE(U$5,1)),0,MAX(0,MIN($K75,$E75-$G75-$I75-SUM($M75:T75))))</f>
        <v>0</v>
      </c>
      <c r="V75" s="8">
        <f>IF(OR($A75="",$D75="",$D75&gt;=EDATE(V$5,1)),0,MAX(0,MIN($K75,$E75-$G75-$I75-SUM($M75:U75))))</f>
        <v>0</v>
      </c>
      <c r="W75" s="8">
        <f>IF(OR($A75="",$D75="",$D75&gt;=EDATE(W$5,1)),0,MAX(0,MIN($K75,$E75-$G75-$I75-SUM($M75:V75))))</f>
        <v>0</v>
      </c>
      <c r="X75" s="8">
        <f>IF(OR($A75="",$D75="",$D75&gt;=EDATE(X$5,1)),0,MAX(0,MIN($K75,$E75-$G75-$I75-SUM($M75:W75))))</f>
        <v>0</v>
      </c>
    </row>
    <row r="76" spans="1:24" ht="22" customHeight="1">
      <c r="A76" s="3"/>
      <c r="B76" s="3"/>
      <c r="C76" s="7"/>
      <c r="D76" s="7"/>
      <c r="E76" s="4"/>
      <c r="F76" s="4"/>
      <c r="G76" s="4"/>
      <c r="H76" s="3"/>
      <c r="I76" s="4"/>
      <c r="J76" s="3"/>
      <c r="K76" s="8" t="str">
        <f t="shared" si="4"/>
        <v/>
      </c>
      <c r="L76" s="8" t="str">
        <f>IF(COUNTA(A76:J76)=0,"",IF(OR(A76="",C76="",D76="",E76="",H76&lt;=0),"Faltan datos",IF(COUNTIF($A$7:$A$106,A76)&gt;1,"ID duplicado",IF(OR(E76&lt;0,G76&lt;0,I76&lt;0,G76+I76&gt;E76,D76&lt;C76),"Revisar activo",IF(AND(C76&gt;=DATE(Configuración!$C$5,1,1),I76&lt;&gt;0),"Dep. inicial no procede","OK")))))</f>
        <v/>
      </c>
      <c r="M76" s="8">
        <f t="shared" si="5"/>
        <v>0</v>
      </c>
      <c r="N76" s="8">
        <f>IF(OR($A76="",$D76="",$D76&gt;=EDATE(N$5,1)),0,MAX(0,MIN($K76,$E76-$G76-$I76-SUM($M76:M76))))</f>
        <v>0</v>
      </c>
      <c r="O76" s="8">
        <f>IF(OR($A76="",$D76="",$D76&gt;=EDATE(O$5,1)),0,MAX(0,MIN($K76,$E76-$G76-$I76-SUM($M76:N76))))</f>
        <v>0</v>
      </c>
      <c r="P76" s="8">
        <f>IF(OR($A76="",$D76="",$D76&gt;=EDATE(P$5,1)),0,MAX(0,MIN($K76,$E76-$G76-$I76-SUM($M76:O76))))</f>
        <v>0</v>
      </c>
      <c r="Q76" s="8">
        <f>IF(OR($A76="",$D76="",$D76&gt;=EDATE(Q$5,1)),0,MAX(0,MIN($K76,$E76-$G76-$I76-SUM($M76:P76))))</f>
        <v>0</v>
      </c>
      <c r="R76" s="8">
        <f>IF(OR($A76="",$D76="",$D76&gt;=EDATE(R$5,1)),0,MAX(0,MIN($K76,$E76-$G76-$I76-SUM($M76:Q76))))</f>
        <v>0</v>
      </c>
      <c r="S76" s="8">
        <f>IF(OR($A76="",$D76="",$D76&gt;=EDATE(S$5,1)),0,MAX(0,MIN($K76,$E76-$G76-$I76-SUM($M76:R76))))</f>
        <v>0</v>
      </c>
      <c r="T76" s="8">
        <f>IF(OR($A76="",$D76="",$D76&gt;=EDATE(T$5,1)),0,MAX(0,MIN($K76,$E76-$G76-$I76-SUM($M76:S76))))</f>
        <v>0</v>
      </c>
      <c r="U76" s="8">
        <f>IF(OR($A76="",$D76="",$D76&gt;=EDATE(U$5,1)),0,MAX(0,MIN($K76,$E76-$G76-$I76-SUM($M76:T76))))</f>
        <v>0</v>
      </c>
      <c r="V76" s="8">
        <f>IF(OR($A76="",$D76="",$D76&gt;=EDATE(V$5,1)),0,MAX(0,MIN($K76,$E76-$G76-$I76-SUM($M76:U76))))</f>
        <v>0</v>
      </c>
      <c r="W76" s="8">
        <f>IF(OR($A76="",$D76="",$D76&gt;=EDATE(W$5,1)),0,MAX(0,MIN($K76,$E76-$G76-$I76-SUM($M76:V76))))</f>
        <v>0</v>
      </c>
      <c r="X76" s="8">
        <f>IF(OR($A76="",$D76="",$D76&gt;=EDATE(X$5,1)),0,MAX(0,MIN($K76,$E76-$G76-$I76-SUM($M76:W76))))</f>
        <v>0</v>
      </c>
    </row>
    <row r="77" spans="1:24" ht="22" customHeight="1">
      <c r="A77" s="3"/>
      <c r="B77" s="3"/>
      <c r="C77" s="7"/>
      <c r="D77" s="7"/>
      <c r="E77" s="4"/>
      <c r="F77" s="4"/>
      <c r="G77" s="4"/>
      <c r="H77" s="3"/>
      <c r="I77" s="4"/>
      <c r="J77" s="3"/>
      <c r="K77" s="8" t="str">
        <f t="shared" si="4"/>
        <v/>
      </c>
      <c r="L77" s="8" t="str">
        <f>IF(COUNTA(A77:J77)=0,"",IF(OR(A77="",C77="",D77="",E77="",H77&lt;=0),"Faltan datos",IF(COUNTIF($A$7:$A$106,A77)&gt;1,"ID duplicado",IF(OR(E77&lt;0,G77&lt;0,I77&lt;0,G77+I77&gt;E77,D77&lt;C77),"Revisar activo",IF(AND(C77&gt;=DATE(Configuración!$C$5,1,1),I77&lt;&gt;0),"Dep. inicial no procede","OK")))))</f>
        <v/>
      </c>
      <c r="M77" s="8">
        <f t="shared" si="5"/>
        <v>0</v>
      </c>
      <c r="N77" s="8">
        <f>IF(OR($A77="",$D77="",$D77&gt;=EDATE(N$5,1)),0,MAX(0,MIN($K77,$E77-$G77-$I77-SUM($M77:M77))))</f>
        <v>0</v>
      </c>
      <c r="O77" s="8">
        <f>IF(OR($A77="",$D77="",$D77&gt;=EDATE(O$5,1)),0,MAX(0,MIN($K77,$E77-$G77-$I77-SUM($M77:N77))))</f>
        <v>0</v>
      </c>
      <c r="P77" s="8">
        <f>IF(OR($A77="",$D77="",$D77&gt;=EDATE(P$5,1)),0,MAX(0,MIN($K77,$E77-$G77-$I77-SUM($M77:O77))))</f>
        <v>0</v>
      </c>
      <c r="Q77" s="8">
        <f>IF(OR($A77="",$D77="",$D77&gt;=EDATE(Q$5,1)),0,MAX(0,MIN($K77,$E77-$G77-$I77-SUM($M77:P77))))</f>
        <v>0</v>
      </c>
      <c r="R77" s="8">
        <f>IF(OR($A77="",$D77="",$D77&gt;=EDATE(R$5,1)),0,MAX(0,MIN($K77,$E77-$G77-$I77-SUM($M77:Q77))))</f>
        <v>0</v>
      </c>
      <c r="S77" s="8">
        <f>IF(OR($A77="",$D77="",$D77&gt;=EDATE(S$5,1)),0,MAX(0,MIN($K77,$E77-$G77-$I77-SUM($M77:R77))))</f>
        <v>0</v>
      </c>
      <c r="T77" s="8">
        <f>IF(OR($A77="",$D77="",$D77&gt;=EDATE(T$5,1)),0,MAX(0,MIN($K77,$E77-$G77-$I77-SUM($M77:S77))))</f>
        <v>0</v>
      </c>
      <c r="U77" s="8">
        <f>IF(OR($A77="",$D77="",$D77&gt;=EDATE(U$5,1)),0,MAX(0,MIN($K77,$E77-$G77-$I77-SUM($M77:T77))))</f>
        <v>0</v>
      </c>
      <c r="V77" s="8">
        <f>IF(OR($A77="",$D77="",$D77&gt;=EDATE(V$5,1)),0,MAX(0,MIN($K77,$E77-$G77-$I77-SUM($M77:U77))))</f>
        <v>0</v>
      </c>
      <c r="W77" s="8">
        <f>IF(OR($A77="",$D77="",$D77&gt;=EDATE(W$5,1)),0,MAX(0,MIN($K77,$E77-$G77-$I77-SUM($M77:V77))))</f>
        <v>0</v>
      </c>
      <c r="X77" s="8">
        <f>IF(OR($A77="",$D77="",$D77&gt;=EDATE(X$5,1)),0,MAX(0,MIN($K77,$E77-$G77-$I77-SUM($M77:W77))))</f>
        <v>0</v>
      </c>
    </row>
    <row r="78" spans="1:24" ht="22" customHeight="1">
      <c r="A78" s="3"/>
      <c r="B78" s="3"/>
      <c r="C78" s="7"/>
      <c r="D78" s="7"/>
      <c r="E78" s="4"/>
      <c r="F78" s="4"/>
      <c r="G78" s="4"/>
      <c r="H78" s="3"/>
      <c r="I78" s="4"/>
      <c r="J78" s="3"/>
      <c r="K78" s="8" t="str">
        <f t="shared" si="4"/>
        <v/>
      </c>
      <c r="L78" s="8" t="str">
        <f>IF(COUNTA(A78:J78)=0,"",IF(OR(A78="",C78="",D78="",E78="",H78&lt;=0),"Faltan datos",IF(COUNTIF($A$7:$A$106,A78)&gt;1,"ID duplicado",IF(OR(E78&lt;0,G78&lt;0,I78&lt;0,G78+I78&gt;E78,D78&lt;C78),"Revisar activo",IF(AND(C78&gt;=DATE(Configuración!$C$5,1,1),I78&lt;&gt;0),"Dep. inicial no procede","OK")))))</f>
        <v/>
      </c>
      <c r="M78" s="8">
        <f t="shared" si="5"/>
        <v>0</v>
      </c>
      <c r="N78" s="8">
        <f>IF(OR($A78="",$D78="",$D78&gt;=EDATE(N$5,1)),0,MAX(0,MIN($K78,$E78-$G78-$I78-SUM($M78:M78))))</f>
        <v>0</v>
      </c>
      <c r="O78" s="8">
        <f>IF(OR($A78="",$D78="",$D78&gt;=EDATE(O$5,1)),0,MAX(0,MIN($K78,$E78-$G78-$I78-SUM($M78:N78))))</f>
        <v>0</v>
      </c>
      <c r="P78" s="8">
        <f>IF(OR($A78="",$D78="",$D78&gt;=EDATE(P$5,1)),0,MAX(0,MIN($K78,$E78-$G78-$I78-SUM($M78:O78))))</f>
        <v>0</v>
      </c>
      <c r="Q78" s="8">
        <f>IF(OR($A78="",$D78="",$D78&gt;=EDATE(Q$5,1)),0,MAX(0,MIN($K78,$E78-$G78-$I78-SUM($M78:P78))))</f>
        <v>0</v>
      </c>
      <c r="R78" s="8">
        <f>IF(OR($A78="",$D78="",$D78&gt;=EDATE(R$5,1)),0,MAX(0,MIN($K78,$E78-$G78-$I78-SUM($M78:Q78))))</f>
        <v>0</v>
      </c>
      <c r="S78" s="8">
        <f>IF(OR($A78="",$D78="",$D78&gt;=EDATE(S$5,1)),0,MAX(0,MIN($K78,$E78-$G78-$I78-SUM($M78:R78))))</f>
        <v>0</v>
      </c>
      <c r="T78" s="8">
        <f>IF(OR($A78="",$D78="",$D78&gt;=EDATE(T$5,1)),0,MAX(0,MIN($K78,$E78-$G78-$I78-SUM($M78:S78))))</f>
        <v>0</v>
      </c>
      <c r="U78" s="8">
        <f>IF(OR($A78="",$D78="",$D78&gt;=EDATE(U$5,1)),0,MAX(0,MIN($K78,$E78-$G78-$I78-SUM($M78:T78))))</f>
        <v>0</v>
      </c>
      <c r="V78" s="8">
        <f>IF(OR($A78="",$D78="",$D78&gt;=EDATE(V$5,1)),0,MAX(0,MIN($K78,$E78-$G78-$I78-SUM($M78:U78))))</f>
        <v>0</v>
      </c>
      <c r="W78" s="8">
        <f>IF(OR($A78="",$D78="",$D78&gt;=EDATE(W$5,1)),0,MAX(0,MIN($K78,$E78-$G78-$I78-SUM($M78:V78))))</f>
        <v>0</v>
      </c>
      <c r="X78" s="8">
        <f>IF(OR($A78="",$D78="",$D78&gt;=EDATE(X$5,1)),0,MAX(0,MIN($K78,$E78-$G78-$I78-SUM($M78:W78))))</f>
        <v>0</v>
      </c>
    </row>
    <row r="79" spans="1:24" ht="22" customHeight="1">
      <c r="A79" s="3"/>
      <c r="B79" s="3"/>
      <c r="C79" s="7"/>
      <c r="D79" s="7"/>
      <c r="E79" s="4"/>
      <c r="F79" s="4"/>
      <c r="G79" s="4"/>
      <c r="H79" s="3"/>
      <c r="I79" s="4"/>
      <c r="J79" s="3"/>
      <c r="K79" s="8" t="str">
        <f t="shared" si="4"/>
        <v/>
      </c>
      <c r="L79" s="8" t="str">
        <f>IF(COUNTA(A79:J79)=0,"",IF(OR(A79="",C79="",D79="",E79="",H79&lt;=0),"Faltan datos",IF(COUNTIF($A$7:$A$106,A79)&gt;1,"ID duplicado",IF(OR(E79&lt;0,G79&lt;0,I79&lt;0,G79+I79&gt;E79,D79&lt;C79),"Revisar activo",IF(AND(C79&gt;=DATE(Configuración!$C$5,1,1),I79&lt;&gt;0),"Dep. inicial no procede","OK")))))</f>
        <v/>
      </c>
      <c r="M79" s="8">
        <f t="shared" si="5"/>
        <v>0</v>
      </c>
      <c r="N79" s="8">
        <f>IF(OR($A79="",$D79="",$D79&gt;=EDATE(N$5,1)),0,MAX(0,MIN($K79,$E79-$G79-$I79-SUM($M79:M79))))</f>
        <v>0</v>
      </c>
      <c r="O79" s="8">
        <f>IF(OR($A79="",$D79="",$D79&gt;=EDATE(O$5,1)),0,MAX(0,MIN($K79,$E79-$G79-$I79-SUM($M79:N79))))</f>
        <v>0</v>
      </c>
      <c r="P79" s="8">
        <f>IF(OR($A79="",$D79="",$D79&gt;=EDATE(P$5,1)),0,MAX(0,MIN($K79,$E79-$G79-$I79-SUM($M79:O79))))</f>
        <v>0</v>
      </c>
      <c r="Q79" s="8">
        <f>IF(OR($A79="",$D79="",$D79&gt;=EDATE(Q$5,1)),0,MAX(0,MIN($K79,$E79-$G79-$I79-SUM($M79:P79))))</f>
        <v>0</v>
      </c>
      <c r="R79" s="8">
        <f>IF(OR($A79="",$D79="",$D79&gt;=EDATE(R$5,1)),0,MAX(0,MIN($K79,$E79-$G79-$I79-SUM($M79:Q79))))</f>
        <v>0</v>
      </c>
      <c r="S79" s="8">
        <f>IF(OR($A79="",$D79="",$D79&gt;=EDATE(S$5,1)),0,MAX(0,MIN($K79,$E79-$G79-$I79-SUM($M79:R79))))</f>
        <v>0</v>
      </c>
      <c r="T79" s="8">
        <f>IF(OR($A79="",$D79="",$D79&gt;=EDATE(T$5,1)),0,MAX(0,MIN($K79,$E79-$G79-$I79-SUM($M79:S79))))</f>
        <v>0</v>
      </c>
      <c r="U79" s="8">
        <f>IF(OR($A79="",$D79="",$D79&gt;=EDATE(U$5,1)),0,MAX(0,MIN($K79,$E79-$G79-$I79-SUM($M79:T79))))</f>
        <v>0</v>
      </c>
      <c r="V79" s="8">
        <f>IF(OR($A79="",$D79="",$D79&gt;=EDATE(V$5,1)),0,MAX(0,MIN($K79,$E79-$G79-$I79-SUM($M79:U79))))</f>
        <v>0</v>
      </c>
      <c r="W79" s="8">
        <f>IF(OR($A79="",$D79="",$D79&gt;=EDATE(W$5,1)),0,MAX(0,MIN($K79,$E79-$G79-$I79-SUM($M79:V79))))</f>
        <v>0</v>
      </c>
      <c r="X79" s="8">
        <f>IF(OR($A79="",$D79="",$D79&gt;=EDATE(X$5,1)),0,MAX(0,MIN($K79,$E79-$G79-$I79-SUM($M79:W79))))</f>
        <v>0</v>
      </c>
    </row>
    <row r="80" spans="1:24" ht="22" customHeight="1">
      <c r="A80" s="3"/>
      <c r="B80" s="3"/>
      <c r="C80" s="7"/>
      <c r="D80" s="7"/>
      <c r="E80" s="4"/>
      <c r="F80" s="4"/>
      <c r="G80" s="4"/>
      <c r="H80" s="3"/>
      <c r="I80" s="4"/>
      <c r="J80" s="3"/>
      <c r="K80" s="8" t="str">
        <f t="shared" si="4"/>
        <v/>
      </c>
      <c r="L80" s="8" t="str">
        <f>IF(COUNTA(A80:J80)=0,"",IF(OR(A80="",C80="",D80="",E80="",H80&lt;=0),"Faltan datos",IF(COUNTIF($A$7:$A$106,A80)&gt;1,"ID duplicado",IF(OR(E80&lt;0,G80&lt;0,I80&lt;0,G80+I80&gt;E80,D80&lt;C80),"Revisar activo",IF(AND(C80&gt;=DATE(Configuración!$C$5,1,1),I80&lt;&gt;0),"Dep. inicial no procede","OK")))))</f>
        <v/>
      </c>
      <c r="M80" s="8">
        <f t="shared" si="5"/>
        <v>0</v>
      </c>
      <c r="N80" s="8">
        <f>IF(OR($A80="",$D80="",$D80&gt;=EDATE(N$5,1)),0,MAX(0,MIN($K80,$E80-$G80-$I80-SUM($M80:M80))))</f>
        <v>0</v>
      </c>
      <c r="O80" s="8">
        <f>IF(OR($A80="",$D80="",$D80&gt;=EDATE(O$5,1)),0,MAX(0,MIN($K80,$E80-$G80-$I80-SUM($M80:N80))))</f>
        <v>0</v>
      </c>
      <c r="P80" s="8">
        <f>IF(OR($A80="",$D80="",$D80&gt;=EDATE(P$5,1)),0,MAX(0,MIN($K80,$E80-$G80-$I80-SUM($M80:O80))))</f>
        <v>0</v>
      </c>
      <c r="Q80" s="8">
        <f>IF(OR($A80="",$D80="",$D80&gt;=EDATE(Q$5,1)),0,MAX(0,MIN($K80,$E80-$G80-$I80-SUM($M80:P80))))</f>
        <v>0</v>
      </c>
      <c r="R80" s="8">
        <f>IF(OR($A80="",$D80="",$D80&gt;=EDATE(R$5,1)),0,MAX(0,MIN($K80,$E80-$G80-$I80-SUM($M80:Q80))))</f>
        <v>0</v>
      </c>
      <c r="S80" s="8">
        <f>IF(OR($A80="",$D80="",$D80&gt;=EDATE(S$5,1)),0,MAX(0,MIN($K80,$E80-$G80-$I80-SUM($M80:R80))))</f>
        <v>0</v>
      </c>
      <c r="T80" s="8">
        <f>IF(OR($A80="",$D80="",$D80&gt;=EDATE(T$5,1)),0,MAX(0,MIN($K80,$E80-$G80-$I80-SUM($M80:S80))))</f>
        <v>0</v>
      </c>
      <c r="U80" s="8">
        <f>IF(OR($A80="",$D80="",$D80&gt;=EDATE(U$5,1)),0,MAX(0,MIN($K80,$E80-$G80-$I80-SUM($M80:T80))))</f>
        <v>0</v>
      </c>
      <c r="V80" s="8">
        <f>IF(OR($A80="",$D80="",$D80&gt;=EDATE(V$5,1)),0,MAX(0,MIN($K80,$E80-$G80-$I80-SUM($M80:U80))))</f>
        <v>0</v>
      </c>
      <c r="W80" s="8">
        <f>IF(OR($A80="",$D80="",$D80&gt;=EDATE(W$5,1)),0,MAX(0,MIN($K80,$E80-$G80-$I80-SUM($M80:V80))))</f>
        <v>0</v>
      </c>
      <c r="X80" s="8">
        <f>IF(OR($A80="",$D80="",$D80&gt;=EDATE(X$5,1)),0,MAX(0,MIN($K80,$E80-$G80-$I80-SUM($M80:W80))))</f>
        <v>0</v>
      </c>
    </row>
    <row r="81" spans="1:24" ht="22" customHeight="1">
      <c r="A81" s="3"/>
      <c r="B81" s="3"/>
      <c r="C81" s="7"/>
      <c r="D81" s="7"/>
      <c r="E81" s="4"/>
      <c r="F81" s="4"/>
      <c r="G81" s="4"/>
      <c r="H81" s="3"/>
      <c r="I81" s="4"/>
      <c r="J81" s="3"/>
      <c r="K81" s="8" t="str">
        <f t="shared" si="4"/>
        <v/>
      </c>
      <c r="L81" s="8" t="str">
        <f>IF(COUNTA(A81:J81)=0,"",IF(OR(A81="",C81="",D81="",E81="",H81&lt;=0),"Faltan datos",IF(COUNTIF($A$7:$A$106,A81)&gt;1,"ID duplicado",IF(OR(E81&lt;0,G81&lt;0,I81&lt;0,G81+I81&gt;E81,D81&lt;C81),"Revisar activo",IF(AND(C81&gt;=DATE(Configuración!$C$5,1,1),I81&lt;&gt;0),"Dep. inicial no procede","OK")))))</f>
        <v/>
      </c>
      <c r="M81" s="8">
        <f t="shared" si="5"/>
        <v>0</v>
      </c>
      <c r="N81" s="8">
        <f>IF(OR($A81="",$D81="",$D81&gt;=EDATE(N$5,1)),0,MAX(0,MIN($K81,$E81-$G81-$I81-SUM($M81:M81))))</f>
        <v>0</v>
      </c>
      <c r="O81" s="8">
        <f>IF(OR($A81="",$D81="",$D81&gt;=EDATE(O$5,1)),0,MAX(0,MIN($K81,$E81-$G81-$I81-SUM($M81:N81))))</f>
        <v>0</v>
      </c>
      <c r="P81" s="8">
        <f>IF(OR($A81="",$D81="",$D81&gt;=EDATE(P$5,1)),0,MAX(0,MIN($K81,$E81-$G81-$I81-SUM($M81:O81))))</f>
        <v>0</v>
      </c>
      <c r="Q81" s="8">
        <f>IF(OR($A81="",$D81="",$D81&gt;=EDATE(Q$5,1)),0,MAX(0,MIN($K81,$E81-$G81-$I81-SUM($M81:P81))))</f>
        <v>0</v>
      </c>
      <c r="R81" s="8">
        <f>IF(OR($A81="",$D81="",$D81&gt;=EDATE(R$5,1)),0,MAX(0,MIN($K81,$E81-$G81-$I81-SUM($M81:Q81))))</f>
        <v>0</v>
      </c>
      <c r="S81" s="8">
        <f>IF(OR($A81="",$D81="",$D81&gt;=EDATE(S$5,1)),0,MAX(0,MIN($K81,$E81-$G81-$I81-SUM($M81:R81))))</f>
        <v>0</v>
      </c>
      <c r="T81" s="8">
        <f>IF(OR($A81="",$D81="",$D81&gt;=EDATE(T$5,1)),0,MAX(0,MIN($K81,$E81-$G81-$I81-SUM($M81:S81))))</f>
        <v>0</v>
      </c>
      <c r="U81" s="8">
        <f>IF(OR($A81="",$D81="",$D81&gt;=EDATE(U$5,1)),0,MAX(0,MIN($K81,$E81-$G81-$I81-SUM($M81:T81))))</f>
        <v>0</v>
      </c>
      <c r="V81" s="8">
        <f>IF(OR($A81="",$D81="",$D81&gt;=EDATE(V$5,1)),0,MAX(0,MIN($K81,$E81-$G81-$I81-SUM($M81:U81))))</f>
        <v>0</v>
      </c>
      <c r="W81" s="8">
        <f>IF(OR($A81="",$D81="",$D81&gt;=EDATE(W$5,1)),0,MAX(0,MIN($K81,$E81-$G81-$I81-SUM($M81:V81))))</f>
        <v>0</v>
      </c>
      <c r="X81" s="8">
        <f>IF(OR($A81="",$D81="",$D81&gt;=EDATE(X$5,1)),0,MAX(0,MIN($K81,$E81-$G81-$I81-SUM($M81:W81))))</f>
        <v>0</v>
      </c>
    </row>
    <row r="82" spans="1:24" ht="22" customHeight="1">
      <c r="A82" s="3"/>
      <c r="B82" s="3"/>
      <c r="C82" s="7"/>
      <c r="D82" s="7"/>
      <c r="E82" s="4"/>
      <c r="F82" s="4"/>
      <c r="G82" s="4"/>
      <c r="H82" s="3"/>
      <c r="I82" s="4"/>
      <c r="J82" s="3"/>
      <c r="K82" s="8" t="str">
        <f t="shared" si="4"/>
        <v/>
      </c>
      <c r="L82" s="8" t="str">
        <f>IF(COUNTA(A82:J82)=0,"",IF(OR(A82="",C82="",D82="",E82="",H82&lt;=0),"Faltan datos",IF(COUNTIF($A$7:$A$106,A82)&gt;1,"ID duplicado",IF(OR(E82&lt;0,G82&lt;0,I82&lt;0,G82+I82&gt;E82,D82&lt;C82),"Revisar activo",IF(AND(C82&gt;=DATE(Configuración!$C$5,1,1),I82&lt;&gt;0),"Dep. inicial no procede","OK")))))</f>
        <v/>
      </c>
      <c r="M82" s="8">
        <f t="shared" si="5"/>
        <v>0</v>
      </c>
      <c r="N82" s="8">
        <f>IF(OR($A82="",$D82="",$D82&gt;=EDATE(N$5,1)),0,MAX(0,MIN($K82,$E82-$G82-$I82-SUM($M82:M82))))</f>
        <v>0</v>
      </c>
      <c r="O82" s="8">
        <f>IF(OR($A82="",$D82="",$D82&gt;=EDATE(O$5,1)),0,MAX(0,MIN($K82,$E82-$G82-$I82-SUM($M82:N82))))</f>
        <v>0</v>
      </c>
      <c r="P82" s="8">
        <f>IF(OR($A82="",$D82="",$D82&gt;=EDATE(P$5,1)),0,MAX(0,MIN($K82,$E82-$G82-$I82-SUM($M82:O82))))</f>
        <v>0</v>
      </c>
      <c r="Q82" s="8">
        <f>IF(OR($A82="",$D82="",$D82&gt;=EDATE(Q$5,1)),0,MAX(0,MIN($K82,$E82-$G82-$I82-SUM($M82:P82))))</f>
        <v>0</v>
      </c>
      <c r="R82" s="8">
        <f>IF(OR($A82="",$D82="",$D82&gt;=EDATE(R$5,1)),0,MAX(0,MIN($K82,$E82-$G82-$I82-SUM($M82:Q82))))</f>
        <v>0</v>
      </c>
      <c r="S82" s="8">
        <f>IF(OR($A82="",$D82="",$D82&gt;=EDATE(S$5,1)),0,MAX(0,MIN($K82,$E82-$G82-$I82-SUM($M82:R82))))</f>
        <v>0</v>
      </c>
      <c r="T82" s="8">
        <f>IF(OR($A82="",$D82="",$D82&gt;=EDATE(T$5,1)),0,MAX(0,MIN($K82,$E82-$G82-$I82-SUM($M82:S82))))</f>
        <v>0</v>
      </c>
      <c r="U82" s="8">
        <f>IF(OR($A82="",$D82="",$D82&gt;=EDATE(U$5,1)),0,MAX(0,MIN($K82,$E82-$G82-$I82-SUM($M82:T82))))</f>
        <v>0</v>
      </c>
      <c r="V82" s="8">
        <f>IF(OR($A82="",$D82="",$D82&gt;=EDATE(V$5,1)),0,MAX(0,MIN($K82,$E82-$G82-$I82-SUM($M82:U82))))</f>
        <v>0</v>
      </c>
      <c r="W82" s="8">
        <f>IF(OR($A82="",$D82="",$D82&gt;=EDATE(W$5,1)),0,MAX(0,MIN($K82,$E82-$G82-$I82-SUM($M82:V82))))</f>
        <v>0</v>
      </c>
      <c r="X82" s="8">
        <f>IF(OR($A82="",$D82="",$D82&gt;=EDATE(X$5,1)),0,MAX(0,MIN($K82,$E82-$G82-$I82-SUM($M82:W82))))</f>
        <v>0</v>
      </c>
    </row>
    <row r="83" spans="1:24" ht="22" customHeight="1">
      <c r="A83" s="3"/>
      <c r="B83" s="3"/>
      <c r="C83" s="7"/>
      <c r="D83" s="7"/>
      <c r="E83" s="4"/>
      <c r="F83" s="4"/>
      <c r="G83" s="4"/>
      <c r="H83" s="3"/>
      <c r="I83" s="4"/>
      <c r="J83" s="3"/>
      <c r="K83" s="8" t="str">
        <f t="shared" si="4"/>
        <v/>
      </c>
      <c r="L83" s="8" t="str">
        <f>IF(COUNTA(A83:J83)=0,"",IF(OR(A83="",C83="",D83="",E83="",H83&lt;=0),"Faltan datos",IF(COUNTIF($A$7:$A$106,A83)&gt;1,"ID duplicado",IF(OR(E83&lt;0,G83&lt;0,I83&lt;0,G83+I83&gt;E83,D83&lt;C83),"Revisar activo",IF(AND(C83&gt;=DATE(Configuración!$C$5,1,1),I83&lt;&gt;0),"Dep. inicial no procede","OK")))))</f>
        <v/>
      </c>
      <c r="M83" s="8">
        <f t="shared" si="5"/>
        <v>0</v>
      </c>
      <c r="N83" s="8">
        <f>IF(OR($A83="",$D83="",$D83&gt;=EDATE(N$5,1)),0,MAX(0,MIN($K83,$E83-$G83-$I83-SUM($M83:M83))))</f>
        <v>0</v>
      </c>
      <c r="O83" s="8">
        <f>IF(OR($A83="",$D83="",$D83&gt;=EDATE(O$5,1)),0,MAX(0,MIN($K83,$E83-$G83-$I83-SUM($M83:N83))))</f>
        <v>0</v>
      </c>
      <c r="P83" s="8">
        <f>IF(OR($A83="",$D83="",$D83&gt;=EDATE(P$5,1)),0,MAX(0,MIN($K83,$E83-$G83-$I83-SUM($M83:O83))))</f>
        <v>0</v>
      </c>
      <c r="Q83" s="8">
        <f>IF(OR($A83="",$D83="",$D83&gt;=EDATE(Q$5,1)),0,MAX(0,MIN($K83,$E83-$G83-$I83-SUM($M83:P83))))</f>
        <v>0</v>
      </c>
      <c r="R83" s="8">
        <f>IF(OR($A83="",$D83="",$D83&gt;=EDATE(R$5,1)),0,MAX(0,MIN($K83,$E83-$G83-$I83-SUM($M83:Q83))))</f>
        <v>0</v>
      </c>
      <c r="S83" s="8">
        <f>IF(OR($A83="",$D83="",$D83&gt;=EDATE(S$5,1)),0,MAX(0,MIN($K83,$E83-$G83-$I83-SUM($M83:R83))))</f>
        <v>0</v>
      </c>
      <c r="T83" s="8">
        <f>IF(OR($A83="",$D83="",$D83&gt;=EDATE(T$5,1)),0,MAX(0,MIN($K83,$E83-$G83-$I83-SUM($M83:S83))))</f>
        <v>0</v>
      </c>
      <c r="U83" s="8">
        <f>IF(OR($A83="",$D83="",$D83&gt;=EDATE(U$5,1)),0,MAX(0,MIN($K83,$E83-$G83-$I83-SUM($M83:T83))))</f>
        <v>0</v>
      </c>
      <c r="V83" s="8">
        <f>IF(OR($A83="",$D83="",$D83&gt;=EDATE(V$5,1)),0,MAX(0,MIN($K83,$E83-$G83-$I83-SUM($M83:U83))))</f>
        <v>0</v>
      </c>
      <c r="W83" s="8">
        <f>IF(OR($A83="",$D83="",$D83&gt;=EDATE(W$5,1)),0,MAX(0,MIN($K83,$E83-$G83-$I83-SUM($M83:V83))))</f>
        <v>0</v>
      </c>
      <c r="X83" s="8">
        <f>IF(OR($A83="",$D83="",$D83&gt;=EDATE(X$5,1)),0,MAX(0,MIN($K83,$E83-$G83-$I83-SUM($M83:W83))))</f>
        <v>0</v>
      </c>
    </row>
    <row r="84" spans="1:24" ht="22" customHeight="1">
      <c r="A84" s="3"/>
      <c r="B84" s="3"/>
      <c r="C84" s="7"/>
      <c r="D84" s="7"/>
      <c r="E84" s="4"/>
      <c r="F84" s="4"/>
      <c r="G84" s="4"/>
      <c r="H84" s="3"/>
      <c r="I84" s="4"/>
      <c r="J84" s="3"/>
      <c r="K84" s="8" t="str">
        <f t="shared" si="4"/>
        <v/>
      </c>
      <c r="L84" s="8" t="str">
        <f>IF(COUNTA(A84:J84)=0,"",IF(OR(A84="",C84="",D84="",E84="",H84&lt;=0),"Faltan datos",IF(COUNTIF($A$7:$A$106,A84)&gt;1,"ID duplicado",IF(OR(E84&lt;0,G84&lt;0,I84&lt;0,G84+I84&gt;E84,D84&lt;C84),"Revisar activo",IF(AND(C84&gt;=DATE(Configuración!$C$5,1,1),I84&lt;&gt;0),"Dep. inicial no procede","OK")))))</f>
        <v/>
      </c>
      <c r="M84" s="8">
        <f t="shared" si="5"/>
        <v>0</v>
      </c>
      <c r="N84" s="8">
        <f>IF(OR($A84="",$D84="",$D84&gt;=EDATE(N$5,1)),0,MAX(0,MIN($K84,$E84-$G84-$I84-SUM($M84:M84))))</f>
        <v>0</v>
      </c>
      <c r="O84" s="8">
        <f>IF(OR($A84="",$D84="",$D84&gt;=EDATE(O$5,1)),0,MAX(0,MIN($K84,$E84-$G84-$I84-SUM($M84:N84))))</f>
        <v>0</v>
      </c>
      <c r="P84" s="8">
        <f>IF(OR($A84="",$D84="",$D84&gt;=EDATE(P$5,1)),0,MAX(0,MIN($K84,$E84-$G84-$I84-SUM($M84:O84))))</f>
        <v>0</v>
      </c>
      <c r="Q84" s="8">
        <f>IF(OR($A84="",$D84="",$D84&gt;=EDATE(Q$5,1)),0,MAX(0,MIN($K84,$E84-$G84-$I84-SUM($M84:P84))))</f>
        <v>0</v>
      </c>
      <c r="R84" s="8">
        <f>IF(OR($A84="",$D84="",$D84&gt;=EDATE(R$5,1)),0,MAX(0,MIN($K84,$E84-$G84-$I84-SUM($M84:Q84))))</f>
        <v>0</v>
      </c>
      <c r="S84" s="8">
        <f>IF(OR($A84="",$D84="",$D84&gt;=EDATE(S$5,1)),0,MAX(0,MIN($K84,$E84-$G84-$I84-SUM($M84:R84))))</f>
        <v>0</v>
      </c>
      <c r="T84" s="8">
        <f>IF(OR($A84="",$D84="",$D84&gt;=EDATE(T$5,1)),0,MAX(0,MIN($K84,$E84-$G84-$I84-SUM($M84:S84))))</f>
        <v>0</v>
      </c>
      <c r="U84" s="8">
        <f>IF(OR($A84="",$D84="",$D84&gt;=EDATE(U$5,1)),0,MAX(0,MIN($K84,$E84-$G84-$I84-SUM($M84:T84))))</f>
        <v>0</v>
      </c>
      <c r="V84" s="8">
        <f>IF(OR($A84="",$D84="",$D84&gt;=EDATE(V$5,1)),0,MAX(0,MIN($K84,$E84-$G84-$I84-SUM($M84:U84))))</f>
        <v>0</v>
      </c>
      <c r="W84" s="8">
        <f>IF(OR($A84="",$D84="",$D84&gt;=EDATE(W$5,1)),0,MAX(0,MIN($K84,$E84-$G84-$I84-SUM($M84:V84))))</f>
        <v>0</v>
      </c>
      <c r="X84" s="8">
        <f>IF(OR($A84="",$D84="",$D84&gt;=EDATE(X$5,1)),0,MAX(0,MIN($K84,$E84-$G84-$I84-SUM($M84:W84))))</f>
        <v>0</v>
      </c>
    </row>
    <row r="85" spans="1:24" ht="22" customHeight="1">
      <c r="A85" s="3"/>
      <c r="B85" s="3"/>
      <c r="C85" s="7"/>
      <c r="D85" s="7"/>
      <c r="E85" s="4"/>
      <c r="F85" s="4"/>
      <c r="G85" s="4"/>
      <c r="H85" s="3"/>
      <c r="I85" s="4"/>
      <c r="J85" s="3"/>
      <c r="K85" s="8" t="str">
        <f t="shared" si="4"/>
        <v/>
      </c>
      <c r="L85" s="8" t="str">
        <f>IF(COUNTA(A85:J85)=0,"",IF(OR(A85="",C85="",D85="",E85="",H85&lt;=0),"Faltan datos",IF(COUNTIF($A$7:$A$106,A85)&gt;1,"ID duplicado",IF(OR(E85&lt;0,G85&lt;0,I85&lt;0,G85+I85&gt;E85,D85&lt;C85),"Revisar activo",IF(AND(C85&gt;=DATE(Configuración!$C$5,1,1),I85&lt;&gt;0),"Dep. inicial no procede","OK")))))</f>
        <v/>
      </c>
      <c r="M85" s="8">
        <f t="shared" si="5"/>
        <v>0</v>
      </c>
      <c r="N85" s="8">
        <f>IF(OR($A85="",$D85="",$D85&gt;=EDATE(N$5,1)),0,MAX(0,MIN($K85,$E85-$G85-$I85-SUM($M85:M85))))</f>
        <v>0</v>
      </c>
      <c r="O85" s="8">
        <f>IF(OR($A85="",$D85="",$D85&gt;=EDATE(O$5,1)),0,MAX(0,MIN($K85,$E85-$G85-$I85-SUM($M85:N85))))</f>
        <v>0</v>
      </c>
      <c r="P85" s="8">
        <f>IF(OR($A85="",$D85="",$D85&gt;=EDATE(P$5,1)),0,MAX(0,MIN($K85,$E85-$G85-$I85-SUM($M85:O85))))</f>
        <v>0</v>
      </c>
      <c r="Q85" s="8">
        <f>IF(OR($A85="",$D85="",$D85&gt;=EDATE(Q$5,1)),0,MAX(0,MIN($K85,$E85-$G85-$I85-SUM($M85:P85))))</f>
        <v>0</v>
      </c>
      <c r="R85" s="8">
        <f>IF(OR($A85="",$D85="",$D85&gt;=EDATE(R$5,1)),0,MAX(0,MIN($K85,$E85-$G85-$I85-SUM($M85:Q85))))</f>
        <v>0</v>
      </c>
      <c r="S85" s="8">
        <f>IF(OR($A85="",$D85="",$D85&gt;=EDATE(S$5,1)),0,MAX(0,MIN($K85,$E85-$G85-$I85-SUM($M85:R85))))</f>
        <v>0</v>
      </c>
      <c r="T85" s="8">
        <f>IF(OR($A85="",$D85="",$D85&gt;=EDATE(T$5,1)),0,MAX(0,MIN($K85,$E85-$G85-$I85-SUM($M85:S85))))</f>
        <v>0</v>
      </c>
      <c r="U85" s="8">
        <f>IF(OR($A85="",$D85="",$D85&gt;=EDATE(U$5,1)),0,MAX(0,MIN($K85,$E85-$G85-$I85-SUM($M85:T85))))</f>
        <v>0</v>
      </c>
      <c r="V85" s="8">
        <f>IF(OR($A85="",$D85="",$D85&gt;=EDATE(V$5,1)),0,MAX(0,MIN($K85,$E85-$G85-$I85-SUM($M85:U85))))</f>
        <v>0</v>
      </c>
      <c r="W85" s="8">
        <f>IF(OR($A85="",$D85="",$D85&gt;=EDATE(W$5,1)),0,MAX(0,MIN($K85,$E85-$G85-$I85-SUM($M85:V85))))</f>
        <v>0</v>
      </c>
      <c r="X85" s="8">
        <f>IF(OR($A85="",$D85="",$D85&gt;=EDATE(X$5,1)),0,MAX(0,MIN($K85,$E85-$G85-$I85-SUM($M85:W85))))</f>
        <v>0</v>
      </c>
    </row>
    <row r="86" spans="1:24" ht="22" customHeight="1">
      <c r="A86" s="3"/>
      <c r="B86" s="3"/>
      <c r="C86" s="7"/>
      <c r="D86" s="7"/>
      <c r="E86" s="4"/>
      <c r="F86" s="4"/>
      <c r="G86" s="4"/>
      <c r="H86" s="3"/>
      <c r="I86" s="4"/>
      <c r="J86" s="3"/>
      <c r="K86" s="8" t="str">
        <f t="shared" si="4"/>
        <v/>
      </c>
      <c r="L86" s="8" t="str">
        <f>IF(COUNTA(A86:J86)=0,"",IF(OR(A86="",C86="",D86="",E86="",H86&lt;=0),"Faltan datos",IF(COUNTIF($A$7:$A$106,A86)&gt;1,"ID duplicado",IF(OR(E86&lt;0,G86&lt;0,I86&lt;0,G86+I86&gt;E86,D86&lt;C86),"Revisar activo",IF(AND(C86&gt;=DATE(Configuración!$C$5,1,1),I86&lt;&gt;0),"Dep. inicial no procede","OK")))))</f>
        <v/>
      </c>
      <c r="M86" s="8">
        <f t="shared" si="5"/>
        <v>0</v>
      </c>
      <c r="N86" s="8">
        <f>IF(OR($A86="",$D86="",$D86&gt;=EDATE(N$5,1)),0,MAX(0,MIN($K86,$E86-$G86-$I86-SUM($M86:M86))))</f>
        <v>0</v>
      </c>
      <c r="O86" s="8">
        <f>IF(OR($A86="",$D86="",$D86&gt;=EDATE(O$5,1)),0,MAX(0,MIN($K86,$E86-$G86-$I86-SUM($M86:N86))))</f>
        <v>0</v>
      </c>
      <c r="P86" s="8">
        <f>IF(OR($A86="",$D86="",$D86&gt;=EDATE(P$5,1)),0,MAX(0,MIN($K86,$E86-$G86-$I86-SUM($M86:O86))))</f>
        <v>0</v>
      </c>
      <c r="Q86" s="8">
        <f>IF(OR($A86="",$D86="",$D86&gt;=EDATE(Q$5,1)),0,MAX(0,MIN($K86,$E86-$G86-$I86-SUM($M86:P86))))</f>
        <v>0</v>
      </c>
      <c r="R86" s="8">
        <f>IF(OR($A86="",$D86="",$D86&gt;=EDATE(R$5,1)),0,MAX(0,MIN($K86,$E86-$G86-$I86-SUM($M86:Q86))))</f>
        <v>0</v>
      </c>
      <c r="S86" s="8">
        <f>IF(OR($A86="",$D86="",$D86&gt;=EDATE(S$5,1)),0,MAX(0,MIN($K86,$E86-$G86-$I86-SUM($M86:R86))))</f>
        <v>0</v>
      </c>
      <c r="T86" s="8">
        <f>IF(OR($A86="",$D86="",$D86&gt;=EDATE(T$5,1)),0,MAX(0,MIN($K86,$E86-$G86-$I86-SUM($M86:S86))))</f>
        <v>0</v>
      </c>
      <c r="U86" s="8">
        <f>IF(OR($A86="",$D86="",$D86&gt;=EDATE(U$5,1)),0,MAX(0,MIN($K86,$E86-$G86-$I86-SUM($M86:T86))))</f>
        <v>0</v>
      </c>
      <c r="V86" s="8">
        <f>IF(OR($A86="",$D86="",$D86&gt;=EDATE(V$5,1)),0,MAX(0,MIN($K86,$E86-$G86-$I86-SUM($M86:U86))))</f>
        <v>0</v>
      </c>
      <c r="W86" s="8">
        <f>IF(OR($A86="",$D86="",$D86&gt;=EDATE(W$5,1)),0,MAX(0,MIN($K86,$E86-$G86-$I86-SUM($M86:V86))))</f>
        <v>0</v>
      </c>
      <c r="X86" s="8">
        <f>IF(OR($A86="",$D86="",$D86&gt;=EDATE(X$5,1)),0,MAX(0,MIN($K86,$E86-$G86-$I86-SUM($M86:W86))))</f>
        <v>0</v>
      </c>
    </row>
    <row r="87" spans="1:24" ht="22" customHeight="1">
      <c r="A87" s="3"/>
      <c r="B87" s="3"/>
      <c r="C87" s="7"/>
      <c r="D87" s="7"/>
      <c r="E87" s="4"/>
      <c r="F87" s="4"/>
      <c r="G87" s="4"/>
      <c r="H87" s="3"/>
      <c r="I87" s="4"/>
      <c r="J87" s="3"/>
      <c r="K87" s="8" t="str">
        <f t="shared" si="4"/>
        <v/>
      </c>
      <c r="L87" s="8" t="str">
        <f>IF(COUNTA(A87:J87)=0,"",IF(OR(A87="",C87="",D87="",E87="",H87&lt;=0),"Faltan datos",IF(COUNTIF($A$7:$A$106,A87)&gt;1,"ID duplicado",IF(OR(E87&lt;0,G87&lt;0,I87&lt;0,G87+I87&gt;E87,D87&lt;C87),"Revisar activo",IF(AND(C87&gt;=DATE(Configuración!$C$5,1,1),I87&lt;&gt;0),"Dep. inicial no procede","OK")))))</f>
        <v/>
      </c>
      <c r="M87" s="8">
        <f t="shared" si="5"/>
        <v>0</v>
      </c>
      <c r="N87" s="8">
        <f>IF(OR($A87="",$D87="",$D87&gt;=EDATE(N$5,1)),0,MAX(0,MIN($K87,$E87-$G87-$I87-SUM($M87:M87))))</f>
        <v>0</v>
      </c>
      <c r="O87" s="8">
        <f>IF(OR($A87="",$D87="",$D87&gt;=EDATE(O$5,1)),0,MAX(0,MIN($K87,$E87-$G87-$I87-SUM($M87:N87))))</f>
        <v>0</v>
      </c>
      <c r="P87" s="8">
        <f>IF(OR($A87="",$D87="",$D87&gt;=EDATE(P$5,1)),0,MAX(0,MIN($K87,$E87-$G87-$I87-SUM($M87:O87))))</f>
        <v>0</v>
      </c>
      <c r="Q87" s="8">
        <f>IF(OR($A87="",$D87="",$D87&gt;=EDATE(Q$5,1)),0,MAX(0,MIN($K87,$E87-$G87-$I87-SUM($M87:P87))))</f>
        <v>0</v>
      </c>
      <c r="R87" s="8">
        <f>IF(OR($A87="",$D87="",$D87&gt;=EDATE(R$5,1)),0,MAX(0,MIN($K87,$E87-$G87-$I87-SUM($M87:Q87))))</f>
        <v>0</v>
      </c>
      <c r="S87" s="8">
        <f>IF(OR($A87="",$D87="",$D87&gt;=EDATE(S$5,1)),0,MAX(0,MIN($K87,$E87-$G87-$I87-SUM($M87:R87))))</f>
        <v>0</v>
      </c>
      <c r="T87" s="8">
        <f>IF(OR($A87="",$D87="",$D87&gt;=EDATE(T$5,1)),0,MAX(0,MIN($K87,$E87-$G87-$I87-SUM($M87:S87))))</f>
        <v>0</v>
      </c>
      <c r="U87" s="8">
        <f>IF(OR($A87="",$D87="",$D87&gt;=EDATE(U$5,1)),0,MAX(0,MIN($K87,$E87-$G87-$I87-SUM($M87:T87))))</f>
        <v>0</v>
      </c>
      <c r="V87" s="8">
        <f>IF(OR($A87="",$D87="",$D87&gt;=EDATE(V$5,1)),0,MAX(0,MIN($K87,$E87-$G87-$I87-SUM($M87:U87))))</f>
        <v>0</v>
      </c>
      <c r="W87" s="8">
        <f>IF(OR($A87="",$D87="",$D87&gt;=EDATE(W$5,1)),0,MAX(0,MIN($K87,$E87-$G87-$I87-SUM($M87:V87))))</f>
        <v>0</v>
      </c>
      <c r="X87" s="8">
        <f>IF(OR($A87="",$D87="",$D87&gt;=EDATE(X$5,1)),0,MAX(0,MIN($K87,$E87-$G87-$I87-SUM($M87:W87))))</f>
        <v>0</v>
      </c>
    </row>
    <row r="88" spans="1:24" ht="22" customHeight="1">
      <c r="A88" s="3"/>
      <c r="B88" s="3"/>
      <c r="C88" s="7"/>
      <c r="D88" s="7"/>
      <c r="E88" s="4"/>
      <c r="F88" s="4"/>
      <c r="G88" s="4"/>
      <c r="H88" s="3"/>
      <c r="I88" s="4"/>
      <c r="J88" s="3"/>
      <c r="K88" s="8" t="str">
        <f t="shared" si="4"/>
        <v/>
      </c>
      <c r="L88" s="8" t="str">
        <f>IF(COUNTA(A88:J88)=0,"",IF(OR(A88="",C88="",D88="",E88="",H88&lt;=0),"Faltan datos",IF(COUNTIF($A$7:$A$106,A88)&gt;1,"ID duplicado",IF(OR(E88&lt;0,G88&lt;0,I88&lt;0,G88+I88&gt;E88,D88&lt;C88),"Revisar activo",IF(AND(C88&gt;=DATE(Configuración!$C$5,1,1),I88&lt;&gt;0),"Dep. inicial no procede","OK")))))</f>
        <v/>
      </c>
      <c r="M88" s="8">
        <f t="shared" si="5"/>
        <v>0</v>
      </c>
      <c r="N88" s="8">
        <f>IF(OR($A88="",$D88="",$D88&gt;=EDATE(N$5,1)),0,MAX(0,MIN($K88,$E88-$G88-$I88-SUM($M88:M88))))</f>
        <v>0</v>
      </c>
      <c r="O88" s="8">
        <f>IF(OR($A88="",$D88="",$D88&gt;=EDATE(O$5,1)),0,MAX(0,MIN($K88,$E88-$G88-$I88-SUM($M88:N88))))</f>
        <v>0</v>
      </c>
      <c r="P88" s="8">
        <f>IF(OR($A88="",$D88="",$D88&gt;=EDATE(P$5,1)),0,MAX(0,MIN($K88,$E88-$G88-$I88-SUM($M88:O88))))</f>
        <v>0</v>
      </c>
      <c r="Q88" s="8">
        <f>IF(OR($A88="",$D88="",$D88&gt;=EDATE(Q$5,1)),0,MAX(0,MIN($K88,$E88-$G88-$I88-SUM($M88:P88))))</f>
        <v>0</v>
      </c>
      <c r="R88" s="8">
        <f>IF(OR($A88="",$D88="",$D88&gt;=EDATE(R$5,1)),0,MAX(0,MIN($K88,$E88-$G88-$I88-SUM($M88:Q88))))</f>
        <v>0</v>
      </c>
      <c r="S88" s="8">
        <f>IF(OR($A88="",$D88="",$D88&gt;=EDATE(S$5,1)),0,MAX(0,MIN($K88,$E88-$G88-$I88-SUM($M88:R88))))</f>
        <v>0</v>
      </c>
      <c r="T88" s="8">
        <f>IF(OR($A88="",$D88="",$D88&gt;=EDATE(T$5,1)),0,MAX(0,MIN($K88,$E88-$G88-$I88-SUM($M88:S88))))</f>
        <v>0</v>
      </c>
      <c r="U88" s="8">
        <f>IF(OR($A88="",$D88="",$D88&gt;=EDATE(U$5,1)),0,MAX(0,MIN($K88,$E88-$G88-$I88-SUM($M88:T88))))</f>
        <v>0</v>
      </c>
      <c r="V88" s="8">
        <f>IF(OR($A88="",$D88="",$D88&gt;=EDATE(V$5,1)),0,MAX(0,MIN($K88,$E88-$G88-$I88-SUM($M88:U88))))</f>
        <v>0</v>
      </c>
      <c r="W88" s="8">
        <f>IF(OR($A88="",$D88="",$D88&gt;=EDATE(W$5,1)),0,MAX(0,MIN($K88,$E88-$G88-$I88-SUM($M88:V88))))</f>
        <v>0</v>
      </c>
      <c r="X88" s="8">
        <f>IF(OR($A88="",$D88="",$D88&gt;=EDATE(X$5,1)),0,MAX(0,MIN($K88,$E88-$G88-$I88-SUM($M88:W88))))</f>
        <v>0</v>
      </c>
    </row>
    <row r="89" spans="1:24" ht="22" customHeight="1">
      <c r="A89" s="3"/>
      <c r="B89" s="3"/>
      <c r="C89" s="7"/>
      <c r="D89" s="7"/>
      <c r="E89" s="4"/>
      <c r="F89" s="4"/>
      <c r="G89" s="4"/>
      <c r="H89" s="3"/>
      <c r="I89" s="4"/>
      <c r="J89" s="3"/>
      <c r="K89" s="8" t="str">
        <f t="shared" si="4"/>
        <v/>
      </c>
      <c r="L89" s="8" t="str">
        <f>IF(COUNTA(A89:J89)=0,"",IF(OR(A89="",C89="",D89="",E89="",H89&lt;=0),"Faltan datos",IF(COUNTIF($A$7:$A$106,A89)&gt;1,"ID duplicado",IF(OR(E89&lt;0,G89&lt;0,I89&lt;0,G89+I89&gt;E89,D89&lt;C89),"Revisar activo",IF(AND(C89&gt;=DATE(Configuración!$C$5,1,1),I89&lt;&gt;0),"Dep. inicial no procede","OK")))))</f>
        <v/>
      </c>
      <c r="M89" s="8">
        <f t="shared" si="5"/>
        <v>0</v>
      </c>
      <c r="N89" s="8">
        <f>IF(OR($A89="",$D89="",$D89&gt;=EDATE(N$5,1)),0,MAX(0,MIN($K89,$E89-$G89-$I89-SUM($M89:M89))))</f>
        <v>0</v>
      </c>
      <c r="O89" s="8">
        <f>IF(OR($A89="",$D89="",$D89&gt;=EDATE(O$5,1)),0,MAX(0,MIN($K89,$E89-$G89-$I89-SUM($M89:N89))))</f>
        <v>0</v>
      </c>
      <c r="P89" s="8">
        <f>IF(OR($A89="",$D89="",$D89&gt;=EDATE(P$5,1)),0,MAX(0,MIN($K89,$E89-$G89-$I89-SUM($M89:O89))))</f>
        <v>0</v>
      </c>
      <c r="Q89" s="8">
        <f>IF(OR($A89="",$D89="",$D89&gt;=EDATE(Q$5,1)),0,MAX(0,MIN($K89,$E89-$G89-$I89-SUM($M89:P89))))</f>
        <v>0</v>
      </c>
      <c r="R89" s="8">
        <f>IF(OR($A89="",$D89="",$D89&gt;=EDATE(R$5,1)),0,MAX(0,MIN($K89,$E89-$G89-$I89-SUM($M89:Q89))))</f>
        <v>0</v>
      </c>
      <c r="S89" s="8">
        <f>IF(OR($A89="",$D89="",$D89&gt;=EDATE(S$5,1)),0,MAX(0,MIN($K89,$E89-$G89-$I89-SUM($M89:R89))))</f>
        <v>0</v>
      </c>
      <c r="T89" s="8">
        <f>IF(OR($A89="",$D89="",$D89&gt;=EDATE(T$5,1)),0,MAX(0,MIN($K89,$E89-$G89-$I89-SUM($M89:S89))))</f>
        <v>0</v>
      </c>
      <c r="U89" s="8">
        <f>IF(OR($A89="",$D89="",$D89&gt;=EDATE(U$5,1)),0,MAX(0,MIN($K89,$E89-$G89-$I89-SUM($M89:T89))))</f>
        <v>0</v>
      </c>
      <c r="V89" s="8">
        <f>IF(OR($A89="",$D89="",$D89&gt;=EDATE(V$5,1)),0,MAX(0,MIN($K89,$E89-$G89-$I89-SUM($M89:U89))))</f>
        <v>0</v>
      </c>
      <c r="W89" s="8">
        <f>IF(OR($A89="",$D89="",$D89&gt;=EDATE(W$5,1)),0,MAX(0,MIN($K89,$E89-$G89-$I89-SUM($M89:V89))))</f>
        <v>0</v>
      </c>
      <c r="X89" s="8">
        <f>IF(OR($A89="",$D89="",$D89&gt;=EDATE(X$5,1)),0,MAX(0,MIN($K89,$E89-$G89-$I89-SUM($M89:W89))))</f>
        <v>0</v>
      </c>
    </row>
    <row r="90" spans="1:24" ht="22" customHeight="1">
      <c r="A90" s="3"/>
      <c r="B90" s="3"/>
      <c r="C90" s="7"/>
      <c r="D90" s="7"/>
      <c r="E90" s="4"/>
      <c r="F90" s="4"/>
      <c r="G90" s="4"/>
      <c r="H90" s="3"/>
      <c r="I90" s="4"/>
      <c r="J90" s="3"/>
      <c r="K90" s="8" t="str">
        <f t="shared" si="4"/>
        <v/>
      </c>
      <c r="L90" s="8" t="str">
        <f>IF(COUNTA(A90:J90)=0,"",IF(OR(A90="",C90="",D90="",E90="",H90&lt;=0),"Faltan datos",IF(COUNTIF($A$7:$A$106,A90)&gt;1,"ID duplicado",IF(OR(E90&lt;0,G90&lt;0,I90&lt;0,G90+I90&gt;E90,D90&lt;C90),"Revisar activo",IF(AND(C90&gt;=DATE(Configuración!$C$5,1,1),I90&lt;&gt;0),"Dep. inicial no procede","OK")))))</f>
        <v/>
      </c>
      <c r="M90" s="8">
        <f t="shared" si="5"/>
        <v>0</v>
      </c>
      <c r="N90" s="8">
        <f>IF(OR($A90="",$D90="",$D90&gt;=EDATE(N$5,1)),0,MAX(0,MIN($K90,$E90-$G90-$I90-SUM($M90:M90))))</f>
        <v>0</v>
      </c>
      <c r="O90" s="8">
        <f>IF(OR($A90="",$D90="",$D90&gt;=EDATE(O$5,1)),0,MAX(0,MIN($K90,$E90-$G90-$I90-SUM($M90:N90))))</f>
        <v>0</v>
      </c>
      <c r="P90" s="8">
        <f>IF(OR($A90="",$D90="",$D90&gt;=EDATE(P$5,1)),0,MAX(0,MIN($K90,$E90-$G90-$I90-SUM($M90:O90))))</f>
        <v>0</v>
      </c>
      <c r="Q90" s="8">
        <f>IF(OR($A90="",$D90="",$D90&gt;=EDATE(Q$5,1)),0,MAX(0,MIN($K90,$E90-$G90-$I90-SUM($M90:P90))))</f>
        <v>0</v>
      </c>
      <c r="R90" s="8">
        <f>IF(OR($A90="",$D90="",$D90&gt;=EDATE(R$5,1)),0,MAX(0,MIN($K90,$E90-$G90-$I90-SUM($M90:Q90))))</f>
        <v>0</v>
      </c>
      <c r="S90" s="8">
        <f>IF(OR($A90="",$D90="",$D90&gt;=EDATE(S$5,1)),0,MAX(0,MIN($K90,$E90-$G90-$I90-SUM($M90:R90))))</f>
        <v>0</v>
      </c>
      <c r="T90" s="8">
        <f>IF(OR($A90="",$D90="",$D90&gt;=EDATE(T$5,1)),0,MAX(0,MIN($K90,$E90-$G90-$I90-SUM($M90:S90))))</f>
        <v>0</v>
      </c>
      <c r="U90" s="8">
        <f>IF(OR($A90="",$D90="",$D90&gt;=EDATE(U$5,1)),0,MAX(0,MIN($K90,$E90-$G90-$I90-SUM($M90:T90))))</f>
        <v>0</v>
      </c>
      <c r="V90" s="8">
        <f>IF(OR($A90="",$D90="",$D90&gt;=EDATE(V$5,1)),0,MAX(0,MIN($K90,$E90-$G90-$I90-SUM($M90:U90))))</f>
        <v>0</v>
      </c>
      <c r="W90" s="8">
        <f>IF(OR($A90="",$D90="",$D90&gt;=EDATE(W$5,1)),0,MAX(0,MIN($K90,$E90-$G90-$I90-SUM($M90:V90))))</f>
        <v>0</v>
      </c>
      <c r="X90" s="8">
        <f>IF(OR($A90="",$D90="",$D90&gt;=EDATE(X$5,1)),0,MAX(0,MIN($K90,$E90-$G90-$I90-SUM($M90:W90))))</f>
        <v>0</v>
      </c>
    </row>
    <row r="91" spans="1:24" ht="22" customHeight="1">
      <c r="A91" s="3"/>
      <c r="B91" s="3"/>
      <c r="C91" s="7"/>
      <c r="D91" s="7"/>
      <c r="E91" s="4"/>
      <c r="F91" s="4"/>
      <c r="G91" s="4"/>
      <c r="H91" s="3"/>
      <c r="I91" s="4"/>
      <c r="J91" s="3"/>
      <c r="K91" s="8" t="str">
        <f t="shared" si="4"/>
        <v/>
      </c>
      <c r="L91" s="8" t="str">
        <f>IF(COUNTA(A91:J91)=0,"",IF(OR(A91="",C91="",D91="",E91="",H91&lt;=0),"Faltan datos",IF(COUNTIF($A$7:$A$106,A91)&gt;1,"ID duplicado",IF(OR(E91&lt;0,G91&lt;0,I91&lt;0,G91+I91&gt;E91,D91&lt;C91),"Revisar activo",IF(AND(C91&gt;=DATE(Configuración!$C$5,1,1),I91&lt;&gt;0),"Dep. inicial no procede","OK")))))</f>
        <v/>
      </c>
      <c r="M91" s="8">
        <f t="shared" si="5"/>
        <v>0</v>
      </c>
      <c r="N91" s="8">
        <f>IF(OR($A91="",$D91="",$D91&gt;=EDATE(N$5,1)),0,MAX(0,MIN($K91,$E91-$G91-$I91-SUM($M91:M91))))</f>
        <v>0</v>
      </c>
      <c r="O91" s="8">
        <f>IF(OR($A91="",$D91="",$D91&gt;=EDATE(O$5,1)),0,MAX(0,MIN($K91,$E91-$G91-$I91-SUM($M91:N91))))</f>
        <v>0</v>
      </c>
      <c r="P91" s="8">
        <f>IF(OR($A91="",$D91="",$D91&gt;=EDATE(P$5,1)),0,MAX(0,MIN($K91,$E91-$G91-$I91-SUM($M91:O91))))</f>
        <v>0</v>
      </c>
      <c r="Q91" s="8">
        <f>IF(OR($A91="",$D91="",$D91&gt;=EDATE(Q$5,1)),0,MAX(0,MIN($K91,$E91-$G91-$I91-SUM($M91:P91))))</f>
        <v>0</v>
      </c>
      <c r="R91" s="8">
        <f>IF(OR($A91="",$D91="",$D91&gt;=EDATE(R$5,1)),0,MAX(0,MIN($K91,$E91-$G91-$I91-SUM($M91:Q91))))</f>
        <v>0</v>
      </c>
      <c r="S91" s="8">
        <f>IF(OR($A91="",$D91="",$D91&gt;=EDATE(S$5,1)),0,MAX(0,MIN($K91,$E91-$G91-$I91-SUM($M91:R91))))</f>
        <v>0</v>
      </c>
      <c r="T91" s="8">
        <f>IF(OR($A91="",$D91="",$D91&gt;=EDATE(T$5,1)),0,MAX(0,MIN($K91,$E91-$G91-$I91-SUM($M91:S91))))</f>
        <v>0</v>
      </c>
      <c r="U91" s="8">
        <f>IF(OR($A91="",$D91="",$D91&gt;=EDATE(U$5,1)),0,MAX(0,MIN($K91,$E91-$G91-$I91-SUM($M91:T91))))</f>
        <v>0</v>
      </c>
      <c r="V91" s="8">
        <f>IF(OR($A91="",$D91="",$D91&gt;=EDATE(V$5,1)),0,MAX(0,MIN($K91,$E91-$G91-$I91-SUM($M91:U91))))</f>
        <v>0</v>
      </c>
      <c r="W91" s="8">
        <f>IF(OR($A91="",$D91="",$D91&gt;=EDATE(W$5,1)),0,MAX(0,MIN($K91,$E91-$G91-$I91-SUM($M91:V91))))</f>
        <v>0</v>
      </c>
      <c r="X91" s="8">
        <f>IF(OR($A91="",$D91="",$D91&gt;=EDATE(X$5,1)),0,MAX(0,MIN($K91,$E91-$G91-$I91-SUM($M91:W91))))</f>
        <v>0</v>
      </c>
    </row>
    <row r="92" spans="1:24" ht="22" customHeight="1">
      <c r="A92" s="3"/>
      <c r="B92" s="3"/>
      <c r="C92" s="7"/>
      <c r="D92" s="7"/>
      <c r="E92" s="4"/>
      <c r="F92" s="4"/>
      <c r="G92" s="4"/>
      <c r="H92" s="3"/>
      <c r="I92" s="4"/>
      <c r="J92" s="3"/>
      <c r="K92" s="8" t="str">
        <f t="shared" si="4"/>
        <v/>
      </c>
      <c r="L92" s="8" t="str">
        <f>IF(COUNTA(A92:J92)=0,"",IF(OR(A92="",C92="",D92="",E92="",H92&lt;=0),"Faltan datos",IF(COUNTIF($A$7:$A$106,A92)&gt;1,"ID duplicado",IF(OR(E92&lt;0,G92&lt;0,I92&lt;0,G92+I92&gt;E92,D92&lt;C92),"Revisar activo",IF(AND(C92&gt;=DATE(Configuración!$C$5,1,1),I92&lt;&gt;0),"Dep. inicial no procede","OK")))))</f>
        <v/>
      </c>
      <c r="M92" s="8">
        <f t="shared" si="5"/>
        <v>0</v>
      </c>
      <c r="N92" s="8">
        <f>IF(OR($A92="",$D92="",$D92&gt;=EDATE(N$5,1)),0,MAX(0,MIN($K92,$E92-$G92-$I92-SUM($M92:M92))))</f>
        <v>0</v>
      </c>
      <c r="O92" s="8">
        <f>IF(OR($A92="",$D92="",$D92&gt;=EDATE(O$5,1)),0,MAX(0,MIN($K92,$E92-$G92-$I92-SUM($M92:N92))))</f>
        <v>0</v>
      </c>
      <c r="P92" s="8">
        <f>IF(OR($A92="",$D92="",$D92&gt;=EDATE(P$5,1)),0,MAX(0,MIN($K92,$E92-$G92-$I92-SUM($M92:O92))))</f>
        <v>0</v>
      </c>
      <c r="Q92" s="8">
        <f>IF(OR($A92="",$D92="",$D92&gt;=EDATE(Q$5,1)),0,MAX(0,MIN($K92,$E92-$G92-$I92-SUM($M92:P92))))</f>
        <v>0</v>
      </c>
      <c r="R92" s="8">
        <f>IF(OR($A92="",$D92="",$D92&gt;=EDATE(R$5,1)),0,MAX(0,MIN($K92,$E92-$G92-$I92-SUM($M92:Q92))))</f>
        <v>0</v>
      </c>
      <c r="S92" s="8">
        <f>IF(OR($A92="",$D92="",$D92&gt;=EDATE(S$5,1)),0,MAX(0,MIN($K92,$E92-$G92-$I92-SUM($M92:R92))))</f>
        <v>0</v>
      </c>
      <c r="T92" s="8">
        <f>IF(OR($A92="",$D92="",$D92&gt;=EDATE(T$5,1)),0,MAX(0,MIN($K92,$E92-$G92-$I92-SUM($M92:S92))))</f>
        <v>0</v>
      </c>
      <c r="U92" s="8">
        <f>IF(OR($A92="",$D92="",$D92&gt;=EDATE(U$5,1)),0,MAX(0,MIN($K92,$E92-$G92-$I92-SUM($M92:T92))))</f>
        <v>0</v>
      </c>
      <c r="V92" s="8">
        <f>IF(OR($A92="",$D92="",$D92&gt;=EDATE(V$5,1)),0,MAX(0,MIN($K92,$E92-$G92-$I92-SUM($M92:U92))))</f>
        <v>0</v>
      </c>
      <c r="W92" s="8">
        <f>IF(OR($A92="",$D92="",$D92&gt;=EDATE(W$5,1)),0,MAX(0,MIN($K92,$E92-$G92-$I92-SUM($M92:V92))))</f>
        <v>0</v>
      </c>
      <c r="X92" s="8">
        <f>IF(OR($A92="",$D92="",$D92&gt;=EDATE(X$5,1)),0,MAX(0,MIN($K92,$E92-$G92-$I92-SUM($M92:W92))))</f>
        <v>0</v>
      </c>
    </row>
    <row r="93" spans="1:24" ht="22" customHeight="1">
      <c r="A93" s="3"/>
      <c r="B93" s="3"/>
      <c r="C93" s="7"/>
      <c r="D93" s="7"/>
      <c r="E93" s="4"/>
      <c r="F93" s="4"/>
      <c r="G93" s="4"/>
      <c r="H93" s="3"/>
      <c r="I93" s="4"/>
      <c r="J93" s="3"/>
      <c r="K93" s="8" t="str">
        <f t="shared" si="4"/>
        <v/>
      </c>
      <c r="L93" s="8" t="str">
        <f>IF(COUNTA(A93:J93)=0,"",IF(OR(A93="",C93="",D93="",E93="",H93&lt;=0),"Faltan datos",IF(COUNTIF($A$7:$A$106,A93)&gt;1,"ID duplicado",IF(OR(E93&lt;0,G93&lt;0,I93&lt;0,G93+I93&gt;E93,D93&lt;C93),"Revisar activo",IF(AND(C93&gt;=DATE(Configuración!$C$5,1,1),I93&lt;&gt;0),"Dep. inicial no procede","OK")))))</f>
        <v/>
      </c>
      <c r="M93" s="8">
        <f t="shared" si="5"/>
        <v>0</v>
      </c>
      <c r="N93" s="8">
        <f>IF(OR($A93="",$D93="",$D93&gt;=EDATE(N$5,1)),0,MAX(0,MIN($K93,$E93-$G93-$I93-SUM($M93:M93))))</f>
        <v>0</v>
      </c>
      <c r="O93" s="8">
        <f>IF(OR($A93="",$D93="",$D93&gt;=EDATE(O$5,1)),0,MAX(0,MIN($K93,$E93-$G93-$I93-SUM($M93:N93))))</f>
        <v>0</v>
      </c>
      <c r="P93" s="8">
        <f>IF(OR($A93="",$D93="",$D93&gt;=EDATE(P$5,1)),0,MAX(0,MIN($K93,$E93-$G93-$I93-SUM($M93:O93))))</f>
        <v>0</v>
      </c>
      <c r="Q93" s="8">
        <f>IF(OR($A93="",$D93="",$D93&gt;=EDATE(Q$5,1)),0,MAX(0,MIN($K93,$E93-$G93-$I93-SUM($M93:P93))))</f>
        <v>0</v>
      </c>
      <c r="R93" s="8">
        <f>IF(OR($A93="",$D93="",$D93&gt;=EDATE(R$5,1)),0,MAX(0,MIN($K93,$E93-$G93-$I93-SUM($M93:Q93))))</f>
        <v>0</v>
      </c>
      <c r="S93" s="8">
        <f>IF(OR($A93="",$D93="",$D93&gt;=EDATE(S$5,1)),0,MAX(0,MIN($K93,$E93-$G93-$I93-SUM($M93:R93))))</f>
        <v>0</v>
      </c>
      <c r="T93" s="8">
        <f>IF(OR($A93="",$D93="",$D93&gt;=EDATE(T$5,1)),0,MAX(0,MIN($K93,$E93-$G93-$I93-SUM($M93:S93))))</f>
        <v>0</v>
      </c>
      <c r="U93" s="8">
        <f>IF(OR($A93="",$D93="",$D93&gt;=EDATE(U$5,1)),0,MAX(0,MIN($K93,$E93-$G93-$I93-SUM($M93:T93))))</f>
        <v>0</v>
      </c>
      <c r="V93" s="8">
        <f>IF(OR($A93="",$D93="",$D93&gt;=EDATE(V$5,1)),0,MAX(0,MIN($K93,$E93-$G93-$I93-SUM($M93:U93))))</f>
        <v>0</v>
      </c>
      <c r="W93" s="8">
        <f>IF(OR($A93="",$D93="",$D93&gt;=EDATE(W$5,1)),0,MAX(0,MIN($K93,$E93-$G93-$I93-SUM($M93:V93))))</f>
        <v>0</v>
      </c>
      <c r="X93" s="8">
        <f>IF(OR($A93="",$D93="",$D93&gt;=EDATE(X$5,1)),0,MAX(0,MIN($K93,$E93-$G93-$I93-SUM($M93:W93))))</f>
        <v>0</v>
      </c>
    </row>
    <row r="94" spans="1:24" ht="22" customHeight="1">
      <c r="A94" s="3"/>
      <c r="B94" s="3"/>
      <c r="C94" s="7"/>
      <c r="D94" s="7"/>
      <c r="E94" s="4"/>
      <c r="F94" s="4"/>
      <c r="G94" s="4"/>
      <c r="H94" s="3"/>
      <c r="I94" s="4"/>
      <c r="J94" s="3"/>
      <c r="K94" s="8" t="str">
        <f t="shared" si="4"/>
        <v/>
      </c>
      <c r="L94" s="8" t="str">
        <f>IF(COUNTA(A94:J94)=0,"",IF(OR(A94="",C94="",D94="",E94="",H94&lt;=0),"Faltan datos",IF(COUNTIF($A$7:$A$106,A94)&gt;1,"ID duplicado",IF(OR(E94&lt;0,G94&lt;0,I94&lt;0,G94+I94&gt;E94,D94&lt;C94),"Revisar activo",IF(AND(C94&gt;=DATE(Configuración!$C$5,1,1),I94&lt;&gt;0),"Dep. inicial no procede","OK")))))</f>
        <v/>
      </c>
      <c r="M94" s="8">
        <f t="shared" si="5"/>
        <v>0</v>
      </c>
      <c r="N94" s="8">
        <f>IF(OR($A94="",$D94="",$D94&gt;=EDATE(N$5,1)),0,MAX(0,MIN($K94,$E94-$G94-$I94-SUM($M94:M94))))</f>
        <v>0</v>
      </c>
      <c r="O94" s="8">
        <f>IF(OR($A94="",$D94="",$D94&gt;=EDATE(O$5,1)),0,MAX(0,MIN($K94,$E94-$G94-$I94-SUM($M94:N94))))</f>
        <v>0</v>
      </c>
      <c r="P94" s="8">
        <f>IF(OR($A94="",$D94="",$D94&gt;=EDATE(P$5,1)),0,MAX(0,MIN($K94,$E94-$G94-$I94-SUM($M94:O94))))</f>
        <v>0</v>
      </c>
      <c r="Q94" s="8">
        <f>IF(OR($A94="",$D94="",$D94&gt;=EDATE(Q$5,1)),0,MAX(0,MIN($K94,$E94-$G94-$I94-SUM($M94:P94))))</f>
        <v>0</v>
      </c>
      <c r="R94" s="8">
        <f>IF(OR($A94="",$D94="",$D94&gt;=EDATE(R$5,1)),0,MAX(0,MIN($K94,$E94-$G94-$I94-SUM($M94:Q94))))</f>
        <v>0</v>
      </c>
      <c r="S94" s="8">
        <f>IF(OR($A94="",$D94="",$D94&gt;=EDATE(S$5,1)),0,MAX(0,MIN($K94,$E94-$G94-$I94-SUM($M94:R94))))</f>
        <v>0</v>
      </c>
      <c r="T94" s="8">
        <f>IF(OR($A94="",$D94="",$D94&gt;=EDATE(T$5,1)),0,MAX(0,MIN($K94,$E94-$G94-$I94-SUM($M94:S94))))</f>
        <v>0</v>
      </c>
      <c r="U94" s="8">
        <f>IF(OR($A94="",$D94="",$D94&gt;=EDATE(U$5,1)),0,MAX(0,MIN($K94,$E94-$G94-$I94-SUM($M94:T94))))</f>
        <v>0</v>
      </c>
      <c r="V94" s="8">
        <f>IF(OR($A94="",$D94="",$D94&gt;=EDATE(V$5,1)),0,MAX(0,MIN($K94,$E94-$G94-$I94-SUM($M94:U94))))</f>
        <v>0</v>
      </c>
      <c r="W94" s="8">
        <f>IF(OR($A94="",$D94="",$D94&gt;=EDATE(W$5,1)),0,MAX(0,MIN($K94,$E94-$G94-$I94-SUM($M94:V94))))</f>
        <v>0</v>
      </c>
      <c r="X94" s="8">
        <f>IF(OR($A94="",$D94="",$D94&gt;=EDATE(X$5,1)),0,MAX(0,MIN($K94,$E94-$G94-$I94-SUM($M94:W94))))</f>
        <v>0</v>
      </c>
    </row>
    <row r="95" spans="1:24" ht="22" customHeight="1">
      <c r="A95" s="3"/>
      <c r="B95" s="3"/>
      <c r="C95" s="7"/>
      <c r="D95" s="7"/>
      <c r="E95" s="4"/>
      <c r="F95" s="4"/>
      <c r="G95" s="4"/>
      <c r="H95" s="3"/>
      <c r="I95" s="4"/>
      <c r="J95" s="3"/>
      <c r="K95" s="8" t="str">
        <f t="shared" si="4"/>
        <v/>
      </c>
      <c r="L95" s="8" t="str">
        <f>IF(COUNTA(A95:J95)=0,"",IF(OR(A95="",C95="",D95="",E95="",H95&lt;=0),"Faltan datos",IF(COUNTIF($A$7:$A$106,A95)&gt;1,"ID duplicado",IF(OR(E95&lt;0,G95&lt;0,I95&lt;0,G95+I95&gt;E95,D95&lt;C95),"Revisar activo",IF(AND(C95&gt;=DATE(Configuración!$C$5,1,1),I95&lt;&gt;0),"Dep. inicial no procede","OK")))))</f>
        <v/>
      </c>
      <c r="M95" s="8">
        <f t="shared" si="5"/>
        <v>0</v>
      </c>
      <c r="N95" s="8">
        <f>IF(OR($A95="",$D95="",$D95&gt;=EDATE(N$5,1)),0,MAX(0,MIN($K95,$E95-$G95-$I95-SUM($M95:M95))))</f>
        <v>0</v>
      </c>
      <c r="O95" s="8">
        <f>IF(OR($A95="",$D95="",$D95&gt;=EDATE(O$5,1)),0,MAX(0,MIN($K95,$E95-$G95-$I95-SUM($M95:N95))))</f>
        <v>0</v>
      </c>
      <c r="P95" s="8">
        <f>IF(OR($A95="",$D95="",$D95&gt;=EDATE(P$5,1)),0,MAX(0,MIN($K95,$E95-$G95-$I95-SUM($M95:O95))))</f>
        <v>0</v>
      </c>
      <c r="Q95" s="8">
        <f>IF(OR($A95="",$D95="",$D95&gt;=EDATE(Q$5,1)),0,MAX(0,MIN($K95,$E95-$G95-$I95-SUM($M95:P95))))</f>
        <v>0</v>
      </c>
      <c r="R95" s="8">
        <f>IF(OR($A95="",$D95="",$D95&gt;=EDATE(R$5,1)),0,MAX(0,MIN($K95,$E95-$G95-$I95-SUM($M95:Q95))))</f>
        <v>0</v>
      </c>
      <c r="S95" s="8">
        <f>IF(OR($A95="",$D95="",$D95&gt;=EDATE(S$5,1)),0,MAX(0,MIN($K95,$E95-$G95-$I95-SUM($M95:R95))))</f>
        <v>0</v>
      </c>
      <c r="T95" s="8">
        <f>IF(OR($A95="",$D95="",$D95&gt;=EDATE(T$5,1)),0,MAX(0,MIN($K95,$E95-$G95-$I95-SUM($M95:S95))))</f>
        <v>0</v>
      </c>
      <c r="U95" s="8">
        <f>IF(OR($A95="",$D95="",$D95&gt;=EDATE(U$5,1)),0,MAX(0,MIN($K95,$E95-$G95-$I95-SUM($M95:T95))))</f>
        <v>0</v>
      </c>
      <c r="V95" s="8">
        <f>IF(OR($A95="",$D95="",$D95&gt;=EDATE(V$5,1)),0,MAX(0,MIN($K95,$E95-$G95-$I95-SUM($M95:U95))))</f>
        <v>0</v>
      </c>
      <c r="W95" s="8">
        <f>IF(OR($A95="",$D95="",$D95&gt;=EDATE(W$5,1)),0,MAX(0,MIN($K95,$E95-$G95-$I95-SUM($M95:V95))))</f>
        <v>0</v>
      </c>
      <c r="X95" s="8">
        <f>IF(OR($A95="",$D95="",$D95&gt;=EDATE(X$5,1)),0,MAX(0,MIN($K95,$E95-$G95-$I95-SUM($M95:W95))))</f>
        <v>0</v>
      </c>
    </row>
    <row r="96" spans="1:24" ht="22" customHeight="1">
      <c r="A96" s="3"/>
      <c r="B96" s="3"/>
      <c r="C96" s="7"/>
      <c r="D96" s="7"/>
      <c r="E96" s="4"/>
      <c r="F96" s="4"/>
      <c r="G96" s="4"/>
      <c r="H96" s="3"/>
      <c r="I96" s="4"/>
      <c r="J96" s="3"/>
      <c r="K96" s="8" t="str">
        <f t="shared" si="4"/>
        <v/>
      </c>
      <c r="L96" s="8" t="str">
        <f>IF(COUNTA(A96:J96)=0,"",IF(OR(A96="",C96="",D96="",E96="",H96&lt;=0),"Faltan datos",IF(COUNTIF($A$7:$A$106,A96)&gt;1,"ID duplicado",IF(OR(E96&lt;0,G96&lt;0,I96&lt;0,G96+I96&gt;E96,D96&lt;C96),"Revisar activo",IF(AND(C96&gt;=DATE(Configuración!$C$5,1,1),I96&lt;&gt;0),"Dep. inicial no procede","OK")))))</f>
        <v/>
      </c>
      <c r="M96" s="8">
        <f t="shared" si="5"/>
        <v>0</v>
      </c>
      <c r="N96" s="8">
        <f>IF(OR($A96="",$D96="",$D96&gt;=EDATE(N$5,1)),0,MAX(0,MIN($K96,$E96-$G96-$I96-SUM($M96:M96))))</f>
        <v>0</v>
      </c>
      <c r="O96" s="8">
        <f>IF(OR($A96="",$D96="",$D96&gt;=EDATE(O$5,1)),0,MAX(0,MIN($K96,$E96-$G96-$I96-SUM($M96:N96))))</f>
        <v>0</v>
      </c>
      <c r="P96" s="8">
        <f>IF(OR($A96="",$D96="",$D96&gt;=EDATE(P$5,1)),0,MAX(0,MIN($K96,$E96-$G96-$I96-SUM($M96:O96))))</f>
        <v>0</v>
      </c>
      <c r="Q96" s="8">
        <f>IF(OR($A96="",$D96="",$D96&gt;=EDATE(Q$5,1)),0,MAX(0,MIN($K96,$E96-$G96-$I96-SUM($M96:P96))))</f>
        <v>0</v>
      </c>
      <c r="R96" s="8">
        <f>IF(OR($A96="",$D96="",$D96&gt;=EDATE(R$5,1)),0,MAX(0,MIN($K96,$E96-$G96-$I96-SUM($M96:Q96))))</f>
        <v>0</v>
      </c>
      <c r="S96" s="8">
        <f>IF(OR($A96="",$D96="",$D96&gt;=EDATE(S$5,1)),0,MAX(0,MIN($K96,$E96-$G96-$I96-SUM($M96:R96))))</f>
        <v>0</v>
      </c>
      <c r="T96" s="8">
        <f>IF(OR($A96="",$D96="",$D96&gt;=EDATE(T$5,1)),0,MAX(0,MIN($K96,$E96-$G96-$I96-SUM($M96:S96))))</f>
        <v>0</v>
      </c>
      <c r="U96" s="8">
        <f>IF(OR($A96="",$D96="",$D96&gt;=EDATE(U$5,1)),0,MAX(0,MIN($K96,$E96-$G96-$I96-SUM($M96:T96))))</f>
        <v>0</v>
      </c>
      <c r="V96" s="8">
        <f>IF(OR($A96="",$D96="",$D96&gt;=EDATE(V$5,1)),0,MAX(0,MIN($K96,$E96-$G96-$I96-SUM($M96:U96))))</f>
        <v>0</v>
      </c>
      <c r="W96" s="8">
        <f>IF(OR($A96="",$D96="",$D96&gt;=EDATE(W$5,1)),0,MAX(0,MIN($K96,$E96-$G96-$I96-SUM($M96:V96))))</f>
        <v>0</v>
      </c>
      <c r="X96" s="8">
        <f>IF(OR($A96="",$D96="",$D96&gt;=EDATE(X$5,1)),0,MAX(0,MIN($K96,$E96-$G96-$I96-SUM($M96:W96))))</f>
        <v>0</v>
      </c>
    </row>
    <row r="97" spans="1:24" ht="22" customHeight="1">
      <c r="A97" s="3"/>
      <c r="B97" s="3"/>
      <c r="C97" s="7"/>
      <c r="D97" s="7"/>
      <c r="E97" s="4"/>
      <c r="F97" s="4"/>
      <c r="G97" s="4"/>
      <c r="H97" s="3"/>
      <c r="I97" s="4"/>
      <c r="J97" s="3"/>
      <c r="K97" s="8" t="str">
        <f t="shared" si="4"/>
        <v/>
      </c>
      <c r="L97" s="8" t="str">
        <f>IF(COUNTA(A97:J97)=0,"",IF(OR(A97="",C97="",D97="",E97="",H97&lt;=0),"Faltan datos",IF(COUNTIF($A$7:$A$106,A97)&gt;1,"ID duplicado",IF(OR(E97&lt;0,G97&lt;0,I97&lt;0,G97+I97&gt;E97,D97&lt;C97),"Revisar activo",IF(AND(C97&gt;=DATE(Configuración!$C$5,1,1),I97&lt;&gt;0),"Dep. inicial no procede","OK")))))</f>
        <v/>
      </c>
      <c r="M97" s="8">
        <f t="shared" si="5"/>
        <v>0</v>
      </c>
      <c r="N97" s="8">
        <f>IF(OR($A97="",$D97="",$D97&gt;=EDATE(N$5,1)),0,MAX(0,MIN($K97,$E97-$G97-$I97-SUM($M97:M97))))</f>
        <v>0</v>
      </c>
      <c r="O97" s="8">
        <f>IF(OR($A97="",$D97="",$D97&gt;=EDATE(O$5,1)),0,MAX(0,MIN($K97,$E97-$G97-$I97-SUM($M97:N97))))</f>
        <v>0</v>
      </c>
      <c r="P97" s="8">
        <f>IF(OR($A97="",$D97="",$D97&gt;=EDATE(P$5,1)),0,MAX(0,MIN($K97,$E97-$G97-$I97-SUM($M97:O97))))</f>
        <v>0</v>
      </c>
      <c r="Q97" s="8">
        <f>IF(OR($A97="",$D97="",$D97&gt;=EDATE(Q$5,1)),0,MAX(0,MIN($K97,$E97-$G97-$I97-SUM($M97:P97))))</f>
        <v>0</v>
      </c>
      <c r="R97" s="8">
        <f>IF(OR($A97="",$D97="",$D97&gt;=EDATE(R$5,1)),0,MAX(0,MIN($K97,$E97-$G97-$I97-SUM($M97:Q97))))</f>
        <v>0</v>
      </c>
      <c r="S97" s="8">
        <f>IF(OR($A97="",$D97="",$D97&gt;=EDATE(S$5,1)),0,MAX(0,MIN($K97,$E97-$G97-$I97-SUM($M97:R97))))</f>
        <v>0</v>
      </c>
      <c r="T97" s="8">
        <f>IF(OR($A97="",$D97="",$D97&gt;=EDATE(T$5,1)),0,MAX(0,MIN($K97,$E97-$G97-$I97-SUM($M97:S97))))</f>
        <v>0</v>
      </c>
      <c r="U97" s="8">
        <f>IF(OR($A97="",$D97="",$D97&gt;=EDATE(U$5,1)),0,MAX(0,MIN($K97,$E97-$G97-$I97-SUM($M97:T97))))</f>
        <v>0</v>
      </c>
      <c r="V97" s="8">
        <f>IF(OR($A97="",$D97="",$D97&gt;=EDATE(V$5,1)),0,MAX(0,MIN($K97,$E97-$G97-$I97-SUM($M97:U97))))</f>
        <v>0</v>
      </c>
      <c r="W97" s="8">
        <f>IF(OR($A97="",$D97="",$D97&gt;=EDATE(W$5,1)),0,MAX(0,MIN($K97,$E97-$G97-$I97-SUM($M97:V97))))</f>
        <v>0</v>
      </c>
      <c r="X97" s="8">
        <f>IF(OR($A97="",$D97="",$D97&gt;=EDATE(X$5,1)),0,MAX(0,MIN($K97,$E97-$G97-$I97-SUM($M97:W97))))</f>
        <v>0</v>
      </c>
    </row>
    <row r="98" spans="1:24" ht="22" customHeight="1">
      <c r="A98" s="3"/>
      <c r="B98" s="3"/>
      <c r="C98" s="7"/>
      <c r="D98" s="7"/>
      <c r="E98" s="4"/>
      <c r="F98" s="4"/>
      <c r="G98" s="4"/>
      <c r="H98" s="3"/>
      <c r="I98" s="4"/>
      <c r="J98" s="3"/>
      <c r="K98" s="8" t="str">
        <f t="shared" si="4"/>
        <v/>
      </c>
      <c r="L98" s="8" t="str">
        <f>IF(COUNTA(A98:J98)=0,"",IF(OR(A98="",C98="",D98="",E98="",H98&lt;=0),"Faltan datos",IF(COUNTIF($A$7:$A$106,A98)&gt;1,"ID duplicado",IF(OR(E98&lt;0,G98&lt;0,I98&lt;0,G98+I98&gt;E98,D98&lt;C98),"Revisar activo",IF(AND(C98&gt;=DATE(Configuración!$C$5,1,1),I98&lt;&gt;0),"Dep. inicial no procede","OK")))))</f>
        <v/>
      </c>
      <c r="M98" s="8">
        <f t="shared" si="5"/>
        <v>0</v>
      </c>
      <c r="N98" s="8">
        <f>IF(OR($A98="",$D98="",$D98&gt;=EDATE(N$5,1)),0,MAX(0,MIN($K98,$E98-$G98-$I98-SUM($M98:M98))))</f>
        <v>0</v>
      </c>
      <c r="O98" s="8">
        <f>IF(OR($A98="",$D98="",$D98&gt;=EDATE(O$5,1)),0,MAX(0,MIN($K98,$E98-$G98-$I98-SUM($M98:N98))))</f>
        <v>0</v>
      </c>
      <c r="P98" s="8">
        <f>IF(OR($A98="",$D98="",$D98&gt;=EDATE(P$5,1)),0,MAX(0,MIN($K98,$E98-$G98-$I98-SUM($M98:O98))))</f>
        <v>0</v>
      </c>
      <c r="Q98" s="8">
        <f>IF(OR($A98="",$D98="",$D98&gt;=EDATE(Q$5,1)),0,MAX(0,MIN($K98,$E98-$G98-$I98-SUM($M98:P98))))</f>
        <v>0</v>
      </c>
      <c r="R98" s="8">
        <f>IF(OR($A98="",$D98="",$D98&gt;=EDATE(R$5,1)),0,MAX(0,MIN($K98,$E98-$G98-$I98-SUM($M98:Q98))))</f>
        <v>0</v>
      </c>
      <c r="S98" s="8">
        <f>IF(OR($A98="",$D98="",$D98&gt;=EDATE(S$5,1)),0,MAX(0,MIN($K98,$E98-$G98-$I98-SUM($M98:R98))))</f>
        <v>0</v>
      </c>
      <c r="T98" s="8">
        <f>IF(OR($A98="",$D98="",$D98&gt;=EDATE(T$5,1)),0,MAX(0,MIN($K98,$E98-$G98-$I98-SUM($M98:S98))))</f>
        <v>0</v>
      </c>
      <c r="U98" s="8">
        <f>IF(OR($A98="",$D98="",$D98&gt;=EDATE(U$5,1)),0,MAX(0,MIN($K98,$E98-$G98-$I98-SUM($M98:T98))))</f>
        <v>0</v>
      </c>
      <c r="V98" s="8">
        <f>IF(OR($A98="",$D98="",$D98&gt;=EDATE(V$5,1)),0,MAX(0,MIN($K98,$E98-$G98-$I98-SUM($M98:U98))))</f>
        <v>0</v>
      </c>
      <c r="W98" s="8">
        <f>IF(OR($A98="",$D98="",$D98&gt;=EDATE(W$5,1)),0,MAX(0,MIN($K98,$E98-$G98-$I98-SUM($M98:V98))))</f>
        <v>0</v>
      </c>
      <c r="X98" s="8">
        <f>IF(OR($A98="",$D98="",$D98&gt;=EDATE(X$5,1)),0,MAX(0,MIN($K98,$E98-$G98-$I98-SUM($M98:W98))))</f>
        <v>0</v>
      </c>
    </row>
    <row r="99" spans="1:24" ht="22" customHeight="1">
      <c r="A99" s="3"/>
      <c r="B99" s="3"/>
      <c r="C99" s="7"/>
      <c r="D99" s="7"/>
      <c r="E99" s="4"/>
      <c r="F99" s="4"/>
      <c r="G99" s="4"/>
      <c r="H99" s="3"/>
      <c r="I99" s="4"/>
      <c r="J99" s="3"/>
      <c r="K99" s="8" t="str">
        <f t="shared" si="4"/>
        <v/>
      </c>
      <c r="L99" s="8" t="str">
        <f>IF(COUNTA(A99:J99)=0,"",IF(OR(A99="",C99="",D99="",E99="",H99&lt;=0),"Faltan datos",IF(COUNTIF($A$7:$A$106,A99)&gt;1,"ID duplicado",IF(OR(E99&lt;0,G99&lt;0,I99&lt;0,G99+I99&gt;E99,D99&lt;C99),"Revisar activo",IF(AND(C99&gt;=DATE(Configuración!$C$5,1,1),I99&lt;&gt;0),"Dep. inicial no procede","OK")))))</f>
        <v/>
      </c>
      <c r="M99" s="8">
        <f t="shared" si="5"/>
        <v>0</v>
      </c>
      <c r="N99" s="8">
        <f>IF(OR($A99="",$D99="",$D99&gt;=EDATE(N$5,1)),0,MAX(0,MIN($K99,$E99-$G99-$I99-SUM($M99:M99))))</f>
        <v>0</v>
      </c>
      <c r="O99" s="8">
        <f>IF(OR($A99="",$D99="",$D99&gt;=EDATE(O$5,1)),0,MAX(0,MIN($K99,$E99-$G99-$I99-SUM($M99:N99))))</f>
        <v>0</v>
      </c>
      <c r="P99" s="8">
        <f>IF(OR($A99="",$D99="",$D99&gt;=EDATE(P$5,1)),0,MAX(0,MIN($K99,$E99-$G99-$I99-SUM($M99:O99))))</f>
        <v>0</v>
      </c>
      <c r="Q99" s="8">
        <f>IF(OR($A99="",$D99="",$D99&gt;=EDATE(Q$5,1)),0,MAX(0,MIN($K99,$E99-$G99-$I99-SUM($M99:P99))))</f>
        <v>0</v>
      </c>
      <c r="R99" s="8">
        <f>IF(OR($A99="",$D99="",$D99&gt;=EDATE(R$5,1)),0,MAX(0,MIN($K99,$E99-$G99-$I99-SUM($M99:Q99))))</f>
        <v>0</v>
      </c>
      <c r="S99" s="8">
        <f>IF(OR($A99="",$D99="",$D99&gt;=EDATE(S$5,1)),0,MAX(0,MIN($K99,$E99-$G99-$I99-SUM($M99:R99))))</f>
        <v>0</v>
      </c>
      <c r="T99" s="8">
        <f>IF(OR($A99="",$D99="",$D99&gt;=EDATE(T$5,1)),0,MAX(0,MIN($K99,$E99-$G99-$I99-SUM($M99:S99))))</f>
        <v>0</v>
      </c>
      <c r="U99" s="8">
        <f>IF(OR($A99="",$D99="",$D99&gt;=EDATE(U$5,1)),0,MAX(0,MIN($K99,$E99-$G99-$I99-SUM($M99:T99))))</f>
        <v>0</v>
      </c>
      <c r="V99" s="8">
        <f>IF(OR($A99="",$D99="",$D99&gt;=EDATE(V$5,1)),0,MAX(0,MIN($K99,$E99-$G99-$I99-SUM($M99:U99))))</f>
        <v>0</v>
      </c>
      <c r="W99" s="8">
        <f>IF(OR($A99="",$D99="",$D99&gt;=EDATE(W$5,1)),0,MAX(0,MIN($K99,$E99-$G99-$I99-SUM($M99:V99))))</f>
        <v>0</v>
      </c>
      <c r="X99" s="8">
        <f>IF(OR($A99="",$D99="",$D99&gt;=EDATE(X$5,1)),0,MAX(0,MIN($K99,$E99-$G99-$I99-SUM($M99:W99))))</f>
        <v>0</v>
      </c>
    </row>
    <row r="100" spans="1:24" ht="22" customHeight="1">
      <c r="A100" s="3"/>
      <c r="B100" s="3"/>
      <c r="C100" s="7"/>
      <c r="D100" s="7"/>
      <c r="E100" s="4"/>
      <c r="F100" s="4"/>
      <c r="G100" s="4"/>
      <c r="H100" s="3"/>
      <c r="I100" s="4"/>
      <c r="J100" s="3"/>
      <c r="K100" s="8" t="str">
        <f t="shared" si="4"/>
        <v/>
      </c>
      <c r="L100" s="8" t="str">
        <f>IF(COUNTA(A100:J100)=0,"",IF(OR(A100="",C100="",D100="",E100="",H100&lt;=0),"Faltan datos",IF(COUNTIF($A$7:$A$106,A100)&gt;1,"ID duplicado",IF(OR(E100&lt;0,G100&lt;0,I100&lt;0,G100+I100&gt;E100,D100&lt;C100),"Revisar activo",IF(AND(C100&gt;=DATE(Configuración!$C$5,1,1),I100&lt;&gt;0),"Dep. inicial no procede","OK")))))</f>
        <v/>
      </c>
      <c r="M100" s="8">
        <f t="shared" si="5"/>
        <v>0</v>
      </c>
      <c r="N100" s="8">
        <f>IF(OR($A100="",$D100="",$D100&gt;=EDATE(N$5,1)),0,MAX(0,MIN($K100,$E100-$G100-$I100-SUM($M100:M100))))</f>
        <v>0</v>
      </c>
      <c r="O100" s="8">
        <f>IF(OR($A100="",$D100="",$D100&gt;=EDATE(O$5,1)),0,MAX(0,MIN($K100,$E100-$G100-$I100-SUM($M100:N100))))</f>
        <v>0</v>
      </c>
      <c r="P100" s="8">
        <f>IF(OR($A100="",$D100="",$D100&gt;=EDATE(P$5,1)),0,MAX(0,MIN($K100,$E100-$G100-$I100-SUM($M100:O100))))</f>
        <v>0</v>
      </c>
      <c r="Q100" s="8">
        <f>IF(OR($A100="",$D100="",$D100&gt;=EDATE(Q$5,1)),0,MAX(0,MIN($K100,$E100-$G100-$I100-SUM($M100:P100))))</f>
        <v>0</v>
      </c>
      <c r="R100" s="8">
        <f>IF(OR($A100="",$D100="",$D100&gt;=EDATE(R$5,1)),0,MAX(0,MIN($K100,$E100-$G100-$I100-SUM($M100:Q100))))</f>
        <v>0</v>
      </c>
      <c r="S100" s="8">
        <f>IF(OR($A100="",$D100="",$D100&gt;=EDATE(S$5,1)),0,MAX(0,MIN($K100,$E100-$G100-$I100-SUM($M100:R100))))</f>
        <v>0</v>
      </c>
      <c r="T100" s="8">
        <f>IF(OR($A100="",$D100="",$D100&gt;=EDATE(T$5,1)),0,MAX(0,MIN($K100,$E100-$G100-$I100-SUM($M100:S100))))</f>
        <v>0</v>
      </c>
      <c r="U100" s="8">
        <f>IF(OR($A100="",$D100="",$D100&gt;=EDATE(U$5,1)),0,MAX(0,MIN($K100,$E100-$G100-$I100-SUM($M100:T100))))</f>
        <v>0</v>
      </c>
      <c r="V100" s="8">
        <f>IF(OR($A100="",$D100="",$D100&gt;=EDATE(V$5,1)),0,MAX(0,MIN($K100,$E100-$G100-$I100-SUM($M100:U100))))</f>
        <v>0</v>
      </c>
      <c r="W100" s="8">
        <f>IF(OR($A100="",$D100="",$D100&gt;=EDATE(W$5,1)),0,MAX(0,MIN($K100,$E100-$G100-$I100-SUM($M100:V100))))</f>
        <v>0</v>
      </c>
      <c r="X100" s="8">
        <f>IF(OR($A100="",$D100="",$D100&gt;=EDATE(X$5,1)),0,MAX(0,MIN($K100,$E100-$G100-$I100-SUM($M100:W100))))</f>
        <v>0</v>
      </c>
    </row>
    <row r="101" spans="1:24" ht="22" customHeight="1">
      <c r="A101" s="3"/>
      <c r="B101" s="3"/>
      <c r="C101" s="7"/>
      <c r="D101" s="7"/>
      <c r="E101" s="4"/>
      <c r="F101" s="4"/>
      <c r="G101" s="4"/>
      <c r="H101" s="3"/>
      <c r="I101" s="4"/>
      <c r="J101" s="3"/>
      <c r="K101" s="8" t="str">
        <f t="shared" si="4"/>
        <v/>
      </c>
      <c r="L101" s="8" t="str">
        <f>IF(COUNTA(A101:J101)=0,"",IF(OR(A101="",C101="",D101="",E101="",H101&lt;=0),"Faltan datos",IF(COUNTIF($A$7:$A$106,A101)&gt;1,"ID duplicado",IF(OR(E101&lt;0,G101&lt;0,I101&lt;0,G101+I101&gt;E101,D101&lt;C101),"Revisar activo",IF(AND(C101&gt;=DATE(Configuración!$C$5,1,1),I101&lt;&gt;0),"Dep. inicial no procede","OK")))))</f>
        <v/>
      </c>
      <c r="M101" s="8">
        <f t="shared" si="5"/>
        <v>0</v>
      </c>
      <c r="N101" s="8">
        <f>IF(OR($A101="",$D101="",$D101&gt;=EDATE(N$5,1)),0,MAX(0,MIN($K101,$E101-$G101-$I101-SUM($M101:M101))))</f>
        <v>0</v>
      </c>
      <c r="O101" s="8">
        <f>IF(OR($A101="",$D101="",$D101&gt;=EDATE(O$5,1)),0,MAX(0,MIN($K101,$E101-$G101-$I101-SUM($M101:N101))))</f>
        <v>0</v>
      </c>
      <c r="P101" s="8">
        <f>IF(OR($A101="",$D101="",$D101&gt;=EDATE(P$5,1)),0,MAX(0,MIN($K101,$E101-$G101-$I101-SUM($M101:O101))))</f>
        <v>0</v>
      </c>
      <c r="Q101" s="8">
        <f>IF(OR($A101="",$D101="",$D101&gt;=EDATE(Q$5,1)),0,MAX(0,MIN($K101,$E101-$G101-$I101-SUM($M101:P101))))</f>
        <v>0</v>
      </c>
      <c r="R101" s="8">
        <f>IF(OR($A101="",$D101="",$D101&gt;=EDATE(R$5,1)),0,MAX(0,MIN($K101,$E101-$G101-$I101-SUM($M101:Q101))))</f>
        <v>0</v>
      </c>
      <c r="S101" s="8">
        <f>IF(OR($A101="",$D101="",$D101&gt;=EDATE(S$5,1)),0,MAX(0,MIN($K101,$E101-$G101-$I101-SUM($M101:R101))))</f>
        <v>0</v>
      </c>
      <c r="T101" s="8">
        <f>IF(OR($A101="",$D101="",$D101&gt;=EDATE(T$5,1)),0,MAX(0,MIN($K101,$E101-$G101-$I101-SUM($M101:S101))))</f>
        <v>0</v>
      </c>
      <c r="U101" s="8">
        <f>IF(OR($A101="",$D101="",$D101&gt;=EDATE(U$5,1)),0,MAX(0,MIN($K101,$E101-$G101-$I101-SUM($M101:T101))))</f>
        <v>0</v>
      </c>
      <c r="V101" s="8">
        <f>IF(OR($A101="",$D101="",$D101&gt;=EDATE(V$5,1)),0,MAX(0,MIN($K101,$E101-$G101-$I101-SUM($M101:U101))))</f>
        <v>0</v>
      </c>
      <c r="W101" s="8">
        <f>IF(OR($A101="",$D101="",$D101&gt;=EDATE(W$5,1)),0,MAX(0,MIN($K101,$E101-$G101-$I101-SUM($M101:V101))))</f>
        <v>0</v>
      </c>
      <c r="X101" s="8">
        <f>IF(OR($A101="",$D101="",$D101&gt;=EDATE(X$5,1)),0,MAX(0,MIN($K101,$E101-$G101-$I101-SUM($M101:W101))))</f>
        <v>0</v>
      </c>
    </row>
    <row r="102" spans="1:24" ht="22" customHeight="1">
      <c r="A102" s="3"/>
      <c r="B102" s="3"/>
      <c r="C102" s="7"/>
      <c r="D102" s="7"/>
      <c r="E102" s="4"/>
      <c r="F102" s="4"/>
      <c r="G102" s="4"/>
      <c r="H102" s="3"/>
      <c r="I102" s="4"/>
      <c r="J102" s="3"/>
      <c r="K102" s="8" t="str">
        <f t="shared" si="4"/>
        <v/>
      </c>
      <c r="L102" s="8" t="str">
        <f>IF(COUNTA(A102:J102)=0,"",IF(OR(A102="",C102="",D102="",E102="",H102&lt;=0),"Faltan datos",IF(COUNTIF($A$7:$A$106,A102)&gt;1,"ID duplicado",IF(OR(E102&lt;0,G102&lt;0,I102&lt;0,G102+I102&gt;E102,D102&lt;C102),"Revisar activo",IF(AND(C102&gt;=DATE(Configuración!$C$5,1,1),I102&lt;&gt;0),"Dep. inicial no procede","OK")))))</f>
        <v/>
      </c>
      <c r="M102" s="8">
        <f t="shared" si="5"/>
        <v>0</v>
      </c>
      <c r="N102" s="8">
        <f>IF(OR($A102="",$D102="",$D102&gt;=EDATE(N$5,1)),0,MAX(0,MIN($K102,$E102-$G102-$I102-SUM($M102:M102))))</f>
        <v>0</v>
      </c>
      <c r="O102" s="8">
        <f>IF(OR($A102="",$D102="",$D102&gt;=EDATE(O$5,1)),0,MAX(0,MIN($K102,$E102-$G102-$I102-SUM($M102:N102))))</f>
        <v>0</v>
      </c>
      <c r="P102" s="8">
        <f>IF(OR($A102="",$D102="",$D102&gt;=EDATE(P$5,1)),0,MAX(0,MIN($K102,$E102-$G102-$I102-SUM($M102:O102))))</f>
        <v>0</v>
      </c>
      <c r="Q102" s="8">
        <f>IF(OR($A102="",$D102="",$D102&gt;=EDATE(Q$5,1)),0,MAX(0,MIN($K102,$E102-$G102-$I102-SUM($M102:P102))))</f>
        <v>0</v>
      </c>
      <c r="R102" s="8">
        <f>IF(OR($A102="",$D102="",$D102&gt;=EDATE(R$5,1)),0,MAX(0,MIN($K102,$E102-$G102-$I102-SUM($M102:Q102))))</f>
        <v>0</v>
      </c>
      <c r="S102" s="8">
        <f>IF(OR($A102="",$D102="",$D102&gt;=EDATE(S$5,1)),0,MAX(0,MIN($K102,$E102-$G102-$I102-SUM($M102:R102))))</f>
        <v>0</v>
      </c>
      <c r="T102" s="8">
        <f>IF(OR($A102="",$D102="",$D102&gt;=EDATE(T$5,1)),0,MAX(0,MIN($K102,$E102-$G102-$I102-SUM($M102:S102))))</f>
        <v>0</v>
      </c>
      <c r="U102" s="8">
        <f>IF(OR($A102="",$D102="",$D102&gt;=EDATE(U$5,1)),0,MAX(0,MIN($K102,$E102-$G102-$I102-SUM($M102:T102))))</f>
        <v>0</v>
      </c>
      <c r="V102" s="8">
        <f>IF(OR($A102="",$D102="",$D102&gt;=EDATE(V$5,1)),0,MAX(0,MIN($K102,$E102-$G102-$I102-SUM($M102:U102))))</f>
        <v>0</v>
      </c>
      <c r="W102" s="8">
        <f>IF(OR($A102="",$D102="",$D102&gt;=EDATE(W$5,1)),0,MAX(0,MIN($K102,$E102-$G102-$I102-SUM($M102:V102))))</f>
        <v>0</v>
      </c>
      <c r="X102" s="8">
        <f>IF(OR($A102="",$D102="",$D102&gt;=EDATE(X$5,1)),0,MAX(0,MIN($K102,$E102-$G102-$I102-SUM($M102:W102))))</f>
        <v>0</v>
      </c>
    </row>
    <row r="103" spans="1:24" ht="22" customHeight="1">
      <c r="A103" s="3"/>
      <c r="B103" s="3"/>
      <c r="C103" s="7"/>
      <c r="D103" s="7"/>
      <c r="E103" s="4"/>
      <c r="F103" s="4"/>
      <c r="G103" s="4"/>
      <c r="H103" s="3"/>
      <c r="I103" s="4"/>
      <c r="J103" s="3"/>
      <c r="K103" s="8" t="str">
        <f t="shared" si="4"/>
        <v/>
      </c>
      <c r="L103" s="8" t="str">
        <f>IF(COUNTA(A103:J103)=0,"",IF(OR(A103="",C103="",D103="",E103="",H103&lt;=0),"Faltan datos",IF(COUNTIF($A$7:$A$106,A103)&gt;1,"ID duplicado",IF(OR(E103&lt;0,G103&lt;0,I103&lt;0,G103+I103&gt;E103,D103&lt;C103),"Revisar activo",IF(AND(C103&gt;=DATE(Configuración!$C$5,1,1),I103&lt;&gt;0),"Dep. inicial no procede","OK")))))</f>
        <v/>
      </c>
      <c r="M103" s="8">
        <f t="shared" si="5"/>
        <v>0</v>
      </c>
      <c r="N103" s="8">
        <f>IF(OR($A103="",$D103="",$D103&gt;=EDATE(N$5,1)),0,MAX(0,MIN($K103,$E103-$G103-$I103-SUM($M103:M103))))</f>
        <v>0</v>
      </c>
      <c r="O103" s="8">
        <f>IF(OR($A103="",$D103="",$D103&gt;=EDATE(O$5,1)),0,MAX(0,MIN($K103,$E103-$G103-$I103-SUM($M103:N103))))</f>
        <v>0</v>
      </c>
      <c r="P103" s="8">
        <f>IF(OR($A103="",$D103="",$D103&gt;=EDATE(P$5,1)),0,MAX(0,MIN($K103,$E103-$G103-$I103-SUM($M103:O103))))</f>
        <v>0</v>
      </c>
      <c r="Q103" s="8">
        <f>IF(OR($A103="",$D103="",$D103&gt;=EDATE(Q$5,1)),0,MAX(0,MIN($K103,$E103-$G103-$I103-SUM($M103:P103))))</f>
        <v>0</v>
      </c>
      <c r="R103" s="8">
        <f>IF(OR($A103="",$D103="",$D103&gt;=EDATE(R$5,1)),0,MAX(0,MIN($K103,$E103-$G103-$I103-SUM($M103:Q103))))</f>
        <v>0</v>
      </c>
      <c r="S103" s="8">
        <f>IF(OR($A103="",$D103="",$D103&gt;=EDATE(S$5,1)),0,MAX(0,MIN($K103,$E103-$G103-$I103-SUM($M103:R103))))</f>
        <v>0</v>
      </c>
      <c r="T103" s="8">
        <f>IF(OR($A103="",$D103="",$D103&gt;=EDATE(T$5,1)),0,MAX(0,MIN($K103,$E103-$G103-$I103-SUM($M103:S103))))</f>
        <v>0</v>
      </c>
      <c r="U103" s="8">
        <f>IF(OR($A103="",$D103="",$D103&gt;=EDATE(U$5,1)),0,MAX(0,MIN($K103,$E103-$G103-$I103-SUM($M103:T103))))</f>
        <v>0</v>
      </c>
      <c r="V103" s="8">
        <f>IF(OR($A103="",$D103="",$D103&gt;=EDATE(V$5,1)),0,MAX(0,MIN($K103,$E103-$G103-$I103-SUM($M103:U103))))</f>
        <v>0</v>
      </c>
      <c r="W103" s="8">
        <f>IF(OR($A103="",$D103="",$D103&gt;=EDATE(W$5,1)),0,MAX(0,MIN($K103,$E103-$G103-$I103-SUM($M103:V103))))</f>
        <v>0</v>
      </c>
      <c r="X103" s="8">
        <f>IF(OR($A103="",$D103="",$D103&gt;=EDATE(X$5,1)),0,MAX(0,MIN($K103,$E103-$G103-$I103-SUM($M103:W103))))</f>
        <v>0</v>
      </c>
    </row>
    <row r="104" spans="1:24" ht="22" customHeight="1">
      <c r="A104" s="3"/>
      <c r="B104" s="3"/>
      <c r="C104" s="7"/>
      <c r="D104" s="7"/>
      <c r="E104" s="4"/>
      <c r="F104" s="4"/>
      <c r="G104" s="4"/>
      <c r="H104" s="3"/>
      <c r="I104" s="4"/>
      <c r="J104" s="3"/>
      <c r="K104" s="8" t="str">
        <f t="shared" si="4"/>
        <v/>
      </c>
      <c r="L104" s="8" t="str">
        <f>IF(COUNTA(A104:J104)=0,"",IF(OR(A104="",C104="",D104="",E104="",H104&lt;=0),"Faltan datos",IF(COUNTIF($A$7:$A$106,A104)&gt;1,"ID duplicado",IF(OR(E104&lt;0,G104&lt;0,I104&lt;0,G104+I104&gt;E104,D104&lt;C104),"Revisar activo",IF(AND(C104&gt;=DATE(Configuración!$C$5,1,1),I104&lt;&gt;0),"Dep. inicial no procede","OK")))))</f>
        <v/>
      </c>
      <c r="M104" s="8">
        <f t="shared" si="5"/>
        <v>0</v>
      </c>
      <c r="N104" s="8">
        <f>IF(OR($A104="",$D104="",$D104&gt;=EDATE(N$5,1)),0,MAX(0,MIN($K104,$E104-$G104-$I104-SUM($M104:M104))))</f>
        <v>0</v>
      </c>
      <c r="O104" s="8">
        <f>IF(OR($A104="",$D104="",$D104&gt;=EDATE(O$5,1)),0,MAX(0,MIN($K104,$E104-$G104-$I104-SUM($M104:N104))))</f>
        <v>0</v>
      </c>
      <c r="P104" s="8">
        <f>IF(OR($A104="",$D104="",$D104&gt;=EDATE(P$5,1)),0,MAX(0,MIN($K104,$E104-$G104-$I104-SUM($M104:O104))))</f>
        <v>0</v>
      </c>
      <c r="Q104" s="8">
        <f>IF(OR($A104="",$D104="",$D104&gt;=EDATE(Q$5,1)),0,MAX(0,MIN($K104,$E104-$G104-$I104-SUM($M104:P104))))</f>
        <v>0</v>
      </c>
      <c r="R104" s="8">
        <f>IF(OR($A104="",$D104="",$D104&gt;=EDATE(R$5,1)),0,MAX(0,MIN($K104,$E104-$G104-$I104-SUM($M104:Q104))))</f>
        <v>0</v>
      </c>
      <c r="S104" s="8">
        <f>IF(OR($A104="",$D104="",$D104&gt;=EDATE(S$5,1)),0,MAX(0,MIN($K104,$E104-$G104-$I104-SUM($M104:R104))))</f>
        <v>0</v>
      </c>
      <c r="T104" s="8">
        <f>IF(OR($A104="",$D104="",$D104&gt;=EDATE(T$5,1)),0,MAX(0,MIN($K104,$E104-$G104-$I104-SUM($M104:S104))))</f>
        <v>0</v>
      </c>
      <c r="U104" s="8">
        <f>IF(OR($A104="",$D104="",$D104&gt;=EDATE(U$5,1)),0,MAX(0,MIN($K104,$E104-$G104-$I104-SUM($M104:T104))))</f>
        <v>0</v>
      </c>
      <c r="V104" s="8">
        <f>IF(OR($A104="",$D104="",$D104&gt;=EDATE(V$5,1)),0,MAX(0,MIN($K104,$E104-$G104-$I104-SUM($M104:U104))))</f>
        <v>0</v>
      </c>
      <c r="W104" s="8">
        <f>IF(OR($A104="",$D104="",$D104&gt;=EDATE(W$5,1)),0,MAX(0,MIN($K104,$E104-$G104-$I104-SUM($M104:V104))))</f>
        <v>0</v>
      </c>
      <c r="X104" s="8">
        <f>IF(OR($A104="",$D104="",$D104&gt;=EDATE(X$5,1)),0,MAX(0,MIN($K104,$E104-$G104-$I104-SUM($M104:W104))))</f>
        <v>0</v>
      </c>
    </row>
    <row r="105" spans="1:24" ht="22" customHeight="1">
      <c r="A105" s="3"/>
      <c r="B105" s="3"/>
      <c r="C105" s="7"/>
      <c r="D105" s="7"/>
      <c r="E105" s="4"/>
      <c r="F105" s="4"/>
      <c r="G105" s="4"/>
      <c r="H105" s="3"/>
      <c r="I105" s="4"/>
      <c r="J105" s="3"/>
      <c r="K105" s="8" t="str">
        <f t="shared" si="4"/>
        <v/>
      </c>
      <c r="L105" s="8" t="str">
        <f>IF(COUNTA(A105:J105)=0,"",IF(OR(A105="",C105="",D105="",E105="",H105&lt;=0),"Faltan datos",IF(COUNTIF($A$7:$A$106,A105)&gt;1,"ID duplicado",IF(OR(E105&lt;0,G105&lt;0,I105&lt;0,G105+I105&gt;E105,D105&lt;C105),"Revisar activo",IF(AND(C105&gt;=DATE(Configuración!$C$5,1,1),I105&lt;&gt;0),"Dep. inicial no procede","OK")))))</f>
        <v/>
      </c>
      <c r="M105" s="8">
        <f t="shared" si="5"/>
        <v>0</v>
      </c>
      <c r="N105" s="8">
        <f>IF(OR($A105="",$D105="",$D105&gt;=EDATE(N$5,1)),0,MAX(0,MIN($K105,$E105-$G105-$I105-SUM($M105:M105))))</f>
        <v>0</v>
      </c>
      <c r="O105" s="8">
        <f>IF(OR($A105="",$D105="",$D105&gt;=EDATE(O$5,1)),0,MAX(0,MIN($K105,$E105-$G105-$I105-SUM($M105:N105))))</f>
        <v>0</v>
      </c>
      <c r="P105" s="8">
        <f>IF(OR($A105="",$D105="",$D105&gt;=EDATE(P$5,1)),0,MAX(0,MIN($K105,$E105-$G105-$I105-SUM($M105:O105))))</f>
        <v>0</v>
      </c>
      <c r="Q105" s="8">
        <f>IF(OR($A105="",$D105="",$D105&gt;=EDATE(Q$5,1)),0,MAX(0,MIN($K105,$E105-$G105-$I105-SUM($M105:P105))))</f>
        <v>0</v>
      </c>
      <c r="R105" s="8">
        <f>IF(OR($A105="",$D105="",$D105&gt;=EDATE(R$5,1)),0,MAX(0,MIN($K105,$E105-$G105-$I105-SUM($M105:Q105))))</f>
        <v>0</v>
      </c>
      <c r="S105" s="8">
        <f>IF(OR($A105="",$D105="",$D105&gt;=EDATE(S$5,1)),0,MAX(0,MIN($K105,$E105-$G105-$I105-SUM($M105:R105))))</f>
        <v>0</v>
      </c>
      <c r="T105" s="8">
        <f>IF(OR($A105="",$D105="",$D105&gt;=EDATE(T$5,1)),0,MAX(0,MIN($K105,$E105-$G105-$I105-SUM($M105:S105))))</f>
        <v>0</v>
      </c>
      <c r="U105" s="8">
        <f>IF(OR($A105="",$D105="",$D105&gt;=EDATE(U$5,1)),0,MAX(0,MIN($K105,$E105-$G105-$I105-SUM($M105:T105))))</f>
        <v>0</v>
      </c>
      <c r="V105" s="8">
        <f>IF(OR($A105="",$D105="",$D105&gt;=EDATE(V$5,1)),0,MAX(0,MIN($K105,$E105-$G105-$I105-SUM($M105:U105))))</f>
        <v>0</v>
      </c>
      <c r="W105" s="8">
        <f>IF(OR($A105="",$D105="",$D105&gt;=EDATE(W$5,1)),0,MAX(0,MIN($K105,$E105-$G105-$I105-SUM($M105:V105))))</f>
        <v>0</v>
      </c>
      <c r="X105" s="8">
        <f>IF(OR($A105="",$D105="",$D105&gt;=EDATE(X$5,1)),0,MAX(0,MIN($K105,$E105-$G105-$I105-SUM($M105:W105))))</f>
        <v>0</v>
      </c>
    </row>
    <row r="106" spans="1:24" ht="22" customHeight="1">
      <c r="A106" s="3"/>
      <c r="B106" s="3"/>
      <c r="C106" s="7"/>
      <c r="D106" s="7"/>
      <c r="E106" s="4"/>
      <c r="F106" s="4"/>
      <c r="G106" s="4"/>
      <c r="H106" s="3"/>
      <c r="I106" s="4"/>
      <c r="J106" s="3"/>
      <c r="K106" s="8" t="str">
        <f t="shared" si="4"/>
        <v/>
      </c>
      <c r="L106" s="8" t="str">
        <f>IF(COUNTA(A106:J106)=0,"",IF(OR(A106="",C106="",D106="",E106="",H106&lt;=0),"Faltan datos",IF(COUNTIF($A$7:$A$106,A106)&gt;1,"ID duplicado",IF(OR(E106&lt;0,G106&lt;0,I106&lt;0,G106+I106&gt;E106,D106&lt;C106),"Revisar activo",IF(AND(C106&gt;=DATE(Configuración!$C$5,1,1),I106&lt;&gt;0),"Dep. inicial no procede","OK")))))</f>
        <v/>
      </c>
      <c r="M106" s="8">
        <f t="shared" si="5"/>
        <v>0</v>
      </c>
      <c r="N106" s="8">
        <f>IF(OR($A106="",$D106="",$D106&gt;=EDATE(N$5,1)),0,MAX(0,MIN($K106,$E106-$G106-$I106-SUM($M106:M106))))</f>
        <v>0</v>
      </c>
      <c r="O106" s="8">
        <f>IF(OR($A106="",$D106="",$D106&gt;=EDATE(O$5,1)),0,MAX(0,MIN($K106,$E106-$G106-$I106-SUM($M106:N106))))</f>
        <v>0</v>
      </c>
      <c r="P106" s="8">
        <f>IF(OR($A106="",$D106="",$D106&gt;=EDATE(P$5,1)),0,MAX(0,MIN($K106,$E106-$G106-$I106-SUM($M106:O106))))</f>
        <v>0</v>
      </c>
      <c r="Q106" s="8">
        <f>IF(OR($A106="",$D106="",$D106&gt;=EDATE(Q$5,1)),0,MAX(0,MIN($K106,$E106-$G106-$I106-SUM($M106:P106))))</f>
        <v>0</v>
      </c>
      <c r="R106" s="8">
        <f>IF(OR($A106="",$D106="",$D106&gt;=EDATE(R$5,1)),0,MAX(0,MIN($K106,$E106-$G106-$I106-SUM($M106:Q106))))</f>
        <v>0</v>
      </c>
      <c r="S106" s="8">
        <f>IF(OR($A106="",$D106="",$D106&gt;=EDATE(S$5,1)),0,MAX(0,MIN($K106,$E106-$G106-$I106-SUM($M106:R106))))</f>
        <v>0</v>
      </c>
      <c r="T106" s="8">
        <f>IF(OR($A106="",$D106="",$D106&gt;=EDATE(T$5,1)),0,MAX(0,MIN($K106,$E106-$G106-$I106-SUM($M106:S106))))</f>
        <v>0</v>
      </c>
      <c r="U106" s="8">
        <f>IF(OR($A106="",$D106="",$D106&gt;=EDATE(U$5,1)),0,MAX(0,MIN($K106,$E106-$G106-$I106-SUM($M106:T106))))</f>
        <v>0</v>
      </c>
      <c r="V106" s="8">
        <f>IF(OR($A106="",$D106="",$D106&gt;=EDATE(V$5,1)),0,MAX(0,MIN($K106,$E106-$G106-$I106-SUM($M106:U106))))</f>
        <v>0</v>
      </c>
      <c r="W106" s="8">
        <f>IF(OR($A106="",$D106="",$D106&gt;=EDATE(W$5,1)),0,MAX(0,MIN($K106,$E106-$G106-$I106-SUM($M106:V106))))</f>
        <v>0</v>
      </c>
      <c r="X106" s="8">
        <f>IF(OR($A106="",$D106="",$D106&gt;=EDATE(X$5,1)),0,MAX(0,MIN($K106,$E106-$G106-$I106-SUM($M106:W106))))</f>
        <v>0</v>
      </c>
    </row>
  </sheetData>
  <conditionalFormatting sqref="L7:L106">
    <cfRule type="expression" dxfId="2" priority="1">
      <formula>AND($L7&lt;&gt;"",$L7&lt;&gt;"OK")</formula>
    </cfRule>
  </conditionalFormatting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C7B78F"/>
  </sheetPr>
  <dimension ref="A1:I506"/>
  <sheetViews>
    <sheetView showGridLines="0" workbookViewId="0">
      <pane ySplit="6" topLeftCell="A7" activePane="bottomLeft" state="frozen"/>
      <selection pane="bottomLeft" activeCell="C7" sqref="C7"/>
    </sheetView>
  </sheetViews>
  <sheetFormatPr baseColWidth="10" defaultColWidth="8.83203125" defaultRowHeight="15"/>
  <cols>
    <col min="1" max="1" width="19" customWidth="1"/>
    <col min="2" max="2" width="15" customWidth="1"/>
    <col min="3" max="3" width="24" customWidth="1"/>
    <col min="4" max="4" width="20" customWidth="1"/>
    <col min="5" max="5" width="26" customWidth="1"/>
    <col min="6" max="7" width="22" customWidth="1"/>
    <col min="8" max="8" width="35" customWidth="1"/>
    <col min="9" max="9" width="30" customWidth="1"/>
    <col min="10" max="14" width="16" customWidth="1"/>
  </cols>
  <sheetData>
    <row r="1" spans="1:9" ht="22" customHeight="1">
      <c r="A1" s="1"/>
      <c r="B1" s="1"/>
      <c r="C1" s="1"/>
      <c r="D1" s="1"/>
      <c r="E1" s="1"/>
      <c r="F1" s="1"/>
      <c r="G1" s="1"/>
      <c r="H1" s="1"/>
      <c r="I1" s="1"/>
    </row>
    <row r="2" spans="1:9" ht="22" customHeight="1">
      <c r="A2" s="2" t="s">
        <v>185</v>
      </c>
      <c r="B2" s="2"/>
      <c r="C2" s="1"/>
      <c r="D2" s="1"/>
      <c r="E2" s="1"/>
      <c r="F2" s="1"/>
      <c r="G2" s="1"/>
      <c r="H2" s="1"/>
      <c r="I2" s="1"/>
    </row>
    <row r="3" spans="1:9" ht="22" customHeight="1">
      <c r="A3" s="1"/>
      <c r="B3" s="1"/>
      <c r="C3" s="1"/>
      <c r="D3" s="1"/>
      <c r="E3" s="1"/>
      <c r="F3" s="1"/>
      <c r="G3" s="1"/>
      <c r="H3" s="1"/>
      <c r="I3" s="1"/>
    </row>
    <row r="4" spans="1:9" ht="22" customHeight="1">
      <c r="A4" s="1" t="s">
        <v>186</v>
      </c>
      <c r="B4" s="1"/>
      <c r="C4" s="1"/>
      <c r="D4" s="1"/>
      <c r="E4" s="1"/>
      <c r="F4" s="1"/>
      <c r="G4" s="1"/>
      <c r="H4" s="1"/>
      <c r="I4" s="1"/>
    </row>
    <row r="5" spans="1:9" ht="22" customHeight="1">
      <c r="A5" s="1"/>
      <c r="B5" s="1"/>
      <c r="C5" s="1"/>
      <c r="D5" s="1"/>
      <c r="E5" s="1"/>
      <c r="F5" s="1"/>
      <c r="G5" s="1"/>
      <c r="H5" s="1"/>
      <c r="I5" s="1"/>
    </row>
    <row r="6" spans="1:9" ht="40" customHeight="1">
      <c r="A6" s="6" t="s">
        <v>145</v>
      </c>
      <c r="B6" s="6" t="s">
        <v>146</v>
      </c>
      <c r="C6" s="6" t="s">
        <v>187</v>
      </c>
      <c r="D6" s="6" t="s">
        <v>188</v>
      </c>
      <c r="E6" s="6" t="s">
        <v>189</v>
      </c>
      <c r="F6" s="6" t="s">
        <v>190</v>
      </c>
      <c r="G6" s="6" t="s">
        <v>191</v>
      </c>
      <c r="H6" s="6" t="s">
        <v>153</v>
      </c>
      <c r="I6" s="6" t="s">
        <v>155</v>
      </c>
    </row>
    <row r="7" spans="1:9" ht="22" customHeight="1">
      <c r="A7" s="3"/>
      <c r="B7" s="7"/>
      <c r="C7" s="3"/>
      <c r="D7" s="3"/>
      <c r="E7" s="3"/>
      <c r="F7" s="3"/>
      <c r="G7" s="4"/>
      <c r="H7" s="3"/>
      <c r="I7" s="1" t="str">
        <f>IF(COUNTA(A7:H7)=0,"",IF(OR(A7="",B7="",C7="",D7="",F7="",G7=""),"Faltan datos",IF(COUNTIF($A$7:$A$506,A7)&gt;1,"ID duplicado",IF(G7&lt;0,"Revisar signo",IF(OR(AND(C7="Saldo inicial",B7&lt;&gt;DATE(Configuración!$C$5,1,1)-1),AND(C7&lt;&gt;"Saldo inicial",OR(B7&lt;DATE(Configuración!$C$5,1,1),B7&gt;=DATE(Configuración!$C$5+1,1,1)))),"Revisar fecha","OK")))))</f>
        <v/>
      </c>
    </row>
    <row r="8" spans="1:9" ht="22" customHeight="1">
      <c r="A8" s="3"/>
      <c r="B8" s="7"/>
      <c r="C8" s="3"/>
      <c r="D8" s="3"/>
      <c r="E8" s="3"/>
      <c r="F8" s="3"/>
      <c r="G8" s="4"/>
      <c r="H8" s="3"/>
      <c r="I8" s="1" t="str">
        <f>IF(COUNTA(A8:H8)=0,"",IF(OR(A8="",B8="",C8="",D8="",F8="",G8=""),"Faltan datos",IF(COUNTIF($A$7:$A$506,A8)&gt;1,"ID duplicado",IF(G8&lt;0,"Revisar signo",IF(OR(AND(C8="Saldo inicial",B8&lt;&gt;DATE(Configuración!$C$5,1,1)-1),AND(C8&lt;&gt;"Saldo inicial",OR(B8&lt;DATE(Configuración!$C$5,1,1),B8&gt;=DATE(Configuración!$C$5+1,1,1)))),"Revisar fecha","OK")))))</f>
        <v/>
      </c>
    </row>
    <row r="9" spans="1:9" ht="22" customHeight="1">
      <c r="A9" s="3"/>
      <c r="B9" s="7"/>
      <c r="C9" s="3"/>
      <c r="D9" s="3"/>
      <c r="E9" s="3"/>
      <c r="F9" s="3"/>
      <c r="G9" s="4"/>
      <c r="H9" s="3"/>
      <c r="I9" s="1" t="str">
        <f>IF(COUNTA(A9:H9)=0,"",IF(OR(A9="",B9="",C9="",D9="",F9="",G9=""),"Faltan datos",IF(COUNTIF($A$7:$A$506,A9)&gt;1,"ID duplicado",IF(G9&lt;0,"Revisar signo",IF(OR(AND(C9="Saldo inicial",B9&lt;&gt;DATE(Configuración!$C$5,1,1)-1),AND(C9&lt;&gt;"Saldo inicial",OR(B9&lt;DATE(Configuración!$C$5,1,1),B9&gt;=DATE(Configuración!$C$5+1,1,1)))),"Revisar fecha","OK")))))</f>
        <v/>
      </c>
    </row>
    <row r="10" spans="1:9" ht="22" customHeight="1">
      <c r="A10" s="3"/>
      <c r="B10" s="7"/>
      <c r="C10" s="3"/>
      <c r="D10" s="3"/>
      <c r="E10" s="3"/>
      <c r="F10" s="3"/>
      <c r="G10" s="4"/>
      <c r="H10" s="3"/>
      <c r="I10" s="1" t="str">
        <f>IF(COUNTA(A10:H10)=0,"",IF(OR(A10="",B10="",C10="",D10="",F10="",G10=""),"Faltan datos",IF(COUNTIF($A$7:$A$506,A10)&gt;1,"ID duplicado",IF(G10&lt;0,"Revisar signo",IF(OR(AND(C10="Saldo inicial",B10&lt;&gt;DATE(Configuración!$C$5,1,1)-1),AND(C10&lt;&gt;"Saldo inicial",OR(B10&lt;DATE(Configuración!$C$5,1,1),B10&gt;=DATE(Configuración!$C$5+1,1,1)))),"Revisar fecha","OK")))))</f>
        <v/>
      </c>
    </row>
    <row r="11" spans="1:9" ht="22" customHeight="1">
      <c r="A11" s="3"/>
      <c r="B11" s="7"/>
      <c r="C11" s="3"/>
      <c r="D11" s="3"/>
      <c r="E11" s="3"/>
      <c r="F11" s="3"/>
      <c r="G11" s="4"/>
      <c r="H11" s="3"/>
      <c r="I11" s="1" t="str">
        <f>IF(COUNTA(A11:H11)=0,"",IF(OR(A11="",B11="",C11="",D11="",F11="",G11=""),"Faltan datos",IF(COUNTIF($A$7:$A$506,A11)&gt;1,"ID duplicado",IF(G11&lt;0,"Revisar signo",IF(OR(AND(C11="Saldo inicial",B11&lt;&gt;DATE(Configuración!$C$5,1,1)-1),AND(C11&lt;&gt;"Saldo inicial",OR(B11&lt;DATE(Configuración!$C$5,1,1),B11&gt;=DATE(Configuración!$C$5+1,1,1)))),"Revisar fecha","OK")))))</f>
        <v/>
      </c>
    </row>
    <row r="12" spans="1:9" ht="22" customHeight="1">
      <c r="A12" s="3"/>
      <c r="B12" s="7"/>
      <c r="C12" s="3"/>
      <c r="D12" s="3"/>
      <c r="E12" s="3"/>
      <c r="F12" s="3"/>
      <c r="G12" s="4"/>
      <c r="H12" s="3"/>
      <c r="I12" s="1" t="str">
        <f>IF(COUNTA(A12:H12)=0,"",IF(OR(A12="",B12="",C12="",D12="",F12="",G12=""),"Faltan datos",IF(COUNTIF($A$7:$A$506,A12)&gt;1,"ID duplicado",IF(G12&lt;0,"Revisar signo",IF(OR(AND(C12="Saldo inicial",B12&lt;&gt;DATE(Configuración!$C$5,1,1)-1),AND(C12&lt;&gt;"Saldo inicial",OR(B12&lt;DATE(Configuración!$C$5,1,1),B12&gt;=DATE(Configuración!$C$5+1,1,1)))),"Revisar fecha","OK")))))</f>
        <v/>
      </c>
    </row>
    <row r="13" spans="1:9" ht="22" customHeight="1">
      <c r="A13" s="3"/>
      <c r="B13" s="7"/>
      <c r="C13" s="3"/>
      <c r="D13" s="3"/>
      <c r="E13" s="3"/>
      <c r="F13" s="3"/>
      <c r="G13" s="4"/>
      <c r="H13" s="3"/>
      <c r="I13" s="1" t="str">
        <f>IF(COUNTA(A13:H13)=0,"",IF(OR(A13="",B13="",C13="",D13="",F13="",G13=""),"Faltan datos",IF(COUNTIF($A$7:$A$506,A13)&gt;1,"ID duplicado",IF(G13&lt;0,"Revisar signo",IF(OR(AND(C13="Saldo inicial",B13&lt;&gt;DATE(Configuración!$C$5,1,1)-1),AND(C13&lt;&gt;"Saldo inicial",OR(B13&lt;DATE(Configuración!$C$5,1,1),B13&gt;=DATE(Configuración!$C$5+1,1,1)))),"Revisar fecha","OK")))))</f>
        <v/>
      </c>
    </row>
    <row r="14" spans="1:9" ht="22" customHeight="1">
      <c r="A14" s="3"/>
      <c r="B14" s="7"/>
      <c r="C14" s="3"/>
      <c r="D14" s="3"/>
      <c r="E14" s="3"/>
      <c r="F14" s="3"/>
      <c r="G14" s="4"/>
      <c r="H14" s="3"/>
      <c r="I14" s="1" t="str">
        <f>IF(COUNTA(A14:H14)=0,"",IF(OR(A14="",B14="",C14="",D14="",F14="",G14=""),"Faltan datos",IF(COUNTIF($A$7:$A$506,A14)&gt;1,"ID duplicado",IF(G14&lt;0,"Revisar signo",IF(OR(AND(C14="Saldo inicial",B14&lt;&gt;DATE(Configuración!$C$5,1,1)-1),AND(C14&lt;&gt;"Saldo inicial",OR(B14&lt;DATE(Configuración!$C$5,1,1),B14&gt;=DATE(Configuración!$C$5+1,1,1)))),"Revisar fecha","OK")))))</f>
        <v/>
      </c>
    </row>
    <row r="15" spans="1:9" ht="22" customHeight="1">
      <c r="A15" s="3"/>
      <c r="B15" s="7"/>
      <c r="C15" s="3"/>
      <c r="D15" s="3"/>
      <c r="E15" s="3"/>
      <c r="F15" s="3"/>
      <c r="G15" s="4"/>
      <c r="H15" s="3"/>
      <c r="I15" s="1" t="str">
        <f>IF(COUNTA(A15:H15)=0,"",IF(OR(A15="",B15="",C15="",D15="",F15="",G15=""),"Faltan datos",IF(COUNTIF($A$7:$A$506,A15)&gt;1,"ID duplicado",IF(G15&lt;0,"Revisar signo",IF(OR(AND(C15="Saldo inicial",B15&lt;&gt;DATE(Configuración!$C$5,1,1)-1),AND(C15&lt;&gt;"Saldo inicial",OR(B15&lt;DATE(Configuración!$C$5,1,1),B15&gt;=DATE(Configuración!$C$5+1,1,1)))),"Revisar fecha","OK")))))</f>
        <v/>
      </c>
    </row>
    <row r="16" spans="1:9" ht="22" customHeight="1">
      <c r="A16" s="3"/>
      <c r="B16" s="7"/>
      <c r="C16" s="3"/>
      <c r="D16" s="3"/>
      <c r="E16" s="3"/>
      <c r="F16" s="3"/>
      <c r="G16" s="4"/>
      <c r="H16" s="3"/>
      <c r="I16" s="1" t="str">
        <f>IF(COUNTA(A16:H16)=0,"",IF(OR(A16="",B16="",C16="",D16="",F16="",G16=""),"Faltan datos",IF(COUNTIF($A$7:$A$506,A16)&gt;1,"ID duplicado",IF(G16&lt;0,"Revisar signo",IF(OR(AND(C16="Saldo inicial",B16&lt;&gt;DATE(Configuración!$C$5,1,1)-1),AND(C16&lt;&gt;"Saldo inicial",OR(B16&lt;DATE(Configuración!$C$5,1,1),B16&gt;=DATE(Configuración!$C$5+1,1,1)))),"Revisar fecha","OK")))))</f>
        <v/>
      </c>
    </row>
    <row r="17" spans="1:9" ht="22" customHeight="1">
      <c r="A17" s="3"/>
      <c r="B17" s="7"/>
      <c r="C17" s="3"/>
      <c r="D17" s="3"/>
      <c r="E17" s="3"/>
      <c r="F17" s="3"/>
      <c r="G17" s="4"/>
      <c r="H17" s="3"/>
      <c r="I17" s="1" t="str">
        <f>IF(COUNTA(A17:H17)=0,"",IF(OR(A17="",B17="",C17="",D17="",F17="",G17=""),"Faltan datos",IF(COUNTIF($A$7:$A$506,A17)&gt;1,"ID duplicado",IF(G17&lt;0,"Revisar signo",IF(OR(AND(C17="Saldo inicial",B17&lt;&gt;DATE(Configuración!$C$5,1,1)-1),AND(C17&lt;&gt;"Saldo inicial",OR(B17&lt;DATE(Configuración!$C$5,1,1),B17&gt;=DATE(Configuración!$C$5+1,1,1)))),"Revisar fecha","OK")))))</f>
        <v/>
      </c>
    </row>
    <row r="18" spans="1:9" ht="22" customHeight="1">
      <c r="A18" s="3"/>
      <c r="B18" s="7"/>
      <c r="C18" s="3"/>
      <c r="D18" s="3"/>
      <c r="E18" s="3"/>
      <c r="F18" s="3"/>
      <c r="G18" s="4"/>
      <c r="H18" s="3"/>
      <c r="I18" s="1" t="str">
        <f>IF(COUNTA(A18:H18)=0,"",IF(OR(A18="",B18="",C18="",D18="",F18="",G18=""),"Faltan datos",IF(COUNTIF($A$7:$A$506,A18)&gt;1,"ID duplicado",IF(G18&lt;0,"Revisar signo",IF(OR(AND(C18="Saldo inicial",B18&lt;&gt;DATE(Configuración!$C$5,1,1)-1),AND(C18&lt;&gt;"Saldo inicial",OR(B18&lt;DATE(Configuración!$C$5,1,1),B18&gt;=DATE(Configuración!$C$5+1,1,1)))),"Revisar fecha","OK")))))</f>
        <v/>
      </c>
    </row>
    <row r="19" spans="1:9" ht="22" customHeight="1">
      <c r="A19" s="3"/>
      <c r="B19" s="7"/>
      <c r="C19" s="3"/>
      <c r="D19" s="3"/>
      <c r="E19" s="3"/>
      <c r="F19" s="3"/>
      <c r="G19" s="4"/>
      <c r="H19" s="3"/>
      <c r="I19" s="1" t="str">
        <f>IF(COUNTA(A19:H19)=0,"",IF(OR(A19="",B19="",C19="",D19="",F19="",G19=""),"Faltan datos",IF(COUNTIF($A$7:$A$506,A19)&gt;1,"ID duplicado",IF(G19&lt;0,"Revisar signo",IF(OR(AND(C19="Saldo inicial",B19&lt;&gt;DATE(Configuración!$C$5,1,1)-1),AND(C19&lt;&gt;"Saldo inicial",OR(B19&lt;DATE(Configuración!$C$5,1,1),B19&gt;=DATE(Configuración!$C$5+1,1,1)))),"Revisar fecha","OK")))))</f>
        <v/>
      </c>
    </row>
    <row r="20" spans="1:9" ht="22" customHeight="1">
      <c r="A20" s="3"/>
      <c r="B20" s="7"/>
      <c r="C20" s="3"/>
      <c r="D20" s="3"/>
      <c r="E20" s="3"/>
      <c r="F20" s="3"/>
      <c r="G20" s="4"/>
      <c r="H20" s="3"/>
      <c r="I20" s="1" t="str">
        <f>IF(COUNTA(A20:H20)=0,"",IF(OR(A20="",B20="",C20="",D20="",F20="",G20=""),"Faltan datos",IF(COUNTIF($A$7:$A$506,A20)&gt;1,"ID duplicado",IF(G20&lt;0,"Revisar signo",IF(OR(AND(C20="Saldo inicial",B20&lt;&gt;DATE(Configuración!$C$5,1,1)-1),AND(C20&lt;&gt;"Saldo inicial",OR(B20&lt;DATE(Configuración!$C$5,1,1),B20&gt;=DATE(Configuración!$C$5+1,1,1)))),"Revisar fecha","OK")))))</f>
        <v/>
      </c>
    </row>
    <row r="21" spans="1:9" ht="22" customHeight="1">
      <c r="A21" s="3"/>
      <c r="B21" s="7"/>
      <c r="C21" s="3"/>
      <c r="D21" s="3"/>
      <c r="E21" s="3"/>
      <c r="F21" s="3"/>
      <c r="G21" s="4"/>
      <c r="H21" s="3"/>
      <c r="I21" s="1" t="str">
        <f>IF(COUNTA(A21:H21)=0,"",IF(OR(A21="",B21="",C21="",D21="",F21="",G21=""),"Faltan datos",IF(COUNTIF($A$7:$A$506,A21)&gt;1,"ID duplicado",IF(G21&lt;0,"Revisar signo",IF(OR(AND(C21="Saldo inicial",B21&lt;&gt;DATE(Configuración!$C$5,1,1)-1),AND(C21&lt;&gt;"Saldo inicial",OR(B21&lt;DATE(Configuración!$C$5,1,1),B21&gt;=DATE(Configuración!$C$5+1,1,1)))),"Revisar fecha","OK")))))</f>
        <v/>
      </c>
    </row>
    <row r="22" spans="1:9" ht="22" customHeight="1">
      <c r="A22" s="3"/>
      <c r="B22" s="7"/>
      <c r="C22" s="3"/>
      <c r="D22" s="3"/>
      <c r="E22" s="3"/>
      <c r="F22" s="3"/>
      <c r="G22" s="4"/>
      <c r="H22" s="3"/>
      <c r="I22" s="1" t="str">
        <f>IF(COUNTA(A22:H22)=0,"",IF(OR(A22="",B22="",C22="",D22="",F22="",G22=""),"Faltan datos",IF(COUNTIF($A$7:$A$506,A22)&gt;1,"ID duplicado",IF(G22&lt;0,"Revisar signo",IF(OR(AND(C22="Saldo inicial",B22&lt;&gt;DATE(Configuración!$C$5,1,1)-1),AND(C22&lt;&gt;"Saldo inicial",OR(B22&lt;DATE(Configuración!$C$5,1,1),B22&gt;=DATE(Configuración!$C$5+1,1,1)))),"Revisar fecha","OK")))))</f>
        <v/>
      </c>
    </row>
    <row r="23" spans="1:9" ht="22" customHeight="1">
      <c r="A23" s="3"/>
      <c r="B23" s="7"/>
      <c r="C23" s="3"/>
      <c r="D23" s="3"/>
      <c r="E23" s="3"/>
      <c r="F23" s="3"/>
      <c r="G23" s="4"/>
      <c r="H23" s="3"/>
      <c r="I23" s="1" t="str">
        <f>IF(COUNTA(A23:H23)=0,"",IF(OR(A23="",B23="",C23="",D23="",F23="",G23=""),"Faltan datos",IF(COUNTIF($A$7:$A$506,A23)&gt;1,"ID duplicado",IF(G23&lt;0,"Revisar signo",IF(OR(AND(C23="Saldo inicial",B23&lt;&gt;DATE(Configuración!$C$5,1,1)-1),AND(C23&lt;&gt;"Saldo inicial",OR(B23&lt;DATE(Configuración!$C$5,1,1),B23&gt;=DATE(Configuración!$C$5+1,1,1)))),"Revisar fecha","OK")))))</f>
        <v/>
      </c>
    </row>
    <row r="24" spans="1:9" ht="22" customHeight="1">
      <c r="A24" s="3"/>
      <c r="B24" s="7"/>
      <c r="C24" s="3"/>
      <c r="D24" s="3"/>
      <c r="E24" s="3"/>
      <c r="F24" s="3"/>
      <c r="G24" s="4"/>
      <c r="H24" s="3"/>
      <c r="I24" s="1" t="str">
        <f>IF(COUNTA(A24:H24)=0,"",IF(OR(A24="",B24="",C24="",D24="",F24="",G24=""),"Faltan datos",IF(COUNTIF($A$7:$A$506,A24)&gt;1,"ID duplicado",IF(G24&lt;0,"Revisar signo",IF(OR(AND(C24="Saldo inicial",B24&lt;&gt;DATE(Configuración!$C$5,1,1)-1),AND(C24&lt;&gt;"Saldo inicial",OR(B24&lt;DATE(Configuración!$C$5,1,1),B24&gt;=DATE(Configuración!$C$5+1,1,1)))),"Revisar fecha","OK")))))</f>
        <v/>
      </c>
    </row>
    <row r="25" spans="1:9" ht="22" customHeight="1">
      <c r="A25" s="3"/>
      <c r="B25" s="7"/>
      <c r="C25" s="3"/>
      <c r="D25" s="3"/>
      <c r="E25" s="3"/>
      <c r="F25" s="3"/>
      <c r="G25" s="4"/>
      <c r="H25" s="3"/>
      <c r="I25" s="1" t="str">
        <f>IF(COUNTA(A25:H25)=0,"",IF(OR(A25="",B25="",C25="",D25="",F25="",G25=""),"Faltan datos",IF(COUNTIF($A$7:$A$506,A25)&gt;1,"ID duplicado",IF(G25&lt;0,"Revisar signo",IF(OR(AND(C25="Saldo inicial",B25&lt;&gt;DATE(Configuración!$C$5,1,1)-1),AND(C25&lt;&gt;"Saldo inicial",OR(B25&lt;DATE(Configuración!$C$5,1,1),B25&gt;=DATE(Configuración!$C$5+1,1,1)))),"Revisar fecha","OK")))))</f>
        <v/>
      </c>
    </row>
    <row r="26" spans="1:9" ht="22" customHeight="1">
      <c r="A26" s="3"/>
      <c r="B26" s="7"/>
      <c r="C26" s="3"/>
      <c r="D26" s="3"/>
      <c r="E26" s="3"/>
      <c r="F26" s="3"/>
      <c r="G26" s="4"/>
      <c r="H26" s="3"/>
      <c r="I26" s="1" t="str">
        <f>IF(COUNTA(A26:H26)=0,"",IF(OR(A26="",B26="",C26="",D26="",F26="",G26=""),"Faltan datos",IF(COUNTIF($A$7:$A$506,A26)&gt;1,"ID duplicado",IF(G26&lt;0,"Revisar signo",IF(OR(AND(C26="Saldo inicial",B26&lt;&gt;DATE(Configuración!$C$5,1,1)-1),AND(C26&lt;&gt;"Saldo inicial",OR(B26&lt;DATE(Configuración!$C$5,1,1),B26&gt;=DATE(Configuración!$C$5+1,1,1)))),"Revisar fecha","OK")))))</f>
        <v/>
      </c>
    </row>
    <row r="27" spans="1:9" ht="22" customHeight="1">
      <c r="A27" s="3"/>
      <c r="B27" s="7"/>
      <c r="C27" s="3"/>
      <c r="D27" s="3"/>
      <c r="E27" s="3"/>
      <c r="F27" s="3"/>
      <c r="G27" s="4"/>
      <c r="H27" s="3"/>
      <c r="I27" s="1" t="str">
        <f>IF(COUNTA(A27:H27)=0,"",IF(OR(A27="",B27="",C27="",D27="",F27="",G27=""),"Faltan datos",IF(COUNTIF($A$7:$A$506,A27)&gt;1,"ID duplicado",IF(G27&lt;0,"Revisar signo",IF(OR(AND(C27="Saldo inicial",B27&lt;&gt;DATE(Configuración!$C$5,1,1)-1),AND(C27&lt;&gt;"Saldo inicial",OR(B27&lt;DATE(Configuración!$C$5,1,1),B27&gt;=DATE(Configuración!$C$5+1,1,1)))),"Revisar fecha","OK")))))</f>
        <v/>
      </c>
    </row>
    <row r="28" spans="1:9" ht="22" customHeight="1">
      <c r="A28" s="3"/>
      <c r="B28" s="7"/>
      <c r="C28" s="3"/>
      <c r="D28" s="3"/>
      <c r="E28" s="3"/>
      <c r="F28" s="3"/>
      <c r="G28" s="4"/>
      <c r="H28" s="3"/>
      <c r="I28" s="1" t="str">
        <f>IF(COUNTA(A28:H28)=0,"",IF(OR(A28="",B28="",C28="",D28="",F28="",G28=""),"Faltan datos",IF(COUNTIF($A$7:$A$506,A28)&gt;1,"ID duplicado",IF(G28&lt;0,"Revisar signo",IF(OR(AND(C28="Saldo inicial",B28&lt;&gt;DATE(Configuración!$C$5,1,1)-1),AND(C28&lt;&gt;"Saldo inicial",OR(B28&lt;DATE(Configuración!$C$5,1,1),B28&gt;=DATE(Configuración!$C$5+1,1,1)))),"Revisar fecha","OK")))))</f>
        <v/>
      </c>
    </row>
    <row r="29" spans="1:9" ht="22" customHeight="1">
      <c r="A29" s="3"/>
      <c r="B29" s="7"/>
      <c r="C29" s="3"/>
      <c r="D29" s="3"/>
      <c r="E29" s="3"/>
      <c r="F29" s="3"/>
      <c r="G29" s="4"/>
      <c r="H29" s="3"/>
      <c r="I29" s="1" t="str">
        <f>IF(COUNTA(A29:H29)=0,"",IF(OR(A29="",B29="",C29="",D29="",F29="",G29=""),"Faltan datos",IF(COUNTIF($A$7:$A$506,A29)&gt;1,"ID duplicado",IF(G29&lt;0,"Revisar signo",IF(OR(AND(C29="Saldo inicial",B29&lt;&gt;DATE(Configuración!$C$5,1,1)-1),AND(C29&lt;&gt;"Saldo inicial",OR(B29&lt;DATE(Configuración!$C$5,1,1),B29&gt;=DATE(Configuración!$C$5+1,1,1)))),"Revisar fecha","OK")))))</f>
        <v/>
      </c>
    </row>
    <row r="30" spans="1:9" ht="22" customHeight="1">
      <c r="A30" s="3"/>
      <c r="B30" s="7"/>
      <c r="C30" s="3"/>
      <c r="D30" s="3"/>
      <c r="E30" s="3"/>
      <c r="F30" s="3"/>
      <c r="G30" s="4"/>
      <c r="H30" s="3"/>
      <c r="I30" s="1" t="str">
        <f>IF(COUNTA(A30:H30)=0,"",IF(OR(A30="",B30="",C30="",D30="",F30="",G30=""),"Faltan datos",IF(COUNTIF($A$7:$A$506,A30)&gt;1,"ID duplicado",IF(G30&lt;0,"Revisar signo",IF(OR(AND(C30="Saldo inicial",B30&lt;&gt;DATE(Configuración!$C$5,1,1)-1),AND(C30&lt;&gt;"Saldo inicial",OR(B30&lt;DATE(Configuración!$C$5,1,1),B30&gt;=DATE(Configuración!$C$5+1,1,1)))),"Revisar fecha","OK")))))</f>
        <v/>
      </c>
    </row>
    <row r="31" spans="1:9" ht="22" customHeight="1">
      <c r="A31" s="3"/>
      <c r="B31" s="7"/>
      <c r="C31" s="3"/>
      <c r="D31" s="3"/>
      <c r="E31" s="3"/>
      <c r="F31" s="3"/>
      <c r="G31" s="4"/>
      <c r="H31" s="3"/>
      <c r="I31" s="1" t="str">
        <f>IF(COUNTA(A31:H31)=0,"",IF(OR(A31="",B31="",C31="",D31="",F31="",G31=""),"Faltan datos",IF(COUNTIF($A$7:$A$506,A31)&gt;1,"ID duplicado",IF(G31&lt;0,"Revisar signo",IF(OR(AND(C31="Saldo inicial",B31&lt;&gt;DATE(Configuración!$C$5,1,1)-1),AND(C31&lt;&gt;"Saldo inicial",OR(B31&lt;DATE(Configuración!$C$5,1,1),B31&gt;=DATE(Configuración!$C$5+1,1,1)))),"Revisar fecha","OK")))))</f>
        <v/>
      </c>
    </row>
    <row r="32" spans="1:9" ht="22" customHeight="1">
      <c r="A32" s="3"/>
      <c r="B32" s="7"/>
      <c r="C32" s="3"/>
      <c r="D32" s="3"/>
      <c r="E32" s="3"/>
      <c r="F32" s="3"/>
      <c r="G32" s="4"/>
      <c r="H32" s="3"/>
      <c r="I32" s="1" t="str">
        <f>IF(COUNTA(A32:H32)=0,"",IF(OR(A32="",B32="",C32="",D32="",F32="",G32=""),"Faltan datos",IF(COUNTIF($A$7:$A$506,A32)&gt;1,"ID duplicado",IF(G32&lt;0,"Revisar signo",IF(OR(AND(C32="Saldo inicial",B32&lt;&gt;DATE(Configuración!$C$5,1,1)-1),AND(C32&lt;&gt;"Saldo inicial",OR(B32&lt;DATE(Configuración!$C$5,1,1),B32&gt;=DATE(Configuración!$C$5+1,1,1)))),"Revisar fecha","OK")))))</f>
        <v/>
      </c>
    </row>
    <row r="33" spans="1:9" ht="22" customHeight="1">
      <c r="A33" s="3"/>
      <c r="B33" s="7"/>
      <c r="C33" s="3"/>
      <c r="D33" s="3"/>
      <c r="E33" s="3"/>
      <c r="F33" s="3"/>
      <c r="G33" s="4"/>
      <c r="H33" s="3"/>
      <c r="I33" s="1" t="str">
        <f>IF(COUNTA(A33:H33)=0,"",IF(OR(A33="",B33="",C33="",D33="",F33="",G33=""),"Faltan datos",IF(COUNTIF($A$7:$A$506,A33)&gt;1,"ID duplicado",IF(G33&lt;0,"Revisar signo",IF(OR(AND(C33="Saldo inicial",B33&lt;&gt;DATE(Configuración!$C$5,1,1)-1),AND(C33&lt;&gt;"Saldo inicial",OR(B33&lt;DATE(Configuración!$C$5,1,1),B33&gt;=DATE(Configuración!$C$5+1,1,1)))),"Revisar fecha","OK")))))</f>
        <v/>
      </c>
    </row>
    <row r="34" spans="1:9" ht="22" customHeight="1">
      <c r="A34" s="3"/>
      <c r="B34" s="7"/>
      <c r="C34" s="3"/>
      <c r="D34" s="3"/>
      <c r="E34" s="3"/>
      <c r="F34" s="3"/>
      <c r="G34" s="4"/>
      <c r="H34" s="3"/>
      <c r="I34" s="1" t="str">
        <f>IF(COUNTA(A34:H34)=0,"",IF(OR(A34="",B34="",C34="",D34="",F34="",G34=""),"Faltan datos",IF(COUNTIF($A$7:$A$506,A34)&gt;1,"ID duplicado",IF(G34&lt;0,"Revisar signo",IF(OR(AND(C34="Saldo inicial",B34&lt;&gt;DATE(Configuración!$C$5,1,1)-1),AND(C34&lt;&gt;"Saldo inicial",OR(B34&lt;DATE(Configuración!$C$5,1,1),B34&gt;=DATE(Configuración!$C$5+1,1,1)))),"Revisar fecha","OK")))))</f>
        <v/>
      </c>
    </row>
    <row r="35" spans="1:9" ht="22" customHeight="1">
      <c r="A35" s="3"/>
      <c r="B35" s="7"/>
      <c r="C35" s="3"/>
      <c r="D35" s="3"/>
      <c r="E35" s="3"/>
      <c r="F35" s="3"/>
      <c r="G35" s="4"/>
      <c r="H35" s="3"/>
      <c r="I35" s="1" t="str">
        <f>IF(COUNTA(A35:H35)=0,"",IF(OR(A35="",B35="",C35="",D35="",F35="",G35=""),"Faltan datos",IF(COUNTIF($A$7:$A$506,A35)&gt;1,"ID duplicado",IF(G35&lt;0,"Revisar signo",IF(OR(AND(C35="Saldo inicial",B35&lt;&gt;DATE(Configuración!$C$5,1,1)-1),AND(C35&lt;&gt;"Saldo inicial",OR(B35&lt;DATE(Configuración!$C$5,1,1),B35&gt;=DATE(Configuración!$C$5+1,1,1)))),"Revisar fecha","OK")))))</f>
        <v/>
      </c>
    </row>
    <row r="36" spans="1:9" ht="22" customHeight="1">
      <c r="A36" s="3"/>
      <c r="B36" s="7"/>
      <c r="C36" s="3"/>
      <c r="D36" s="3"/>
      <c r="E36" s="3"/>
      <c r="F36" s="3"/>
      <c r="G36" s="4"/>
      <c r="H36" s="3"/>
      <c r="I36" s="1" t="str">
        <f>IF(COUNTA(A36:H36)=0,"",IF(OR(A36="",B36="",C36="",D36="",F36="",G36=""),"Faltan datos",IF(COUNTIF($A$7:$A$506,A36)&gt;1,"ID duplicado",IF(G36&lt;0,"Revisar signo",IF(OR(AND(C36="Saldo inicial",B36&lt;&gt;DATE(Configuración!$C$5,1,1)-1),AND(C36&lt;&gt;"Saldo inicial",OR(B36&lt;DATE(Configuración!$C$5,1,1),B36&gt;=DATE(Configuración!$C$5+1,1,1)))),"Revisar fecha","OK")))))</f>
        <v/>
      </c>
    </row>
    <row r="37" spans="1:9" ht="22" customHeight="1">
      <c r="A37" s="3"/>
      <c r="B37" s="7"/>
      <c r="C37" s="3"/>
      <c r="D37" s="3"/>
      <c r="E37" s="3"/>
      <c r="F37" s="3"/>
      <c r="G37" s="4"/>
      <c r="H37" s="3"/>
      <c r="I37" s="1" t="str">
        <f>IF(COUNTA(A37:H37)=0,"",IF(OR(A37="",B37="",C37="",D37="",F37="",G37=""),"Faltan datos",IF(COUNTIF($A$7:$A$506,A37)&gt;1,"ID duplicado",IF(G37&lt;0,"Revisar signo",IF(OR(AND(C37="Saldo inicial",B37&lt;&gt;DATE(Configuración!$C$5,1,1)-1),AND(C37&lt;&gt;"Saldo inicial",OR(B37&lt;DATE(Configuración!$C$5,1,1),B37&gt;=DATE(Configuración!$C$5+1,1,1)))),"Revisar fecha","OK")))))</f>
        <v/>
      </c>
    </row>
    <row r="38" spans="1:9" ht="22" customHeight="1">
      <c r="A38" s="3"/>
      <c r="B38" s="7"/>
      <c r="C38" s="3"/>
      <c r="D38" s="3"/>
      <c r="E38" s="3"/>
      <c r="F38" s="3"/>
      <c r="G38" s="4"/>
      <c r="H38" s="3"/>
      <c r="I38" s="1" t="str">
        <f>IF(COUNTA(A38:H38)=0,"",IF(OR(A38="",B38="",C38="",D38="",F38="",G38=""),"Faltan datos",IF(COUNTIF($A$7:$A$506,A38)&gt;1,"ID duplicado",IF(G38&lt;0,"Revisar signo",IF(OR(AND(C38="Saldo inicial",B38&lt;&gt;DATE(Configuración!$C$5,1,1)-1),AND(C38&lt;&gt;"Saldo inicial",OR(B38&lt;DATE(Configuración!$C$5,1,1),B38&gt;=DATE(Configuración!$C$5+1,1,1)))),"Revisar fecha","OK")))))</f>
        <v/>
      </c>
    </row>
    <row r="39" spans="1:9" ht="22" customHeight="1">
      <c r="A39" s="3"/>
      <c r="B39" s="7"/>
      <c r="C39" s="3"/>
      <c r="D39" s="3"/>
      <c r="E39" s="3"/>
      <c r="F39" s="3"/>
      <c r="G39" s="4"/>
      <c r="H39" s="3"/>
      <c r="I39" s="1" t="str">
        <f>IF(COUNTA(A39:H39)=0,"",IF(OR(A39="",B39="",C39="",D39="",F39="",G39=""),"Faltan datos",IF(COUNTIF($A$7:$A$506,A39)&gt;1,"ID duplicado",IF(G39&lt;0,"Revisar signo",IF(OR(AND(C39="Saldo inicial",B39&lt;&gt;DATE(Configuración!$C$5,1,1)-1),AND(C39&lt;&gt;"Saldo inicial",OR(B39&lt;DATE(Configuración!$C$5,1,1),B39&gt;=DATE(Configuración!$C$5+1,1,1)))),"Revisar fecha","OK")))))</f>
        <v/>
      </c>
    </row>
    <row r="40" spans="1:9" ht="22" customHeight="1">
      <c r="A40" s="3"/>
      <c r="B40" s="7"/>
      <c r="C40" s="3"/>
      <c r="D40" s="3"/>
      <c r="E40" s="3"/>
      <c r="F40" s="3"/>
      <c r="G40" s="4"/>
      <c r="H40" s="3"/>
      <c r="I40" s="1" t="str">
        <f>IF(COUNTA(A40:H40)=0,"",IF(OR(A40="",B40="",C40="",D40="",F40="",G40=""),"Faltan datos",IF(COUNTIF($A$7:$A$506,A40)&gt;1,"ID duplicado",IF(G40&lt;0,"Revisar signo",IF(OR(AND(C40="Saldo inicial",B40&lt;&gt;DATE(Configuración!$C$5,1,1)-1),AND(C40&lt;&gt;"Saldo inicial",OR(B40&lt;DATE(Configuración!$C$5,1,1),B40&gt;=DATE(Configuración!$C$5+1,1,1)))),"Revisar fecha","OK")))))</f>
        <v/>
      </c>
    </row>
    <row r="41" spans="1:9" ht="22" customHeight="1">
      <c r="A41" s="3"/>
      <c r="B41" s="7"/>
      <c r="C41" s="3"/>
      <c r="D41" s="3"/>
      <c r="E41" s="3"/>
      <c r="F41" s="3"/>
      <c r="G41" s="4"/>
      <c r="H41" s="3"/>
      <c r="I41" s="1" t="str">
        <f>IF(COUNTA(A41:H41)=0,"",IF(OR(A41="",B41="",C41="",D41="",F41="",G41=""),"Faltan datos",IF(COUNTIF($A$7:$A$506,A41)&gt;1,"ID duplicado",IF(G41&lt;0,"Revisar signo",IF(OR(AND(C41="Saldo inicial",B41&lt;&gt;DATE(Configuración!$C$5,1,1)-1),AND(C41&lt;&gt;"Saldo inicial",OR(B41&lt;DATE(Configuración!$C$5,1,1),B41&gt;=DATE(Configuración!$C$5+1,1,1)))),"Revisar fecha","OK")))))</f>
        <v/>
      </c>
    </row>
    <row r="42" spans="1:9" ht="22" customHeight="1">
      <c r="A42" s="3"/>
      <c r="B42" s="7"/>
      <c r="C42" s="3"/>
      <c r="D42" s="3"/>
      <c r="E42" s="3"/>
      <c r="F42" s="3"/>
      <c r="G42" s="4"/>
      <c r="H42" s="3"/>
      <c r="I42" s="1" t="str">
        <f>IF(COUNTA(A42:H42)=0,"",IF(OR(A42="",B42="",C42="",D42="",F42="",G42=""),"Faltan datos",IF(COUNTIF($A$7:$A$506,A42)&gt;1,"ID duplicado",IF(G42&lt;0,"Revisar signo",IF(OR(AND(C42="Saldo inicial",B42&lt;&gt;DATE(Configuración!$C$5,1,1)-1),AND(C42&lt;&gt;"Saldo inicial",OR(B42&lt;DATE(Configuración!$C$5,1,1),B42&gt;=DATE(Configuración!$C$5+1,1,1)))),"Revisar fecha","OK")))))</f>
        <v/>
      </c>
    </row>
    <row r="43" spans="1:9" ht="22" customHeight="1">
      <c r="A43" s="3"/>
      <c r="B43" s="7"/>
      <c r="C43" s="3"/>
      <c r="D43" s="3"/>
      <c r="E43" s="3"/>
      <c r="F43" s="3"/>
      <c r="G43" s="4"/>
      <c r="H43" s="3"/>
      <c r="I43" s="1" t="str">
        <f>IF(COUNTA(A43:H43)=0,"",IF(OR(A43="",B43="",C43="",D43="",F43="",G43=""),"Faltan datos",IF(COUNTIF($A$7:$A$506,A43)&gt;1,"ID duplicado",IF(G43&lt;0,"Revisar signo",IF(OR(AND(C43="Saldo inicial",B43&lt;&gt;DATE(Configuración!$C$5,1,1)-1),AND(C43&lt;&gt;"Saldo inicial",OR(B43&lt;DATE(Configuración!$C$5,1,1),B43&gt;=DATE(Configuración!$C$5+1,1,1)))),"Revisar fecha","OK")))))</f>
        <v/>
      </c>
    </row>
    <row r="44" spans="1:9" ht="22" customHeight="1">
      <c r="A44" s="3"/>
      <c r="B44" s="7"/>
      <c r="C44" s="3"/>
      <c r="D44" s="3"/>
      <c r="E44" s="3"/>
      <c r="F44" s="3"/>
      <c r="G44" s="4"/>
      <c r="H44" s="3"/>
      <c r="I44" s="1" t="str">
        <f>IF(COUNTA(A44:H44)=0,"",IF(OR(A44="",B44="",C44="",D44="",F44="",G44=""),"Faltan datos",IF(COUNTIF($A$7:$A$506,A44)&gt;1,"ID duplicado",IF(G44&lt;0,"Revisar signo",IF(OR(AND(C44="Saldo inicial",B44&lt;&gt;DATE(Configuración!$C$5,1,1)-1),AND(C44&lt;&gt;"Saldo inicial",OR(B44&lt;DATE(Configuración!$C$5,1,1),B44&gt;=DATE(Configuración!$C$5+1,1,1)))),"Revisar fecha","OK")))))</f>
        <v/>
      </c>
    </row>
    <row r="45" spans="1:9" ht="22" customHeight="1">
      <c r="A45" s="3"/>
      <c r="B45" s="7"/>
      <c r="C45" s="3"/>
      <c r="D45" s="3"/>
      <c r="E45" s="3"/>
      <c r="F45" s="3"/>
      <c r="G45" s="4"/>
      <c r="H45" s="3"/>
      <c r="I45" s="1" t="str">
        <f>IF(COUNTA(A45:H45)=0,"",IF(OR(A45="",B45="",C45="",D45="",F45="",G45=""),"Faltan datos",IF(COUNTIF($A$7:$A$506,A45)&gt;1,"ID duplicado",IF(G45&lt;0,"Revisar signo",IF(OR(AND(C45="Saldo inicial",B45&lt;&gt;DATE(Configuración!$C$5,1,1)-1),AND(C45&lt;&gt;"Saldo inicial",OR(B45&lt;DATE(Configuración!$C$5,1,1),B45&gt;=DATE(Configuración!$C$5+1,1,1)))),"Revisar fecha","OK")))))</f>
        <v/>
      </c>
    </row>
    <row r="46" spans="1:9" ht="22" customHeight="1">
      <c r="A46" s="3"/>
      <c r="B46" s="7"/>
      <c r="C46" s="3"/>
      <c r="D46" s="3"/>
      <c r="E46" s="3"/>
      <c r="F46" s="3"/>
      <c r="G46" s="4"/>
      <c r="H46" s="3"/>
      <c r="I46" s="1" t="str">
        <f>IF(COUNTA(A46:H46)=0,"",IF(OR(A46="",B46="",C46="",D46="",F46="",G46=""),"Faltan datos",IF(COUNTIF($A$7:$A$506,A46)&gt;1,"ID duplicado",IF(G46&lt;0,"Revisar signo",IF(OR(AND(C46="Saldo inicial",B46&lt;&gt;DATE(Configuración!$C$5,1,1)-1),AND(C46&lt;&gt;"Saldo inicial",OR(B46&lt;DATE(Configuración!$C$5,1,1),B46&gt;=DATE(Configuración!$C$5+1,1,1)))),"Revisar fecha","OK")))))</f>
        <v/>
      </c>
    </row>
    <row r="47" spans="1:9" ht="22" customHeight="1">
      <c r="A47" s="3"/>
      <c r="B47" s="7"/>
      <c r="C47" s="3"/>
      <c r="D47" s="3"/>
      <c r="E47" s="3"/>
      <c r="F47" s="3"/>
      <c r="G47" s="4"/>
      <c r="H47" s="3"/>
      <c r="I47" s="1" t="str">
        <f>IF(COUNTA(A47:H47)=0,"",IF(OR(A47="",B47="",C47="",D47="",F47="",G47=""),"Faltan datos",IF(COUNTIF($A$7:$A$506,A47)&gt;1,"ID duplicado",IF(G47&lt;0,"Revisar signo",IF(OR(AND(C47="Saldo inicial",B47&lt;&gt;DATE(Configuración!$C$5,1,1)-1),AND(C47&lt;&gt;"Saldo inicial",OR(B47&lt;DATE(Configuración!$C$5,1,1),B47&gt;=DATE(Configuración!$C$5+1,1,1)))),"Revisar fecha","OK")))))</f>
        <v/>
      </c>
    </row>
    <row r="48" spans="1:9" ht="22" customHeight="1">
      <c r="A48" s="3"/>
      <c r="B48" s="7"/>
      <c r="C48" s="3"/>
      <c r="D48" s="3"/>
      <c r="E48" s="3"/>
      <c r="F48" s="3"/>
      <c r="G48" s="4"/>
      <c r="H48" s="3"/>
      <c r="I48" s="1" t="str">
        <f>IF(COUNTA(A48:H48)=0,"",IF(OR(A48="",B48="",C48="",D48="",F48="",G48=""),"Faltan datos",IF(COUNTIF($A$7:$A$506,A48)&gt;1,"ID duplicado",IF(G48&lt;0,"Revisar signo",IF(OR(AND(C48="Saldo inicial",B48&lt;&gt;DATE(Configuración!$C$5,1,1)-1),AND(C48&lt;&gt;"Saldo inicial",OR(B48&lt;DATE(Configuración!$C$5,1,1),B48&gt;=DATE(Configuración!$C$5+1,1,1)))),"Revisar fecha","OK")))))</f>
        <v/>
      </c>
    </row>
    <row r="49" spans="1:9" ht="22" customHeight="1">
      <c r="A49" s="3"/>
      <c r="B49" s="7"/>
      <c r="C49" s="3"/>
      <c r="D49" s="3"/>
      <c r="E49" s="3"/>
      <c r="F49" s="3"/>
      <c r="G49" s="4"/>
      <c r="H49" s="3"/>
      <c r="I49" s="1" t="str">
        <f>IF(COUNTA(A49:H49)=0,"",IF(OR(A49="",B49="",C49="",D49="",F49="",G49=""),"Faltan datos",IF(COUNTIF($A$7:$A$506,A49)&gt;1,"ID duplicado",IF(G49&lt;0,"Revisar signo",IF(OR(AND(C49="Saldo inicial",B49&lt;&gt;DATE(Configuración!$C$5,1,1)-1),AND(C49&lt;&gt;"Saldo inicial",OR(B49&lt;DATE(Configuración!$C$5,1,1),B49&gt;=DATE(Configuración!$C$5+1,1,1)))),"Revisar fecha","OK")))))</f>
        <v/>
      </c>
    </row>
    <row r="50" spans="1:9" ht="22" customHeight="1">
      <c r="A50" s="3"/>
      <c r="B50" s="7"/>
      <c r="C50" s="3"/>
      <c r="D50" s="3"/>
      <c r="E50" s="3"/>
      <c r="F50" s="3"/>
      <c r="G50" s="4"/>
      <c r="H50" s="3"/>
      <c r="I50" s="1" t="str">
        <f>IF(COUNTA(A50:H50)=0,"",IF(OR(A50="",B50="",C50="",D50="",F50="",G50=""),"Faltan datos",IF(COUNTIF($A$7:$A$506,A50)&gt;1,"ID duplicado",IF(G50&lt;0,"Revisar signo",IF(OR(AND(C50="Saldo inicial",B50&lt;&gt;DATE(Configuración!$C$5,1,1)-1),AND(C50&lt;&gt;"Saldo inicial",OR(B50&lt;DATE(Configuración!$C$5,1,1),B50&gt;=DATE(Configuración!$C$5+1,1,1)))),"Revisar fecha","OK")))))</f>
        <v/>
      </c>
    </row>
    <row r="51" spans="1:9" ht="22" customHeight="1">
      <c r="A51" s="3"/>
      <c r="B51" s="7"/>
      <c r="C51" s="3"/>
      <c r="D51" s="3"/>
      <c r="E51" s="3"/>
      <c r="F51" s="3"/>
      <c r="G51" s="4"/>
      <c r="H51" s="3"/>
      <c r="I51" s="1" t="str">
        <f>IF(COUNTA(A51:H51)=0,"",IF(OR(A51="",B51="",C51="",D51="",F51="",G51=""),"Faltan datos",IF(COUNTIF($A$7:$A$506,A51)&gt;1,"ID duplicado",IF(G51&lt;0,"Revisar signo",IF(OR(AND(C51="Saldo inicial",B51&lt;&gt;DATE(Configuración!$C$5,1,1)-1),AND(C51&lt;&gt;"Saldo inicial",OR(B51&lt;DATE(Configuración!$C$5,1,1),B51&gt;=DATE(Configuración!$C$5+1,1,1)))),"Revisar fecha","OK")))))</f>
        <v/>
      </c>
    </row>
    <row r="52" spans="1:9" ht="22" customHeight="1">
      <c r="A52" s="3"/>
      <c r="B52" s="7"/>
      <c r="C52" s="3"/>
      <c r="D52" s="3"/>
      <c r="E52" s="3"/>
      <c r="F52" s="3"/>
      <c r="G52" s="4"/>
      <c r="H52" s="3"/>
      <c r="I52" s="1" t="str">
        <f>IF(COUNTA(A52:H52)=0,"",IF(OR(A52="",B52="",C52="",D52="",F52="",G52=""),"Faltan datos",IF(COUNTIF($A$7:$A$506,A52)&gt;1,"ID duplicado",IF(G52&lt;0,"Revisar signo",IF(OR(AND(C52="Saldo inicial",B52&lt;&gt;DATE(Configuración!$C$5,1,1)-1),AND(C52&lt;&gt;"Saldo inicial",OR(B52&lt;DATE(Configuración!$C$5,1,1),B52&gt;=DATE(Configuración!$C$5+1,1,1)))),"Revisar fecha","OK")))))</f>
        <v/>
      </c>
    </row>
    <row r="53" spans="1:9" ht="22" customHeight="1">
      <c r="A53" s="3"/>
      <c r="B53" s="7"/>
      <c r="C53" s="3"/>
      <c r="D53" s="3"/>
      <c r="E53" s="3"/>
      <c r="F53" s="3"/>
      <c r="G53" s="4"/>
      <c r="H53" s="3"/>
      <c r="I53" s="1" t="str">
        <f>IF(COUNTA(A53:H53)=0,"",IF(OR(A53="",B53="",C53="",D53="",F53="",G53=""),"Faltan datos",IF(COUNTIF($A$7:$A$506,A53)&gt;1,"ID duplicado",IF(G53&lt;0,"Revisar signo",IF(OR(AND(C53="Saldo inicial",B53&lt;&gt;DATE(Configuración!$C$5,1,1)-1),AND(C53&lt;&gt;"Saldo inicial",OR(B53&lt;DATE(Configuración!$C$5,1,1),B53&gt;=DATE(Configuración!$C$5+1,1,1)))),"Revisar fecha","OK")))))</f>
        <v/>
      </c>
    </row>
    <row r="54" spans="1:9" ht="22" customHeight="1">
      <c r="A54" s="3"/>
      <c r="B54" s="7"/>
      <c r="C54" s="3"/>
      <c r="D54" s="3"/>
      <c r="E54" s="3"/>
      <c r="F54" s="3"/>
      <c r="G54" s="4"/>
      <c r="H54" s="3"/>
      <c r="I54" s="1" t="str">
        <f>IF(COUNTA(A54:H54)=0,"",IF(OR(A54="",B54="",C54="",D54="",F54="",G54=""),"Faltan datos",IF(COUNTIF($A$7:$A$506,A54)&gt;1,"ID duplicado",IF(G54&lt;0,"Revisar signo",IF(OR(AND(C54="Saldo inicial",B54&lt;&gt;DATE(Configuración!$C$5,1,1)-1),AND(C54&lt;&gt;"Saldo inicial",OR(B54&lt;DATE(Configuración!$C$5,1,1),B54&gt;=DATE(Configuración!$C$5+1,1,1)))),"Revisar fecha","OK")))))</f>
        <v/>
      </c>
    </row>
    <row r="55" spans="1:9" ht="22" customHeight="1">
      <c r="A55" s="3"/>
      <c r="B55" s="7"/>
      <c r="C55" s="3"/>
      <c r="D55" s="3"/>
      <c r="E55" s="3"/>
      <c r="F55" s="3"/>
      <c r="G55" s="4"/>
      <c r="H55" s="3"/>
      <c r="I55" s="1" t="str">
        <f>IF(COUNTA(A55:H55)=0,"",IF(OR(A55="",B55="",C55="",D55="",F55="",G55=""),"Faltan datos",IF(COUNTIF($A$7:$A$506,A55)&gt;1,"ID duplicado",IF(G55&lt;0,"Revisar signo",IF(OR(AND(C55="Saldo inicial",B55&lt;&gt;DATE(Configuración!$C$5,1,1)-1),AND(C55&lt;&gt;"Saldo inicial",OR(B55&lt;DATE(Configuración!$C$5,1,1),B55&gt;=DATE(Configuración!$C$5+1,1,1)))),"Revisar fecha","OK")))))</f>
        <v/>
      </c>
    </row>
    <row r="56" spans="1:9" ht="22" customHeight="1">
      <c r="A56" s="3"/>
      <c r="B56" s="7"/>
      <c r="C56" s="3"/>
      <c r="D56" s="3"/>
      <c r="E56" s="3"/>
      <c r="F56" s="3"/>
      <c r="G56" s="4"/>
      <c r="H56" s="3"/>
      <c r="I56" s="1" t="str">
        <f>IF(COUNTA(A56:H56)=0,"",IF(OR(A56="",B56="",C56="",D56="",F56="",G56=""),"Faltan datos",IF(COUNTIF($A$7:$A$506,A56)&gt;1,"ID duplicado",IF(G56&lt;0,"Revisar signo",IF(OR(AND(C56="Saldo inicial",B56&lt;&gt;DATE(Configuración!$C$5,1,1)-1),AND(C56&lt;&gt;"Saldo inicial",OR(B56&lt;DATE(Configuración!$C$5,1,1),B56&gt;=DATE(Configuración!$C$5+1,1,1)))),"Revisar fecha","OK")))))</f>
        <v/>
      </c>
    </row>
    <row r="57" spans="1:9" ht="22" customHeight="1">
      <c r="A57" s="3"/>
      <c r="B57" s="7"/>
      <c r="C57" s="3"/>
      <c r="D57" s="3"/>
      <c r="E57" s="3"/>
      <c r="F57" s="3"/>
      <c r="G57" s="4"/>
      <c r="H57" s="3"/>
      <c r="I57" s="1" t="str">
        <f>IF(COUNTA(A57:H57)=0,"",IF(OR(A57="",B57="",C57="",D57="",F57="",G57=""),"Faltan datos",IF(COUNTIF($A$7:$A$506,A57)&gt;1,"ID duplicado",IF(G57&lt;0,"Revisar signo",IF(OR(AND(C57="Saldo inicial",B57&lt;&gt;DATE(Configuración!$C$5,1,1)-1),AND(C57&lt;&gt;"Saldo inicial",OR(B57&lt;DATE(Configuración!$C$5,1,1),B57&gt;=DATE(Configuración!$C$5+1,1,1)))),"Revisar fecha","OK")))))</f>
        <v/>
      </c>
    </row>
    <row r="58" spans="1:9" ht="22" customHeight="1">
      <c r="A58" s="3"/>
      <c r="B58" s="7"/>
      <c r="C58" s="3"/>
      <c r="D58" s="3"/>
      <c r="E58" s="3"/>
      <c r="F58" s="3"/>
      <c r="G58" s="4"/>
      <c r="H58" s="3"/>
      <c r="I58" s="1" t="str">
        <f>IF(COUNTA(A58:H58)=0,"",IF(OR(A58="",B58="",C58="",D58="",F58="",G58=""),"Faltan datos",IF(COUNTIF($A$7:$A$506,A58)&gt;1,"ID duplicado",IF(G58&lt;0,"Revisar signo",IF(OR(AND(C58="Saldo inicial",B58&lt;&gt;DATE(Configuración!$C$5,1,1)-1),AND(C58&lt;&gt;"Saldo inicial",OR(B58&lt;DATE(Configuración!$C$5,1,1),B58&gt;=DATE(Configuración!$C$5+1,1,1)))),"Revisar fecha","OK")))))</f>
        <v/>
      </c>
    </row>
    <row r="59" spans="1:9" ht="22" customHeight="1">
      <c r="A59" s="3"/>
      <c r="B59" s="7"/>
      <c r="C59" s="3"/>
      <c r="D59" s="3"/>
      <c r="E59" s="3"/>
      <c r="F59" s="3"/>
      <c r="G59" s="4"/>
      <c r="H59" s="3"/>
      <c r="I59" s="1" t="str">
        <f>IF(COUNTA(A59:H59)=0,"",IF(OR(A59="",B59="",C59="",D59="",F59="",G59=""),"Faltan datos",IF(COUNTIF($A$7:$A$506,A59)&gt;1,"ID duplicado",IF(G59&lt;0,"Revisar signo",IF(OR(AND(C59="Saldo inicial",B59&lt;&gt;DATE(Configuración!$C$5,1,1)-1),AND(C59&lt;&gt;"Saldo inicial",OR(B59&lt;DATE(Configuración!$C$5,1,1),B59&gt;=DATE(Configuración!$C$5+1,1,1)))),"Revisar fecha","OK")))))</f>
        <v/>
      </c>
    </row>
    <row r="60" spans="1:9" ht="22" customHeight="1">
      <c r="A60" s="3"/>
      <c r="B60" s="7"/>
      <c r="C60" s="3"/>
      <c r="D60" s="3"/>
      <c r="E60" s="3"/>
      <c r="F60" s="3"/>
      <c r="G60" s="4"/>
      <c r="H60" s="3"/>
      <c r="I60" s="1" t="str">
        <f>IF(COUNTA(A60:H60)=0,"",IF(OR(A60="",B60="",C60="",D60="",F60="",G60=""),"Faltan datos",IF(COUNTIF($A$7:$A$506,A60)&gt;1,"ID duplicado",IF(G60&lt;0,"Revisar signo",IF(OR(AND(C60="Saldo inicial",B60&lt;&gt;DATE(Configuración!$C$5,1,1)-1),AND(C60&lt;&gt;"Saldo inicial",OR(B60&lt;DATE(Configuración!$C$5,1,1),B60&gt;=DATE(Configuración!$C$5+1,1,1)))),"Revisar fecha","OK")))))</f>
        <v/>
      </c>
    </row>
    <row r="61" spans="1:9" ht="22" customHeight="1">
      <c r="A61" s="3"/>
      <c r="B61" s="7"/>
      <c r="C61" s="3"/>
      <c r="D61" s="3"/>
      <c r="E61" s="3"/>
      <c r="F61" s="3"/>
      <c r="G61" s="4"/>
      <c r="H61" s="3"/>
      <c r="I61" s="1" t="str">
        <f>IF(COUNTA(A61:H61)=0,"",IF(OR(A61="",B61="",C61="",D61="",F61="",G61=""),"Faltan datos",IF(COUNTIF($A$7:$A$506,A61)&gt;1,"ID duplicado",IF(G61&lt;0,"Revisar signo",IF(OR(AND(C61="Saldo inicial",B61&lt;&gt;DATE(Configuración!$C$5,1,1)-1),AND(C61&lt;&gt;"Saldo inicial",OR(B61&lt;DATE(Configuración!$C$5,1,1),B61&gt;=DATE(Configuración!$C$5+1,1,1)))),"Revisar fecha","OK")))))</f>
        <v/>
      </c>
    </row>
    <row r="62" spans="1:9" ht="22" customHeight="1">
      <c r="A62" s="3"/>
      <c r="B62" s="7"/>
      <c r="C62" s="3"/>
      <c r="D62" s="3"/>
      <c r="E62" s="3"/>
      <c r="F62" s="3"/>
      <c r="G62" s="4"/>
      <c r="H62" s="3"/>
      <c r="I62" s="1" t="str">
        <f>IF(COUNTA(A62:H62)=0,"",IF(OR(A62="",B62="",C62="",D62="",F62="",G62=""),"Faltan datos",IF(COUNTIF($A$7:$A$506,A62)&gt;1,"ID duplicado",IF(G62&lt;0,"Revisar signo",IF(OR(AND(C62="Saldo inicial",B62&lt;&gt;DATE(Configuración!$C$5,1,1)-1),AND(C62&lt;&gt;"Saldo inicial",OR(B62&lt;DATE(Configuración!$C$5,1,1),B62&gt;=DATE(Configuración!$C$5+1,1,1)))),"Revisar fecha","OK")))))</f>
        <v/>
      </c>
    </row>
    <row r="63" spans="1:9" ht="22" customHeight="1">
      <c r="A63" s="3"/>
      <c r="B63" s="7"/>
      <c r="C63" s="3"/>
      <c r="D63" s="3"/>
      <c r="E63" s="3"/>
      <c r="F63" s="3"/>
      <c r="G63" s="4"/>
      <c r="H63" s="3"/>
      <c r="I63" s="1" t="str">
        <f>IF(COUNTA(A63:H63)=0,"",IF(OR(A63="",B63="",C63="",D63="",F63="",G63=""),"Faltan datos",IF(COUNTIF($A$7:$A$506,A63)&gt;1,"ID duplicado",IF(G63&lt;0,"Revisar signo",IF(OR(AND(C63="Saldo inicial",B63&lt;&gt;DATE(Configuración!$C$5,1,1)-1),AND(C63&lt;&gt;"Saldo inicial",OR(B63&lt;DATE(Configuración!$C$5,1,1),B63&gt;=DATE(Configuración!$C$5+1,1,1)))),"Revisar fecha","OK")))))</f>
        <v/>
      </c>
    </row>
    <row r="64" spans="1:9" ht="22" customHeight="1">
      <c r="A64" s="3"/>
      <c r="B64" s="7"/>
      <c r="C64" s="3"/>
      <c r="D64" s="3"/>
      <c r="E64" s="3"/>
      <c r="F64" s="3"/>
      <c r="G64" s="4"/>
      <c r="H64" s="3"/>
      <c r="I64" s="1" t="str">
        <f>IF(COUNTA(A64:H64)=0,"",IF(OR(A64="",B64="",C64="",D64="",F64="",G64=""),"Faltan datos",IF(COUNTIF($A$7:$A$506,A64)&gt;1,"ID duplicado",IF(G64&lt;0,"Revisar signo",IF(OR(AND(C64="Saldo inicial",B64&lt;&gt;DATE(Configuración!$C$5,1,1)-1),AND(C64&lt;&gt;"Saldo inicial",OR(B64&lt;DATE(Configuración!$C$5,1,1),B64&gt;=DATE(Configuración!$C$5+1,1,1)))),"Revisar fecha","OK")))))</f>
        <v/>
      </c>
    </row>
    <row r="65" spans="1:9" ht="22" customHeight="1">
      <c r="A65" s="3"/>
      <c r="B65" s="7"/>
      <c r="C65" s="3"/>
      <c r="D65" s="3"/>
      <c r="E65" s="3"/>
      <c r="F65" s="3"/>
      <c r="G65" s="4"/>
      <c r="H65" s="3"/>
      <c r="I65" s="1" t="str">
        <f>IF(COUNTA(A65:H65)=0,"",IF(OR(A65="",B65="",C65="",D65="",F65="",G65=""),"Faltan datos",IF(COUNTIF($A$7:$A$506,A65)&gt;1,"ID duplicado",IF(G65&lt;0,"Revisar signo",IF(OR(AND(C65="Saldo inicial",B65&lt;&gt;DATE(Configuración!$C$5,1,1)-1),AND(C65&lt;&gt;"Saldo inicial",OR(B65&lt;DATE(Configuración!$C$5,1,1),B65&gt;=DATE(Configuración!$C$5+1,1,1)))),"Revisar fecha","OK")))))</f>
        <v/>
      </c>
    </row>
    <row r="66" spans="1:9" ht="22" customHeight="1">
      <c r="A66" s="3"/>
      <c r="B66" s="7"/>
      <c r="C66" s="3"/>
      <c r="D66" s="3"/>
      <c r="E66" s="3"/>
      <c r="F66" s="3"/>
      <c r="G66" s="4"/>
      <c r="H66" s="3"/>
      <c r="I66" s="1" t="str">
        <f>IF(COUNTA(A66:H66)=0,"",IF(OR(A66="",B66="",C66="",D66="",F66="",G66=""),"Faltan datos",IF(COUNTIF($A$7:$A$506,A66)&gt;1,"ID duplicado",IF(G66&lt;0,"Revisar signo",IF(OR(AND(C66="Saldo inicial",B66&lt;&gt;DATE(Configuración!$C$5,1,1)-1),AND(C66&lt;&gt;"Saldo inicial",OR(B66&lt;DATE(Configuración!$C$5,1,1),B66&gt;=DATE(Configuración!$C$5+1,1,1)))),"Revisar fecha","OK")))))</f>
        <v/>
      </c>
    </row>
    <row r="67" spans="1:9" ht="22" customHeight="1">
      <c r="A67" s="3"/>
      <c r="B67" s="7"/>
      <c r="C67" s="3"/>
      <c r="D67" s="3"/>
      <c r="E67" s="3"/>
      <c r="F67" s="3"/>
      <c r="G67" s="4"/>
      <c r="H67" s="3"/>
      <c r="I67" s="1" t="str">
        <f>IF(COUNTA(A67:H67)=0,"",IF(OR(A67="",B67="",C67="",D67="",F67="",G67=""),"Faltan datos",IF(COUNTIF($A$7:$A$506,A67)&gt;1,"ID duplicado",IF(G67&lt;0,"Revisar signo",IF(OR(AND(C67="Saldo inicial",B67&lt;&gt;DATE(Configuración!$C$5,1,1)-1),AND(C67&lt;&gt;"Saldo inicial",OR(B67&lt;DATE(Configuración!$C$5,1,1),B67&gt;=DATE(Configuración!$C$5+1,1,1)))),"Revisar fecha","OK")))))</f>
        <v/>
      </c>
    </row>
    <row r="68" spans="1:9" ht="22" customHeight="1">
      <c r="A68" s="3"/>
      <c r="B68" s="7"/>
      <c r="C68" s="3"/>
      <c r="D68" s="3"/>
      <c r="E68" s="3"/>
      <c r="F68" s="3"/>
      <c r="G68" s="4"/>
      <c r="H68" s="3"/>
      <c r="I68" s="1" t="str">
        <f>IF(COUNTA(A68:H68)=0,"",IF(OR(A68="",B68="",C68="",D68="",F68="",G68=""),"Faltan datos",IF(COUNTIF($A$7:$A$506,A68)&gt;1,"ID duplicado",IF(G68&lt;0,"Revisar signo",IF(OR(AND(C68="Saldo inicial",B68&lt;&gt;DATE(Configuración!$C$5,1,1)-1),AND(C68&lt;&gt;"Saldo inicial",OR(B68&lt;DATE(Configuración!$C$5,1,1),B68&gt;=DATE(Configuración!$C$5+1,1,1)))),"Revisar fecha","OK")))))</f>
        <v/>
      </c>
    </row>
    <row r="69" spans="1:9" ht="22" customHeight="1">
      <c r="A69" s="3"/>
      <c r="B69" s="7"/>
      <c r="C69" s="3"/>
      <c r="D69" s="3"/>
      <c r="E69" s="3"/>
      <c r="F69" s="3"/>
      <c r="G69" s="4"/>
      <c r="H69" s="3"/>
      <c r="I69" s="1" t="str">
        <f>IF(COUNTA(A69:H69)=0,"",IF(OR(A69="",B69="",C69="",D69="",F69="",G69=""),"Faltan datos",IF(COUNTIF($A$7:$A$506,A69)&gt;1,"ID duplicado",IF(G69&lt;0,"Revisar signo",IF(OR(AND(C69="Saldo inicial",B69&lt;&gt;DATE(Configuración!$C$5,1,1)-1),AND(C69&lt;&gt;"Saldo inicial",OR(B69&lt;DATE(Configuración!$C$5,1,1),B69&gt;=DATE(Configuración!$C$5+1,1,1)))),"Revisar fecha","OK")))))</f>
        <v/>
      </c>
    </row>
    <row r="70" spans="1:9" ht="22" customHeight="1">
      <c r="A70" s="3"/>
      <c r="B70" s="7"/>
      <c r="C70" s="3"/>
      <c r="D70" s="3"/>
      <c r="E70" s="3"/>
      <c r="F70" s="3"/>
      <c r="G70" s="4"/>
      <c r="H70" s="3"/>
      <c r="I70" s="1" t="str">
        <f>IF(COUNTA(A70:H70)=0,"",IF(OR(A70="",B70="",C70="",D70="",F70="",G70=""),"Faltan datos",IF(COUNTIF($A$7:$A$506,A70)&gt;1,"ID duplicado",IF(G70&lt;0,"Revisar signo",IF(OR(AND(C70="Saldo inicial",B70&lt;&gt;DATE(Configuración!$C$5,1,1)-1),AND(C70&lt;&gt;"Saldo inicial",OR(B70&lt;DATE(Configuración!$C$5,1,1),B70&gt;=DATE(Configuración!$C$5+1,1,1)))),"Revisar fecha","OK")))))</f>
        <v/>
      </c>
    </row>
    <row r="71" spans="1:9" ht="22" customHeight="1">
      <c r="A71" s="3"/>
      <c r="B71" s="7"/>
      <c r="C71" s="3"/>
      <c r="D71" s="3"/>
      <c r="E71" s="3"/>
      <c r="F71" s="3"/>
      <c r="G71" s="4"/>
      <c r="H71" s="3"/>
      <c r="I71" s="1" t="str">
        <f>IF(COUNTA(A71:H71)=0,"",IF(OR(A71="",B71="",C71="",D71="",F71="",G71=""),"Faltan datos",IF(COUNTIF($A$7:$A$506,A71)&gt;1,"ID duplicado",IF(G71&lt;0,"Revisar signo",IF(OR(AND(C71="Saldo inicial",B71&lt;&gt;DATE(Configuración!$C$5,1,1)-1),AND(C71&lt;&gt;"Saldo inicial",OR(B71&lt;DATE(Configuración!$C$5,1,1),B71&gt;=DATE(Configuración!$C$5+1,1,1)))),"Revisar fecha","OK")))))</f>
        <v/>
      </c>
    </row>
    <row r="72" spans="1:9" ht="22" customHeight="1">
      <c r="A72" s="3"/>
      <c r="B72" s="7"/>
      <c r="C72" s="3"/>
      <c r="D72" s="3"/>
      <c r="E72" s="3"/>
      <c r="F72" s="3"/>
      <c r="G72" s="4"/>
      <c r="H72" s="3"/>
      <c r="I72" s="1" t="str">
        <f>IF(COUNTA(A72:H72)=0,"",IF(OR(A72="",B72="",C72="",D72="",F72="",G72=""),"Faltan datos",IF(COUNTIF($A$7:$A$506,A72)&gt;1,"ID duplicado",IF(G72&lt;0,"Revisar signo",IF(OR(AND(C72="Saldo inicial",B72&lt;&gt;DATE(Configuración!$C$5,1,1)-1),AND(C72&lt;&gt;"Saldo inicial",OR(B72&lt;DATE(Configuración!$C$5,1,1),B72&gt;=DATE(Configuración!$C$5+1,1,1)))),"Revisar fecha","OK")))))</f>
        <v/>
      </c>
    </row>
    <row r="73" spans="1:9" ht="22" customHeight="1">
      <c r="A73" s="3"/>
      <c r="B73" s="7"/>
      <c r="C73" s="3"/>
      <c r="D73" s="3"/>
      <c r="E73" s="3"/>
      <c r="F73" s="3"/>
      <c r="G73" s="4"/>
      <c r="H73" s="3"/>
      <c r="I73" s="1" t="str">
        <f>IF(COUNTA(A73:H73)=0,"",IF(OR(A73="",B73="",C73="",D73="",F73="",G73=""),"Faltan datos",IF(COUNTIF($A$7:$A$506,A73)&gt;1,"ID duplicado",IF(G73&lt;0,"Revisar signo",IF(OR(AND(C73="Saldo inicial",B73&lt;&gt;DATE(Configuración!$C$5,1,1)-1),AND(C73&lt;&gt;"Saldo inicial",OR(B73&lt;DATE(Configuración!$C$5,1,1),B73&gt;=DATE(Configuración!$C$5+1,1,1)))),"Revisar fecha","OK")))))</f>
        <v/>
      </c>
    </row>
    <row r="74" spans="1:9" ht="22" customHeight="1">
      <c r="A74" s="3"/>
      <c r="B74" s="7"/>
      <c r="C74" s="3"/>
      <c r="D74" s="3"/>
      <c r="E74" s="3"/>
      <c r="F74" s="3"/>
      <c r="G74" s="4"/>
      <c r="H74" s="3"/>
      <c r="I74" s="1" t="str">
        <f>IF(COUNTA(A74:H74)=0,"",IF(OR(A74="",B74="",C74="",D74="",F74="",G74=""),"Faltan datos",IF(COUNTIF($A$7:$A$506,A74)&gt;1,"ID duplicado",IF(G74&lt;0,"Revisar signo",IF(OR(AND(C74="Saldo inicial",B74&lt;&gt;DATE(Configuración!$C$5,1,1)-1),AND(C74&lt;&gt;"Saldo inicial",OR(B74&lt;DATE(Configuración!$C$5,1,1),B74&gt;=DATE(Configuración!$C$5+1,1,1)))),"Revisar fecha","OK")))))</f>
        <v/>
      </c>
    </row>
    <row r="75" spans="1:9" ht="22" customHeight="1">
      <c r="A75" s="3"/>
      <c r="B75" s="7"/>
      <c r="C75" s="3"/>
      <c r="D75" s="3"/>
      <c r="E75" s="3"/>
      <c r="F75" s="3"/>
      <c r="G75" s="4"/>
      <c r="H75" s="3"/>
      <c r="I75" s="1" t="str">
        <f>IF(COUNTA(A75:H75)=0,"",IF(OR(A75="",B75="",C75="",D75="",F75="",G75=""),"Faltan datos",IF(COUNTIF($A$7:$A$506,A75)&gt;1,"ID duplicado",IF(G75&lt;0,"Revisar signo",IF(OR(AND(C75="Saldo inicial",B75&lt;&gt;DATE(Configuración!$C$5,1,1)-1),AND(C75&lt;&gt;"Saldo inicial",OR(B75&lt;DATE(Configuración!$C$5,1,1),B75&gt;=DATE(Configuración!$C$5+1,1,1)))),"Revisar fecha","OK")))))</f>
        <v/>
      </c>
    </row>
    <row r="76" spans="1:9" ht="22" customHeight="1">
      <c r="A76" s="3"/>
      <c r="B76" s="7"/>
      <c r="C76" s="3"/>
      <c r="D76" s="3"/>
      <c r="E76" s="3"/>
      <c r="F76" s="3"/>
      <c r="G76" s="4"/>
      <c r="H76" s="3"/>
      <c r="I76" s="1" t="str">
        <f>IF(COUNTA(A76:H76)=0,"",IF(OR(A76="",B76="",C76="",D76="",F76="",G76=""),"Faltan datos",IF(COUNTIF($A$7:$A$506,A76)&gt;1,"ID duplicado",IF(G76&lt;0,"Revisar signo",IF(OR(AND(C76="Saldo inicial",B76&lt;&gt;DATE(Configuración!$C$5,1,1)-1),AND(C76&lt;&gt;"Saldo inicial",OR(B76&lt;DATE(Configuración!$C$5,1,1),B76&gt;=DATE(Configuración!$C$5+1,1,1)))),"Revisar fecha","OK")))))</f>
        <v/>
      </c>
    </row>
    <row r="77" spans="1:9" ht="22" customHeight="1">
      <c r="A77" s="3"/>
      <c r="B77" s="7"/>
      <c r="C77" s="3"/>
      <c r="D77" s="3"/>
      <c r="E77" s="3"/>
      <c r="F77" s="3"/>
      <c r="G77" s="4"/>
      <c r="H77" s="3"/>
      <c r="I77" s="1" t="str">
        <f>IF(COUNTA(A77:H77)=0,"",IF(OR(A77="",B77="",C77="",D77="",F77="",G77=""),"Faltan datos",IF(COUNTIF($A$7:$A$506,A77)&gt;1,"ID duplicado",IF(G77&lt;0,"Revisar signo",IF(OR(AND(C77="Saldo inicial",B77&lt;&gt;DATE(Configuración!$C$5,1,1)-1),AND(C77&lt;&gt;"Saldo inicial",OR(B77&lt;DATE(Configuración!$C$5,1,1),B77&gt;=DATE(Configuración!$C$5+1,1,1)))),"Revisar fecha","OK")))))</f>
        <v/>
      </c>
    </row>
    <row r="78" spans="1:9" ht="22" customHeight="1">
      <c r="A78" s="3"/>
      <c r="B78" s="7"/>
      <c r="C78" s="3"/>
      <c r="D78" s="3"/>
      <c r="E78" s="3"/>
      <c r="F78" s="3"/>
      <c r="G78" s="4"/>
      <c r="H78" s="3"/>
      <c r="I78" s="1" t="str">
        <f>IF(COUNTA(A78:H78)=0,"",IF(OR(A78="",B78="",C78="",D78="",F78="",G78=""),"Faltan datos",IF(COUNTIF($A$7:$A$506,A78)&gt;1,"ID duplicado",IF(G78&lt;0,"Revisar signo",IF(OR(AND(C78="Saldo inicial",B78&lt;&gt;DATE(Configuración!$C$5,1,1)-1),AND(C78&lt;&gt;"Saldo inicial",OR(B78&lt;DATE(Configuración!$C$5,1,1),B78&gt;=DATE(Configuración!$C$5+1,1,1)))),"Revisar fecha","OK")))))</f>
        <v/>
      </c>
    </row>
    <row r="79" spans="1:9" ht="22" customHeight="1">
      <c r="A79" s="3"/>
      <c r="B79" s="7"/>
      <c r="C79" s="3"/>
      <c r="D79" s="3"/>
      <c r="E79" s="3"/>
      <c r="F79" s="3"/>
      <c r="G79" s="4"/>
      <c r="H79" s="3"/>
      <c r="I79" s="1" t="str">
        <f>IF(COUNTA(A79:H79)=0,"",IF(OR(A79="",B79="",C79="",D79="",F79="",G79=""),"Faltan datos",IF(COUNTIF($A$7:$A$506,A79)&gt;1,"ID duplicado",IF(G79&lt;0,"Revisar signo",IF(OR(AND(C79="Saldo inicial",B79&lt;&gt;DATE(Configuración!$C$5,1,1)-1),AND(C79&lt;&gt;"Saldo inicial",OR(B79&lt;DATE(Configuración!$C$5,1,1),B79&gt;=DATE(Configuración!$C$5+1,1,1)))),"Revisar fecha","OK")))))</f>
        <v/>
      </c>
    </row>
    <row r="80" spans="1:9" ht="22" customHeight="1">
      <c r="A80" s="3"/>
      <c r="B80" s="7"/>
      <c r="C80" s="3"/>
      <c r="D80" s="3"/>
      <c r="E80" s="3"/>
      <c r="F80" s="3"/>
      <c r="G80" s="4"/>
      <c r="H80" s="3"/>
      <c r="I80" s="1" t="str">
        <f>IF(COUNTA(A80:H80)=0,"",IF(OR(A80="",B80="",C80="",D80="",F80="",G80=""),"Faltan datos",IF(COUNTIF($A$7:$A$506,A80)&gt;1,"ID duplicado",IF(G80&lt;0,"Revisar signo",IF(OR(AND(C80="Saldo inicial",B80&lt;&gt;DATE(Configuración!$C$5,1,1)-1),AND(C80&lt;&gt;"Saldo inicial",OR(B80&lt;DATE(Configuración!$C$5,1,1),B80&gt;=DATE(Configuración!$C$5+1,1,1)))),"Revisar fecha","OK")))))</f>
        <v/>
      </c>
    </row>
    <row r="81" spans="1:9" ht="22" customHeight="1">
      <c r="A81" s="3"/>
      <c r="B81" s="7"/>
      <c r="C81" s="3"/>
      <c r="D81" s="3"/>
      <c r="E81" s="3"/>
      <c r="F81" s="3"/>
      <c r="G81" s="4"/>
      <c r="H81" s="3"/>
      <c r="I81" s="1" t="str">
        <f>IF(COUNTA(A81:H81)=0,"",IF(OR(A81="",B81="",C81="",D81="",F81="",G81=""),"Faltan datos",IF(COUNTIF($A$7:$A$506,A81)&gt;1,"ID duplicado",IF(G81&lt;0,"Revisar signo",IF(OR(AND(C81="Saldo inicial",B81&lt;&gt;DATE(Configuración!$C$5,1,1)-1),AND(C81&lt;&gt;"Saldo inicial",OR(B81&lt;DATE(Configuración!$C$5,1,1),B81&gt;=DATE(Configuración!$C$5+1,1,1)))),"Revisar fecha","OK")))))</f>
        <v/>
      </c>
    </row>
    <row r="82" spans="1:9" ht="22" customHeight="1">
      <c r="A82" s="3"/>
      <c r="B82" s="7"/>
      <c r="C82" s="3"/>
      <c r="D82" s="3"/>
      <c r="E82" s="3"/>
      <c r="F82" s="3"/>
      <c r="G82" s="4"/>
      <c r="H82" s="3"/>
      <c r="I82" s="1" t="str">
        <f>IF(COUNTA(A82:H82)=0,"",IF(OR(A82="",B82="",C82="",D82="",F82="",G82=""),"Faltan datos",IF(COUNTIF($A$7:$A$506,A82)&gt;1,"ID duplicado",IF(G82&lt;0,"Revisar signo",IF(OR(AND(C82="Saldo inicial",B82&lt;&gt;DATE(Configuración!$C$5,1,1)-1),AND(C82&lt;&gt;"Saldo inicial",OR(B82&lt;DATE(Configuración!$C$5,1,1),B82&gt;=DATE(Configuración!$C$5+1,1,1)))),"Revisar fecha","OK")))))</f>
        <v/>
      </c>
    </row>
    <row r="83" spans="1:9" ht="22" customHeight="1">
      <c r="A83" s="3"/>
      <c r="B83" s="7"/>
      <c r="C83" s="3"/>
      <c r="D83" s="3"/>
      <c r="E83" s="3"/>
      <c r="F83" s="3"/>
      <c r="G83" s="4"/>
      <c r="H83" s="3"/>
      <c r="I83" s="1" t="str">
        <f>IF(COUNTA(A83:H83)=0,"",IF(OR(A83="",B83="",C83="",D83="",F83="",G83=""),"Faltan datos",IF(COUNTIF($A$7:$A$506,A83)&gt;1,"ID duplicado",IF(G83&lt;0,"Revisar signo",IF(OR(AND(C83="Saldo inicial",B83&lt;&gt;DATE(Configuración!$C$5,1,1)-1),AND(C83&lt;&gt;"Saldo inicial",OR(B83&lt;DATE(Configuración!$C$5,1,1),B83&gt;=DATE(Configuración!$C$5+1,1,1)))),"Revisar fecha","OK")))))</f>
        <v/>
      </c>
    </row>
    <row r="84" spans="1:9" ht="22" customHeight="1">
      <c r="A84" s="3"/>
      <c r="B84" s="7"/>
      <c r="C84" s="3"/>
      <c r="D84" s="3"/>
      <c r="E84" s="3"/>
      <c r="F84" s="3"/>
      <c r="G84" s="4"/>
      <c r="H84" s="3"/>
      <c r="I84" s="1" t="str">
        <f>IF(COUNTA(A84:H84)=0,"",IF(OR(A84="",B84="",C84="",D84="",F84="",G84=""),"Faltan datos",IF(COUNTIF($A$7:$A$506,A84)&gt;1,"ID duplicado",IF(G84&lt;0,"Revisar signo",IF(OR(AND(C84="Saldo inicial",B84&lt;&gt;DATE(Configuración!$C$5,1,1)-1),AND(C84&lt;&gt;"Saldo inicial",OR(B84&lt;DATE(Configuración!$C$5,1,1),B84&gt;=DATE(Configuración!$C$5+1,1,1)))),"Revisar fecha","OK")))))</f>
        <v/>
      </c>
    </row>
    <row r="85" spans="1:9" ht="22" customHeight="1">
      <c r="A85" s="3"/>
      <c r="B85" s="7"/>
      <c r="C85" s="3"/>
      <c r="D85" s="3"/>
      <c r="E85" s="3"/>
      <c r="F85" s="3"/>
      <c r="G85" s="4"/>
      <c r="H85" s="3"/>
      <c r="I85" s="1" t="str">
        <f>IF(COUNTA(A85:H85)=0,"",IF(OR(A85="",B85="",C85="",D85="",F85="",G85=""),"Faltan datos",IF(COUNTIF($A$7:$A$506,A85)&gt;1,"ID duplicado",IF(G85&lt;0,"Revisar signo",IF(OR(AND(C85="Saldo inicial",B85&lt;&gt;DATE(Configuración!$C$5,1,1)-1),AND(C85&lt;&gt;"Saldo inicial",OR(B85&lt;DATE(Configuración!$C$5,1,1),B85&gt;=DATE(Configuración!$C$5+1,1,1)))),"Revisar fecha","OK")))))</f>
        <v/>
      </c>
    </row>
    <row r="86" spans="1:9" ht="22" customHeight="1">
      <c r="A86" s="3"/>
      <c r="B86" s="7"/>
      <c r="C86" s="3"/>
      <c r="D86" s="3"/>
      <c r="E86" s="3"/>
      <c r="F86" s="3"/>
      <c r="G86" s="4"/>
      <c r="H86" s="3"/>
      <c r="I86" s="1" t="str">
        <f>IF(COUNTA(A86:H86)=0,"",IF(OR(A86="",B86="",C86="",D86="",F86="",G86=""),"Faltan datos",IF(COUNTIF($A$7:$A$506,A86)&gt;1,"ID duplicado",IF(G86&lt;0,"Revisar signo",IF(OR(AND(C86="Saldo inicial",B86&lt;&gt;DATE(Configuración!$C$5,1,1)-1),AND(C86&lt;&gt;"Saldo inicial",OR(B86&lt;DATE(Configuración!$C$5,1,1),B86&gt;=DATE(Configuración!$C$5+1,1,1)))),"Revisar fecha","OK")))))</f>
        <v/>
      </c>
    </row>
    <row r="87" spans="1:9" ht="22" customHeight="1">
      <c r="A87" s="3"/>
      <c r="B87" s="7"/>
      <c r="C87" s="3"/>
      <c r="D87" s="3"/>
      <c r="E87" s="3"/>
      <c r="F87" s="3"/>
      <c r="G87" s="4"/>
      <c r="H87" s="3"/>
      <c r="I87" s="1" t="str">
        <f>IF(COUNTA(A87:H87)=0,"",IF(OR(A87="",B87="",C87="",D87="",F87="",G87=""),"Faltan datos",IF(COUNTIF($A$7:$A$506,A87)&gt;1,"ID duplicado",IF(G87&lt;0,"Revisar signo",IF(OR(AND(C87="Saldo inicial",B87&lt;&gt;DATE(Configuración!$C$5,1,1)-1),AND(C87&lt;&gt;"Saldo inicial",OR(B87&lt;DATE(Configuración!$C$5,1,1),B87&gt;=DATE(Configuración!$C$5+1,1,1)))),"Revisar fecha","OK")))))</f>
        <v/>
      </c>
    </row>
    <row r="88" spans="1:9" ht="22" customHeight="1">
      <c r="A88" s="3"/>
      <c r="B88" s="7"/>
      <c r="C88" s="3"/>
      <c r="D88" s="3"/>
      <c r="E88" s="3"/>
      <c r="F88" s="3"/>
      <c r="G88" s="4"/>
      <c r="H88" s="3"/>
      <c r="I88" s="1" t="str">
        <f>IF(COUNTA(A88:H88)=0,"",IF(OR(A88="",B88="",C88="",D88="",F88="",G88=""),"Faltan datos",IF(COUNTIF($A$7:$A$506,A88)&gt;1,"ID duplicado",IF(G88&lt;0,"Revisar signo",IF(OR(AND(C88="Saldo inicial",B88&lt;&gt;DATE(Configuración!$C$5,1,1)-1),AND(C88&lt;&gt;"Saldo inicial",OR(B88&lt;DATE(Configuración!$C$5,1,1),B88&gt;=DATE(Configuración!$C$5+1,1,1)))),"Revisar fecha","OK")))))</f>
        <v/>
      </c>
    </row>
    <row r="89" spans="1:9" ht="22" customHeight="1">
      <c r="A89" s="3"/>
      <c r="B89" s="7"/>
      <c r="C89" s="3"/>
      <c r="D89" s="3"/>
      <c r="E89" s="3"/>
      <c r="F89" s="3"/>
      <c r="G89" s="4"/>
      <c r="H89" s="3"/>
      <c r="I89" s="1" t="str">
        <f>IF(COUNTA(A89:H89)=0,"",IF(OR(A89="",B89="",C89="",D89="",F89="",G89=""),"Faltan datos",IF(COUNTIF($A$7:$A$506,A89)&gt;1,"ID duplicado",IF(G89&lt;0,"Revisar signo",IF(OR(AND(C89="Saldo inicial",B89&lt;&gt;DATE(Configuración!$C$5,1,1)-1),AND(C89&lt;&gt;"Saldo inicial",OR(B89&lt;DATE(Configuración!$C$5,1,1),B89&gt;=DATE(Configuración!$C$5+1,1,1)))),"Revisar fecha","OK")))))</f>
        <v/>
      </c>
    </row>
    <row r="90" spans="1:9" ht="22" customHeight="1">
      <c r="A90" s="3"/>
      <c r="B90" s="7"/>
      <c r="C90" s="3"/>
      <c r="D90" s="3"/>
      <c r="E90" s="3"/>
      <c r="F90" s="3"/>
      <c r="G90" s="4"/>
      <c r="H90" s="3"/>
      <c r="I90" s="1" t="str">
        <f>IF(COUNTA(A90:H90)=0,"",IF(OR(A90="",B90="",C90="",D90="",F90="",G90=""),"Faltan datos",IF(COUNTIF($A$7:$A$506,A90)&gt;1,"ID duplicado",IF(G90&lt;0,"Revisar signo",IF(OR(AND(C90="Saldo inicial",B90&lt;&gt;DATE(Configuración!$C$5,1,1)-1),AND(C90&lt;&gt;"Saldo inicial",OR(B90&lt;DATE(Configuración!$C$5,1,1),B90&gt;=DATE(Configuración!$C$5+1,1,1)))),"Revisar fecha","OK")))))</f>
        <v/>
      </c>
    </row>
    <row r="91" spans="1:9" ht="22" customHeight="1">
      <c r="A91" s="3"/>
      <c r="B91" s="7"/>
      <c r="C91" s="3"/>
      <c r="D91" s="3"/>
      <c r="E91" s="3"/>
      <c r="F91" s="3"/>
      <c r="G91" s="4"/>
      <c r="H91" s="3"/>
      <c r="I91" s="1" t="str">
        <f>IF(COUNTA(A91:H91)=0,"",IF(OR(A91="",B91="",C91="",D91="",F91="",G91=""),"Faltan datos",IF(COUNTIF($A$7:$A$506,A91)&gt;1,"ID duplicado",IF(G91&lt;0,"Revisar signo",IF(OR(AND(C91="Saldo inicial",B91&lt;&gt;DATE(Configuración!$C$5,1,1)-1),AND(C91&lt;&gt;"Saldo inicial",OR(B91&lt;DATE(Configuración!$C$5,1,1),B91&gt;=DATE(Configuración!$C$5+1,1,1)))),"Revisar fecha","OK")))))</f>
        <v/>
      </c>
    </row>
    <row r="92" spans="1:9" ht="22" customHeight="1">
      <c r="A92" s="3"/>
      <c r="B92" s="7"/>
      <c r="C92" s="3"/>
      <c r="D92" s="3"/>
      <c r="E92" s="3"/>
      <c r="F92" s="3"/>
      <c r="G92" s="4"/>
      <c r="H92" s="3"/>
      <c r="I92" s="1" t="str">
        <f>IF(COUNTA(A92:H92)=0,"",IF(OR(A92="",B92="",C92="",D92="",F92="",G92=""),"Faltan datos",IF(COUNTIF($A$7:$A$506,A92)&gt;1,"ID duplicado",IF(G92&lt;0,"Revisar signo",IF(OR(AND(C92="Saldo inicial",B92&lt;&gt;DATE(Configuración!$C$5,1,1)-1),AND(C92&lt;&gt;"Saldo inicial",OR(B92&lt;DATE(Configuración!$C$5,1,1),B92&gt;=DATE(Configuración!$C$5+1,1,1)))),"Revisar fecha","OK")))))</f>
        <v/>
      </c>
    </row>
    <row r="93" spans="1:9" ht="22" customHeight="1">
      <c r="A93" s="3"/>
      <c r="B93" s="7"/>
      <c r="C93" s="3"/>
      <c r="D93" s="3"/>
      <c r="E93" s="3"/>
      <c r="F93" s="3"/>
      <c r="G93" s="4"/>
      <c r="H93" s="3"/>
      <c r="I93" s="1" t="str">
        <f>IF(COUNTA(A93:H93)=0,"",IF(OR(A93="",B93="",C93="",D93="",F93="",G93=""),"Faltan datos",IF(COUNTIF($A$7:$A$506,A93)&gt;1,"ID duplicado",IF(G93&lt;0,"Revisar signo",IF(OR(AND(C93="Saldo inicial",B93&lt;&gt;DATE(Configuración!$C$5,1,1)-1),AND(C93&lt;&gt;"Saldo inicial",OR(B93&lt;DATE(Configuración!$C$5,1,1),B93&gt;=DATE(Configuración!$C$5+1,1,1)))),"Revisar fecha","OK")))))</f>
        <v/>
      </c>
    </row>
    <row r="94" spans="1:9" ht="22" customHeight="1">
      <c r="A94" s="3"/>
      <c r="B94" s="7"/>
      <c r="C94" s="3"/>
      <c r="D94" s="3"/>
      <c r="E94" s="3"/>
      <c r="F94" s="3"/>
      <c r="G94" s="4"/>
      <c r="H94" s="3"/>
      <c r="I94" s="1" t="str">
        <f>IF(COUNTA(A94:H94)=0,"",IF(OR(A94="",B94="",C94="",D94="",F94="",G94=""),"Faltan datos",IF(COUNTIF($A$7:$A$506,A94)&gt;1,"ID duplicado",IF(G94&lt;0,"Revisar signo",IF(OR(AND(C94="Saldo inicial",B94&lt;&gt;DATE(Configuración!$C$5,1,1)-1),AND(C94&lt;&gt;"Saldo inicial",OR(B94&lt;DATE(Configuración!$C$5,1,1),B94&gt;=DATE(Configuración!$C$5+1,1,1)))),"Revisar fecha","OK")))))</f>
        <v/>
      </c>
    </row>
    <row r="95" spans="1:9" ht="22" customHeight="1">
      <c r="A95" s="3"/>
      <c r="B95" s="7"/>
      <c r="C95" s="3"/>
      <c r="D95" s="3"/>
      <c r="E95" s="3"/>
      <c r="F95" s="3"/>
      <c r="G95" s="4"/>
      <c r="H95" s="3"/>
      <c r="I95" s="1" t="str">
        <f>IF(COUNTA(A95:H95)=0,"",IF(OR(A95="",B95="",C95="",D95="",F95="",G95=""),"Faltan datos",IF(COUNTIF($A$7:$A$506,A95)&gt;1,"ID duplicado",IF(G95&lt;0,"Revisar signo",IF(OR(AND(C95="Saldo inicial",B95&lt;&gt;DATE(Configuración!$C$5,1,1)-1),AND(C95&lt;&gt;"Saldo inicial",OR(B95&lt;DATE(Configuración!$C$5,1,1),B95&gt;=DATE(Configuración!$C$5+1,1,1)))),"Revisar fecha","OK")))))</f>
        <v/>
      </c>
    </row>
    <row r="96" spans="1:9" ht="22" customHeight="1">
      <c r="A96" s="3"/>
      <c r="B96" s="7"/>
      <c r="C96" s="3"/>
      <c r="D96" s="3"/>
      <c r="E96" s="3"/>
      <c r="F96" s="3"/>
      <c r="G96" s="4"/>
      <c r="H96" s="3"/>
      <c r="I96" s="1" t="str">
        <f>IF(COUNTA(A96:H96)=0,"",IF(OR(A96="",B96="",C96="",D96="",F96="",G96=""),"Faltan datos",IF(COUNTIF($A$7:$A$506,A96)&gt;1,"ID duplicado",IF(G96&lt;0,"Revisar signo",IF(OR(AND(C96="Saldo inicial",B96&lt;&gt;DATE(Configuración!$C$5,1,1)-1),AND(C96&lt;&gt;"Saldo inicial",OR(B96&lt;DATE(Configuración!$C$5,1,1),B96&gt;=DATE(Configuración!$C$5+1,1,1)))),"Revisar fecha","OK")))))</f>
        <v/>
      </c>
    </row>
    <row r="97" spans="1:9" ht="22" customHeight="1">
      <c r="A97" s="3"/>
      <c r="B97" s="7"/>
      <c r="C97" s="3"/>
      <c r="D97" s="3"/>
      <c r="E97" s="3"/>
      <c r="F97" s="3"/>
      <c r="G97" s="4"/>
      <c r="H97" s="3"/>
      <c r="I97" s="1" t="str">
        <f>IF(COUNTA(A97:H97)=0,"",IF(OR(A97="",B97="",C97="",D97="",F97="",G97=""),"Faltan datos",IF(COUNTIF($A$7:$A$506,A97)&gt;1,"ID duplicado",IF(G97&lt;0,"Revisar signo",IF(OR(AND(C97="Saldo inicial",B97&lt;&gt;DATE(Configuración!$C$5,1,1)-1),AND(C97&lt;&gt;"Saldo inicial",OR(B97&lt;DATE(Configuración!$C$5,1,1),B97&gt;=DATE(Configuración!$C$5+1,1,1)))),"Revisar fecha","OK")))))</f>
        <v/>
      </c>
    </row>
    <row r="98" spans="1:9" ht="22" customHeight="1">
      <c r="A98" s="3"/>
      <c r="B98" s="7"/>
      <c r="C98" s="3"/>
      <c r="D98" s="3"/>
      <c r="E98" s="3"/>
      <c r="F98" s="3"/>
      <c r="G98" s="4"/>
      <c r="H98" s="3"/>
      <c r="I98" s="1" t="str">
        <f>IF(COUNTA(A98:H98)=0,"",IF(OR(A98="",B98="",C98="",D98="",F98="",G98=""),"Faltan datos",IF(COUNTIF($A$7:$A$506,A98)&gt;1,"ID duplicado",IF(G98&lt;0,"Revisar signo",IF(OR(AND(C98="Saldo inicial",B98&lt;&gt;DATE(Configuración!$C$5,1,1)-1),AND(C98&lt;&gt;"Saldo inicial",OR(B98&lt;DATE(Configuración!$C$5,1,1),B98&gt;=DATE(Configuración!$C$5+1,1,1)))),"Revisar fecha","OK")))))</f>
        <v/>
      </c>
    </row>
    <row r="99" spans="1:9" ht="22" customHeight="1">
      <c r="A99" s="3"/>
      <c r="B99" s="7"/>
      <c r="C99" s="3"/>
      <c r="D99" s="3"/>
      <c r="E99" s="3"/>
      <c r="F99" s="3"/>
      <c r="G99" s="4"/>
      <c r="H99" s="3"/>
      <c r="I99" s="1" t="str">
        <f>IF(COUNTA(A99:H99)=0,"",IF(OR(A99="",B99="",C99="",D99="",F99="",G99=""),"Faltan datos",IF(COUNTIF($A$7:$A$506,A99)&gt;1,"ID duplicado",IF(G99&lt;0,"Revisar signo",IF(OR(AND(C99="Saldo inicial",B99&lt;&gt;DATE(Configuración!$C$5,1,1)-1),AND(C99&lt;&gt;"Saldo inicial",OR(B99&lt;DATE(Configuración!$C$5,1,1),B99&gt;=DATE(Configuración!$C$5+1,1,1)))),"Revisar fecha","OK")))))</f>
        <v/>
      </c>
    </row>
    <row r="100" spans="1:9" ht="22" customHeight="1">
      <c r="A100" s="3"/>
      <c r="B100" s="7"/>
      <c r="C100" s="3"/>
      <c r="D100" s="3"/>
      <c r="E100" s="3"/>
      <c r="F100" s="3"/>
      <c r="G100" s="4"/>
      <c r="H100" s="3"/>
      <c r="I100" s="1" t="str">
        <f>IF(COUNTA(A100:H100)=0,"",IF(OR(A100="",B100="",C100="",D100="",F100="",G100=""),"Faltan datos",IF(COUNTIF($A$7:$A$506,A100)&gt;1,"ID duplicado",IF(G100&lt;0,"Revisar signo",IF(OR(AND(C100="Saldo inicial",B100&lt;&gt;DATE(Configuración!$C$5,1,1)-1),AND(C100&lt;&gt;"Saldo inicial",OR(B100&lt;DATE(Configuración!$C$5,1,1),B100&gt;=DATE(Configuración!$C$5+1,1,1)))),"Revisar fecha","OK")))))</f>
        <v/>
      </c>
    </row>
    <row r="101" spans="1:9" ht="22" customHeight="1">
      <c r="A101" s="3"/>
      <c r="B101" s="7"/>
      <c r="C101" s="3"/>
      <c r="D101" s="3"/>
      <c r="E101" s="3"/>
      <c r="F101" s="3"/>
      <c r="G101" s="4"/>
      <c r="H101" s="3"/>
      <c r="I101" s="1" t="str">
        <f>IF(COUNTA(A101:H101)=0,"",IF(OR(A101="",B101="",C101="",D101="",F101="",G101=""),"Faltan datos",IF(COUNTIF($A$7:$A$506,A101)&gt;1,"ID duplicado",IF(G101&lt;0,"Revisar signo",IF(OR(AND(C101="Saldo inicial",B101&lt;&gt;DATE(Configuración!$C$5,1,1)-1),AND(C101&lt;&gt;"Saldo inicial",OR(B101&lt;DATE(Configuración!$C$5,1,1),B101&gt;=DATE(Configuración!$C$5+1,1,1)))),"Revisar fecha","OK")))))</f>
        <v/>
      </c>
    </row>
    <row r="102" spans="1:9" ht="22" customHeight="1">
      <c r="A102" s="3"/>
      <c r="B102" s="7"/>
      <c r="C102" s="3"/>
      <c r="D102" s="3"/>
      <c r="E102" s="3"/>
      <c r="F102" s="3"/>
      <c r="G102" s="4"/>
      <c r="H102" s="3"/>
      <c r="I102" s="1" t="str">
        <f>IF(COUNTA(A102:H102)=0,"",IF(OR(A102="",B102="",C102="",D102="",F102="",G102=""),"Faltan datos",IF(COUNTIF($A$7:$A$506,A102)&gt;1,"ID duplicado",IF(G102&lt;0,"Revisar signo",IF(OR(AND(C102="Saldo inicial",B102&lt;&gt;DATE(Configuración!$C$5,1,1)-1),AND(C102&lt;&gt;"Saldo inicial",OR(B102&lt;DATE(Configuración!$C$5,1,1),B102&gt;=DATE(Configuración!$C$5+1,1,1)))),"Revisar fecha","OK")))))</f>
        <v/>
      </c>
    </row>
    <row r="103" spans="1:9" ht="22" customHeight="1">
      <c r="A103" s="3"/>
      <c r="B103" s="7"/>
      <c r="C103" s="3"/>
      <c r="D103" s="3"/>
      <c r="E103" s="3"/>
      <c r="F103" s="3"/>
      <c r="G103" s="4"/>
      <c r="H103" s="3"/>
      <c r="I103" s="1" t="str">
        <f>IF(COUNTA(A103:H103)=0,"",IF(OR(A103="",B103="",C103="",D103="",F103="",G103=""),"Faltan datos",IF(COUNTIF($A$7:$A$506,A103)&gt;1,"ID duplicado",IF(G103&lt;0,"Revisar signo",IF(OR(AND(C103="Saldo inicial",B103&lt;&gt;DATE(Configuración!$C$5,1,1)-1),AND(C103&lt;&gt;"Saldo inicial",OR(B103&lt;DATE(Configuración!$C$5,1,1),B103&gt;=DATE(Configuración!$C$5+1,1,1)))),"Revisar fecha","OK")))))</f>
        <v/>
      </c>
    </row>
    <row r="104" spans="1:9" ht="22" customHeight="1">
      <c r="A104" s="3"/>
      <c r="B104" s="7"/>
      <c r="C104" s="3"/>
      <c r="D104" s="3"/>
      <c r="E104" s="3"/>
      <c r="F104" s="3"/>
      <c r="G104" s="4"/>
      <c r="H104" s="3"/>
      <c r="I104" s="1" t="str">
        <f>IF(COUNTA(A104:H104)=0,"",IF(OR(A104="",B104="",C104="",D104="",F104="",G104=""),"Faltan datos",IF(COUNTIF($A$7:$A$506,A104)&gt;1,"ID duplicado",IF(G104&lt;0,"Revisar signo",IF(OR(AND(C104="Saldo inicial",B104&lt;&gt;DATE(Configuración!$C$5,1,1)-1),AND(C104&lt;&gt;"Saldo inicial",OR(B104&lt;DATE(Configuración!$C$5,1,1),B104&gt;=DATE(Configuración!$C$5+1,1,1)))),"Revisar fecha","OK")))))</f>
        <v/>
      </c>
    </row>
    <row r="105" spans="1:9" ht="22" customHeight="1">
      <c r="A105" s="3"/>
      <c r="B105" s="7"/>
      <c r="C105" s="3"/>
      <c r="D105" s="3"/>
      <c r="E105" s="3"/>
      <c r="F105" s="3"/>
      <c r="G105" s="4"/>
      <c r="H105" s="3"/>
      <c r="I105" s="1" t="str">
        <f>IF(COUNTA(A105:H105)=0,"",IF(OR(A105="",B105="",C105="",D105="",F105="",G105=""),"Faltan datos",IF(COUNTIF($A$7:$A$506,A105)&gt;1,"ID duplicado",IF(G105&lt;0,"Revisar signo",IF(OR(AND(C105="Saldo inicial",B105&lt;&gt;DATE(Configuración!$C$5,1,1)-1),AND(C105&lt;&gt;"Saldo inicial",OR(B105&lt;DATE(Configuración!$C$5,1,1),B105&gt;=DATE(Configuración!$C$5+1,1,1)))),"Revisar fecha","OK")))))</f>
        <v/>
      </c>
    </row>
    <row r="106" spans="1:9" ht="22" customHeight="1">
      <c r="A106" s="3"/>
      <c r="B106" s="7"/>
      <c r="C106" s="3"/>
      <c r="D106" s="3"/>
      <c r="E106" s="3"/>
      <c r="F106" s="3"/>
      <c r="G106" s="4"/>
      <c r="H106" s="3"/>
      <c r="I106" s="1" t="str">
        <f>IF(COUNTA(A106:H106)=0,"",IF(OR(A106="",B106="",C106="",D106="",F106="",G106=""),"Faltan datos",IF(COUNTIF($A$7:$A$506,A106)&gt;1,"ID duplicado",IF(G106&lt;0,"Revisar signo",IF(OR(AND(C106="Saldo inicial",B106&lt;&gt;DATE(Configuración!$C$5,1,1)-1),AND(C106&lt;&gt;"Saldo inicial",OR(B106&lt;DATE(Configuración!$C$5,1,1),B106&gt;=DATE(Configuración!$C$5+1,1,1)))),"Revisar fecha","OK")))))</f>
        <v/>
      </c>
    </row>
    <row r="107" spans="1:9" ht="22" customHeight="1">
      <c r="A107" s="3"/>
      <c r="B107" s="7"/>
      <c r="C107" s="3"/>
      <c r="D107" s="3"/>
      <c r="E107" s="3"/>
      <c r="F107" s="3"/>
      <c r="G107" s="4"/>
      <c r="H107" s="3"/>
      <c r="I107" s="1" t="str">
        <f>IF(COUNTA(A107:H107)=0,"",IF(OR(A107="",B107="",C107="",D107="",F107="",G107=""),"Faltan datos",IF(COUNTIF($A$7:$A$506,A107)&gt;1,"ID duplicado",IF(G107&lt;0,"Revisar signo",IF(OR(AND(C107="Saldo inicial",B107&lt;&gt;DATE(Configuración!$C$5,1,1)-1),AND(C107&lt;&gt;"Saldo inicial",OR(B107&lt;DATE(Configuración!$C$5,1,1),B107&gt;=DATE(Configuración!$C$5+1,1,1)))),"Revisar fecha","OK")))))</f>
        <v/>
      </c>
    </row>
    <row r="108" spans="1:9" ht="22" customHeight="1">
      <c r="A108" s="3"/>
      <c r="B108" s="7"/>
      <c r="C108" s="3"/>
      <c r="D108" s="3"/>
      <c r="E108" s="3"/>
      <c r="F108" s="3"/>
      <c r="G108" s="4"/>
      <c r="H108" s="3"/>
      <c r="I108" s="1" t="str">
        <f>IF(COUNTA(A108:H108)=0,"",IF(OR(A108="",B108="",C108="",D108="",F108="",G108=""),"Faltan datos",IF(COUNTIF($A$7:$A$506,A108)&gt;1,"ID duplicado",IF(G108&lt;0,"Revisar signo",IF(OR(AND(C108="Saldo inicial",B108&lt;&gt;DATE(Configuración!$C$5,1,1)-1),AND(C108&lt;&gt;"Saldo inicial",OR(B108&lt;DATE(Configuración!$C$5,1,1),B108&gt;=DATE(Configuración!$C$5+1,1,1)))),"Revisar fecha","OK")))))</f>
        <v/>
      </c>
    </row>
    <row r="109" spans="1:9" ht="22" customHeight="1">
      <c r="A109" s="3"/>
      <c r="B109" s="7"/>
      <c r="C109" s="3"/>
      <c r="D109" s="3"/>
      <c r="E109" s="3"/>
      <c r="F109" s="3"/>
      <c r="G109" s="4"/>
      <c r="H109" s="3"/>
      <c r="I109" s="1" t="str">
        <f>IF(COUNTA(A109:H109)=0,"",IF(OR(A109="",B109="",C109="",D109="",F109="",G109=""),"Faltan datos",IF(COUNTIF($A$7:$A$506,A109)&gt;1,"ID duplicado",IF(G109&lt;0,"Revisar signo",IF(OR(AND(C109="Saldo inicial",B109&lt;&gt;DATE(Configuración!$C$5,1,1)-1),AND(C109&lt;&gt;"Saldo inicial",OR(B109&lt;DATE(Configuración!$C$5,1,1),B109&gt;=DATE(Configuración!$C$5+1,1,1)))),"Revisar fecha","OK")))))</f>
        <v/>
      </c>
    </row>
    <row r="110" spans="1:9" ht="22" customHeight="1">
      <c r="A110" s="3"/>
      <c r="B110" s="7"/>
      <c r="C110" s="3"/>
      <c r="D110" s="3"/>
      <c r="E110" s="3"/>
      <c r="F110" s="3"/>
      <c r="G110" s="4"/>
      <c r="H110" s="3"/>
      <c r="I110" s="1" t="str">
        <f>IF(COUNTA(A110:H110)=0,"",IF(OR(A110="",B110="",C110="",D110="",F110="",G110=""),"Faltan datos",IF(COUNTIF($A$7:$A$506,A110)&gt;1,"ID duplicado",IF(G110&lt;0,"Revisar signo",IF(OR(AND(C110="Saldo inicial",B110&lt;&gt;DATE(Configuración!$C$5,1,1)-1),AND(C110&lt;&gt;"Saldo inicial",OR(B110&lt;DATE(Configuración!$C$5,1,1),B110&gt;=DATE(Configuración!$C$5+1,1,1)))),"Revisar fecha","OK")))))</f>
        <v/>
      </c>
    </row>
    <row r="111" spans="1:9" ht="22" customHeight="1">
      <c r="A111" s="3"/>
      <c r="B111" s="7"/>
      <c r="C111" s="3"/>
      <c r="D111" s="3"/>
      <c r="E111" s="3"/>
      <c r="F111" s="3"/>
      <c r="G111" s="4"/>
      <c r="H111" s="3"/>
      <c r="I111" s="1" t="str">
        <f>IF(COUNTA(A111:H111)=0,"",IF(OR(A111="",B111="",C111="",D111="",F111="",G111=""),"Faltan datos",IF(COUNTIF($A$7:$A$506,A111)&gt;1,"ID duplicado",IF(G111&lt;0,"Revisar signo",IF(OR(AND(C111="Saldo inicial",B111&lt;&gt;DATE(Configuración!$C$5,1,1)-1),AND(C111&lt;&gt;"Saldo inicial",OR(B111&lt;DATE(Configuración!$C$5,1,1),B111&gt;=DATE(Configuración!$C$5+1,1,1)))),"Revisar fecha","OK")))))</f>
        <v/>
      </c>
    </row>
    <row r="112" spans="1:9" ht="22" customHeight="1">
      <c r="A112" s="3"/>
      <c r="B112" s="7"/>
      <c r="C112" s="3"/>
      <c r="D112" s="3"/>
      <c r="E112" s="3"/>
      <c r="F112" s="3"/>
      <c r="G112" s="4"/>
      <c r="H112" s="3"/>
      <c r="I112" s="1" t="str">
        <f>IF(COUNTA(A112:H112)=0,"",IF(OR(A112="",B112="",C112="",D112="",F112="",G112=""),"Faltan datos",IF(COUNTIF($A$7:$A$506,A112)&gt;1,"ID duplicado",IF(G112&lt;0,"Revisar signo",IF(OR(AND(C112="Saldo inicial",B112&lt;&gt;DATE(Configuración!$C$5,1,1)-1),AND(C112&lt;&gt;"Saldo inicial",OR(B112&lt;DATE(Configuración!$C$5,1,1),B112&gt;=DATE(Configuración!$C$5+1,1,1)))),"Revisar fecha","OK")))))</f>
        <v/>
      </c>
    </row>
    <row r="113" spans="1:9" ht="22" customHeight="1">
      <c r="A113" s="3"/>
      <c r="B113" s="7"/>
      <c r="C113" s="3"/>
      <c r="D113" s="3"/>
      <c r="E113" s="3"/>
      <c r="F113" s="3"/>
      <c r="G113" s="4"/>
      <c r="H113" s="3"/>
      <c r="I113" s="1" t="str">
        <f>IF(COUNTA(A113:H113)=0,"",IF(OR(A113="",B113="",C113="",D113="",F113="",G113=""),"Faltan datos",IF(COUNTIF($A$7:$A$506,A113)&gt;1,"ID duplicado",IF(G113&lt;0,"Revisar signo",IF(OR(AND(C113="Saldo inicial",B113&lt;&gt;DATE(Configuración!$C$5,1,1)-1),AND(C113&lt;&gt;"Saldo inicial",OR(B113&lt;DATE(Configuración!$C$5,1,1),B113&gt;=DATE(Configuración!$C$5+1,1,1)))),"Revisar fecha","OK")))))</f>
        <v/>
      </c>
    </row>
    <row r="114" spans="1:9" ht="22" customHeight="1">
      <c r="A114" s="3"/>
      <c r="B114" s="7"/>
      <c r="C114" s="3"/>
      <c r="D114" s="3"/>
      <c r="E114" s="3"/>
      <c r="F114" s="3"/>
      <c r="G114" s="4"/>
      <c r="H114" s="3"/>
      <c r="I114" s="1" t="str">
        <f>IF(COUNTA(A114:H114)=0,"",IF(OR(A114="",B114="",C114="",D114="",F114="",G114=""),"Faltan datos",IF(COUNTIF($A$7:$A$506,A114)&gt;1,"ID duplicado",IF(G114&lt;0,"Revisar signo",IF(OR(AND(C114="Saldo inicial",B114&lt;&gt;DATE(Configuración!$C$5,1,1)-1),AND(C114&lt;&gt;"Saldo inicial",OR(B114&lt;DATE(Configuración!$C$5,1,1),B114&gt;=DATE(Configuración!$C$5+1,1,1)))),"Revisar fecha","OK")))))</f>
        <v/>
      </c>
    </row>
    <row r="115" spans="1:9" ht="22" customHeight="1">
      <c r="A115" s="3"/>
      <c r="B115" s="7"/>
      <c r="C115" s="3"/>
      <c r="D115" s="3"/>
      <c r="E115" s="3"/>
      <c r="F115" s="3"/>
      <c r="G115" s="4"/>
      <c r="H115" s="3"/>
      <c r="I115" s="1" t="str">
        <f>IF(COUNTA(A115:H115)=0,"",IF(OR(A115="",B115="",C115="",D115="",F115="",G115=""),"Faltan datos",IF(COUNTIF($A$7:$A$506,A115)&gt;1,"ID duplicado",IF(G115&lt;0,"Revisar signo",IF(OR(AND(C115="Saldo inicial",B115&lt;&gt;DATE(Configuración!$C$5,1,1)-1),AND(C115&lt;&gt;"Saldo inicial",OR(B115&lt;DATE(Configuración!$C$5,1,1),B115&gt;=DATE(Configuración!$C$5+1,1,1)))),"Revisar fecha","OK")))))</f>
        <v/>
      </c>
    </row>
    <row r="116" spans="1:9" ht="22" customHeight="1">
      <c r="A116" s="3"/>
      <c r="B116" s="7"/>
      <c r="C116" s="3"/>
      <c r="D116" s="3"/>
      <c r="E116" s="3"/>
      <c r="F116" s="3"/>
      <c r="G116" s="4"/>
      <c r="H116" s="3"/>
      <c r="I116" s="1" t="str">
        <f>IF(COUNTA(A116:H116)=0,"",IF(OR(A116="",B116="",C116="",D116="",F116="",G116=""),"Faltan datos",IF(COUNTIF($A$7:$A$506,A116)&gt;1,"ID duplicado",IF(G116&lt;0,"Revisar signo",IF(OR(AND(C116="Saldo inicial",B116&lt;&gt;DATE(Configuración!$C$5,1,1)-1),AND(C116&lt;&gt;"Saldo inicial",OR(B116&lt;DATE(Configuración!$C$5,1,1),B116&gt;=DATE(Configuración!$C$5+1,1,1)))),"Revisar fecha","OK")))))</f>
        <v/>
      </c>
    </row>
    <row r="117" spans="1:9" ht="22" customHeight="1">
      <c r="A117" s="3"/>
      <c r="B117" s="7"/>
      <c r="C117" s="3"/>
      <c r="D117" s="3"/>
      <c r="E117" s="3"/>
      <c r="F117" s="3"/>
      <c r="G117" s="4"/>
      <c r="H117" s="3"/>
      <c r="I117" s="1" t="str">
        <f>IF(COUNTA(A117:H117)=0,"",IF(OR(A117="",B117="",C117="",D117="",F117="",G117=""),"Faltan datos",IF(COUNTIF($A$7:$A$506,A117)&gt;1,"ID duplicado",IF(G117&lt;0,"Revisar signo",IF(OR(AND(C117="Saldo inicial",B117&lt;&gt;DATE(Configuración!$C$5,1,1)-1),AND(C117&lt;&gt;"Saldo inicial",OR(B117&lt;DATE(Configuración!$C$5,1,1),B117&gt;=DATE(Configuración!$C$5+1,1,1)))),"Revisar fecha","OK")))))</f>
        <v/>
      </c>
    </row>
    <row r="118" spans="1:9" ht="22" customHeight="1">
      <c r="A118" s="3"/>
      <c r="B118" s="7"/>
      <c r="C118" s="3"/>
      <c r="D118" s="3"/>
      <c r="E118" s="3"/>
      <c r="F118" s="3"/>
      <c r="G118" s="4"/>
      <c r="H118" s="3"/>
      <c r="I118" s="1" t="str">
        <f>IF(COUNTA(A118:H118)=0,"",IF(OR(A118="",B118="",C118="",D118="",F118="",G118=""),"Faltan datos",IF(COUNTIF($A$7:$A$506,A118)&gt;1,"ID duplicado",IF(G118&lt;0,"Revisar signo",IF(OR(AND(C118="Saldo inicial",B118&lt;&gt;DATE(Configuración!$C$5,1,1)-1),AND(C118&lt;&gt;"Saldo inicial",OR(B118&lt;DATE(Configuración!$C$5,1,1),B118&gt;=DATE(Configuración!$C$5+1,1,1)))),"Revisar fecha","OK")))))</f>
        <v/>
      </c>
    </row>
    <row r="119" spans="1:9" ht="22" customHeight="1">
      <c r="A119" s="3"/>
      <c r="B119" s="7"/>
      <c r="C119" s="3"/>
      <c r="D119" s="3"/>
      <c r="E119" s="3"/>
      <c r="F119" s="3"/>
      <c r="G119" s="4"/>
      <c r="H119" s="3"/>
      <c r="I119" s="1" t="str">
        <f>IF(COUNTA(A119:H119)=0,"",IF(OR(A119="",B119="",C119="",D119="",F119="",G119=""),"Faltan datos",IF(COUNTIF($A$7:$A$506,A119)&gt;1,"ID duplicado",IF(G119&lt;0,"Revisar signo",IF(OR(AND(C119="Saldo inicial",B119&lt;&gt;DATE(Configuración!$C$5,1,1)-1),AND(C119&lt;&gt;"Saldo inicial",OR(B119&lt;DATE(Configuración!$C$5,1,1),B119&gt;=DATE(Configuración!$C$5+1,1,1)))),"Revisar fecha","OK")))))</f>
        <v/>
      </c>
    </row>
    <row r="120" spans="1:9" ht="22" customHeight="1">
      <c r="A120" s="3"/>
      <c r="B120" s="7"/>
      <c r="C120" s="3"/>
      <c r="D120" s="3"/>
      <c r="E120" s="3"/>
      <c r="F120" s="3"/>
      <c r="G120" s="4"/>
      <c r="H120" s="3"/>
      <c r="I120" s="1" t="str">
        <f>IF(COUNTA(A120:H120)=0,"",IF(OR(A120="",B120="",C120="",D120="",F120="",G120=""),"Faltan datos",IF(COUNTIF($A$7:$A$506,A120)&gt;1,"ID duplicado",IF(G120&lt;0,"Revisar signo",IF(OR(AND(C120="Saldo inicial",B120&lt;&gt;DATE(Configuración!$C$5,1,1)-1),AND(C120&lt;&gt;"Saldo inicial",OR(B120&lt;DATE(Configuración!$C$5,1,1),B120&gt;=DATE(Configuración!$C$5+1,1,1)))),"Revisar fecha","OK")))))</f>
        <v/>
      </c>
    </row>
    <row r="121" spans="1:9" ht="22" customHeight="1">
      <c r="A121" s="3"/>
      <c r="B121" s="7"/>
      <c r="C121" s="3"/>
      <c r="D121" s="3"/>
      <c r="E121" s="3"/>
      <c r="F121" s="3"/>
      <c r="G121" s="4"/>
      <c r="H121" s="3"/>
      <c r="I121" s="1" t="str">
        <f>IF(COUNTA(A121:H121)=0,"",IF(OR(A121="",B121="",C121="",D121="",F121="",G121=""),"Faltan datos",IF(COUNTIF($A$7:$A$506,A121)&gt;1,"ID duplicado",IF(G121&lt;0,"Revisar signo",IF(OR(AND(C121="Saldo inicial",B121&lt;&gt;DATE(Configuración!$C$5,1,1)-1),AND(C121&lt;&gt;"Saldo inicial",OR(B121&lt;DATE(Configuración!$C$5,1,1),B121&gt;=DATE(Configuración!$C$5+1,1,1)))),"Revisar fecha","OK")))))</f>
        <v/>
      </c>
    </row>
    <row r="122" spans="1:9" ht="22" customHeight="1">
      <c r="A122" s="3"/>
      <c r="B122" s="7"/>
      <c r="C122" s="3"/>
      <c r="D122" s="3"/>
      <c r="E122" s="3"/>
      <c r="F122" s="3"/>
      <c r="G122" s="4"/>
      <c r="H122" s="3"/>
      <c r="I122" s="1" t="str">
        <f>IF(COUNTA(A122:H122)=0,"",IF(OR(A122="",B122="",C122="",D122="",F122="",G122=""),"Faltan datos",IF(COUNTIF($A$7:$A$506,A122)&gt;1,"ID duplicado",IF(G122&lt;0,"Revisar signo",IF(OR(AND(C122="Saldo inicial",B122&lt;&gt;DATE(Configuración!$C$5,1,1)-1),AND(C122&lt;&gt;"Saldo inicial",OR(B122&lt;DATE(Configuración!$C$5,1,1),B122&gt;=DATE(Configuración!$C$5+1,1,1)))),"Revisar fecha","OK")))))</f>
        <v/>
      </c>
    </row>
    <row r="123" spans="1:9" ht="22" customHeight="1">
      <c r="A123" s="3"/>
      <c r="B123" s="7"/>
      <c r="C123" s="3"/>
      <c r="D123" s="3"/>
      <c r="E123" s="3"/>
      <c r="F123" s="3"/>
      <c r="G123" s="4"/>
      <c r="H123" s="3"/>
      <c r="I123" s="1" t="str">
        <f>IF(COUNTA(A123:H123)=0,"",IF(OR(A123="",B123="",C123="",D123="",F123="",G123=""),"Faltan datos",IF(COUNTIF($A$7:$A$506,A123)&gt;1,"ID duplicado",IF(G123&lt;0,"Revisar signo",IF(OR(AND(C123="Saldo inicial",B123&lt;&gt;DATE(Configuración!$C$5,1,1)-1),AND(C123&lt;&gt;"Saldo inicial",OR(B123&lt;DATE(Configuración!$C$5,1,1),B123&gt;=DATE(Configuración!$C$5+1,1,1)))),"Revisar fecha","OK")))))</f>
        <v/>
      </c>
    </row>
    <row r="124" spans="1:9" ht="22" customHeight="1">
      <c r="A124" s="3"/>
      <c r="B124" s="7"/>
      <c r="C124" s="3"/>
      <c r="D124" s="3"/>
      <c r="E124" s="3"/>
      <c r="F124" s="3"/>
      <c r="G124" s="4"/>
      <c r="H124" s="3"/>
      <c r="I124" s="1" t="str">
        <f>IF(COUNTA(A124:H124)=0,"",IF(OR(A124="",B124="",C124="",D124="",F124="",G124=""),"Faltan datos",IF(COUNTIF($A$7:$A$506,A124)&gt;1,"ID duplicado",IF(G124&lt;0,"Revisar signo",IF(OR(AND(C124="Saldo inicial",B124&lt;&gt;DATE(Configuración!$C$5,1,1)-1),AND(C124&lt;&gt;"Saldo inicial",OR(B124&lt;DATE(Configuración!$C$5,1,1),B124&gt;=DATE(Configuración!$C$5+1,1,1)))),"Revisar fecha","OK")))))</f>
        <v/>
      </c>
    </row>
    <row r="125" spans="1:9" ht="22" customHeight="1">
      <c r="A125" s="3"/>
      <c r="B125" s="7"/>
      <c r="C125" s="3"/>
      <c r="D125" s="3"/>
      <c r="E125" s="3"/>
      <c r="F125" s="3"/>
      <c r="G125" s="4"/>
      <c r="H125" s="3"/>
      <c r="I125" s="1" t="str">
        <f>IF(COUNTA(A125:H125)=0,"",IF(OR(A125="",B125="",C125="",D125="",F125="",G125=""),"Faltan datos",IF(COUNTIF($A$7:$A$506,A125)&gt;1,"ID duplicado",IF(G125&lt;0,"Revisar signo",IF(OR(AND(C125="Saldo inicial",B125&lt;&gt;DATE(Configuración!$C$5,1,1)-1),AND(C125&lt;&gt;"Saldo inicial",OR(B125&lt;DATE(Configuración!$C$5,1,1),B125&gt;=DATE(Configuración!$C$5+1,1,1)))),"Revisar fecha","OK")))))</f>
        <v/>
      </c>
    </row>
    <row r="126" spans="1:9" ht="22" customHeight="1">
      <c r="A126" s="3"/>
      <c r="B126" s="7"/>
      <c r="C126" s="3"/>
      <c r="D126" s="3"/>
      <c r="E126" s="3"/>
      <c r="F126" s="3"/>
      <c r="G126" s="4"/>
      <c r="H126" s="3"/>
      <c r="I126" s="1" t="str">
        <f>IF(COUNTA(A126:H126)=0,"",IF(OR(A126="",B126="",C126="",D126="",F126="",G126=""),"Faltan datos",IF(COUNTIF($A$7:$A$506,A126)&gt;1,"ID duplicado",IF(G126&lt;0,"Revisar signo",IF(OR(AND(C126="Saldo inicial",B126&lt;&gt;DATE(Configuración!$C$5,1,1)-1),AND(C126&lt;&gt;"Saldo inicial",OR(B126&lt;DATE(Configuración!$C$5,1,1),B126&gt;=DATE(Configuración!$C$5+1,1,1)))),"Revisar fecha","OK")))))</f>
        <v/>
      </c>
    </row>
    <row r="127" spans="1:9" ht="22" customHeight="1">
      <c r="A127" s="3"/>
      <c r="B127" s="7"/>
      <c r="C127" s="3"/>
      <c r="D127" s="3"/>
      <c r="E127" s="3"/>
      <c r="F127" s="3"/>
      <c r="G127" s="4"/>
      <c r="H127" s="3"/>
      <c r="I127" s="1" t="str">
        <f>IF(COUNTA(A127:H127)=0,"",IF(OR(A127="",B127="",C127="",D127="",F127="",G127=""),"Faltan datos",IF(COUNTIF($A$7:$A$506,A127)&gt;1,"ID duplicado",IF(G127&lt;0,"Revisar signo",IF(OR(AND(C127="Saldo inicial",B127&lt;&gt;DATE(Configuración!$C$5,1,1)-1),AND(C127&lt;&gt;"Saldo inicial",OR(B127&lt;DATE(Configuración!$C$5,1,1),B127&gt;=DATE(Configuración!$C$5+1,1,1)))),"Revisar fecha","OK")))))</f>
        <v/>
      </c>
    </row>
    <row r="128" spans="1:9" ht="22" customHeight="1">
      <c r="A128" s="3"/>
      <c r="B128" s="7"/>
      <c r="C128" s="3"/>
      <c r="D128" s="3"/>
      <c r="E128" s="3"/>
      <c r="F128" s="3"/>
      <c r="G128" s="4"/>
      <c r="H128" s="3"/>
      <c r="I128" s="1" t="str">
        <f>IF(COUNTA(A128:H128)=0,"",IF(OR(A128="",B128="",C128="",D128="",F128="",G128=""),"Faltan datos",IF(COUNTIF($A$7:$A$506,A128)&gt;1,"ID duplicado",IF(G128&lt;0,"Revisar signo",IF(OR(AND(C128="Saldo inicial",B128&lt;&gt;DATE(Configuración!$C$5,1,1)-1),AND(C128&lt;&gt;"Saldo inicial",OR(B128&lt;DATE(Configuración!$C$5,1,1),B128&gt;=DATE(Configuración!$C$5+1,1,1)))),"Revisar fecha","OK")))))</f>
        <v/>
      </c>
    </row>
    <row r="129" spans="1:9" ht="22" customHeight="1">
      <c r="A129" s="3"/>
      <c r="B129" s="7"/>
      <c r="C129" s="3"/>
      <c r="D129" s="3"/>
      <c r="E129" s="3"/>
      <c r="F129" s="3"/>
      <c r="G129" s="4"/>
      <c r="H129" s="3"/>
      <c r="I129" s="1" t="str">
        <f>IF(COUNTA(A129:H129)=0,"",IF(OR(A129="",B129="",C129="",D129="",F129="",G129=""),"Faltan datos",IF(COUNTIF($A$7:$A$506,A129)&gt;1,"ID duplicado",IF(G129&lt;0,"Revisar signo",IF(OR(AND(C129="Saldo inicial",B129&lt;&gt;DATE(Configuración!$C$5,1,1)-1),AND(C129&lt;&gt;"Saldo inicial",OR(B129&lt;DATE(Configuración!$C$5,1,1),B129&gt;=DATE(Configuración!$C$5+1,1,1)))),"Revisar fecha","OK")))))</f>
        <v/>
      </c>
    </row>
    <row r="130" spans="1:9" ht="22" customHeight="1">
      <c r="A130" s="3"/>
      <c r="B130" s="7"/>
      <c r="C130" s="3"/>
      <c r="D130" s="3"/>
      <c r="E130" s="3"/>
      <c r="F130" s="3"/>
      <c r="G130" s="4"/>
      <c r="H130" s="3"/>
      <c r="I130" s="1" t="str">
        <f>IF(COUNTA(A130:H130)=0,"",IF(OR(A130="",B130="",C130="",D130="",F130="",G130=""),"Faltan datos",IF(COUNTIF($A$7:$A$506,A130)&gt;1,"ID duplicado",IF(G130&lt;0,"Revisar signo",IF(OR(AND(C130="Saldo inicial",B130&lt;&gt;DATE(Configuración!$C$5,1,1)-1),AND(C130&lt;&gt;"Saldo inicial",OR(B130&lt;DATE(Configuración!$C$5,1,1),B130&gt;=DATE(Configuración!$C$5+1,1,1)))),"Revisar fecha","OK")))))</f>
        <v/>
      </c>
    </row>
    <row r="131" spans="1:9" ht="22" customHeight="1">
      <c r="A131" s="3"/>
      <c r="B131" s="7"/>
      <c r="C131" s="3"/>
      <c r="D131" s="3"/>
      <c r="E131" s="3"/>
      <c r="F131" s="3"/>
      <c r="G131" s="4"/>
      <c r="H131" s="3"/>
      <c r="I131" s="1" t="str">
        <f>IF(COUNTA(A131:H131)=0,"",IF(OR(A131="",B131="",C131="",D131="",F131="",G131=""),"Faltan datos",IF(COUNTIF($A$7:$A$506,A131)&gt;1,"ID duplicado",IF(G131&lt;0,"Revisar signo",IF(OR(AND(C131="Saldo inicial",B131&lt;&gt;DATE(Configuración!$C$5,1,1)-1),AND(C131&lt;&gt;"Saldo inicial",OR(B131&lt;DATE(Configuración!$C$5,1,1),B131&gt;=DATE(Configuración!$C$5+1,1,1)))),"Revisar fecha","OK")))))</f>
        <v/>
      </c>
    </row>
    <row r="132" spans="1:9" ht="22" customHeight="1">
      <c r="A132" s="3"/>
      <c r="B132" s="7"/>
      <c r="C132" s="3"/>
      <c r="D132" s="3"/>
      <c r="E132" s="3"/>
      <c r="F132" s="3"/>
      <c r="G132" s="4"/>
      <c r="H132" s="3"/>
      <c r="I132" s="1" t="str">
        <f>IF(COUNTA(A132:H132)=0,"",IF(OR(A132="",B132="",C132="",D132="",F132="",G132=""),"Faltan datos",IF(COUNTIF($A$7:$A$506,A132)&gt;1,"ID duplicado",IF(G132&lt;0,"Revisar signo",IF(OR(AND(C132="Saldo inicial",B132&lt;&gt;DATE(Configuración!$C$5,1,1)-1),AND(C132&lt;&gt;"Saldo inicial",OR(B132&lt;DATE(Configuración!$C$5,1,1),B132&gt;=DATE(Configuración!$C$5+1,1,1)))),"Revisar fecha","OK")))))</f>
        <v/>
      </c>
    </row>
    <row r="133" spans="1:9" ht="22" customHeight="1">
      <c r="A133" s="3"/>
      <c r="B133" s="7"/>
      <c r="C133" s="3"/>
      <c r="D133" s="3"/>
      <c r="E133" s="3"/>
      <c r="F133" s="3"/>
      <c r="G133" s="4"/>
      <c r="H133" s="3"/>
      <c r="I133" s="1" t="str">
        <f>IF(COUNTA(A133:H133)=0,"",IF(OR(A133="",B133="",C133="",D133="",F133="",G133=""),"Faltan datos",IF(COUNTIF($A$7:$A$506,A133)&gt;1,"ID duplicado",IF(G133&lt;0,"Revisar signo",IF(OR(AND(C133="Saldo inicial",B133&lt;&gt;DATE(Configuración!$C$5,1,1)-1),AND(C133&lt;&gt;"Saldo inicial",OR(B133&lt;DATE(Configuración!$C$5,1,1),B133&gt;=DATE(Configuración!$C$5+1,1,1)))),"Revisar fecha","OK")))))</f>
        <v/>
      </c>
    </row>
    <row r="134" spans="1:9" ht="22" customHeight="1">
      <c r="A134" s="3"/>
      <c r="B134" s="7"/>
      <c r="C134" s="3"/>
      <c r="D134" s="3"/>
      <c r="E134" s="3"/>
      <c r="F134" s="3"/>
      <c r="G134" s="4"/>
      <c r="H134" s="3"/>
      <c r="I134" s="1" t="str">
        <f>IF(COUNTA(A134:H134)=0,"",IF(OR(A134="",B134="",C134="",D134="",F134="",G134=""),"Faltan datos",IF(COUNTIF($A$7:$A$506,A134)&gt;1,"ID duplicado",IF(G134&lt;0,"Revisar signo",IF(OR(AND(C134="Saldo inicial",B134&lt;&gt;DATE(Configuración!$C$5,1,1)-1),AND(C134&lt;&gt;"Saldo inicial",OR(B134&lt;DATE(Configuración!$C$5,1,1),B134&gt;=DATE(Configuración!$C$5+1,1,1)))),"Revisar fecha","OK")))))</f>
        <v/>
      </c>
    </row>
    <row r="135" spans="1:9" ht="22" customHeight="1">
      <c r="A135" s="3"/>
      <c r="B135" s="7"/>
      <c r="C135" s="3"/>
      <c r="D135" s="3"/>
      <c r="E135" s="3"/>
      <c r="F135" s="3"/>
      <c r="G135" s="4"/>
      <c r="H135" s="3"/>
      <c r="I135" s="1" t="str">
        <f>IF(COUNTA(A135:H135)=0,"",IF(OR(A135="",B135="",C135="",D135="",F135="",G135=""),"Faltan datos",IF(COUNTIF($A$7:$A$506,A135)&gt;1,"ID duplicado",IF(G135&lt;0,"Revisar signo",IF(OR(AND(C135="Saldo inicial",B135&lt;&gt;DATE(Configuración!$C$5,1,1)-1),AND(C135&lt;&gt;"Saldo inicial",OR(B135&lt;DATE(Configuración!$C$5,1,1),B135&gt;=DATE(Configuración!$C$5+1,1,1)))),"Revisar fecha","OK")))))</f>
        <v/>
      </c>
    </row>
    <row r="136" spans="1:9" ht="22" customHeight="1">
      <c r="A136" s="3"/>
      <c r="B136" s="7"/>
      <c r="C136" s="3"/>
      <c r="D136" s="3"/>
      <c r="E136" s="3"/>
      <c r="F136" s="3"/>
      <c r="G136" s="4"/>
      <c r="H136" s="3"/>
      <c r="I136" s="1" t="str">
        <f>IF(COUNTA(A136:H136)=0,"",IF(OR(A136="",B136="",C136="",D136="",F136="",G136=""),"Faltan datos",IF(COUNTIF($A$7:$A$506,A136)&gt;1,"ID duplicado",IF(G136&lt;0,"Revisar signo",IF(OR(AND(C136="Saldo inicial",B136&lt;&gt;DATE(Configuración!$C$5,1,1)-1),AND(C136&lt;&gt;"Saldo inicial",OR(B136&lt;DATE(Configuración!$C$5,1,1),B136&gt;=DATE(Configuración!$C$5+1,1,1)))),"Revisar fecha","OK")))))</f>
        <v/>
      </c>
    </row>
    <row r="137" spans="1:9" ht="22" customHeight="1">
      <c r="A137" s="3"/>
      <c r="B137" s="7"/>
      <c r="C137" s="3"/>
      <c r="D137" s="3"/>
      <c r="E137" s="3"/>
      <c r="F137" s="3"/>
      <c r="G137" s="4"/>
      <c r="H137" s="3"/>
      <c r="I137" s="1" t="str">
        <f>IF(COUNTA(A137:H137)=0,"",IF(OR(A137="",B137="",C137="",D137="",F137="",G137=""),"Faltan datos",IF(COUNTIF($A$7:$A$506,A137)&gt;1,"ID duplicado",IF(G137&lt;0,"Revisar signo",IF(OR(AND(C137="Saldo inicial",B137&lt;&gt;DATE(Configuración!$C$5,1,1)-1),AND(C137&lt;&gt;"Saldo inicial",OR(B137&lt;DATE(Configuración!$C$5,1,1),B137&gt;=DATE(Configuración!$C$5+1,1,1)))),"Revisar fecha","OK")))))</f>
        <v/>
      </c>
    </row>
    <row r="138" spans="1:9" ht="22" customHeight="1">
      <c r="A138" s="3"/>
      <c r="B138" s="7"/>
      <c r="C138" s="3"/>
      <c r="D138" s="3"/>
      <c r="E138" s="3"/>
      <c r="F138" s="3"/>
      <c r="G138" s="4"/>
      <c r="H138" s="3"/>
      <c r="I138" s="1" t="str">
        <f>IF(COUNTA(A138:H138)=0,"",IF(OR(A138="",B138="",C138="",D138="",F138="",G138=""),"Faltan datos",IF(COUNTIF($A$7:$A$506,A138)&gt;1,"ID duplicado",IF(G138&lt;0,"Revisar signo",IF(OR(AND(C138="Saldo inicial",B138&lt;&gt;DATE(Configuración!$C$5,1,1)-1),AND(C138&lt;&gt;"Saldo inicial",OR(B138&lt;DATE(Configuración!$C$5,1,1),B138&gt;=DATE(Configuración!$C$5+1,1,1)))),"Revisar fecha","OK")))))</f>
        <v/>
      </c>
    </row>
    <row r="139" spans="1:9" ht="22" customHeight="1">
      <c r="A139" s="3"/>
      <c r="B139" s="7"/>
      <c r="C139" s="3"/>
      <c r="D139" s="3"/>
      <c r="E139" s="3"/>
      <c r="F139" s="3"/>
      <c r="G139" s="4"/>
      <c r="H139" s="3"/>
      <c r="I139" s="1" t="str">
        <f>IF(COUNTA(A139:H139)=0,"",IF(OR(A139="",B139="",C139="",D139="",F139="",G139=""),"Faltan datos",IF(COUNTIF($A$7:$A$506,A139)&gt;1,"ID duplicado",IF(G139&lt;0,"Revisar signo",IF(OR(AND(C139="Saldo inicial",B139&lt;&gt;DATE(Configuración!$C$5,1,1)-1),AND(C139&lt;&gt;"Saldo inicial",OR(B139&lt;DATE(Configuración!$C$5,1,1),B139&gt;=DATE(Configuración!$C$5+1,1,1)))),"Revisar fecha","OK")))))</f>
        <v/>
      </c>
    </row>
    <row r="140" spans="1:9" ht="22" customHeight="1">
      <c r="A140" s="3"/>
      <c r="B140" s="7"/>
      <c r="C140" s="3"/>
      <c r="D140" s="3"/>
      <c r="E140" s="3"/>
      <c r="F140" s="3"/>
      <c r="G140" s="4"/>
      <c r="H140" s="3"/>
      <c r="I140" s="1" t="str">
        <f>IF(COUNTA(A140:H140)=0,"",IF(OR(A140="",B140="",C140="",D140="",F140="",G140=""),"Faltan datos",IF(COUNTIF($A$7:$A$506,A140)&gt;1,"ID duplicado",IF(G140&lt;0,"Revisar signo",IF(OR(AND(C140="Saldo inicial",B140&lt;&gt;DATE(Configuración!$C$5,1,1)-1),AND(C140&lt;&gt;"Saldo inicial",OR(B140&lt;DATE(Configuración!$C$5,1,1),B140&gt;=DATE(Configuración!$C$5+1,1,1)))),"Revisar fecha","OK")))))</f>
        <v/>
      </c>
    </row>
    <row r="141" spans="1:9" ht="22" customHeight="1">
      <c r="A141" s="3"/>
      <c r="B141" s="7"/>
      <c r="C141" s="3"/>
      <c r="D141" s="3"/>
      <c r="E141" s="3"/>
      <c r="F141" s="3"/>
      <c r="G141" s="4"/>
      <c r="H141" s="3"/>
      <c r="I141" s="1" t="str">
        <f>IF(COUNTA(A141:H141)=0,"",IF(OR(A141="",B141="",C141="",D141="",F141="",G141=""),"Faltan datos",IF(COUNTIF($A$7:$A$506,A141)&gt;1,"ID duplicado",IF(G141&lt;0,"Revisar signo",IF(OR(AND(C141="Saldo inicial",B141&lt;&gt;DATE(Configuración!$C$5,1,1)-1),AND(C141&lt;&gt;"Saldo inicial",OR(B141&lt;DATE(Configuración!$C$5,1,1),B141&gt;=DATE(Configuración!$C$5+1,1,1)))),"Revisar fecha","OK")))))</f>
        <v/>
      </c>
    </row>
    <row r="142" spans="1:9" ht="22" customHeight="1">
      <c r="A142" s="3"/>
      <c r="B142" s="7"/>
      <c r="C142" s="3"/>
      <c r="D142" s="3"/>
      <c r="E142" s="3"/>
      <c r="F142" s="3"/>
      <c r="G142" s="4"/>
      <c r="H142" s="3"/>
      <c r="I142" s="1" t="str">
        <f>IF(COUNTA(A142:H142)=0,"",IF(OR(A142="",B142="",C142="",D142="",F142="",G142=""),"Faltan datos",IF(COUNTIF($A$7:$A$506,A142)&gt;1,"ID duplicado",IF(G142&lt;0,"Revisar signo",IF(OR(AND(C142="Saldo inicial",B142&lt;&gt;DATE(Configuración!$C$5,1,1)-1),AND(C142&lt;&gt;"Saldo inicial",OR(B142&lt;DATE(Configuración!$C$5,1,1),B142&gt;=DATE(Configuración!$C$5+1,1,1)))),"Revisar fecha","OK")))))</f>
        <v/>
      </c>
    </row>
    <row r="143" spans="1:9" ht="22" customHeight="1">
      <c r="A143" s="3"/>
      <c r="B143" s="7"/>
      <c r="C143" s="3"/>
      <c r="D143" s="3"/>
      <c r="E143" s="3"/>
      <c r="F143" s="3"/>
      <c r="G143" s="4"/>
      <c r="H143" s="3"/>
      <c r="I143" s="1" t="str">
        <f>IF(COUNTA(A143:H143)=0,"",IF(OR(A143="",B143="",C143="",D143="",F143="",G143=""),"Faltan datos",IF(COUNTIF($A$7:$A$506,A143)&gt;1,"ID duplicado",IF(G143&lt;0,"Revisar signo",IF(OR(AND(C143="Saldo inicial",B143&lt;&gt;DATE(Configuración!$C$5,1,1)-1),AND(C143&lt;&gt;"Saldo inicial",OR(B143&lt;DATE(Configuración!$C$5,1,1),B143&gt;=DATE(Configuración!$C$5+1,1,1)))),"Revisar fecha","OK")))))</f>
        <v/>
      </c>
    </row>
    <row r="144" spans="1:9" ht="22" customHeight="1">
      <c r="A144" s="3"/>
      <c r="B144" s="7"/>
      <c r="C144" s="3"/>
      <c r="D144" s="3"/>
      <c r="E144" s="3"/>
      <c r="F144" s="3"/>
      <c r="G144" s="4"/>
      <c r="H144" s="3"/>
      <c r="I144" s="1" t="str">
        <f>IF(COUNTA(A144:H144)=0,"",IF(OR(A144="",B144="",C144="",D144="",F144="",G144=""),"Faltan datos",IF(COUNTIF($A$7:$A$506,A144)&gt;1,"ID duplicado",IF(G144&lt;0,"Revisar signo",IF(OR(AND(C144="Saldo inicial",B144&lt;&gt;DATE(Configuración!$C$5,1,1)-1),AND(C144&lt;&gt;"Saldo inicial",OR(B144&lt;DATE(Configuración!$C$5,1,1),B144&gt;=DATE(Configuración!$C$5+1,1,1)))),"Revisar fecha","OK")))))</f>
        <v/>
      </c>
    </row>
    <row r="145" spans="1:9" ht="22" customHeight="1">
      <c r="A145" s="3"/>
      <c r="B145" s="7"/>
      <c r="C145" s="3"/>
      <c r="D145" s="3"/>
      <c r="E145" s="3"/>
      <c r="F145" s="3"/>
      <c r="G145" s="4"/>
      <c r="H145" s="3"/>
      <c r="I145" s="1" t="str">
        <f>IF(COUNTA(A145:H145)=0,"",IF(OR(A145="",B145="",C145="",D145="",F145="",G145=""),"Faltan datos",IF(COUNTIF($A$7:$A$506,A145)&gt;1,"ID duplicado",IF(G145&lt;0,"Revisar signo",IF(OR(AND(C145="Saldo inicial",B145&lt;&gt;DATE(Configuración!$C$5,1,1)-1),AND(C145&lt;&gt;"Saldo inicial",OR(B145&lt;DATE(Configuración!$C$5,1,1),B145&gt;=DATE(Configuración!$C$5+1,1,1)))),"Revisar fecha","OK")))))</f>
        <v/>
      </c>
    </row>
    <row r="146" spans="1:9" ht="22" customHeight="1">
      <c r="A146" s="3"/>
      <c r="B146" s="7"/>
      <c r="C146" s="3"/>
      <c r="D146" s="3"/>
      <c r="E146" s="3"/>
      <c r="F146" s="3"/>
      <c r="G146" s="4"/>
      <c r="H146" s="3"/>
      <c r="I146" s="1" t="str">
        <f>IF(COUNTA(A146:H146)=0,"",IF(OR(A146="",B146="",C146="",D146="",F146="",G146=""),"Faltan datos",IF(COUNTIF($A$7:$A$506,A146)&gt;1,"ID duplicado",IF(G146&lt;0,"Revisar signo",IF(OR(AND(C146="Saldo inicial",B146&lt;&gt;DATE(Configuración!$C$5,1,1)-1),AND(C146&lt;&gt;"Saldo inicial",OR(B146&lt;DATE(Configuración!$C$5,1,1),B146&gt;=DATE(Configuración!$C$5+1,1,1)))),"Revisar fecha","OK")))))</f>
        <v/>
      </c>
    </row>
    <row r="147" spans="1:9" ht="22" customHeight="1">
      <c r="A147" s="3"/>
      <c r="B147" s="7"/>
      <c r="C147" s="3"/>
      <c r="D147" s="3"/>
      <c r="E147" s="3"/>
      <c r="F147" s="3"/>
      <c r="G147" s="4"/>
      <c r="H147" s="3"/>
      <c r="I147" s="1" t="str">
        <f>IF(COUNTA(A147:H147)=0,"",IF(OR(A147="",B147="",C147="",D147="",F147="",G147=""),"Faltan datos",IF(COUNTIF($A$7:$A$506,A147)&gt;1,"ID duplicado",IF(G147&lt;0,"Revisar signo",IF(OR(AND(C147="Saldo inicial",B147&lt;&gt;DATE(Configuración!$C$5,1,1)-1),AND(C147&lt;&gt;"Saldo inicial",OR(B147&lt;DATE(Configuración!$C$5,1,1),B147&gt;=DATE(Configuración!$C$5+1,1,1)))),"Revisar fecha","OK")))))</f>
        <v/>
      </c>
    </row>
    <row r="148" spans="1:9" ht="22" customHeight="1">
      <c r="A148" s="3"/>
      <c r="B148" s="7"/>
      <c r="C148" s="3"/>
      <c r="D148" s="3"/>
      <c r="E148" s="3"/>
      <c r="F148" s="3"/>
      <c r="G148" s="4"/>
      <c r="H148" s="3"/>
      <c r="I148" s="1" t="str">
        <f>IF(COUNTA(A148:H148)=0,"",IF(OR(A148="",B148="",C148="",D148="",F148="",G148=""),"Faltan datos",IF(COUNTIF($A$7:$A$506,A148)&gt;1,"ID duplicado",IF(G148&lt;0,"Revisar signo",IF(OR(AND(C148="Saldo inicial",B148&lt;&gt;DATE(Configuración!$C$5,1,1)-1),AND(C148&lt;&gt;"Saldo inicial",OR(B148&lt;DATE(Configuración!$C$5,1,1),B148&gt;=DATE(Configuración!$C$5+1,1,1)))),"Revisar fecha","OK")))))</f>
        <v/>
      </c>
    </row>
    <row r="149" spans="1:9" ht="22" customHeight="1">
      <c r="A149" s="3"/>
      <c r="B149" s="7"/>
      <c r="C149" s="3"/>
      <c r="D149" s="3"/>
      <c r="E149" s="3"/>
      <c r="F149" s="3"/>
      <c r="G149" s="4"/>
      <c r="H149" s="3"/>
      <c r="I149" s="1" t="str">
        <f>IF(COUNTA(A149:H149)=0,"",IF(OR(A149="",B149="",C149="",D149="",F149="",G149=""),"Faltan datos",IF(COUNTIF($A$7:$A$506,A149)&gt;1,"ID duplicado",IF(G149&lt;0,"Revisar signo",IF(OR(AND(C149="Saldo inicial",B149&lt;&gt;DATE(Configuración!$C$5,1,1)-1),AND(C149&lt;&gt;"Saldo inicial",OR(B149&lt;DATE(Configuración!$C$5,1,1),B149&gt;=DATE(Configuración!$C$5+1,1,1)))),"Revisar fecha","OK")))))</f>
        <v/>
      </c>
    </row>
    <row r="150" spans="1:9" ht="22" customHeight="1">
      <c r="A150" s="3"/>
      <c r="B150" s="7"/>
      <c r="C150" s="3"/>
      <c r="D150" s="3"/>
      <c r="E150" s="3"/>
      <c r="F150" s="3"/>
      <c r="G150" s="4"/>
      <c r="H150" s="3"/>
      <c r="I150" s="1" t="str">
        <f>IF(COUNTA(A150:H150)=0,"",IF(OR(A150="",B150="",C150="",D150="",F150="",G150=""),"Faltan datos",IF(COUNTIF($A$7:$A$506,A150)&gt;1,"ID duplicado",IF(G150&lt;0,"Revisar signo",IF(OR(AND(C150="Saldo inicial",B150&lt;&gt;DATE(Configuración!$C$5,1,1)-1),AND(C150&lt;&gt;"Saldo inicial",OR(B150&lt;DATE(Configuración!$C$5,1,1),B150&gt;=DATE(Configuración!$C$5+1,1,1)))),"Revisar fecha","OK")))))</f>
        <v/>
      </c>
    </row>
    <row r="151" spans="1:9" ht="22" customHeight="1">
      <c r="A151" s="3"/>
      <c r="B151" s="7"/>
      <c r="C151" s="3"/>
      <c r="D151" s="3"/>
      <c r="E151" s="3"/>
      <c r="F151" s="3"/>
      <c r="G151" s="4"/>
      <c r="H151" s="3"/>
      <c r="I151" s="1" t="str">
        <f>IF(COUNTA(A151:H151)=0,"",IF(OR(A151="",B151="",C151="",D151="",F151="",G151=""),"Faltan datos",IF(COUNTIF($A$7:$A$506,A151)&gt;1,"ID duplicado",IF(G151&lt;0,"Revisar signo",IF(OR(AND(C151="Saldo inicial",B151&lt;&gt;DATE(Configuración!$C$5,1,1)-1),AND(C151&lt;&gt;"Saldo inicial",OR(B151&lt;DATE(Configuración!$C$5,1,1),B151&gt;=DATE(Configuración!$C$5+1,1,1)))),"Revisar fecha","OK")))))</f>
        <v/>
      </c>
    </row>
    <row r="152" spans="1:9" ht="22" customHeight="1">
      <c r="A152" s="3"/>
      <c r="B152" s="7"/>
      <c r="C152" s="3"/>
      <c r="D152" s="3"/>
      <c r="E152" s="3"/>
      <c r="F152" s="3"/>
      <c r="G152" s="4"/>
      <c r="H152" s="3"/>
      <c r="I152" s="1" t="str">
        <f>IF(COUNTA(A152:H152)=0,"",IF(OR(A152="",B152="",C152="",D152="",F152="",G152=""),"Faltan datos",IF(COUNTIF($A$7:$A$506,A152)&gt;1,"ID duplicado",IF(G152&lt;0,"Revisar signo",IF(OR(AND(C152="Saldo inicial",B152&lt;&gt;DATE(Configuración!$C$5,1,1)-1),AND(C152&lt;&gt;"Saldo inicial",OR(B152&lt;DATE(Configuración!$C$5,1,1),B152&gt;=DATE(Configuración!$C$5+1,1,1)))),"Revisar fecha","OK")))))</f>
        <v/>
      </c>
    </row>
    <row r="153" spans="1:9" ht="22" customHeight="1">
      <c r="A153" s="3"/>
      <c r="B153" s="7"/>
      <c r="C153" s="3"/>
      <c r="D153" s="3"/>
      <c r="E153" s="3"/>
      <c r="F153" s="3"/>
      <c r="G153" s="4"/>
      <c r="H153" s="3"/>
      <c r="I153" s="1" t="str">
        <f>IF(COUNTA(A153:H153)=0,"",IF(OR(A153="",B153="",C153="",D153="",F153="",G153=""),"Faltan datos",IF(COUNTIF($A$7:$A$506,A153)&gt;1,"ID duplicado",IF(G153&lt;0,"Revisar signo",IF(OR(AND(C153="Saldo inicial",B153&lt;&gt;DATE(Configuración!$C$5,1,1)-1),AND(C153&lt;&gt;"Saldo inicial",OR(B153&lt;DATE(Configuración!$C$5,1,1),B153&gt;=DATE(Configuración!$C$5+1,1,1)))),"Revisar fecha","OK")))))</f>
        <v/>
      </c>
    </row>
    <row r="154" spans="1:9" ht="22" customHeight="1">
      <c r="A154" s="3"/>
      <c r="B154" s="7"/>
      <c r="C154" s="3"/>
      <c r="D154" s="3"/>
      <c r="E154" s="3"/>
      <c r="F154" s="3"/>
      <c r="G154" s="4"/>
      <c r="H154" s="3"/>
      <c r="I154" s="1" t="str">
        <f>IF(COUNTA(A154:H154)=0,"",IF(OR(A154="",B154="",C154="",D154="",F154="",G154=""),"Faltan datos",IF(COUNTIF($A$7:$A$506,A154)&gt;1,"ID duplicado",IF(G154&lt;0,"Revisar signo",IF(OR(AND(C154="Saldo inicial",B154&lt;&gt;DATE(Configuración!$C$5,1,1)-1),AND(C154&lt;&gt;"Saldo inicial",OR(B154&lt;DATE(Configuración!$C$5,1,1),B154&gt;=DATE(Configuración!$C$5+1,1,1)))),"Revisar fecha","OK")))))</f>
        <v/>
      </c>
    </row>
    <row r="155" spans="1:9" ht="22" customHeight="1">
      <c r="A155" s="3"/>
      <c r="B155" s="7"/>
      <c r="C155" s="3"/>
      <c r="D155" s="3"/>
      <c r="E155" s="3"/>
      <c r="F155" s="3"/>
      <c r="G155" s="4"/>
      <c r="H155" s="3"/>
      <c r="I155" s="1" t="str">
        <f>IF(COUNTA(A155:H155)=0,"",IF(OR(A155="",B155="",C155="",D155="",F155="",G155=""),"Faltan datos",IF(COUNTIF($A$7:$A$506,A155)&gt;1,"ID duplicado",IF(G155&lt;0,"Revisar signo",IF(OR(AND(C155="Saldo inicial",B155&lt;&gt;DATE(Configuración!$C$5,1,1)-1),AND(C155&lt;&gt;"Saldo inicial",OR(B155&lt;DATE(Configuración!$C$5,1,1),B155&gt;=DATE(Configuración!$C$5+1,1,1)))),"Revisar fecha","OK")))))</f>
        <v/>
      </c>
    </row>
    <row r="156" spans="1:9" ht="22" customHeight="1">
      <c r="A156" s="3"/>
      <c r="B156" s="7"/>
      <c r="C156" s="3"/>
      <c r="D156" s="3"/>
      <c r="E156" s="3"/>
      <c r="F156" s="3"/>
      <c r="G156" s="4"/>
      <c r="H156" s="3"/>
      <c r="I156" s="1" t="str">
        <f>IF(COUNTA(A156:H156)=0,"",IF(OR(A156="",B156="",C156="",D156="",F156="",G156=""),"Faltan datos",IF(COUNTIF($A$7:$A$506,A156)&gt;1,"ID duplicado",IF(G156&lt;0,"Revisar signo",IF(OR(AND(C156="Saldo inicial",B156&lt;&gt;DATE(Configuración!$C$5,1,1)-1),AND(C156&lt;&gt;"Saldo inicial",OR(B156&lt;DATE(Configuración!$C$5,1,1),B156&gt;=DATE(Configuración!$C$5+1,1,1)))),"Revisar fecha","OK")))))</f>
        <v/>
      </c>
    </row>
    <row r="157" spans="1:9" ht="22" customHeight="1">
      <c r="A157" s="3"/>
      <c r="B157" s="7"/>
      <c r="C157" s="3"/>
      <c r="D157" s="3"/>
      <c r="E157" s="3"/>
      <c r="F157" s="3"/>
      <c r="G157" s="4"/>
      <c r="H157" s="3"/>
      <c r="I157" s="1" t="str">
        <f>IF(COUNTA(A157:H157)=0,"",IF(OR(A157="",B157="",C157="",D157="",F157="",G157=""),"Faltan datos",IF(COUNTIF($A$7:$A$506,A157)&gt;1,"ID duplicado",IF(G157&lt;0,"Revisar signo",IF(OR(AND(C157="Saldo inicial",B157&lt;&gt;DATE(Configuración!$C$5,1,1)-1),AND(C157&lt;&gt;"Saldo inicial",OR(B157&lt;DATE(Configuración!$C$5,1,1),B157&gt;=DATE(Configuración!$C$5+1,1,1)))),"Revisar fecha","OK")))))</f>
        <v/>
      </c>
    </row>
    <row r="158" spans="1:9" ht="22" customHeight="1">
      <c r="A158" s="3"/>
      <c r="B158" s="7"/>
      <c r="C158" s="3"/>
      <c r="D158" s="3"/>
      <c r="E158" s="3"/>
      <c r="F158" s="3"/>
      <c r="G158" s="4"/>
      <c r="H158" s="3"/>
      <c r="I158" s="1" t="str">
        <f>IF(COUNTA(A158:H158)=0,"",IF(OR(A158="",B158="",C158="",D158="",F158="",G158=""),"Faltan datos",IF(COUNTIF($A$7:$A$506,A158)&gt;1,"ID duplicado",IF(G158&lt;0,"Revisar signo",IF(OR(AND(C158="Saldo inicial",B158&lt;&gt;DATE(Configuración!$C$5,1,1)-1),AND(C158&lt;&gt;"Saldo inicial",OR(B158&lt;DATE(Configuración!$C$5,1,1),B158&gt;=DATE(Configuración!$C$5+1,1,1)))),"Revisar fecha","OK")))))</f>
        <v/>
      </c>
    </row>
    <row r="159" spans="1:9" ht="22" customHeight="1">
      <c r="A159" s="3"/>
      <c r="B159" s="7"/>
      <c r="C159" s="3"/>
      <c r="D159" s="3"/>
      <c r="E159" s="3"/>
      <c r="F159" s="3"/>
      <c r="G159" s="4"/>
      <c r="H159" s="3"/>
      <c r="I159" s="1" t="str">
        <f>IF(COUNTA(A159:H159)=0,"",IF(OR(A159="",B159="",C159="",D159="",F159="",G159=""),"Faltan datos",IF(COUNTIF($A$7:$A$506,A159)&gt;1,"ID duplicado",IF(G159&lt;0,"Revisar signo",IF(OR(AND(C159="Saldo inicial",B159&lt;&gt;DATE(Configuración!$C$5,1,1)-1),AND(C159&lt;&gt;"Saldo inicial",OR(B159&lt;DATE(Configuración!$C$5,1,1),B159&gt;=DATE(Configuración!$C$5+1,1,1)))),"Revisar fecha","OK")))))</f>
        <v/>
      </c>
    </row>
    <row r="160" spans="1:9" ht="22" customHeight="1">
      <c r="A160" s="3"/>
      <c r="B160" s="7"/>
      <c r="C160" s="3"/>
      <c r="D160" s="3"/>
      <c r="E160" s="3"/>
      <c r="F160" s="3"/>
      <c r="G160" s="4"/>
      <c r="H160" s="3"/>
      <c r="I160" s="1" t="str">
        <f>IF(COUNTA(A160:H160)=0,"",IF(OR(A160="",B160="",C160="",D160="",F160="",G160=""),"Faltan datos",IF(COUNTIF($A$7:$A$506,A160)&gt;1,"ID duplicado",IF(G160&lt;0,"Revisar signo",IF(OR(AND(C160="Saldo inicial",B160&lt;&gt;DATE(Configuración!$C$5,1,1)-1),AND(C160&lt;&gt;"Saldo inicial",OR(B160&lt;DATE(Configuración!$C$5,1,1),B160&gt;=DATE(Configuración!$C$5+1,1,1)))),"Revisar fecha","OK")))))</f>
        <v/>
      </c>
    </row>
    <row r="161" spans="1:9" ht="22" customHeight="1">
      <c r="A161" s="3"/>
      <c r="B161" s="7"/>
      <c r="C161" s="3"/>
      <c r="D161" s="3"/>
      <c r="E161" s="3"/>
      <c r="F161" s="3"/>
      <c r="G161" s="4"/>
      <c r="H161" s="3"/>
      <c r="I161" s="1" t="str">
        <f>IF(COUNTA(A161:H161)=0,"",IF(OR(A161="",B161="",C161="",D161="",F161="",G161=""),"Faltan datos",IF(COUNTIF($A$7:$A$506,A161)&gt;1,"ID duplicado",IF(G161&lt;0,"Revisar signo",IF(OR(AND(C161="Saldo inicial",B161&lt;&gt;DATE(Configuración!$C$5,1,1)-1),AND(C161&lt;&gt;"Saldo inicial",OR(B161&lt;DATE(Configuración!$C$5,1,1),B161&gt;=DATE(Configuración!$C$5+1,1,1)))),"Revisar fecha","OK")))))</f>
        <v/>
      </c>
    </row>
    <row r="162" spans="1:9" ht="22" customHeight="1">
      <c r="A162" s="3"/>
      <c r="B162" s="7"/>
      <c r="C162" s="3"/>
      <c r="D162" s="3"/>
      <c r="E162" s="3"/>
      <c r="F162" s="3"/>
      <c r="G162" s="4"/>
      <c r="H162" s="3"/>
      <c r="I162" s="1" t="str">
        <f>IF(COUNTA(A162:H162)=0,"",IF(OR(A162="",B162="",C162="",D162="",F162="",G162=""),"Faltan datos",IF(COUNTIF($A$7:$A$506,A162)&gt;1,"ID duplicado",IF(G162&lt;0,"Revisar signo",IF(OR(AND(C162="Saldo inicial",B162&lt;&gt;DATE(Configuración!$C$5,1,1)-1),AND(C162&lt;&gt;"Saldo inicial",OR(B162&lt;DATE(Configuración!$C$5,1,1),B162&gt;=DATE(Configuración!$C$5+1,1,1)))),"Revisar fecha","OK")))))</f>
        <v/>
      </c>
    </row>
    <row r="163" spans="1:9" ht="22" customHeight="1">
      <c r="A163" s="3"/>
      <c r="B163" s="7"/>
      <c r="C163" s="3"/>
      <c r="D163" s="3"/>
      <c r="E163" s="3"/>
      <c r="F163" s="3"/>
      <c r="G163" s="4"/>
      <c r="H163" s="3"/>
      <c r="I163" s="1" t="str">
        <f>IF(COUNTA(A163:H163)=0,"",IF(OR(A163="",B163="",C163="",D163="",F163="",G163=""),"Faltan datos",IF(COUNTIF($A$7:$A$506,A163)&gt;1,"ID duplicado",IF(G163&lt;0,"Revisar signo",IF(OR(AND(C163="Saldo inicial",B163&lt;&gt;DATE(Configuración!$C$5,1,1)-1),AND(C163&lt;&gt;"Saldo inicial",OR(B163&lt;DATE(Configuración!$C$5,1,1),B163&gt;=DATE(Configuración!$C$5+1,1,1)))),"Revisar fecha","OK")))))</f>
        <v/>
      </c>
    </row>
    <row r="164" spans="1:9" ht="22" customHeight="1">
      <c r="A164" s="3"/>
      <c r="B164" s="7"/>
      <c r="C164" s="3"/>
      <c r="D164" s="3"/>
      <c r="E164" s="3"/>
      <c r="F164" s="3"/>
      <c r="G164" s="4"/>
      <c r="H164" s="3"/>
      <c r="I164" s="1" t="str">
        <f>IF(COUNTA(A164:H164)=0,"",IF(OR(A164="",B164="",C164="",D164="",F164="",G164=""),"Faltan datos",IF(COUNTIF($A$7:$A$506,A164)&gt;1,"ID duplicado",IF(G164&lt;0,"Revisar signo",IF(OR(AND(C164="Saldo inicial",B164&lt;&gt;DATE(Configuración!$C$5,1,1)-1),AND(C164&lt;&gt;"Saldo inicial",OR(B164&lt;DATE(Configuración!$C$5,1,1),B164&gt;=DATE(Configuración!$C$5+1,1,1)))),"Revisar fecha","OK")))))</f>
        <v/>
      </c>
    </row>
    <row r="165" spans="1:9" ht="22" customHeight="1">
      <c r="A165" s="3"/>
      <c r="B165" s="7"/>
      <c r="C165" s="3"/>
      <c r="D165" s="3"/>
      <c r="E165" s="3"/>
      <c r="F165" s="3"/>
      <c r="G165" s="4"/>
      <c r="H165" s="3"/>
      <c r="I165" s="1" t="str">
        <f>IF(COUNTA(A165:H165)=0,"",IF(OR(A165="",B165="",C165="",D165="",F165="",G165=""),"Faltan datos",IF(COUNTIF($A$7:$A$506,A165)&gt;1,"ID duplicado",IF(G165&lt;0,"Revisar signo",IF(OR(AND(C165="Saldo inicial",B165&lt;&gt;DATE(Configuración!$C$5,1,1)-1),AND(C165&lt;&gt;"Saldo inicial",OR(B165&lt;DATE(Configuración!$C$5,1,1),B165&gt;=DATE(Configuración!$C$5+1,1,1)))),"Revisar fecha","OK")))))</f>
        <v/>
      </c>
    </row>
    <row r="166" spans="1:9" ht="22" customHeight="1">
      <c r="A166" s="3"/>
      <c r="B166" s="7"/>
      <c r="C166" s="3"/>
      <c r="D166" s="3"/>
      <c r="E166" s="3"/>
      <c r="F166" s="3"/>
      <c r="G166" s="4"/>
      <c r="H166" s="3"/>
      <c r="I166" s="1" t="str">
        <f>IF(COUNTA(A166:H166)=0,"",IF(OR(A166="",B166="",C166="",D166="",F166="",G166=""),"Faltan datos",IF(COUNTIF($A$7:$A$506,A166)&gt;1,"ID duplicado",IF(G166&lt;0,"Revisar signo",IF(OR(AND(C166="Saldo inicial",B166&lt;&gt;DATE(Configuración!$C$5,1,1)-1),AND(C166&lt;&gt;"Saldo inicial",OR(B166&lt;DATE(Configuración!$C$5,1,1),B166&gt;=DATE(Configuración!$C$5+1,1,1)))),"Revisar fecha","OK")))))</f>
        <v/>
      </c>
    </row>
    <row r="167" spans="1:9" ht="22" customHeight="1">
      <c r="A167" s="3"/>
      <c r="B167" s="7"/>
      <c r="C167" s="3"/>
      <c r="D167" s="3"/>
      <c r="E167" s="3"/>
      <c r="F167" s="3"/>
      <c r="G167" s="4"/>
      <c r="H167" s="3"/>
      <c r="I167" s="1" t="str">
        <f>IF(COUNTA(A167:H167)=0,"",IF(OR(A167="",B167="",C167="",D167="",F167="",G167=""),"Faltan datos",IF(COUNTIF($A$7:$A$506,A167)&gt;1,"ID duplicado",IF(G167&lt;0,"Revisar signo",IF(OR(AND(C167="Saldo inicial",B167&lt;&gt;DATE(Configuración!$C$5,1,1)-1),AND(C167&lt;&gt;"Saldo inicial",OR(B167&lt;DATE(Configuración!$C$5,1,1),B167&gt;=DATE(Configuración!$C$5+1,1,1)))),"Revisar fecha","OK")))))</f>
        <v/>
      </c>
    </row>
    <row r="168" spans="1:9" ht="22" customHeight="1">
      <c r="A168" s="3"/>
      <c r="B168" s="7"/>
      <c r="C168" s="3"/>
      <c r="D168" s="3"/>
      <c r="E168" s="3"/>
      <c r="F168" s="3"/>
      <c r="G168" s="4"/>
      <c r="H168" s="3"/>
      <c r="I168" s="1" t="str">
        <f>IF(COUNTA(A168:H168)=0,"",IF(OR(A168="",B168="",C168="",D168="",F168="",G168=""),"Faltan datos",IF(COUNTIF($A$7:$A$506,A168)&gt;1,"ID duplicado",IF(G168&lt;0,"Revisar signo",IF(OR(AND(C168="Saldo inicial",B168&lt;&gt;DATE(Configuración!$C$5,1,1)-1),AND(C168&lt;&gt;"Saldo inicial",OR(B168&lt;DATE(Configuración!$C$5,1,1),B168&gt;=DATE(Configuración!$C$5+1,1,1)))),"Revisar fecha","OK")))))</f>
        <v/>
      </c>
    </row>
    <row r="169" spans="1:9" ht="22" customHeight="1">
      <c r="A169" s="3"/>
      <c r="B169" s="7"/>
      <c r="C169" s="3"/>
      <c r="D169" s="3"/>
      <c r="E169" s="3"/>
      <c r="F169" s="3"/>
      <c r="G169" s="4"/>
      <c r="H169" s="3"/>
      <c r="I169" s="1" t="str">
        <f>IF(COUNTA(A169:H169)=0,"",IF(OR(A169="",B169="",C169="",D169="",F169="",G169=""),"Faltan datos",IF(COUNTIF($A$7:$A$506,A169)&gt;1,"ID duplicado",IF(G169&lt;0,"Revisar signo",IF(OR(AND(C169="Saldo inicial",B169&lt;&gt;DATE(Configuración!$C$5,1,1)-1),AND(C169&lt;&gt;"Saldo inicial",OR(B169&lt;DATE(Configuración!$C$5,1,1),B169&gt;=DATE(Configuración!$C$5+1,1,1)))),"Revisar fecha","OK")))))</f>
        <v/>
      </c>
    </row>
    <row r="170" spans="1:9" ht="22" customHeight="1">
      <c r="A170" s="3"/>
      <c r="B170" s="7"/>
      <c r="C170" s="3"/>
      <c r="D170" s="3"/>
      <c r="E170" s="3"/>
      <c r="F170" s="3"/>
      <c r="G170" s="4"/>
      <c r="H170" s="3"/>
      <c r="I170" s="1" t="str">
        <f>IF(COUNTA(A170:H170)=0,"",IF(OR(A170="",B170="",C170="",D170="",F170="",G170=""),"Faltan datos",IF(COUNTIF($A$7:$A$506,A170)&gt;1,"ID duplicado",IF(G170&lt;0,"Revisar signo",IF(OR(AND(C170="Saldo inicial",B170&lt;&gt;DATE(Configuración!$C$5,1,1)-1),AND(C170&lt;&gt;"Saldo inicial",OR(B170&lt;DATE(Configuración!$C$5,1,1),B170&gt;=DATE(Configuración!$C$5+1,1,1)))),"Revisar fecha","OK")))))</f>
        <v/>
      </c>
    </row>
    <row r="171" spans="1:9" ht="22" customHeight="1">
      <c r="A171" s="3"/>
      <c r="B171" s="7"/>
      <c r="C171" s="3"/>
      <c r="D171" s="3"/>
      <c r="E171" s="3"/>
      <c r="F171" s="3"/>
      <c r="G171" s="4"/>
      <c r="H171" s="3"/>
      <c r="I171" s="1" t="str">
        <f>IF(COUNTA(A171:H171)=0,"",IF(OR(A171="",B171="",C171="",D171="",F171="",G171=""),"Faltan datos",IF(COUNTIF($A$7:$A$506,A171)&gt;1,"ID duplicado",IF(G171&lt;0,"Revisar signo",IF(OR(AND(C171="Saldo inicial",B171&lt;&gt;DATE(Configuración!$C$5,1,1)-1),AND(C171&lt;&gt;"Saldo inicial",OR(B171&lt;DATE(Configuración!$C$5,1,1),B171&gt;=DATE(Configuración!$C$5+1,1,1)))),"Revisar fecha","OK")))))</f>
        <v/>
      </c>
    </row>
    <row r="172" spans="1:9" ht="22" customHeight="1">
      <c r="A172" s="3"/>
      <c r="B172" s="7"/>
      <c r="C172" s="3"/>
      <c r="D172" s="3"/>
      <c r="E172" s="3"/>
      <c r="F172" s="3"/>
      <c r="G172" s="4"/>
      <c r="H172" s="3"/>
      <c r="I172" s="1" t="str">
        <f>IF(COUNTA(A172:H172)=0,"",IF(OR(A172="",B172="",C172="",D172="",F172="",G172=""),"Faltan datos",IF(COUNTIF($A$7:$A$506,A172)&gt;1,"ID duplicado",IF(G172&lt;0,"Revisar signo",IF(OR(AND(C172="Saldo inicial",B172&lt;&gt;DATE(Configuración!$C$5,1,1)-1),AND(C172&lt;&gt;"Saldo inicial",OR(B172&lt;DATE(Configuración!$C$5,1,1),B172&gt;=DATE(Configuración!$C$5+1,1,1)))),"Revisar fecha","OK")))))</f>
        <v/>
      </c>
    </row>
    <row r="173" spans="1:9" ht="22" customHeight="1">
      <c r="A173" s="3"/>
      <c r="B173" s="7"/>
      <c r="C173" s="3"/>
      <c r="D173" s="3"/>
      <c r="E173" s="3"/>
      <c r="F173" s="3"/>
      <c r="G173" s="4"/>
      <c r="H173" s="3"/>
      <c r="I173" s="1" t="str">
        <f>IF(COUNTA(A173:H173)=0,"",IF(OR(A173="",B173="",C173="",D173="",F173="",G173=""),"Faltan datos",IF(COUNTIF($A$7:$A$506,A173)&gt;1,"ID duplicado",IF(G173&lt;0,"Revisar signo",IF(OR(AND(C173="Saldo inicial",B173&lt;&gt;DATE(Configuración!$C$5,1,1)-1),AND(C173&lt;&gt;"Saldo inicial",OR(B173&lt;DATE(Configuración!$C$5,1,1),B173&gt;=DATE(Configuración!$C$5+1,1,1)))),"Revisar fecha","OK")))))</f>
        <v/>
      </c>
    </row>
    <row r="174" spans="1:9" ht="22" customHeight="1">
      <c r="A174" s="3"/>
      <c r="B174" s="7"/>
      <c r="C174" s="3"/>
      <c r="D174" s="3"/>
      <c r="E174" s="3"/>
      <c r="F174" s="3"/>
      <c r="G174" s="4"/>
      <c r="H174" s="3"/>
      <c r="I174" s="1" t="str">
        <f>IF(COUNTA(A174:H174)=0,"",IF(OR(A174="",B174="",C174="",D174="",F174="",G174=""),"Faltan datos",IF(COUNTIF($A$7:$A$506,A174)&gt;1,"ID duplicado",IF(G174&lt;0,"Revisar signo",IF(OR(AND(C174="Saldo inicial",B174&lt;&gt;DATE(Configuración!$C$5,1,1)-1),AND(C174&lt;&gt;"Saldo inicial",OR(B174&lt;DATE(Configuración!$C$5,1,1),B174&gt;=DATE(Configuración!$C$5+1,1,1)))),"Revisar fecha","OK")))))</f>
        <v/>
      </c>
    </row>
    <row r="175" spans="1:9" ht="22" customHeight="1">
      <c r="A175" s="3"/>
      <c r="B175" s="7"/>
      <c r="C175" s="3"/>
      <c r="D175" s="3"/>
      <c r="E175" s="3"/>
      <c r="F175" s="3"/>
      <c r="G175" s="4"/>
      <c r="H175" s="3"/>
      <c r="I175" s="1" t="str">
        <f>IF(COUNTA(A175:H175)=0,"",IF(OR(A175="",B175="",C175="",D175="",F175="",G175=""),"Faltan datos",IF(COUNTIF($A$7:$A$506,A175)&gt;1,"ID duplicado",IF(G175&lt;0,"Revisar signo",IF(OR(AND(C175="Saldo inicial",B175&lt;&gt;DATE(Configuración!$C$5,1,1)-1),AND(C175&lt;&gt;"Saldo inicial",OR(B175&lt;DATE(Configuración!$C$5,1,1),B175&gt;=DATE(Configuración!$C$5+1,1,1)))),"Revisar fecha","OK")))))</f>
        <v/>
      </c>
    </row>
    <row r="176" spans="1:9" ht="22" customHeight="1">
      <c r="A176" s="3"/>
      <c r="B176" s="7"/>
      <c r="C176" s="3"/>
      <c r="D176" s="3"/>
      <c r="E176" s="3"/>
      <c r="F176" s="3"/>
      <c r="G176" s="4"/>
      <c r="H176" s="3"/>
      <c r="I176" s="1" t="str">
        <f>IF(COUNTA(A176:H176)=0,"",IF(OR(A176="",B176="",C176="",D176="",F176="",G176=""),"Faltan datos",IF(COUNTIF($A$7:$A$506,A176)&gt;1,"ID duplicado",IF(G176&lt;0,"Revisar signo",IF(OR(AND(C176="Saldo inicial",B176&lt;&gt;DATE(Configuración!$C$5,1,1)-1),AND(C176&lt;&gt;"Saldo inicial",OR(B176&lt;DATE(Configuración!$C$5,1,1),B176&gt;=DATE(Configuración!$C$5+1,1,1)))),"Revisar fecha","OK")))))</f>
        <v/>
      </c>
    </row>
    <row r="177" spans="1:9" ht="22" customHeight="1">
      <c r="A177" s="3"/>
      <c r="B177" s="7"/>
      <c r="C177" s="3"/>
      <c r="D177" s="3"/>
      <c r="E177" s="3"/>
      <c r="F177" s="3"/>
      <c r="G177" s="4"/>
      <c r="H177" s="3"/>
      <c r="I177" s="1" t="str">
        <f>IF(COUNTA(A177:H177)=0,"",IF(OR(A177="",B177="",C177="",D177="",F177="",G177=""),"Faltan datos",IF(COUNTIF($A$7:$A$506,A177)&gt;1,"ID duplicado",IF(G177&lt;0,"Revisar signo",IF(OR(AND(C177="Saldo inicial",B177&lt;&gt;DATE(Configuración!$C$5,1,1)-1),AND(C177&lt;&gt;"Saldo inicial",OR(B177&lt;DATE(Configuración!$C$5,1,1),B177&gt;=DATE(Configuración!$C$5+1,1,1)))),"Revisar fecha","OK")))))</f>
        <v/>
      </c>
    </row>
    <row r="178" spans="1:9" ht="22" customHeight="1">
      <c r="A178" s="3"/>
      <c r="B178" s="7"/>
      <c r="C178" s="3"/>
      <c r="D178" s="3"/>
      <c r="E178" s="3"/>
      <c r="F178" s="3"/>
      <c r="G178" s="4"/>
      <c r="H178" s="3"/>
      <c r="I178" s="1" t="str">
        <f>IF(COUNTA(A178:H178)=0,"",IF(OR(A178="",B178="",C178="",D178="",F178="",G178=""),"Faltan datos",IF(COUNTIF($A$7:$A$506,A178)&gt;1,"ID duplicado",IF(G178&lt;0,"Revisar signo",IF(OR(AND(C178="Saldo inicial",B178&lt;&gt;DATE(Configuración!$C$5,1,1)-1),AND(C178&lt;&gt;"Saldo inicial",OR(B178&lt;DATE(Configuración!$C$5,1,1),B178&gt;=DATE(Configuración!$C$5+1,1,1)))),"Revisar fecha","OK")))))</f>
        <v/>
      </c>
    </row>
    <row r="179" spans="1:9" ht="22" customHeight="1">
      <c r="A179" s="3"/>
      <c r="B179" s="7"/>
      <c r="C179" s="3"/>
      <c r="D179" s="3"/>
      <c r="E179" s="3"/>
      <c r="F179" s="3"/>
      <c r="G179" s="4"/>
      <c r="H179" s="3"/>
      <c r="I179" s="1" t="str">
        <f>IF(COUNTA(A179:H179)=0,"",IF(OR(A179="",B179="",C179="",D179="",F179="",G179=""),"Faltan datos",IF(COUNTIF($A$7:$A$506,A179)&gt;1,"ID duplicado",IF(G179&lt;0,"Revisar signo",IF(OR(AND(C179="Saldo inicial",B179&lt;&gt;DATE(Configuración!$C$5,1,1)-1),AND(C179&lt;&gt;"Saldo inicial",OR(B179&lt;DATE(Configuración!$C$5,1,1),B179&gt;=DATE(Configuración!$C$5+1,1,1)))),"Revisar fecha","OK")))))</f>
        <v/>
      </c>
    </row>
    <row r="180" spans="1:9" ht="22" customHeight="1">
      <c r="A180" s="3"/>
      <c r="B180" s="7"/>
      <c r="C180" s="3"/>
      <c r="D180" s="3"/>
      <c r="E180" s="3"/>
      <c r="F180" s="3"/>
      <c r="G180" s="4"/>
      <c r="H180" s="3"/>
      <c r="I180" s="1" t="str">
        <f>IF(COUNTA(A180:H180)=0,"",IF(OR(A180="",B180="",C180="",D180="",F180="",G180=""),"Faltan datos",IF(COUNTIF($A$7:$A$506,A180)&gt;1,"ID duplicado",IF(G180&lt;0,"Revisar signo",IF(OR(AND(C180="Saldo inicial",B180&lt;&gt;DATE(Configuración!$C$5,1,1)-1),AND(C180&lt;&gt;"Saldo inicial",OR(B180&lt;DATE(Configuración!$C$5,1,1),B180&gt;=DATE(Configuración!$C$5+1,1,1)))),"Revisar fecha","OK")))))</f>
        <v/>
      </c>
    </row>
    <row r="181" spans="1:9" ht="22" customHeight="1">
      <c r="A181" s="3"/>
      <c r="B181" s="7"/>
      <c r="C181" s="3"/>
      <c r="D181" s="3"/>
      <c r="E181" s="3"/>
      <c r="F181" s="3"/>
      <c r="G181" s="4"/>
      <c r="H181" s="3"/>
      <c r="I181" s="1" t="str">
        <f>IF(COUNTA(A181:H181)=0,"",IF(OR(A181="",B181="",C181="",D181="",F181="",G181=""),"Faltan datos",IF(COUNTIF($A$7:$A$506,A181)&gt;1,"ID duplicado",IF(G181&lt;0,"Revisar signo",IF(OR(AND(C181="Saldo inicial",B181&lt;&gt;DATE(Configuración!$C$5,1,1)-1),AND(C181&lt;&gt;"Saldo inicial",OR(B181&lt;DATE(Configuración!$C$5,1,1),B181&gt;=DATE(Configuración!$C$5+1,1,1)))),"Revisar fecha","OK")))))</f>
        <v/>
      </c>
    </row>
    <row r="182" spans="1:9" ht="22" customHeight="1">
      <c r="A182" s="3"/>
      <c r="B182" s="7"/>
      <c r="C182" s="3"/>
      <c r="D182" s="3"/>
      <c r="E182" s="3"/>
      <c r="F182" s="3"/>
      <c r="G182" s="4"/>
      <c r="H182" s="3"/>
      <c r="I182" s="1" t="str">
        <f>IF(COUNTA(A182:H182)=0,"",IF(OR(A182="",B182="",C182="",D182="",F182="",G182=""),"Faltan datos",IF(COUNTIF($A$7:$A$506,A182)&gt;1,"ID duplicado",IF(G182&lt;0,"Revisar signo",IF(OR(AND(C182="Saldo inicial",B182&lt;&gt;DATE(Configuración!$C$5,1,1)-1),AND(C182&lt;&gt;"Saldo inicial",OR(B182&lt;DATE(Configuración!$C$5,1,1),B182&gt;=DATE(Configuración!$C$5+1,1,1)))),"Revisar fecha","OK")))))</f>
        <v/>
      </c>
    </row>
    <row r="183" spans="1:9" ht="22" customHeight="1">
      <c r="A183" s="3"/>
      <c r="B183" s="7"/>
      <c r="C183" s="3"/>
      <c r="D183" s="3"/>
      <c r="E183" s="3"/>
      <c r="F183" s="3"/>
      <c r="G183" s="4"/>
      <c r="H183" s="3"/>
      <c r="I183" s="1" t="str">
        <f>IF(COUNTA(A183:H183)=0,"",IF(OR(A183="",B183="",C183="",D183="",F183="",G183=""),"Faltan datos",IF(COUNTIF($A$7:$A$506,A183)&gt;1,"ID duplicado",IF(G183&lt;0,"Revisar signo",IF(OR(AND(C183="Saldo inicial",B183&lt;&gt;DATE(Configuración!$C$5,1,1)-1),AND(C183&lt;&gt;"Saldo inicial",OR(B183&lt;DATE(Configuración!$C$5,1,1),B183&gt;=DATE(Configuración!$C$5+1,1,1)))),"Revisar fecha","OK")))))</f>
        <v/>
      </c>
    </row>
    <row r="184" spans="1:9" ht="22" customHeight="1">
      <c r="A184" s="3"/>
      <c r="B184" s="7"/>
      <c r="C184" s="3"/>
      <c r="D184" s="3"/>
      <c r="E184" s="3"/>
      <c r="F184" s="3"/>
      <c r="G184" s="4"/>
      <c r="H184" s="3"/>
      <c r="I184" s="1" t="str">
        <f>IF(COUNTA(A184:H184)=0,"",IF(OR(A184="",B184="",C184="",D184="",F184="",G184=""),"Faltan datos",IF(COUNTIF($A$7:$A$506,A184)&gt;1,"ID duplicado",IF(G184&lt;0,"Revisar signo",IF(OR(AND(C184="Saldo inicial",B184&lt;&gt;DATE(Configuración!$C$5,1,1)-1),AND(C184&lt;&gt;"Saldo inicial",OR(B184&lt;DATE(Configuración!$C$5,1,1),B184&gt;=DATE(Configuración!$C$5+1,1,1)))),"Revisar fecha","OK")))))</f>
        <v/>
      </c>
    </row>
    <row r="185" spans="1:9" ht="22" customHeight="1">
      <c r="A185" s="3"/>
      <c r="B185" s="7"/>
      <c r="C185" s="3"/>
      <c r="D185" s="3"/>
      <c r="E185" s="3"/>
      <c r="F185" s="3"/>
      <c r="G185" s="4"/>
      <c r="H185" s="3"/>
      <c r="I185" s="1" t="str">
        <f>IF(COUNTA(A185:H185)=0,"",IF(OR(A185="",B185="",C185="",D185="",F185="",G185=""),"Faltan datos",IF(COUNTIF($A$7:$A$506,A185)&gt;1,"ID duplicado",IF(G185&lt;0,"Revisar signo",IF(OR(AND(C185="Saldo inicial",B185&lt;&gt;DATE(Configuración!$C$5,1,1)-1),AND(C185&lt;&gt;"Saldo inicial",OR(B185&lt;DATE(Configuración!$C$5,1,1),B185&gt;=DATE(Configuración!$C$5+1,1,1)))),"Revisar fecha","OK")))))</f>
        <v/>
      </c>
    </row>
    <row r="186" spans="1:9" ht="22" customHeight="1">
      <c r="A186" s="3"/>
      <c r="B186" s="7"/>
      <c r="C186" s="3"/>
      <c r="D186" s="3"/>
      <c r="E186" s="3"/>
      <c r="F186" s="3"/>
      <c r="G186" s="4"/>
      <c r="H186" s="3"/>
      <c r="I186" s="1" t="str">
        <f>IF(COUNTA(A186:H186)=0,"",IF(OR(A186="",B186="",C186="",D186="",F186="",G186=""),"Faltan datos",IF(COUNTIF($A$7:$A$506,A186)&gt;1,"ID duplicado",IF(G186&lt;0,"Revisar signo",IF(OR(AND(C186="Saldo inicial",B186&lt;&gt;DATE(Configuración!$C$5,1,1)-1),AND(C186&lt;&gt;"Saldo inicial",OR(B186&lt;DATE(Configuración!$C$5,1,1),B186&gt;=DATE(Configuración!$C$5+1,1,1)))),"Revisar fecha","OK")))))</f>
        <v/>
      </c>
    </row>
    <row r="187" spans="1:9" ht="22" customHeight="1">
      <c r="A187" s="3"/>
      <c r="B187" s="7"/>
      <c r="C187" s="3"/>
      <c r="D187" s="3"/>
      <c r="E187" s="3"/>
      <c r="F187" s="3"/>
      <c r="G187" s="4"/>
      <c r="H187" s="3"/>
      <c r="I187" s="1" t="str">
        <f>IF(COUNTA(A187:H187)=0,"",IF(OR(A187="",B187="",C187="",D187="",F187="",G187=""),"Faltan datos",IF(COUNTIF($A$7:$A$506,A187)&gt;1,"ID duplicado",IF(G187&lt;0,"Revisar signo",IF(OR(AND(C187="Saldo inicial",B187&lt;&gt;DATE(Configuración!$C$5,1,1)-1),AND(C187&lt;&gt;"Saldo inicial",OR(B187&lt;DATE(Configuración!$C$5,1,1),B187&gt;=DATE(Configuración!$C$5+1,1,1)))),"Revisar fecha","OK")))))</f>
        <v/>
      </c>
    </row>
    <row r="188" spans="1:9" ht="22" customHeight="1">
      <c r="A188" s="3"/>
      <c r="B188" s="7"/>
      <c r="C188" s="3"/>
      <c r="D188" s="3"/>
      <c r="E188" s="3"/>
      <c r="F188" s="3"/>
      <c r="G188" s="4"/>
      <c r="H188" s="3"/>
      <c r="I188" s="1" t="str">
        <f>IF(COUNTA(A188:H188)=0,"",IF(OR(A188="",B188="",C188="",D188="",F188="",G188=""),"Faltan datos",IF(COUNTIF($A$7:$A$506,A188)&gt;1,"ID duplicado",IF(G188&lt;0,"Revisar signo",IF(OR(AND(C188="Saldo inicial",B188&lt;&gt;DATE(Configuración!$C$5,1,1)-1),AND(C188&lt;&gt;"Saldo inicial",OR(B188&lt;DATE(Configuración!$C$5,1,1),B188&gt;=DATE(Configuración!$C$5+1,1,1)))),"Revisar fecha","OK")))))</f>
        <v/>
      </c>
    </row>
    <row r="189" spans="1:9" ht="22" customHeight="1">
      <c r="A189" s="3"/>
      <c r="B189" s="7"/>
      <c r="C189" s="3"/>
      <c r="D189" s="3"/>
      <c r="E189" s="3"/>
      <c r="F189" s="3"/>
      <c r="G189" s="4"/>
      <c r="H189" s="3"/>
      <c r="I189" s="1" t="str">
        <f>IF(COUNTA(A189:H189)=0,"",IF(OR(A189="",B189="",C189="",D189="",F189="",G189=""),"Faltan datos",IF(COUNTIF($A$7:$A$506,A189)&gt;1,"ID duplicado",IF(G189&lt;0,"Revisar signo",IF(OR(AND(C189="Saldo inicial",B189&lt;&gt;DATE(Configuración!$C$5,1,1)-1),AND(C189&lt;&gt;"Saldo inicial",OR(B189&lt;DATE(Configuración!$C$5,1,1),B189&gt;=DATE(Configuración!$C$5+1,1,1)))),"Revisar fecha","OK")))))</f>
        <v/>
      </c>
    </row>
    <row r="190" spans="1:9" ht="22" customHeight="1">
      <c r="A190" s="3"/>
      <c r="B190" s="7"/>
      <c r="C190" s="3"/>
      <c r="D190" s="3"/>
      <c r="E190" s="3"/>
      <c r="F190" s="3"/>
      <c r="G190" s="4"/>
      <c r="H190" s="3"/>
      <c r="I190" s="1" t="str">
        <f>IF(COUNTA(A190:H190)=0,"",IF(OR(A190="",B190="",C190="",D190="",F190="",G190=""),"Faltan datos",IF(COUNTIF($A$7:$A$506,A190)&gt;1,"ID duplicado",IF(G190&lt;0,"Revisar signo",IF(OR(AND(C190="Saldo inicial",B190&lt;&gt;DATE(Configuración!$C$5,1,1)-1),AND(C190&lt;&gt;"Saldo inicial",OR(B190&lt;DATE(Configuración!$C$5,1,1),B190&gt;=DATE(Configuración!$C$5+1,1,1)))),"Revisar fecha","OK")))))</f>
        <v/>
      </c>
    </row>
    <row r="191" spans="1:9" ht="22" customHeight="1">
      <c r="A191" s="3"/>
      <c r="B191" s="7"/>
      <c r="C191" s="3"/>
      <c r="D191" s="3"/>
      <c r="E191" s="3"/>
      <c r="F191" s="3"/>
      <c r="G191" s="4"/>
      <c r="H191" s="3"/>
      <c r="I191" s="1" t="str">
        <f>IF(COUNTA(A191:H191)=0,"",IF(OR(A191="",B191="",C191="",D191="",F191="",G191=""),"Faltan datos",IF(COUNTIF($A$7:$A$506,A191)&gt;1,"ID duplicado",IF(G191&lt;0,"Revisar signo",IF(OR(AND(C191="Saldo inicial",B191&lt;&gt;DATE(Configuración!$C$5,1,1)-1),AND(C191&lt;&gt;"Saldo inicial",OR(B191&lt;DATE(Configuración!$C$5,1,1),B191&gt;=DATE(Configuración!$C$5+1,1,1)))),"Revisar fecha","OK")))))</f>
        <v/>
      </c>
    </row>
    <row r="192" spans="1:9" ht="22" customHeight="1">
      <c r="A192" s="3"/>
      <c r="B192" s="7"/>
      <c r="C192" s="3"/>
      <c r="D192" s="3"/>
      <c r="E192" s="3"/>
      <c r="F192" s="3"/>
      <c r="G192" s="4"/>
      <c r="H192" s="3"/>
      <c r="I192" s="1" t="str">
        <f>IF(COUNTA(A192:H192)=0,"",IF(OR(A192="",B192="",C192="",D192="",F192="",G192=""),"Faltan datos",IF(COUNTIF($A$7:$A$506,A192)&gt;1,"ID duplicado",IF(G192&lt;0,"Revisar signo",IF(OR(AND(C192="Saldo inicial",B192&lt;&gt;DATE(Configuración!$C$5,1,1)-1),AND(C192&lt;&gt;"Saldo inicial",OR(B192&lt;DATE(Configuración!$C$5,1,1),B192&gt;=DATE(Configuración!$C$5+1,1,1)))),"Revisar fecha","OK")))))</f>
        <v/>
      </c>
    </row>
    <row r="193" spans="1:9" ht="22" customHeight="1">
      <c r="A193" s="3"/>
      <c r="B193" s="7"/>
      <c r="C193" s="3"/>
      <c r="D193" s="3"/>
      <c r="E193" s="3"/>
      <c r="F193" s="3"/>
      <c r="G193" s="4"/>
      <c r="H193" s="3"/>
      <c r="I193" s="1" t="str">
        <f>IF(COUNTA(A193:H193)=0,"",IF(OR(A193="",B193="",C193="",D193="",F193="",G193=""),"Faltan datos",IF(COUNTIF($A$7:$A$506,A193)&gt;1,"ID duplicado",IF(G193&lt;0,"Revisar signo",IF(OR(AND(C193="Saldo inicial",B193&lt;&gt;DATE(Configuración!$C$5,1,1)-1),AND(C193&lt;&gt;"Saldo inicial",OR(B193&lt;DATE(Configuración!$C$5,1,1),B193&gt;=DATE(Configuración!$C$5+1,1,1)))),"Revisar fecha","OK")))))</f>
        <v/>
      </c>
    </row>
    <row r="194" spans="1:9" ht="22" customHeight="1">
      <c r="A194" s="3"/>
      <c r="B194" s="7"/>
      <c r="C194" s="3"/>
      <c r="D194" s="3"/>
      <c r="E194" s="3"/>
      <c r="F194" s="3"/>
      <c r="G194" s="4"/>
      <c r="H194" s="3"/>
      <c r="I194" s="1" t="str">
        <f>IF(COUNTA(A194:H194)=0,"",IF(OR(A194="",B194="",C194="",D194="",F194="",G194=""),"Faltan datos",IF(COUNTIF($A$7:$A$506,A194)&gt;1,"ID duplicado",IF(G194&lt;0,"Revisar signo",IF(OR(AND(C194="Saldo inicial",B194&lt;&gt;DATE(Configuración!$C$5,1,1)-1),AND(C194&lt;&gt;"Saldo inicial",OR(B194&lt;DATE(Configuración!$C$5,1,1),B194&gt;=DATE(Configuración!$C$5+1,1,1)))),"Revisar fecha","OK")))))</f>
        <v/>
      </c>
    </row>
    <row r="195" spans="1:9" ht="22" customHeight="1">
      <c r="A195" s="3"/>
      <c r="B195" s="7"/>
      <c r="C195" s="3"/>
      <c r="D195" s="3"/>
      <c r="E195" s="3"/>
      <c r="F195" s="3"/>
      <c r="G195" s="4"/>
      <c r="H195" s="3"/>
      <c r="I195" s="1" t="str">
        <f>IF(COUNTA(A195:H195)=0,"",IF(OR(A195="",B195="",C195="",D195="",F195="",G195=""),"Faltan datos",IF(COUNTIF($A$7:$A$506,A195)&gt;1,"ID duplicado",IF(G195&lt;0,"Revisar signo",IF(OR(AND(C195="Saldo inicial",B195&lt;&gt;DATE(Configuración!$C$5,1,1)-1),AND(C195&lt;&gt;"Saldo inicial",OR(B195&lt;DATE(Configuración!$C$5,1,1),B195&gt;=DATE(Configuración!$C$5+1,1,1)))),"Revisar fecha","OK")))))</f>
        <v/>
      </c>
    </row>
    <row r="196" spans="1:9" ht="22" customHeight="1">
      <c r="A196" s="3"/>
      <c r="B196" s="7"/>
      <c r="C196" s="3"/>
      <c r="D196" s="3"/>
      <c r="E196" s="3"/>
      <c r="F196" s="3"/>
      <c r="G196" s="4"/>
      <c r="H196" s="3"/>
      <c r="I196" s="1" t="str">
        <f>IF(COUNTA(A196:H196)=0,"",IF(OR(A196="",B196="",C196="",D196="",F196="",G196=""),"Faltan datos",IF(COUNTIF($A$7:$A$506,A196)&gt;1,"ID duplicado",IF(G196&lt;0,"Revisar signo",IF(OR(AND(C196="Saldo inicial",B196&lt;&gt;DATE(Configuración!$C$5,1,1)-1),AND(C196&lt;&gt;"Saldo inicial",OR(B196&lt;DATE(Configuración!$C$5,1,1),B196&gt;=DATE(Configuración!$C$5+1,1,1)))),"Revisar fecha","OK")))))</f>
        <v/>
      </c>
    </row>
    <row r="197" spans="1:9" ht="22" customHeight="1">
      <c r="A197" s="3"/>
      <c r="B197" s="7"/>
      <c r="C197" s="3"/>
      <c r="D197" s="3"/>
      <c r="E197" s="3"/>
      <c r="F197" s="3"/>
      <c r="G197" s="4"/>
      <c r="H197" s="3"/>
      <c r="I197" s="1" t="str">
        <f>IF(COUNTA(A197:H197)=0,"",IF(OR(A197="",B197="",C197="",D197="",F197="",G197=""),"Faltan datos",IF(COUNTIF($A$7:$A$506,A197)&gt;1,"ID duplicado",IF(G197&lt;0,"Revisar signo",IF(OR(AND(C197="Saldo inicial",B197&lt;&gt;DATE(Configuración!$C$5,1,1)-1),AND(C197&lt;&gt;"Saldo inicial",OR(B197&lt;DATE(Configuración!$C$5,1,1),B197&gt;=DATE(Configuración!$C$5+1,1,1)))),"Revisar fecha","OK")))))</f>
        <v/>
      </c>
    </row>
    <row r="198" spans="1:9" ht="22" customHeight="1">
      <c r="A198" s="3"/>
      <c r="B198" s="7"/>
      <c r="C198" s="3"/>
      <c r="D198" s="3"/>
      <c r="E198" s="3"/>
      <c r="F198" s="3"/>
      <c r="G198" s="4"/>
      <c r="H198" s="3"/>
      <c r="I198" s="1" t="str">
        <f>IF(COUNTA(A198:H198)=0,"",IF(OR(A198="",B198="",C198="",D198="",F198="",G198=""),"Faltan datos",IF(COUNTIF($A$7:$A$506,A198)&gt;1,"ID duplicado",IF(G198&lt;0,"Revisar signo",IF(OR(AND(C198="Saldo inicial",B198&lt;&gt;DATE(Configuración!$C$5,1,1)-1),AND(C198&lt;&gt;"Saldo inicial",OR(B198&lt;DATE(Configuración!$C$5,1,1),B198&gt;=DATE(Configuración!$C$5+1,1,1)))),"Revisar fecha","OK")))))</f>
        <v/>
      </c>
    </row>
    <row r="199" spans="1:9" ht="22" customHeight="1">
      <c r="A199" s="3"/>
      <c r="B199" s="7"/>
      <c r="C199" s="3"/>
      <c r="D199" s="3"/>
      <c r="E199" s="3"/>
      <c r="F199" s="3"/>
      <c r="G199" s="4"/>
      <c r="H199" s="3"/>
      <c r="I199" s="1" t="str">
        <f>IF(COUNTA(A199:H199)=0,"",IF(OR(A199="",B199="",C199="",D199="",F199="",G199=""),"Faltan datos",IF(COUNTIF($A$7:$A$506,A199)&gt;1,"ID duplicado",IF(G199&lt;0,"Revisar signo",IF(OR(AND(C199="Saldo inicial",B199&lt;&gt;DATE(Configuración!$C$5,1,1)-1),AND(C199&lt;&gt;"Saldo inicial",OR(B199&lt;DATE(Configuración!$C$5,1,1),B199&gt;=DATE(Configuración!$C$5+1,1,1)))),"Revisar fecha","OK")))))</f>
        <v/>
      </c>
    </row>
    <row r="200" spans="1:9" ht="22" customHeight="1">
      <c r="A200" s="3"/>
      <c r="B200" s="7"/>
      <c r="C200" s="3"/>
      <c r="D200" s="3"/>
      <c r="E200" s="3"/>
      <c r="F200" s="3"/>
      <c r="G200" s="4"/>
      <c r="H200" s="3"/>
      <c r="I200" s="1" t="str">
        <f>IF(COUNTA(A200:H200)=0,"",IF(OR(A200="",B200="",C200="",D200="",F200="",G200=""),"Faltan datos",IF(COUNTIF($A$7:$A$506,A200)&gt;1,"ID duplicado",IF(G200&lt;0,"Revisar signo",IF(OR(AND(C200="Saldo inicial",B200&lt;&gt;DATE(Configuración!$C$5,1,1)-1),AND(C200&lt;&gt;"Saldo inicial",OR(B200&lt;DATE(Configuración!$C$5,1,1),B200&gt;=DATE(Configuración!$C$5+1,1,1)))),"Revisar fecha","OK")))))</f>
        <v/>
      </c>
    </row>
    <row r="201" spans="1:9" ht="22" customHeight="1">
      <c r="A201" s="3"/>
      <c r="B201" s="7"/>
      <c r="C201" s="3"/>
      <c r="D201" s="3"/>
      <c r="E201" s="3"/>
      <c r="F201" s="3"/>
      <c r="G201" s="4"/>
      <c r="H201" s="3"/>
      <c r="I201" s="1" t="str">
        <f>IF(COUNTA(A201:H201)=0,"",IF(OR(A201="",B201="",C201="",D201="",F201="",G201=""),"Faltan datos",IF(COUNTIF($A$7:$A$506,A201)&gt;1,"ID duplicado",IF(G201&lt;0,"Revisar signo",IF(OR(AND(C201="Saldo inicial",B201&lt;&gt;DATE(Configuración!$C$5,1,1)-1),AND(C201&lt;&gt;"Saldo inicial",OR(B201&lt;DATE(Configuración!$C$5,1,1),B201&gt;=DATE(Configuración!$C$5+1,1,1)))),"Revisar fecha","OK")))))</f>
        <v/>
      </c>
    </row>
    <row r="202" spans="1:9" ht="22" customHeight="1">
      <c r="A202" s="3"/>
      <c r="B202" s="7"/>
      <c r="C202" s="3"/>
      <c r="D202" s="3"/>
      <c r="E202" s="3"/>
      <c r="F202" s="3"/>
      <c r="G202" s="4"/>
      <c r="H202" s="3"/>
      <c r="I202" s="1" t="str">
        <f>IF(COUNTA(A202:H202)=0,"",IF(OR(A202="",B202="",C202="",D202="",F202="",G202=""),"Faltan datos",IF(COUNTIF($A$7:$A$506,A202)&gt;1,"ID duplicado",IF(G202&lt;0,"Revisar signo",IF(OR(AND(C202="Saldo inicial",B202&lt;&gt;DATE(Configuración!$C$5,1,1)-1),AND(C202&lt;&gt;"Saldo inicial",OR(B202&lt;DATE(Configuración!$C$5,1,1),B202&gt;=DATE(Configuración!$C$5+1,1,1)))),"Revisar fecha","OK")))))</f>
        <v/>
      </c>
    </row>
    <row r="203" spans="1:9" ht="22" customHeight="1">
      <c r="A203" s="3"/>
      <c r="B203" s="7"/>
      <c r="C203" s="3"/>
      <c r="D203" s="3"/>
      <c r="E203" s="3"/>
      <c r="F203" s="3"/>
      <c r="G203" s="4"/>
      <c r="H203" s="3"/>
      <c r="I203" s="1" t="str">
        <f>IF(COUNTA(A203:H203)=0,"",IF(OR(A203="",B203="",C203="",D203="",F203="",G203=""),"Faltan datos",IF(COUNTIF($A$7:$A$506,A203)&gt;1,"ID duplicado",IF(G203&lt;0,"Revisar signo",IF(OR(AND(C203="Saldo inicial",B203&lt;&gt;DATE(Configuración!$C$5,1,1)-1),AND(C203&lt;&gt;"Saldo inicial",OR(B203&lt;DATE(Configuración!$C$5,1,1),B203&gt;=DATE(Configuración!$C$5+1,1,1)))),"Revisar fecha","OK")))))</f>
        <v/>
      </c>
    </row>
    <row r="204" spans="1:9" ht="22" customHeight="1">
      <c r="A204" s="3"/>
      <c r="B204" s="7"/>
      <c r="C204" s="3"/>
      <c r="D204" s="3"/>
      <c r="E204" s="3"/>
      <c r="F204" s="3"/>
      <c r="G204" s="4"/>
      <c r="H204" s="3"/>
      <c r="I204" s="1" t="str">
        <f>IF(COUNTA(A204:H204)=0,"",IF(OR(A204="",B204="",C204="",D204="",F204="",G204=""),"Faltan datos",IF(COUNTIF($A$7:$A$506,A204)&gt;1,"ID duplicado",IF(G204&lt;0,"Revisar signo",IF(OR(AND(C204="Saldo inicial",B204&lt;&gt;DATE(Configuración!$C$5,1,1)-1),AND(C204&lt;&gt;"Saldo inicial",OR(B204&lt;DATE(Configuración!$C$5,1,1),B204&gt;=DATE(Configuración!$C$5+1,1,1)))),"Revisar fecha","OK")))))</f>
        <v/>
      </c>
    </row>
    <row r="205" spans="1:9" ht="22" customHeight="1">
      <c r="A205" s="3"/>
      <c r="B205" s="7"/>
      <c r="C205" s="3"/>
      <c r="D205" s="3"/>
      <c r="E205" s="3"/>
      <c r="F205" s="3"/>
      <c r="G205" s="4"/>
      <c r="H205" s="3"/>
      <c r="I205" s="1" t="str">
        <f>IF(COUNTA(A205:H205)=0,"",IF(OR(A205="",B205="",C205="",D205="",F205="",G205=""),"Faltan datos",IF(COUNTIF($A$7:$A$506,A205)&gt;1,"ID duplicado",IF(G205&lt;0,"Revisar signo",IF(OR(AND(C205="Saldo inicial",B205&lt;&gt;DATE(Configuración!$C$5,1,1)-1),AND(C205&lt;&gt;"Saldo inicial",OR(B205&lt;DATE(Configuración!$C$5,1,1),B205&gt;=DATE(Configuración!$C$5+1,1,1)))),"Revisar fecha","OK")))))</f>
        <v/>
      </c>
    </row>
    <row r="206" spans="1:9" ht="22" customHeight="1">
      <c r="A206" s="3"/>
      <c r="B206" s="7"/>
      <c r="C206" s="3"/>
      <c r="D206" s="3"/>
      <c r="E206" s="3"/>
      <c r="F206" s="3"/>
      <c r="G206" s="4"/>
      <c r="H206" s="3"/>
      <c r="I206" s="1" t="str">
        <f>IF(COUNTA(A206:H206)=0,"",IF(OR(A206="",B206="",C206="",D206="",F206="",G206=""),"Faltan datos",IF(COUNTIF($A$7:$A$506,A206)&gt;1,"ID duplicado",IF(G206&lt;0,"Revisar signo",IF(OR(AND(C206="Saldo inicial",B206&lt;&gt;DATE(Configuración!$C$5,1,1)-1),AND(C206&lt;&gt;"Saldo inicial",OR(B206&lt;DATE(Configuración!$C$5,1,1),B206&gt;=DATE(Configuración!$C$5+1,1,1)))),"Revisar fecha","OK")))))</f>
        <v/>
      </c>
    </row>
    <row r="207" spans="1:9" ht="22" customHeight="1">
      <c r="A207" s="3"/>
      <c r="B207" s="7"/>
      <c r="C207" s="3"/>
      <c r="D207" s="3"/>
      <c r="E207" s="3"/>
      <c r="F207" s="3"/>
      <c r="G207" s="4"/>
      <c r="H207" s="3"/>
      <c r="I207" s="1" t="str">
        <f>IF(COUNTA(A207:H207)=0,"",IF(OR(A207="",B207="",C207="",D207="",F207="",G207=""),"Faltan datos",IF(COUNTIF($A$7:$A$506,A207)&gt;1,"ID duplicado",IF(G207&lt;0,"Revisar signo",IF(OR(AND(C207="Saldo inicial",B207&lt;&gt;DATE(Configuración!$C$5,1,1)-1),AND(C207&lt;&gt;"Saldo inicial",OR(B207&lt;DATE(Configuración!$C$5,1,1),B207&gt;=DATE(Configuración!$C$5+1,1,1)))),"Revisar fecha","OK")))))</f>
        <v/>
      </c>
    </row>
    <row r="208" spans="1:9" ht="22" customHeight="1">
      <c r="A208" s="3"/>
      <c r="B208" s="7"/>
      <c r="C208" s="3"/>
      <c r="D208" s="3"/>
      <c r="E208" s="3"/>
      <c r="F208" s="3"/>
      <c r="G208" s="4"/>
      <c r="H208" s="3"/>
      <c r="I208" s="1" t="str">
        <f>IF(COUNTA(A208:H208)=0,"",IF(OR(A208="",B208="",C208="",D208="",F208="",G208=""),"Faltan datos",IF(COUNTIF($A$7:$A$506,A208)&gt;1,"ID duplicado",IF(G208&lt;0,"Revisar signo",IF(OR(AND(C208="Saldo inicial",B208&lt;&gt;DATE(Configuración!$C$5,1,1)-1),AND(C208&lt;&gt;"Saldo inicial",OR(B208&lt;DATE(Configuración!$C$5,1,1),B208&gt;=DATE(Configuración!$C$5+1,1,1)))),"Revisar fecha","OK")))))</f>
        <v/>
      </c>
    </row>
    <row r="209" spans="1:9" ht="22" customHeight="1">
      <c r="A209" s="3"/>
      <c r="B209" s="7"/>
      <c r="C209" s="3"/>
      <c r="D209" s="3"/>
      <c r="E209" s="3"/>
      <c r="F209" s="3"/>
      <c r="G209" s="4"/>
      <c r="H209" s="3"/>
      <c r="I209" s="1" t="str">
        <f>IF(COUNTA(A209:H209)=0,"",IF(OR(A209="",B209="",C209="",D209="",F209="",G209=""),"Faltan datos",IF(COUNTIF($A$7:$A$506,A209)&gt;1,"ID duplicado",IF(G209&lt;0,"Revisar signo",IF(OR(AND(C209="Saldo inicial",B209&lt;&gt;DATE(Configuración!$C$5,1,1)-1),AND(C209&lt;&gt;"Saldo inicial",OR(B209&lt;DATE(Configuración!$C$5,1,1),B209&gt;=DATE(Configuración!$C$5+1,1,1)))),"Revisar fecha","OK")))))</f>
        <v/>
      </c>
    </row>
    <row r="210" spans="1:9" ht="22" customHeight="1">
      <c r="A210" s="3"/>
      <c r="B210" s="7"/>
      <c r="C210" s="3"/>
      <c r="D210" s="3"/>
      <c r="E210" s="3"/>
      <c r="F210" s="3"/>
      <c r="G210" s="4"/>
      <c r="H210" s="3"/>
      <c r="I210" s="1" t="str">
        <f>IF(COUNTA(A210:H210)=0,"",IF(OR(A210="",B210="",C210="",D210="",F210="",G210=""),"Faltan datos",IF(COUNTIF($A$7:$A$506,A210)&gt;1,"ID duplicado",IF(G210&lt;0,"Revisar signo",IF(OR(AND(C210="Saldo inicial",B210&lt;&gt;DATE(Configuración!$C$5,1,1)-1),AND(C210&lt;&gt;"Saldo inicial",OR(B210&lt;DATE(Configuración!$C$5,1,1),B210&gt;=DATE(Configuración!$C$5+1,1,1)))),"Revisar fecha","OK")))))</f>
        <v/>
      </c>
    </row>
    <row r="211" spans="1:9" ht="22" customHeight="1">
      <c r="A211" s="3"/>
      <c r="B211" s="7"/>
      <c r="C211" s="3"/>
      <c r="D211" s="3"/>
      <c r="E211" s="3"/>
      <c r="F211" s="3"/>
      <c r="G211" s="4"/>
      <c r="H211" s="3"/>
      <c r="I211" s="1" t="str">
        <f>IF(COUNTA(A211:H211)=0,"",IF(OR(A211="",B211="",C211="",D211="",F211="",G211=""),"Faltan datos",IF(COUNTIF($A$7:$A$506,A211)&gt;1,"ID duplicado",IF(G211&lt;0,"Revisar signo",IF(OR(AND(C211="Saldo inicial",B211&lt;&gt;DATE(Configuración!$C$5,1,1)-1),AND(C211&lt;&gt;"Saldo inicial",OR(B211&lt;DATE(Configuración!$C$5,1,1),B211&gt;=DATE(Configuración!$C$5+1,1,1)))),"Revisar fecha","OK")))))</f>
        <v/>
      </c>
    </row>
    <row r="212" spans="1:9" ht="22" customHeight="1">
      <c r="A212" s="3"/>
      <c r="B212" s="7"/>
      <c r="C212" s="3"/>
      <c r="D212" s="3"/>
      <c r="E212" s="3"/>
      <c r="F212" s="3"/>
      <c r="G212" s="4"/>
      <c r="H212" s="3"/>
      <c r="I212" s="1" t="str">
        <f>IF(COUNTA(A212:H212)=0,"",IF(OR(A212="",B212="",C212="",D212="",F212="",G212=""),"Faltan datos",IF(COUNTIF($A$7:$A$506,A212)&gt;1,"ID duplicado",IF(G212&lt;0,"Revisar signo",IF(OR(AND(C212="Saldo inicial",B212&lt;&gt;DATE(Configuración!$C$5,1,1)-1),AND(C212&lt;&gt;"Saldo inicial",OR(B212&lt;DATE(Configuración!$C$5,1,1),B212&gt;=DATE(Configuración!$C$5+1,1,1)))),"Revisar fecha","OK")))))</f>
        <v/>
      </c>
    </row>
    <row r="213" spans="1:9" ht="22" customHeight="1">
      <c r="A213" s="3"/>
      <c r="B213" s="7"/>
      <c r="C213" s="3"/>
      <c r="D213" s="3"/>
      <c r="E213" s="3"/>
      <c r="F213" s="3"/>
      <c r="G213" s="4"/>
      <c r="H213" s="3"/>
      <c r="I213" s="1" t="str">
        <f>IF(COUNTA(A213:H213)=0,"",IF(OR(A213="",B213="",C213="",D213="",F213="",G213=""),"Faltan datos",IF(COUNTIF($A$7:$A$506,A213)&gt;1,"ID duplicado",IF(G213&lt;0,"Revisar signo",IF(OR(AND(C213="Saldo inicial",B213&lt;&gt;DATE(Configuración!$C$5,1,1)-1),AND(C213&lt;&gt;"Saldo inicial",OR(B213&lt;DATE(Configuración!$C$5,1,1),B213&gt;=DATE(Configuración!$C$5+1,1,1)))),"Revisar fecha","OK")))))</f>
        <v/>
      </c>
    </row>
    <row r="214" spans="1:9" ht="22" customHeight="1">
      <c r="A214" s="3"/>
      <c r="B214" s="7"/>
      <c r="C214" s="3"/>
      <c r="D214" s="3"/>
      <c r="E214" s="3"/>
      <c r="F214" s="3"/>
      <c r="G214" s="4"/>
      <c r="H214" s="3"/>
      <c r="I214" s="1" t="str">
        <f>IF(COUNTA(A214:H214)=0,"",IF(OR(A214="",B214="",C214="",D214="",F214="",G214=""),"Faltan datos",IF(COUNTIF($A$7:$A$506,A214)&gt;1,"ID duplicado",IF(G214&lt;0,"Revisar signo",IF(OR(AND(C214="Saldo inicial",B214&lt;&gt;DATE(Configuración!$C$5,1,1)-1),AND(C214&lt;&gt;"Saldo inicial",OR(B214&lt;DATE(Configuración!$C$5,1,1),B214&gt;=DATE(Configuración!$C$5+1,1,1)))),"Revisar fecha","OK")))))</f>
        <v/>
      </c>
    </row>
    <row r="215" spans="1:9" ht="22" customHeight="1">
      <c r="A215" s="3"/>
      <c r="B215" s="7"/>
      <c r="C215" s="3"/>
      <c r="D215" s="3"/>
      <c r="E215" s="3"/>
      <c r="F215" s="3"/>
      <c r="G215" s="4"/>
      <c r="H215" s="3"/>
      <c r="I215" s="1" t="str">
        <f>IF(COUNTA(A215:H215)=0,"",IF(OR(A215="",B215="",C215="",D215="",F215="",G215=""),"Faltan datos",IF(COUNTIF($A$7:$A$506,A215)&gt;1,"ID duplicado",IF(G215&lt;0,"Revisar signo",IF(OR(AND(C215="Saldo inicial",B215&lt;&gt;DATE(Configuración!$C$5,1,1)-1),AND(C215&lt;&gt;"Saldo inicial",OR(B215&lt;DATE(Configuración!$C$5,1,1),B215&gt;=DATE(Configuración!$C$5+1,1,1)))),"Revisar fecha","OK")))))</f>
        <v/>
      </c>
    </row>
    <row r="216" spans="1:9" ht="22" customHeight="1">
      <c r="A216" s="3"/>
      <c r="B216" s="7"/>
      <c r="C216" s="3"/>
      <c r="D216" s="3"/>
      <c r="E216" s="3"/>
      <c r="F216" s="3"/>
      <c r="G216" s="4"/>
      <c r="H216" s="3"/>
      <c r="I216" s="1" t="str">
        <f>IF(COUNTA(A216:H216)=0,"",IF(OR(A216="",B216="",C216="",D216="",F216="",G216=""),"Faltan datos",IF(COUNTIF($A$7:$A$506,A216)&gt;1,"ID duplicado",IF(G216&lt;0,"Revisar signo",IF(OR(AND(C216="Saldo inicial",B216&lt;&gt;DATE(Configuración!$C$5,1,1)-1),AND(C216&lt;&gt;"Saldo inicial",OR(B216&lt;DATE(Configuración!$C$5,1,1),B216&gt;=DATE(Configuración!$C$5+1,1,1)))),"Revisar fecha","OK")))))</f>
        <v/>
      </c>
    </row>
    <row r="217" spans="1:9" ht="22" customHeight="1">
      <c r="A217" s="3"/>
      <c r="B217" s="7"/>
      <c r="C217" s="3"/>
      <c r="D217" s="3"/>
      <c r="E217" s="3"/>
      <c r="F217" s="3"/>
      <c r="G217" s="4"/>
      <c r="H217" s="3"/>
      <c r="I217" s="1" t="str">
        <f>IF(COUNTA(A217:H217)=0,"",IF(OR(A217="",B217="",C217="",D217="",F217="",G217=""),"Faltan datos",IF(COUNTIF($A$7:$A$506,A217)&gt;1,"ID duplicado",IF(G217&lt;0,"Revisar signo",IF(OR(AND(C217="Saldo inicial",B217&lt;&gt;DATE(Configuración!$C$5,1,1)-1),AND(C217&lt;&gt;"Saldo inicial",OR(B217&lt;DATE(Configuración!$C$5,1,1),B217&gt;=DATE(Configuración!$C$5+1,1,1)))),"Revisar fecha","OK")))))</f>
        <v/>
      </c>
    </row>
    <row r="218" spans="1:9" ht="22" customHeight="1">
      <c r="A218" s="3"/>
      <c r="B218" s="7"/>
      <c r="C218" s="3"/>
      <c r="D218" s="3"/>
      <c r="E218" s="3"/>
      <c r="F218" s="3"/>
      <c r="G218" s="4"/>
      <c r="H218" s="3"/>
      <c r="I218" s="1" t="str">
        <f>IF(COUNTA(A218:H218)=0,"",IF(OR(A218="",B218="",C218="",D218="",F218="",G218=""),"Faltan datos",IF(COUNTIF($A$7:$A$506,A218)&gt;1,"ID duplicado",IF(G218&lt;0,"Revisar signo",IF(OR(AND(C218="Saldo inicial",B218&lt;&gt;DATE(Configuración!$C$5,1,1)-1),AND(C218&lt;&gt;"Saldo inicial",OR(B218&lt;DATE(Configuración!$C$5,1,1),B218&gt;=DATE(Configuración!$C$5+1,1,1)))),"Revisar fecha","OK")))))</f>
        <v/>
      </c>
    </row>
    <row r="219" spans="1:9" ht="22" customHeight="1">
      <c r="A219" s="3"/>
      <c r="B219" s="7"/>
      <c r="C219" s="3"/>
      <c r="D219" s="3"/>
      <c r="E219" s="3"/>
      <c r="F219" s="3"/>
      <c r="G219" s="4"/>
      <c r="H219" s="3"/>
      <c r="I219" s="1" t="str">
        <f>IF(COUNTA(A219:H219)=0,"",IF(OR(A219="",B219="",C219="",D219="",F219="",G219=""),"Faltan datos",IF(COUNTIF($A$7:$A$506,A219)&gt;1,"ID duplicado",IF(G219&lt;0,"Revisar signo",IF(OR(AND(C219="Saldo inicial",B219&lt;&gt;DATE(Configuración!$C$5,1,1)-1),AND(C219&lt;&gt;"Saldo inicial",OR(B219&lt;DATE(Configuración!$C$5,1,1),B219&gt;=DATE(Configuración!$C$5+1,1,1)))),"Revisar fecha","OK")))))</f>
        <v/>
      </c>
    </row>
    <row r="220" spans="1:9" ht="22" customHeight="1">
      <c r="A220" s="3"/>
      <c r="B220" s="7"/>
      <c r="C220" s="3"/>
      <c r="D220" s="3"/>
      <c r="E220" s="3"/>
      <c r="F220" s="3"/>
      <c r="G220" s="4"/>
      <c r="H220" s="3"/>
      <c r="I220" s="1" t="str">
        <f>IF(COUNTA(A220:H220)=0,"",IF(OR(A220="",B220="",C220="",D220="",F220="",G220=""),"Faltan datos",IF(COUNTIF($A$7:$A$506,A220)&gt;1,"ID duplicado",IF(G220&lt;0,"Revisar signo",IF(OR(AND(C220="Saldo inicial",B220&lt;&gt;DATE(Configuración!$C$5,1,1)-1),AND(C220&lt;&gt;"Saldo inicial",OR(B220&lt;DATE(Configuración!$C$5,1,1),B220&gt;=DATE(Configuración!$C$5+1,1,1)))),"Revisar fecha","OK")))))</f>
        <v/>
      </c>
    </row>
    <row r="221" spans="1:9" ht="22" customHeight="1">
      <c r="A221" s="3"/>
      <c r="B221" s="7"/>
      <c r="C221" s="3"/>
      <c r="D221" s="3"/>
      <c r="E221" s="3"/>
      <c r="F221" s="3"/>
      <c r="G221" s="4"/>
      <c r="H221" s="3"/>
      <c r="I221" s="1" t="str">
        <f>IF(COUNTA(A221:H221)=0,"",IF(OR(A221="",B221="",C221="",D221="",F221="",G221=""),"Faltan datos",IF(COUNTIF($A$7:$A$506,A221)&gt;1,"ID duplicado",IF(G221&lt;0,"Revisar signo",IF(OR(AND(C221="Saldo inicial",B221&lt;&gt;DATE(Configuración!$C$5,1,1)-1),AND(C221&lt;&gt;"Saldo inicial",OR(B221&lt;DATE(Configuración!$C$5,1,1),B221&gt;=DATE(Configuración!$C$5+1,1,1)))),"Revisar fecha","OK")))))</f>
        <v/>
      </c>
    </row>
    <row r="222" spans="1:9" ht="22" customHeight="1">
      <c r="A222" s="3"/>
      <c r="B222" s="7"/>
      <c r="C222" s="3"/>
      <c r="D222" s="3"/>
      <c r="E222" s="3"/>
      <c r="F222" s="3"/>
      <c r="G222" s="4"/>
      <c r="H222" s="3"/>
      <c r="I222" s="1" t="str">
        <f>IF(COUNTA(A222:H222)=0,"",IF(OR(A222="",B222="",C222="",D222="",F222="",G222=""),"Faltan datos",IF(COUNTIF($A$7:$A$506,A222)&gt;1,"ID duplicado",IF(G222&lt;0,"Revisar signo",IF(OR(AND(C222="Saldo inicial",B222&lt;&gt;DATE(Configuración!$C$5,1,1)-1),AND(C222&lt;&gt;"Saldo inicial",OR(B222&lt;DATE(Configuración!$C$5,1,1),B222&gt;=DATE(Configuración!$C$5+1,1,1)))),"Revisar fecha","OK")))))</f>
        <v/>
      </c>
    </row>
    <row r="223" spans="1:9" ht="22" customHeight="1">
      <c r="A223" s="3"/>
      <c r="B223" s="7"/>
      <c r="C223" s="3"/>
      <c r="D223" s="3"/>
      <c r="E223" s="3"/>
      <c r="F223" s="3"/>
      <c r="G223" s="4"/>
      <c r="H223" s="3"/>
      <c r="I223" s="1" t="str">
        <f>IF(COUNTA(A223:H223)=0,"",IF(OR(A223="",B223="",C223="",D223="",F223="",G223=""),"Faltan datos",IF(COUNTIF($A$7:$A$506,A223)&gt;1,"ID duplicado",IF(G223&lt;0,"Revisar signo",IF(OR(AND(C223="Saldo inicial",B223&lt;&gt;DATE(Configuración!$C$5,1,1)-1),AND(C223&lt;&gt;"Saldo inicial",OR(B223&lt;DATE(Configuración!$C$5,1,1),B223&gt;=DATE(Configuración!$C$5+1,1,1)))),"Revisar fecha","OK")))))</f>
        <v/>
      </c>
    </row>
    <row r="224" spans="1:9" ht="22" customHeight="1">
      <c r="A224" s="3"/>
      <c r="B224" s="7"/>
      <c r="C224" s="3"/>
      <c r="D224" s="3"/>
      <c r="E224" s="3"/>
      <c r="F224" s="3"/>
      <c r="G224" s="4"/>
      <c r="H224" s="3"/>
      <c r="I224" s="1" t="str">
        <f>IF(COUNTA(A224:H224)=0,"",IF(OR(A224="",B224="",C224="",D224="",F224="",G224=""),"Faltan datos",IF(COUNTIF($A$7:$A$506,A224)&gt;1,"ID duplicado",IF(G224&lt;0,"Revisar signo",IF(OR(AND(C224="Saldo inicial",B224&lt;&gt;DATE(Configuración!$C$5,1,1)-1),AND(C224&lt;&gt;"Saldo inicial",OR(B224&lt;DATE(Configuración!$C$5,1,1),B224&gt;=DATE(Configuración!$C$5+1,1,1)))),"Revisar fecha","OK")))))</f>
        <v/>
      </c>
    </row>
    <row r="225" spans="1:9" ht="22" customHeight="1">
      <c r="A225" s="3"/>
      <c r="B225" s="7"/>
      <c r="C225" s="3"/>
      <c r="D225" s="3"/>
      <c r="E225" s="3"/>
      <c r="F225" s="3"/>
      <c r="G225" s="4"/>
      <c r="H225" s="3"/>
      <c r="I225" s="1" t="str">
        <f>IF(COUNTA(A225:H225)=0,"",IF(OR(A225="",B225="",C225="",D225="",F225="",G225=""),"Faltan datos",IF(COUNTIF($A$7:$A$506,A225)&gt;1,"ID duplicado",IF(G225&lt;0,"Revisar signo",IF(OR(AND(C225="Saldo inicial",B225&lt;&gt;DATE(Configuración!$C$5,1,1)-1),AND(C225&lt;&gt;"Saldo inicial",OR(B225&lt;DATE(Configuración!$C$5,1,1),B225&gt;=DATE(Configuración!$C$5+1,1,1)))),"Revisar fecha","OK")))))</f>
        <v/>
      </c>
    </row>
    <row r="226" spans="1:9" ht="22" customHeight="1">
      <c r="A226" s="3"/>
      <c r="B226" s="7"/>
      <c r="C226" s="3"/>
      <c r="D226" s="3"/>
      <c r="E226" s="3"/>
      <c r="F226" s="3"/>
      <c r="G226" s="4"/>
      <c r="H226" s="3"/>
      <c r="I226" s="1" t="str">
        <f>IF(COUNTA(A226:H226)=0,"",IF(OR(A226="",B226="",C226="",D226="",F226="",G226=""),"Faltan datos",IF(COUNTIF($A$7:$A$506,A226)&gt;1,"ID duplicado",IF(G226&lt;0,"Revisar signo",IF(OR(AND(C226="Saldo inicial",B226&lt;&gt;DATE(Configuración!$C$5,1,1)-1),AND(C226&lt;&gt;"Saldo inicial",OR(B226&lt;DATE(Configuración!$C$5,1,1),B226&gt;=DATE(Configuración!$C$5+1,1,1)))),"Revisar fecha","OK")))))</f>
        <v/>
      </c>
    </row>
    <row r="227" spans="1:9" ht="22" customHeight="1">
      <c r="A227" s="3"/>
      <c r="B227" s="7"/>
      <c r="C227" s="3"/>
      <c r="D227" s="3"/>
      <c r="E227" s="3"/>
      <c r="F227" s="3"/>
      <c r="G227" s="4"/>
      <c r="H227" s="3"/>
      <c r="I227" s="1" t="str">
        <f>IF(COUNTA(A227:H227)=0,"",IF(OR(A227="",B227="",C227="",D227="",F227="",G227=""),"Faltan datos",IF(COUNTIF($A$7:$A$506,A227)&gt;1,"ID duplicado",IF(G227&lt;0,"Revisar signo",IF(OR(AND(C227="Saldo inicial",B227&lt;&gt;DATE(Configuración!$C$5,1,1)-1),AND(C227&lt;&gt;"Saldo inicial",OR(B227&lt;DATE(Configuración!$C$5,1,1),B227&gt;=DATE(Configuración!$C$5+1,1,1)))),"Revisar fecha","OK")))))</f>
        <v/>
      </c>
    </row>
    <row r="228" spans="1:9" ht="22" customHeight="1">
      <c r="A228" s="3"/>
      <c r="B228" s="7"/>
      <c r="C228" s="3"/>
      <c r="D228" s="3"/>
      <c r="E228" s="3"/>
      <c r="F228" s="3"/>
      <c r="G228" s="4"/>
      <c r="H228" s="3"/>
      <c r="I228" s="1" t="str">
        <f>IF(COUNTA(A228:H228)=0,"",IF(OR(A228="",B228="",C228="",D228="",F228="",G228=""),"Faltan datos",IF(COUNTIF($A$7:$A$506,A228)&gt;1,"ID duplicado",IF(G228&lt;0,"Revisar signo",IF(OR(AND(C228="Saldo inicial",B228&lt;&gt;DATE(Configuración!$C$5,1,1)-1),AND(C228&lt;&gt;"Saldo inicial",OR(B228&lt;DATE(Configuración!$C$5,1,1),B228&gt;=DATE(Configuración!$C$5+1,1,1)))),"Revisar fecha","OK")))))</f>
        <v/>
      </c>
    </row>
    <row r="229" spans="1:9" ht="22" customHeight="1">
      <c r="A229" s="3"/>
      <c r="B229" s="7"/>
      <c r="C229" s="3"/>
      <c r="D229" s="3"/>
      <c r="E229" s="3"/>
      <c r="F229" s="3"/>
      <c r="G229" s="4"/>
      <c r="H229" s="3"/>
      <c r="I229" s="1" t="str">
        <f>IF(COUNTA(A229:H229)=0,"",IF(OR(A229="",B229="",C229="",D229="",F229="",G229=""),"Faltan datos",IF(COUNTIF($A$7:$A$506,A229)&gt;1,"ID duplicado",IF(G229&lt;0,"Revisar signo",IF(OR(AND(C229="Saldo inicial",B229&lt;&gt;DATE(Configuración!$C$5,1,1)-1),AND(C229&lt;&gt;"Saldo inicial",OR(B229&lt;DATE(Configuración!$C$5,1,1),B229&gt;=DATE(Configuración!$C$5+1,1,1)))),"Revisar fecha","OK")))))</f>
        <v/>
      </c>
    </row>
    <row r="230" spans="1:9" ht="22" customHeight="1">
      <c r="A230" s="3"/>
      <c r="B230" s="7"/>
      <c r="C230" s="3"/>
      <c r="D230" s="3"/>
      <c r="E230" s="3"/>
      <c r="F230" s="3"/>
      <c r="G230" s="4"/>
      <c r="H230" s="3"/>
      <c r="I230" s="1" t="str">
        <f>IF(COUNTA(A230:H230)=0,"",IF(OR(A230="",B230="",C230="",D230="",F230="",G230=""),"Faltan datos",IF(COUNTIF($A$7:$A$506,A230)&gt;1,"ID duplicado",IF(G230&lt;0,"Revisar signo",IF(OR(AND(C230="Saldo inicial",B230&lt;&gt;DATE(Configuración!$C$5,1,1)-1),AND(C230&lt;&gt;"Saldo inicial",OR(B230&lt;DATE(Configuración!$C$5,1,1),B230&gt;=DATE(Configuración!$C$5+1,1,1)))),"Revisar fecha","OK")))))</f>
        <v/>
      </c>
    </row>
    <row r="231" spans="1:9" ht="22" customHeight="1">
      <c r="A231" s="3"/>
      <c r="B231" s="7"/>
      <c r="C231" s="3"/>
      <c r="D231" s="3"/>
      <c r="E231" s="3"/>
      <c r="F231" s="3"/>
      <c r="G231" s="4"/>
      <c r="H231" s="3"/>
      <c r="I231" s="1" t="str">
        <f>IF(COUNTA(A231:H231)=0,"",IF(OR(A231="",B231="",C231="",D231="",F231="",G231=""),"Faltan datos",IF(COUNTIF($A$7:$A$506,A231)&gt;1,"ID duplicado",IF(G231&lt;0,"Revisar signo",IF(OR(AND(C231="Saldo inicial",B231&lt;&gt;DATE(Configuración!$C$5,1,1)-1),AND(C231&lt;&gt;"Saldo inicial",OR(B231&lt;DATE(Configuración!$C$5,1,1),B231&gt;=DATE(Configuración!$C$5+1,1,1)))),"Revisar fecha","OK")))))</f>
        <v/>
      </c>
    </row>
    <row r="232" spans="1:9" ht="22" customHeight="1">
      <c r="A232" s="3"/>
      <c r="B232" s="7"/>
      <c r="C232" s="3"/>
      <c r="D232" s="3"/>
      <c r="E232" s="3"/>
      <c r="F232" s="3"/>
      <c r="G232" s="4"/>
      <c r="H232" s="3"/>
      <c r="I232" s="1" t="str">
        <f>IF(COUNTA(A232:H232)=0,"",IF(OR(A232="",B232="",C232="",D232="",F232="",G232=""),"Faltan datos",IF(COUNTIF($A$7:$A$506,A232)&gt;1,"ID duplicado",IF(G232&lt;0,"Revisar signo",IF(OR(AND(C232="Saldo inicial",B232&lt;&gt;DATE(Configuración!$C$5,1,1)-1),AND(C232&lt;&gt;"Saldo inicial",OR(B232&lt;DATE(Configuración!$C$5,1,1),B232&gt;=DATE(Configuración!$C$5+1,1,1)))),"Revisar fecha","OK")))))</f>
        <v/>
      </c>
    </row>
    <row r="233" spans="1:9" ht="22" customHeight="1">
      <c r="A233" s="3"/>
      <c r="B233" s="7"/>
      <c r="C233" s="3"/>
      <c r="D233" s="3"/>
      <c r="E233" s="3"/>
      <c r="F233" s="3"/>
      <c r="G233" s="4"/>
      <c r="H233" s="3"/>
      <c r="I233" s="1" t="str">
        <f>IF(COUNTA(A233:H233)=0,"",IF(OR(A233="",B233="",C233="",D233="",F233="",G233=""),"Faltan datos",IF(COUNTIF($A$7:$A$506,A233)&gt;1,"ID duplicado",IF(G233&lt;0,"Revisar signo",IF(OR(AND(C233="Saldo inicial",B233&lt;&gt;DATE(Configuración!$C$5,1,1)-1),AND(C233&lt;&gt;"Saldo inicial",OR(B233&lt;DATE(Configuración!$C$5,1,1),B233&gt;=DATE(Configuración!$C$5+1,1,1)))),"Revisar fecha","OK")))))</f>
        <v/>
      </c>
    </row>
    <row r="234" spans="1:9" ht="22" customHeight="1">
      <c r="A234" s="3"/>
      <c r="B234" s="7"/>
      <c r="C234" s="3"/>
      <c r="D234" s="3"/>
      <c r="E234" s="3"/>
      <c r="F234" s="3"/>
      <c r="G234" s="4"/>
      <c r="H234" s="3"/>
      <c r="I234" s="1" t="str">
        <f>IF(COUNTA(A234:H234)=0,"",IF(OR(A234="",B234="",C234="",D234="",F234="",G234=""),"Faltan datos",IF(COUNTIF($A$7:$A$506,A234)&gt;1,"ID duplicado",IF(G234&lt;0,"Revisar signo",IF(OR(AND(C234="Saldo inicial",B234&lt;&gt;DATE(Configuración!$C$5,1,1)-1),AND(C234&lt;&gt;"Saldo inicial",OR(B234&lt;DATE(Configuración!$C$5,1,1),B234&gt;=DATE(Configuración!$C$5+1,1,1)))),"Revisar fecha","OK")))))</f>
        <v/>
      </c>
    </row>
    <row r="235" spans="1:9" ht="22" customHeight="1">
      <c r="A235" s="3"/>
      <c r="B235" s="7"/>
      <c r="C235" s="3"/>
      <c r="D235" s="3"/>
      <c r="E235" s="3"/>
      <c r="F235" s="3"/>
      <c r="G235" s="4"/>
      <c r="H235" s="3"/>
      <c r="I235" s="1" t="str">
        <f>IF(COUNTA(A235:H235)=0,"",IF(OR(A235="",B235="",C235="",D235="",F235="",G235=""),"Faltan datos",IF(COUNTIF($A$7:$A$506,A235)&gt;1,"ID duplicado",IF(G235&lt;0,"Revisar signo",IF(OR(AND(C235="Saldo inicial",B235&lt;&gt;DATE(Configuración!$C$5,1,1)-1),AND(C235&lt;&gt;"Saldo inicial",OR(B235&lt;DATE(Configuración!$C$5,1,1),B235&gt;=DATE(Configuración!$C$5+1,1,1)))),"Revisar fecha","OK")))))</f>
        <v/>
      </c>
    </row>
    <row r="236" spans="1:9" ht="22" customHeight="1">
      <c r="A236" s="3"/>
      <c r="B236" s="7"/>
      <c r="C236" s="3"/>
      <c r="D236" s="3"/>
      <c r="E236" s="3"/>
      <c r="F236" s="3"/>
      <c r="G236" s="4"/>
      <c r="H236" s="3"/>
      <c r="I236" s="1" t="str">
        <f>IF(COUNTA(A236:H236)=0,"",IF(OR(A236="",B236="",C236="",D236="",F236="",G236=""),"Faltan datos",IF(COUNTIF($A$7:$A$506,A236)&gt;1,"ID duplicado",IF(G236&lt;0,"Revisar signo",IF(OR(AND(C236="Saldo inicial",B236&lt;&gt;DATE(Configuración!$C$5,1,1)-1),AND(C236&lt;&gt;"Saldo inicial",OR(B236&lt;DATE(Configuración!$C$5,1,1),B236&gt;=DATE(Configuración!$C$5+1,1,1)))),"Revisar fecha","OK")))))</f>
        <v/>
      </c>
    </row>
    <row r="237" spans="1:9" ht="22" customHeight="1">
      <c r="A237" s="3"/>
      <c r="B237" s="7"/>
      <c r="C237" s="3"/>
      <c r="D237" s="3"/>
      <c r="E237" s="3"/>
      <c r="F237" s="3"/>
      <c r="G237" s="4"/>
      <c r="H237" s="3"/>
      <c r="I237" s="1" t="str">
        <f>IF(COUNTA(A237:H237)=0,"",IF(OR(A237="",B237="",C237="",D237="",F237="",G237=""),"Faltan datos",IF(COUNTIF($A$7:$A$506,A237)&gt;1,"ID duplicado",IF(G237&lt;0,"Revisar signo",IF(OR(AND(C237="Saldo inicial",B237&lt;&gt;DATE(Configuración!$C$5,1,1)-1),AND(C237&lt;&gt;"Saldo inicial",OR(B237&lt;DATE(Configuración!$C$5,1,1),B237&gt;=DATE(Configuración!$C$5+1,1,1)))),"Revisar fecha","OK")))))</f>
        <v/>
      </c>
    </row>
    <row r="238" spans="1:9" ht="22" customHeight="1">
      <c r="A238" s="3"/>
      <c r="B238" s="7"/>
      <c r="C238" s="3"/>
      <c r="D238" s="3"/>
      <c r="E238" s="3"/>
      <c r="F238" s="3"/>
      <c r="G238" s="4"/>
      <c r="H238" s="3"/>
      <c r="I238" s="1" t="str">
        <f>IF(COUNTA(A238:H238)=0,"",IF(OR(A238="",B238="",C238="",D238="",F238="",G238=""),"Faltan datos",IF(COUNTIF($A$7:$A$506,A238)&gt;1,"ID duplicado",IF(G238&lt;0,"Revisar signo",IF(OR(AND(C238="Saldo inicial",B238&lt;&gt;DATE(Configuración!$C$5,1,1)-1),AND(C238&lt;&gt;"Saldo inicial",OR(B238&lt;DATE(Configuración!$C$5,1,1),B238&gt;=DATE(Configuración!$C$5+1,1,1)))),"Revisar fecha","OK")))))</f>
        <v/>
      </c>
    </row>
    <row r="239" spans="1:9" ht="22" customHeight="1">
      <c r="A239" s="3"/>
      <c r="B239" s="7"/>
      <c r="C239" s="3"/>
      <c r="D239" s="3"/>
      <c r="E239" s="3"/>
      <c r="F239" s="3"/>
      <c r="G239" s="4"/>
      <c r="H239" s="3"/>
      <c r="I239" s="1" t="str">
        <f>IF(COUNTA(A239:H239)=0,"",IF(OR(A239="",B239="",C239="",D239="",F239="",G239=""),"Faltan datos",IF(COUNTIF($A$7:$A$506,A239)&gt;1,"ID duplicado",IF(G239&lt;0,"Revisar signo",IF(OR(AND(C239="Saldo inicial",B239&lt;&gt;DATE(Configuración!$C$5,1,1)-1),AND(C239&lt;&gt;"Saldo inicial",OR(B239&lt;DATE(Configuración!$C$5,1,1),B239&gt;=DATE(Configuración!$C$5+1,1,1)))),"Revisar fecha","OK")))))</f>
        <v/>
      </c>
    </row>
    <row r="240" spans="1:9" ht="22" customHeight="1">
      <c r="A240" s="3"/>
      <c r="B240" s="7"/>
      <c r="C240" s="3"/>
      <c r="D240" s="3"/>
      <c r="E240" s="3"/>
      <c r="F240" s="3"/>
      <c r="G240" s="4"/>
      <c r="H240" s="3"/>
      <c r="I240" s="1" t="str">
        <f>IF(COUNTA(A240:H240)=0,"",IF(OR(A240="",B240="",C240="",D240="",F240="",G240=""),"Faltan datos",IF(COUNTIF($A$7:$A$506,A240)&gt;1,"ID duplicado",IF(G240&lt;0,"Revisar signo",IF(OR(AND(C240="Saldo inicial",B240&lt;&gt;DATE(Configuración!$C$5,1,1)-1),AND(C240&lt;&gt;"Saldo inicial",OR(B240&lt;DATE(Configuración!$C$5,1,1),B240&gt;=DATE(Configuración!$C$5+1,1,1)))),"Revisar fecha","OK")))))</f>
        <v/>
      </c>
    </row>
    <row r="241" spans="1:9" ht="22" customHeight="1">
      <c r="A241" s="3"/>
      <c r="B241" s="7"/>
      <c r="C241" s="3"/>
      <c r="D241" s="3"/>
      <c r="E241" s="3"/>
      <c r="F241" s="3"/>
      <c r="G241" s="4"/>
      <c r="H241" s="3"/>
      <c r="I241" s="1" t="str">
        <f>IF(COUNTA(A241:H241)=0,"",IF(OR(A241="",B241="",C241="",D241="",F241="",G241=""),"Faltan datos",IF(COUNTIF($A$7:$A$506,A241)&gt;1,"ID duplicado",IF(G241&lt;0,"Revisar signo",IF(OR(AND(C241="Saldo inicial",B241&lt;&gt;DATE(Configuración!$C$5,1,1)-1),AND(C241&lt;&gt;"Saldo inicial",OR(B241&lt;DATE(Configuración!$C$5,1,1),B241&gt;=DATE(Configuración!$C$5+1,1,1)))),"Revisar fecha","OK")))))</f>
        <v/>
      </c>
    </row>
    <row r="242" spans="1:9" ht="22" customHeight="1">
      <c r="A242" s="3"/>
      <c r="B242" s="7"/>
      <c r="C242" s="3"/>
      <c r="D242" s="3"/>
      <c r="E242" s="3"/>
      <c r="F242" s="3"/>
      <c r="G242" s="4"/>
      <c r="H242" s="3"/>
      <c r="I242" s="1" t="str">
        <f>IF(COUNTA(A242:H242)=0,"",IF(OR(A242="",B242="",C242="",D242="",F242="",G242=""),"Faltan datos",IF(COUNTIF($A$7:$A$506,A242)&gt;1,"ID duplicado",IF(G242&lt;0,"Revisar signo",IF(OR(AND(C242="Saldo inicial",B242&lt;&gt;DATE(Configuración!$C$5,1,1)-1),AND(C242&lt;&gt;"Saldo inicial",OR(B242&lt;DATE(Configuración!$C$5,1,1),B242&gt;=DATE(Configuración!$C$5+1,1,1)))),"Revisar fecha","OK")))))</f>
        <v/>
      </c>
    </row>
    <row r="243" spans="1:9" ht="22" customHeight="1">
      <c r="A243" s="3"/>
      <c r="B243" s="7"/>
      <c r="C243" s="3"/>
      <c r="D243" s="3"/>
      <c r="E243" s="3"/>
      <c r="F243" s="3"/>
      <c r="G243" s="4"/>
      <c r="H243" s="3"/>
      <c r="I243" s="1" t="str">
        <f>IF(COUNTA(A243:H243)=0,"",IF(OR(A243="",B243="",C243="",D243="",F243="",G243=""),"Faltan datos",IF(COUNTIF($A$7:$A$506,A243)&gt;1,"ID duplicado",IF(G243&lt;0,"Revisar signo",IF(OR(AND(C243="Saldo inicial",B243&lt;&gt;DATE(Configuración!$C$5,1,1)-1),AND(C243&lt;&gt;"Saldo inicial",OR(B243&lt;DATE(Configuración!$C$5,1,1),B243&gt;=DATE(Configuración!$C$5+1,1,1)))),"Revisar fecha","OK")))))</f>
        <v/>
      </c>
    </row>
    <row r="244" spans="1:9" ht="22" customHeight="1">
      <c r="A244" s="3"/>
      <c r="B244" s="7"/>
      <c r="C244" s="3"/>
      <c r="D244" s="3"/>
      <c r="E244" s="3"/>
      <c r="F244" s="3"/>
      <c r="G244" s="4"/>
      <c r="H244" s="3"/>
      <c r="I244" s="1" t="str">
        <f>IF(COUNTA(A244:H244)=0,"",IF(OR(A244="",B244="",C244="",D244="",F244="",G244=""),"Faltan datos",IF(COUNTIF($A$7:$A$506,A244)&gt;1,"ID duplicado",IF(G244&lt;0,"Revisar signo",IF(OR(AND(C244="Saldo inicial",B244&lt;&gt;DATE(Configuración!$C$5,1,1)-1),AND(C244&lt;&gt;"Saldo inicial",OR(B244&lt;DATE(Configuración!$C$5,1,1),B244&gt;=DATE(Configuración!$C$5+1,1,1)))),"Revisar fecha","OK")))))</f>
        <v/>
      </c>
    </row>
    <row r="245" spans="1:9" ht="22" customHeight="1">
      <c r="A245" s="3"/>
      <c r="B245" s="7"/>
      <c r="C245" s="3"/>
      <c r="D245" s="3"/>
      <c r="E245" s="3"/>
      <c r="F245" s="3"/>
      <c r="G245" s="4"/>
      <c r="H245" s="3"/>
      <c r="I245" s="1" t="str">
        <f>IF(COUNTA(A245:H245)=0,"",IF(OR(A245="",B245="",C245="",D245="",F245="",G245=""),"Faltan datos",IF(COUNTIF($A$7:$A$506,A245)&gt;1,"ID duplicado",IF(G245&lt;0,"Revisar signo",IF(OR(AND(C245="Saldo inicial",B245&lt;&gt;DATE(Configuración!$C$5,1,1)-1),AND(C245&lt;&gt;"Saldo inicial",OR(B245&lt;DATE(Configuración!$C$5,1,1),B245&gt;=DATE(Configuración!$C$5+1,1,1)))),"Revisar fecha","OK")))))</f>
        <v/>
      </c>
    </row>
    <row r="246" spans="1:9" ht="22" customHeight="1">
      <c r="A246" s="3"/>
      <c r="B246" s="7"/>
      <c r="C246" s="3"/>
      <c r="D246" s="3"/>
      <c r="E246" s="3"/>
      <c r="F246" s="3"/>
      <c r="G246" s="4"/>
      <c r="H246" s="3"/>
      <c r="I246" s="1" t="str">
        <f>IF(COUNTA(A246:H246)=0,"",IF(OR(A246="",B246="",C246="",D246="",F246="",G246=""),"Faltan datos",IF(COUNTIF($A$7:$A$506,A246)&gt;1,"ID duplicado",IF(G246&lt;0,"Revisar signo",IF(OR(AND(C246="Saldo inicial",B246&lt;&gt;DATE(Configuración!$C$5,1,1)-1),AND(C246&lt;&gt;"Saldo inicial",OR(B246&lt;DATE(Configuración!$C$5,1,1),B246&gt;=DATE(Configuración!$C$5+1,1,1)))),"Revisar fecha","OK")))))</f>
        <v/>
      </c>
    </row>
    <row r="247" spans="1:9" ht="22" customHeight="1">
      <c r="A247" s="3"/>
      <c r="B247" s="7"/>
      <c r="C247" s="3"/>
      <c r="D247" s="3"/>
      <c r="E247" s="3"/>
      <c r="F247" s="3"/>
      <c r="G247" s="4"/>
      <c r="H247" s="3"/>
      <c r="I247" s="1" t="str">
        <f>IF(COUNTA(A247:H247)=0,"",IF(OR(A247="",B247="",C247="",D247="",F247="",G247=""),"Faltan datos",IF(COUNTIF($A$7:$A$506,A247)&gt;1,"ID duplicado",IF(G247&lt;0,"Revisar signo",IF(OR(AND(C247="Saldo inicial",B247&lt;&gt;DATE(Configuración!$C$5,1,1)-1),AND(C247&lt;&gt;"Saldo inicial",OR(B247&lt;DATE(Configuración!$C$5,1,1),B247&gt;=DATE(Configuración!$C$5+1,1,1)))),"Revisar fecha","OK")))))</f>
        <v/>
      </c>
    </row>
    <row r="248" spans="1:9" ht="22" customHeight="1">
      <c r="A248" s="3"/>
      <c r="B248" s="7"/>
      <c r="C248" s="3"/>
      <c r="D248" s="3"/>
      <c r="E248" s="3"/>
      <c r="F248" s="3"/>
      <c r="G248" s="4"/>
      <c r="H248" s="3"/>
      <c r="I248" s="1" t="str">
        <f>IF(COUNTA(A248:H248)=0,"",IF(OR(A248="",B248="",C248="",D248="",F248="",G248=""),"Faltan datos",IF(COUNTIF($A$7:$A$506,A248)&gt;1,"ID duplicado",IF(G248&lt;0,"Revisar signo",IF(OR(AND(C248="Saldo inicial",B248&lt;&gt;DATE(Configuración!$C$5,1,1)-1),AND(C248&lt;&gt;"Saldo inicial",OR(B248&lt;DATE(Configuración!$C$5,1,1),B248&gt;=DATE(Configuración!$C$5+1,1,1)))),"Revisar fecha","OK")))))</f>
        <v/>
      </c>
    </row>
    <row r="249" spans="1:9" ht="22" customHeight="1">
      <c r="A249" s="3"/>
      <c r="B249" s="7"/>
      <c r="C249" s="3"/>
      <c r="D249" s="3"/>
      <c r="E249" s="3"/>
      <c r="F249" s="3"/>
      <c r="G249" s="4"/>
      <c r="H249" s="3"/>
      <c r="I249" s="1" t="str">
        <f>IF(COUNTA(A249:H249)=0,"",IF(OR(A249="",B249="",C249="",D249="",F249="",G249=""),"Faltan datos",IF(COUNTIF($A$7:$A$506,A249)&gt;1,"ID duplicado",IF(G249&lt;0,"Revisar signo",IF(OR(AND(C249="Saldo inicial",B249&lt;&gt;DATE(Configuración!$C$5,1,1)-1),AND(C249&lt;&gt;"Saldo inicial",OR(B249&lt;DATE(Configuración!$C$5,1,1),B249&gt;=DATE(Configuración!$C$5+1,1,1)))),"Revisar fecha","OK")))))</f>
        <v/>
      </c>
    </row>
    <row r="250" spans="1:9" ht="22" customHeight="1">
      <c r="A250" s="3"/>
      <c r="B250" s="7"/>
      <c r="C250" s="3"/>
      <c r="D250" s="3"/>
      <c r="E250" s="3"/>
      <c r="F250" s="3"/>
      <c r="G250" s="4"/>
      <c r="H250" s="3"/>
      <c r="I250" s="1" t="str">
        <f>IF(COUNTA(A250:H250)=0,"",IF(OR(A250="",B250="",C250="",D250="",F250="",G250=""),"Faltan datos",IF(COUNTIF($A$7:$A$506,A250)&gt;1,"ID duplicado",IF(G250&lt;0,"Revisar signo",IF(OR(AND(C250="Saldo inicial",B250&lt;&gt;DATE(Configuración!$C$5,1,1)-1),AND(C250&lt;&gt;"Saldo inicial",OR(B250&lt;DATE(Configuración!$C$5,1,1),B250&gt;=DATE(Configuración!$C$5+1,1,1)))),"Revisar fecha","OK")))))</f>
        <v/>
      </c>
    </row>
    <row r="251" spans="1:9" ht="22" customHeight="1">
      <c r="A251" s="3"/>
      <c r="B251" s="7"/>
      <c r="C251" s="3"/>
      <c r="D251" s="3"/>
      <c r="E251" s="3"/>
      <c r="F251" s="3"/>
      <c r="G251" s="4"/>
      <c r="H251" s="3"/>
      <c r="I251" s="1" t="str">
        <f>IF(COUNTA(A251:H251)=0,"",IF(OR(A251="",B251="",C251="",D251="",F251="",G251=""),"Faltan datos",IF(COUNTIF($A$7:$A$506,A251)&gt;1,"ID duplicado",IF(G251&lt;0,"Revisar signo",IF(OR(AND(C251="Saldo inicial",B251&lt;&gt;DATE(Configuración!$C$5,1,1)-1),AND(C251&lt;&gt;"Saldo inicial",OR(B251&lt;DATE(Configuración!$C$5,1,1),B251&gt;=DATE(Configuración!$C$5+1,1,1)))),"Revisar fecha","OK")))))</f>
        <v/>
      </c>
    </row>
    <row r="252" spans="1:9" ht="22" customHeight="1">
      <c r="A252" s="3"/>
      <c r="B252" s="7"/>
      <c r="C252" s="3"/>
      <c r="D252" s="3"/>
      <c r="E252" s="3"/>
      <c r="F252" s="3"/>
      <c r="G252" s="4"/>
      <c r="H252" s="3"/>
      <c r="I252" s="1" t="str">
        <f>IF(COUNTA(A252:H252)=0,"",IF(OR(A252="",B252="",C252="",D252="",F252="",G252=""),"Faltan datos",IF(COUNTIF($A$7:$A$506,A252)&gt;1,"ID duplicado",IF(G252&lt;0,"Revisar signo",IF(OR(AND(C252="Saldo inicial",B252&lt;&gt;DATE(Configuración!$C$5,1,1)-1),AND(C252&lt;&gt;"Saldo inicial",OR(B252&lt;DATE(Configuración!$C$5,1,1),B252&gt;=DATE(Configuración!$C$5+1,1,1)))),"Revisar fecha","OK")))))</f>
        <v/>
      </c>
    </row>
    <row r="253" spans="1:9" ht="22" customHeight="1">
      <c r="A253" s="3"/>
      <c r="B253" s="7"/>
      <c r="C253" s="3"/>
      <c r="D253" s="3"/>
      <c r="E253" s="3"/>
      <c r="F253" s="3"/>
      <c r="G253" s="4"/>
      <c r="H253" s="3"/>
      <c r="I253" s="1" t="str">
        <f>IF(COUNTA(A253:H253)=0,"",IF(OR(A253="",B253="",C253="",D253="",F253="",G253=""),"Faltan datos",IF(COUNTIF($A$7:$A$506,A253)&gt;1,"ID duplicado",IF(G253&lt;0,"Revisar signo",IF(OR(AND(C253="Saldo inicial",B253&lt;&gt;DATE(Configuración!$C$5,1,1)-1),AND(C253&lt;&gt;"Saldo inicial",OR(B253&lt;DATE(Configuración!$C$5,1,1),B253&gt;=DATE(Configuración!$C$5+1,1,1)))),"Revisar fecha","OK")))))</f>
        <v/>
      </c>
    </row>
    <row r="254" spans="1:9" ht="22" customHeight="1">
      <c r="A254" s="3"/>
      <c r="B254" s="7"/>
      <c r="C254" s="3"/>
      <c r="D254" s="3"/>
      <c r="E254" s="3"/>
      <c r="F254" s="3"/>
      <c r="G254" s="4"/>
      <c r="H254" s="3"/>
      <c r="I254" s="1" t="str">
        <f>IF(COUNTA(A254:H254)=0,"",IF(OR(A254="",B254="",C254="",D254="",F254="",G254=""),"Faltan datos",IF(COUNTIF($A$7:$A$506,A254)&gt;1,"ID duplicado",IF(G254&lt;0,"Revisar signo",IF(OR(AND(C254="Saldo inicial",B254&lt;&gt;DATE(Configuración!$C$5,1,1)-1),AND(C254&lt;&gt;"Saldo inicial",OR(B254&lt;DATE(Configuración!$C$5,1,1),B254&gt;=DATE(Configuración!$C$5+1,1,1)))),"Revisar fecha","OK")))))</f>
        <v/>
      </c>
    </row>
    <row r="255" spans="1:9" ht="22" customHeight="1">
      <c r="A255" s="3"/>
      <c r="B255" s="7"/>
      <c r="C255" s="3"/>
      <c r="D255" s="3"/>
      <c r="E255" s="3"/>
      <c r="F255" s="3"/>
      <c r="G255" s="4"/>
      <c r="H255" s="3"/>
      <c r="I255" s="1" t="str">
        <f>IF(COUNTA(A255:H255)=0,"",IF(OR(A255="",B255="",C255="",D255="",F255="",G255=""),"Faltan datos",IF(COUNTIF($A$7:$A$506,A255)&gt;1,"ID duplicado",IF(G255&lt;0,"Revisar signo",IF(OR(AND(C255="Saldo inicial",B255&lt;&gt;DATE(Configuración!$C$5,1,1)-1),AND(C255&lt;&gt;"Saldo inicial",OR(B255&lt;DATE(Configuración!$C$5,1,1),B255&gt;=DATE(Configuración!$C$5+1,1,1)))),"Revisar fecha","OK")))))</f>
        <v/>
      </c>
    </row>
    <row r="256" spans="1:9" ht="22" customHeight="1">
      <c r="A256" s="3"/>
      <c r="B256" s="7"/>
      <c r="C256" s="3"/>
      <c r="D256" s="3"/>
      <c r="E256" s="3"/>
      <c r="F256" s="3"/>
      <c r="G256" s="4"/>
      <c r="H256" s="3"/>
      <c r="I256" s="1" t="str">
        <f>IF(COUNTA(A256:H256)=0,"",IF(OR(A256="",B256="",C256="",D256="",F256="",G256=""),"Faltan datos",IF(COUNTIF($A$7:$A$506,A256)&gt;1,"ID duplicado",IF(G256&lt;0,"Revisar signo",IF(OR(AND(C256="Saldo inicial",B256&lt;&gt;DATE(Configuración!$C$5,1,1)-1),AND(C256&lt;&gt;"Saldo inicial",OR(B256&lt;DATE(Configuración!$C$5,1,1),B256&gt;=DATE(Configuración!$C$5+1,1,1)))),"Revisar fecha","OK")))))</f>
        <v/>
      </c>
    </row>
    <row r="257" spans="1:9" ht="22" customHeight="1">
      <c r="A257" s="3"/>
      <c r="B257" s="7"/>
      <c r="C257" s="3"/>
      <c r="D257" s="3"/>
      <c r="E257" s="3"/>
      <c r="F257" s="3"/>
      <c r="G257" s="4"/>
      <c r="H257" s="3"/>
      <c r="I257" s="1" t="str">
        <f>IF(COUNTA(A257:H257)=0,"",IF(OR(A257="",B257="",C257="",D257="",F257="",G257=""),"Faltan datos",IF(COUNTIF($A$7:$A$506,A257)&gt;1,"ID duplicado",IF(G257&lt;0,"Revisar signo",IF(OR(AND(C257="Saldo inicial",B257&lt;&gt;DATE(Configuración!$C$5,1,1)-1),AND(C257&lt;&gt;"Saldo inicial",OR(B257&lt;DATE(Configuración!$C$5,1,1),B257&gt;=DATE(Configuración!$C$5+1,1,1)))),"Revisar fecha","OK")))))</f>
        <v/>
      </c>
    </row>
    <row r="258" spans="1:9" ht="22" customHeight="1">
      <c r="A258" s="3"/>
      <c r="B258" s="7"/>
      <c r="C258" s="3"/>
      <c r="D258" s="3"/>
      <c r="E258" s="3"/>
      <c r="F258" s="3"/>
      <c r="G258" s="4"/>
      <c r="H258" s="3"/>
      <c r="I258" s="1" t="str">
        <f>IF(COUNTA(A258:H258)=0,"",IF(OR(A258="",B258="",C258="",D258="",F258="",G258=""),"Faltan datos",IF(COUNTIF($A$7:$A$506,A258)&gt;1,"ID duplicado",IF(G258&lt;0,"Revisar signo",IF(OR(AND(C258="Saldo inicial",B258&lt;&gt;DATE(Configuración!$C$5,1,1)-1),AND(C258&lt;&gt;"Saldo inicial",OR(B258&lt;DATE(Configuración!$C$5,1,1),B258&gt;=DATE(Configuración!$C$5+1,1,1)))),"Revisar fecha","OK")))))</f>
        <v/>
      </c>
    </row>
    <row r="259" spans="1:9" ht="22" customHeight="1">
      <c r="A259" s="3"/>
      <c r="B259" s="7"/>
      <c r="C259" s="3"/>
      <c r="D259" s="3"/>
      <c r="E259" s="3"/>
      <c r="F259" s="3"/>
      <c r="G259" s="4"/>
      <c r="H259" s="3"/>
      <c r="I259" s="1" t="str">
        <f>IF(COUNTA(A259:H259)=0,"",IF(OR(A259="",B259="",C259="",D259="",F259="",G259=""),"Faltan datos",IF(COUNTIF($A$7:$A$506,A259)&gt;1,"ID duplicado",IF(G259&lt;0,"Revisar signo",IF(OR(AND(C259="Saldo inicial",B259&lt;&gt;DATE(Configuración!$C$5,1,1)-1),AND(C259&lt;&gt;"Saldo inicial",OR(B259&lt;DATE(Configuración!$C$5,1,1),B259&gt;=DATE(Configuración!$C$5+1,1,1)))),"Revisar fecha","OK")))))</f>
        <v/>
      </c>
    </row>
    <row r="260" spans="1:9" ht="22" customHeight="1">
      <c r="A260" s="3"/>
      <c r="B260" s="7"/>
      <c r="C260" s="3"/>
      <c r="D260" s="3"/>
      <c r="E260" s="3"/>
      <c r="F260" s="3"/>
      <c r="G260" s="4"/>
      <c r="H260" s="3"/>
      <c r="I260" s="1" t="str">
        <f>IF(COUNTA(A260:H260)=0,"",IF(OR(A260="",B260="",C260="",D260="",F260="",G260=""),"Faltan datos",IF(COUNTIF($A$7:$A$506,A260)&gt;1,"ID duplicado",IF(G260&lt;0,"Revisar signo",IF(OR(AND(C260="Saldo inicial",B260&lt;&gt;DATE(Configuración!$C$5,1,1)-1),AND(C260&lt;&gt;"Saldo inicial",OR(B260&lt;DATE(Configuración!$C$5,1,1),B260&gt;=DATE(Configuración!$C$5+1,1,1)))),"Revisar fecha","OK")))))</f>
        <v/>
      </c>
    </row>
    <row r="261" spans="1:9" ht="22" customHeight="1">
      <c r="A261" s="3"/>
      <c r="B261" s="7"/>
      <c r="C261" s="3"/>
      <c r="D261" s="3"/>
      <c r="E261" s="3"/>
      <c r="F261" s="3"/>
      <c r="G261" s="4"/>
      <c r="H261" s="3"/>
      <c r="I261" s="1" t="str">
        <f>IF(COUNTA(A261:H261)=0,"",IF(OR(A261="",B261="",C261="",D261="",F261="",G261=""),"Faltan datos",IF(COUNTIF($A$7:$A$506,A261)&gt;1,"ID duplicado",IF(G261&lt;0,"Revisar signo",IF(OR(AND(C261="Saldo inicial",B261&lt;&gt;DATE(Configuración!$C$5,1,1)-1),AND(C261&lt;&gt;"Saldo inicial",OR(B261&lt;DATE(Configuración!$C$5,1,1),B261&gt;=DATE(Configuración!$C$5+1,1,1)))),"Revisar fecha","OK")))))</f>
        <v/>
      </c>
    </row>
    <row r="262" spans="1:9" ht="22" customHeight="1">
      <c r="A262" s="3"/>
      <c r="B262" s="7"/>
      <c r="C262" s="3"/>
      <c r="D262" s="3"/>
      <c r="E262" s="3"/>
      <c r="F262" s="3"/>
      <c r="G262" s="4"/>
      <c r="H262" s="3"/>
      <c r="I262" s="1" t="str">
        <f>IF(COUNTA(A262:H262)=0,"",IF(OR(A262="",B262="",C262="",D262="",F262="",G262=""),"Faltan datos",IF(COUNTIF($A$7:$A$506,A262)&gt;1,"ID duplicado",IF(G262&lt;0,"Revisar signo",IF(OR(AND(C262="Saldo inicial",B262&lt;&gt;DATE(Configuración!$C$5,1,1)-1),AND(C262&lt;&gt;"Saldo inicial",OR(B262&lt;DATE(Configuración!$C$5,1,1),B262&gt;=DATE(Configuración!$C$5+1,1,1)))),"Revisar fecha","OK")))))</f>
        <v/>
      </c>
    </row>
    <row r="263" spans="1:9" ht="22" customHeight="1">
      <c r="A263" s="3"/>
      <c r="B263" s="7"/>
      <c r="C263" s="3"/>
      <c r="D263" s="3"/>
      <c r="E263" s="3"/>
      <c r="F263" s="3"/>
      <c r="G263" s="4"/>
      <c r="H263" s="3"/>
      <c r="I263" s="1" t="str">
        <f>IF(COUNTA(A263:H263)=0,"",IF(OR(A263="",B263="",C263="",D263="",F263="",G263=""),"Faltan datos",IF(COUNTIF($A$7:$A$506,A263)&gt;1,"ID duplicado",IF(G263&lt;0,"Revisar signo",IF(OR(AND(C263="Saldo inicial",B263&lt;&gt;DATE(Configuración!$C$5,1,1)-1),AND(C263&lt;&gt;"Saldo inicial",OR(B263&lt;DATE(Configuración!$C$5,1,1),B263&gt;=DATE(Configuración!$C$5+1,1,1)))),"Revisar fecha","OK")))))</f>
        <v/>
      </c>
    </row>
    <row r="264" spans="1:9" ht="22" customHeight="1">
      <c r="A264" s="3"/>
      <c r="B264" s="7"/>
      <c r="C264" s="3"/>
      <c r="D264" s="3"/>
      <c r="E264" s="3"/>
      <c r="F264" s="3"/>
      <c r="G264" s="4"/>
      <c r="H264" s="3"/>
      <c r="I264" s="1" t="str">
        <f>IF(COUNTA(A264:H264)=0,"",IF(OR(A264="",B264="",C264="",D264="",F264="",G264=""),"Faltan datos",IF(COUNTIF($A$7:$A$506,A264)&gt;1,"ID duplicado",IF(G264&lt;0,"Revisar signo",IF(OR(AND(C264="Saldo inicial",B264&lt;&gt;DATE(Configuración!$C$5,1,1)-1),AND(C264&lt;&gt;"Saldo inicial",OR(B264&lt;DATE(Configuración!$C$5,1,1),B264&gt;=DATE(Configuración!$C$5+1,1,1)))),"Revisar fecha","OK")))))</f>
        <v/>
      </c>
    </row>
    <row r="265" spans="1:9" ht="22" customHeight="1">
      <c r="A265" s="3"/>
      <c r="B265" s="7"/>
      <c r="C265" s="3"/>
      <c r="D265" s="3"/>
      <c r="E265" s="3"/>
      <c r="F265" s="3"/>
      <c r="G265" s="4"/>
      <c r="H265" s="3"/>
      <c r="I265" s="1" t="str">
        <f>IF(COUNTA(A265:H265)=0,"",IF(OR(A265="",B265="",C265="",D265="",F265="",G265=""),"Faltan datos",IF(COUNTIF($A$7:$A$506,A265)&gt;1,"ID duplicado",IF(G265&lt;0,"Revisar signo",IF(OR(AND(C265="Saldo inicial",B265&lt;&gt;DATE(Configuración!$C$5,1,1)-1),AND(C265&lt;&gt;"Saldo inicial",OR(B265&lt;DATE(Configuración!$C$5,1,1),B265&gt;=DATE(Configuración!$C$5+1,1,1)))),"Revisar fecha","OK")))))</f>
        <v/>
      </c>
    </row>
    <row r="266" spans="1:9" ht="22" customHeight="1">
      <c r="A266" s="3"/>
      <c r="B266" s="7"/>
      <c r="C266" s="3"/>
      <c r="D266" s="3"/>
      <c r="E266" s="3"/>
      <c r="F266" s="3"/>
      <c r="G266" s="4"/>
      <c r="H266" s="3"/>
      <c r="I266" s="1" t="str">
        <f>IF(COUNTA(A266:H266)=0,"",IF(OR(A266="",B266="",C266="",D266="",F266="",G266=""),"Faltan datos",IF(COUNTIF($A$7:$A$506,A266)&gt;1,"ID duplicado",IF(G266&lt;0,"Revisar signo",IF(OR(AND(C266="Saldo inicial",B266&lt;&gt;DATE(Configuración!$C$5,1,1)-1),AND(C266&lt;&gt;"Saldo inicial",OR(B266&lt;DATE(Configuración!$C$5,1,1),B266&gt;=DATE(Configuración!$C$5+1,1,1)))),"Revisar fecha","OK")))))</f>
        <v/>
      </c>
    </row>
    <row r="267" spans="1:9" ht="22" customHeight="1">
      <c r="A267" s="3"/>
      <c r="B267" s="7"/>
      <c r="C267" s="3"/>
      <c r="D267" s="3"/>
      <c r="E267" s="3"/>
      <c r="F267" s="3"/>
      <c r="G267" s="4"/>
      <c r="H267" s="3"/>
      <c r="I267" s="1" t="str">
        <f>IF(COUNTA(A267:H267)=0,"",IF(OR(A267="",B267="",C267="",D267="",F267="",G267=""),"Faltan datos",IF(COUNTIF($A$7:$A$506,A267)&gt;1,"ID duplicado",IF(G267&lt;0,"Revisar signo",IF(OR(AND(C267="Saldo inicial",B267&lt;&gt;DATE(Configuración!$C$5,1,1)-1),AND(C267&lt;&gt;"Saldo inicial",OR(B267&lt;DATE(Configuración!$C$5,1,1),B267&gt;=DATE(Configuración!$C$5+1,1,1)))),"Revisar fecha","OK")))))</f>
        <v/>
      </c>
    </row>
    <row r="268" spans="1:9" ht="22" customHeight="1">
      <c r="A268" s="3"/>
      <c r="B268" s="7"/>
      <c r="C268" s="3"/>
      <c r="D268" s="3"/>
      <c r="E268" s="3"/>
      <c r="F268" s="3"/>
      <c r="G268" s="4"/>
      <c r="H268" s="3"/>
      <c r="I268" s="1" t="str">
        <f>IF(COUNTA(A268:H268)=0,"",IF(OR(A268="",B268="",C268="",D268="",F268="",G268=""),"Faltan datos",IF(COUNTIF($A$7:$A$506,A268)&gt;1,"ID duplicado",IF(G268&lt;0,"Revisar signo",IF(OR(AND(C268="Saldo inicial",B268&lt;&gt;DATE(Configuración!$C$5,1,1)-1),AND(C268&lt;&gt;"Saldo inicial",OR(B268&lt;DATE(Configuración!$C$5,1,1),B268&gt;=DATE(Configuración!$C$5+1,1,1)))),"Revisar fecha","OK")))))</f>
        <v/>
      </c>
    </row>
    <row r="269" spans="1:9" ht="22" customHeight="1">
      <c r="A269" s="3"/>
      <c r="B269" s="7"/>
      <c r="C269" s="3"/>
      <c r="D269" s="3"/>
      <c r="E269" s="3"/>
      <c r="F269" s="3"/>
      <c r="G269" s="4"/>
      <c r="H269" s="3"/>
      <c r="I269" s="1" t="str">
        <f>IF(COUNTA(A269:H269)=0,"",IF(OR(A269="",B269="",C269="",D269="",F269="",G269=""),"Faltan datos",IF(COUNTIF($A$7:$A$506,A269)&gt;1,"ID duplicado",IF(G269&lt;0,"Revisar signo",IF(OR(AND(C269="Saldo inicial",B269&lt;&gt;DATE(Configuración!$C$5,1,1)-1),AND(C269&lt;&gt;"Saldo inicial",OR(B269&lt;DATE(Configuración!$C$5,1,1),B269&gt;=DATE(Configuración!$C$5+1,1,1)))),"Revisar fecha","OK")))))</f>
        <v/>
      </c>
    </row>
    <row r="270" spans="1:9" ht="22" customHeight="1">
      <c r="A270" s="3"/>
      <c r="B270" s="7"/>
      <c r="C270" s="3"/>
      <c r="D270" s="3"/>
      <c r="E270" s="3"/>
      <c r="F270" s="3"/>
      <c r="G270" s="4"/>
      <c r="H270" s="3"/>
      <c r="I270" s="1" t="str">
        <f>IF(COUNTA(A270:H270)=0,"",IF(OR(A270="",B270="",C270="",D270="",F270="",G270=""),"Faltan datos",IF(COUNTIF($A$7:$A$506,A270)&gt;1,"ID duplicado",IF(G270&lt;0,"Revisar signo",IF(OR(AND(C270="Saldo inicial",B270&lt;&gt;DATE(Configuración!$C$5,1,1)-1),AND(C270&lt;&gt;"Saldo inicial",OR(B270&lt;DATE(Configuración!$C$5,1,1),B270&gt;=DATE(Configuración!$C$5+1,1,1)))),"Revisar fecha","OK")))))</f>
        <v/>
      </c>
    </row>
    <row r="271" spans="1:9" ht="22" customHeight="1">
      <c r="A271" s="3"/>
      <c r="B271" s="7"/>
      <c r="C271" s="3"/>
      <c r="D271" s="3"/>
      <c r="E271" s="3"/>
      <c r="F271" s="3"/>
      <c r="G271" s="4"/>
      <c r="H271" s="3"/>
      <c r="I271" s="1" t="str">
        <f>IF(COUNTA(A271:H271)=0,"",IF(OR(A271="",B271="",C271="",D271="",F271="",G271=""),"Faltan datos",IF(COUNTIF($A$7:$A$506,A271)&gt;1,"ID duplicado",IF(G271&lt;0,"Revisar signo",IF(OR(AND(C271="Saldo inicial",B271&lt;&gt;DATE(Configuración!$C$5,1,1)-1),AND(C271&lt;&gt;"Saldo inicial",OR(B271&lt;DATE(Configuración!$C$5,1,1),B271&gt;=DATE(Configuración!$C$5+1,1,1)))),"Revisar fecha","OK")))))</f>
        <v/>
      </c>
    </row>
    <row r="272" spans="1:9" ht="22" customHeight="1">
      <c r="A272" s="3"/>
      <c r="B272" s="7"/>
      <c r="C272" s="3"/>
      <c r="D272" s="3"/>
      <c r="E272" s="3"/>
      <c r="F272" s="3"/>
      <c r="G272" s="4"/>
      <c r="H272" s="3"/>
      <c r="I272" s="1" t="str">
        <f>IF(COUNTA(A272:H272)=0,"",IF(OR(A272="",B272="",C272="",D272="",F272="",G272=""),"Faltan datos",IF(COUNTIF($A$7:$A$506,A272)&gt;1,"ID duplicado",IF(G272&lt;0,"Revisar signo",IF(OR(AND(C272="Saldo inicial",B272&lt;&gt;DATE(Configuración!$C$5,1,1)-1),AND(C272&lt;&gt;"Saldo inicial",OR(B272&lt;DATE(Configuración!$C$5,1,1),B272&gt;=DATE(Configuración!$C$5+1,1,1)))),"Revisar fecha","OK")))))</f>
        <v/>
      </c>
    </row>
    <row r="273" spans="1:9" ht="22" customHeight="1">
      <c r="A273" s="3"/>
      <c r="B273" s="7"/>
      <c r="C273" s="3"/>
      <c r="D273" s="3"/>
      <c r="E273" s="3"/>
      <c r="F273" s="3"/>
      <c r="G273" s="4"/>
      <c r="H273" s="3"/>
      <c r="I273" s="1" t="str">
        <f>IF(COUNTA(A273:H273)=0,"",IF(OR(A273="",B273="",C273="",D273="",F273="",G273=""),"Faltan datos",IF(COUNTIF($A$7:$A$506,A273)&gt;1,"ID duplicado",IF(G273&lt;0,"Revisar signo",IF(OR(AND(C273="Saldo inicial",B273&lt;&gt;DATE(Configuración!$C$5,1,1)-1),AND(C273&lt;&gt;"Saldo inicial",OR(B273&lt;DATE(Configuración!$C$5,1,1),B273&gt;=DATE(Configuración!$C$5+1,1,1)))),"Revisar fecha","OK")))))</f>
        <v/>
      </c>
    </row>
    <row r="274" spans="1:9" ht="22" customHeight="1">
      <c r="A274" s="3"/>
      <c r="B274" s="7"/>
      <c r="C274" s="3"/>
      <c r="D274" s="3"/>
      <c r="E274" s="3"/>
      <c r="F274" s="3"/>
      <c r="G274" s="4"/>
      <c r="H274" s="3"/>
      <c r="I274" s="1" t="str">
        <f>IF(COUNTA(A274:H274)=0,"",IF(OR(A274="",B274="",C274="",D274="",F274="",G274=""),"Faltan datos",IF(COUNTIF($A$7:$A$506,A274)&gt;1,"ID duplicado",IF(G274&lt;0,"Revisar signo",IF(OR(AND(C274="Saldo inicial",B274&lt;&gt;DATE(Configuración!$C$5,1,1)-1),AND(C274&lt;&gt;"Saldo inicial",OR(B274&lt;DATE(Configuración!$C$5,1,1),B274&gt;=DATE(Configuración!$C$5+1,1,1)))),"Revisar fecha","OK")))))</f>
        <v/>
      </c>
    </row>
    <row r="275" spans="1:9" ht="22" customHeight="1">
      <c r="A275" s="3"/>
      <c r="B275" s="7"/>
      <c r="C275" s="3"/>
      <c r="D275" s="3"/>
      <c r="E275" s="3"/>
      <c r="F275" s="3"/>
      <c r="G275" s="4"/>
      <c r="H275" s="3"/>
      <c r="I275" s="1" t="str">
        <f>IF(COUNTA(A275:H275)=0,"",IF(OR(A275="",B275="",C275="",D275="",F275="",G275=""),"Faltan datos",IF(COUNTIF($A$7:$A$506,A275)&gt;1,"ID duplicado",IF(G275&lt;0,"Revisar signo",IF(OR(AND(C275="Saldo inicial",B275&lt;&gt;DATE(Configuración!$C$5,1,1)-1),AND(C275&lt;&gt;"Saldo inicial",OR(B275&lt;DATE(Configuración!$C$5,1,1),B275&gt;=DATE(Configuración!$C$5+1,1,1)))),"Revisar fecha","OK")))))</f>
        <v/>
      </c>
    </row>
    <row r="276" spans="1:9" ht="22" customHeight="1">
      <c r="A276" s="3"/>
      <c r="B276" s="7"/>
      <c r="C276" s="3"/>
      <c r="D276" s="3"/>
      <c r="E276" s="3"/>
      <c r="F276" s="3"/>
      <c r="G276" s="4"/>
      <c r="H276" s="3"/>
      <c r="I276" s="1" t="str">
        <f>IF(COUNTA(A276:H276)=0,"",IF(OR(A276="",B276="",C276="",D276="",F276="",G276=""),"Faltan datos",IF(COUNTIF($A$7:$A$506,A276)&gt;1,"ID duplicado",IF(G276&lt;0,"Revisar signo",IF(OR(AND(C276="Saldo inicial",B276&lt;&gt;DATE(Configuración!$C$5,1,1)-1),AND(C276&lt;&gt;"Saldo inicial",OR(B276&lt;DATE(Configuración!$C$5,1,1),B276&gt;=DATE(Configuración!$C$5+1,1,1)))),"Revisar fecha","OK")))))</f>
        <v/>
      </c>
    </row>
    <row r="277" spans="1:9" ht="22" customHeight="1">
      <c r="A277" s="3"/>
      <c r="B277" s="7"/>
      <c r="C277" s="3"/>
      <c r="D277" s="3"/>
      <c r="E277" s="3"/>
      <c r="F277" s="3"/>
      <c r="G277" s="4"/>
      <c r="H277" s="3"/>
      <c r="I277" s="1" t="str">
        <f>IF(COUNTA(A277:H277)=0,"",IF(OR(A277="",B277="",C277="",D277="",F277="",G277=""),"Faltan datos",IF(COUNTIF($A$7:$A$506,A277)&gt;1,"ID duplicado",IF(G277&lt;0,"Revisar signo",IF(OR(AND(C277="Saldo inicial",B277&lt;&gt;DATE(Configuración!$C$5,1,1)-1),AND(C277&lt;&gt;"Saldo inicial",OR(B277&lt;DATE(Configuración!$C$5,1,1),B277&gt;=DATE(Configuración!$C$5+1,1,1)))),"Revisar fecha","OK")))))</f>
        <v/>
      </c>
    </row>
    <row r="278" spans="1:9" ht="22" customHeight="1">
      <c r="A278" s="3"/>
      <c r="B278" s="7"/>
      <c r="C278" s="3"/>
      <c r="D278" s="3"/>
      <c r="E278" s="3"/>
      <c r="F278" s="3"/>
      <c r="G278" s="4"/>
      <c r="H278" s="3"/>
      <c r="I278" s="1" t="str">
        <f>IF(COUNTA(A278:H278)=0,"",IF(OR(A278="",B278="",C278="",D278="",F278="",G278=""),"Faltan datos",IF(COUNTIF($A$7:$A$506,A278)&gt;1,"ID duplicado",IF(G278&lt;0,"Revisar signo",IF(OR(AND(C278="Saldo inicial",B278&lt;&gt;DATE(Configuración!$C$5,1,1)-1),AND(C278&lt;&gt;"Saldo inicial",OR(B278&lt;DATE(Configuración!$C$5,1,1),B278&gt;=DATE(Configuración!$C$5+1,1,1)))),"Revisar fecha","OK")))))</f>
        <v/>
      </c>
    </row>
    <row r="279" spans="1:9" ht="22" customHeight="1">
      <c r="A279" s="3"/>
      <c r="B279" s="7"/>
      <c r="C279" s="3"/>
      <c r="D279" s="3"/>
      <c r="E279" s="3"/>
      <c r="F279" s="3"/>
      <c r="G279" s="4"/>
      <c r="H279" s="3"/>
      <c r="I279" s="1" t="str">
        <f>IF(COUNTA(A279:H279)=0,"",IF(OR(A279="",B279="",C279="",D279="",F279="",G279=""),"Faltan datos",IF(COUNTIF($A$7:$A$506,A279)&gt;1,"ID duplicado",IF(G279&lt;0,"Revisar signo",IF(OR(AND(C279="Saldo inicial",B279&lt;&gt;DATE(Configuración!$C$5,1,1)-1),AND(C279&lt;&gt;"Saldo inicial",OR(B279&lt;DATE(Configuración!$C$5,1,1),B279&gt;=DATE(Configuración!$C$5+1,1,1)))),"Revisar fecha","OK")))))</f>
        <v/>
      </c>
    </row>
    <row r="280" spans="1:9" ht="22" customHeight="1">
      <c r="A280" s="3"/>
      <c r="B280" s="7"/>
      <c r="C280" s="3"/>
      <c r="D280" s="3"/>
      <c r="E280" s="3"/>
      <c r="F280" s="3"/>
      <c r="G280" s="4"/>
      <c r="H280" s="3"/>
      <c r="I280" s="1" t="str">
        <f>IF(COUNTA(A280:H280)=0,"",IF(OR(A280="",B280="",C280="",D280="",F280="",G280=""),"Faltan datos",IF(COUNTIF($A$7:$A$506,A280)&gt;1,"ID duplicado",IF(G280&lt;0,"Revisar signo",IF(OR(AND(C280="Saldo inicial",B280&lt;&gt;DATE(Configuración!$C$5,1,1)-1),AND(C280&lt;&gt;"Saldo inicial",OR(B280&lt;DATE(Configuración!$C$5,1,1),B280&gt;=DATE(Configuración!$C$5+1,1,1)))),"Revisar fecha","OK")))))</f>
        <v/>
      </c>
    </row>
    <row r="281" spans="1:9" ht="22" customHeight="1">
      <c r="A281" s="3"/>
      <c r="B281" s="7"/>
      <c r="C281" s="3"/>
      <c r="D281" s="3"/>
      <c r="E281" s="3"/>
      <c r="F281" s="3"/>
      <c r="G281" s="4"/>
      <c r="H281" s="3"/>
      <c r="I281" s="1" t="str">
        <f>IF(COUNTA(A281:H281)=0,"",IF(OR(A281="",B281="",C281="",D281="",F281="",G281=""),"Faltan datos",IF(COUNTIF($A$7:$A$506,A281)&gt;1,"ID duplicado",IF(G281&lt;0,"Revisar signo",IF(OR(AND(C281="Saldo inicial",B281&lt;&gt;DATE(Configuración!$C$5,1,1)-1),AND(C281&lt;&gt;"Saldo inicial",OR(B281&lt;DATE(Configuración!$C$5,1,1),B281&gt;=DATE(Configuración!$C$5+1,1,1)))),"Revisar fecha","OK")))))</f>
        <v/>
      </c>
    </row>
    <row r="282" spans="1:9" ht="22" customHeight="1">
      <c r="A282" s="3"/>
      <c r="B282" s="7"/>
      <c r="C282" s="3"/>
      <c r="D282" s="3"/>
      <c r="E282" s="3"/>
      <c r="F282" s="3"/>
      <c r="G282" s="4"/>
      <c r="H282" s="3"/>
      <c r="I282" s="1" t="str">
        <f>IF(COUNTA(A282:H282)=0,"",IF(OR(A282="",B282="",C282="",D282="",F282="",G282=""),"Faltan datos",IF(COUNTIF($A$7:$A$506,A282)&gt;1,"ID duplicado",IF(G282&lt;0,"Revisar signo",IF(OR(AND(C282="Saldo inicial",B282&lt;&gt;DATE(Configuración!$C$5,1,1)-1),AND(C282&lt;&gt;"Saldo inicial",OR(B282&lt;DATE(Configuración!$C$5,1,1),B282&gt;=DATE(Configuración!$C$5+1,1,1)))),"Revisar fecha","OK")))))</f>
        <v/>
      </c>
    </row>
    <row r="283" spans="1:9" ht="22" customHeight="1">
      <c r="A283" s="3"/>
      <c r="B283" s="7"/>
      <c r="C283" s="3"/>
      <c r="D283" s="3"/>
      <c r="E283" s="3"/>
      <c r="F283" s="3"/>
      <c r="G283" s="4"/>
      <c r="H283" s="3"/>
      <c r="I283" s="1" t="str">
        <f>IF(COUNTA(A283:H283)=0,"",IF(OR(A283="",B283="",C283="",D283="",F283="",G283=""),"Faltan datos",IF(COUNTIF($A$7:$A$506,A283)&gt;1,"ID duplicado",IF(G283&lt;0,"Revisar signo",IF(OR(AND(C283="Saldo inicial",B283&lt;&gt;DATE(Configuración!$C$5,1,1)-1),AND(C283&lt;&gt;"Saldo inicial",OR(B283&lt;DATE(Configuración!$C$5,1,1),B283&gt;=DATE(Configuración!$C$5+1,1,1)))),"Revisar fecha","OK")))))</f>
        <v/>
      </c>
    </row>
    <row r="284" spans="1:9" ht="22" customHeight="1">
      <c r="A284" s="3"/>
      <c r="B284" s="7"/>
      <c r="C284" s="3"/>
      <c r="D284" s="3"/>
      <c r="E284" s="3"/>
      <c r="F284" s="3"/>
      <c r="G284" s="4"/>
      <c r="H284" s="3"/>
      <c r="I284" s="1" t="str">
        <f>IF(COUNTA(A284:H284)=0,"",IF(OR(A284="",B284="",C284="",D284="",F284="",G284=""),"Faltan datos",IF(COUNTIF($A$7:$A$506,A284)&gt;1,"ID duplicado",IF(G284&lt;0,"Revisar signo",IF(OR(AND(C284="Saldo inicial",B284&lt;&gt;DATE(Configuración!$C$5,1,1)-1),AND(C284&lt;&gt;"Saldo inicial",OR(B284&lt;DATE(Configuración!$C$5,1,1),B284&gt;=DATE(Configuración!$C$5+1,1,1)))),"Revisar fecha","OK")))))</f>
        <v/>
      </c>
    </row>
    <row r="285" spans="1:9" ht="22" customHeight="1">
      <c r="A285" s="3"/>
      <c r="B285" s="7"/>
      <c r="C285" s="3"/>
      <c r="D285" s="3"/>
      <c r="E285" s="3"/>
      <c r="F285" s="3"/>
      <c r="G285" s="4"/>
      <c r="H285" s="3"/>
      <c r="I285" s="1" t="str">
        <f>IF(COUNTA(A285:H285)=0,"",IF(OR(A285="",B285="",C285="",D285="",F285="",G285=""),"Faltan datos",IF(COUNTIF($A$7:$A$506,A285)&gt;1,"ID duplicado",IF(G285&lt;0,"Revisar signo",IF(OR(AND(C285="Saldo inicial",B285&lt;&gt;DATE(Configuración!$C$5,1,1)-1),AND(C285&lt;&gt;"Saldo inicial",OR(B285&lt;DATE(Configuración!$C$5,1,1),B285&gt;=DATE(Configuración!$C$5+1,1,1)))),"Revisar fecha","OK")))))</f>
        <v/>
      </c>
    </row>
    <row r="286" spans="1:9" ht="22" customHeight="1">
      <c r="A286" s="3"/>
      <c r="B286" s="7"/>
      <c r="C286" s="3"/>
      <c r="D286" s="3"/>
      <c r="E286" s="3"/>
      <c r="F286" s="3"/>
      <c r="G286" s="4"/>
      <c r="H286" s="3"/>
      <c r="I286" s="1" t="str">
        <f>IF(COUNTA(A286:H286)=0,"",IF(OR(A286="",B286="",C286="",D286="",F286="",G286=""),"Faltan datos",IF(COUNTIF($A$7:$A$506,A286)&gt;1,"ID duplicado",IF(G286&lt;0,"Revisar signo",IF(OR(AND(C286="Saldo inicial",B286&lt;&gt;DATE(Configuración!$C$5,1,1)-1),AND(C286&lt;&gt;"Saldo inicial",OR(B286&lt;DATE(Configuración!$C$5,1,1),B286&gt;=DATE(Configuración!$C$5+1,1,1)))),"Revisar fecha","OK")))))</f>
        <v/>
      </c>
    </row>
    <row r="287" spans="1:9" ht="22" customHeight="1">
      <c r="A287" s="3"/>
      <c r="B287" s="7"/>
      <c r="C287" s="3"/>
      <c r="D287" s="3"/>
      <c r="E287" s="3"/>
      <c r="F287" s="3"/>
      <c r="G287" s="4"/>
      <c r="H287" s="3"/>
      <c r="I287" s="1" t="str">
        <f>IF(COUNTA(A287:H287)=0,"",IF(OR(A287="",B287="",C287="",D287="",F287="",G287=""),"Faltan datos",IF(COUNTIF($A$7:$A$506,A287)&gt;1,"ID duplicado",IF(G287&lt;0,"Revisar signo",IF(OR(AND(C287="Saldo inicial",B287&lt;&gt;DATE(Configuración!$C$5,1,1)-1),AND(C287&lt;&gt;"Saldo inicial",OR(B287&lt;DATE(Configuración!$C$5,1,1),B287&gt;=DATE(Configuración!$C$5+1,1,1)))),"Revisar fecha","OK")))))</f>
        <v/>
      </c>
    </row>
    <row r="288" spans="1:9" ht="22" customHeight="1">
      <c r="A288" s="3"/>
      <c r="B288" s="7"/>
      <c r="C288" s="3"/>
      <c r="D288" s="3"/>
      <c r="E288" s="3"/>
      <c r="F288" s="3"/>
      <c r="G288" s="4"/>
      <c r="H288" s="3"/>
      <c r="I288" s="1" t="str">
        <f>IF(COUNTA(A288:H288)=0,"",IF(OR(A288="",B288="",C288="",D288="",F288="",G288=""),"Faltan datos",IF(COUNTIF($A$7:$A$506,A288)&gt;1,"ID duplicado",IF(G288&lt;0,"Revisar signo",IF(OR(AND(C288="Saldo inicial",B288&lt;&gt;DATE(Configuración!$C$5,1,1)-1),AND(C288&lt;&gt;"Saldo inicial",OR(B288&lt;DATE(Configuración!$C$5,1,1),B288&gt;=DATE(Configuración!$C$5+1,1,1)))),"Revisar fecha","OK")))))</f>
        <v/>
      </c>
    </row>
    <row r="289" spans="1:9" ht="22" customHeight="1">
      <c r="A289" s="3"/>
      <c r="B289" s="7"/>
      <c r="C289" s="3"/>
      <c r="D289" s="3"/>
      <c r="E289" s="3"/>
      <c r="F289" s="3"/>
      <c r="G289" s="4"/>
      <c r="H289" s="3"/>
      <c r="I289" s="1" t="str">
        <f>IF(COUNTA(A289:H289)=0,"",IF(OR(A289="",B289="",C289="",D289="",F289="",G289=""),"Faltan datos",IF(COUNTIF($A$7:$A$506,A289)&gt;1,"ID duplicado",IF(G289&lt;0,"Revisar signo",IF(OR(AND(C289="Saldo inicial",B289&lt;&gt;DATE(Configuración!$C$5,1,1)-1),AND(C289&lt;&gt;"Saldo inicial",OR(B289&lt;DATE(Configuración!$C$5,1,1),B289&gt;=DATE(Configuración!$C$5+1,1,1)))),"Revisar fecha","OK")))))</f>
        <v/>
      </c>
    </row>
    <row r="290" spans="1:9" ht="22" customHeight="1">
      <c r="A290" s="3"/>
      <c r="B290" s="7"/>
      <c r="C290" s="3"/>
      <c r="D290" s="3"/>
      <c r="E290" s="3"/>
      <c r="F290" s="3"/>
      <c r="G290" s="4"/>
      <c r="H290" s="3"/>
      <c r="I290" s="1" t="str">
        <f>IF(COUNTA(A290:H290)=0,"",IF(OR(A290="",B290="",C290="",D290="",F290="",G290=""),"Faltan datos",IF(COUNTIF($A$7:$A$506,A290)&gt;1,"ID duplicado",IF(G290&lt;0,"Revisar signo",IF(OR(AND(C290="Saldo inicial",B290&lt;&gt;DATE(Configuración!$C$5,1,1)-1),AND(C290&lt;&gt;"Saldo inicial",OR(B290&lt;DATE(Configuración!$C$5,1,1),B290&gt;=DATE(Configuración!$C$5+1,1,1)))),"Revisar fecha","OK")))))</f>
        <v/>
      </c>
    </row>
    <row r="291" spans="1:9" ht="22" customHeight="1">
      <c r="A291" s="3"/>
      <c r="B291" s="7"/>
      <c r="C291" s="3"/>
      <c r="D291" s="3"/>
      <c r="E291" s="3"/>
      <c r="F291" s="3"/>
      <c r="G291" s="4"/>
      <c r="H291" s="3"/>
      <c r="I291" s="1" t="str">
        <f>IF(COUNTA(A291:H291)=0,"",IF(OR(A291="",B291="",C291="",D291="",F291="",G291=""),"Faltan datos",IF(COUNTIF($A$7:$A$506,A291)&gt;1,"ID duplicado",IF(G291&lt;0,"Revisar signo",IF(OR(AND(C291="Saldo inicial",B291&lt;&gt;DATE(Configuración!$C$5,1,1)-1),AND(C291&lt;&gt;"Saldo inicial",OR(B291&lt;DATE(Configuración!$C$5,1,1),B291&gt;=DATE(Configuración!$C$5+1,1,1)))),"Revisar fecha","OK")))))</f>
        <v/>
      </c>
    </row>
    <row r="292" spans="1:9" ht="22" customHeight="1">
      <c r="A292" s="3"/>
      <c r="B292" s="7"/>
      <c r="C292" s="3"/>
      <c r="D292" s="3"/>
      <c r="E292" s="3"/>
      <c r="F292" s="3"/>
      <c r="G292" s="4"/>
      <c r="H292" s="3"/>
      <c r="I292" s="1" t="str">
        <f>IF(COUNTA(A292:H292)=0,"",IF(OR(A292="",B292="",C292="",D292="",F292="",G292=""),"Faltan datos",IF(COUNTIF($A$7:$A$506,A292)&gt;1,"ID duplicado",IF(G292&lt;0,"Revisar signo",IF(OR(AND(C292="Saldo inicial",B292&lt;&gt;DATE(Configuración!$C$5,1,1)-1),AND(C292&lt;&gt;"Saldo inicial",OR(B292&lt;DATE(Configuración!$C$5,1,1),B292&gt;=DATE(Configuración!$C$5+1,1,1)))),"Revisar fecha","OK")))))</f>
        <v/>
      </c>
    </row>
    <row r="293" spans="1:9" ht="22" customHeight="1">
      <c r="A293" s="3"/>
      <c r="B293" s="7"/>
      <c r="C293" s="3"/>
      <c r="D293" s="3"/>
      <c r="E293" s="3"/>
      <c r="F293" s="3"/>
      <c r="G293" s="4"/>
      <c r="H293" s="3"/>
      <c r="I293" s="1" t="str">
        <f>IF(COUNTA(A293:H293)=0,"",IF(OR(A293="",B293="",C293="",D293="",F293="",G293=""),"Faltan datos",IF(COUNTIF($A$7:$A$506,A293)&gt;1,"ID duplicado",IF(G293&lt;0,"Revisar signo",IF(OR(AND(C293="Saldo inicial",B293&lt;&gt;DATE(Configuración!$C$5,1,1)-1),AND(C293&lt;&gt;"Saldo inicial",OR(B293&lt;DATE(Configuración!$C$5,1,1),B293&gt;=DATE(Configuración!$C$5+1,1,1)))),"Revisar fecha","OK")))))</f>
        <v/>
      </c>
    </row>
    <row r="294" spans="1:9" ht="22" customHeight="1">
      <c r="A294" s="3"/>
      <c r="B294" s="7"/>
      <c r="C294" s="3"/>
      <c r="D294" s="3"/>
      <c r="E294" s="3"/>
      <c r="F294" s="3"/>
      <c r="G294" s="4"/>
      <c r="H294" s="3"/>
      <c r="I294" s="1" t="str">
        <f>IF(COUNTA(A294:H294)=0,"",IF(OR(A294="",B294="",C294="",D294="",F294="",G294=""),"Faltan datos",IF(COUNTIF($A$7:$A$506,A294)&gt;1,"ID duplicado",IF(G294&lt;0,"Revisar signo",IF(OR(AND(C294="Saldo inicial",B294&lt;&gt;DATE(Configuración!$C$5,1,1)-1),AND(C294&lt;&gt;"Saldo inicial",OR(B294&lt;DATE(Configuración!$C$5,1,1),B294&gt;=DATE(Configuración!$C$5+1,1,1)))),"Revisar fecha","OK")))))</f>
        <v/>
      </c>
    </row>
    <row r="295" spans="1:9" ht="22" customHeight="1">
      <c r="A295" s="3"/>
      <c r="B295" s="7"/>
      <c r="C295" s="3"/>
      <c r="D295" s="3"/>
      <c r="E295" s="3"/>
      <c r="F295" s="3"/>
      <c r="G295" s="4"/>
      <c r="H295" s="3"/>
      <c r="I295" s="1" t="str">
        <f>IF(COUNTA(A295:H295)=0,"",IF(OR(A295="",B295="",C295="",D295="",F295="",G295=""),"Faltan datos",IF(COUNTIF($A$7:$A$506,A295)&gt;1,"ID duplicado",IF(G295&lt;0,"Revisar signo",IF(OR(AND(C295="Saldo inicial",B295&lt;&gt;DATE(Configuración!$C$5,1,1)-1),AND(C295&lt;&gt;"Saldo inicial",OR(B295&lt;DATE(Configuración!$C$5,1,1),B295&gt;=DATE(Configuración!$C$5+1,1,1)))),"Revisar fecha","OK")))))</f>
        <v/>
      </c>
    </row>
    <row r="296" spans="1:9" ht="22" customHeight="1">
      <c r="A296" s="3"/>
      <c r="B296" s="7"/>
      <c r="C296" s="3"/>
      <c r="D296" s="3"/>
      <c r="E296" s="3"/>
      <c r="F296" s="3"/>
      <c r="G296" s="4"/>
      <c r="H296" s="3"/>
      <c r="I296" s="1" t="str">
        <f>IF(COUNTA(A296:H296)=0,"",IF(OR(A296="",B296="",C296="",D296="",F296="",G296=""),"Faltan datos",IF(COUNTIF($A$7:$A$506,A296)&gt;1,"ID duplicado",IF(G296&lt;0,"Revisar signo",IF(OR(AND(C296="Saldo inicial",B296&lt;&gt;DATE(Configuración!$C$5,1,1)-1),AND(C296&lt;&gt;"Saldo inicial",OR(B296&lt;DATE(Configuración!$C$5,1,1),B296&gt;=DATE(Configuración!$C$5+1,1,1)))),"Revisar fecha","OK")))))</f>
        <v/>
      </c>
    </row>
    <row r="297" spans="1:9" ht="22" customHeight="1">
      <c r="A297" s="3"/>
      <c r="B297" s="7"/>
      <c r="C297" s="3"/>
      <c r="D297" s="3"/>
      <c r="E297" s="3"/>
      <c r="F297" s="3"/>
      <c r="G297" s="4"/>
      <c r="H297" s="3"/>
      <c r="I297" s="1" t="str">
        <f>IF(COUNTA(A297:H297)=0,"",IF(OR(A297="",B297="",C297="",D297="",F297="",G297=""),"Faltan datos",IF(COUNTIF($A$7:$A$506,A297)&gt;1,"ID duplicado",IF(G297&lt;0,"Revisar signo",IF(OR(AND(C297="Saldo inicial",B297&lt;&gt;DATE(Configuración!$C$5,1,1)-1),AND(C297&lt;&gt;"Saldo inicial",OR(B297&lt;DATE(Configuración!$C$5,1,1),B297&gt;=DATE(Configuración!$C$5+1,1,1)))),"Revisar fecha","OK")))))</f>
        <v/>
      </c>
    </row>
    <row r="298" spans="1:9" ht="22" customHeight="1">
      <c r="A298" s="3"/>
      <c r="B298" s="7"/>
      <c r="C298" s="3"/>
      <c r="D298" s="3"/>
      <c r="E298" s="3"/>
      <c r="F298" s="3"/>
      <c r="G298" s="4"/>
      <c r="H298" s="3"/>
      <c r="I298" s="1" t="str">
        <f>IF(COUNTA(A298:H298)=0,"",IF(OR(A298="",B298="",C298="",D298="",F298="",G298=""),"Faltan datos",IF(COUNTIF($A$7:$A$506,A298)&gt;1,"ID duplicado",IF(G298&lt;0,"Revisar signo",IF(OR(AND(C298="Saldo inicial",B298&lt;&gt;DATE(Configuración!$C$5,1,1)-1),AND(C298&lt;&gt;"Saldo inicial",OR(B298&lt;DATE(Configuración!$C$5,1,1),B298&gt;=DATE(Configuración!$C$5+1,1,1)))),"Revisar fecha","OK")))))</f>
        <v/>
      </c>
    </row>
    <row r="299" spans="1:9" ht="22" customHeight="1">
      <c r="A299" s="3"/>
      <c r="B299" s="7"/>
      <c r="C299" s="3"/>
      <c r="D299" s="3"/>
      <c r="E299" s="3"/>
      <c r="F299" s="3"/>
      <c r="G299" s="4"/>
      <c r="H299" s="3"/>
      <c r="I299" s="1" t="str">
        <f>IF(COUNTA(A299:H299)=0,"",IF(OR(A299="",B299="",C299="",D299="",F299="",G299=""),"Faltan datos",IF(COUNTIF($A$7:$A$506,A299)&gt;1,"ID duplicado",IF(G299&lt;0,"Revisar signo",IF(OR(AND(C299="Saldo inicial",B299&lt;&gt;DATE(Configuración!$C$5,1,1)-1),AND(C299&lt;&gt;"Saldo inicial",OR(B299&lt;DATE(Configuración!$C$5,1,1),B299&gt;=DATE(Configuración!$C$5+1,1,1)))),"Revisar fecha","OK")))))</f>
        <v/>
      </c>
    </row>
    <row r="300" spans="1:9" ht="22" customHeight="1">
      <c r="A300" s="3"/>
      <c r="B300" s="7"/>
      <c r="C300" s="3"/>
      <c r="D300" s="3"/>
      <c r="E300" s="3"/>
      <c r="F300" s="3"/>
      <c r="G300" s="4"/>
      <c r="H300" s="3"/>
      <c r="I300" s="1" t="str">
        <f>IF(COUNTA(A300:H300)=0,"",IF(OR(A300="",B300="",C300="",D300="",F300="",G300=""),"Faltan datos",IF(COUNTIF($A$7:$A$506,A300)&gt;1,"ID duplicado",IF(G300&lt;0,"Revisar signo",IF(OR(AND(C300="Saldo inicial",B300&lt;&gt;DATE(Configuración!$C$5,1,1)-1),AND(C300&lt;&gt;"Saldo inicial",OR(B300&lt;DATE(Configuración!$C$5,1,1),B300&gt;=DATE(Configuración!$C$5+1,1,1)))),"Revisar fecha","OK")))))</f>
        <v/>
      </c>
    </row>
    <row r="301" spans="1:9" ht="22" customHeight="1">
      <c r="A301" s="3"/>
      <c r="B301" s="7"/>
      <c r="C301" s="3"/>
      <c r="D301" s="3"/>
      <c r="E301" s="3"/>
      <c r="F301" s="3"/>
      <c r="G301" s="4"/>
      <c r="H301" s="3"/>
      <c r="I301" s="1" t="str">
        <f>IF(COUNTA(A301:H301)=0,"",IF(OR(A301="",B301="",C301="",D301="",F301="",G301=""),"Faltan datos",IF(COUNTIF($A$7:$A$506,A301)&gt;1,"ID duplicado",IF(G301&lt;0,"Revisar signo",IF(OR(AND(C301="Saldo inicial",B301&lt;&gt;DATE(Configuración!$C$5,1,1)-1),AND(C301&lt;&gt;"Saldo inicial",OR(B301&lt;DATE(Configuración!$C$5,1,1),B301&gt;=DATE(Configuración!$C$5+1,1,1)))),"Revisar fecha","OK")))))</f>
        <v/>
      </c>
    </row>
    <row r="302" spans="1:9" ht="22" customHeight="1">
      <c r="A302" s="3"/>
      <c r="B302" s="7"/>
      <c r="C302" s="3"/>
      <c r="D302" s="3"/>
      <c r="E302" s="3"/>
      <c r="F302" s="3"/>
      <c r="G302" s="4"/>
      <c r="H302" s="3"/>
      <c r="I302" s="1" t="str">
        <f>IF(COUNTA(A302:H302)=0,"",IF(OR(A302="",B302="",C302="",D302="",F302="",G302=""),"Faltan datos",IF(COUNTIF($A$7:$A$506,A302)&gt;1,"ID duplicado",IF(G302&lt;0,"Revisar signo",IF(OR(AND(C302="Saldo inicial",B302&lt;&gt;DATE(Configuración!$C$5,1,1)-1),AND(C302&lt;&gt;"Saldo inicial",OR(B302&lt;DATE(Configuración!$C$5,1,1),B302&gt;=DATE(Configuración!$C$5+1,1,1)))),"Revisar fecha","OK")))))</f>
        <v/>
      </c>
    </row>
    <row r="303" spans="1:9" ht="22" customHeight="1">
      <c r="A303" s="3"/>
      <c r="B303" s="7"/>
      <c r="C303" s="3"/>
      <c r="D303" s="3"/>
      <c r="E303" s="3"/>
      <c r="F303" s="3"/>
      <c r="G303" s="4"/>
      <c r="H303" s="3"/>
      <c r="I303" s="1" t="str">
        <f>IF(COUNTA(A303:H303)=0,"",IF(OR(A303="",B303="",C303="",D303="",F303="",G303=""),"Faltan datos",IF(COUNTIF($A$7:$A$506,A303)&gt;1,"ID duplicado",IF(G303&lt;0,"Revisar signo",IF(OR(AND(C303="Saldo inicial",B303&lt;&gt;DATE(Configuración!$C$5,1,1)-1),AND(C303&lt;&gt;"Saldo inicial",OR(B303&lt;DATE(Configuración!$C$5,1,1),B303&gt;=DATE(Configuración!$C$5+1,1,1)))),"Revisar fecha","OK")))))</f>
        <v/>
      </c>
    </row>
    <row r="304" spans="1:9" ht="22" customHeight="1">
      <c r="A304" s="3"/>
      <c r="B304" s="7"/>
      <c r="C304" s="3"/>
      <c r="D304" s="3"/>
      <c r="E304" s="3"/>
      <c r="F304" s="3"/>
      <c r="G304" s="4"/>
      <c r="H304" s="3"/>
      <c r="I304" s="1" t="str">
        <f>IF(COUNTA(A304:H304)=0,"",IF(OR(A304="",B304="",C304="",D304="",F304="",G304=""),"Faltan datos",IF(COUNTIF($A$7:$A$506,A304)&gt;1,"ID duplicado",IF(G304&lt;0,"Revisar signo",IF(OR(AND(C304="Saldo inicial",B304&lt;&gt;DATE(Configuración!$C$5,1,1)-1),AND(C304&lt;&gt;"Saldo inicial",OR(B304&lt;DATE(Configuración!$C$5,1,1),B304&gt;=DATE(Configuración!$C$5+1,1,1)))),"Revisar fecha","OK")))))</f>
        <v/>
      </c>
    </row>
    <row r="305" spans="1:9" ht="22" customHeight="1">
      <c r="A305" s="3"/>
      <c r="B305" s="7"/>
      <c r="C305" s="3"/>
      <c r="D305" s="3"/>
      <c r="E305" s="3"/>
      <c r="F305" s="3"/>
      <c r="G305" s="4"/>
      <c r="H305" s="3"/>
      <c r="I305" s="1" t="str">
        <f>IF(COUNTA(A305:H305)=0,"",IF(OR(A305="",B305="",C305="",D305="",F305="",G305=""),"Faltan datos",IF(COUNTIF($A$7:$A$506,A305)&gt;1,"ID duplicado",IF(G305&lt;0,"Revisar signo",IF(OR(AND(C305="Saldo inicial",B305&lt;&gt;DATE(Configuración!$C$5,1,1)-1),AND(C305&lt;&gt;"Saldo inicial",OR(B305&lt;DATE(Configuración!$C$5,1,1),B305&gt;=DATE(Configuración!$C$5+1,1,1)))),"Revisar fecha","OK")))))</f>
        <v/>
      </c>
    </row>
    <row r="306" spans="1:9" ht="22" customHeight="1">
      <c r="A306" s="3"/>
      <c r="B306" s="7"/>
      <c r="C306" s="3"/>
      <c r="D306" s="3"/>
      <c r="E306" s="3"/>
      <c r="F306" s="3"/>
      <c r="G306" s="4"/>
      <c r="H306" s="3"/>
      <c r="I306" s="1" t="str">
        <f>IF(COUNTA(A306:H306)=0,"",IF(OR(A306="",B306="",C306="",D306="",F306="",G306=""),"Faltan datos",IF(COUNTIF($A$7:$A$506,A306)&gt;1,"ID duplicado",IF(G306&lt;0,"Revisar signo",IF(OR(AND(C306="Saldo inicial",B306&lt;&gt;DATE(Configuración!$C$5,1,1)-1),AND(C306&lt;&gt;"Saldo inicial",OR(B306&lt;DATE(Configuración!$C$5,1,1),B306&gt;=DATE(Configuración!$C$5+1,1,1)))),"Revisar fecha","OK")))))</f>
        <v/>
      </c>
    </row>
    <row r="307" spans="1:9" ht="22" customHeight="1">
      <c r="A307" s="3"/>
      <c r="B307" s="7"/>
      <c r="C307" s="3"/>
      <c r="D307" s="3"/>
      <c r="E307" s="3"/>
      <c r="F307" s="3"/>
      <c r="G307" s="4"/>
      <c r="H307" s="3"/>
      <c r="I307" s="1" t="str">
        <f>IF(COUNTA(A307:H307)=0,"",IF(OR(A307="",B307="",C307="",D307="",F307="",G307=""),"Faltan datos",IF(COUNTIF($A$7:$A$506,A307)&gt;1,"ID duplicado",IF(G307&lt;0,"Revisar signo",IF(OR(AND(C307="Saldo inicial",B307&lt;&gt;DATE(Configuración!$C$5,1,1)-1),AND(C307&lt;&gt;"Saldo inicial",OR(B307&lt;DATE(Configuración!$C$5,1,1),B307&gt;=DATE(Configuración!$C$5+1,1,1)))),"Revisar fecha","OK")))))</f>
        <v/>
      </c>
    </row>
    <row r="308" spans="1:9" ht="22" customHeight="1">
      <c r="A308" s="3"/>
      <c r="B308" s="7"/>
      <c r="C308" s="3"/>
      <c r="D308" s="3"/>
      <c r="E308" s="3"/>
      <c r="F308" s="3"/>
      <c r="G308" s="4"/>
      <c r="H308" s="3"/>
      <c r="I308" s="1" t="str">
        <f>IF(COUNTA(A308:H308)=0,"",IF(OR(A308="",B308="",C308="",D308="",F308="",G308=""),"Faltan datos",IF(COUNTIF($A$7:$A$506,A308)&gt;1,"ID duplicado",IF(G308&lt;0,"Revisar signo",IF(OR(AND(C308="Saldo inicial",B308&lt;&gt;DATE(Configuración!$C$5,1,1)-1),AND(C308&lt;&gt;"Saldo inicial",OR(B308&lt;DATE(Configuración!$C$5,1,1),B308&gt;=DATE(Configuración!$C$5+1,1,1)))),"Revisar fecha","OK")))))</f>
        <v/>
      </c>
    </row>
    <row r="309" spans="1:9" ht="22" customHeight="1">
      <c r="A309" s="3"/>
      <c r="B309" s="7"/>
      <c r="C309" s="3"/>
      <c r="D309" s="3"/>
      <c r="E309" s="3"/>
      <c r="F309" s="3"/>
      <c r="G309" s="4"/>
      <c r="H309" s="3"/>
      <c r="I309" s="1" t="str">
        <f>IF(COUNTA(A309:H309)=0,"",IF(OR(A309="",B309="",C309="",D309="",F309="",G309=""),"Faltan datos",IF(COUNTIF($A$7:$A$506,A309)&gt;1,"ID duplicado",IF(G309&lt;0,"Revisar signo",IF(OR(AND(C309="Saldo inicial",B309&lt;&gt;DATE(Configuración!$C$5,1,1)-1),AND(C309&lt;&gt;"Saldo inicial",OR(B309&lt;DATE(Configuración!$C$5,1,1),B309&gt;=DATE(Configuración!$C$5+1,1,1)))),"Revisar fecha","OK")))))</f>
        <v/>
      </c>
    </row>
    <row r="310" spans="1:9" ht="22" customHeight="1">
      <c r="A310" s="3"/>
      <c r="B310" s="7"/>
      <c r="C310" s="3"/>
      <c r="D310" s="3"/>
      <c r="E310" s="3"/>
      <c r="F310" s="3"/>
      <c r="G310" s="4"/>
      <c r="H310" s="3"/>
      <c r="I310" s="1" t="str">
        <f>IF(COUNTA(A310:H310)=0,"",IF(OR(A310="",B310="",C310="",D310="",F310="",G310=""),"Faltan datos",IF(COUNTIF($A$7:$A$506,A310)&gt;1,"ID duplicado",IF(G310&lt;0,"Revisar signo",IF(OR(AND(C310="Saldo inicial",B310&lt;&gt;DATE(Configuración!$C$5,1,1)-1),AND(C310&lt;&gt;"Saldo inicial",OR(B310&lt;DATE(Configuración!$C$5,1,1),B310&gt;=DATE(Configuración!$C$5+1,1,1)))),"Revisar fecha","OK")))))</f>
        <v/>
      </c>
    </row>
    <row r="311" spans="1:9" ht="22" customHeight="1">
      <c r="A311" s="3"/>
      <c r="B311" s="7"/>
      <c r="C311" s="3"/>
      <c r="D311" s="3"/>
      <c r="E311" s="3"/>
      <c r="F311" s="3"/>
      <c r="G311" s="4"/>
      <c r="H311" s="3"/>
      <c r="I311" s="1" t="str">
        <f>IF(COUNTA(A311:H311)=0,"",IF(OR(A311="",B311="",C311="",D311="",F311="",G311=""),"Faltan datos",IF(COUNTIF($A$7:$A$506,A311)&gt;1,"ID duplicado",IF(G311&lt;0,"Revisar signo",IF(OR(AND(C311="Saldo inicial",B311&lt;&gt;DATE(Configuración!$C$5,1,1)-1),AND(C311&lt;&gt;"Saldo inicial",OR(B311&lt;DATE(Configuración!$C$5,1,1),B311&gt;=DATE(Configuración!$C$5+1,1,1)))),"Revisar fecha","OK")))))</f>
        <v/>
      </c>
    </row>
    <row r="312" spans="1:9" ht="22" customHeight="1">
      <c r="A312" s="3"/>
      <c r="B312" s="7"/>
      <c r="C312" s="3"/>
      <c r="D312" s="3"/>
      <c r="E312" s="3"/>
      <c r="F312" s="3"/>
      <c r="G312" s="4"/>
      <c r="H312" s="3"/>
      <c r="I312" s="1" t="str">
        <f>IF(COUNTA(A312:H312)=0,"",IF(OR(A312="",B312="",C312="",D312="",F312="",G312=""),"Faltan datos",IF(COUNTIF($A$7:$A$506,A312)&gt;1,"ID duplicado",IF(G312&lt;0,"Revisar signo",IF(OR(AND(C312="Saldo inicial",B312&lt;&gt;DATE(Configuración!$C$5,1,1)-1),AND(C312&lt;&gt;"Saldo inicial",OR(B312&lt;DATE(Configuración!$C$5,1,1),B312&gt;=DATE(Configuración!$C$5+1,1,1)))),"Revisar fecha","OK")))))</f>
        <v/>
      </c>
    </row>
    <row r="313" spans="1:9" ht="22" customHeight="1">
      <c r="A313" s="3"/>
      <c r="B313" s="7"/>
      <c r="C313" s="3"/>
      <c r="D313" s="3"/>
      <c r="E313" s="3"/>
      <c r="F313" s="3"/>
      <c r="G313" s="4"/>
      <c r="H313" s="3"/>
      <c r="I313" s="1" t="str">
        <f>IF(COUNTA(A313:H313)=0,"",IF(OR(A313="",B313="",C313="",D313="",F313="",G313=""),"Faltan datos",IF(COUNTIF($A$7:$A$506,A313)&gt;1,"ID duplicado",IF(G313&lt;0,"Revisar signo",IF(OR(AND(C313="Saldo inicial",B313&lt;&gt;DATE(Configuración!$C$5,1,1)-1),AND(C313&lt;&gt;"Saldo inicial",OR(B313&lt;DATE(Configuración!$C$5,1,1),B313&gt;=DATE(Configuración!$C$5+1,1,1)))),"Revisar fecha","OK")))))</f>
        <v/>
      </c>
    </row>
    <row r="314" spans="1:9" ht="22" customHeight="1">
      <c r="A314" s="3"/>
      <c r="B314" s="7"/>
      <c r="C314" s="3"/>
      <c r="D314" s="3"/>
      <c r="E314" s="3"/>
      <c r="F314" s="3"/>
      <c r="G314" s="4"/>
      <c r="H314" s="3"/>
      <c r="I314" s="1" t="str">
        <f>IF(COUNTA(A314:H314)=0,"",IF(OR(A314="",B314="",C314="",D314="",F314="",G314=""),"Faltan datos",IF(COUNTIF($A$7:$A$506,A314)&gt;1,"ID duplicado",IF(G314&lt;0,"Revisar signo",IF(OR(AND(C314="Saldo inicial",B314&lt;&gt;DATE(Configuración!$C$5,1,1)-1),AND(C314&lt;&gt;"Saldo inicial",OR(B314&lt;DATE(Configuración!$C$5,1,1),B314&gt;=DATE(Configuración!$C$5+1,1,1)))),"Revisar fecha","OK")))))</f>
        <v/>
      </c>
    </row>
    <row r="315" spans="1:9" ht="22" customHeight="1">
      <c r="A315" s="3"/>
      <c r="B315" s="7"/>
      <c r="C315" s="3"/>
      <c r="D315" s="3"/>
      <c r="E315" s="3"/>
      <c r="F315" s="3"/>
      <c r="G315" s="4"/>
      <c r="H315" s="3"/>
      <c r="I315" s="1" t="str">
        <f>IF(COUNTA(A315:H315)=0,"",IF(OR(A315="",B315="",C315="",D315="",F315="",G315=""),"Faltan datos",IF(COUNTIF($A$7:$A$506,A315)&gt;1,"ID duplicado",IF(G315&lt;0,"Revisar signo",IF(OR(AND(C315="Saldo inicial",B315&lt;&gt;DATE(Configuración!$C$5,1,1)-1),AND(C315&lt;&gt;"Saldo inicial",OR(B315&lt;DATE(Configuración!$C$5,1,1),B315&gt;=DATE(Configuración!$C$5+1,1,1)))),"Revisar fecha","OK")))))</f>
        <v/>
      </c>
    </row>
    <row r="316" spans="1:9" ht="22" customHeight="1">
      <c r="A316" s="3"/>
      <c r="B316" s="7"/>
      <c r="C316" s="3"/>
      <c r="D316" s="3"/>
      <c r="E316" s="3"/>
      <c r="F316" s="3"/>
      <c r="G316" s="4"/>
      <c r="H316" s="3"/>
      <c r="I316" s="1" t="str">
        <f>IF(COUNTA(A316:H316)=0,"",IF(OR(A316="",B316="",C316="",D316="",F316="",G316=""),"Faltan datos",IF(COUNTIF($A$7:$A$506,A316)&gt;1,"ID duplicado",IF(G316&lt;0,"Revisar signo",IF(OR(AND(C316="Saldo inicial",B316&lt;&gt;DATE(Configuración!$C$5,1,1)-1),AND(C316&lt;&gt;"Saldo inicial",OR(B316&lt;DATE(Configuración!$C$5,1,1),B316&gt;=DATE(Configuración!$C$5+1,1,1)))),"Revisar fecha","OK")))))</f>
        <v/>
      </c>
    </row>
    <row r="317" spans="1:9" ht="22" customHeight="1">
      <c r="A317" s="3"/>
      <c r="B317" s="7"/>
      <c r="C317" s="3"/>
      <c r="D317" s="3"/>
      <c r="E317" s="3"/>
      <c r="F317" s="3"/>
      <c r="G317" s="4"/>
      <c r="H317" s="3"/>
      <c r="I317" s="1" t="str">
        <f>IF(COUNTA(A317:H317)=0,"",IF(OR(A317="",B317="",C317="",D317="",F317="",G317=""),"Faltan datos",IF(COUNTIF($A$7:$A$506,A317)&gt;1,"ID duplicado",IF(G317&lt;0,"Revisar signo",IF(OR(AND(C317="Saldo inicial",B317&lt;&gt;DATE(Configuración!$C$5,1,1)-1),AND(C317&lt;&gt;"Saldo inicial",OR(B317&lt;DATE(Configuración!$C$5,1,1),B317&gt;=DATE(Configuración!$C$5+1,1,1)))),"Revisar fecha","OK")))))</f>
        <v/>
      </c>
    </row>
    <row r="318" spans="1:9" ht="22" customHeight="1">
      <c r="A318" s="3"/>
      <c r="B318" s="7"/>
      <c r="C318" s="3"/>
      <c r="D318" s="3"/>
      <c r="E318" s="3"/>
      <c r="F318" s="3"/>
      <c r="G318" s="4"/>
      <c r="H318" s="3"/>
      <c r="I318" s="1" t="str">
        <f>IF(COUNTA(A318:H318)=0,"",IF(OR(A318="",B318="",C318="",D318="",F318="",G318=""),"Faltan datos",IF(COUNTIF($A$7:$A$506,A318)&gt;1,"ID duplicado",IF(G318&lt;0,"Revisar signo",IF(OR(AND(C318="Saldo inicial",B318&lt;&gt;DATE(Configuración!$C$5,1,1)-1),AND(C318&lt;&gt;"Saldo inicial",OR(B318&lt;DATE(Configuración!$C$5,1,1),B318&gt;=DATE(Configuración!$C$5+1,1,1)))),"Revisar fecha","OK")))))</f>
        <v/>
      </c>
    </row>
    <row r="319" spans="1:9" ht="22" customHeight="1">
      <c r="A319" s="3"/>
      <c r="B319" s="7"/>
      <c r="C319" s="3"/>
      <c r="D319" s="3"/>
      <c r="E319" s="3"/>
      <c r="F319" s="3"/>
      <c r="G319" s="4"/>
      <c r="H319" s="3"/>
      <c r="I319" s="1" t="str">
        <f>IF(COUNTA(A319:H319)=0,"",IF(OR(A319="",B319="",C319="",D319="",F319="",G319=""),"Faltan datos",IF(COUNTIF($A$7:$A$506,A319)&gt;1,"ID duplicado",IF(G319&lt;0,"Revisar signo",IF(OR(AND(C319="Saldo inicial",B319&lt;&gt;DATE(Configuración!$C$5,1,1)-1),AND(C319&lt;&gt;"Saldo inicial",OR(B319&lt;DATE(Configuración!$C$5,1,1),B319&gt;=DATE(Configuración!$C$5+1,1,1)))),"Revisar fecha","OK")))))</f>
        <v/>
      </c>
    </row>
    <row r="320" spans="1:9" ht="22" customHeight="1">
      <c r="A320" s="3"/>
      <c r="B320" s="7"/>
      <c r="C320" s="3"/>
      <c r="D320" s="3"/>
      <c r="E320" s="3"/>
      <c r="F320" s="3"/>
      <c r="G320" s="4"/>
      <c r="H320" s="3"/>
      <c r="I320" s="1" t="str">
        <f>IF(COUNTA(A320:H320)=0,"",IF(OR(A320="",B320="",C320="",D320="",F320="",G320=""),"Faltan datos",IF(COUNTIF($A$7:$A$506,A320)&gt;1,"ID duplicado",IF(G320&lt;0,"Revisar signo",IF(OR(AND(C320="Saldo inicial",B320&lt;&gt;DATE(Configuración!$C$5,1,1)-1),AND(C320&lt;&gt;"Saldo inicial",OR(B320&lt;DATE(Configuración!$C$5,1,1),B320&gt;=DATE(Configuración!$C$5+1,1,1)))),"Revisar fecha","OK")))))</f>
        <v/>
      </c>
    </row>
    <row r="321" spans="1:9" ht="22" customHeight="1">
      <c r="A321" s="3"/>
      <c r="B321" s="7"/>
      <c r="C321" s="3"/>
      <c r="D321" s="3"/>
      <c r="E321" s="3"/>
      <c r="F321" s="3"/>
      <c r="G321" s="4"/>
      <c r="H321" s="3"/>
      <c r="I321" s="1" t="str">
        <f>IF(COUNTA(A321:H321)=0,"",IF(OR(A321="",B321="",C321="",D321="",F321="",G321=""),"Faltan datos",IF(COUNTIF($A$7:$A$506,A321)&gt;1,"ID duplicado",IF(G321&lt;0,"Revisar signo",IF(OR(AND(C321="Saldo inicial",B321&lt;&gt;DATE(Configuración!$C$5,1,1)-1),AND(C321&lt;&gt;"Saldo inicial",OR(B321&lt;DATE(Configuración!$C$5,1,1),B321&gt;=DATE(Configuración!$C$5+1,1,1)))),"Revisar fecha","OK")))))</f>
        <v/>
      </c>
    </row>
    <row r="322" spans="1:9" ht="22" customHeight="1">
      <c r="A322" s="3"/>
      <c r="B322" s="7"/>
      <c r="C322" s="3"/>
      <c r="D322" s="3"/>
      <c r="E322" s="3"/>
      <c r="F322" s="3"/>
      <c r="G322" s="4"/>
      <c r="H322" s="3"/>
      <c r="I322" s="1" t="str">
        <f>IF(COUNTA(A322:H322)=0,"",IF(OR(A322="",B322="",C322="",D322="",F322="",G322=""),"Faltan datos",IF(COUNTIF($A$7:$A$506,A322)&gt;1,"ID duplicado",IF(G322&lt;0,"Revisar signo",IF(OR(AND(C322="Saldo inicial",B322&lt;&gt;DATE(Configuración!$C$5,1,1)-1),AND(C322&lt;&gt;"Saldo inicial",OR(B322&lt;DATE(Configuración!$C$5,1,1),B322&gt;=DATE(Configuración!$C$5+1,1,1)))),"Revisar fecha","OK")))))</f>
        <v/>
      </c>
    </row>
    <row r="323" spans="1:9" ht="22" customHeight="1">
      <c r="A323" s="3"/>
      <c r="B323" s="7"/>
      <c r="C323" s="3"/>
      <c r="D323" s="3"/>
      <c r="E323" s="3"/>
      <c r="F323" s="3"/>
      <c r="G323" s="4"/>
      <c r="H323" s="3"/>
      <c r="I323" s="1" t="str">
        <f>IF(COUNTA(A323:H323)=0,"",IF(OR(A323="",B323="",C323="",D323="",F323="",G323=""),"Faltan datos",IF(COUNTIF($A$7:$A$506,A323)&gt;1,"ID duplicado",IF(G323&lt;0,"Revisar signo",IF(OR(AND(C323="Saldo inicial",B323&lt;&gt;DATE(Configuración!$C$5,1,1)-1),AND(C323&lt;&gt;"Saldo inicial",OR(B323&lt;DATE(Configuración!$C$5,1,1),B323&gt;=DATE(Configuración!$C$5+1,1,1)))),"Revisar fecha","OK")))))</f>
        <v/>
      </c>
    </row>
    <row r="324" spans="1:9" ht="22" customHeight="1">
      <c r="A324" s="3"/>
      <c r="B324" s="7"/>
      <c r="C324" s="3"/>
      <c r="D324" s="3"/>
      <c r="E324" s="3"/>
      <c r="F324" s="3"/>
      <c r="G324" s="4"/>
      <c r="H324" s="3"/>
      <c r="I324" s="1" t="str">
        <f>IF(COUNTA(A324:H324)=0,"",IF(OR(A324="",B324="",C324="",D324="",F324="",G324=""),"Faltan datos",IF(COUNTIF($A$7:$A$506,A324)&gt;1,"ID duplicado",IF(G324&lt;0,"Revisar signo",IF(OR(AND(C324="Saldo inicial",B324&lt;&gt;DATE(Configuración!$C$5,1,1)-1),AND(C324&lt;&gt;"Saldo inicial",OR(B324&lt;DATE(Configuración!$C$5,1,1),B324&gt;=DATE(Configuración!$C$5+1,1,1)))),"Revisar fecha","OK")))))</f>
        <v/>
      </c>
    </row>
    <row r="325" spans="1:9" ht="22" customHeight="1">
      <c r="A325" s="3"/>
      <c r="B325" s="7"/>
      <c r="C325" s="3"/>
      <c r="D325" s="3"/>
      <c r="E325" s="3"/>
      <c r="F325" s="3"/>
      <c r="G325" s="4"/>
      <c r="H325" s="3"/>
      <c r="I325" s="1" t="str">
        <f>IF(COUNTA(A325:H325)=0,"",IF(OR(A325="",B325="",C325="",D325="",F325="",G325=""),"Faltan datos",IF(COUNTIF($A$7:$A$506,A325)&gt;1,"ID duplicado",IF(G325&lt;0,"Revisar signo",IF(OR(AND(C325="Saldo inicial",B325&lt;&gt;DATE(Configuración!$C$5,1,1)-1),AND(C325&lt;&gt;"Saldo inicial",OR(B325&lt;DATE(Configuración!$C$5,1,1),B325&gt;=DATE(Configuración!$C$5+1,1,1)))),"Revisar fecha","OK")))))</f>
        <v/>
      </c>
    </row>
    <row r="326" spans="1:9" ht="22" customHeight="1">
      <c r="A326" s="3"/>
      <c r="B326" s="7"/>
      <c r="C326" s="3"/>
      <c r="D326" s="3"/>
      <c r="E326" s="3"/>
      <c r="F326" s="3"/>
      <c r="G326" s="4"/>
      <c r="H326" s="3"/>
      <c r="I326" s="1" t="str">
        <f>IF(COUNTA(A326:H326)=0,"",IF(OR(A326="",B326="",C326="",D326="",F326="",G326=""),"Faltan datos",IF(COUNTIF($A$7:$A$506,A326)&gt;1,"ID duplicado",IF(G326&lt;0,"Revisar signo",IF(OR(AND(C326="Saldo inicial",B326&lt;&gt;DATE(Configuración!$C$5,1,1)-1),AND(C326&lt;&gt;"Saldo inicial",OR(B326&lt;DATE(Configuración!$C$5,1,1),B326&gt;=DATE(Configuración!$C$5+1,1,1)))),"Revisar fecha","OK")))))</f>
        <v/>
      </c>
    </row>
    <row r="327" spans="1:9" ht="22" customHeight="1">
      <c r="A327" s="3"/>
      <c r="B327" s="7"/>
      <c r="C327" s="3"/>
      <c r="D327" s="3"/>
      <c r="E327" s="3"/>
      <c r="F327" s="3"/>
      <c r="G327" s="4"/>
      <c r="H327" s="3"/>
      <c r="I327" s="1" t="str">
        <f>IF(COUNTA(A327:H327)=0,"",IF(OR(A327="",B327="",C327="",D327="",F327="",G327=""),"Faltan datos",IF(COUNTIF($A$7:$A$506,A327)&gt;1,"ID duplicado",IF(G327&lt;0,"Revisar signo",IF(OR(AND(C327="Saldo inicial",B327&lt;&gt;DATE(Configuración!$C$5,1,1)-1),AND(C327&lt;&gt;"Saldo inicial",OR(B327&lt;DATE(Configuración!$C$5,1,1),B327&gt;=DATE(Configuración!$C$5+1,1,1)))),"Revisar fecha","OK")))))</f>
        <v/>
      </c>
    </row>
    <row r="328" spans="1:9" ht="22" customHeight="1">
      <c r="A328" s="3"/>
      <c r="B328" s="7"/>
      <c r="C328" s="3"/>
      <c r="D328" s="3"/>
      <c r="E328" s="3"/>
      <c r="F328" s="3"/>
      <c r="G328" s="4"/>
      <c r="H328" s="3"/>
      <c r="I328" s="1" t="str">
        <f>IF(COUNTA(A328:H328)=0,"",IF(OR(A328="",B328="",C328="",D328="",F328="",G328=""),"Faltan datos",IF(COUNTIF($A$7:$A$506,A328)&gt;1,"ID duplicado",IF(G328&lt;0,"Revisar signo",IF(OR(AND(C328="Saldo inicial",B328&lt;&gt;DATE(Configuración!$C$5,1,1)-1),AND(C328&lt;&gt;"Saldo inicial",OR(B328&lt;DATE(Configuración!$C$5,1,1),B328&gt;=DATE(Configuración!$C$5+1,1,1)))),"Revisar fecha","OK")))))</f>
        <v/>
      </c>
    </row>
    <row r="329" spans="1:9" ht="22" customHeight="1">
      <c r="A329" s="3"/>
      <c r="B329" s="7"/>
      <c r="C329" s="3"/>
      <c r="D329" s="3"/>
      <c r="E329" s="3"/>
      <c r="F329" s="3"/>
      <c r="G329" s="4"/>
      <c r="H329" s="3"/>
      <c r="I329" s="1" t="str">
        <f>IF(COUNTA(A329:H329)=0,"",IF(OR(A329="",B329="",C329="",D329="",F329="",G329=""),"Faltan datos",IF(COUNTIF($A$7:$A$506,A329)&gt;1,"ID duplicado",IF(G329&lt;0,"Revisar signo",IF(OR(AND(C329="Saldo inicial",B329&lt;&gt;DATE(Configuración!$C$5,1,1)-1),AND(C329&lt;&gt;"Saldo inicial",OR(B329&lt;DATE(Configuración!$C$5,1,1),B329&gt;=DATE(Configuración!$C$5+1,1,1)))),"Revisar fecha","OK")))))</f>
        <v/>
      </c>
    </row>
    <row r="330" spans="1:9" ht="22" customHeight="1">
      <c r="A330" s="3"/>
      <c r="B330" s="7"/>
      <c r="C330" s="3"/>
      <c r="D330" s="3"/>
      <c r="E330" s="3"/>
      <c r="F330" s="3"/>
      <c r="G330" s="4"/>
      <c r="H330" s="3"/>
      <c r="I330" s="1" t="str">
        <f>IF(COUNTA(A330:H330)=0,"",IF(OR(A330="",B330="",C330="",D330="",F330="",G330=""),"Faltan datos",IF(COUNTIF($A$7:$A$506,A330)&gt;1,"ID duplicado",IF(G330&lt;0,"Revisar signo",IF(OR(AND(C330="Saldo inicial",B330&lt;&gt;DATE(Configuración!$C$5,1,1)-1),AND(C330&lt;&gt;"Saldo inicial",OR(B330&lt;DATE(Configuración!$C$5,1,1),B330&gt;=DATE(Configuración!$C$5+1,1,1)))),"Revisar fecha","OK")))))</f>
        <v/>
      </c>
    </row>
    <row r="331" spans="1:9" ht="22" customHeight="1">
      <c r="A331" s="3"/>
      <c r="B331" s="7"/>
      <c r="C331" s="3"/>
      <c r="D331" s="3"/>
      <c r="E331" s="3"/>
      <c r="F331" s="3"/>
      <c r="G331" s="4"/>
      <c r="H331" s="3"/>
      <c r="I331" s="1" t="str">
        <f>IF(COUNTA(A331:H331)=0,"",IF(OR(A331="",B331="",C331="",D331="",F331="",G331=""),"Faltan datos",IF(COUNTIF($A$7:$A$506,A331)&gt;1,"ID duplicado",IF(G331&lt;0,"Revisar signo",IF(OR(AND(C331="Saldo inicial",B331&lt;&gt;DATE(Configuración!$C$5,1,1)-1),AND(C331&lt;&gt;"Saldo inicial",OR(B331&lt;DATE(Configuración!$C$5,1,1),B331&gt;=DATE(Configuración!$C$5+1,1,1)))),"Revisar fecha","OK")))))</f>
        <v/>
      </c>
    </row>
    <row r="332" spans="1:9" ht="22" customHeight="1">
      <c r="A332" s="3"/>
      <c r="B332" s="7"/>
      <c r="C332" s="3"/>
      <c r="D332" s="3"/>
      <c r="E332" s="3"/>
      <c r="F332" s="3"/>
      <c r="G332" s="4"/>
      <c r="H332" s="3"/>
      <c r="I332" s="1" t="str">
        <f>IF(COUNTA(A332:H332)=0,"",IF(OR(A332="",B332="",C332="",D332="",F332="",G332=""),"Faltan datos",IF(COUNTIF($A$7:$A$506,A332)&gt;1,"ID duplicado",IF(G332&lt;0,"Revisar signo",IF(OR(AND(C332="Saldo inicial",B332&lt;&gt;DATE(Configuración!$C$5,1,1)-1),AND(C332&lt;&gt;"Saldo inicial",OR(B332&lt;DATE(Configuración!$C$5,1,1),B332&gt;=DATE(Configuración!$C$5+1,1,1)))),"Revisar fecha","OK")))))</f>
        <v/>
      </c>
    </row>
    <row r="333" spans="1:9" ht="22" customHeight="1">
      <c r="A333" s="3"/>
      <c r="B333" s="7"/>
      <c r="C333" s="3"/>
      <c r="D333" s="3"/>
      <c r="E333" s="3"/>
      <c r="F333" s="3"/>
      <c r="G333" s="4"/>
      <c r="H333" s="3"/>
      <c r="I333" s="1" t="str">
        <f>IF(COUNTA(A333:H333)=0,"",IF(OR(A333="",B333="",C333="",D333="",F333="",G333=""),"Faltan datos",IF(COUNTIF($A$7:$A$506,A333)&gt;1,"ID duplicado",IF(G333&lt;0,"Revisar signo",IF(OR(AND(C333="Saldo inicial",B333&lt;&gt;DATE(Configuración!$C$5,1,1)-1),AND(C333&lt;&gt;"Saldo inicial",OR(B333&lt;DATE(Configuración!$C$5,1,1),B333&gt;=DATE(Configuración!$C$5+1,1,1)))),"Revisar fecha","OK")))))</f>
        <v/>
      </c>
    </row>
    <row r="334" spans="1:9" ht="22" customHeight="1">
      <c r="A334" s="3"/>
      <c r="B334" s="7"/>
      <c r="C334" s="3"/>
      <c r="D334" s="3"/>
      <c r="E334" s="3"/>
      <c r="F334" s="3"/>
      <c r="G334" s="4"/>
      <c r="H334" s="3"/>
      <c r="I334" s="1" t="str">
        <f>IF(COUNTA(A334:H334)=0,"",IF(OR(A334="",B334="",C334="",D334="",F334="",G334=""),"Faltan datos",IF(COUNTIF($A$7:$A$506,A334)&gt;1,"ID duplicado",IF(G334&lt;0,"Revisar signo",IF(OR(AND(C334="Saldo inicial",B334&lt;&gt;DATE(Configuración!$C$5,1,1)-1),AND(C334&lt;&gt;"Saldo inicial",OR(B334&lt;DATE(Configuración!$C$5,1,1),B334&gt;=DATE(Configuración!$C$5+1,1,1)))),"Revisar fecha","OK")))))</f>
        <v/>
      </c>
    </row>
    <row r="335" spans="1:9" ht="22" customHeight="1">
      <c r="A335" s="3"/>
      <c r="B335" s="7"/>
      <c r="C335" s="3"/>
      <c r="D335" s="3"/>
      <c r="E335" s="3"/>
      <c r="F335" s="3"/>
      <c r="G335" s="4"/>
      <c r="H335" s="3"/>
      <c r="I335" s="1" t="str">
        <f>IF(COUNTA(A335:H335)=0,"",IF(OR(A335="",B335="",C335="",D335="",F335="",G335=""),"Faltan datos",IF(COUNTIF($A$7:$A$506,A335)&gt;1,"ID duplicado",IF(G335&lt;0,"Revisar signo",IF(OR(AND(C335="Saldo inicial",B335&lt;&gt;DATE(Configuración!$C$5,1,1)-1),AND(C335&lt;&gt;"Saldo inicial",OR(B335&lt;DATE(Configuración!$C$5,1,1),B335&gt;=DATE(Configuración!$C$5+1,1,1)))),"Revisar fecha","OK")))))</f>
        <v/>
      </c>
    </row>
    <row r="336" spans="1:9" ht="22" customHeight="1">
      <c r="A336" s="3"/>
      <c r="B336" s="7"/>
      <c r="C336" s="3"/>
      <c r="D336" s="3"/>
      <c r="E336" s="3"/>
      <c r="F336" s="3"/>
      <c r="G336" s="4"/>
      <c r="H336" s="3"/>
      <c r="I336" s="1" t="str">
        <f>IF(COUNTA(A336:H336)=0,"",IF(OR(A336="",B336="",C336="",D336="",F336="",G336=""),"Faltan datos",IF(COUNTIF($A$7:$A$506,A336)&gt;1,"ID duplicado",IF(G336&lt;0,"Revisar signo",IF(OR(AND(C336="Saldo inicial",B336&lt;&gt;DATE(Configuración!$C$5,1,1)-1),AND(C336&lt;&gt;"Saldo inicial",OR(B336&lt;DATE(Configuración!$C$5,1,1),B336&gt;=DATE(Configuración!$C$5+1,1,1)))),"Revisar fecha","OK")))))</f>
        <v/>
      </c>
    </row>
    <row r="337" spans="1:9" ht="22" customHeight="1">
      <c r="A337" s="3"/>
      <c r="B337" s="7"/>
      <c r="C337" s="3"/>
      <c r="D337" s="3"/>
      <c r="E337" s="3"/>
      <c r="F337" s="3"/>
      <c r="G337" s="4"/>
      <c r="H337" s="3"/>
      <c r="I337" s="1" t="str">
        <f>IF(COUNTA(A337:H337)=0,"",IF(OR(A337="",B337="",C337="",D337="",F337="",G337=""),"Faltan datos",IF(COUNTIF($A$7:$A$506,A337)&gt;1,"ID duplicado",IF(G337&lt;0,"Revisar signo",IF(OR(AND(C337="Saldo inicial",B337&lt;&gt;DATE(Configuración!$C$5,1,1)-1),AND(C337&lt;&gt;"Saldo inicial",OR(B337&lt;DATE(Configuración!$C$5,1,1),B337&gt;=DATE(Configuración!$C$5+1,1,1)))),"Revisar fecha","OK")))))</f>
        <v/>
      </c>
    </row>
    <row r="338" spans="1:9" ht="22" customHeight="1">
      <c r="A338" s="3"/>
      <c r="B338" s="7"/>
      <c r="C338" s="3"/>
      <c r="D338" s="3"/>
      <c r="E338" s="3"/>
      <c r="F338" s="3"/>
      <c r="G338" s="4"/>
      <c r="H338" s="3"/>
      <c r="I338" s="1" t="str">
        <f>IF(COUNTA(A338:H338)=0,"",IF(OR(A338="",B338="",C338="",D338="",F338="",G338=""),"Faltan datos",IF(COUNTIF($A$7:$A$506,A338)&gt;1,"ID duplicado",IF(G338&lt;0,"Revisar signo",IF(OR(AND(C338="Saldo inicial",B338&lt;&gt;DATE(Configuración!$C$5,1,1)-1),AND(C338&lt;&gt;"Saldo inicial",OR(B338&lt;DATE(Configuración!$C$5,1,1),B338&gt;=DATE(Configuración!$C$5+1,1,1)))),"Revisar fecha","OK")))))</f>
        <v/>
      </c>
    </row>
    <row r="339" spans="1:9" ht="22" customHeight="1">
      <c r="A339" s="3"/>
      <c r="B339" s="7"/>
      <c r="C339" s="3"/>
      <c r="D339" s="3"/>
      <c r="E339" s="3"/>
      <c r="F339" s="3"/>
      <c r="G339" s="4"/>
      <c r="H339" s="3"/>
      <c r="I339" s="1" t="str">
        <f>IF(COUNTA(A339:H339)=0,"",IF(OR(A339="",B339="",C339="",D339="",F339="",G339=""),"Faltan datos",IF(COUNTIF($A$7:$A$506,A339)&gt;1,"ID duplicado",IF(G339&lt;0,"Revisar signo",IF(OR(AND(C339="Saldo inicial",B339&lt;&gt;DATE(Configuración!$C$5,1,1)-1),AND(C339&lt;&gt;"Saldo inicial",OR(B339&lt;DATE(Configuración!$C$5,1,1),B339&gt;=DATE(Configuración!$C$5+1,1,1)))),"Revisar fecha","OK")))))</f>
        <v/>
      </c>
    </row>
    <row r="340" spans="1:9" ht="22" customHeight="1">
      <c r="A340" s="3"/>
      <c r="B340" s="7"/>
      <c r="C340" s="3"/>
      <c r="D340" s="3"/>
      <c r="E340" s="3"/>
      <c r="F340" s="3"/>
      <c r="G340" s="4"/>
      <c r="H340" s="3"/>
      <c r="I340" s="1" t="str">
        <f>IF(COUNTA(A340:H340)=0,"",IF(OR(A340="",B340="",C340="",D340="",F340="",G340=""),"Faltan datos",IF(COUNTIF($A$7:$A$506,A340)&gt;1,"ID duplicado",IF(G340&lt;0,"Revisar signo",IF(OR(AND(C340="Saldo inicial",B340&lt;&gt;DATE(Configuración!$C$5,1,1)-1),AND(C340&lt;&gt;"Saldo inicial",OR(B340&lt;DATE(Configuración!$C$5,1,1),B340&gt;=DATE(Configuración!$C$5+1,1,1)))),"Revisar fecha","OK")))))</f>
        <v/>
      </c>
    </row>
    <row r="341" spans="1:9" ht="22" customHeight="1">
      <c r="A341" s="3"/>
      <c r="B341" s="7"/>
      <c r="C341" s="3"/>
      <c r="D341" s="3"/>
      <c r="E341" s="3"/>
      <c r="F341" s="3"/>
      <c r="G341" s="4"/>
      <c r="H341" s="3"/>
      <c r="I341" s="1" t="str">
        <f>IF(COUNTA(A341:H341)=0,"",IF(OR(A341="",B341="",C341="",D341="",F341="",G341=""),"Faltan datos",IF(COUNTIF($A$7:$A$506,A341)&gt;1,"ID duplicado",IF(G341&lt;0,"Revisar signo",IF(OR(AND(C341="Saldo inicial",B341&lt;&gt;DATE(Configuración!$C$5,1,1)-1),AND(C341&lt;&gt;"Saldo inicial",OR(B341&lt;DATE(Configuración!$C$5,1,1),B341&gt;=DATE(Configuración!$C$5+1,1,1)))),"Revisar fecha","OK")))))</f>
        <v/>
      </c>
    </row>
    <row r="342" spans="1:9" ht="22" customHeight="1">
      <c r="A342" s="3"/>
      <c r="B342" s="7"/>
      <c r="C342" s="3"/>
      <c r="D342" s="3"/>
      <c r="E342" s="3"/>
      <c r="F342" s="3"/>
      <c r="G342" s="4"/>
      <c r="H342" s="3"/>
      <c r="I342" s="1" t="str">
        <f>IF(COUNTA(A342:H342)=0,"",IF(OR(A342="",B342="",C342="",D342="",F342="",G342=""),"Faltan datos",IF(COUNTIF($A$7:$A$506,A342)&gt;1,"ID duplicado",IF(G342&lt;0,"Revisar signo",IF(OR(AND(C342="Saldo inicial",B342&lt;&gt;DATE(Configuración!$C$5,1,1)-1),AND(C342&lt;&gt;"Saldo inicial",OR(B342&lt;DATE(Configuración!$C$5,1,1),B342&gt;=DATE(Configuración!$C$5+1,1,1)))),"Revisar fecha","OK")))))</f>
        <v/>
      </c>
    </row>
    <row r="343" spans="1:9" ht="22" customHeight="1">
      <c r="A343" s="3"/>
      <c r="B343" s="7"/>
      <c r="C343" s="3"/>
      <c r="D343" s="3"/>
      <c r="E343" s="3"/>
      <c r="F343" s="3"/>
      <c r="G343" s="4"/>
      <c r="H343" s="3"/>
      <c r="I343" s="1" t="str">
        <f>IF(COUNTA(A343:H343)=0,"",IF(OR(A343="",B343="",C343="",D343="",F343="",G343=""),"Faltan datos",IF(COUNTIF($A$7:$A$506,A343)&gt;1,"ID duplicado",IF(G343&lt;0,"Revisar signo",IF(OR(AND(C343="Saldo inicial",B343&lt;&gt;DATE(Configuración!$C$5,1,1)-1),AND(C343&lt;&gt;"Saldo inicial",OR(B343&lt;DATE(Configuración!$C$5,1,1),B343&gt;=DATE(Configuración!$C$5+1,1,1)))),"Revisar fecha","OK")))))</f>
        <v/>
      </c>
    </row>
    <row r="344" spans="1:9" ht="22" customHeight="1">
      <c r="A344" s="3"/>
      <c r="B344" s="7"/>
      <c r="C344" s="3"/>
      <c r="D344" s="3"/>
      <c r="E344" s="3"/>
      <c r="F344" s="3"/>
      <c r="G344" s="4"/>
      <c r="H344" s="3"/>
      <c r="I344" s="1" t="str">
        <f>IF(COUNTA(A344:H344)=0,"",IF(OR(A344="",B344="",C344="",D344="",F344="",G344=""),"Faltan datos",IF(COUNTIF($A$7:$A$506,A344)&gt;1,"ID duplicado",IF(G344&lt;0,"Revisar signo",IF(OR(AND(C344="Saldo inicial",B344&lt;&gt;DATE(Configuración!$C$5,1,1)-1),AND(C344&lt;&gt;"Saldo inicial",OR(B344&lt;DATE(Configuración!$C$5,1,1),B344&gt;=DATE(Configuración!$C$5+1,1,1)))),"Revisar fecha","OK")))))</f>
        <v/>
      </c>
    </row>
    <row r="345" spans="1:9" ht="22" customHeight="1">
      <c r="A345" s="3"/>
      <c r="B345" s="7"/>
      <c r="C345" s="3"/>
      <c r="D345" s="3"/>
      <c r="E345" s="3"/>
      <c r="F345" s="3"/>
      <c r="G345" s="4"/>
      <c r="H345" s="3"/>
      <c r="I345" s="1" t="str">
        <f>IF(COUNTA(A345:H345)=0,"",IF(OR(A345="",B345="",C345="",D345="",F345="",G345=""),"Faltan datos",IF(COUNTIF($A$7:$A$506,A345)&gt;1,"ID duplicado",IF(G345&lt;0,"Revisar signo",IF(OR(AND(C345="Saldo inicial",B345&lt;&gt;DATE(Configuración!$C$5,1,1)-1),AND(C345&lt;&gt;"Saldo inicial",OR(B345&lt;DATE(Configuración!$C$5,1,1),B345&gt;=DATE(Configuración!$C$5+1,1,1)))),"Revisar fecha","OK")))))</f>
        <v/>
      </c>
    </row>
    <row r="346" spans="1:9" ht="22" customHeight="1">
      <c r="A346" s="3"/>
      <c r="B346" s="7"/>
      <c r="C346" s="3"/>
      <c r="D346" s="3"/>
      <c r="E346" s="3"/>
      <c r="F346" s="3"/>
      <c r="G346" s="4"/>
      <c r="H346" s="3"/>
      <c r="I346" s="1" t="str">
        <f>IF(COUNTA(A346:H346)=0,"",IF(OR(A346="",B346="",C346="",D346="",F346="",G346=""),"Faltan datos",IF(COUNTIF($A$7:$A$506,A346)&gt;1,"ID duplicado",IF(G346&lt;0,"Revisar signo",IF(OR(AND(C346="Saldo inicial",B346&lt;&gt;DATE(Configuración!$C$5,1,1)-1),AND(C346&lt;&gt;"Saldo inicial",OR(B346&lt;DATE(Configuración!$C$5,1,1),B346&gt;=DATE(Configuración!$C$5+1,1,1)))),"Revisar fecha","OK")))))</f>
        <v/>
      </c>
    </row>
    <row r="347" spans="1:9" ht="22" customHeight="1">
      <c r="A347" s="3"/>
      <c r="B347" s="7"/>
      <c r="C347" s="3"/>
      <c r="D347" s="3"/>
      <c r="E347" s="3"/>
      <c r="F347" s="3"/>
      <c r="G347" s="4"/>
      <c r="H347" s="3"/>
      <c r="I347" s="1" t="str">
        <f>IF(COUNTA(A347:H347)=0,"",IF(OR(A347="",B347="",C347="",D347="",F347="",G347=""),"Faltan datos",IF(COUNTIF($A$7:$A$506,A347)&gt;1,"ID duplicado",IF(G347&lt;0,"Revisar signo",IF(OR(AND(C347="Saldo inicial",B347&lt;&gt;DATE(Configuración!$C$5,1,1)-1),AND(C347&lt;&gt;"Saldo inicial",OR(B347&lt;DATE(Configuración!$C$5,1,1),B347&gt;=DATE(Configuración!$C$5+1,1,1)))),"Revisar fecha","OK")))))</f>
        <v/>
      </c>
    </row>
    <row r="348" spans="1:9" ht="22" customHeight="1">
      <c r="A348" s="3"/>
      <c r="B348" s="7"/>
      <c r="C348" s="3"/>
      <c r="D348" s="3"/>
      <c r="E348" s="3"/>
      <c r="F348" s="3"/>
      <c r="G348" s="4"/>
      <c r="H348" s="3"/>
      <c r="I348" s="1" t="str">
        <f>IF(COUNTA(A348:H348)=0,"",IF(OR(A348="",B348="",C348="",D348="",F348="",G348=""),"Faltan datos",IF(COUNTIF($A$7:$A$506,A348)&gt;1,"ID duplicado",IF(G348&lt;0,"Revisar signo",IF(OR(AND(C348="Saldo inicial",B348&lt;&gt;DATE(Configuración!$C$5,1,1)-1),AND(C348&lt;&gt;"Saldo inicial",OR(B348&lt;DATE(Configuración!$C$5,1,1),B348&gt;=DATE(Configuración!$C$5+1,1,1)))),"Revisar fecha","OK")))))</f>
        <v/>
      </c>
    </row>
    <row r="349" spans="1:9" ht="22" customHeight="1">
      <c r="A349" s="3"/>
      <c r="B349" s="7"/>
      <c r="C349" s="3"/>
      <c r="D349" s="3"/>
      <c r="E349" s="3"/>
      <c r="F349" s="3"/>
      <c r="G349" s="4"/>
      <c r="H349" s="3"/>
      <c r="I349" s="1" t="str">
        <f>IF(COUNTA(A349:H349)=0,"",IF(OR(A349="",B349="",C349="",D349="",F349="",G349=""),"Faltan datos",IF(COUNTIF($A$7:$A$506,A349)&gt;1,"ID duplicado",IF(G349&lt;0,"Revisar signo",IF(OR(AND(C349="Saldo inicial",B349&lt;&gt;DATE(Configuración!$C$5,1,1)-1),AND(C349&lt;&gt;"Saldo inicial",OR(B349&lt;DATE(Configuración!$C$5,1,1),B349&gt;=DATE(Configuración!$C$5+1,1,1)))),"Revisar fecha","OK")))))</f>
        <v/>
      </c>
    </row>
    <row r="350" spans="1:9" ht="22" customHeight="1">
      <c r="A350" s="3"/>
      <c r="B350" s="7"/>
      <c r="C350" s="3"/>
      <c r="D350" s="3"/>
      <c r="E350" s="3"/>
      <c r="F350" s="3"/>
      <c r="G350" s="4"/>
      <c r="H350" s="3"/>
      <c r="I350" s="1" t="str">
        <f>IF(COUNTA(A350:H350)=0,"",IF(OR(A350="",B350="",C350="",D350="",F350="",G350=""),"Faltan datos",IF(COUNTIF($A$7:$A$506,A350)&gt;1,"ID duplicado",IF(G350&lt;0,"Revisar signo",IF(OR(AND(C350="Saldo inicial",B350&lt;&gt;DATE(Configuración!$C$5,1,1)-1),AND(C350&lt;&gt;"Saldo inicial",OR(B350&lt;DATE(Configuración!$C$5,1,1),B350&gt;=DATE(Configuración!$C$5+1,1,1)))),"Revisar fecha","OK")))))</f>
        <v/>
      </c>
    </row>
    <row r="351" spans="1:9" ht="22" customHeight="1">
      <c r="A351" s="3"/>
      <c r="B351" s="7"/>
      <c r="C351" s="3"/>
      <c r="D351" s="3"/>
      <c r="E351" s="3"/>
      <c r="F351" s="3"/>
      <c r="G351" s="4"/>
      <c r="H351" s="3"/>
      <c r="I351" s="1" t="str">
        <f>IF(COUNTA(A351:H351)=0,"",IF(OR(A351="",B351="",C351="",D351="",F351="",G351=""),"Faltan datos",IF(COUNTIF($A$7:$A$506,A351)&gt;1,"ID duplicado",IF(G351&lt;0,"Revisar signo",IF(OR(AND(C351="Saldo inicial",B351&lt;&gt;DATE(Configuración!$C$5,1,1)-1),AND(C351&lt;&gt;"Saldo inicial",OR(B351&lt;DATE(Configuración!$C$5,1,1),B351&gt;=DATE(Configuración!$C$5+1,1,1)))),"Revisar fecha","OK")))))</f>
        <v/>
      </c>
    </row>
    <row r="352" spans="1:9" ht="22" customHeight="1">
      <c r="A352" s="3"/>
      <c r="B352" s="7"/>
      <c r="C352" s="3"/>
      <c r="D352" s="3"/>
      <c r="E352" s="3"/>
      <c r="F352" s="3"/>
      <c r="G352" s="4"/>
      <c r="H352" s="3"/>
      <c r="I352" s="1" t="str">
        <f>IF(COUNTA(A352:H352)=0,"",IF(OR(A352="",B352="",C352="",D352="",F352="",G352=""),"Faltan datos",IF(COUNTIF($A$7:$A$506,A352)&gt;1,"ID duplicado",IF(G352&lt;0,"Revisar signo",IF(OR(AND(C352="Saldo inicial",B352&lt;&gt;DATE(Configuración!$C$5,1,1)-1),AND(C352&lt;&gt;"Saldo inicial",OR(B352&lt;DATE(Configuración!$C$5,1,1),B352&gt;=DATE(Configuración!$C$5+1,1,1)))),"Revisar fecha","OK")))))</f>
        <v/>
      </c>
    </row>
    <row r="353" spans="1:9" ht="22" customHeight="1">
      <c r="A353" s="3"/>
      <c r="B353" s="7"/>
      <c r="C353" s="3"/>
      <c r="D353" s="3"/>
      <c r="E353" s="3"/>
      <c r="F353" s="3"/>
      <c r="G353" s="4"/>
      <c r="H353" s="3"/>
      <c r="I353" s="1" t="str">
        <f>IF(COUNTA(A353:H353)=0,"",IF(OR(A353="",B353="",C353="",D353="",F353="",G353=""),"Faltan datos",IF(COUNTIF($A$7:$A$506,A353)&gt;1,"ID duplicado",IF(G353&lt;0,"Revisar signo",IF(OR(AND(C353="Saldo inicial",B353&lt;&gt;DATE(Configuración!$C$5,1,1)-1),AND(C353&lt;&gt;"Saldo inicial",OR(B353&lt;DATE(Configuración!$C$5,1,1),B353&gt;=DATE(Configuración!$C$5+1,1,1)))),"Revisar fecha","OK")))))</f>
        <v/>
      </c>
    </row>
    <row r="354" spans="1:9" ht="22" customHeight="1">
      <c r="A354" s="3"/>
      <c r="B354" s="7"/>
      <c r="C354" s="3"/>
      <c r="D354" s="3"/>
      <c r="E354" s="3"/>
      <c r="F354" s="3"/>
      <c r="G354" s="4"/>
      <c r="H354" s="3"/>
      <c r="I354" s="1" t="str">
        <f>IF(COUNTA(A354:H354)=0,"",IF(OR(A354="",B354="",C354="",D354="",F354="",G354=""),"Faltan datos",IF(COUNTIF($A$7:$A$506,A354)&gt;1,"ID duplicado",IF(G354&lt;0,"Revisar signo",IF(OR(AND(C354="Saldo inicial",B354&lt;&gt;DATE(Configuración!$C$5,1,1)-1),AND(C354&lt;&gt;"Saldo inicial",OR(B354&lt;DATE(Configuración!$C$5,1,1),B354&gt;=DATE(Configuración!$C$5+1,1,1)))),"Revisar fecha","OK")))))</f>
        <v/>
      </c>
    </row>
    <row r="355" spans="1:9" ht="22" customHeight="1">
      <c r="A355" s="3"/>
      <c r="B355" s="7"/>
      <c r="C355" s="3"/>
      <c r="D355" s="3"/>
      <c r="E355" s="3"/>
      <c r="F355" s="3"/>
      <c r="G355" s="4"/>
      <c r="H355" s="3"/>
      <c r="I355" s="1" t="str">
        <f>IF(COUNTA(A355:H355)=0,"",IF(OR(A355="",B355="",C355="",D355="",F355="",G355=""),"Faltan datos",IF(COUNTIF($A$7:$A$506,A355)&gt;1,"ID duplicado",IF(G355&lt;0,"Revisar signo",IF(OR(AND(C355="Saldo inicial",B355&lt;&gt;DATE(Configuración!$C$5,1,1)-1),AND(C355&lt;&gt;"Saldo inicial",OR(B355&lt;DATE(Configuración!$C$5,1,1),B355&gt;=DATE(Configuración!$C$5+1,1,1)))),"Revisar fecha","OK")))))</f>
        <v/>
      </c>
    </row>
    <row r="356" spans="1:9" ht="22" customHeight="1">
      <c r="A356" s="3"/>
      <c r="B356" s="7"/>
      <c r="C356" s="3"/>
      <c r="D356" s="3"/>
      <c r="E356" s="3"/>
      <c r="F356" s="3"/>
      <c r="G356" s="4"/>
      <c r="H356" s="3"/>
      <c r="I356" s="1" t="str">
        <f>IF(COUNTA(A356:H356)=0,"",IF(OR(A356="",B356="",C356="",D356="",F356="",G356=""),"Faltan datos",IF(COUNTIF($A$7:$A$506,A356)&gt;1,"ID duplicado",IF(G356&lt;0,"Revisar signo",IF(OR(AND(C356="Saldo inicial",B356&lt;&gt;DATE(Configuración!$C$5,1,1)-1),AND(C356&lt;&gt;"Saldo inicial",OR(B356&lt;DATE(Configuración!$C$5,1,1),B356&gt;=DATE(Configuración!$C$5+1,1,1)))),"Revisar fecha","OK")))))</f>
        <v/>
      </c>
    </row>
    <row r="357" spans="1:9" ht="22" customHeight="1">
      <c r="A357" s="3"/>
      <c r="B357" s="7"/>
      <c r="C357" s="3"/>
      <c r="D357" s="3"/>
      <c r="E357" s="3"/>
      <c r="F357" s="3"/>
      <c r="G357" s="4"/>
      <c r="H357" s="3"/>
      <c r="I357" s="1" t="str">
        <f>IF(COUNTA(A357:H357)=0,"",IF(OR(A357="",B357="",C357="",D357="",F357="",G357=""),"Faltan datos",IF(COUNTIF($A$7:$A$506,A357)&gt;1,"ID duplicado",IF(G357&lt;0,"Revisar signo",IF(OR(AND(C357="Saldo inicial",B357&lt;&gt;DATE(Configuración!$C$5,1,1)-1),AND(C357&lt;&gt;"Saldo inicial",OR(B357&lt;DATE(Configuración!$C$5,1,1),B357&gt;=DATE(Configuración!$C$5+1,1,1)))),"Revisar fecha","OK")))))</f>
        <v/>
      </c>
    </row>
    <row r="358" spans="1:9" ht="22" customHeight="1">
      <c r="A358" s="3"/>
      <c r="B358" s="7"/>
      <c r="C358" s="3"/>
      <c r="D358" s="3"/>
      <c r="E358" s="3"/>
      <c r="F358" s="3"/>
      <c r="G358" s="4"/>
      <c r="H358" s="3"/>
      <c r="I358" s="1" t="str">
        <f>IF(COUNTA(A358:H358)=0,"",IF(OR(A358="",B358="",C358="",D358="",F358="",G358=""),"Faltan datos",IF(COUNTIF($A$7:$A$506,A358)&gt;1,"ID duplicado",IF(G358&lt;0,"Revisar signo",IF(OR(AND(C358="Saldo inicial",B358&lt;&gt;DATE(Configuración!$C$5,1,1)-1),AND(C358&lt;&gt;"Saldo inicial",OR(B358&lt;DATE(Configuración!$C$5,1,1),B358&gt;=DATE(Configuración!$C$5+1,1,1)))),"Revisar fecha","OK")))))</f>
        <v/>
      </c>
    </row>
    <row r="359" spans="1:9" ht="22" customHeight="1">
      <c r="A359" s="3"/>
      <c r="B359" s="7"/>
      <c r="C359" s="3"/>
      <c r="D359" s="3"/>
      <c r="E359" s="3"/>
      <c r="F359" s="3"/>
      <c r="G359" s="4"/>
      <c r="H359" s="3"/>
      <c r="I359" s="1" t="str">
        <f>IF(COUNTA(A359:H359)=0,"",IF(OR(A359="",B359="",C359="",D359="",F359="",G359=""),"Faltan datos",IF(COUNTIF($A$7:$A$506,A359)&gt;1,"ID duplicado",IF(G359&lt;0,"Revisar signo",IF(OR(AND(C359="Saldo inicial",B359&lt;&gt;DATE(Configuración!$C$5,1,1)-1),AND(C359&lt;&gt;"Saldo inicial",OR(B359&lt;DATE(Configuración!$C$5,1,1),B359&gt;=DATE(Configuración!$C$5+1,1,1)))),"Revisar fecha","OK")))))</f>
        <v/>
      </c>
    </row>
    <row r="360" spans="1:9" ht="22" customHeight="1">
      <c r="A360" s="3"/>
      <c r="B360" s="7"/>
      <c r="C360" s="3"/>
      <c r="D360" s="3"/>
      <c r="E360" s="3"/>
      <c r="F360" s="3"/>
      <c r="G360" s="4"/>
      <c r="H360" s="3"/>
      <c r="I360" s="1" t="str">
        <f>IF(COUNTA(A360:H360)=0,"",IF(OR(A360="",B360="",C360="",D360="",F360="",G360=""),"Faltan datos",IF(COUNTIF($A$7:$A$506,A360)&gt;1,"ID duplicado",IF(G360&lt;0,"Revisar signo",IF(OR(AND(C360="Saldo inicial",B360&lt;&gt;DATE(Configuración!$C$5,1,1)-1),AND(C360&lt;&gt;"Saldo inicial",OR(B360&lt;DATE(Configuración!$C$5,1,1),B360&gt;=DATE(Configuración!$C$5+1,1,1)))),"Revisar fecha","OK")))))</f>
        <v/>
      </c>
    </row>
    <row r="361" spans="1:9" ht="22" customHeight="1">
      <c r="A361" s="3"/>
      <c r="B361" s="7"/>
      <c r="C361" s="3"/>
      <c r="D361" s="3"/>
      <c r="E361" s="3"/>
      <c r="F361" s="3"/>
      <c r="G361" s="4"/>
      <c r="H361" s="3"/>
      <c r="I361" s="1" t="str">
        <f>IF(COUNTA(A361:H361)=0,"",IF(OR(A361="",B361="",C361="",D361="",F361="",G361=""),"Faltan datos",IF(COUNTIF($A$7:$A$506,A361)&gt;1,"ID duplicado",IF(G361&lt;0,"Revisar signo",IF(OR(AND(C361="Saldo inicial",B361&lt;&gt;DATE(Configuración!$C$5,1,1)-1),AND(C361&lt;&gt;"Saldo inicial",OR(B361&lt;DATE(Configuración!$C$5,1,1),B361&gt;=DATE(Configuración!$C$5+1,1,1)))),"Revisar fecha","OK")))))</f>
        <v/>
      </c>
    </row>
    <row r="362" spans="1:9" ht="22" customHeight="1">
      <c r="A362" s="3"/>
      <c r="B362" s="7"/>
      <c r="C362" s="3"/>
      <c r="D362" s="3"/>
      <c r="E362" s="3"/>
      <c r="F362" s="3"/>
      <c r="G362" s="4"/>
      <c r="H362" s="3"/>
      <c r="I362" s="1" t="str">
        <f>IF(COUNTA(A362:H362)=0,"",IF(OR(A362="",B362="",C362="",D362="",F362="",G362=""),"Faltan datos",IF(COUNTIF($A$7:$A$506,A362)&gt;1,"ID duplicado",IF(G362&lt;0,"Revisar signo",IF(OR(AND(C362="Saldo inicial",B362&lt;&gt;DATE(Configuración!$C$5,1,1)-1),AND(C362&lt;&gt;"Saldo inicial",OR(B362&lt;DATE(Configuración!$C$5,1,1),B362&gt;=DATE(Configuración!$C$5+1,1,1)))),"Revisar fecha","OK")))))</f>
        <v/>
      </c>
    </row>
    <row r="363" spans="1:9" ht="22" customHeight="1">
      <c r="A363" s="3"/>
      <c r="B363" s="7"/>
      <c r="C363" s="3"/>
      <c r="D363" s="3"/>
      <c r="E363" s="3"/>
      <c r="F363" s="3"/>
      <c r="G363" s="4"/>
      <c r="H363" s="3"/>
      <c r="I363" s="1" t="str">
        <f>IF(COUNTA(A363:H363)=0,"",IF(OR(A363="",B363="",C363="",D363="",F363="",G363=""),"Faltan datos",IF(COUNTIF($A$7:$A$506,A363)&gt;1,"ID duplicado",IF(G363&lt;0,"Revisar signo",IF(OR(AND(C363="Saldo inicial",B363&lt;&gt;DATE(Configuración!$C$5,1,1)-1),AND(C363&lt;&gt;"Saldo inicial",OR(B363&lt;DATE(Configuración!$C$5,1,1),B363&gt;=DATE(Configuración!$C$5+1,1,1)))),"Revisar fecha","OK")))))</f>
        <v/>
      </c>
    </row>
    <row r="364" spans="1:9" ht="22" customHeight="1">
      <c r="A364" s="3"/>
      <c r="B364" s="7"/>
      <c r="C364" s="3"/>
      <c r="D364" s="3"/>
      <c r="E364" s="3"/>
      <c r="F364" s="3"/>
      <c r="G364" s="4"/>
      <c r="H364" s="3"/>
      <c r="I364" s="1" t="str">
        <f>IF(COUNTA(A364:H364)=0,"",IF(OR(A364="",B364="",C364="",D364="",F364="",G364=""),"Faltan datos",IF(COUNTIF($A$7:$A$506,A364)&gt;1,"ID duplicado",IF(G364&lt;0,"Revisar signo",IF(OR(AND(C364="Saldo inicial",B364&lt;&gt;DATE(Configuración!$C$5,1,1)-1),AND(C364&lt;&gt;"Saldo inicial",OR(B364&lt;DATE(Configuración!$C$5,1,1),B364&gt;=DATE(Configuración!$C$5+1,1,1)))),"Revisar fecha","OK")))))</f>
        <v/>
      </c>
    </row>
    <row r="365" spans="1:9" ht="22" customHeight="1">
      <c r="A365" s="3"/>
      <c r="B365" s="7"/>
      <c r="C365" s="3"/>
      <c r="D365" s="3"/>
      <c r="E365" s="3"/>
      <c r="F365" s="3"/>
      <c r="G365" s="4"/>
      <c r="H365" s="3"/>
      <c r="I365" s="1" t="str">
        <f>IF(COUNTA(A365:H365)=0,"",IF(OR(A365="",B365="",C365="",D365="",F365="",G365=""),"Faltan datos",IF(COUNTIF($A$7:$A$506,A365)&gt;1,"ID duplicado",IF(G365&lt;0,"Revisar signo",IF(OR(AND(C365="Saldo inicial",B365&lt;&gt;DATE(Configuración!$C$5,1,1)-1),AND(C365&lt;&gt;"Saldo inicial",OR(B365&lt;DATE(Configuración!$C$5,1,1),B365&gt;=DATE(Configuración!$C$5+1,1,1)))),"Revisar fecha","OK")))))</f>
        <v/>
      </c>
    </row>
    <row r="366" spans="1:9" ht="22" customHeight="1">
      <c r="A366" s="3"/>
      <c r="B366" s="7"/>
      <c r="C366" s="3"/>
      <c r="D366" s="3"/>
      <c r="E366" s="3"/>
      <c r="F366" s="3"/>
      <c r="G366" s="4"/>
      <c r="H366" s="3"/>
      <c r="I366" s="1" t="str">
        <f>IF(COUNTA(A366:H366)=0,"",IF(OR(A366="",B366="",C366="",D366="",F366="",G366=""),"Faltan datos",IF(COUNTIF($A$7:$A$506,A366)&gt;1,"ID duplicado",IF(G366&lt;0,"Revisar signo",IF(OR(AND(C366="Saldo inicial",B366&lt;&gt;DATE(Configuración!$C$5,1,1)-1),AND(C366&lt;&gt;"Saldo inicial",OR(B366&lt;DATE(Configuración!$C$5,1,1),B366&gt;=DATE(Configuración!$C$5+1,1,1)))),"Revisar fecha","OK")))))</f>
        <v/>
      </c>
    </row>
    <row r="367" spans="1:9" ht="22" customHeight="1">
      <c r="A367" s="3"/>
      <c r="B367" s="7"/>
      <c r="C367" s="3"/>
      <c r="D367" s="3"/>
      <c r="E367" s="3"/>
      <c r="F367" s="3"/>
      <c r="G367" s="4"/>
      <c r="H367" s="3"/>
      <c r="I367" s="1" t="str">
        <f>IF(COUNTA(A367:H367)=0,"",IF(OR(A367="",B367="",C367="",D367="",F367="",G367=""),"Faltan datos",IF(COUNTIF($A$7:$A$506,A367)&gt;1,"ID duplicado",IF(G367&lt;0,"Revisar signo",IF(OR(AND(C367="Saldo inicial",B367&lt;&gt;DATE(Configuración!$C$5,1,1)-1),AND(C367&lt;&gt;"Saldo inicial",OR(B367&lt;DATE(Configuración!$C$5,1,1),B367&gt;=DATE(Configuración!$C$5+1,1,1)))),"Revisar fecha","OK")))))</f>
        <v/>
      </c>
    </row>
    <row r="368" spans="1:9" ht="22" customHeight="1">
      <c r="A368" s="3"/>
      <c r="B368" s="7"/>
      <c r="C368" s="3"/>
      <c r="D368" s="3"/>
      <c r="E368" s="3"/>
      <c r="F368" s="3"/>
      <c r="G368" s="4"/>
      <c r="H368" s="3"/>
      <c r="I368" s="1" t="str">
        <f>IF(COUNTA(A368:H368)=0,"",IF(OR(A368="",B368="",C368="",D368="",F368="",G368=""),"Faltan datos",IF(COUNTIF($A$7:$A$506,A368)&gt;1,"ID duplicado",IF(G368&lt;0,"Revisar signo",IF(OR(AND(C368="Saldo inicial",B368&lt;&gt;DATE(Configuración!$C$5,1,1)-1),AND(C368&lt;&gt;"Saldo inicial",OR(B368&lt;DATE(Configuración!$C$5,1,1),B368&gt;=DATE(Configuración!$C$5+1,1,1)))),"Revisar fecha","OK")))))</f>
        <v/>
      </c>
    </row>
    <row r="369" spans="1:9" ht="22" customHeight="1">
      <c r="A369" s="3"/>
      <c r="B369" s="7"/>
      <c r="C369" s="3"/>
      <c r="D369" s="3"/>
      <c r="E369" s="3"/>
      <c r="F369" s="3"/>
      <c r="G369" s="4"/>
      <c r="H369" s="3"/>
      <c r="I369" s="1" t="str">
        <f>IF(COUNTA(A369:H369)=0,"",IF(OR(A369="",B369="",C369="",D369="",F369="",G369=""),"Faltan datos",IF(COUNTIF($A$7:$A$506,A369)&gt;1,"ID duplicado",IF(G369&lt;0,"Revisar signo",IF(OR(AND(C369="Saldo inicial",B369&lt;&gt;DATE(Configuración!$C$5,1,1)-1),AND(C369&lt;&gt;"Saldo inicial",OR(B369&lt;DATE(Configuración!$C$5,1,1),B369&gt;=DATE(Configuración!$C$5+1,1,1)))),"Revisar fecha","OK")))))</f>
        <v/>
      </c>
    </row>
    <row r="370" spans="1:9" ht="22" customHeight="1">
      <c r="A370" s="3"/>
      <c r="B370" s="7"/>
      <c r="C370" s="3"/>
      <c r="D370" s="3"/>
      <c r="E370" s="3"/>
      <c r="F370" s="3"/>
      <c r="G370" s="4"/>
      <c r="H370" s="3"/>
      <c r="I370" s="1" t="str">
        <f>IF(COUNTA(A370:H370)=0,"",IF(OR(A370="",B370="",C370="",D370="",F370="",G370=""),"Faltan datos",IF(COUNTIF($A$7:$A$506,A370)&gt;1,"ID duplicado",IF(G370&lt;0,"Revisar signo",IF(OR(AND(C370="Saldo inicial",B370&lt;&gt;DATE(Configuración!$C$5,1,1)-1),AND(C370&lt;&gt;"Saldo inicial",OR(B370&lt;DATE(Configuración!$C$5,1,1),B370&gt;=DATE(Configuración!$C$5+1,1,1)))),"Revisar fecha","OK")))))</f>
        <v/>
      </c>
    </row>
    <row r="371" spans="1:9" ht="22" customHeight="1">
      <c r="A371" s="3"/>
      <c r="B371" s="7"/>
      <c r="C371" s="3"/>
      <c r="D371" s="3"/>
      <c r="E371" s="3"/>
      <c r="F371" s="3"/>
      <c r="G371" s="4"/>
      <c r="H371" s="3"/>
      <c r="I371" s="1" t="str">
        <f>IF(COUNTA(A371:H371)=0,"",IF(OR(A371="",B371="",C371="",D371="",F371="",G371=""),"Faltan datos",IF(COUNTIF($A$7:$A$506,A371)&gt;1,"ID duplicado",IF(G371&lt;0,"Revisar signo",IF(OR(AND(C371="Saldo inicial",B371&lt;&gt;DATE(Configuración!$C$5,1,1)-1),AND(C371&lt;&gt;"Saldo inicial",OR(B371&lt;DATE(Configuración!$C$5,1,1),B371&gt;=DATE(Configuración!$C$5+1,1,1)))),"Revisar fecha","OK")))))</f>
        <v/>
      </c>
    </row>
    <row r="372" spans="1:9" ht="22" customHeight="1">
      <c r="A372" s="3"/>
      <c r="B372" s="7"/>
      <c r="C372" s="3"/>
      <c r="D372" s="3"/>
      <c r="E372" s="3"/>
      <c r="F372" s="3"/>
      <c r="G372" s="4"/>
      <c r="H372" s="3"/>
      <c r="I372" s="1" t="str">
        <f>IF(COUNTA(A372:H372)=0,"",IF(OR(A372="",B372="",C372="",D372="",F372="",G372=""),"Faltan datos",IF(COUNTIF($A$7:$A$506,A372)&gt;1,"ID duplicado",IF(G372&lt;0,"Revisar signo",IF(OR(AND(C372="Saldo inicial",B372&lt;&gt;DATE(Configuración!$C$5,1,1)-1),AND(C372&lt;&gt;"Saldo inicial",OR(B372&lt;DATE(Configuración!$C$5,1,1),B372&gt;=DATE(Configuración!$C$5+1,1,1)))),"Revisar fecha","OK")))))</f>
        <v/>
      </c>
    </row>
    <row r="373" spans="1:9" ht="22" customHeight="1">
      <c r="A373" s="3"/>
      <c r="B373" s="7"/>
      <c r="C373" s="3"/>
      <c r="D373" s="3"/>
      <c r="E373" s="3"/>
      <c r="F373" s="3"/>
      <c r="G373" s="4"/>
      <c r="H373" s="3"/>
      <c r="I373" s="1" t="str">
        <f>IF(COUNTA(A373:H373)=0,"",IF(OR(A373="",B373="",C373="",D373="",F373="",G373=""),"Faltan datos",IF(COUNTIF($A$7:$A$506,A373)&gt;1,"ID duplicado",IF(G373&lt;0,"Revisar signo",IF(OR(AND(C373="Saldo inicial",B373&lt;&gt;DATE(Configuración!$C$5,1,1)-1),AND(C373&lt;&gt;"Saldo inicial",OR(B373&lt;DATE(Configuración!$C$5,1,1),B373&gt;=DATE(Configuración!$C$5+1,1,1)))),"Revisar fecha","OK")))))</f>
        <v/>
      </c>
    </row>
    <row r="374" spans="1:9" ht="22" customHeight="1">
      <c r="A374" s="3"/>
      <c r="B374" s="7"/>
      <c r="C374" s="3"/>
      <c r="D374" s="3"/>
      <c r="E374" s="3"/>
      <c r="F374" s="3"/>
      <c r="G374" s="4"/>
      <c r="H374" s="3"/>
      <c r="I374" s="1" t="str">
        <f>IF(COUNTA(A374:H374)=0,"",IF(OR(A374="",B374="",C374="",D374="",F374="",G374=""),"Faltan datos",IF(COUNTIF($A$7:$A$506,A374)&gt;1,"ID duplicado",IF(G374&lt;0,"Revisar signo",IF(OR(AND(C374="Saldo inicial",B374&lt;&gt;DATE(Configuración!$C$5,1,1)-1),AND(C374&lt;&gt;"Saldo inicial",OR(B374&lt;DATE(Configuración!$C$5,1,1),B374&gt;=DATE(Configuración!$C$5+1,1,1)))),"Revisar fecha","OK")))))</f>
        <v/>
      </c>
    </row>
    <row r="375" spans="1:9" ht="22" customHeight="1">
      <c r="A375" s="3"/>
      <c r="B375" s="7"/>
      <c r="C375" s="3"/>
      <c r="D375" s="3"/>
      <c r="E375" s="3"/>
      <c r="F375" s="3"/>
      <c r="G375" s="4"/>
      <c r="H375" s="3"/>
      <c r="I375" s="1" t="str">
        <f>IF(COUNTA(A375:H375)=0,"",IF(OR(A375="",B375="",C375="",D375="",F375="",G375=""),"Faltan datos",IF(COUNTIF($A$7:$A$506,A375)&gt;1,"ID duplicado",IF(G375&lt;0,"Revisar signo",IF(OR(AND(C375="Saldo inicial",B375&lt;&gt;DATE(Configuración!$C$5,1,1)-1),AND(C375&lt;&gt;"Saldo inicial",OR(B375&lt;DATE(Configuración!$C$5,1,1),B375&gt;=DATE(Configuración!$C$5+1,1,1)))),"Revisar fecha","OK")))))</f>
        <v/>
      </c>
    </row>
    <row r="376" spans="1:9" ht="22" customHeight="1">
      <c r="A376" s="3"/>
      <c r="B376" s="7"/>
      <c r="C376" s="3"/>
      <c r="D376" s="3"/>
      <c r="E376" s="3"/>
      <c r="F376" s="3"/>
      <c r="G376" s="4"/>
      <c r="H376" s="3"/>
      <c r="I376" s="1" t="str">
        <f>IF(COUNTA(A376:H376)=0,"",IF(OR(A376="",B376="",C376="",D376="",F376="",G376=""),"Faltan datos",IF(COUNTIF($A$7:$A$506,A376)&gt;1,"ID duplicado",IF(G376&lt;0,"Revisar signo",IF(OR(AND(C376="Saldo inicial",B376&lt;&gt;DATE(Configuración!$C$5,1,1)-1),AND(C376&lt;&gt;"Saldo inicial",OR(B376&lt;DATE(Configuración!$C$5,1,1),B376&gt;=DATE(Configuración!$C$5+1,1,1)))),"Revisar fecha","OK")))))</f>
        <v/>
      </c>
    </row>
    <row r="377" spans="1:9" ht="22" customHeight="1">
      <c r="A377" s="3"/>
      <c r="B377" s="7"/>
      <c r="C377" s="3"/>
      <c r="D377" s="3"/>
      <c r="E377" s="3"/>
      <c r="F377" s="3"/>
      <c r="G377" s="4"/>
      <c r="H377" s="3"/>
      <c r="I377" s="1" t="str">
        <f>IF(COUNTA(A377:H377)=0,"",IF(OR(A377="",B377="",C377="",D377="",F377="",G377=""),"Faltan datos",IF(COUNTIF($A$7:$A$506,A377)&gt;1,"ID duplicado",IF(G377&lt;0,"Revisar signo",IF(OR(AND(C377="Saldo inicial",B377&lt;&gt;DATE(Configuración!$C$5,1,1)-1),AND(C377&lt;&gt;"Saldo inicial",OR(B377&lt;DATE(Configuración!$C$5,1,1),B377&gt;=DATE(Configuración!$C$5+1,1,1)))),"Revisar fecha","OK")))))</f>
        <v/>
      </c>
    </row>
    <row r="378" spans="1:9" ht="22" customHeight="1">
      <c r="A378" s="3"/>
      <c r="B378" s="7"/>
      <c r="C378" s="3"/>
      <c r="D378" s="3"/>
      <c r="E378" s="3"/>
      <c r="F378" s="3"/>
      <c r="G378" s="4"/>
      <c r="H378" s="3"/>
      <c r="I378" s="1" t="str">
        <f>IF(COUNTA(A378:H378)=0,"",IF(OR(A378="",B378="",C378="",D378="",F378="",G378=""),"Faltan datos",IF(COUNTIF($A$7:$A$506,A378)&gt;1,"ID duplicado",IF(G378&lt;0,"Revisar signo",IF(OR(AND(C378="Saldo inicial",B378&lt;&gt;DATE(Configuración!$C$5,1,1)-1),AND(C378&lt;&gt;"Saldo inicial",OR(B378&lt;DATE(Configuración!$C$5,1,1),B378&gt;=DATE(Configuración!$C$5+1,1,1)))),"Revisar fecha","OK")))))</f>
        <v/>
      </c>
    </row>
    <row r="379" spans="1:9" ht="22" customHeight="1">
      <c r="A379" s="3"/>
      <c r="B379" s="7"/>
      <c r="C379" s="3"/>
      <c r="D379" s="3"/>
      <c r="E379" s="3"/>
      <c r="F379" s="3"/>
      <c r="G379" s="4"/>
      <c r="H379" s="3"/>
      <c r="I379" s="1" t="str">
        <f>IF(COUNTA(A379:H379)=0,"",IF(OR(A379="",B379="",C379="",D379="",F379="",G379=""),"Faltan datos",IF(COUNTIF($A$7:$A$506,A379)&gt;1,"ID duplicado",IF(G379&lt;0,"Revisar signo",IF(OR(AND(C379="Saldo inicial",B379&lt;&gt;DATE(Configuración!$C$5,1,1)-1),AND(C379&lt;&gt;"Saldo inicial",OR(B379&lt;DATE(Configuración!$C$5,1,1),B379&gt;=DATE(Configuración!$C$5+1,1,1)))),"Revisar fecha","OK")))))</f>
        <v/>
      </c>
    </row>
    <row r="380" spans="1:9" ht="22" customHeight="1">
      <c r="A380" s="3"/>
      <c r="B380" s="7"/>
      <c r="C380" s="3"/>
      <c r="D380" s="3"/>
      <c r="E380" s="3"/>
      <c r="F380" s="3"/>
      <c r="G380" s="4"/>
      <c r="H380" s="3"/>
      <c r="I380" s="1" t="str">
        <f>IF(COUNTA(A380:H380)=0,"",IF(OR(A380="",B380="",C380="",D380="",F380="",G380=""),"Faltan datos",IF(COUNTIF($A$7:$A$506,A380)&gt;1,"ID duplicado",IF(G380&lt;0,"Revisar signo",IF(OR(AND(C380="Saldo inicial",B380&lt;&gt;DATE(Configuración!$C$5,1,1)-1),AND(C380&lt;&gt;"Saldo inicial",OR(B380&lt;DATE(Configuración!$C$5,1,1),B380&gt;=DATE(Configuración!$C$5+1,1,1)))),"Revisar fecha","OK")))))</f>
        <v/>
      </c>
    </row>
    <row r="381" spans="1:9" ht="22" customHeight="1">
      <c r="A381" s="3"/>
      <c r="B381" s="7"/>
      <c r="C381" s="3"/>
      <c r="D381" s="3"/>
      <c r="E381" s="3"/>
      <c r="F381" s="3"/>
      <c r="G381" s="4"/>
      <c r="H381" s="3"/>
      <c r="I381" s="1" t="str">
        <f>IF(COUNTA(A381:H381)=0,"",IF(OR(A381="",B381="",C381="",D381="",F381="",G381=""),"Faltan datos",IF(COUNTIF($A$7:$A$506,A381)&gt;1,"ID duplicado",IF(G381&lt;0,"Revisar signo",IF(OR(AND(C381="Saldo inicial",B381&lt;&gt;DATE(Configuración!$C$5,1,1)-1),AND(C381&lt;&gt;"Saldo inicial",OR(B381&lt;DATE(Configuración!$C$5,1,1),B381&gt;=DATE(Configuración!$C$5+1,1,1)))),"Revisar fecha","OK")))))</f>
        <v/>
      </c>
    </row>
    <row r="382" spans="1:9" ht="22" customHeight="1">
      <c r="A382" s="3"/>
      <c r="B382" s="7"/>
      <c r="C382" s="3"/>
      <c r="D382" s="3"/>
      <c r="E382" s="3"/>
      <c r="F382" s="3"/>
      <c r="G382" s="4"/>
      <c r="H382" s="3"/>
      <c r="I382" s="1" t="str">
        <f>IF(COUNTA(A382:H382)=0,"",IF(OR(A382="",B382="",C382="",D382="",F382="",G382=""),"Faltan datos",IF(COUNTIF($A$7:$A$506,A382)&gt;1,"ID duplicado",IF(G382&lt;0,"Revisar signo",IF(OR(AND(C382="Saldo inicial",B382&lt;&gt;DATE(Configuración!$C$5,1,1)-1),AND(C382&lt;&gt;"Saldo inicial",OR(B382&lt;DATE(Configuración!$C$5,1,1),B382&gt;=DATE(Configuración!$C$5+1,1,1)))),"Revisar fecha","OK")))))</f>
        <v/>
      </c>
    </row>
    <row r="383" spans="1:9" ht="22" customHeight="1">
      <c r="A383" s="3"/>
      <c r="B383" s="7"/>
      <c r="C383" s="3"/>
      <c r="D383" s="3"/>
      <c r="E383" s="3"/>
      <c r="F383" s="3"/>
      <c r="G383" s="4"/>
      <c r="H383" s="3"/>
      <c r="I383" s="1" t="str">
        <f>IF(COUNTA(A383:H383)=0,"",IF(OR(A383="",B383="",C383="",D383="",F383="",G383=""),"Faltan datos",IF(COUNTIF($A$7:$A$506,A383)&gt;1,"ID duplicado",IF(G383&lt;0,"Revisar signo",IF(OR(AND(C383="Saldo inicial",B383&lt;&gt;DATE(Configuración!$C$5,1,1)-1),AND(C383&lt;&gt;"Saldo inicial",OR(B383&lt;DATE(Configuración!$C$5,1,1),B383&gt;=DATE(Configuración!$C$5+1,1,1)))),"Revisar fecha","OK")))))</f>
        <v/>
      </c>
    </row>
    <row r="384" spans="1:9" ht="22" customHeight="1">
      <c r="A384" s="3"/>
      <c r="B384" s="7"/>
      <c r="C384" s="3"/>
      <c r="D384" s="3"/>
      <c r="E384" s="3"/>
      <c r="F384" s="3"/>
      <c r="G384" s="4"/>
      <c r="H384" s="3"/>
      <c r="I384" s="1" t="str">
        <f>IF(COUNTA(A384:H384)=0,"",IF(OR(A384="",B384="",C384="",D384="",F384="",G384=""),"Faltan datos",IF(COUNTIF($A$7:$A$506,A384)&gt;1,"ID duplicado",IF(G384&lt;0,"Revisar signo",IF(OR(AND(C384="Saldo inicial",B384&lt;&gt;DATE(Configuración!$C$5,1,1)-1),AND(C384&lt;&gt;"Saldo inicial",OR(B384&lt;DATE(Configuración!$C$5,1,1),B384&gt;=DATE(Configuración!$C$5+1,1,1)))),"Revisar fecha","OK")))))</f>
        <v/>
      </c>
    </row>
    <row r="385" spans="1:9" ht="22" customHeight="1">
      <c r="A385" s="3"/>
      <c r="B385" s="7"/>
      <c r="C385" s="3"/>
      <c r="D385" s="3"/>
      <c r="E385" s="3"/>
      <c r="F385" s="3"/>
      <c r="G385" s="4"/>
      <c r="H385" s="3"/>
      <c r="I385" s="1" t="str">
        <f>IF(COUNTA(A385:H385)=0,"",IF(OR(A385="",B385="",C385="",D385="",F385="",G385=""),"Faltan datos",IF(COUNTIF($A$7:$A$506,A385)&gt;1,"ID duplicado",IF(G385&lt;0,"Revisar signo",IF(OR(AND(C385="Saldo inicial",B385&lt;&gt;DATE(Configuración!$C$5,1,1)-1),AND(C385&lt;&gt;"Saldo inicial",OR(B385&lt;DATE(Configuración!$C$5,1,1),B385&gt;=DATE(Configuración!$C$5+1,1,1)))),"Revisar fecha","OK")))))</f>
        <v/>
      </c>
    </row>
    <row r="386" spans="1:9" ht="22" customHeight="1">
      <c r="A386" s="3"/>
      <c r="B386" s="7"/>
      <c r="C386" s="3"/>
      <c r="D386" s="3"/>
      <c r="E386" s="3"/>
      <c r="F386" s="3"/>
      <c r="G386" s="4"/>
      <c r="H386" s="3"/>
      <c r="I386" s="1" t="str">
        <f>IF(COUNTA(A386:H386)=0,"",IF(OR(A386="",B386="",C386="",D386="",F386="",G386=""),"Faltan datos",IF(COUNTIF($A$7:$A$506,A386)&gt;1,"ID duplicado",IF(G386&lt;0,"Revisar signo",IF(OR(AND(C386="Saldo inicial",B386&lt;&gt;DATE(Configuración!$C$5,1,1)-1),AND(C386&lt;&gt;"Saldo inicial",OR(B386&lt;DATE(Configuración!$C$5,1,1),B386&gt;=DATE(Configuración!$C$5+1,1,1)))),"Revisar fecha","OK")))))</f>
        <v/>
      </c>
    </row>
    <row r="387" spans="1:9" ht="22" customHeight="1">
      <c r="A387" s="3"/>
      <c r="B387" s="7"/>
      <c r="C387" s="3"/>
      <c r="D387" s="3"/>
      <c r="E387" s="3"/>
      <c r="F387" s="3"/>
      <c r="G387" s="4"/>
      <c r="H387" s="3"/>
      <c r="I387" s="1" t="str">
        <f>IF(COUNTA(A387:H387)=0,"",IF(OR(A387="",B387="",C387="",D387="",F387="",G387=""),"Faltan datos",IF(COUNTIF($A$7:$A$506,A387)&gt;1,"ID duplicado",IF(G387&lt;0,"Revisar signo",IF(OR(AND(C387="Saldo inicial",B387&lt;&gt;DATE(Configuración!$C$5,1,1)-1),AND(C387&lt;&gt;"Saldo inicial",OR(B387&lt;DATE(Configuración!$C$5,1,1),B387&gt;=DATE(Configuración!$C$5+1,1,1)))),"Revisar fecha","OK")))))</f>
        <v/>
      </c>
    </row>
    <row r="388" spans="1:9" ht="22" customHeight="1">
      <c r="A388" s="3"/>
      <c r="B388" s="7"/>
      <c r="C388" s="3"/>
      <c r="D388" s="3"/>
      <c r="E388" s="3"/>
      <c r="F388" s="3"/>
      <c r="G388" s="4"/>
      <c r="H388" s="3"/>
      <c r="I388" s="1" t="str">
        <f>IF(COUNTA(A388:H388)=0,"",IF(OR(A388="",B388="",C388="",D388="",F388="",G388=""),"Faltan datos",IF(COUNTIF($A$7:$A$506,A388)&gt;1,"ID duplicado",IF(G388&lt;0,"Revisar signo",IF(OR(AND(C388="Saldo inicial",B388&lt;&gt;DATE(Configuración!$C$5,1,1)-1),AND(C388&lt;&gt;"Saldo inicial",OR(B388&lt;DATE(Configuración!$C$5,1,1),B388&gt;=DATE(Configuración!$C$5+1,1,1)))),"Revisar fecha","OK")))))</f>
        <v/>
      </c>
    </row>
    <row r="389" spans="1:9" ht="22" customHeight="1">
      <c r="A389" s="3"/>
      <c r="B389" s="7"/>
      <c r="C389" s="3"/>
      <c r="D389" s="3"/>
      <c r="E389" s="3"/>
      <c r="F389" s="3"/>
      <c r="G389" s="4"/>
      <c r="H389" s="3"/>
      <c r="I389" s="1" t="str">
        <f>IF(COUNTA(A389:H389)=0,"",IF(OR(A389="",B389="",C389="",D389="",F389="",G389=""),"Faltan datos",IF(COUNTIF($A$7:$A$506,A389)&gt;1,"ID duplicado",IF(G389&lt;0,"Revisar signo",IF(OR(AND(C389="Saldo inicial",B389&lt;&gt;DATE(Configuración!$C$5,1,1)-1),AND(C389&lt;&gt;"Saldo inicial",OR(B389&lt;DATE(Configuración!$C$5,1,1),B389&gt;=DATE(Configuración!$C$5+1,1,1)))),"Revisar fecha","OK")))))</f>
        <v/>
      </c>
    </row>
    <row r="390" spans="1:9" ht="22" customHeight="1">
      <c r="A390" s="3"/>
      <c r="B390" s="7"/>
      <c r="C390" s="3"/>
      <c r="D390" s="3"/>
      <c r="E390" s="3"/>
      <c r="F390" s="3"/>
      <c r="G390" s="4"/>
      <c r="H390" s="3"/>
      <c r="I390" s="1" t="str">
        <f>IF(COUNTA(A390:H390)=0,"",IF(OR(A390="",B390="",C390="",D390="",F390="",G390=""),"Faltan datos",IF(COUNTIF($A$7:$A$506,A390)&gt;1,"ID duplicado",IF(G390&lt;0,"Revisar signo",IF(OR(AND(C390="Saldo inicial",B390&lt;&gt;DATE(Configuración!$C$5,1,1)-1),AND(C390&lt;&gt;"Saldo inicial",OR(B390&lt;DATE(Configuración!$C$5,1,1),B390&gt;=DATE(Configuración!$C$5+1,1,1)))),"Revisar fecha","OK")))))</f>
        <v/>
      </c>
    </row>
    <row r="391" spans="1:9" ht="22" customHeight="1">
      <c r="A391" s="3"/>
      <c r="B391" s="7"/>
      <c r="C391" s="3"/>
      <c r="D391" s="3"/>
      <c r="E391" s="3"/>
      <c r="F391" s="3"/>
      <c r="G391" s="4"/>
      <c r="H391" s="3"/>
      <c r="I391" s="1" t="str">
        <f>IF(COUNTA(A391:H391)=0,"",IF(OR(A391="",B391="",C391="",D391="",F391="",G391=""),"Faltan datos",IF(COUNTIF($A$7:$A$506,A391)&gt;1,"ID duplicado",IF(G391&lt;0,"Revisar signo",IF(OR(AND(C391="Saldo inicial",B391&lt;&gt;DATE(Configuración!$C$5,1,1)-1),AND(C391&lt;&gt;"Saldo inicial",OR(B391&lt;DATE(Configuración!$C$5,1,1),B391&gt;=DATE(Configuración!$C$5+1,1,1)))),"Revisar fecha","OK")))))</f>
        <v/>
      </c>
    </row>
    <row r="392" spans="1:9" ht="22" customHeight="1">
      <c r="A392" s="3"/>
      <c r="B392" s="7"/>
      <c r="C392" s="3"/>
      <c r="D392" s="3"/>
      <c r="E392" s="3"/>
      <c r="F392" s="3"/>
      <c r="G392" s="4"/>
      <c r="H392" s="3"/>
      <c r="I392" s="1" t="str">
        <f>IF(COUNTA(A392:H392)=0,"",IF(OR(A392="",B392="",C392="",D392="",F392="",G392=""),"Faltan datos",IF(COUNTIF($A$7:$A$506,A392)&gt;1,"ID duplicado",IF(G392&lt;0,"Revisar signo",IF(OR(AND(C392="Saldo inicial",B392&lt;&gt;DATE(Configuración!$C$5,1,1)-1),AND(C392&lt;&gt;"Saldo inicial",OR(B392&lt;DATE(Configuración!$C$5,1,1),B392&gt;=DATE(Configuración!$C$5+1,1,1)))),"Revisar fecha","OK")))))</f>
        <v/>
      </c>
    </row>
    <row r="393" spans="1:9" ht="22" customHeight="1">
      <c r="A393" s="3"/>
      <c r="B393" s="7"/>
      <c r="C393" s="3"/>
      <c r="D393" s="3"/>
      <c r="E393" s="3"/>
      <c r="F393" s="3"/>
      <c r="G393" s="4"/>
      <c r="H393" s="3"/>
      <c r="I393" s="1" t="str">
        <f>IF(COUNTA(A393:H393)=0,"",IF(OR(A393="",B393="",C393="",D393="",F393="",G393=""),"Faltan datos",IF(COUNTIF($A$7:$A$506,A393)&gt;1,"ID duplicado",IF(G393&lt;0,"Revisar signo",IF(OR(AND(C393="Saldo inicial",B393&lt;&gt;DATE(Configuración!$C$5,1,1)-1),AND(C393&lt;&gt;"Saldo inicial",OR(B393&lt;DATE(Configuración!$C$5,1,1),B393&gt;=DATE(Configuración!$C$5+1,1,1)))),"Revisar fecha","OK")))))</f>
        <v/>
      </c>
    </row>
    <row r="394" spans="1:9" ht="22" customHeight="1">
      <c r="A394" s="3"/>
      <c r="B394" s="7"/>
      <c r="C394" s="3"/>
      <c r="D394" s="3"/>
      <c r="E394" s="3"/>
      <c r="F394" s="3"/>
      <c r="G394" s="4"/>
      <c r="H394" s="3"/>
      <c r="I394" s="1" t="str">
        <f>IF(COUNTA(A394:H394)=0,"",IF(OR(A394="",B394="",C394="",D394="",F394="",G394=""),"Faltan datos",IF(COUNTIF($A$7:$A$506,A394)&gt;1,"ID duplicado",IF(G394&lt;0,"Revisar signo",IF(OR(AND(C394="Saldo inicial",B394&lt;&gt;DATE(Configuración!$C$5,1,1)-1),AND(C394&lt;&gt;"Saldo inicial",OR(B394&lt;DATE(Configuración!$C$5,1,1),B394&gt;=DATE(Configuración!$C$5+1,1,1)))),"Revisar fecha","OK")))))</f>
        <v/>
      </c>
    </row>
    <row r="395" spans="1:9" ht="22" customHeight="1">
      <c r="A395" s="3"/>
      <c r="B395" s="7"/>
      <c r="C395" s="3"/>
      <c r="D395" s="3"/>
      <c r="E395" s="3"/>
      <c r="F395" s="3"/>
      <c r="G395" s="4"/>
      <c r="H395" s="3"/>
      <c r="I395" s="1" t="str">
        <f>IF(COUNTA(A395:H395)=0,"",IF(OR(A395="",B395="",C395="",D395="",F395="",G395=""),"Faltan datos",IF(COUNTIF($A$7:$A$506,A395)&gt;1,"ID duplicado",IF(G395&lt;0,"Revisar signo",IF(OR(AND(C395="Saldo inicial",B395&lt;&gt;DATE(Configuración!$C$5,1,1)-1),AND(C395&lt;&gt;"Saldo inicial",OR(B395&lt;DATE(Configuración!$C$5,1,1),B395&gt;=DATE(Configuración!$C$5+1,1,1)))),"Revisar fecha","OK")))))</f>
        <v/>
      </c>
    </row>
    <row r="396" spans="1:9" ht="22" customHeight="1">
      <c r="A396" s="3"/>
      <c r="B396" s="7"/>
      <c r="C396" s="3"/>
      <c r="D396" s="3"/>
      <c r="E396" s="3"/>
      <c r="F396" s="3"/>
      <c r="G396" s="4"/>
      <c r="H396" s="3"/>
      <c r="I396" s="1" t="str">
        <f>IF(COUNTA(A396:H396)=0,"",IF(OR(A396="",B396="",C396="",D396="",F396="",G396=""),"Faltan datos",IF(COUNTIF($A$7:$A$506,A396)&gt;1,"ID duplicado",IF(G396&lt;0,"Revisar signo",IF(OR(AND(C396="Saldo inicial",B396&lt;&gt;DATE(Configuración!$C$5,1,1)-1),AND(C396&lt;&gt;"Saldo inicial",OR(B396&lt;DATE(Configuración!$C$5,1,1),B396&gt;=DATE(Configuración!$C$5+1,1,1)))),"Revisar fecha","OK")))))</f>
        <v/>
      </c>
    </row>
    <row r="397" spans="1:9" ht="22" customHeight="1">
      <c r="A397" s="3"/>
      <c r="B397" s="7"/>
      <c r="C397" s="3"/>
      <c r="D397" s="3"/>
      <c r="E397" s="3"/>
      <c r="F397" s="3"/>
      <c r="G397" s="4"/>
      <c r="H397" s="3"/>
      <c r="I397" s="1" t="str">
        <f>IF(COUNTA(A397:H397)=0,"",IF(OR(A397="",B397="",C397="",D397="",F397="",G397=""),"Faltan datos",IF(COUNTIF($A$7:$A$506,A397)&gt;1,"ID duplicado",IF(G397&lt;0,"Revisar signo",IF(OR(AND(C397="Saldo inicial",B397&lt;&gt;DATE(Configuración!$C$5,1,1)-1),AND(C397&lt;&gt;"Saldo inicial",OR(B397&lt;DATE(Configuración!$C$5,1,1),B397&gt;=DATE(Configuración!$C$5+1,1,1)))),"Revisar fecha","OK")))))</f>
        <v/>
      </c>
    </row>
    <row r="398" spans="1:9" ht="22" customHeight="1">
      <c r="A398" s="3"/>
      <c r="B398" s="7"/>
      <c r="C398" s="3"/>
      <c r="D398" s="3"/>
      <c r="E398" s="3"/>
      <c r="F398" s="3"/>
      <c r="G398" s="4"/>
      <c r="H398" s="3"/>
      <c r="I398" s="1" t="str">
        <f>IF(COUNTA(A398:H398)=0,"",IF(OR(A398="",B398="",C398="",D398="",F398="",G398=""),"Faltan datos",IF(COUNTIF($A$7:$A$506,A398)&gt;1,"ID duplicado",IF(G398&lt;0,"Revisar signo",IF(OR(AND(C398="Saldo inicial",B398&lt;&gt;DATE(Configuración!$C$5,1,1)-1),AND(C398&lt;&gt;"Saldo inicial",OR(B398&lt;DATE(Configuración!$C$5,1,1),B398&gt;=DATE(Configuración!$C$5+1,1,1)))),"Revisar fecha","OK")))))</f>
        <v/>
      </c>
    </row>
    <row r="399" spans="1:9" ht="22" customHeight="1">
      <c r="A399" s="3"/>
      <c r="B399" s="7"/>
      <c r="C399" s="3"/>
      <c r="D399" s="3"/>
      <c r="E399" s="3"/>
      <c r="F399" s="3"/>
      <c r="G399" s="4"/>
      <c r="H399" s="3"/>
      <c r="I399" s="1" t="str">
        <f>IF(COUNTA(A399:H399)=0,"",IF(OR(A399="",B399="",C399="",D399="",F399="",G399=""),"Faltan datos",IF(COUNTIF($A$7:$A$506,A399)&gt;1,"ID duplicado",IF(G399&lt;0,"Revisar signo",IF(OR(AND(C399="Saldo inicial",B399&lt;&gt;DATE(Configuración!$C$5,1,1)-1),AND(C399&lt;&gt;"Saldo inicial",OR(B399&lt;DATE(Configuración!$C$5,1,1),B399&gt;=DATE(Configuración!$C$5+1,1,1)))),"Revisar fecha","OK")))))</f>
        <v/>
      </c>
    </row>
    <row r="400" spans="1:9" ht="22" customHeight="1">
      <c r="A400" s="3"/>
      <c r="B400" s="7"/>
      <c r="C400" s="3"/>
      <c r="D400" s="3"/>
      <c r="E400" s="3"/>
      <c r="F400" s="3"/>
      <c r="G400" s="4"/>
      <c r="H400" s="3"/>
      <c r="I400" s="1" t="str">
        <f>IF(COUNTA(A400:H400)=0,"",IF(OR(A400="",B400="",C400="",D400="",F400="",G400=""),"Faltan datos",IF(COUNTIF($A$7:$A$506,A400)&gt;1,"ID duplicado",IF(G400&lt;0,"Revisar signo",IF(OR(AND(C400="Saldo inicial",B400&lt;&gt;DATE(Configuración!$C$5,1,1)-1),AND(C400&lt;&gt;"Saldo inicial",OR(B400&lt;DATE(Configuración!$C$5,1,1),B400&gt;=DATE(Configuración!$C$5+1,1,1)))),"Revisar fecha","OK")))))</f>
        <v/>
      </c>
    </row>
    <row r="401" spans="1:9" ht="22" customHeight="1">
      <c r="A401" s="3"/>
      <c r="B401" s="7"/>
      <c r="C401" s="3"/>
      <c r="D401" s="3"/>
      <c r="E401" s="3"/>
      <c r="F401" s="3"/>
      <c r="G401" s="4"/>
      <c r="H401" s="3"/>
      <c r="I401" s="1" t="str">
        <f>IF(COUNTA(A401:H401)=0,"",IF(OR(A401="",B401="",C401="",D401="",F401="",G401=""),"Faltan datos",IF(COUNTIF($A$7:$A$506,A401)&gt;1,"ID duplicado",IF(G401&lt;0,"Revisar signo",IF(OR(AND(C401="Saldo inicial",B401&lt;&gt;DATE(Configuración!$C$5,1,1)-1),AND(C401&lt;&gt;"Saldo inicial",OR(B401&lt;DATE(Configuración!$C$5,1,1),B401&gt;=DATE(Configuración!$C$5+1,1,1)))),"Revisar fecha","OK")))))</f>
        <v/>
      </c>
    </row>
    <row r="402" spans="1:9" ht="22" customHeight="1">
      <c r="A402" s="3"/>
      <c r="B402" s="7"/>
      <c r="C402" s="3"/>
      <c r="D402" s="3"/>
      <c r="E402" s="3"/>
      <c r="F402" s="3"/>
      <c r="G402" s="4"/>
      <c r="H402" s="3"/>
      <c r="I402" s="1" t="str">
        <f>IF(COUNTA(A402:H402)=0,"",IF(OR(A402="",B402="",C402="",D402="",F402="",G402=""),"Faltan datos",IF(COUNTIF($A$7:$A$506,A402)&gt;1,"ID duplicado",IF(G402&lt;0,"Revisar signo",IF(OR(AND(C402="Saldo inicial",B402&lt;&gt;DATE(Configuración!$C$5,1,1)-1),AND(C402&lt;&gt;"Saldo inicial",OR(B402&lt;DATE(Configuración!$C$5,1,1),B402&gt;=DATE(Configuración!$C$5+1,1,1)))),"Revisar fecha","OK")))))</f>
        <v/>
      </c>
    </row>
    <row r="403" spans="1:9" ht="22" customHeight="1">
      <c r="A403" s="3"/>
      <c r="B403" s="7"/>
      <c r="C403" s="3"/>
      <c r="D403" s="3"/>
      <c r="E403" s="3"/>
      <c r="F403" s="3"/>
      <c r="G403" s="4"/>
      <c r="H403" s="3"/>
      <c r="I403" s="1" t="str">
        <f>IF(COUNTA(A403:H403)=0,"",IF(OR(A403="",B403="",C403="",D403="",F403="",G403=""),"Faltan datos",IF(COUNTIF($A$7:$A$506,A403)&gt;1,"ID duplicado",IF(G403&lt;0,"Revisar signo",IF(OR(AND(C403="Saldo inicial",B403&lt;&gt;DATE(Configuración!$C$5,1,1)-1),AND(C403&lt;&gt;"Saldo inicial",OR(B403&lt;DATE(Configuración!$C$5,1,1),B403&gt;=DATE(Configuración!$C$5+1,1,1)))),"Revisar fecha","OK")))))</f>
        <v/>
      </c>
    </row>
    <row r="404" spans="1:9" ht="22" customHeight="1">
      <c r="A404" s="3"/>
      <c r="B404" s="7"/>
      <c r="C404" s="3"/>
      <c r="D404" s="3"/>
      <c r="E404" s="3"/>
      <c r="F404" s="3"/>
      <c r="G404" s="4"/>
      <c r="H404" s="3"/>
      <c r="I404" s="1" t="str">
        <f>IF(COUNTA(A404:H404)=0,"",IF(OR(A404="",B404="",C404="",D404="",F404="",G404=""),"Faltan datos",IF(COUNTIF($A$7:$A$506,A404)&gt;1,"ID duplicado",IF(G404&lt;0,"Revisar signo",IF(OR(AND(C404="Saldo inicial",B404&lt;&gt;DATE(Configuración!$C$5,1,1)-1),AND(C404&lt;&gt;"Saldo inicial",OR(B404&lt;DATE(Configuración!$C$5,1,1),B404&gt;=DATE(Configuración!$C$5+1,1,1)))),"Revisar fecha","OK")))))</f>
        <v/>
      </c>
    </row>
    <row r="405" spans="1:9" ht="22" customHeight="1">
      <c r="A405" s="3"/>
      <c r="B405" s="7"/>
      <c r="C405" s="3"/>
      <c r="D405" s="3"/>
      <c r="E405" s="3"/>
      <c r="F405" s="3"/>
      <c r="G405" s="4"/>
      <c r="H405" s="3"/>
      <c r="I405" s="1" t="str">
        <f>IF(COUNTA(A405:H405)=0,"",IF(OR(A405="",B405="",C405="",D405="",F405="",G405=""),"Faltan datos",IF(COUNTIF($A$7:$A$506,A405)&gt;1,"ID duplicado",IF(G405&lt;0,"Revisar signo",IF(OR(AND(C405="Saldo inicial",B405&lt;&gt;DATE(Configuración!$C$5,1,1)-1),AND(C405&lt;&gt;"Saldo inicial",OR(B405&lt;DATE(Configuración!$C$5,1,1),B405&gt;=DATE(Configuración!$C$5+1,1,1)))),"Revisar fecha","OK")))))</f>
        <v/>
      </c>
    </row>
    <row r="406" spans="1:9" ht="22" customHeight="1">
      <c r="A406" s="3"/>
      <c r="B406" s="7"/>
      <c r="C406" s="3"/>
      <c r="D406" s="3"/>
      <c r="E406" s="3"/>
      <c r="F406" s="3"/>
      <c r="G406" s="4"/>
      <c r="H406" s="3"/>
      <c r="I406" s="1" t="str">
        <f>IF(COUNTA(A406:H406)=0,"",IF(OR(A406="",B406="",C406="",D406="",F406="",G406=""),"Faltan datos",IF(COUNTIF($A$7:$A$506,A406)&gt;1,"ID duplicado",IF(G406&lt;0,"Revisar signo",IF(OR(AND(C406="Saldo inicial",B406&lt;&gt;DATE(Configuración!$C$5,1,1)-1),AND(C406&lt;&gt;"Saldo inicial",OR(B406&lt;DATE(Configuración!$C$5,1,1),B406&gt;=DATE(Configuración!$C$5+1,1,1)))),"Revisar fecha","OK")))))</f>
        <v/>
      </c>
    </row>
    <row r="407" spans="1:9" ht="22" customHeight="1">
      <c r="A407" s="3"/>
      <c r="B407" s="7"/>
      <c r="C407" s="3"/>
      <c r="D407" s="3"/>
      <c r="E407" s="3"/>
      <c r="F407" s="3"/>
      <c r="G407" s="4"/>
      <c r="H407" s="3"/>
      <c r="I407" s="1" t="str">
        <f>IF(COUNTA(A407:H407)=0,"",IF(OR(A407="",B407="",C407="",D407="",F407="",G407=""),"Faltan datos",IF(COUNTIF($A$7:$A$506,A407)&gt;1,"ID duplicado",IF(G407&lt;0,"Revisar signo",IF(OR(AND(C407="Saldo inicial",B407&lt;&gt;DATE(Configuración!$C$5,1,1)-1),AND(C407&lt;&gt;"Saldo inicial",OR(B407&lt;DATE(Configuración!$C$5,1,1),B407&gt;=DATE(Configuración!$C$5+1,1,1)))),"Revisar fecha","OK")))))</f>
        <v/>
      </c>
    </row>
    <row r="408" spans="1:9" ht="22" customHeight="1">
      <c r="A408" s="3"/>
      <c r="B408" s="7"/>
      <c r="C408" s="3"/>
      <c r="D408" s="3"/>
      <c r="E408" s="3"/>
      <c r="F408" s="3"/>
      <c r="G408" s="4"/>
      <c r="H408" s="3"/>
      <c r="I408" s="1" t="str">
        <f>IF(COUNTA(A408:H408)=0,"",IF(OR(A408="",B408="",C408="",D408="",F408="",G408=""),"Faltan datos",IF(COUNTIF($A$7:$A$506,A408)&gt;1,"ID duplicado",IF(G408&lt;0,"Revisar signo",IF(OR(AND(C408="Saldo inicial",B408&lt;&gt;DATE(Configuración!$C$5,1,1)-1),AND(C408&lt;&gt;"Saldo inicial",OR(B408&lt;DATE(Configuración!$C$5,1,1),B408&gt;=DATE(Configuración!$C$5+1,1,1)))),"Revisar fecha","OK")))))</f>
        <v/>
      </c>
    </row>
    <row r="409" spans="1:9" ht="22" customHeight="1">
      <c r="A409" s="3"/>
      <c r="B409" s="7"/>
      <c r="C409" s="3"/>
      <c r="D409" s="3"/>
      <c r="E409" s="3"/>
      <c r="F409" s="3"/>
      <c r="G409" s="4"/>
      <c r="H409" s="3"/>
      <c r="I409" s="1" t="str">
        <f>IF(COUNTA(A409:H409)=0,"",IF(OR(A409="",B409="",C409="",D409="",F409="",G409=""),"Faltan datos",IF(COUNTIF($A$7:$A$506,A409)&gt;1,"ID duplicado",IF(G409&lt;0,"Revisar signo",IF(OR(AND(C409="Saldo inicial",B409&lt;&gt;DATE(Configuración!$C$5,1,1)-1),AND(C409&lt;&gt;"Saldo inicial",OR(B409&lt;DATE(Configuración!$C$5,1,1),B409&gt;=DATE(Configuración!$C$5+1,1,1)))),"Revisar fecha","OK")))))</f>
        <v/>
      </c>
    </row>
    <row r="410" spans="1:9" ht="22" customHeight="1">
      <c r="A410" s="3"/>
      <c r="B410" s="7"/>
      <c r="C410" s="3"/>
      <c r="D410" s="3"/>
      <c r="E410" s="3"/>
      <c r="F410" s="3"/>
      <c r="G410" s="4"/>
      <c r="H410" s="3"/>
      <c r="I410" s="1" t="str">
        <f>IF(COUNTA(A410:H410)=0,"",IF(OR(A410="",B410="",C410="",D410="",F410="",G410=""),"Faltan datos",IF(COUNTIF($A$7:$A$506,A410)&gt;1,"ID duplicado",IF(G410&lt;0,"Revisar signo",IF(OR(AND(C410="Saldo inicial",B410&lt;&gt;DATE(Configuración!$C$5,1,1)-1),AND(C410&lt;&gt;"Saldo inicial",OR(B410&lt;DATE(Configuración!$C$5,1,1),B410&gt;=DATE(Configuración!$C$5+1,1,1)))),"Revisar fecha","OK")))))</f>
        <v/>
      </c>
    </row>
    <row r="411" spans="1:9" ht="22" customHeight="1">
      <c r="A411" s="3"/>
      <c r="B411" s="7"/>
      <c r="C411" s="3"/>
      <c r="D411" s="3"/>
      <c r="E411" s="3"/>
      <c r="F411" s="3"/>
      <c r="G411" s="4"/>
      <c r="H411" s="3"/>
      <c r="I411" s="1" t="str">
        <f>IF(COUNTA(A411:H411)=0,"",IF(OR(A411="",B411="",C411="",D411="",F411="",G411=""),"Faltan datos",IF(COUNTIF($A$7:$A$506,A411)&gt;1,"ID duplicado",IF(G411&lt;0,"Revisar signo",IF(OR(AND(C411="Saldo inicial",B411&lt;&gt;DATE(Configuración!$C$5,1,1)-1),AND(C411&lt;&gt;"Saldo inicial",OR(B411&lt;DATE(Configuración!$C$5,1,1),B411&gt;=DATE(Configuración!$C$5+1,1,1)))),"Revisar fecha","OK")))))</f>
        <v/>
      </c>
    </row>
    <row r="412" spans="1:9" ht="22" customHeight="1">
      <c r="A412" s="3"/>
      <c r="B412" s="7"/>
      <c r="C412" s="3"/>
      <c r="D412" s="3"/>
      <c r="E412" s="3"/>
      <c r="F412" s="3"/>
      <c r="G412" s="4"/>
      <c r="H412" s="3"/>
      <c r="I412" s="1" t="str">
        <f>IF(COUNTA(A412:H412)=0,"",IF(OR(A412="",B412="",C412="",D412="",F412="",G412=""),"Faltan datos",IF(COUNTIF($A$7:$A$506,A412)&gt;1,"ID duplicado",IF(G412&lt;0,"Revisar signo",IF(OR(AND(C412="Saldo inicial",B412&lt;&gt;DATE(Configuración!$C$5,1,1)-1),AND(C412&lt;&gt;"Saldo inicial",OR(B412&lt;DATE(Configuración!$C$5,1,1),B412&gt;=DATE(Configuración!$C$5+1,1,1)))),"Revisar fecha","OK")))))</f>
        <v/>
      </c>
    </row>
    <row r="413" spans="1:9" ht="22" customHeight="1">
      <c r="A413" s="3"/>
      <c r="B413" s="7"/>
      <c r="C413" s="3"/>
      <c r="D413" s="3"/>
      <c r="E413" s="3"/>
      <c r="F413" s="3"/>
      <c r="G413" s="4"/>
      <c r="H413" s="3"/>
      <c r="I413" s="1" t="str">
        <f>IF(COUNTA(A413:H413)=0,"",IF(OR(A413="",B413="",C413="",D413="",F413="",G413=""),"Faltan datos",IF(COUNTIF($A$7:$A$506,A413)&gt;1,"ID duplicado",IF(G413&lt;0,"Revisar signo",IF(OR(AND(C413="Saldo inicial",B413&lt;&gt;DATE(Configuración!$C$5,1,1)-1),AND(C413&lt;&gt;"Saldo inicial",OR(B413&lt;DATE(Configuración!$C$5,1,1),B413&gt;=DATE(Configuración!$C$5+1,1,1)))),"Revisar fecha","OK")))))</f>
        <v/>
      </c>
    </row>
    <row r="414" spans="1:9" ht="22" customHeight="1">
      <c r="A414" s="3"/>
      <c r="B414" s="7"/>
      <c r="C414" s="3"/>
      <c r="D414" s="3"/>
      <c r="E414" s="3"/>
      <c r="F414" s="3"/>
      <c r="G414" s="4"/>
      <c r="H414" s="3"/>
      <c r="I414" s="1" t="str">
        <f>IF(COUNTA(A414:H414)=0,"",IF(OR(A414="",B414="",C414="",D414="",F414="",G414=""),"Faltan datos",IF(COUNTIF($A$7:$A$506,A414)&gt;1,"ID duplicado",IF(G414&lt;0,"Revisar signo",IF(OR(AND(C414="Saldo inicial",B414&lt;&gt;DATE(Configuración!$C$5,1,1)-1),AND(C414&lt;&gt;"Saldo inicial",OR(B414&lt;DATE(Configuración!$C$5,1,1),B414&gt;=DATE(Configuración!$C$5+1,1,1)))),"Revisar fecha","OK")))))</f>
        <v/>
      </c>
    </row>
    <row r="415" spans="1:9" ht="22" customHeight="1">
      <c r="A415" s="3"/>
      <c r="B415" s="7"/>
      <c r="C415" s="3"/>
      <c r="D415" s="3"/>
      <c r="E415" s="3"/>
      <c r="F415" s="3"/>
      <c r="G415" s="4"/>
      <c r="H415" s="3"/>
      <c r="I415" s="1" t="str">
        <f>IF(COUNTA(A415:H415)=0,"",IF(OR(A415="",B415="",C415="",D415="",F415="",G415=""),"Faltan datos",IF(COUNTIF($A$7:$A$506,A415)&gt;1,"ID duplicado",IF(G415&lt;0,"Revisar signo",IF(OR(AND(C415="Saldo inicial",B415&lt;&gt;DATE(Configuración!$C$5,1,1)-1),AND(C415&lt;&gt;"Saldo inicial",OR(B415&lt;DATE(Configuración!$C$5,1,1),B415&gt;=DATE(Configuración!$C$5+1,1,1)))),"Revisar fecha","OK")))))</f>
        <v/>
      </c>
    </row>
    <row r="416" spans="1:9" ht="22" customHeight="1">
      <c r="A416" s="3"/>
      <c r="B416" s="7"/>
      <c r="C416" s="3"/>
      <c r="D416" s="3"/>
      <c r="E416" s="3"/>
      <c r="F416" s="3"/>
      <c r="G416" s="4"/>
      <c r="H416" s="3"/>
      <c r="I416" s="1" t="str">
        <f>IF(COUNTA(A416:H416)=0,"",IF(OR(A416="",B416="",C416="",D416="",F416="",G416=""),"Faltan datos",IF(COUNTIF($A$7:$A$506,A416)&gt;1,"ID duplicado",IF(G416&lt;0,"Revisar signo",IF(OR(AND(C416="Saldo inicial",B416&lt;&gt;DATE(Configuración!$C$5,1,1)-1),AND(C416&lt;&gt;"Saldo inicial",OR(B416&lt;DATE(Configuración!$C$5,1,1),B416&gt;=DATE(Configuración!$C$5+1,1,1)))),"Revisar fecha","OK")))))</f>
        <v/>
      </c>
    </row>
    <row r="417" spans="1:9" ht="22" customHeight="1">
      <c r="A417" s="3"/>
      <c r="B417" s="7"/>
      <c r="C417" s="3"/>
      <c r="D417" s="3"/>
      <c r="E417" s="3"/>
      <c r="F417" s="3"/>
      <c r="G417" s="4"/>
      <c r="H417" s="3"/>
      <c r="I417" s="1" t="str">
        <f>IF(COUNTA(A417:H417)=0,"",IF(OR(A417="",B417="",C417="",D417="",F417="",G417=""),"Faltan datos",IF(COUNTIF($A$7:$A$506,A417)&gt;1,"ID duplicado",IF(G417&lt;0,"Revisar signo",IF(OR(AND(C417="Saldo inicial",B417&lt;&gt;DATE(Configuración!$C$5,1,1)-1),AND(C417&lt;&gt;"Saldo inicial",OR(B417&lt;DATE(Configuración!$C$5,1,1),B417&gt;=DATE(Configuración!$C$5+1,1,1)))),"Revisar fecha","OK")))))</f>
        <v/>
      </c>
    </row>
    <row r="418" spans="1:9" ht="22" customHeight="1">
      <c r="A418" s="3"/>
      <c r="B418" s="7"/>
      <c r="C418" s="3"/>
      <c r="D418" s="3"/>
      <c r="E418" s="3"/>
      <c r="F418" s="3"/>
      <c r="G418" s="4"/>
      <c r="H418" s="3"/>
      <c r="I418" s="1" t="str">
        <f>IF(COUNTA(A418:H418)=0,"",IF(OR(A418="",B418="",C418="",D418="",F418="",G418=""),"Faltan datos",IF(COUNTIF($A$7:$A$506,A418)&gt;1,"ID duplicado",IF(G418&lt;0,"Revisar signo",IF(OR(AND(C418="Saldo inicial",B418&lt;&gt;DATE(Configuración!$C$5,1,1)-1),AND(C418&lt;&gt;"Saldo inicial",OR(B418&lt;DATE(Configuración!$C$5,1,1),B418&gt;=DATE(Configuración!$C$5+1,1,1)))),"Revisar fecha","OK")))))</f>
        <v/>
      </c>
    </row>
    <row r="419" spans="1:9" ht="22" customHeight="1">
      <c r="A419" s="3"/>
      <c r="B419" s="7"/>
      <c r="C419" s="3"/>
      <c r="D419" s="3"/>
      <c r="E419" s="3"/>
      <c r="F419" s="3"/>
      <c r="G419" s="4"/>
      <c r="H419" s="3"/>
      <c r="I419" s="1" t="str">
        <f>IF(COUNTA(A419:H419)=0,"",IF(OR(A419="",B419="",C419="",D419="",F419="",G419=""),"Faltan datos",IF(COUNTIF($A$7:$A$506,A419)&gt;1,"ID duplicado",IF(G419&lt;0,"Revisar signo",IF(OR(AND(C419="Saldo inicial",B419&lt;&gt;DATE(Configuración!$C$5,1,1)-1),AND(C419&lt;&gt;"Saldo inicial",OR(B419&lt;DATE(Configuración!$C$5,1,1),B419&gt;=DATE(Configuración!$C$5+1,1,1)))),"Revisar fecha","OK")))))</f>
        <v/>
      </c>
    </row>
    <row r="420" spans="1:9" ht="22" customHeight="1">
      <c r="A420" s="3"/>
      <c r="B420" s="7"/>
      <c r="C420" s="3"/>
      <c r="D420" s="3"/>
      <c r="E420" s="3"/>
      <c r="F420" s="3"/>
      <c r="G420" s="4"/>
      <c r="H420" s="3"/>
      <c r="I420" s="1" t="str">
        <f>IF(COUNTA(A420:H420)=0,"",IF(OR(A420="",B420="",C420="",D420="",F420="",G420=""),"Faltan datos",IF(COUNTIF($A$7:$A$506,A420)&gt;1,"ID duplicado",IF(G420&lt;0,"Revisar signo",IF(OR(AND(C420="Saldo inicial",B420&lt;&gt;DATE(Configuración!$C$5,1,1)-1),AND(C420&lt;&gt;"Saldo inicial",OR(B420&lt;DATE(Configuración!$C$5,1,1),B420&gt;=DATE(Configuración!$C$5+1,1,1)))),"Revisar fecha","OK")))))</f>
        <v/>
      </c>
    </row>
    <row r="421" spans="1:9" ht="22" customHeight="1">
      <c r="A421" s="3"/>
      <c r="B421" s="7"/>
      <c r="C421" s="3"/>
      <c r="D421" s="3"/>
      <c r="E421" s="3"/>
      <c r="F421" s="3"/>
      <c r="G421" s="4"/>
      <c r="H421" s="3"/>
      <c r="I421" s="1" t="str">
        <f>IF(COUNTA(A421:H421)=0,"",IF(OR(A421="",B421="",C421="",D421="",F421="",G421=""),"Faltan datos",IF(COUNTIF($A$7:$A$506,A421)&gt;1,"ID duplicado",IF(G421&lt;0,"Revisar signo",IF(OR(AND(C421="Saldo inicial",B421&lt;&gt;DATE(Configuración!$C$5,1,1)-1),AND(C421&lt;&gt;"Saldo inicial",OR(B421&lt;DATE(Configuración!$C$5,1,1),B421&gt;=DATE(Configuración!$C$5+1,1,1)))),"Revisar fecha","OK")))))</f>
        <v/>
      </c>
    </row>
    <row r="422" spans="1:9" ht="22" customHeight="1">
      <c r="A422" s="3"/>
      <c r="B422" s="7"/>
      <c r="C422" s="3"/>
      <c r="D422" s="3"/>
      <c r="E422" s="3"/>
      <c r="F422" s="3"/>
      <c r="G422" s="4"/>
      <c r="H422" s="3"/>
      <c r="I422" s="1" t="str">
        <f>IF(COUNTA(A422:H422)=0,"",IF(OR(A422="",B422="",C422="",D422="",F422="",G422=""),"Faltan datos",IF(COUNTIF($A$7:$A$506,A422)&gt;1,"ID duplicado",IF(G422&lt;0,"Revisar signo",IF(OR(AND(C422="Saldo inicial",B422&lt;&gt;DATE(Configuración!$C$5,1,1)-1),AND(C422&lt;&gt;"Saldo inicial",OR(B422&lt;DATE(Configuración!$C$5,1,1),B422&gt;=DATE(Configuración!$C$5+1,1,1)))),"Revisar fecha","OK")))))</f>
        <v/>
      </c>
    </row>
    <row r="423" spans="1:9" ht="22" customHeight="1">
      <c r="A423" s="3"/>
      <c r="B423" s="7"/>
      <c r="C423" s="3"/>
      <c r="D423" s="3"/>
      <c r="E423" s="3"/>
      <c r="F423" s="3"/>
      <c r="G423" s="4"/>
      <c r="H423" s="3"/>
      <c r="I423" s="1" t="str">
        <f>IF(COUNTA(A423:H423)=0,"",IF(OR(A423="",B423="",C423="",D423="",F423="",G423=""),"Faltan datos",IF(COUNTIF($A$7:$A$506,A423)&gt;1,"ID duplicado",IF(G423&lt;0,"Revisar signo",IF(OR(AND(C423="Saldo inicial",B423&lt;&gt;DATE(Configuración!$C$5,1,1)-1),AND(C423&lt;&gt;"Saldo inicial",OR(B423&lt;DATE(Configuración!$C$5,1,1),B423&gt;=DATE(Configuración!$C$5+1,1,1)))),"Revisar fecha","OK")))))</f>
        <v/>
      </c>
    </row>
    <row r="424" spans="1:9" ht="22" customHeight="1">
      <c r="A424" s="3"/>
      <c r="B424" s="7"/>
      <c r="C424" s="3"/>
      <c r="D424" s="3"/>
      <c r="E424" s="3"/>
      <c r="F424" s="3"/>
      <c r="G424" s="4"/>
      <c r="H424" s="3"/>
      <c r="I424" s="1" t="str">
        <f>IF(COUNTA(A424:H424)=0,"",IF(OR(A424="",B424="",C424="",D424="",F424="",G424=""),"Faltan datos",IF(COUNTIF($A$7:$A$506,A424)&gt;1,"ID duplicado",IF(G424&lt;0,"Revisar signo",IF(OR(AND(C424="Saldo inicial",B424&lt;&gt;DATE(Configuración!$C$5,1,1)-1),AND(C424&lt;&gt;"Saldo inicial",OR(B424&lt;DATE(Configuración!$C$5,1,1),B424&gt;=DATE(Configuración!$C$5+1,1,1)))),"Revisar fecha","OK")))))</f>
        <v/>
      </c>
    </row>
    <row r="425" spans="1:9" ht="22" customHeight="1">
      <c r="A425" s="3"/>
      <c r="B425" s="7"/>
      <c r="C425" s="3"/>
      <c r="D425" s="3"/>
      <c r="E425" s="3"/>
      <c r="F425" s="3"/>
      <c r="G425" s="4"/>
      <c r="H425" s="3"/>
      <c r="I425" s="1" t="str">
        <f>IF(COUNTA(A425:H425)=0,"",IF(OR(A425="",B425="",C425="",D425="",F425="",G425=""),"Faltan datos",IF(COUNTIF($A$7:$A$506,A425)&gt;1,"ID duplicado",IF(G425&lt;0,"Revisar signo",IF(OR(AND(C425="Saldo inicial",B425&lt;&gt;DATE(Configuración!$C$5,1,1)-1),AND(C425&lt;&gt;"Saldo inicial",OR(B425&lt;DATE(Configuración!$C$5,1,1),B425&gt;=DATE(Configuración!$C$5+1,1,1)))),"Revisar fecha","OK")))))</f>
        <v/>
      </c>
    </row>
    <row r="426" spans="1:9" ht="22" customHeight="1">
      <c r="A426" s="3"/>
      <c r="B426" s="7"/>
      <c r="C426" s="3"/>
      <c r="D426" s="3"/>
      <c r="E426" s="3"/>
      <c r="F426" s="3"/>
      <c r="G426" s="4"/>
      <c r="H426" s="3"/>
      <c r="I426" s="1" t="str">
        <f>IF(COUNTA(A426:H426)=0,"",IF(OR(A426="",B426="",C426="",D426="",F426="",G426=""),"Faltan datos",IF(COUNTIF($A$7:$A$506,A426)&gt;1,"ID duplicado",IF(G426&lt;0,"Revisar signo",IF(OR(AND(C426="Saldo inicial",B426&lt;&gt;DATE(Configuración!$C$5,1,1)-1),AND(C426&lt;&gt;"Saldo inicial",OR(B426&lt;DATE(Configuración!$C$5,1,1),B426&gt;=DATE(Configuración!$C$5+1,1,1)))),"Revisar fecha","OK")))))</f>
        <v/>
      </c>
    </row>
    <row r="427" spans="1:9" ht="22" customHeight="1">
      <c r="A427" s="3"/>
      <c r="B427" s="7"/>
      <c r="C427" s="3"/>
      <c r="D427" s="3"/>
      <c r="E427" s="3"/>
      <c r="F427" s="3"/>
      <c r="G427" s="4"/>
      <c r="H427" s="3"/>
      <c r="I427" s="1" t="str">
        <f>IF(COUNTA(A427:H427)=0,"",IF(OR(A427="",B427="",C427="",D427="",F427="",G427=""),"Faltan datos",IF(COUNTIF($A$7:$A$506,A427)&gt;1,"ID duplicado",IF(G427&lt;0,"Revisar signo",IF(OR(AND(C427="Saldo inicial",B427&lt;&gt;DATE(Configuración!$C$5,1,1)-1),AND(C427&lt;&gt;"Saldo inicial",OR(B427&lt;DATE(Configuración!$C$5,1,1),B427&gt;=DATE(Configuración!$C$5+1,1,1)))),"Revisar fecha","OK")))))</f>
        <v/>
      </c>
    </row>
    <row r="428" spans="1:9" ht="22" customHeight="1">
      <c r="A428" s="3"/>
      <c r="B428" s="7"/>
      <c r="C428" s="3"/>
      <c r="D428" s="3"/>
      <c r="E428" s="3"/>
      <c r="F428" s="3"/>
      <c r="G428" s="4"/>
      <c r="H428" s="3"/>
      <c r="I428" s="1" t="str">
        <f>IF(COUNTA(A428:H428)=0,"",IF(OR(A428="",B428="",C428="",D428="",F428="",G428=""),"Faltan datos",IF(COUNTIF($A$7:$A$506,A428)&gt;1,"ID duplicado",IF(G428&lt;0,"Revisar signo",IF(OR(AND(C428="Saldo inicial",B428&lt;&gt;DATE(Configuración!$C$5,1,1)-1),AND(C428&lt;&gt;"Saldo inicial",OR(B428&lt;DATE(Configuración!$C$5,1,1),B428&gt;=DATE(Configuración!$C$5+1,1,1)))),"Revisar fecha","OK")))))</f>
        <v/>
      </c>
    </row>
    <row r="429" spans="1:9" ht="22" customHeight="1">
      <c r="A429" s="3"/>
      <c r="B429" s="7"/>
      <c r="C429" s="3"/>
      <c r="D429" s="3"/>
      <c r="E429" s="3"/>
      <c r="F429" s="3"/>
      <c r="G429" s="4"/>
      <c r="H429" s="3"/>
      <c r="I429" s="1" t="str">
        <f>IF(COUNTA(A429:H429)=0,"",IF(OR(A429="",B429="",C429="",D429="",F429="",G429=""),"Faltan datos",IF(COUNTIF($A$7:$A$506,A429)&gt;1,"ID duplicado",IF(G429&lt;0,"Revisar signo",IF(OR(AND(C429="Saldo inicial",B429&lt;&gt;DATE(Configuración!$C$5,1,1)-1),AND(C429&lt;&gt;"Saldo inicial",OR(B429&lt;DATE(Configuración!$C$5,1,1),B429&gt;=DATE(Configuración!$C$5+1,1,1)))),"Revisar fecha","OK")))))</f>
        <v/>
      </c>
    </row>
    <row r="430" spans="1:9" ht="22" customHeight="1">
      <c r="A430" s="3"/>
      <c r="B430" s="7"/>
      <c r="C430" s="3"/>
      <c r="D430" s="3"/>
      <c r="E430" s="3"/>
      <c r="F430" s="3"/>
      <c r="G430" s="4"/>
      <c r="H430" s="3"/>
      <c r="I430" s="1" t="str">
        <f>IF(COUNTA(A430:H430)=0,"",IF(OR(A430="",B430="",C430="",D430="",F430="",G430=""),"Faltan datos",IF(COUNTIF($A$7:$A$506,A430)&gt;1,"ID duplicado",IF(G430&lt;0,"Revisar signo",IF(OR(AND(C430="Saldo inicial",B430&lt;&gt;DATE(Configuración!$C$5,1,1)-1),AND(C430&lt;&gt;"Saldo inicial",OR(B430&lt;DATE(Configuración!$C$5,1,1),B430&gt;=DATE(Configuración!$C$5+1,1,1)))),"Revisar fecha","OK")))))</f>
        <v/>
      </c>
    </row>
    <row r="431" spans="1:9" ht="22" customHeight="1">
      <c r="A431" s="3"/>
      <c r="B431" s="7"/>
      <c r="C431" s="3"/>
      <c r="D431" s="3"/>
      <c r="E431" s="3"/>
      <c r="F431" s="3"/>
      <c r="G431" s="4"/>
      <c r="H431" s="3"/>
      <c r="I431" s="1" t="str">
        <f>IF(COUNTA(A431:H431)=0,"",IF(OR(A431="",B431="",C431="",D431="",F431="",G431=""),"Faltan datos",IF(COUNTIF($A$7:$A$506,A431)&gt;1,"ID duplicado",IF(G431&lt;0,"Revisar signo",IF(OR(AND(C431="Saldo inicial",B431&lt;&gt;DATE(Configuración!$C$5,1,1)-1),AND(C431&lt;&gt;"Saldo inicial",OR(B431&lt;DATE(Configuración!$C$5,1,1),B431&gt;=DATE(Configuración!$C$5+1,1,1)))),"Revisar fecha","OK")))))</f>
        <v/>
      </c>
    </row>
    <row r="432" spans="1:9" ht="22" customHeight="1">
      <c r="A432" s="3"/>
      <c r="B432" s="7"/>
      <c r="C432" s="3"/>
      <c r="D432" s="3"/>
      <c r="E432" s="3"/>
      <c r="F432" s="3"/>
      <c r="G432" s="4"/>
      <c r="H432" s="3"/>
      <c r="I432" s="1" t="str">
        <f>IF(COUNTA(A432:H432)=0,"",IF(OR(A432="",B432="",C432="",D432="",F432="",G432=""),"Faltan datos",IF(COUNTIF($A$7:$A$506,A432)&gt;1,"ID duplicado",IF(G432&lt;0,"Revisar signo",IF(OR(AND(C432="Saldo inicial",B432&lt;&gt;DATE(Configuración!$C$5,1,1)-1),AND(C432&lt;&gt;"Saldo inicial",OR(B432&lt;DATE(Configuración!$C$5,1,1),B432&gt;=DATE(Configuración!$C$5+1,1,1)))),"Revisar fecha","OK")))))</f>
        <v/>
      </c>
    </row>
    <row r="433" spans="1:9" ht="22" customHeight="1">
      <c r="A433" s="3"/>
      <c r="B433" s="7"/>
      <c r="C433" s="3"/>
      <c r="D433" s="3"/>
      <c r="E433" s="3"/>
      <c r="F433" s="3"/>
      <c r="G433" s="4"/>
      <c r="H433" s="3"/>
      <c r="I433" s="1" t="str">
        <f>IF(COUNTA(A433:H433)=0,"",IF(OR(A433="",B433="",C433="",D433="",F433="",G433=""),"Faltan datos",IF(COUNTIF($A$7:$A$506,A433)&gt;1,"ID duplicado",IF(G433&lt;0,"Revisar signo",IF(OR(AND(C433="Saldo inicial",B433&lt;&gt;DATE(Configuración!$C$5,1,1)-1),AND(C433&lt;&gt;"Saldo inicial",OR(B433&lt;DATE(Configuración!$C$5,1,1),B433&gt;=DATE(Configuración!$C$5+1,1,1)))),"Revisar fecha","OK")))))</f>
        <v/>
      </c>
    </row>
    <row r="434" spans="1:9" ht="22" customHeight="1">
      <c r="A434" s="3"/>
      <c r="B434" s="7"/>
      <c r="C434" s="3"/>
      <c r="D434" s="3"/>
      <c r="E434" s="3"/>
      <c r="F434" s="3"/>
      <c r="G434" s="4"/>
      <c r="H434" s="3"/>
      <c r="I434" s="1" t="str">
        <f>IF(COUNTA(A434:H434)=0,"",IF(OR(A434="",B434="",C434="",D434="",F434="",G434=""),"Faltan datos",IF(COUNTIF($A$7:$A$506,A434)&gt;1,"ID duplicado",IF(G434&lt;0,"Revisar signo",IF(OR(AND(C434="Saldo inicial",B434&lt;&gt;DATE(Configuración!$C$5,1,1)-1),AND(C434&lt;&gt;"Saldo inicial",OR(B434&lt;DATE(Configuración!$C$5,1,1),B434&gt;=DATE(Configuración!$C$5+1,1,1)))),"Revisar fecha","OK")))))</f>
        <v/>
      </c>
    </row>
    <row r="435" spans="1:9" ht="22" customHeight="1">
      <c r="A435" s="3"/>
      <c r="B435" s="7"/>
      <c r="C435" s="3"/>
      <c r="D435" s="3"/>
      <c r="E435" s="3"/>
      <c r="F435" s="3"/>
      <c r="G435" s="4"/>
      <c r="H435" s="3"/>
      <c r="I435" s="1" t="str">
        <f>IF(COUNTA(A435:H435)=0,"",IF(OR(A435="",B435="",C435="",D435="",F435="",G435=""),"Faltan datos",IF(COUNTIF($A$7:$A$506,A435)&gt;1,"ID duplicado",IF(G435&lt;0,"Revisar signo",IF(OR(AND(C435="Saldo inicial",B435&lt;&gt;DATE(Configuración!$C$5,1,1)-1),AND(C435&lt;&gt;"Saldo inicial",OR(B435&lt;DATE(Configuración!$C$5,1,1),B435&gt;=DATE(Configuración!$C$5+1,1,1)))),"Revisar fecha","OK")))))</f>
        <v/>
      </c>
    </row>
    <row r="436" spans="1:9" ht="22" customHeight="1">
      <c r="A436" s="3"/>
      <c r="B436" s="7"/>
      <c r="C436" s="3"/>
      <c r="D436" s="3"/>
      <c r="E436" s="3"/>
      <c r="F436" s="3"/>
      <c r="G436" s="4"/>
      <c r="H436" s="3"/>
      <c r="I436" s="1" t="str">
        <f>IF(COUNTA(A436:H436)=0,"",IF(OR(A436="",B436="",C436="",D436="",F436="",G436=""),"Faltan datos",IF(COUNTIF($A$7:$A$506,A436)&gt;1,"ID duplicado",IF(G436&lt;0,"Revisar signo",IF(OR(AND(C436="Saldo inicial",B436&lt;&gt;DATE(Configuración!$C$5,1,1)-1),AND(C436&lt;&gt;"Saldo inicial",OR(B436&lt;DATE(Configuración!$C$5,1,1),B436&gt;=DATE(Configuración!$C$5+1,1,1)))),"Revisar fecha","OK")))))</f>
        <v/>
      </c>
    </row>
    <row r="437" spans="1:9" ht="22" customHeight="1">
      <c r="A437" s="3"/>
      <c r="B437" s="7"/>
      <c r="C437" s="3"/>
      <c r="D437" s="3"/>
      <c r="E437" s="3"/>
      <c r="F437" s="3"/>
      <c r="G437" s="4"/>
      <c r="H437" s="3"/>
      <c r="I437" s="1" t="str">
        <f>IF(COUNTA(A437:H437)=0,"",IF(OR(A437="",B437="",C437="",D437="",F437="",G437=""),"Faltan datos",IF(COUNTIF($A$7:$A$506,A437)&gt;1,"ID duplicado",IF(G437&lt;0,"Revisar signo",IF(OR(AND(C437="Saldo inicial",B437&lt;&gt;DATE(Configuración!$C$5,1,1)-1),AND(C437&lt;&gt;"Saldo inicial",OR(B437&lt;DATE(Configuración!$C$5,1,1),B437&gt;=DATE(Configuración!$C$5+1,1,1)))),"Revisar fecha","OK")))))</f>
        <v/>
      </c>
    </row>
    <row r="438" spans="1:9" ht="22" customHeight="1">
      <c r="A438" s="3"/>
      <c r="B438" s="7"/>
      <c r="C438" s="3"/>
      <c r="D438" s="3"/>
      <c r="E438" s="3"/>
      <c r="F438" s="3"/>
      <c r="G438" s="4"/>
      <c r="H438" s="3"/>
      <c r="I438" s="1" t="str">
        <f>IF(COUNTA(A438:H438)=0,"",IF(OR(A438="",B438="",C438="",D438="",F438="",G438=""),"Faltan datos",IF(COUNTIF($A$7:$A$506,A438)&gt;1,"ID duplicado",IF(G438&lt;0,"Revisar signo",IF(OR(AND(C438="Saldo inicial",B438&lt;&gt;DATE(Configuración!$C$5,1,1)-1),AND(C438&lt;&gt;"Saldo inicial",OR(B438&lt;DATE(Configuración!$C$5,1,1),B438&gt;=DATE(Configuración!$C$5+1,1,1)))),"Revisar fecha","OK")))))</f>
        <v/>
      </c>
    </row>
    <row r="439" spans="1:9" ht="22" customHeight="1">
      <c r="A439" s="3"/>
      <c r="B439" s="7"/>
      <c r="C439" s="3"/>
      <c r="D439" s="3"/>
      <c r="E439" s="3"/>
      <c r="F439" s="3"/>
      <c r="G439" s="4"/>
      <c r="H439" s="3"/>
      <c r="I439" s="1" t="str">
        <f>IF(COUNTA(A439:H439)=0,"",IF(OR(A439="",B439="",C439="",D439="",F439="",G439=""),"Faltan datos",IF(COUNTIF($A$7:$A$506,A439)&gt;1,"ID duplicado",IF(G439&lt;0,"Revisar signo",IF(OR(AND(C439="Saldo inicial",B439&lt;&gt;DATE(Configuración!$C$5,1,1)-1),AND(C439&lt;&gt;"Saldo inicial",OR(B439&lt;DATE(Configuración!$C$5,1,1),B439&gt;=DATE(Configuración!$C$5+1,1,1)))),"Revisar fecha","OK")))))</f>
        <v/>
      </c>
    </row>
    <row r="440" spans="1:9" ht="22" customHeight="1">
      <c r="A440" s="3"/>
      <c r="B440" s="7"/>
      <c r="C440" s="3"/>
      <c r="D440" s="3"/>
      <c r="E440" s="3"/>
      <c r="F440" s="3"/>
      <c r="G440" s="4"/>
      <c r="H440" s="3"/>
      <c r="I440" s="1" t="str">
        <f>IF(COUNTA(A440:H440)=0,"",IF(OR(A440="",B440="",C440="",D440="",F440="",G440=""),"Faltan datos",IF(COUNTIF($A$7:$A$506,A440)&gt;1,"ID duplicado",IF(G440&lt;0,"Revisar signo",IF(OR(AND(C440="Saldo inicial",B440&lt;&gt;DATE(Configuración!$C$5,1,1)-1),AND(C440&lt;&gt;"Saldo inicial",OR(B440&lt;DATE(Configuración!$C$5,1,1),B440&gt;=DATE(Configuración!$C$5+1,1,1)))),"Revisar fecha","OK")))))</f>
        <v/>
      </c>
    </row>
    <row r="441" spans="1:9" ht="22" customHeight="1">
      <c r="A441" s="3"/>
      <c r="B441" s="7"/>
      <c r="C441" s="3"/>
      <c r="D441" s="3"/>
      <c r="E441" s="3"/>
      <c r="F441" s="3"/>
      <c r="G441" s="4"/>
      <c r="H441" s="3"/>
      <c r="I441" s="1" t="str">
        <f>IF(COUNTA(A441:H441)=0,"",IF(OR(A441="",B441="",C441="",D441="",F441="",G441=""),"Faltan datos",IF(COUNTIF($A$7:$A$506,A441)&gt;1,"ID duplicado",IF(G441&lt;0,"Revisar signo",IF(OR(AND(C441="Saldo inicial",B441&lt;&gt;DATE(Configuración!$C$5,1,1)-1),AND(C441&lt;&gt;"Saldo inicial",OR(B441&lt;DATE(Configuración!$C$5,1,1),B441&gt;=DATE(Configuración!$C$5+1,1,1)))),"Revisar fecha","OK")))))</f>
        <v/>
      </c>
    </row>
    <row r="442" spans="1:9" ht="22" customHeight="1">
      <c r="A442" s="3"/>
      <c r="B442" s="7"/>
      <c r="C442" s="3"/>
      <c r="D442" s="3"/>
      <c r="E442" s="3"/>
      <c r="F442" s="3"/>
      <c r="G442" s="4"/>
      <c r="H442" s="3"/>
      <c r="I442" s="1" t="str">
        <f>IF(COUNTA(A442:H442)=0,"",IF(OR(A442="",B442="",C442="",D442="",F442="",G442=""),"Faltan datos",IF(COUNTIF($A$7:$A$506,A442)&gt;1,"ID duplicado",IF(G442&lt;0,"Revisar signo",IF(OR(AND(C442="Saldo inicial",B442&lt;&gt;DATE(Configuración!$C$5,1,1)-1),AND(C442&lt;&gt;"Saldo inicial",OR(B442&lt;DATE(Configuración!$C$5,1,1),B442&gt;=DATE(Configuración!$C$5+1,1,1)))),"Revisar fecha","OK")))))</f>
        <v/>
      </c>
    </row>
    <row r="443" spans="1:9" ht="22" customHeight="1">
      <c r="A443" s="3"/>
      <c r="B443" s="7"/>
      <c r="C443" s="3"/>
      <c r="D443" s="3"/>
      <c r="E443" s="3"/>
      <c r="F443" s="3"/>
      <c r="G443" s="4"/>
      <c r="H443" s="3"/>
      <c r="I443" s="1" t="str">
        <f>IF(COUNTA(A443:H443)=0,"",IF(OR(A443="",B443="",C443="",D443="",F443="",G443=""),"Faltan datos",IF(COUNTIF($A$7:$A$506,A443)&gt;1,"ID duplicado",IF(G443&lt;0,"Revisar signo",IF(OR(AND(C443="Saldo inicial",B443&lt;&gt;DATE(Configuración!$C$5,1,1)-1),AND(C443&lt;&gt;"Saldo inicial",OR(B443&lt;DATE(Configuración!$C$5,1,1),B443&gt;=DATE(Configuración!$C$5+1,1,1)))),"Revisar fecha","OK")))))</f>
        <v/>
      </c>
    </row>
    <row r="444" spans="1:9" ht="22" customHeight="1">
      <c r="A444" s="3"/>
      <c r="B444" s="7"/>
      <c r="C444" s="3"/>
      <c r="D444" s="3"/>
      <c r="E444" s="3"/>
      <c r="F444" s="3"/>
      <c r="G444" s="4"/>
      <c r="H444" s="3"/>
      <c r="I444" s="1" t="str">
        <f>IF(COUNTA(A444:H444)=0,"",IF(OR(A444="",B444="",C444="",D444="",F444="",G444=""),"Faltan datos",IF(COUNTIF($A$7:$A$506,A444)&gt;1,"ID duplicado",IF(G444&lt;0,"Revisar signo",IF(OR(AND(C444="Saldo inicial",B444&lt;&gt;DATE(Configuración!$C$5,1,1)-1),AND(C444&lt;&gt;"Saldo inicial",OR(B444&lt;DATE(Configuración!$C$5,1,1),B444&gt;=DATE(Configuración!$C$5+1,1,1)))),"Revisar fecha","OK")))))</f>
        <v/>
      </c>
    </row>
    <row r="445" spans="1:9" ht="22" customHeight="1">
      <c r="A445" s="3"/>
      <c r="B445" s="7"/>
      <c r="C445" s="3"/>
      <c r="D445" s="3"/>
      <c r="E445" s="3"/>
      <c r="F445" s="3"/>
      <c r="G445" s="4"/>
      <c r="H445" s="3"/>
      <c r="I445" s="1" t="str">
        <f>IF(COUNTA(A445:H445)=0,"",IF(OR(A445="",B445="",C445="",D445="",F445="",G445=""),"Faltan datos",IF(COUNTIF($A$7:$A$506,A445)&gt;1,"ID duplicado",IF(G445&lt;0,"Revisar signo",IF(OR(AND(C445="Saldo inicial",B445&lt;&gt;DATE(Configuración!$C$5,1,1)-1),AND(C445&lt;&gt;"Saldo inicial",OR(B445&lt;DATE(Configuración!$C$5,1,1),B445&gt;=DATE(Configuración!$C$5+1,1,1)))),"Revisar fecha","OK")))))</f>
        <v/>
      </c>
    </row>
    <row r="446" spans="1:9" ht="22" customHeight="1">
      <c r="A446" s="3"/>
      <c r="B446" s="7"/>
      <c r="C446" s="3"/>
      <c r="D446" s="3"/>
      <c r="E446" s="3"/>
      <c r="F446" s="3"/>
      <c r="G446" s="4"/>
      <c r="H446" s="3"/>
      <c r="I446" s="1" t="str">
        <f>IF(COUNTA(A446:H446)=0,"",IF(OR(A446="",B446="",C446="",D446="",F446="",G446=""),"Faltan datos",IF(COUNTIF($A$7:$A$506,A446)&gt;1,"ID duplicado",IF(G446&lt;0,"Revisar signo",IF(OR(AND(C446="Saldo inicial",B446&lt;&gt;DATE(Configuración!$C$5,1,1)-1),AND(C446&lt;&gt;"Saldo inicial",OR(B446&lt;DATE(Configuración!$C$5,1,1),B446&gt;=DATE(Configuración!$C$5+1,1,1)))),"Revisar fecha","OK")))))</f>
        <v/>
      </c>
    </row>
    <row r="447" spans="1:9" ht="22" customHeight="1">
      <c r="A447" s="3"/>
      <c r="B447" s="7"/>
      <c r="C447" s="3"/>
      <c r="D447" s="3"/>
      <c r="E447" s="3"/>
      <c r="F447" s="3"/>
      <c r="G447" s="4"/>
      <c r="H447" s="3"/>
      <c r="I447" s="1" t="str">
        <f>IF(COUNTA(A447:H447)=0,"",IF(OR(A447="",B447="",C447="",D447="",F447="",G447=""),"Faltan datos",IF(COUNTIF($A$7:$A$506,A447)&gt;1,"ID duplicado",IF(G447&lt;0,"Revisar signo",IF(OR(AND(C447="Saldo inicial",B447&lt;&gt;DATE(Configuración!$C$5,1,1)-1),AND(C447&lt;&gt;"Saldo inicial",OR(B447&lt;DATE(Configuración!$C$5,1,1),B447&gt;=DATE(Configuración!$C$5+1,1,1)))),"Revisar fecha","OK")))))</f>
        <v/>
      </c>
    </row>
    <row r="448" spans="1:9" ht="22" customHeight="1">
      <c r="A448" s="3"/>
      <c r="B448" s="7"/>
      <c r="C448" s="3"/>
      <c r="D448" s="3"/>
      <c r="E448" s="3"/>
      <c r="F448" s="3"/>
      <c r="G448" s="4"/>
      <c r="H448" s="3"/>
      <c r="I448" s="1" t="str">
        <f>IF(COUNTA(A448:H448)=0,"",IF(OR(A448="",B448="",C448="",D448="",F448="",G448=""),"Faltan datos",IF(COUNTIF($A$7:$A$506,A448)&gt;1,"ID duplicado",IF(G448&lt;0,"Revisar signo",IF(OR(AND(C448="Saldo inicial",B448&lt;&gt;DATE(Configuración!$C$5,1,1)-1),AND(C448&lt;&gt;"Saldo inicial",OR(B448&lt;DATE(Configuración!$C$5,1,1),B448&gt;=DATE(Configuración!$C$5+1,1,1)))),"Revisar fecha","OK")))))</f>
        <v/>
      </c>
    </row>
    <row r="449" spans="1:9" ht="22" customHeight="1">
      <c r="A449" s="3"/>
      <c r="B449" s="7"/>
      <c r="C449" s="3"/>
      <c r="D449" s="3"/>
      <c r="E449" s="3"/>
      <c r="F449" s="3"/>
      <c r="G449" s="4"/>
      <c r="H449" s="3"/>
      <c r="I449" s="1" t="str">
        <f>IF(COUNTA(A449:H449)=0,"",IF(OR(A449="",B449="",C449="",D449="",F449="",G449=""),"Faltan datos",IF(COUNTIF($A$7:$A$506,A449)&gt;1,"ID duplicado",IF(G449&lt;0,"Revisar signo",IF(OR(AND(C449="Saldo inicial",B449&lt;&gt;DATE(Configuración!$C$5,1,1)-1),AND(C449&lt;&gt;"Saldo inicial",OR(B449&lt;DATE(Configuración!$C$5,1,1),B449&gt;=DATE(Configuración!$C$5+1,1,1)))),"Revisar fecha","OK")))))</f>
        <v/>
      </c>
    </row>
    <row r="450" spans="1:9" ht="22" customHeight="1">
      <c r="A450" s="3"/>
      <c r="B450" s="7"/>
      <c r="C450" s="3"/>
      <c r="D450" s="3"/>
      <c r="E450" s="3"/>
      <c r="F450" s="3"/>
      <c r="G450" s="4"/>
      <c r="H450" s="3"/>
      <c r="I450" s="1" t="str">
        <f>IF(COUNTA(A450:H450)=0,"",IF(OR(A450="",B450="",C450="",D450="",F450="",G450=""),"Faltan datos",IF(COUNTIF($A$7:$A$506,A450)&gt;1,"ID duplicado",IF(G450&lt;0,"Revisar signo",IF(OR(AND(C450="Saldo inicial",B450&lt;&gt;DATE(Configuración!$C$5,1,1)-1),AND(C450&lt;&gt;"Saldo inicial",OR(B450&lt;DATE(Configuración!$C$5,1,1),B450&gt;=DATE(Configuración!$C$5+1,1,1)))),"Revisar fecha","OK")))))</f>
        <v/>
      </c>
    </row>
    <row r="451" spans="1:9" ht="22" customHeight="1">
      <c r="A451" s="3"/>
      <c r="B451" s="7"/>
      <c r="C451" s="3"/>
      <c r="D451" s="3"/>
      <c r="E451" s="3"/>
      <c r="F451" s="3"/>
      <c r="G451" s="4"/>
      <c r="H451" s="3"/>
      <c r="I451" s="1" t="str">
        <f>IF(COUNTA(A451:H451)=0,"",IF(OR(A451="",B451="",C451="",D451="",F451="",G451=""),"Faltan datos",IF(COUNTIF($A$7:$A$506,A451)&gt;1,"ID duplicado",IF(G451&lt;0,"Revisar signo",IF(OR(AND(C451="Saldo inicial",B451&lt;&gt;DATE(Configuración!$C$5,1,1)-1),AND(C451&lt;&gt;"Saldo inicial",OR(B451&lt;DATE(Configuración!$C$5,1,1),B451&gt;=DATE(Configuración!$C$5+1,1,1)))),"Revisar fecha","OK")))))</f>
        <v/>
      </c>
    </row>
    <row r="452" spans="1:9" ht="22" customHeight="1">
      <c r="A452" s="3"/>
      <c r="B452" s="7"/>
      <c r="C452" s="3"/>
      <c r="D452" s="3"/>
      <c r="E452" s="3"/>
      <c r="F452" s="3"/>
      <c r="G452" s="4"/>
      <c r="H452" s="3"/>
      <c r="I452" s="1" t="str">
        <f>IF(COUNTA(A452:H452)=0,"",IF(OR(A452="",B452="",C452="",D452="",F452="",G452=""),"Faltan datos",IF(COUNTIF($A$7:$A$506,A452)&gt;1,"ID duplicado",IF(G452&lt;0,"Revisar signo",IF(OR(AND(C452="Saldo inicial",B452&lt;&gt;DATE(Configuración!$C$5,1,1)-1),AND(C452&lt;&gt;"Saldo inicial",OR(B452&lt;DATE(Configuración!$C$5,1,1),B452&gt;=DATE(Configuración!$C$5+1,1,1)))),"Revisar fecha","OK")))))</f>
        <v/>
      </c>
    </row>
    <row r="453" spans="1:9" ht="22" customHeight="1">
      <c r="A453" s="3"/>
      <c r="B453" s="7"/>
      <c r="C453" s="3"/>
      <c r="D453" s="3"/>
      <c r="E453" s="3"/>
      <c r="F453" s="3"/>
      <c r="G453" s="4"/>
      <c r="H453" s="3"/>
      <c r="I453" s="1" t="str">
        <f>IF(COUNTA(A453:H453)=0,"",IF(OR(A453="",B453="",C453="",D453="",F453="",G453=""),"Faltan datos",IF(COUNTIF($A$7:$A$506,A453)&gt;1,"ID duplicado",IF(G453&lt;0,"Revisar signo",IF(OR(AND(C453="Saldo inicial",B453&lt;&gt;DATE(Configuración!$C$5,1,1)-1),AND(C453&lt;&gt;"Saldo inicial",OR(B453&lt;DATE(Configuración!$C$5,1,1),B453&gt;=DATE(Configuración!$C$5+1,1,1)))),"Revisar fecha","OK")))))</f>
        <v/>
      </c>
    </row>
    <row r="454" spans="1:9" ht="22" customHeight="1">
      <c r="A454" s="3"/>
      <c r="B454" s="7"/>
      <c r="C454" s="3"/>
      <c r="D454" s="3"/>
      <c r="E454" s="3"/>
      <c r="F454" s="3"/>
      <c r="G454" s="4"/>
      <c r="H454" s="3"/>
      <c r="I454" s="1" t="str">
        <f>IF(COUNTA(A454:H454)=0,"",IF(OR(A454="",B454="",C454="",D454="",F454="",G454=""),"Faltan datos",IF(COUNTIF($A$7:$A$506,A454)&gt;1,"ID duplicado",IF(G454&lt;0,"Revisar signo",IF(OR(AND(C454="Saldo inicial",B454&lt;&gt;DATE(Configuración!$C$5,1,1)-1),AND(C454&lt;&gt;"Saldo inicial",OR(B454&lt;DATE(Configuración!$C$5,1,1),B454&gt;=DATE(Configuración!$C$5+1,1,1)))),"Revisar fecha","OK")))))</f>
        <v/>
      </c>
    </row>
    <row r="455" spans="1:9" ht="22" customHeight="1">
      <c r="A455" s="3"/>
      <c r="B455" s="7"/>
      <c r="C455" s="3"/>
      <c r="D455" s="3"/>
      <c r="E455" s="3"/>
      <c r="F455" s="3"/>
      <c r="G455" s="4"/>
      <c r="H455" s="3"/>
      <c r="I455" s="1" t="str">
        <f>IF(COUNTA(A455:H455)=0,"",IF(OR(A455="",B455="",C455="",D455="",F455="",G455=""),"Faltan datos",IF(COUNTIF($A$7:$A$506,A455)&gt;1,"ID duplicado",IF(G455&lt;0,"Revisar signo",IF(OR(AND(C455="Saldo inicial",B455&lt;&gt;DATE(Configuración!$C$5,1,1)-1),AND(C455&lt;&gt;"Saldo inicial",OR(B455&lt;DATE(Configuración!$C$5,1,1),B455&gt;=DATE(Configuración!$C$5+1,1,1)))),"Revisar fecha","OK")))))</f>
        <v/>
      </c>
    </row>
    <row r="456" spans="1:9" ht="22" customHeight="1">
      <c r="A456" s="3"/>
      <c r="B456" s="7"/>
      <c r="C456" s="3"/>
      <c r="D456" s="3"/>
      <c r="E456" s="3"/>
      <c r="F456" s="3"/>
      <c r="G456" s="4"/>
      <c r="H456" s="3"/>
      <c r="I456" s="1" t="str">
        <f>IF(COUNTA(A456:H456)=0,"",IF(OR(A456="",B456="",C456="",D456="",F456="",G456=""),"Faltan datos",IF(COUNTIF($A$7:$A$506,A456)&gt;1,"ID duplicado",IF(G456&lt;0,"Revisar signo",IF(OR(AND(C456="Saldo inicial",B456&lt;&gt;DATE(Configuración!$C$5,1,1)-1),AND(C456&lt;&gt;"Saldo inicial",OR(B456&lt;DATE(Configuración!$C$5,1,1),B456&gt;=DATE(Configuración!$C$5+1,1,1)))),"Revisar fecha","OK")))))</f>
        <v/>
      </c>
    </row>
    <row r="457" spans="1:9" ht="22" customHeight="1">
      <c r="A457" s="3"/>
      <c r="B457" s="7"/>
      <c r="C457" s="3"/>
      <c r="D457" s="3"/>
      <c r="E457" s="3"/>
      <c r="F457" s="3"/>
      <c r="G457" s="4"/>
      <c r="H457" s="3"/>
      <c r="I457" s="1" t="str">
        <f>IF(COUNTA(A457:H457)=0,"",IF(OR(A457="",B457="",C457="",D457="",F457="",G457=""),"Faltan datos",IF(COUNTIF($A$7:$A$506,A457)&gt;1,"ID duplicado",IF(G457&lt;0,"Revisar signo",IF(OR(AND(C457="Saldo inicial",B457&lt;&gt;DATE(Configuración!$C$5,1,1)-1),AND(C457&lt;&gt;"Saldo inicial",OR(B457&lt;DATE(Configuración!$C$5,1,1),B457&gt;=DATE(Configuración!$C$5+1,1,1)))),"Revisar fecha","OK")))))</f>
        <v/>
      </c>
    </row>
    <row r="458" spans="1:9" ht="22" customHeight="1">
      <c r="A458" s="3"/>
      <c r="B458" s="7"/>
      <c r="C458" s="3"/>
      <c r="D458" s="3"/>
      <c r="E458" s="3"/>
      <c r="F458" s="3"/>
      <c r="G458" s="4"/>
      <c r="H458" s="3"/>
      <c r="I458" s="1" t="str">
        <f>IF(COUNTA(A458:H458)=0,"",IF(OR(A458="",B458="",C458="",D458="",F458="",G458=""),"Faltan datos",IF(COUNTIF($A$7:$A$506,A458)&gt;1,"ID duplicado",IF(G458&lt;0,"Revisar signo",IF(OR(AND(C458="Saldo inicial",B458&lt;&gt;DATE(Configuración!$C$5,1,1)-1),AND(C458&lt;&gt;"Saldo inicial",OR(B458&lt;DATE(Configuración!$C$5,1,1),B458&gt;=DATE(Configuración!$C$5+1,1,1)))),"Revisar fecha","OK")))))</f>
        <v/>
      </c>
    </row>
    <row r="459" spans="1:9" ht="22" customHeight="1">
      <c r="A459" s="3"/>
      <c r="B459" s="7"/>
      <c r="C459" s="3"/>
      <c r="D459" s="3"/>
      <c r="E459" s="3"/>
      <c r="F459" s="3"/>
      <c r="G459" s="4"/>
      <c r="H459" s="3"/>
      <c r="I459" s="1" t="str">
        <f>IF(COUNTA(A459:H459)=0,"",IF(OR(A459="",B459="",C459="",D459="",F459="",G459=""),"Faltan datos",IF(COUNTIF($A$7:$A$506,A459)&gt;1,"ID duplicado",IF(G459&lt;0,"Revisar signo",IF(OR(AND(C459="Saldo inicial",B459&lt;&gt;DATE(Configuración!$C$5,1,1)-1),AND(C459&lt;&gt;"Saldo inicial",OR(B459&lt;DATE(Configuración!$C$5,1,1),B459&gt;=DATE(Configuración!$C$5+1,1,1)))),"Revisar fecha","OK")))))</f>
        <v/>
      </c>
    </row>
    <row r="460" spans="1:9" ht="22" customHeight="1">
      <c r="A460" s="3"/>
      <c r="B460" s="7"/>
      <c r="C460" s="3"/>
      <c r="D460" s="3"/>
      <c r="E460" s="3"/>
      <c r="F460" s="3"/>
      <c r="G460" s="4"/>
      <c r="H460" s="3"/>
      <c r="I460" s="1" t="str">
        <f>IF(COUNTA(A460:H460)=0,"",IF(OR(A460="",B460="",C460="",D460="",F460="",G460=""),"Faltan datos",IF(COUNTIF($A$7:$A$506,A460)&gt;1,"ID duplicado",IF(G460&lt;0,"Revisar signo",IF(OR(AND(C460="Saldo inicial",B460&lt;&gt;DATE(Configuración!$C$5,1,1)-1),AND(C460&lt;&gt;"Saldo inicial",OR(B460&lt;DATE(Configuración!$C$5,1,1),B460&gt;=DATE(Configuración!$C$5+1,1,1)))),"Revisar fecha","OK")))))</f>
        <v/>
      </c>
    </row>
    <row r="461" spans="1:9" ht="22" customHeight="1">
      <c r="A461" s="3"/>
      <c r="B461" s="7"/>
      <c r="C461" s="3"/>
      <c r="D461" s="3"/>
      <c r="E461" s="3"/>
      <c r="F461" s="3"/>
      <c r="G461" s="4"/>
      <c r="H461" s="3"/>
      <c r="I461" s="1" t="str">
        <f>IF(COUNTA(A461:H461)=0,"",IF(OR(A461="",B461="",C461="",D461="",F461="",G461=""),"Faltan datos",IF(COUNTIF($A$7:$A$506,A461)&gt;1,"ID duplicado",IF(G461&lt;0,"Revisar signo",IF(OR(AND(C461="Saldo inicial",B461&lt;&gt;DATE(Configuración!$C$5,1,1)-1),AND(C461&lt;&gt;"Saldo inicial",OR(B461&lt;DATE(Configuración!$C$5,1,1),B461&gt;=DATE(Configuración!$C$5+1,1,1)))),"Revisar fecha","OK")))))</f>
        <v/>
      </c>
    </row>
    <row r="462" spans="1:9" ht="22" customHeight="1">
      <c r="A462" s="3"/>
      <c r="B462" s="7"/>
      <c r="C462" s="3"/>
      <c r="D462" s="3"/>
      <c r="E462" s="3"/>
      <c r="F462" s="3"/>
      <c r="G462" s="4"/>
      <c r="H462" s="3"/>
      <c r="I462" s="1" t="str">
        <f>IF(COUNTA(A462:H462)=0,"",IF(OR(A462="",B462="",C462="",D462="",F462="",G462=""),"Faltan datos",IF(COUNTIF($A$7:$A$506,A462)&gt;1,"ID duplicado",IF(G462&lt;0,"Revisar signo",IF(OR(AND(C462="Saldo inicial",B462&lt;&gt;DATE(Configuración!$C$5,1,1)-1),AND(C462&lt;&gt;"Saldo inicial",OR(B462&lt;DATE(Configuración!$C$5,1,1),B462&gt;=DATE(Configuración!$C$5+1,1,1)))),"Revisar fecha","OK")))))</f>
        <v/>
      </c>
    </row>
    <row r="463" spans="1:9" ht="22" customHeight="1">
      <c r="A463" s="3"/>
      <c r="B463" s="7"/>
      <c r="C463" s="3"/>
      <c r="D463" s="3"/>
      <c r="E463" s="3"/>
      <c r="F463" s="3"/>
      <c r="G463" s="4"/>
      <c r="H463" s="3"/>
      <c r="I463" s="1" t="str">
        <f>IF(COUNTA(A463:H463)=0,"",IF(OR(A463="",B463="",C463="",D463="",F463="",G463=""),"Faltan datos",IF(COUNTIF($A$7:$A$506,A463)&gt;1,"ID duplicado",IF(G463&lt;0,"Revisar signo",IF(OR(AND(C463="Saldo inicial",B463&lt;&gt;DATE(Configuración!$C$5,1,1)-1),AND(C463&lt;&gt;"Saldo inicial",OR(B463&lt;DATE(Configuración!$C$5,1,1),B463&gt;=DATE(Configuración!$C$5+1,1,1)))),"Revisar fecha","OK")))))</f>
        <v/>
      </c>
    </row>
    <row r="464" spans="1:9" ht="22" customHeight="1">
      <c r="A464" s="3"/>
      <c r="B464" s="7"/>
      <c r="C464" s="3"/>
      <c r="D464" s="3"/>
      <c r="E464" s="3"/>
      <c r="F464" s="3"/>
      <c r="G464" s="4"/>
      <c r="H464" s="3"/>
      <c r="I464" s="1" t="str">
        <f>IF(COUNTA(A464:H464)=0,"",IF(OR(A464="",B464="",C464="",D464="",F464="",G464=""),"Faltan datos",IF(COUNTIF($A$7:$A$506,A464)&gt;1,"ID duplicado",IF(G464&lt;0,"Revisar signo",IF(OR(AND(C464="Saldo inicial",B464&lt;&gt;DATE(Configuración!$C$5,1,1)-1),AND(C464&lt;&gt;"Saldo inicial",OR(B464&lt;DATE(Configuración!$C$5,1,1),B464&gt;=DATE(Configuración!$C$5+1,1,1)))),"Revisar fecha","OK")))))</f>
        <v/>
      </c>
    </row>
    <row r="465" spans="1:9" ht="22" customHeight="1">
      <c r="A465" s="3"/>
      <c r="B465" s="7"/>
      <c r="C465" s="3"/>
      <c r="D465" s="3"/>
      <c r="E465" s="3"/>
      <c r="F465" s="3"/>
      <c r="G465" s="4"/>
      <c r="H465" s="3"/>
      <c r="I465" s="1" t="str">
        <f>IF(COUNTA(A465:H465)=0,"",IF(OR(A465="",B465="",C465="",D465="",F465="",G465=""),"Faltan datos",IF(COUNTIF($A$7:$A$506,A465)&gt;1,"ID duplicado",IF(G465&lt;0,"Revisar signo",IF(OR(AND(C465="Saldo inicial",B465&lt;&gt;DATE(Configuración!$C$5,1,1)-1),AND(C465&lt;&gt;"Saldo inicial",OR(B465&lt;DATE(Configuración!$C$5,1,1),B465&gt;=DATE(Configuración!$C$5+1,1,1)))),"Revisar fecha","OK")))))</f>
        <v/>
      </c>
    </row>
    <row r="466" spans="1:9" ht="22" customHeight="1">
      <c r="A466" s="3"/>
      <c r="B466" s="7"/>
      <c r="C466" s="3"/>
      <c r="D466" s="3"/>
      <c r="E466" s="3"/>
      <c r="F466" s="3"/>
      <c r="G466" s="4"/>
      <c r="H466" s="3"/>
      <c r="I466" s="1" t="str">
        <f>IF(COUNTA(A466:H466)=0,"",IF(OR(A466="",B466="",C466="",D466="",F466="",G466=""),"Faltan datos",IF(COUNTIF($A$7:$A$506,A466)&gt;1,"ID duplicado",IF(G466&lt;0,"Revisar signo",IF(OR(AND(C466="Saldo inicial",B466&lt;&gt;DATE(Configuración!$C$5,1,1)-1),AND(C466&lt;&gt;"Saldo inicial",OR(B466&lt;DATE(Configuración!$C$5,1,1),B466&gt;=DATE(Configuración!$C$5+1,1,1)))),"Revisar fecha","OK")))))</f>
        <v/>
      </c>
    </row>
    <row r="467" spans="1:9" ht="22" customHeight="1">
      <c r="A467" s="3"/>
      <c r="B467" s="7"/>
      <c r="C467" s="3"/>
      <c r="D467" s="3"/>
      <c r="E467" s="3"/>
      <c r="F467" s="3"/>
      <c r="G467" s="4"/>
      <c r="H467" s="3"/>
      <c r="I467" s="1" t="str">
        <f>IF(COUNTA(A467:H467)=0,"",IF(OR(A467="",B467="",C467="",D467="",F467="",G467=""),"Faltan datos",IF(COUNTIF($A$7:$A$506,A467)&gt;1,"ID duplicado",IF(G467&lt;0,"Revisar signo",IF(OR(AND(C467="Saldo inicial",B467&lt;&gt;DATE(Configuración!$C$5,1,1)-1),AND(C467&lt;&gt;"Saldo inicial",OR(B467&lt;DATE(Configuración!$C$5,1,1),B467&gt;=DATE(Configuración!$C$5+1,1,1)))),"Revisar fecha","OK")))))</f>
        <v/>
      </c>
    </row>
    <row r="468" spans="1:9" ht="22" customHeight="1">
      <c r="A468" s="3"/>
      <c r="B468" s="7"/>
      <c r="C468" s="3"/>
      <c r="D468" s="3"/>
      <c r="E468" s="3"/>
      <c r="F468" s="3"/>
      <c r="G468" s="4"/>
      <c r="H468" s="3"/>
      <c r="I468" s="1" t="str">
        <f>IF(COUNTA(A468:H468)=0,"",IF(OR(A468="",B468="",C468="",D468="",F468="",G468=""),"Faltan datos",IF(COUNTIF($A$7:$A$506,A468)&gt;1,"ID duplicado",IF(G468&lt;0,"Revisar signo",IF(OR(AND(C468="Saldo inicial",B468&lt;&gt;DATE(Configuración!$C$5,1,1)-1),AND(C468&lt;&gt;"Saldo inicial",OR(B468&lt;DATE(Configuración!$C$5,1,1),B468&gt;=DATE(Configuración!$C$5+1,1,1)))),"Revisar fecha","OK")))))</f>
        <v/>
      </c>
    </row>
    <row r="469" spans="1:9" ht="22" customHeight="1">
      <c r="A469" s="3"/>
      <c r="B469" s="7"/>
      <c r="C469" s="3"/>
      <c r="D469" s="3"/>
      <c r="E469" s="3"/>
      <c r="F469" s="3"/>
      <c r="G469" s="4"/>
      <c r="H469" s="3"/>
      <c r="I469" s="1" t="str">
        <f>IF(COUNTA(A469:H469)=0,"",IF(OR(A469="",B469="",C469="",D469="",F469="",G469=""),"Faltan datos",IF(COUNTIF($A$7:$A$506,A469)&gt;1,"ID duplicado",IF(G469&lt;0,"Revisar signo",IF(OR(AND(C469="Saldo inicial",B469&lt;&gt;DATE(Configuración!$C$5,1,1)-1),AND(C469&lt;&gt;"Saldo inicial",OR(B469&lt;DATE(Configuración!$C$5,1,1),B469&gt;=DATE(Configuración!$C$5+1,1,1)))),"Revisar fecha","OK")))))</f>
        <v/>
      </c>
    </row>
    <row r="470" spans="1:9" ht="22" customHeight="1">
      <c r="A470" s="3"/>
      <c r="B470" s="7"/>
      <c r="C470" s="3"/>
      <c r="D470" s="3"/>
      <c r="E470" s="3"/>
      <c r="F470" s="3"/>
      <c r="G470" s="4"/>
      <c r="H470" s="3"/>
      <c r="I470" s="1" t="str">
        <f>IF(COUNTA(A470:H470)=0,"",IF(OR(A470="",B470="",C470="",D470="",F470="",G470=""),"Faltan datos",IF(COUNTIF($A$7:$A$506,A470)&gt;1,"ID duplicado",IF(G470&lt;0,"Revisar signo",IF(OR(AND(C470="Saldo inicial",B470&lt;&gt;DATE(Configuración!$C$5,1,1)-1),AND(C470&lt;&gt;"Saldo inicial",OR(B470&lt;DATE(Configuración!$C$5,1,1),B470&gt;=DATE(Configuración!$C$5+1,1,1)))),"Revisar fecha","OK")))))</f>
        <v/>
      </c>
    </row>
    <row r="471" spans="1:9" ht="22" customHeight="1">
      <c r="A471" s="3"/>
      <c r="B471" s="7"/>
      <c r="C471" s="3"/>
      <c r="D471" s="3"/>
      <c r="E471" s="3"/>
      <c r="F471" s="3"/>
      <c r="G471" s="4"/>
      <c r="H471" s="3"/>
      <c r="I471" s="1" t="str">
        <f>IF(COUNTA(A471:H471)=0,"",IF(OR(A471="",B471="",C471="",D471="",F471="",G471=""),"Faltan datos",IF(COUNTIF($A$7:$A$506,A471)&gt;1,"ID duplicado",IF(G471&lt;0,"Revisar signo",IF(OR(AND(C471="Saldo inicial",B471&lt;&gt;DATE(Configuración!$C$5,1,1)-1),AND(C471&lt;&gt;"Saldo inicial",OR(B471&lt;DATE(Configuración!$C$5,1,1),B471&gt;=DATE(Configuración!$C$5+1,1,1)))),"Revisar fecha","OK")))))</f>
        <v/>
      </c>
    </row>
    <row r="472" spans="1:9" ht="22" customHeight="1">
      <c r="A472" s="3"/>
      <c r="B472" s="7"/>
      <c r="C472" s="3"/>
      <c r="D472" s="3"/>
      <c r="E472" s="3"/>
      <c r="F472" s="3"/>
      <c r="G472" s="4"/>
      <c r="H472" s="3"/>
      <c r="I472" s="1" t="str">
        <f>IF(COUNTA(A472:H472)=0,"",IF(OR(A472="",B472="",C472="",D472="",F472="",G472=""),"Faltan datos",IF(COUNTIF($A$7:$A$506,A472)&gt;1,"ID duplicado",IF(G472&lt;0,"Revisar signo",IF(OR(AND(C472="Saldo inicial",B472&lt;&gt;DATE(Configuración!$C$5,1,1)-1),AND(C472&lt;&gt;"Saldo inicial",OR(B472&lt;DATE(Configuración!$C$5,1,1),B472&gt;=DATE(Configuración!$C$5+1,1,1)))),"Revisar fecha","OK")))))</f>
        <v/>
      </c>
    </row>
    <row r="473" spans="1:9" ht="22" customHeight="1">
      <c r="A473" s="3"/>
      <c r="B473" s="7"/>
      <c r="C473" s="3"/>
      <c r="D473" s="3"/>
      <c r="E473" s="3"/>
      <c r="F473" s="3"/>
      <c r="G473" s="4"/>
      <c r="H473" s="3"/>
      <c r="I473" s="1" t="str">
        <f>IF(COUNTA(A473:H473)=0,"",IF(OR(A473="",B473="",C473="",D473="",F473="",G473=""),"Faltan datos",IF(COUNTIF($A$7:$A$506,A473)&gt;1,"ID duplicado",IF(G473&lt;0,"Revisar signo",IF(OR(AND(C473="Saldo inicial",B473&lt;&gt;DATE(Configuración!$C$5,1,1)-1),AND(C473&lt;&gt;"Saldo inicial",OR(B473&lt;DATE(Configuración!$C$5,1,1),B473&gt;=DATE(Configuración!$C$5+1,1,1)))),"Revisar fecha","OK")))))</f>
        <v/>
      </c>
    </row>
    <row r="474" spans="1:9" ht="22" customHeight="1">
      <c r="A474" s="3"/>
      <c r="B474" s="7"/>
      <c r="C474" s="3"/>
      <c r="D474" s="3"/>
      <c r="E474" s="3"/>
      <c r="F474" s="3"/>
      <c r="G474" s="4"/>
      <c r="H474" s="3"/>
      <c r="I474" s="1" t="str">
        <f>IF(COUNTA(A474:H474)=0,"",IF(OR(A474="",B474="",C474="",D474="",F474="",G474=""),"Faltan datos",IF(COUNTIF($A$7:$A$506,A474)&gt;1,"ID duplicado",IF(G474&lt;0,"Revisar signo",IF(OR(AND(C474="Saldo inicial",B474&lt;&gt;DATE(Configuración!$C$5,1,1)-1),AND(C474&lt;&gt;"Saldo inicial",OR(B474&lt;DATE(Configuración!$C$5,1,1),B474&gt;=DATE(Configuración!$C$5+1,1,1)))),"Revisar fecha","OK")))))</f>
        <v/>
      </c>
    </row>
    <row r="475" spans="1:9" ht="22" customHeight="1">
      <c r="A475" s="3"/>
      <c r="B475" s="7"/>
      <c r="C475" s="3"/>
      <c r="D475" s="3"/>
      <c r="E475" s="3"/>
      <c r="F475" s="3"/>
      <c r="G475" s="4"/>
      <c r="H475" s="3"/>
      <c r="I475" s="1" t="str">
        <f>IF(COUNTA(A475:H475)=0,"",IF(OR(A475="",B475="",C475="",D475="",F475="",G475=""),"Faltan datos",IF(COUNTIF($A$7:$A$506,A475)&gt;1,"ID duplicado",IF(G475&lt;0,"Revisar signo",IF(OR(AND(C475="Saldo inicial",B475&lt;&gt;DATE(Configuración!$C$5,1,1)-1),AND(C475&lt;&gt;"Saldo inicial",OR(B475&lt;DATE(Configuración!$C$5,1,1),B475&gt;=DATE(Configuración!$C$5+1,1,1)))),"Revisar fecha","OK")))))</f>
        <v/>
      </c>
    </row>
    <row r="476" spans="1:9" ht="22" customHeight="1">
      <c r="A476" s="3"/>
      <c r="B476" s="7"/>
      <c r="C476" s="3"/>
      <c r="D476" s="3"/>
      <c r="E476" s="3"/>
      <c r="F476" s="3"/>
      <c r="G476" s="4"/>
      <c r="H476" s="3"/>
      <c r="I476" s="1" t="str">
        <f>IF(COUNTA(A476:H476)=0,"",IF(OR(A476="",B476="",C476="",D476="",F476="",G476=""),"Faltan datos",IF(COUNTIF($A$7:$A$506,A476)&gt;1,"ID duplicado",IF(G476&lt;0,"Revisar signo",IF(OR(AND(C476="Saldo inicial",B476&lt;&gt;DATE(Configuración!$C$5,1,1)-1),AND(C476&lt;&gt;"Saldo inicial",OR(B476&lt;DATE(Configuración!$C$5,1,1),B476&gt;=DATE(Configuración!$C$5+1,1,1)))),"Revisar fecha","OK")))))</f>
        <v/>
      </c>
    </row>
    <row r="477" spans="1:9" ht="22" customHeight="1">
      <c r="A477" s="3"/>
      <c r="B477" s="7"/>
      <c r="C477" s="3"/>
      <c r="D477" s="3"/>
      <c r="E477" s="3"/>
      <c r="F477" s="3"/>
      <c r="G477" s="4"/>
      <c r="H477" s="3"/>
      <c r="I477" s="1" t="str">
        <f>IF(COUNTA(A477:H477)=0,"",IF(OR(A477="",B477="",C477="",D477="",F477="",G477=""),"Faltan datos",IF(COUNTIF($A$7:$A$506,A477)&gt;1,"ID duplicado",IF(G477&lt;0,"Revisar signo",IF(OR(AND(C477="Saldo inicial",B477&lt;&gt;DATE(Configuración!$C$5,1,1)-1),AND(C477&lt;&gt;"Saldo inicial",OR(B477&lt;DATE(Configuración!$C$5,1,1),B477&gt;=DATE(Configuración!$C$5+1,1,1)))),"Revisar fecha","OK")))))</f>
        <v/>
      </c>
    </row>
    <row r="478" spans="1:9" ht="22" customHeight="1">
      <c r="A478" s="3"/>
      <c r="B478" s="7"/>
      <c r="C478" s="3"/>
      <c r="D478" s="3"/>
      <c r="E478" s="3"/>
      <c r="F478" s="3"/>
      <c r="G478" s="4"/>
      <c r="H478" s="3"/>
      <c r="I478" s="1" t="str">
        <f>IF(COUNTA(A478:H478)=0,"",IF(OR(A478="",B478="",C478="",D478="",F478="",G478=""),"Faltan datos",IF(COUNTIF($A$7:$A$506,A478)&gt;1,"ID duplicado",IF(G478&lt;0,"Revisar signo",IF(OR(AND(C478="Saldo inicial",B478&lt;&gt;DATE(Configuración!$C$5,1,1)-1),AND(C478&lt;&gt;"Saldo inicial",OR(B478&lt;DATE(Configuración!$C$5,1,1),B478&gt;=DATE(Configuración!$C$5+1,1,1)))),"Revisar fecha","OK")))))</f>
        <v/>
      </c>
    </row>
    <row r="479" spans="1:9" ht="22" customHeight="1">
      <c r="A479" s="3"/>
      <c r="B479" s="7"/>
      <c r="C479" s="3"/>
      <c r="D479" s="3"/>
      <c r="E479" s="3"/>
      <c r="F479" s="3"/>
      <c r="G479" s="4"/>
      <c r="H479" s="3"/>
      <c r="I479" s="1" t="str">
        <f>IF(COUNTA(A479:H479)=0,"",IF(OR(A479="",B479="",C479="",D479="",F479="",G479=""),"Faltan datos",IF(COUNTIF($A$7:$A$506,A479)&gt;1,"ID duplicado",IF(G479&lt;0,"Revisar signo",IF(OR(AND(C479="Saldo inicial",B479&lt;&gt;DATE(Configuración!$C$5,1,1)-1),AND(C479&lt;&gt;"Saldo inicial",OR(B479&lt;DATE(Configuración!$C$5,1,1),B479&gt;=DATE(Configuración!$C$5+1,1,1)))),"Revisar fecha","OK")))))</f>
        <v/>
      </c>
    </row>
    <row r="480" spans="1:9" ht="22" customHeight="1">
      <c r="A480" s="3"/>
      <c r="B480" s="7"/>
      <c r="C480" s="3"/>
      <c r="D480" s="3"/>
      <c r="E480" s="3"/>
      <c r="F480" s="3"/>
      <c r="G480" s="4"/>
      <c r="H480" s="3"/>
      <c r="I480" s="1" t="str">
        <f>IF(COUNTA(A480:H480)=0,"",IF(OR(A480="",B480="",C480="",D480="",F480="",G480=""),"Faltan datos",IF(COUNTIF($A$7:$A$506,A480)&gt;1,"ID duplicado",IF(G480&lt;0,"Revisar signo",IF(OR(AND(C480="Saldo inicial",B480&lt;&gt;DATE(Configuración!$C$5,1,1)-1),AND(C480&lt;&gt;"Saldo inicial",OR(B480&lt;DATE(Configuración!$C$5,1,1),B480&gt;=DATE(Configuración!$C$5+1,1,1)))),"Revisar fecha","OK")))))</f>
        <v/>
      </c>
    </row>
    <row r="481" spans="1:9" ht="22" customHeight="1">
      <c r="A481" s="3"/>
      <c r="B481" s="7"/>
      <c r="C481" s="3"/>
      <c r="D481" s="3"/>
      <c r="E481" s="3"/>
      <c r="F481" s="3"/>
      <c r="G481" s="4"/>
      <c r="H481" s="3"/>
      <c r="I481" s="1" t="str">
        <f>IF(COUNTA(A481:H481)=0,"",IF(OR(A481="",B481="",C481="",D481="",F481="",G481=""),"Faltan datos",IF(COUNTIF($A$7:$A$506,A481)&gt;1,"ID duplicado",IF(G481&lt;0,"Revisar signo",IF(OR(AND(C481="Saldo inicial",B481&lt;&gt;DATE(Configuración!$C$5,1,1)-1),AND(C481&lt;&gt;"Saldo inicial",OR(B481&lt;DATE(Configuración!$C$5,1,1),B481&gt;=DATE(Configuración!$C$5+1,1,1)))),"Revisar fecha","OK")))))</f>
        <v/>
      </c>
    </row>
    <row r="482" spans="1:9" ht="22" customHeight="1">
      <c r="A482" s="3"/>
      <c r="B482" s="7"/>
      <c r="C482" s="3"/>
      <c r="D482" s="3"/>
      <c r="E482" s="3"/>
      <c r="F482" s="3"/>
      <c r="G482" s="4"/>
      <c r="H482" s="3"/>
      <c r="I482" s="1" t="str">
        <f>IF(COUNTA(A482:H482)=0,"",IF(OR(A482="",B482="",C482="",D482="",F482="",G482=""),"Faltan datos",IF(COUNTIF($A$7:$A$506,A482)&gt;1,"ID duplicado",IF(G482&lt;0,"Revisar signo",IF(OR(AND(C482="Saldo inicial",B482&lt;&gt;DATE(Configuración!$C$5,1,1)-1),AND(C482&lt;&gt;"Saldo inicial",OR(B482&lt;DATE(Configuración!$C$5,1,1),B482&gt;=DATE(Configuración!$C$5+1,1,1)))),"Revisar fecha","OK")))))</f>
        <v/>
      </c>
    </row>
    <row r="483" spans="1:9" ht="22" customHeight="1">
      <c r="A483" s="3"/>
      <c r="B483" s="7"/>
      <c r="C483" s="3"/>
      <c r="D483" s="3"/>
      <c r="E483" s="3"/>
      <c r="F483" s="3"/>
      <c r="G483" s="4"/>
      <c r="H483" s="3"/>
      <c r="I483" s="1" t="str">
        <f>IF(COUNTA(A483:H483)=0,"",IF(OR(A483="",B483="",C483="",D483="",F483="",G483=""),"Faltan datos",IF(COUNTIF($A$7:$A$506,A483)&gt;1,"ID duplicado",IF(G483&lt;0,"Revisar signo",IF(OR(AND(C483="Saldo inicial",B483&lt;&gt;DATE(Configuración!$C$5,1,1)-1),AND(C483&lt;&gt;"Saldo inicial",OR(B483&lt;DATE(Configuración!$C$5,1,1),B483&gt;=DATE(Configuración!$C$5+1,1,1)))),"Revisar fecha","OK")))))</f>
        <v/>
      </c>
    </row>
    <row r="484" spans="1:9" ht="22" customHeight="1">
      <c r="A484" s="3"/>
      <c r="B484" s="7"/>
      <c r="C484" s="3"/>
      <c r="D484" s="3"/>
      <c r="E484" s="3"/>
      <c r="F484" s="3"/>
      <c r="G484" s="4"/>
      <c r="H484" s="3"/>
      <c r="I484" s="1" t="str">
        <f>IF(COUNTA(A484:H484)=0,"",IF(OR(A484="",B484="",C484="",D484="",F484="",G484=""),"Faltan datos",IF(COUNTIF($A$7:$A$506,A484)&gt;1,"ID duplicado",IF(G484&lt;0,"Revisar signo",IF(OR(AND(C484="Saldo inicial",B484&lt;&gt;DATE(Configuración!$C$5,1,1)-1),AND(C484&lt;&gt;"Saldo inicial",OR(B484&lt;DATE(Configuración!$C$5,1,1),B484&gt;=DATE(Configuración!$C$5+1,1,1)))),"Revisar fecha","OK")))))</f>
        <v/>
      </c>
    </row>
    <row r="485" spans="1:9" ht="22" customHeight="1">
      <c r="A485" s="3"/>
      <c r="B485" s="7"/>
      <c r="C485" s="3"/>
      <c r="D485" s="3"/>
      <c r="E485" s="3"/>
      <c r="F485" s="3"/>
      <c r="G485" s="4"/>
      <c r="H485" s="3"/>
      <c r="I485" s="1" t="str">
        <f>IF(COUNTA(A485:H485)=0,"",IF(OR(A485="",B485="",C485="",D485="",F485="",G485=""),"Faltan datos",IF(COUNTIF($A$7:$A$506,A485)&gt;1,"ID duplicado",IF(G485&lt;0,"Revisar signo",IF(OR(AND(C485="Saldo inicial",B485&lt;&gt;DATE(Configuración!$C$5,1,1)-1),AND(C485&lt;&gt;"Saldo inicial",OR(B485&lt;DATE(Configuración!$C$5,1,1),B485&gt;=DATE(Configuración!$C$5+1,1,1)))),"Revisar fecha","OK")))))</f>
        <v/>
      </c>
    </row>
    <row r="486" spans="1:9" ht="22" customHeight="1">
      <c r="A486" s="3"/>
      <c r="B486" s="7"/>
      <c r="C486" s="3"/>
      <c r="D486" s="3"/>
      <c r="E486" s="3"/>
      <c r="F486" s="3"/>
      <c r="G486" s="4"/>
      <c r="H486" s="3"/>
      <c r="I486" s="1" t="str">
        <f>IF(COUNTA(A486:H486)=0,"",IF(OR(A486="",B486="",C486="",D486="",F486="",G486=""),"Faltan datos",IF(COUNTIF($A$7:$A$506,A486)&gt;1,"ID duplicado",IF(G486&lt;0,"Revisar signo",IF(OR(AND(C486="Saldo inicial",B486&lt;&gt;DATE(Configuración!$C$5,1,1)-1),AND(C486&lt;&gt;"Saldo inicial",OR(B486&lt;DATE(Configuración!$C$5,1,1),B486&gt;=DATE(Configuración!$C$5+1,1,1)))),"Revisar fecha","OK")))))</f>
        <v/>
      </c>
    </row>
    <row r="487" spans="1:9" ht="22" customHeight="1">
      <c r="A487" s="3"/>
      <c r="B487" s="7"/>
      <c r="C487" s="3"/>
      <c r="D487" s="3"/>
      <c r="E487" s="3"/>
      <c r="F487" s="3"/>
      <c r="G487" s="4"/>
      <c r="H487" s="3"/>
      <c r="I487" s="1" t="str">
        <f>IF(COUNTA(A487:H487)=0,"",IF(OR(A487="",B487="",C487="",D487="",F487="",G487=""),"Faltan datos",IF(COUNTIF($A$7:$A$506,A487)&gt;1,"ID duplicado",IF(G487&lt;0,"Revisar signo",IF(OR(AND(C487="Saldo inicial",B487&lt;&gt;DATE(Configuración!$C$5,1,1)-1),AND(C487&lt;&gt;"Saldo inicial",OR(B487&lt;DATE(Configuración!$C$5,1,1),B487&gt;=DATE(Configuración!$C$5+1,1,1)))),"Revisar fecha","OK")))))</f>
        <v/>
      </c>
    </row>
    <row r="488" spans="1:9" ht="22" customHeight="1">
      <c r="A488" s="3"/>
      <c r="B488" s="7"/>
      <c r="C488" s="3"/>
      <c r="D488" s="3"/>
      <c r="E488" s="3"/>
      <c r="F488" s="3"/>
      <c r="G488" s="4"/>
      <c r="H488" s="3"/>
      <c r="I488" s="1" t="str">
        <f>IF(COUNTA(A488:H488)=0,"",IF(OR(A488="",B488="",C488="",D488="",F488="",G488=""),"Faltan datos",IF(COUNTIF($A$7:$A$506,A488)&gt;1,"ID duplicado",IF(G488&lt;0,"Revisar signo",IF(OR(AND(C488="Saldo inicial",B488&lt;&gt;DATE(Configuración!$C$5,1,1)-1),AND(C488&lt;&gt;"Saldo inicial",OR(B488&lt;DATE(Configuración!$C$5,1,1),B488&gt;=DATE(Configuración!$C$5+1,1,1)))),"Revisar fecha","OK")))))</f>
        <v/>
      </c>
    </row>
    <row r="489" spans="1:9" ht="22" customHeight="1">
      <c r="A489" s="3"/>
      <c r="B489" s="7"/>
      <c r="C489" s="3"/>
      <c r="D489" s="3"/>
      <c r="E489" s="3"/>
      <c r="F489" s="3"/>
      <c r="G489" s="4"/>
      <c r="H489" s="3"/>
      <c r="I489" s="1" t="str">
        <f>IF(COUNTA(A489:H489)=0,"",IF(OR(A489="",B489="",C489="",D489="",F489="",G489=""),"Faltan datos",IF(COUNTIF($A$7:$A$506,A489)&gt;1,"ID duplicado",IF(G489&lt;0,"Revisar signo",IF(OR(AND(C489="Saldo inicial",B489&lt;&gt;DATE(Configuración!$C$5,1,1)-1),AND(C489&lt;&gt;"Saldo inicial",OR(B489&lt;DATE(Configuración!$C$5,1,1),B489&gt;=DATE(Configuración!$C$5+1,1,1)))),"Revisar fecha","OK")))))</f>
        <v/>
      </c>
    </row>
    <row r="490" spans="1:9" ht="22" customHeight="1">
      <c r="A490" s="3"/>
      <c r="B490" s="7"/>
      <c r="C490" s="3"/>
      <c r="D490" s="3"/>
      <c r="E490" s="3"/>
      <c r="F490" s="3"/>
      <c r="G490" s="4"/>
      <c r="H490" s="3"/>
      <c r="I490" s="1" t="str">
        <f>IF(COUNTA(A490:H490)=0,"",IF(OR(A490="",B490="",C490="",D490="",F490="",G490=""),"Faltan datos",IF(COUNTIF($A$7:$A$506,A490)&gt;1,"ID duplicado",IF(G490&lt;0,"Revisar signo",IF(OR(AND(C490="Saldo inicial",B490&lt;&gt;DATE(Configuración!$C$5,1,1)-1),AND(C490&lt;&gt;"Saldo inicial",OR(B490&lt;DATE(Configuración!$C$5,1,1),B490&gt;=DATE(Configuración!$C$5+1,1,1)))),"Revisar fecha","OK")))))</f>
        <v/>
      </c>
    </row>
    <row r="491" spans="1:9" ht="22" customHeight="1">
      <c r="A491" s="3"/>
      <c r="B491" s="7"/>
      <c r="C491" s="3"/>
      <c r="D491" s="3"/>
      <c r="E491" s="3"/>
      <c r="F491" s="3"/>
      <c r="G491" s="4"/>
      <c r="H491" s="3"/>
      <c r="I491" s="1" t="str">
        <f>IF(COUNTA(A491:H491)=0,"",IF(OR(A491="",B491="",C491="",D491="",F491="",G491=""),"Faltan datos",IF(COUNTIF($A$7:$A$506,A491)&gt;1,"ID duplicado",IF(G491&lt;0,"Revisar signo",IF(OR(AND(C491="Saldo inicial",B491&lt;&gt;DATE(Configuración!$C$5,1,1)-1),AND(C491&lt;&gt;"Saldo inicial",OR(B491&lt;DATE(Configuración!$C$5,1,1),B491&gt;=DATE(Configuración!$C$5+1,1,1)))),"Revisar fecha","OK")))))</f>
        <v/>
      </c>
    </row>
    <row r="492" spans="1:9" ht="22" customHeight="1">
      <c r="A492" s="3"/>
      <c r="B492" s="7"/>
      <c r="C492" s="3"/>
      <c r="D492" s="3"/>
      <c r="E492" s="3"/>
      <c r="F492" s="3"/>
      <c r="G492" s="4"/>
      <c r="H492" s="3"/>
      <c r="I492" s="1" t="str">
        <f>IF(COUNTA(A492:H492)=0,"",IF(OR(A492="",B492="",C492="",D492="",F492="",G492=""),"Faltan datos",IF(COUNTIF($A$7:$A$506,A492)&gt;1,"ID duplicado",IF(G492&lt;0,"Revisar signo",IF(OR(AND(C492="Saldo inicial",B492&lt;&gt;DATE(Configuración!$C$5,1,1)-1),AND(C492&lt;&gt;"Saldo inicial",OR(B492&lt;DATE(Configuración!$C$5,1,1),B492&gt;=DATE(Configuración!$C$5+1,1,1)))),"Revisar fecha","OK")))))</f>
        <v/>
      </c>
    </row>
    <row r="493" spans="1:9" ht="22" customHeight="1">
      <c r="A493" s="3"/>
      <c r="B493" s="7"/>
      <c r="C493" s="3"/>
      <c r="D493" s="3"/>
      <c r="E493" s="3"/>
      <c r="F493" s="3"/>
      <c r="G493" s="4"/>
      <c r="H493" s="3"/>
      <c r="I493" s="1" t="str">
        <f>IF(COUNTA(A493:H493)=0,"",IF(OR(A493="",B493="",C493="",D493="",F493="",G493=""),"Faltan datos",IF(COUNTIF($A$7:$A$506,A493)&gt;1,"ID duplicado",IF(G493&lt;0,"Revisar signo",IF(OR(AND(C493="Saldo inicial",B493&lt;&gt;DATE(Configuración!$C$5,1,1)-1),AND(C493&lt;&gt;"Saldo inicial",OR(B493&lt;DATE(Configuración!$C$5,1,1),B493&gt;=DATE(Configuración!$C$5+1,1,1)))),"Revisar fecha","OK")))))</f>
        <v/>
      </c>
    </row>
    <row r="494" spans="1:9" ht="22" customHeight="1">
      <c r="A494" s="3"/>
      <c r="B494" s="7"/>
      <c r="C494" s="3"/>
      <c r="D494" s="3"/>
      <c r="E494" s="3"/>
      <c r="F494" s="3"/>
      <c r="G494" s="4"/>
      <c r="H494" s="3"/>
      <c r="I494" s="1" t="str">
        <f>IF(COUNTA(A494:H494)=0,"",IF(OR(A494="",B494="",C494="",D494="",F494="",G494=""),"Faltan datos",IF(COUNTIF($A$7:$A$506,A494)&gt;1,"ID duplicado",IF(G494&lt;0,"Revisar signo",IF(OR(AND(C494="Saldo inicial",B494&lt;&gt;DATE(Configuración!$C$5,1,1)-1),AND(C494&lt;&gt;"Saldo inicial",OR(B494&lt;DATE(Configuración!$C$5,1,1),B494&gt;=DATE(Configuración!$C$5+1,1,1)))),"Revisar fecha","OK")))))</f>
        <v/>
      </c>
    </row>
    <row r="495" spans="1:9" ht="22" customHeight="1">
      <c r="A495" s="3"/>
      <c r="B495" s="7"/>
      <c r="C495" s="3"/>
      <c r="D495" s="3"/>
      <c r="E495" s="3"/>
      <c r="F495" s="3"/>
      <c r="G495" s="4"/>
      <c r="H495" s="3"/>
      <c r="I495" s="1" t="str">
        <f>IF(COUNTA(A495:H495)=0,"",IF(OR(A495="",B495="",C495="",D495="",F495="",G495=""),"Faltan datos",IF(COUNTIF($A$7:$A$506,A495)&gt;1,"ID duplicado",IF(G495&lt;0,"Revisar signo",IF(OR(AND(C495="Saldo inicial",B495&lt;&gt;DATE(Configuración!$C$5,1,1)-1),AND(C495&lt;&gt;"Saldo inicial",OR(B495&lt;DATE(Configuración!$C$5,1,1),B495&gt;=DATE(Configuración!$C$5+1,1,1)))),"Revisar fecha","OK")))))</f>
        <v/>
      </c>
    </row>
    <row r="496" spans="1:9" ht="22" customHeight="1">
      <c r="A496" s="3"/>
      <c r="B496" s="7"/>
      <c r="C496" s="3"/>
      <c r="D496" s="3"/>
      <c r="E496" s="3"/>
      <c r="F496" s="3"/>
      <c r="G496" s="4"/>
      <c r="H496" s="3"/>
      <c r="I496" s="1" t="str">
        <f>IF(COUNTA(A496:H496)=0,"",IF(OR(A496="",B496="",C496="",D496="",F496="",G496=""),"Faltan datos",IF(COUNTIF($A$7:$A$506,A496)&gt;1,"ID duplicado",IF(G496&lt;0,"Revisar signo",IF(OR(AND(C496="Saldo inicial",B496&lt;&gt;DATE(Configuración!$C$5,1,1)-1),AND(C496&lt;&gt;"Saldo inicial",OR(B496&lt;DATE(Configuración!$C$5,1,1),B496&gt;=DATE(Configuración!$C$5+1,1,1)))),"Revisar fecha","OK")))))</f>
        <v/>
      </c>
    </row>
    <row r="497" spans="1:9" ht="22" customHeight="1">
      <c r="A497" s="3"/>
      <c r="B497" s="7"/>
      <c r="C497" s="3"/>
      <c r="D497" s="3"/>
      <c r="E497" s="3"/>
      <c r="F497" s="3"/>
      <c r="G497" s="4"/>
      <c r="H497" s="3"/>
      <c r="I497" s="1" t="str">
        <f>IF(COUNTA(A497:H497)=0,"",IF(OR(A497="",B497="",C497="",D497="",F497="",G497=""),"Faltan datos",IF(COUNTIF($A$7:$A$506,A497)&gt;1,"ID duplicado",IF(G497&lt;0,"Revisar signo",IF(OR(AND(C497="Saldo inicial",B497&lt;&gt;DATE(Configuración!$C$5,1,1)-1),AND(C497&lt;&gt;"Saldo inicial",OR(B497&lt;DATE(Configuración!$C$5,1,1),B497&gt;=DATE(Configuración!$C$5+1,1,1)))),"Revisar fecha","OK")))))</f>
        <v/>
      </c>
    </row>
    <row r="498" spans="1:9" ht="22" customHeight="1">
      <c r="A498" s="3"/>
      <c r="B498" s="7"/>
      <c r="C498" s="3"/>
      <c r="D498" s="3"/>
      <c r="E498" s="3"/>
      <c r="F498" s="3"/>
      <c r="G498" s="4"/>
      <c r="H498" s="3"/>
      <c r="I498" s="1" t="str">
        <f>IF(COUNTA(A498:H498)=0,"",IF(OR(A498="",B498="",C498="",D498="",F498="",G498=""),"Faltan datos",IF(COUNTIF($A$7:$A$506,A498)&gt;1,"ID duplicado",IF(G498&lt;0,"Revisar signo",IF(OR(AND(C498="Saldo inicial",B498&lt;&gt;DATE(Configuración!$C$5,1,1)-1),AND(C498&lt;&gt;"Saldo inicial",OR(B498&lt;DATE(Configuración!$C$5,1,1),B498&gt;=DATE(Configuración!$C$5+1,1,1)))),"Revisar fecha","OK")))))</f>
        <v/>
      </c>
    </row>
    <row r="499" spans="1:9" ht="22" customHeight="1">
      <c r="A499" s="3"/>
      <c r="B499" s="7"/>
      <c r="C499" s="3"/>
      <c r="D499" s="3"/>
      <c r="E499" s="3"/>
      <c r="F499" s="3"/>
      <c r="G499" s="4"/>
      <c r="H499" s="3"/>
      <c r="I499" s="1" t="str">
        <f>IF(COUNTA(A499:H499)=0,"",IF(OR(A499="",B499="",C499="",D499="",F499="",G499=""),"Faltan datos",IF(COUNTIF($A$7:$A$506,A499)&gt;1,"ID duplicado",IF(G499&lt;0,"Revisar signo",IF(OR(AND(C499="Saldo inicial",B499&lt;&gt;DATE(Configuración!$C$5,1,1)-1),AND(C499&lt;&gt;"Saldo inicial",OR(B499&lt;DATE(Configuración!$C$5,1,1),B499&gt;=DATE(Configuración!$C$5+1,1,1)))),"Revisar fecha","OK")))))</f>
        <v/>
      </c>
    </row>
    <row r="500" spans="1:9" ht="22" customHeight="1">
      <c r="A500" s="3"/>
      <c r="B500" s="7"/>
      <c r="C500" s="3"/>
      <c r="D500" s="3"/>
      <c r="E500" s="3"/>
      <c r="F500" s="3"/>
      <c r="G500" s="4"/>
      <c r="H500" s="3"/>
      <c r="I500" s="1" t="str">
        <f>IF(COUNTA(A500:H500)=0,"",IF(OR(A500="",B500="",C500="",D500="",F500="",G500=""),"Faltan datos",IF(COUNTIF($A$7:$A$506,A500)&gt;1,"ID duplicado",IF(G500&lt;0,"Revisar signo",IF(OR(AND(C500="Saldo inicial",B500&lt;&gt;DATE(Configuración!$C$5,1,1)-1),AND(C500&lt;&gt;"Saldo inicial",OR(B500&lt;DATE(Configuración!$C$5,1,1),B500&gt;=DATE(Configuración!$C$5+1,1,1)))),"Revisar fecha","OK")))))</f>
        <v/>
      </c>
    </row>
    <row r="501" spans="1:9" ht="22" customHeight="1">
      <c r="A501" s="3"/>
      <c r="B501" s="7"/>
      <c r="C501" s="3"/>
      <c r="D501" s="3"/>
      <c r="E501" s="3"/>
      <c r="F501" s="3"/>
      <c r="G501" s="4"/>
      <c r="H501" s="3"/>
      <c r="I501" s="1" t="str">
        <f>IF(COUNTA(A501:H501)=0,"",IF(OR(A501="",B501="",C501="",D501="",F501="",G501=""),"Faltan datos",IF(COUNTIF($A$7:$A$506,A501)&gt;1,"ID duplicado",IF(G501&lt;0,"Revisar signo",IF(OR(AND(C501="Saldo inicial",B501&lt;&gt;DATE(Configuración!$C$5,1,1)-1),AND(C501&lt;&gt;"Saldo inicial",OR(B501&lt;DATE(Configuración!$C$5,1,1),B501&gt;=DATE(Configuración!$C$5+1,1,1)))),"Revisar fecha","OK")))))</f>
        <v/>
      </c>
    </row>
    <row r="502" spans="1:9" ht="22" customHeight="1">
      <c r="A502" s="3"/>
      <c r="B502" s="7"/>
      <c r="C502" s="3"/>
      <c r="D502" s="3"/>
      <c r="E502" s="3"/>
      <c r="F502" s="3"/>
      <c r="G502" s="4"/>
      <c r="H502" s="3"/>
      <c r="I502" s="1" t="str">
        <f>IF(COUNTA(A502:H502)=0,"",IF(OR(A502="",B502="",C502="",D502="",F502="",G502=""),"Faltan datos",IF(COUNTIF($A$7:$A$506,A502)&gt;1,"ID duplicado",IF(G502&lt;0,"Revisar signo",IF(OR(AND(C502="Saldo inicial",B502&lt;&gt;DATE(Configuración!$C$5,1,1)-1),AND(C502&lt;&gt;"Saldo inicial",OR(B502&lt;DATE(Configuración!$C$5,1,1),B502&gt;=DATE(Configuración!$C$5+1,1,1)))),"Revisar fecha","OK")))))</f>
        <v/>
      </c>
    </row>
    <row r="503" spans="1:9" ht="22" customHeight="1">
      <c r="A503" s="3"/>
      <c r="B503" s="7"/>
      <c r="C503" s="3"/>
      <c r="D503" s="3"/>
      <c r="E503" s="3"/>
      <c r="F503" s="3"/>
      <c r="G503" s="4"/>
      <c r="H503" s="3"/>
      <c r="I503" s="1" t="str">
        <f>IF(COUNTA(A503:H503)=0,"",IF(OR(A503="",B503="",C503="",D503="",F503="",G503=""),"Faltan datos",IF(COUNTIF($A$7:$A$506,A503)&gt;1,"ID duplicado",IF(G503&lt;0,"Revisar signo",IF(OR(AND(C503="Saldo inicial",B503&lt;&gt;DATE(Configuración!$C$5,1,1)-1),AND(C503&lt;&gt;"Saldo inicial",OR(B503&lt;DATE(Configuración!$C$5,1,1),B503&gt;=DATE(Configuración!$C$5+1,1,1)))),"Revisar fecha","OK")))))</f>
        <v/>
      </c>
    </row>
    <row r="504" spans="1:9" ht="22" customHeight="1">
      <c r="A504" s="3"/>
      <c r="B504" s="7"/>
      <c r="C504" s="3"/>
      <c r="D504" s="3"/>
      <c r="E504" s="3"/>
      <c r="F504" s="3"/>
      <c r="G504" s="4"/>
      <c r="H504" s="3"/>
      <c r="I504" s="1" t="str">
        <f>IF(COUNTA(A504:H504)=0,"",IF(OR(A504="",B504="",C504="",D504="",F504="",G504=""),"Faltan datos",IF(COUNTIF($A$7:$A$506,A504)&gt;1,"ID duplicado",IF(G504&lt;0,"Revisar signo",IF(OR(AND(C504="Saldo inicial",B504&lt;&gt;DATE(Configuración!$C$5,1,1)-1),AND(C504&lt;&gt;"Saldo inicial",OR(B504&lt;DATE(Configuración!$C$5,1,1),B504&gt;=DATE(Configuración!$C$5+1,1,1)))),"Revisar fecha","OK")))))</f>
        <v/>
      </c>
    </row>
    <row r="505" spans="1:9" ht="22" customHeight="1">
      <c r="A505" s="3"/>
      <c r="B505" s="7"/>
      <c r="C505" s="3"/>
      <c r="D505" s="3"/>
      <c r="E505" s="3"/>
      <c r="F505" s="3"/>
      <c r="G505" s="4"/>
      <c r="H505" s="3"/>
      <c r="I505" s="1" t="str">
        <f>IF(COUNTA(A505:H505)=0,"",IF(OR(A505="",B505="",C505="",D505="",F505="",G505=""),"Faltan datos",IF(COUNTIF($A$7:$A$506,A505)&gt;1,"ID duplicado",IF(G505&lt;0,"Revisar signo",IF(OR(AND(C505="Saldo inicial",B505&lt;&gt;DATE(Configuración!$C$5,1,1)-1),AND(C505&lt;&gt;"Saldo inicial",OR(B505&lt;DATE(Configuración!$C$5,1,1),B505&gt;=DATE(Configuración!$C$5+1,1,1)))),"Revisar fecha","OK")))))</f>
        <v/>
      </c>
    </row>
    <row r="506" spans="1:9" ht="22" customHeight="1">
      <c r="A506" s="3"/>
      <c r="B506" s="7"/>
      <c r="C506" s="3"/>
      <c r="D506" s="3"/>
      <c r="E506" s="3"/>
      <c r="F506" s="3"/>
      <c r="G506" s="4"/>
      <c r="H506" s="3"/>
      <c r="I506" s="1" t="str">
        <f>IF(COUNTA(A506:H506)=0,"",IF(OR(A506="",B506="",C506="",D506="",F506="",G506=""),"Faltan datos",IF(COUNTIF($A$7:$A$506,A506)&gt;1,"ID duplicado",IF(G506&lt;0,"Revisar signo",IF(OR(AND(C506="Saldo inicial",B506&lt;&gt;DATE(Configuración!$C$5,1,1)-1),AND(C506&lt;&gt;"Saldo inicial",OR(B506&lt;DATE(Configuración!$C$5,1,1),B506&gt;=DATE(Configuración!$C$5+1,1,1)))),"Revisar fecha","OK")))))</f>
        <v/>
      </c>
    </row>
  </sheetData>
  <conditionalFormatting sqref="I7:I506">
    <cfRule type="expression" dxfId="1" priority="1">
      <formula>AND($I7&lt;&gt;"",$I7&lt;&gt;"OK")</formula>
    </cfRule>
  </conditionalFormatting>
  <dataValidations count="2">
    <dataValidation type="list" sqref="C7:C506" xr:uid="{00000000-0002-0000-0900-000000000000}">
      <formula1>"Saldo inicial,Desembolso,Amortización,Reclasificar a CP,Reclasificar a LP"</formula1>
    </dataValidation>
    <dataValidation type="list" sqref="F7:F506" xr:uid="{00000000-0002-0000-0900-000001000000}">
      <formula1>"Corto plazo,Largo plazo"</formula1>
    </dataValidation>
  </dataValidation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18364A"/>
  </sheetPr>
  <dimension ref="A1:O55"/>
  <sheetViews>
    <sheetView showGridLines="0" workbookViewId="0">
      <pane ySplit="6" topLeftCell="A7" activePane="bottomLeft" state="frozen"/>
      <selection pane="bottomLeft"/>
    </sheetView>
  </sheetViews>
  <sheetFormatPr baseColWidth="10" defaultColWidth="8.83203125" defaultRowHeight="15"/>
  <cols>
    <col min="1" max="1" width="4" customWidth="1"/>
    <col min="2" max="2" width="43" customWidth="1"/>
    <col min="3" max="14" width="16" customWidth="1"/>
    <col min="15" max="15" width="18" customWidth="1"/>
  </cols>
  <sheetData>
    <row r="1" spans="1:15" ht="22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5" ht="22" customHeight="1">
      <c r="A2" s="1"/>
      <c r="B2" s="2" t="s">
        <v>192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5" ht="22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5" ht="22" customHeight="1">
      <c r="A4" s="1"/>
      <c r="B4" s="1" t="s">
        <v>52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5" ht="22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5" ht="26" customHeight="1">
      <c r="A6" s="1"/>
      <c r="B6" s="5" t="s">
        <v>53</v>
      </c>
      <c r="C6" s="31">
        <f>DATE(Configuración!$C$5,1,1)</f>
        <v>46023</v>
      </c>
      <c r="D6" s="31">
        <f>DATE(Configuración!$C$5,2,1)</f>
        <v>46054</v>
      </c>
      <c r="E6" s="31">
        <f>DATE(Configuración!$C$5,3,1)</f>
        <v>46082</v>
      </c>
      <c r="F6" s="31">
        <f>DATE(Configuración!$C$5,4,1)</f>
        <v>46113</v>
      </c>
      <c r="G6" s="31">
        <f>DATE(Configuración!$C$5,5,1)</f>
        <v>46143</v>
      </c>
      <c r="H6" s="31">
        <f>DATE(Configuración!$C$5,6,1)</f>
        <v>46174</v>
      </c>
      <c r="I6" s="31">
        <f>DATE(Configuración!$C$5,7,1)</f>
        <v>46204</v>
      </c>
      <c r="J6" s="31">
        <f>DATE(Configuración!$C$5,8,1)</f>
        <v>46235</v>
      </c>
      <c r="K6" s="31">
        <f>DATE(Configuración!$C$5,9,1)</f>
        <v>46266</v>
      </c>
      <c r="L6" s="31">
        <f>DATE(Configuración!$C$5,10,1)</f>
        <v>46296</v>
      </c>
      <c r="M6" s="31">
        <f>DATE(Configuración!$C$5,11,1)</f>
        <v>46327</v>
      </c>
      <c r="N6" s="31">
        <f>DATE(Configuración!$C$5,12,1)</f>
        <v>46357</v>
      </c>
      <c r="O6" s="10"/>
    </row>
    <row r="7" spans="1:15" ht="22" customHeight="1">
      <c r="A7" s="1"/>
      <c r="B7" s="1" t="s">
        <v>193</v>
      </c>
      <c r="C7" s="25">
        <f>'Balance General'!C35</f>
        <v>0</v>
      </c>
      <c r="D7" s="25">
        <f>'Balance General'!D35</f>
        <v>0</v>
      </c>
      <c r="E7" s="25">
        <f>'Balance General'!E35</f>
        <v>0</v>
      </c>
      <c r="F7" s="25">
        <f>'Balance General'!F35</f>
        <v>0</v>
      </c>
      <c r="G7" s="25">
        <f>'Balance General'!G35</f>
        <v>0</v>
      </c>
      <c r="H7" s="25">
        <f>'Balance General'!H35</f>
        <v>0</v>
      </c>
      <c r="I7" s="25">
        <f>'Balance General'!I35</f>
        <v>0</v>
      </c>
      <c r="J7" s="25">
        <f>'Balance General'!J35</f>
        <v>0</v>
      </c>
      <c r="K7" s="25">
        <f>'Balance General'!K35</f>
        <v>0</v>
      </c>
      <c r="L7" s="25">
        <f>'Balance General'!L35</f>
        <v>0</v>
      </c>
      <c r="M7" s="25">
        <f>'Balance General'!M35</f>
        <v>0</v>
      </c>
      <c r="N7" s="25">
        <f>'Balance General'!N35</f>
        <v>0</v>
      </c>
      <c r="O7" s="11"/>
    </row>
    <row r="8" spans="1:15" ht="22" customHeight="1">
      <c r="A8" s="1"/>
      <c r="B8" s="1" t="s">
        <v>194</v>
      </c>
      <c r="C8" s="25" t="str">
        <f>IF(C9="","Sin saldo real",'Balance General'!C7-C9)</f>
        <v>Sin saldo real</v>
      </c>
      <c r="D8" s="25" t="str">
        <f>IF(D9="","Sin saldo real",'Balance General'!D7-D9)</f>
        <v>Sin saldo real</v>
      </c>
      <c r="E8" s="25" t="str">
        <f>IF(E9="","Sin saldo real",'Balance General'!E7-E9)</f>
        <v>Sin saldo real</v>
      </c>
      <c r="F8" s="25" t="str">
        <f>IF(F9="","Sin saldo real",'Balance General'!F7-F9)</f>
        <v>Sin saldo real</v>
      </c>
      <c r="G8" s="25" t="str">
        <f>IF(G9="","Sin saldo real",'Balance General'!G7-G9)</f>
        <v>Sin saldo real</v>
      </c>
      <c r="H8" s="25" t="str">
        <f>IF(H9="","Sin saldo real",'Balance General'!H7-H9)</f>
        <v>Sin saldo real</v>
      </c>
      <c r="I8" s="25" t="str">
        <f>IF(I9="","Sin saldo real",'Balance General'!I7-I9)</f>
        <v>Sin saldo real</v>
      </c>
      <c r="J8" s="25" t="str">
        <f>IF(J9="","Sin saldo real",'Balance General'!J7-J9)</f>
        <v>Sin saldo real</v>
      </c>
      <c r="K8" s="25" t="str">
        <f>IF(K9="","Sin saldo real",'Balance General'!K7-K9)</f>
        <v>Sin saldo real</v>
      </c>
      <c r="L8" s="25" t="str">
        <f>IF(L9="","Sin saldo real",'Balance General'!L7-L9)</f>
        <v>Sin saldo real</v>
      </c>
      <c r="M8" s="25" t="str">
        <f>IF(M9="","Sin saldo real",'Balance General'!M7-M9)</f>
        <v>Sin saldo real</v>
      </c>
      <c r="N8" s="25" t="str">
        <f>IF(N9="","Sin saldo real",'Balance General'!N7-N9)</f>
        <v>Sin saldo real</v>
      </c>
      <c r="O8" s="11"/>
    </row>
    <row r="9" spans="1:15" ht="22" customHeight="1">
      <c r="A9" s="1"/>
      <c r="B9" s="1" t="s">
        <v>195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11"/>
    </row>
    <row r="10" spans="1:15" ht="22" customHeight="1">
      <c r="A10" s="1"/>
      <c r="B10" s="1" t="s">
        <v>196</v>
      </c>
      <c r="C10" s="4" t="s">
        <v>197</v>
      </c>
      <c r="D10" s="4" t="s">
        <v>197</v>
      </c>
      <c r="E10" s="4" t="s">
        <v>197</v>
      </c>
      <c r="F10" s="4" t="s">
        <v>197</v>
      </c>
      <c r="G10" s="4" t="s">
        <v>197</v>
      </c>
      <c r="H10" s="4" t="s">
        <v>197</v>
      </c>
      <c r="I10" s="4" t="s">
        <v>197</v>
      </c>
      <c r="J10" s="4" t="s">
        <v>197</v>
      </c>
      <c r="K10" s="4" t="s">
        <v>197</v>
      </c>
      <c r="L10" s="4" t="s">
        <v>197</v>
      </c>
      <c r="M10" s="4" t="s">
        <v>197</v>
      </c>
      <c r="N10" s="4" t="s">
        <v>197</v>
      </c>
      <c r="O10" s="11"/>
    </row>
    <row r="11" spans="1:15" ht="22" customHeight="1">
      <c r="A11" s="1"/>
      <c r="B11" s="1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11"/>
    </row>
    <row r="12" spans="1:15" ht="22" customHeight="1">
      <c r="A12" s="1"/>
      <c r="B12" s="1" t="s">
        <v>198</v>
      </c>
      <c r="C12" s="26">
        <f>COUNTIF(Ingresos!$L$7:$L$2006,"Faltan datos")+COUNTIF(Ingresos!$L$7:$L$2006,"ID duplicado")+COUNTIF(Ingresos!$L$7:$L$2006,"Fecha fuera del año")+COUNTIF(Ingresos!$L$7:$L$2006,"Revisar signo")+COUNTIF(Ingresos!$L$7:$L$2006,"IVA solo en Servicio")+COUNTIF(Ingresos!$L$7:$L$2006,"IVA solo en Gasto")+COUNTIF(Ingresos!$L$7:$L$2006,"Falta servicio")+COUNTIF(Ingresos!$L$7:$L$2006,"Falta categoría")+COUNTIF(Ingresos!$L$7:$L$2006,"Tipo o categoría inválido")+COUNTIF(Ingresos!$L$7:$L$2006,"Revisar activo")+COUNTIF(Ingresos!$L$7:$L$2006,"Dep. inicial no procede")+COUNTIF(Ingresos!$L$7:$L$2006,"Revisar fecha")</f>
        <v>0</v>
      </c>
      <c r="D12" s="26">
        <f>COUNTIF(Ingresos!$L$7:$L$2006,"Faltan datos")+COUNTIF(Ingresos!$L$7:$L$2006,"ID duplicado")+COUNTIF(Ingresos!$L$7:$L$2006,"Fecha fuera del año")+COUNTIF(Ingresos!$L$7:$L$2006,"Revisar signo")+COUNTIF(Ingresos!$L$7:$L$2006,"IVA solo en Servicio")+COUNTIF(Ingresos!$L$7:$L$2006,"IVA solo en Gasto")+COUNTIF(Ingresos!$L$7:$L$2006,"Falta servicio")+COUNTIF(Ingresos!$L$7:$L$2006,"Falta categoría")+COUNTIF(Ingresos!$L$7:$L$2006,"Tipo o categoría inválido")+COUNTIF(Ingresos!$L$7:$L$2006,"Revisar activo")+COUNTIF(Ingresos!$L$7:$L$2006,"Dep. inicial no procede")+COUNTIF(Ingresos!$L$7:$L$2006,"Revisar fecha")</f>
        <v>0</v>
      </c>
      <c r="E12" s="26">
        <f>COUNTIF(Ingresos!$L$7:$L$2006,"Faltan datos")+COUNTIF(Ingresos!$L$7:$L$2006,"ID duplicado")+COUNTIF(Ingresos!$L$7:$L$2006,"Fecha fuera del año")+COUNTIF(Ingresos!$L$7:$L$2006,"Revisar signo")+COUNTIF(Ingresos!$L$7:$L$2006,"IVA solo en Servicio")+COUNTIF(Ingresos!$L$7:$L$2006,"IVA solo en Gasto")+COUNTIF(Ingresos!$L$7:$L$2006,"Falta servicio")+COUNTIF(Ingresos!$L$7:$L$2006,"Falta categoría")+COUNTIF(Ingresos!$L$7:$L$2006,"Tipo o categoría inválido")+COUNTIF(Ingresos!$L$7:$L$2006,"Revisar activo")+COUNTIF(Ingresos!$L$7:$L$2006,"Dep. inicial no procede")+COUNTIF(Ingresos!$L$7:$L$2006,"Revisar fecha")</f>
        <v>0</v>
      </c>
      <c r="F12" s="26">
        <f>COUNTIF(Ingresos!$L$7:$L$2006,"Faltan datos")+COUNTIF(Ingresos!$L$7:$L$2006,"ID duplicado")+COUNTIF(Ingresos!$L$7:$L$2006,"Fecha fuera del año")+COUNTIF(Ingresos!$L$7:$L$2006,"Revisar signo")+COUNTIF(Ingresos!$L$7:$L$2006,"IVA solo en Servicio")+COUNTIF(Ingresos!$L$7:$L$2006,"IVA solo en Gasto")+COUNTIF(Ingresos!$L$7:$L$2006,"Falta servicio")+COUNTIF(Ingresos!$L$7:$L$2006,"Falta categoría")+COUNTIF(Ingresos!$L$7:$L$2006,"Tipo o categoría inválido")+COUNTIF(Ingresos!$L$7:$L$2006,"Revisar activo")+COUNTIF(Ingresos!$L$7:$L$2006,"Dep. inicial no procede")+COUNTIF(Ingresos!$L$7:$L$2006,"Revisar fecha")</f>
        <v>0</v>
      </c>
      <c r="G12" s="26">
        <f>COUNTIF(Ingresos!$L$7:$L$2006,"Faltan datos")+COUNTIF(Ingresos!$L$7:$L$2006,"ID duplicado")+COUNTIF(Ingresos!$L$7:$L$2006,"Fecha fuera del año")+COUNTIF(Ingresos!$L$7:$L$2006,"Revisar signo")+COUNTIF(Ingresos!$L$7:$L$2006,"IVA solo en Servicio")+COUNTIF(Ingresos!$L$7:$L$2006,"IVA solo en Gasto")+COUNTIF(Ingresos!$L$7:$L$2006,"Falta servicio")+COUNTIF(Ingresos!$L$7:$L$2006,"Falta categoría")+COUNTIF(Ingresos!$L$7:$L$2006,"Tipo o categoría inválido")+COUNTIF(Ingresos!$L$7:$L$2006,"Revisar activo")+COUNTIF(Ingresos!$L$7:$L$2006,"Dep. inicial no procede")+COUNTIF(Ingresos!$L$7:$L$2006,"Revisar fecha")</f>
        <v>0</v>
      </c>
      <c r="H12" s="26">
        <f>COUNTIF(Ingresos!$L$7:$L$2006,"Faltan datos")+COUNTIF(Ingresos!$L$7:$L$2006,"ID duplicado")+COUNTIF(Ingresos!$L$7:$L$2006,"Fecha fuera del año")+COUNTIF(Ingresos!$L$7:$L$2006,"Revisar signo")+COUNTIF(Ingresos!$L$7:$L$2006,"IVA solo en Servicio")+COUNTIF(Ingresos!$L$7:$L$2006,"IVA solo en Gasto")+COUNTIF(Ingresos!$L$7:$L$2006,"Falta servicio")+COUNTIF(Ingresos!$L$7:$L$2006,"Falta categoría")+COUNTIF(Ingresos!$L$7:$L$2006,"Tipo o categoría inválido")+COUNTIF(Ingresos!$L$7:$L$2006,"Revisar activo")+COUNTIF(Ingresos!$L$7:$L$2006,"Dep. inicial no procede")+COUNTIF(Ingresos!$L$7:$L$2006,"Revisar fecha")</f>
        <v>0</v>
      </c>
      <c r="I12" s="26">
        <f>COUNTIF(Ingresos!$L$7:$L$2006,"Faltan datos")+COUNTIF(Ingresos!$L$7:$L$2006,"ID duplicado")+COUNTIF(Ingresos!$L$7:$L$2006,"Fecha fuera del año")+COUNTIF(Ingresos!$L$7:$L$2006,"Revisar signo")+COUNTIF(Ingresos!$L$7:$L$2006,"IVA solo en Servicio")+COUNTIF(Ingresos!$L$7:$L$2006,"IVA solo en Gasto")+COUNTIF(Ingresos!$L$7:$L$2006,"Falta servicio")+COUNTIF(Ingresos!$L$7:$L$2006,"Falta categoría")+COUNTIF(Ingresos!$L$7:$L$2006,"Tipo o categoría inválido")+COUNTIF(Ingresos!$L$7:$L$2006,"Revisar activo")+COUNTIF(Ingresos!$L$7:$L$2006,"Dep. inicial no procede")+COUNTIF(Ingresos!$L$7:$L$2006,"Revisar fecha")</f>
        <v>0</v>
      </c>
      <c r="J12" s="26">
        <f>COUNTIF(Ingresos!$L$7:$L$2006,"Faltan datos")+COUNTIF(Ingresos!$L$7:$L$2006,"ID duplicado")+COUNTIF(Ingresos!$L$7:$L$2006,"Fecha fuera del año")+COUNTIF(Ingresos!$L$7:$L$2006,"Revisar signo")+COUNTIF(Ingresos!$L$7:$L$2006,"IVA solo en Servicio")+COUNTIF(Ingresos!$L$7:$L$2006,"IVA solo en Gasto")+COUNTIF(Ingresos!$L$7:$L$2006,"Falta servicio")+COUNTIF(Ingresos!$L$7:$L$2006,"Falta categoría")+COUNTIF(Ingresos!$L$7:$L$2006,"Tipo o categoría inválido")+COUNTIF(Ingresos!$L$7:$L$2006,"Revisar activo")+COUNTIF(Ingresos!$L$7:$L$2006,"Dep. inicial no procede")+COUNTIF(Ingresos!$L$7:$L$2006,"Revisar fecha")</f>
        <v>0</v>
      </c>
      <c r="K12" s="26">
        <f>COUNTIF(Ingresos!$L$7:$L$2006,"Faltan datos")+COUNTIF(Ingresos!$L$7:$L$2006,"ID duplicado")+COUNTIF(Ingresos!$L$7:$L$2006,"Fecha fuera del año")+COUNTIF(Ingresos!$L$7:$L$2006,"Revisar signo")+COUNTIF(Ingresos!$L$7:$L$2006,"IVA solo en Servicio")+COUNTIF(Ingresos!$L$7:$L$2006,"IVA solo en Gasto")+COUNTIF(Ingresos!$L$7:$L$2006,"Falta servicio")+COUNTIF(Ingresos!$L$7:$L$2006,"Falta categoría")+COUNTIF(Ingresos!$L$7:$L$2006,"Tipo o categoría inválido")+COUNTIF(Ingresos!$L$7:$L$2006,"Revisar activo")+COUNTIF(Ingresos!$L$7:$L$2006,"Dep. inicial no procede")+COUNTIF(Ingresos!$L$7:$L$2006,"Revisar fecha")</f>
        <v>0</v>
      </c>
      <c r="L12" s="26">
        <f>COUNTIF(Ingresos!$L$7:$L$2006,"Faltan datos")+COUNTIF(Ingresos!$L$7:$L$2006,"ID duplicado")+COUNTIF(Ingresos!$L$7:$L$2006,"Fecha fuera del año")+COUNTIF(Ingresos!$L$7:$L$2006,"Revisar signo")+COUNTIF(Ingresos!$L$7:$L$2006,"IVA solo en Servicio")+COUNTIF(Ingresos!$L$7:$L$2006,"IVA solo en Gasto")+COUNTIF(Ingresos!$L$7:$L$2006,"Falta servicio")+COUNTIF(Ingresos!$L$7:$L$2006,"Falta categoría")+COUNTIF(Ingresos!$L$7:$L$2006,"Tipo o categoría inválido")+COUNTIF(Ingresos!$L$7:$L$2006,"Revisar activo")+COUNTIF(Ingresos!$L$7:$L$2006,"Dep. inicial no procede")+COUNTIF(Ingresos!$L$7:$L$2006,"Revisar fecha")</f>
        <v>0</v>
      </c>
      <c r="M12" s="26">
        <f>COUNTIF(Ingresos!$L$7:$L$2006,"Faltan datos")+COUNTIF(Ingresos!$L$7:$L$2006,"ID duplicado")+COUNTIF(Ingresos!$L$7:$L$2006,"Fecha fuera del año")+COUNTIF(Ingresos!$L$7:$L$2006,"Revisar signo")+COUNTIF(Ingresos!$L$7:$L$2006,"IVA solo en Servicio")+COUNTIF(Ingresos!$L$7:$L$2006,"IVA solo en Gasto")+COUNTIF(Ingresos!$L$7:$L$2006,"Falta servicio")+COUNTIF(Ingresos!$L$7:$L$2006,"Falta categoría")+COUNTIF(Ingresos!$L$7:$L$2006,"Tipo o categoría inválido")+COUNTIF(Ingresos!$L$7:$L$2006,"Revisar activo")+COUNTIF(Ingresos!$L$7:$L$2006,"Dep. inicial no procede")+COUNTIF(Ingresos!$L$7:$L$2006,"Revisar fecha")</f>
        <v>0</v>
      </c>
      <c r="N12" s="26">
        <f>COUNTIF(Ingresos!$L$7:$L$2006,"Faltan datos")+COUNTIF(Ingresos!$L$7:$L$2006,"ID duplicado")+COUNTIF(Ingresos!$L$7:$L$2006,"Fecha fuera del año")+COUNTIF(Ingresos!$L$7:$L$2006,"Revisar signo")+COUNTIF(Ingresos!$L$7:$L$2006,"IVA solo en Servicio")+COUNTIF(Ingresos!$L$7:$L$2006,"IVA solo en Gasto")+COUNTIF(Ingresos!$L$7:$L$2006,"Falta servicio")+COUNTIF(Ingresos!$L$7:$L$2006,"Falta categoría")+COUNTIF(Ingresos!$L$7:$L$2006,"Tipo o categoría inválido")+COUNTIF(Ingresos!$L$7:$L$2006,"Revisar activo")+COUNTIF(Ingresos!$L$7:$L$2006,"Dep. inicial no procede")+COUNTIF(Ingresos!$L$7:$L$2006,"Revisar fecha")</f>
        <v>0</v>
      </c>
      <c r="O12" s="11"/>
    </row>
    <row r="13" spans="1:15" ht="22" customHeight="1">
      <c r="A13" s="1"/>
      <c r="B13" s="1" t="s">
        <v>199</v>
      </c>
      <c r="C13" s="26">
        <f>COUNTIF(Gastos!$L$7:$L$2006,"Faltan datos")+COUNTIF(Gastos!$L$7:$L$2006,"ID duplicado")+COUNTIF(Gastos!$L$7:$L$2006,"Fecha fuera del año")+COUNTIF(Gastos!$L$7:$L$2006,"Revisar signo")+COUNTIF(Gastos!$L$7:$L$2006,"IVA solo en Servicio")+COUNTIF(Gastos!$L$7:$L$2006,"IVA solo en Gasto")+COUNTIF(Gastos!$L$7:$L$2006,"Falta servicio")+COUNTIF(Gastos!$L$7:$L$2006,"Falta categoría")+COUNTIF(Gastos!$L$7:$L$2006,"Tipo o categoría inválido")+COUNTIF(Gastos!$L$7:$L$2006,"Revisar activo")+COUNTIF(Gastos!$L$7:$L$2006,"Dep. inicial no procede")+COUNTIF(Gastos!$L$7:$L$2006,"Revisar fecha")</f>
        <v>0</v>
      </c>
      <c r="D13" s="26">
        <f>COUNTIF(Gastos!$L$7:$L$2006,"Faltan datos")+COUNTIF(Gastos!$L$7:$L$2006,"ID duplicado")+COUNTIF(Gastos!$L$7:$L$2006,"Fecha fuera del año")+COUNTIF(Gastos!$L$7:$L$2006,"Revisar signo")+COUNTIF(Gastos!$L$7:$L$2006,"IVA solo en Servicio")+COUNTIF(Gastos!$L$7:$L$2006,"IVA solo en Gasto")+COUNTIF(Gastos!$L$7:$L$2006,"Falta servicio")+COUNTIF(Gastos!$L$7:$L$2006,"Falta categoría")+COUNTIF(Gastos!$L$7:$L$2006,"Tipo o categoría inválido")+COUNTIF(Gastos!$L$7:$L$2006,"Revisar activo")+COUNTIF(Gastos!$L$7:$L$2006,"Dep. inicial no procede")+COUNTIF(Gastos!$L$7:$L$2006,"Revisar fecha")</f>
        <v>0</v>
      </c>
      <c r="E13" s="26">
        <f>COUNTIF(Gastos!$L$7:$L$2006,"Faltan datos")+COUNTIF(Gastos!$L$7:$L$2006,"ID duplicado")+COUNTIF(Gastos!$L$7:$L$2006,"Fecha fuera del año")+COUNTIF(Gastos!$L$7:$L$2006,"Revisar signo")+COUNTIF(Gastos!$L$7:$L$2006,"IVA solo en Servicio")+COUNTIF(Gastos!$L$7:$L$2006,"IVA solo en Gasto")+COUNTIF(Gastos!$L$7:$L$2006,"Falta servicio")+COUNTIF(Gastos!$L$7:$L$2006,"Falta categoría")+COUNTIF(Gastos!$L$7:$L$2006,"Tipo o categoría inválido")+COUNTIF(Gastos!$L$7:$L$2006,"Revisar activo")+COUNTIF(Gastos!$L$7:$L$2006,"Dep. inicial no procede")+COUNTIF(Gastos!$L$7:$L$2006,"Revisar fecha")</f>
        <v>0</v>
      </c>
      <c r="F13" s="26">
        <f>COUNTIF(Gastos!$L$7:$L$2006,"Faltan datos")+COUNTIF(Gastos!$L$7:$L$2006,"ID duplicado")+COUNTIF(Gastos!$L$7:$L$2006,"Fecha fuera del año")+COUNTIF(Gastos!$L$7:$L$2006,"Revisar signo")+COUNTIF(Gastos!$L$7:$L$2006,"IVA solo en Servicio")+COUNTIF(Gastos!$L$7:$L$2006,"IVA solo en Gasto")+COUNTIF(Gastos!$L$7:$L$2006,"Falta servicio")+COUNTIF(Gastos!$L$7:$L$2006,"Falta categoría")+COUNTIF(Gastos!$L$7:$L$2006,"Tipo o categoría inválido")+COUNTIF(Gastos!$L$7:$L$2006,"Revisar activo")+COUNTIF(Gastos!$L$7:$L$2006,"Dep. inicial no procede")+COUNTIF(Gastos!$L$7:$L$2006,"Revisar fecha")</f>
        <v>0</v>
      </c>
      <c r="G13" s="26">
        <f>COUNTIF(Gastos!$L$7:$L$2006,"Faltan datos")+COUNTIF(Gastos!$L$7:$L$2006,"ID duplicado")+COUNTIF(Gastos!$L$7:$L$2006,"Fecha fuera del año")+COUNTIF(Gastos!$L$7:$L$2006,"Revisar signo")+COUNTIF(Gastos!$L$7:$L$2006,"IVA solo en Servicio")+COUNTIF(Gastos!$L$7:$L$2006,"IVA solo en Gasto")+COUNTIF(Gastos!$L$7:$L$2006,"Falta servicio")+COUNTIF(Gastos!$L$7:$L$2006,"Falta categoría")+COUNTIF(Gastos!$L$7:$L$2006,"Tipo o categoría inválido")+COUNTIF(Gastos!$L$7:$L$2006,"Revisar activo")+COUNTIF(Gastos!$L$7:$L$2006,"Dep. inicial no procede")+COUNTIF(Gastos!$L$7:$L$2006,"Revisar fecha")</f>
        <v>0</v>
      </c>
      <c r="H13" s="26">
        <f>COUNTIF(Gastos!$L$7:$L$2006,"Faltan datos")+COUNTIF(Gastos!$L$7:$L$2006,"ID duplicado")+COUNTIF(Gastos!$L$7:$L$2006,"Fecha fuera del año")+COUNTIF(Gastos!$L$7:$L$2006,"Revisar signo")+COUNTIF(Gastos!$L$7:$L$2006,"IVA solo en Servicio")+COUNTIF(Gastos!$L$7:$L$2006,"IVA solo en Gasto")+COUNTIF(Gastos!$L$7:$L$2006,"Falta servicio")+COUNTIF(Gastos!$L$7:$L$2006,"Falta categoría")+COUNTIF(Gastos!$L$7:$L$2006,"Tipo o categoría inválido")+COUNTIF(Gastos!$L$7:$L$2006,"Revisar activo")+COUNTIF(Gastos!$L$7:$L$2006,"Dep. inicial no procede")+COUNTIF(Gastos!$L$7:$L$2006,"Revisar fecha")</f>
        <v>0</v>
      </c>
      <c r="I13" s="26">
        <f>COUNTIF(Gastos!$L$7:$L$2006,"Faltan datos")+COUNTIF(Gastos!$L$7:$L$2006,"ID duplicado")+COUNTIF(Gastos!$L$7:$L$2006,"Fecha fuera del año")+COUNTIF(Gastos!$L$7:$L$2006,"Revisar signo")+COUNTIF(Gastos!$L$7:$L$2006,"IVA solo en Servicio")+COUNTIF(Gastos!$L$7:$L$2006,"IVA solo en Gasto")+COUNTIF(Gastos!$L$7:$L$2006,"Falta servicio")+COUNTIF(Gastos!$L$7:$L$2006,"Falta categoría")+COUNTIF(Gastos!$L$7:$L$2006,"Tipo o categoría inválido")+COUNTIF(Gastos!$L$7:$L$2006,"Revisar activo")+COUNTIF(Gastos!$L$7:$L$2006,"Dep. inicial no procede")+COUNTIF(Gastos!$L$7:$L$2006,"Revisar fecha")</f>
        <v>0</v>
      </c>
      <c r="J13" s="26">
        <f>COUNTIF(Gastos!$L$7:$L$2006,"Faltan datos")+COUNTIF(Gastos!$L$7:$L$2006,"ID duplicado")+COUNTIF(Gastos!$L$7:$L$2006,"Fecha fuera del año")+COUNTIF(Gastos!$L$7:$L$2006,"Revisar signo")+COUNTIF(Gastos!$L$7:$L$2006,"IVA solo en Servicio")+COUNTIF(Gastos!$L$7:$L$2006,"IVA solo en Gasto")+COUNTIF(Gastos!$L$7:$L$2006,"Falta servicio")+COUNTIF(Gastos!$L$7:$L$2006,"Falta categoría")+COUNTIF(Gastos!$L$7:$L$2006,"Tipo o categoría inválido")+COUNTIF(Gastos!$L$7:$L$2006,"Revisar activo")+COUNTIF(Gastos!$L$7:$L$2006,"Dep. inicial no procede")+COUNTIF(Gastos!$L$7:$L$2006,"Revisar fecha")</f>
        <v>0</v>
      </c>
      <c r="K13" s="26">
        <f>COUNTIF(Gastos!$L$7:$L$2006,"Faltan datos")+COUNTIF(Gastos!$L$7:$L$2006,"ID duplicado")+COUNTIF(Gastos!$L$7:$L$2006,"Fecha fuera del año")+COUNTIF(Gastos!$L$7:$L$2006,"Revisar signo")+COUNTIF(Gastos!$L$7:$L$2006,"IVA solo en Servicio")+COUNTIF(Gastos!$L$7:$L$2006,"IVA solo en Gasto")+COUNTIF(Gastos!$L$7:$L$2006,"Falta servicio")+COUNTIF(Gastos!$L$7:$L$2006,"Falta categoría")+COUNTIF(Gastos!$L$7:$L$2006,"Tipo o categoría inválido")+COUNTIF(Gastos!$L$7:$L$2006,"Revisar activo")+COUNTIF(Gastos!$L$7:$L$2006,"Dep. inicial no procede")+COUNTIF(Gastos!$L$7:$L$2006,"Revisar fecha")</f>
        <v>0</v>
      </c>
      <c r="L13" s="26">
        <f>COUNTIF(Gastos!$L$7:$L$2006,"Faltan datos")+COUNTIF(Gastos!$L$7:$L$2006,"ID duplicado")+COUNTIF(Gastos!$L$7:$L$2006,"Fecha fuera del año")+COUNTIF(Gastos!$L$7:$L$2006,"Revisar signo")+COUNTIF(Gastos!$L$7:$L$2006,"IVA solo en Servicio")+COUNTIF(Gastos!$L$7:$L$2006,"IVA solo en Gasto")+COUNTIF(Gastos!$L$7:$L$2006,"Falta servicio")+COUNTIF(Gastos!$L$7:$L$2006,"Falta categoría")+COUNTIF(Gastos!$L$7:$L$2006,"Tipo o categoría inválido")+COUNTIF(Gastos!$L$7:$L$2006,"Revisar activo")+COUNTIF(Gastos!$L$7:$L$2006,"Dep. inicial no procede")+COUNTIF(Gastos!$L$7:$L$2006,"Revisar fecha")</f>
        <v>0</v>
      </c>
      <c r="M13" s="26">
        <f>COUNTIF(Gastos!$L$7:$L$2006,"Faltan datos")+COUNTIF(Gastos!$L$7:$L$2006,"ID duplicado")+COUNTIF(Gastos!$L$7:$L$2006,"Fecha fuera del año")+COUNTIF(Gastos!$L$7:$L$2006,"Revisar signo")+COUNTIF(Gastos!$L$7:$L$2006,"IVA solo en Servicio")+COUNTIF(Gastos!$L$7:$L$2006,"IVA solo en Gasto")+COUNTIF(Gastos!$L$7:$L$2006,"Falta servicio")+COUNTIF(Gastos!$L$7:$L$2006,"Falta categoría")+COUNTIF(Gastos!$L$7:$L$2006,"Tipo o categoría inválido")+COUNTIF(Gastos!$L$7:$L$2006,"Revisar activo")+COUNTIF(Gastos!$L$7:$L$2006,"Dep. inicial no procede")+COUNTIF(Gastos!$L$7:$L$2006,"Revisar fecha")</f>
        <v>0</v>
      </c>
      <c r="N13" s="26">
        <f>COUNTIF(Gastos!$L$7:$L$2006,"Faltan datos")+COUNTIF(Gastos!$L$7:$L$2006,"ID duplicado")+COUNTIF(Gastos!$L$7:$L$2006,"Fecha fuera del año")+COUNTIF(Gastos!$L$7:$L$2006,"Revisar signo")+COUNTIF(Gastos!$L$7:$L$2006,"IVA solo en Servicio")+COUNTIF(Gastos!$L$7:$L$2006,"IVA solo en Gasto")+COUNTIF(Gastos!$L$7:$L$2006,"Falta servicio")+COUNTIF(Gastos!$L$7:$L$2006,"Falta categoría")+COUNTIF(Gastos!$L$7:$L$2006,"Tipo o categoría inválido")+COUNTIF(Gastos!$L$7:$L$2006,"Revisar activo")+COUNTIF(Gastos!$L$7:$L$2006,"Dep. inicial no procede")+COUNTIF(Gastos!$L$7:$L$2006,"Revisar fecha")</f>
        <v>0</v>
      </c>
      <c r="O13" s="11"/>
    </row>
    <row r="14" spans="1:15" ht="22" customHeight="1">
      <c r="A14" s="1"/>
      <c r="B14" s="1" t="s">
        <v>200</v>
      </c>
      <c r="C14" s="26">
        <f>COUNTIF(Activos!$L$7:$L$106,"Faltan datos")+COUNTIF(Activos!$L$7:$L$106,"ID duplicado")+COUNTIF(Activos!$L$7:$L$106,"Fecha fuera del año")+COUNTIF(Activos!$L$7:$L$106,"Revisar signo")+COUNTIF(Activos!$L$7:$L$106,"IVA solo en Servicio")+COUNTIF(Activos!$L$7:$L$106,"IVA solo en Gasto")+COUNTIF(Activos!$L$7:$L$106,"Falta servicio")+COUNTIF(Activos!$L$7:$L$106,"Falta categoría")+COUNTIF(Activos!$L$7:$L$106,"Tipo o categoría inválido")+COUNTIF(Activos!$L$7:$L$106,"Revisar activo")+COUNTIF(Activos!$L$7:$L$106,"Dep. inicial no procede")+COUNTIF(Activos!$L$7:$L$106,"Revisar fecha")</f>
        <v>0</v>
      </c>
      <c r="D14" s="26">
        <f>COUNTIF(Activos!$L$7:$L$106,"Faltan datos")+COUNTIF(Activos!$L$7:$L$106,"ID duplicado")+COUNTIF(Activos!$L$7:$L$106,"Fecha fuera del año")+COUNTIF(Activos!$L$7:$L$106,"Revisar signo")+COUNTIF(Activos!$L$7:$L$106,"IVA solo en Servicio")+COUNTIF(Activos!$L$7:$L$106,"IVA solo en Gasto")+COUNTIF(Activos!$L$7:$L$106,"Falta servicio")+COUNTIF(Activos!$L$7:$L$106,"Falta categoría")+COUNTIF(Activos!$L$7:$L$106,"Tipo o categoría inválido")+COUNTIF(Activos!$L$7:$L$106,"Revisar activo")+COUNTIF(Activos!$L$7:$L$106,"Dep. inicial no procede")+COUNTIF(Activos!$L$7:$L$106,"Revisar fecha")</f>
        <v>0</v>
      </c>
      <c r="E14" s="26">
        <f>COUNTIF(Activos!$L$7:$L$106,"Faltan datos")+COUNTIF(Activos!$L$7:$L$106,"ID duplicado")+COUNTIF(Activos!$L$7:$L$106,"Fecha fuera del año")+COUNTIF(Activos!$L$7:$L$106,"Revisar signo")+COUNTIF(Activos!$L$7:$L$106,"IVA solo en Servicio")+COUNTIF(Activos!$L$7:$L$106,"IVA solo en Gasto")+COUNTIF(Activos!$L$7:$L$106,"Falta servicio")+COUNTIF(Activos!$L$7:$L$106,"Falta categoría")+COUNTIF(Activos!$L$7:$L$106,"Tipo o categoría inválido")+COUNTIF(Activos!$L$7:$L$106,"Revisar activo")+COUNTIF(Activos!$L$7:$L$106,"Dep. inicial no procede")+COUNTIF(Activos!$L$7:$L$106,"Revisar fecha")</f>
        <v>0</v>
      </c>
      <c r="F14" s="26">
        <f>COUNTIF(Activos!$L$7:$L$106,"Faltan datos")+COUNTIF(Activos!$L$7:$L$106,"ID duplicado")+COUNTIF(Activos!$L$7:$L$106,"Fecha fuera del año")+COUNTIF(Activos!$L$7:$L$106,"Revisar signo")+COUNTIF(Activos!$L$7:$L$106,"IVA solo en Servicio")+COUNTIF(Activos!$L$7:$L$106,"IVA solo en Gasto")+COUNTIF(Activos!$L$7:$L$106,"Falta servicio")+COUNTIF(Activos!$L$7:$L$106,"Falta categoría")+COUNTIF(Activos!$L$7:$L$106,"Tipo o categoría inválido")+COUNTIF(Activos!$L$7:$L$106,"Revisar activo")+COUNTIF(Activos!$L$7:$L$106,"Dep. inicial no procede")+COUNTIF(Activos!$L$7:$L$106,"Revisar fecha")</f>
        <v>0</v>
      </c>
      <c r="G14" s="26">
        <f>COUNTIF(Activos!$L$7:$L$106,"Faltan datos")+COUNTIF(Activos!$L$7:$L$106,"ID duplicado")+COUNTIF(Activos!$L$7:$L$106,"Fecha fuera del año")+COUNTIF(Activos!$L$7:$L$106,"Revisar signo")+COUNTIF(Activos!$L$7:$L$106,"IVA solo en Servicio")+COUNTIF(Activos!$L$7:$L$106,"IVA solo en Gasto")+COUNTIF(Activos!$L$7:$L$106,"Falta servicio")+COUNTIF(Activos!$L$7:$L$106,"Falta categoría")+COUNTIF(Activos!$L$7:$L$106,"Tipo o categoría inválido")+COUNTIF(Activos!$L$7:$L$106,"Revisar activo")+COUNTIF(Activos!$L$7:$L$106,"Dep. inicial no procede")+COUNTIF(Activos!$L$7:$L$106,"Revisar fecha")</f>
        <v>0</v>
      </c>
      <c r="H14" s="26">
        <f>COUNTIF(Activos!$L$7:$L$106,"Faltan datos")+COUNTIF(Activos!$L$7:$L$106,"ID duplicado")+COUNTIF(Activos!$L$7:$L$106,"Fecha fuera del año")+COUNTIF(Activos!$L$7:$L$106,"Revisar signo")+COUNTIF(Activos!$L$7:$L$106,"IVA solo en Servicio")+COUNTIF(Activos!$L$7:$L$106,"IVA solo en Gasto")+COUNTIF(Activos!$L$7:$L$106,"Falta servicio")+COUNTIF(Activos!$L$7:$L$106,"Falta categoría")+COUNTIF(Activos!$L$7:$L$106,"Tipo o categoría inválido")+COUNTIF(Activos!$L$7:$L$106,"Revisar activo")+COUNTIF(Activos!$L$7:$L$106,"Dep. inicial no procede")+COUNTIF(Activos!$L$7:$L$106,"Revisar fecha")</f>
        <v>0</v>
      </c>
      <c r="I14" s="26">
        <f>COUNTIF(Activos!$L$7:$L$106,"Faltan datos")+COUNTIF(Activos!$L$7:$L$106,"ID duplicado")+COUNTIF(Activos!$L$7:$L$106,"Fecha fuera del año")+COUNTIF(Activos!$L$7:$L$106,"Revisar signo")+COUNTIF(Activos!$L$7:$L$106,"IVA solo en Servicio")+COUNTIF(Activos!$L$7:$L$106,"IVA solo en Gasto")+COUNTIF(Activos!$L$7:$L$106,"Falta servicio")+COUNTIF(Activos!$L$7:$L$106,"Falta categoría")+COUNTIF(Activos!$L$7:$L$106,"Tipo o categoría inválido")+COUNTIF(Activos!$L$7:$L$106,"Revisar activo")+COUNTIF(Activos!$L$7:$L$106,"Dep. inicial no procede")+COUNTIF(Activos!$L$7:$L$106,"Revisar fecha")</f>
        <v>0</v>
      </c>
      <c r="J14" s="26">
        <f>COUNTIF(Activos!$L$7:$L$106,"Faltan datos")+COUNTIF(Activos!$L$7:$L$106,"ID duplicado")+COUNTIF(Activos!$L$7:$L$106,"Fecha fuera del año")+COUNTIF(Activos!$L$7:$L$106,"Revisar signo")+COUNTIF(Activos!$L$7:$L$106,"IVA solo en Servicio")+COUNTIF(Activos!$L$7:$L$106,"IVA solo en Gasto")+COUNTIF(Activos!$L$7:$L$106,"Falta servicio")+COUNTIF(Activos!$L$7:$L$106,"Falta categoría")+COUNTIF(Activos!$L$7:$L$106,"Tipo o categoría inválido")+COUNTIF(Activos!$L$7:$L$106,"Revisar activo")+COUNTIF(Activos!$L$7:$L$106,"Dep. inicial no procede")+COUNTIF(Activos!$L$7:$L$106,"Revisar fecha")</f>
        <v>0</v>
      </c>
      <c r="K14" s="26">
        <f>COUNTIF(Activos!$L$7:$L$106,"Faltan datos")+COUNTIF(Activos!$L$7:$L$106,"ID duplicado")+COUNTIF(Activos!$L$7:$L$106,"Fecha fuera del año")+COUNTIF(Activos!$L$7:$L$106,"Revisar signo")+COUNTIF(Activos!$L$7:$L$106,"IVA solo en Servicio")+COUNTIF(Activos!$L$7:$L$106,"IVA solo en Gasto")+COUNTIF(Activos!$L$7:$L$106,"Falta servicio")+COUNTIF(Activos!$L$7:$L$106,"Falta categoría")+COUNTIF(Activos!$L$7:$L$106,"Tipo o categoría inválido")+COUNTIF(Activos!$L$7:$L$106,"Revisar activo")+COUNTIF(Activos!$L$7:$L$106,"Dep. inicial no procede")+COUNTIF(Activos!$L$7:$L$106,"Revisar fecha")</f>
        <v>0</v>
      </c>
      <c r="L14" s="26">
        <f>COUNTIF(Activos!$L$7:$L$106,"Faltan datos")+COUNTIF(Activos!$L$7:$L$106,"ID duplicado")+COUNTIF(Activos!$L$7:$L$106,"Fecha fuera del año")+COUNTIF(Activos!$L$7:$L$106,"Revisar signo")+COUNTIF(Activos!$L$7:$L$106,"IVA solo en Servicio")+COUNTIF(Activos!$L$7:$L$106,"IVA solo en Gasto")+COUNTIF(Activos!$L$7:$L$106,"Falta servicio")+COUNTIF(Activos!$L$7:$L$106,"Falta categoría")+COUNTIF(Activos!$L$7:$L$106,"Tipo o categoría inválido")+COUNTIF(Activos!$L$7:$L$106,"Revisar activo")+COUNTIF(Activos!$L$7:$L$106,"Dep. inicial no procede")+COUNTIF(Activos!$L$7:$L$106,"Revisar fecha")</f>
        <v>0</v>
      </c>
      <c r="M14" s="26">
        <f>COUNTIF(Activos!$L$7:$L$106,"Faltan datos")+COUNTIF(Activos!$L$7:$L$106,"ID duplicado")+COUNTIF(Activos!$L$7:$L$106,"Fecha fuera del año")+COUNTIF(Activos!$L$7:$L$106,"Revisar signo")+COUNTIF(Activos!$L$7:$L$106,"IVA solo en Servicio")+COUNTIF(Activos!$L$7:$L$106,"IVA solo en Gasto")+COUNTIF(Activos!$L$7:$L$106,"Falta servicio")+COUNTIF(Activos!$L$7:$L$106,"Falta categoría")+COUNTIF(Activos!$L$7:$L$106,"Tipo o categoría inválido")+COUNTIF(Activos!$L$7:$L$106,"Revisar activo")+COUNTIF(Activos!$L$7:$L$106,"Dep. inicial no procede")+COUNTIF(Activos!$L$7:$L$106,"Revisar fecha")</f>
        <v>0</v>
      </c>
      <c r="N14" s="26">
        <f>COUNTIF(Activos!$L$7:$L$106,"Faltan datos")+COUNTIF(Activos!$L$7:$L$106,"ID duplicado")+COUNTIF(Activos!$L$7:$L$106,"Fecha fuera del año")+COUNTIF(Activos!$L$7:$L$106,"Revisar signo")+COUNTIF(Activos!$L$7:$L$106,"IVA solo en Servicio")+COUNTIF(Activos!$L$7:$L$106,"IVA solo en Gasto")+COUNTIF(Activos!$L$7:$L$106,"Falta servicio")+COUNTIF(Activos!$L$7:$L$106,"Falta categoría")+COUNTIF(Activos!$L$7:$L$106,"Tipo o categoría inválido")+COUNTIF(Activos!$L$7:$L$106,"Revisar activo")+COUNTIF(Activos!$L$7:$L$106,"Dep. inicial no procede")+COUNTIF(Activos!$L$7:$L$106,"Revisar fecha")</f>
        <v>0</v>
      </c>
      <c r="O14" s="11"/>
    </row>
    <row r="15" spans="1:15" ht="22" customHeight="1">
      <c r="A15" s="1"/>
      <c r="B15" s="1" t="s">
        <v>201</v>
      </c>
      <c r="C15" s="26">
        <f>COUNTIF(Pasivos!$I$7:$I$506,"Faltan datos")+COUNTIF(Pasivos!$I$7:$I$506,"ID duplicado")+COUNTIF(Pasivos!$I$7:$I$506,"Fecha fuera del año")+COUNTIF(Pasivos!$I$7:$I$506,"Revisar signo")+COUNTIF(Pasivos!$I$7:$I$506,"IVA solo en Servicio")+COUNTIF(Pasivos!$I$7:$I$506,"IVA solo en Gasto")+COUNTIF(Pasivos!$I$7:$I$506,"Falta servicio")+COUNTIF(Pasivos!$I$7:$I$506,"Falta categoría")+COUNTIF(Pasivos!$I$7:$I$506,"Tipo o categoría inválido")+COUNTIF(Pasivos!$I$7:$I$506,"Revisar activo")+COUNTIF(Pasivos!$I$7:$I$506,"Dep. inicial no procede")+COUNTIF(Pasivos!$I$7:$I$506,"Revisar fecha")</f>
        <v>0</v>
      </c>
      <c r="D15" s="26">
        <f>COUNTIF(Pasivos!$I$7:$I$506,"Faltan datos")+COUNTIF(Pasivos!$I$7:$I$506,"ID duplicado")+COUNTIF(Pasivos!$I$7:$I$506,"Fecha fuera del año")+COUNTIF(Pasivos!$I$7:$I$506,"Revisar signo")+COUNTIF(Pasivos!$I$7:$I$506,"IVA solo en Servicio")+COUNTIF(Pasivos!$I$7:$I$506,"IVA solo en Gasto")+COUNTIF(Pasivos!$I$7:$I$506,"Falta servicio")+COUNTIF(Pasivos!$I$7:$I$506,"Falta categoría")+COUNTIF(Pasivos!$I$7:$I$506,"Tipo o categoría inválido")+COUNTIF(Pasivos!$I$7:$I$506,"Revisar activo")+COUNTIF(Pasivos!$I$7:$I$506,"Dep. inicial no procede")+COUNTIF(Pasivos!$I$7:$I$506,"Revisar fecha")</f>
        <v>0</v>
      </c>
      <c r="E15" s="26">
        <f>COUNTIF(Pasivos!$I$7:$I$506,"Faltan datos")+COUNTIF(Pasivos!$I$7:$I$506,"ID duplicado")+COUNTIF(Pasivos!$I$7:$I$506,"Fecha fuera del año")+COUNTIF(Pasivos!$I$7:$I$506,"Revisar signo")+COUNTIF(Pasivos!$I$7:$I$506,"IVA solo en Servicio")+COUNTIF(Pasivos!$I$7:$I$506,"IVA solo en Gasto")+COUNTIF(Pasivos!$I$7:$I$506,"Falta servicio")+COUNTIF(Pasivos!$I$7:$I$506,"Falta categoría")+COUNTIF(Pasivos!$I$7:$I$506,"Tipo o categoría inválido")+COUNTIF(Pasivos!$I$7:$I$506,"Revisar activo")+COUNTIF(Pasivos!$I$7:$I$506,"Dep. inicial no procede")+COUNTIF(Pasivos!$I$7:$I$506,"Revisar fecha")</f>
        <v>0</v>
      </c>
      <c r="F15" s="26">
        <f>COUNTIF(Pasivos!$I$7:$I$506,"Faltan datos")+COUNTIF(Pasivos!$I$7:$I$506,"ID duplicado")+COUNTIF(Pasivos!$I$7:$I$506,"Fecha fuera del año")+COUNTIF(Pasivos!$I$7:$I$506,"Revisar signo")+COUNTIF(Pasivos!$I$7:$I$506,"IVA solo en Servicio")+COUNTIF(Pasivos!$I$7:$I$506,"IVA solo en Gasto")+COUNTIF(Pasivos!$I$7:$I$506,"Falta servicio")+COUNTIF(Pasivos!$I$7:$I$506,"Falta categoría")+COUNTIF(Pasivos!$I$7:$I$506,"Tipo o categoría inválido")+COUNTIF(Pasivos!$I$7:$I$506,"Revisar activo")+COUNTIF(Pasivos!$I$7:$I$506,"Dep. inicial no procede")+COUNTIF(Pasivos!$I$7:$I$506,"Revisar fecha")</f>
        <v>0</v>
      </c>
      <c r="G15" s="26">
        <f>COUNTIF(Pasivos!$I$7:$I$506,"Faltan datos")+COUNTIF(Pasivos!$I$7:$I$506,"ID duplicado")+COUNTIF(Pasivos!$I$7:$I$506,"Fecha fuera del año")+COUNTIF(Pasivos!$I$7:$I$506,"Revisar signo")+COUNTIF(Pasivos!$I$7:$I$506,"IVA solo en Servicio")+COUNTIF(Pasivos!$I$7:$I$506,"IVA solo en Gasto")+COUNTIF(Pasivos!$I$7:$I$506,"Falta servicio")+COUNTIF(Pasivos!$I$7:$I$506,"Falta categoría")+COUNTIF(Pasivos!$I$7:$I$506,"Tipo o categoría inválido")+COUNTIF(Pasivos!$I$7:$I$506,"Revisar activo")+COUNTIF(Pasivos!$I$7:$I$506,"Dep. inicial no procede")+COUNTIF(Pasivos!$I$7:$I$506,"Revisar fecha")</f>
        <v>0</v>
      </c>
      <c r="H15" s="26">
        <f>COUNTIF(Pasivos!$I$7:$I$506,"Faltan datos")+COUNTIF(Pasivos!$I$7:$I$506,"ID duplicado")+COUNTIF(Pasivos!$I$7:$I$506,"Fecha fuera del año")+COUNTIF(Pasivos!$I$7:$I$506,"Revisar signo")+COUNTIF(Pasivos!$I$7:$I$506,"IVA solo en Servicio")+COUNTIF(Pasivos!$I$7:$I$506,"IVA solo en Gasto")+COUNTIF(Pasivos!$I$7:$I$506,"Falta servicio")+COUNTIF(Pasivos!$I$7:$I$506,"Falta categoría")+COUNTIF(Pasivos!$I$7:$I$506,"Tipo o categoría inválido")+COUNTIF(Pasivos!$I$7:$I$506,"Revisar activo")+COUNTIF(Pasivos!$I$7:$I$506,"Dep. inicial no procede")+COUNTIF(Pasivos!$I$7:$I$506,"Revisar fecha")</f>
        <v>0</v>
      </c>
      <c r="I15" s="26">
        <f>COUNTIF(Pasivos!$I$7:$I$506,"Faltan datos")+COUNTIF(Pasivos!$I$7:$I$506,"ID duplicado")+COUNTIF(Pasivos!$I$7:$I$506,"Fecha fuera del año")+COUNTIF(Pasivos!$I$7:$I$506,"Revisar signo")+COUNTIF(Pasivos!$I$7:$I$506,"IVA solo en Servicio")+COUNTIF(Pasivos!$I$7:$I$506,"IVA solo en Gasto")+COUNTIF(Pasivos!$I$7:$I$506,"Falta servicio")+COUNTIF(Pasivos!$I$7:$I$506,"Falta categoría")+COUNTIF(Pasivos!$I$7:$I$506,"Tipo o categoría inválido")+COUNTIF(Pasivos!$I$7:$I$506,"Revisar activo")+COUNTIF(Pasivos!$I$7:$I$506,"Dep. inicial no procede")+COUNTIF(Pasivos!$I$7:$I$506,"Revisar fecha")</f>
        <v>0</v>
      </c>
      <c r="J15" s="26">
        <f>COUNTIF(Pasivos!$I$7:$I$506,"Faltan datos")+COUNTIF(Pasivos!$I$7:$I$506,"ID duplicado")+COUNTIF(Pasivos!$I$7:$I$506,"Fecha fuera del año")+COUNTIF(Pasivos!$I$7:$I$506,"Revisar signo")+COUNTIF(Pasivos!$I$7:$I$506,"IVA solo en Servicio")+COUNTIF(Pasivos!$I$7:$I$506,"IVA solo en Gasto")+COUNTIF(Pasivos!$I$7:$I$506,"Falta servicio")+COUNTIF(Pasivos!$I$7:$I$506,"Falta categoría")+COUNTIF(Pasivos!$I$7:$I$506,"Tipo o categoría inválido")+COUNTIF(Pasivos!$I$7:$I$506,"Revisar activo")+COUNTIF(Pasivos!$I$7:$I$506,"Dep. inicial no procede")+COUNTIF(Pasivos!$I$7:$I$506,"Revisar fecha")</f>
        <v>0</v>
      </c>
      <c r="K15" s="26">
        <f>COUNTIF(Pasivos!$I$7:$I$506,"Faltan datos")+COUNTIF(Pasivos!$I$7:$I$506,"ID duplicado")+COUNTIF(Pasivos!$I$7:$I$506,"Fecha fuera del año")+COUNTIF(Pasivos!$I$7:$I$506,"Revisar signo")+COUNTIF(Pasivos!$I$7:$I$506,"IVA solo en Servicio")+COUNTIF(Pasivos!$I$7:$I$506,"IVA solo en Gasto")+COUNTIF(Pasivos!$I$7:$I$506,"Falta servicio")+COUNTIF(Pasivos!$I$7:$I$506,"Falta categoría")+COUNTIF(Pasivos!$I$7:$I$506,"Tipo o categoría inválido")+COUNTIF(Pasivos!$I$7:$I$506,"Revisar activo")+COUNTIF(Pasivos!$I$7:$I$506,"Dep. inicial no procede")+COUNTIF(Pasivos!$I$7:$I$506,"Revisar fecha")</f>
        <v>0</v>
      </c>
      <c r="L15" s="26">
        <f>COUNTIF(Pasivos!$I$7:$I$506,"Faltan datos")+COUNTIF(Pasivos!$I$7:$I$506,"ID duplicado")+COUNTIF(Pasivos!$I$7:$I$506,"Fecha fuera del año")+COUNTIF(Pasivos!$I$7:$I$506,"Revisar signo")+COUNTIF(Pasivos!$I$7:$I$506,"IVA solo en Servicio")+COUNTIF(Pasivos!$I$7:$I$506,"IVA solo en Gasto")+COUNTIF(Pasivos!$I$7:$I$506,"Falta servicio")+COUNTIF(Pasivos!$I$7:$I$506,"Falta categoría")+COUNTIF(Pasivos!$I$7:$I$506,"Tipo o categoría inválido")+COUNTIF(Pasivos!$I$7:$I$506,"Revisar activo")+COUNTIF(Pasivos!$I$7:$I$506,"Dep. inicial no procede")+COUNTIF(Pasivos!$I$7:$I$506,"Revisar fecha")</f>
        <v>0</v>
      </c>
      <c r="M15" s="26">
        <f>COUNTIF(Pasivos!$I$7:$I$506,"Faltan datos")+COUNTIF(Pasivos!$I$7:$I$506,"ID duplicado")+COUNTIF(Pasivos!$I$7:$I$506,"Fecha fuera del año")+COUNTIF(Pasivos!$I$7:$I$506,"Revisar signo")+COUNTIF(Pasivos!$I$7:$I$506,"IVA solo en Servicio")+COUNTIF(Pasivos!$I$7:$I$506,"IVA solo en Gasto")+COUNTIF(Pasivos!$I$7:$I$506,"Falta servicio")+COUNTIF(Pasivos!$I$7:$I$506,"Falta categoría")+COUNTIF(Pasivos!$I$7:$I$506,"Tipo o categoría inválido")+COUNTIF(Pasivos!$I$7:$I$506,"Revisar activo")+COUNTIF(Pasivos!$I$7:$I$506,"Dep. inicial no procede")+COUNTIF(Pasivos!$I$7:$I$506,"Revisar fecha")</f>
        <v>0</v>
      </c>
      <c r="N15" s="26">
        <f>COUNTIF(Pasivos!$I$7:$I$506,"Faltan datos")+COUNTIF(Pasivos!$I$7:$I$506,"ID duplicado")+COUNTIF(Pasivos!$I$7:$I$506,"Fecha fuera del año")+COUNTIF(Pasivos!$I$7:$I$506,"Revisar signo")+COUNTIF(Pasivos!$I$7:$I$506,"IVA solo en Servicio")+COUNTIF(Pasivos!$I$7:$I$506,"IVA solo en Gasto")+COUNTIF(Pasivos!$I$7:$I$506,"Falta servicio")+COUNTIF(Pasivos!$I$7:$I$506,"Falta categoría")+COUNTIF(Pasivos!$I$7:$I$506,"Tipo o categoría inválido")+COUNTIF(Pasivos!$I$7:$I$506,"Revisar activo")+COUNTIF(Pasivos!$I$7:$I$506,"Dep. inicial no procede")+COUNTIF(Pasivos!$I$7:$I$506,"Revisar fecha")</f>
        <v>0</v>
      </c>
      <c r="O15" s="11"/>
    </row>
    <row r="16" spans="1:15" ht="22" customHeight="1">
      <c r="A16" s="1"/>
      <c r="B16" s="1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11"/>
    </row>
    <row r="17" spans="1:15" ht="22" customHeight="1">
      <c r="A17" s="1"/>
      <c r="B17" s="1" t="s">
        <v>202</v>
      </c>
      <c r="C17" s="25">
        <f>SUM(Configuración!C9:C13)+SUMIFS(Activos!$E$7:$E$106,Activos!$C$7:$C$106,"&lt;"&amp;DATE(Configuración!$C$5,1,1),Activos!$C$7:$C$106,"&gt;0")-SUMIFS(Activos!$I$7:$I$106,Activos!$C$7:$C$106,"&lt;"&amp;DATE(Configuración!$C$5,1,1),Activos!$C$7:$C$106,"&gt;0")-SUM(Configuración!C14:C19)-SUMIFS(Pasivos!$G$7:$G$506,Pasivos!$C$7:$C$506,"Saldo inicial",Pasivos!$B$7:$B$506,DATE(Configuración!$C$5,1,1)-1)</f>
        <v>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11"/>
    </row>
    <row r="18" spans="1:15" ht="22" customHeight="1">
      <c r="A18" s="1"/>
      <c r="B18" s="1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11"/>
    </row>
    <row r="19" spans="1:15" ht="22" customHeight="1">
      <c r="A19" s="1"/>
      <c r="B19" s="1" t="s">
        <v>203</v>
      </c>
      <c r="C19" s="8" t="str">
        <f>IF(MIN('Balance General'!C7:C8,'Balance General'!C10:C11,'Balance General'!C19:C20,'Balance General'!C22:C23,'Balance General'!C25)&lt;-0.01,"Revisar","OK")</f>
        <v>OK</v>
      </c>
      <c r="D19" s="8" t="str">
        <f>IF(MIN('Balance General'!D7:D8,'Balance General'!D10:D11,'Balance General'!D19:D20,'Balance General'!D22:D23,'Balance General'!D25)&lt;-0.01,"Revisar","OK")</f>
        <v>OK</v>
      </c>
      <c r="E19" s="8" t="str">
        <f>IF(MIN('Balance General'!E7:E8,'Balance General'!E10:E11,'Balance General'!E19:E20,'Balance General'!E22:E23,'Balance General'!E25)&lt;-0.01,"Revisar","OK")</f>
        <v>OK</v>
      </c>
      <c r="F19" s="8" t="str">
        <f>IF(MIN('Balance General'!F7:F8,'Balance General'!F10:F11,'Balance General'!F19:F20,'Balance General'!F22:F23,'Balance General'!F25)&lt;-0.01,"Revisar","OK")</f>
        <v>OK</v>
      </c>
      <c r="G19" s="8" t="str">
        <f>IF(MIN('Balance General'!G7:G8,'Balance General'!G10:G11,'Balance General'!G19:G20,'Balance General'!G22:G23,'Balance General'!G25)&lt;-0.01,"Revisar","OK")</f>
        <v>OK</v>
      </c>
      <c r="H19" s="8" t="str">
        <f>IF(MIN('Balance General'!H7:H8,'Balance General'!H10:H11,'Balance General'!H19:H20,'Balance General'!H22:H23,'Balance General'!H25)&lt;-0.01,"Revisar","OK")</f>
        <v>OK</v>
      </c>
      <c r="I19" s="8" t="str">
        <f>IF(MIN('Balance General'!I7:I8,'Balance General'!I10:I11,'Balance General'!I19:I20,'Balance General'!I22:I23,'Balance General'!I25)&lt;-0.01,"Revisar","OK")</f>
        <v>OK</v>
      </c>
      <c r="J19" s="8" t="str">
        <f>IF(MIN('Balance General'!J7:J8,'Balance General'!J10:J11,'Balance General'!J19:J20,'Balance General'!J22:J23,'Balance General'!J25)&lt;-0.01,"Revisar","OK")</f>
        <v>OK</v>
      </c>
      <c r="K19" s="8" t="str">
        <f>IF(MIN('Balance General'!K7:K8,'Balance General'!K10:K11,'Balance General'!K19:K20,'Balance General'!K22:K23,'Balance General'!K25)&lt;-0.01,"Revisar","OK")</f>
        <v>OK</v>
      </c>
      <c r="L19" s="8" t="str">
        <f>IF(MIN('Balance General'!L7:L8,'Balance General'!L10:L11,'Balance General'!L19:L20,'Balance General'!L22:L23,'Balance General'!L25)&lt;-0.01,"Revisar","OK")</f>
        <v>OK</v>
      </c>
      <c r="M19" s="8" t="str">
        <f>IF(MIN('Balance General'!M7:M8,'Balance General'!M10:M11,'Balance General'!M19:M20,'Balance General'!M22:M23,'Balance General'!M25)&lt;-0.01,"Revisar","OK")</f>
        <v>OK</v>
      </c>
      <c r="N19" s="8" t="str">
        <f>IF(MIN('Balance General'!N7:N8,'Balance General'!N10:N11,'Balance General'!N19:N20,'Balance General'!N22:N23,'Balance General'!N25)&lt;-0.01,"Revisar","OK")</f>
        <v>OK</v>
      </c>
      <c r="O19" s="11"/>
    </row>
    <row r="20" spans="1:15" ht="22" customHeight="1">
      <c r="A20" s="1"/>
      <c r="B20" s="1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11"/>
    </row>
    <row r="21" spans="1:15" ht="22" customHeight="1">
      <c r="A21" s="1"/>
      <c r="B21" s="1" t="s">
        <v>204</v>
      </c>
      <c r="C21" s="8" t="str">
        <f t="shared" ref="C21:N21" si="0">IF(OR(C10&lt;&gt;"Sí",C9=""),"Pendiente",IF(OR(ABS(C7)&gt;0.01,ABS(C8)&gt;0.01,ABS($C$17)&gt;0.01,SUM(C12:C15)&gt;0,C19&lt;&gt;"OK"),"Revisar","Conciliado"))</f>
        <v>Pendiente</v>
      </c>
      <c r="D21" s="8" t="str">
        <f t="shared" si="0"/>
        <v>Pendiente</v>
      </c>
      <c r="E21" s="8" t="str">
        <f t="shared" si="0"/>
        <v>Pendiente</v>
      </c>
      <c r="F21" s="8" t="str">
        <f t="shared" si="0"/>
        <v>Pendiente</v>
      </c>
      <c r="G21" s="8" t="str">
        <f t="shared" si="0"/>
        <v>Pendiente</v>
      </c>
      <c r="H21" s="8" t="str">
        <f t="shared" si="0"/>
        <v>Pendiente</v>
      </c>
      <c r="I21" s="8" t="str">
        <f t="shared" si="0"/>
        <v>Pendiente</v>
      </c>
      <c r="J21" s="8" t="str">
        <f t="shared" si="0"/>
        <v>Pendiente</v>
      </c>
      <c r="K21" s="8" t="str">
        <f t="shared" si="0"/>
        <v>Pendiente</v>
      </c>
      <c r="L21" s="8" t="str">
        <f t="shared" si="0"/>
        <v>Pendiente</v>
      </c>
      <c r="M21" s="8" t="str">
        <f t="shared" si="0"/>
        <v>Pendiente</v>
      </c>
      <c r="N21" s="8" t="str">
        <f t="shared" si="0"/>
        <v>Pendiente</v>
      </c>
      <c r="O21" s="11"/>
    </row>
    <row r="22" spans="1:15" ht="22" customHeight="1">
      <c r="A22" s="1"/>
      <c r="B22" s="1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11"/>
    </row>
    <row r="23" spans="1:15" ht="22" customHeight="1">
      <c r="A23" s="1"/>
      <c r="B23" s="1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11"/>
    </row>
    <row r="24" spans="1:15" ht="22" customHeight="1">
      <c r="A24" s="1"/>
      <c r="B24" s="1" t="s">
        <v>205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11"/>
    </row>
    <row r="25" spans="1:15" ht="22" customHeight="1">
      <c r="A25" s="1"/>
      <c r="B25" s="1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11"/>
    </row>
    <row r="26" spans="1:15" ht="22" customHeight="1">
      <c r="A26" s="1"/>
      <c r="B26" s="1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11"/>
    </row>
    <row r="27" spans="1:15" ht="22" customHeight="1">
      <c r="A27" s="1"/>
      <c r="B27" s="1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11"/>
    </row>
    <row r="28" spans="1:15" ht="22" customHeight="1">
      <c r="A28" s="1"/>
      <c r="B28" s="1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11"/>
    </row>
    <row r="29" spans="1:15" ht="22" customHeight="1">
      <c r="A29" s="1"/>
      <c r="B29" s="1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11"/>
    </row>
    <row r="30" spans="1:15" ht="22" customHeight="1">
      <c r="A30" s="1"/>
      <c r="B30" s="1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11"/>
    </row>
    <row r="31" spans="1:15" ht="22" customHeight="1">
      <c r="A31" s="1"/>
      <c r="B31" s="1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11"/>
    </row>
    <row r="32" spans="1:15" ht="22" customHeight="1">
      <c r="A32" s="1"/>
      <c r="B32" s="1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11"/>
    </row>
    <row r="33" spans="1:15" ht="22" customHeight="1">
      <c r="A33" s="1"/>
      <c r="B33" s="1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11"/>
    </row>
    <row r="34" spans="1:15" ht="22" customHeight="1">
      <c r="A34" s="1"/>
      <c r="B34" s="1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11"/>
    </row>
    <row r="35" spans="1:15" ht="22" customHeight="1">
      <c r="A35" s="1"/>
      <c r="B35" s="1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11"/>
    </row>
    <row r="36" spans="1:15" ht="22" customHeight="1">
      <c r="A36" s="1"/>
      <c r="B36" s="1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11"/>
    </row>
    <row r="37" spans="1:15" ht="22" customHeight="1">
      <c r="A37" s="1"/>
      <c r="B37" s="1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11"/>
    </row>
    <row r="38" spans="1:15" ht="22" customHeight="1">
      <c r="A38" s="1"/>
      <c r="B38" s="1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11"/>
    </row>
    <row r="39" spans="1:15" ht="22" customHeight="1">
      <c r="A39" s="1"/>
      <c r="B39" s="1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11"/>
    </row>
    <row r="40" spans="1:15" ht="22" customHeight="1">
      <c r="A40" s="1"/>
      <c r="B40" s="1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11"/>
    </row>
    <row r="41" spans="1:15" ht="22" customHeight="1">
      <c r="A41" s="1"/>
      <c r="B41" s="1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11"/>
    </row>
    <row r="42" spans="1:15" ht="22" customHeight="1">
      <c r="A42" s="1"/>
      <c r="B42" s="1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11"/>
    </row>
    <row r="43" spans="1:15" ht="22" customHeight="1">
      <c r="A43" s="1"/>
      <c r="B43" s="1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11"/>
    </row>
    <row r="44" spans="1:15" ht="22" customHeight="1">
      <c r="A44" s="1"/>
      <c r="B44" s="1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11"/>
    </row>
    <row r="45" spans="1:15" ht="22" customHeight="1">
      <c r="A45" s="1"/>
      <c r="B45" s="1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11"/>
    </row>
    <row r="46" spans="1:15"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</row>
    <row r="47" spans="1:15"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</row>
    <row r="48" spans="1:15"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</row>
    <row r="49" spans="3:15"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</row>
    <row r="50" spans="3:15"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</row>
    <row r="51" spans="3:15"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</row>
    <row r="52" spans="3:15"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</row>
    <row r="53" spans="3:15"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</row>
    <row r="54" spans="3:15"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</row>
    <row r="55" spans="3:15"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</row>
  </sheetData>
  <conditionalFormatting sqref="C21:N21">
    <cfRule type="containsText" dxfId="0" priority="1" operator="containsText" text="Revisar"/>
  </conditionalFormatting>
  <dataValidations count="1">
    <dataValidation type="list" sqref="C10:N10" xr:uid="{00000000-0002-0000-0A00-000000000000}">
      <formula1>"Pendiente,Sí"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AA6AD"/>
  </sheetPr>
  <dimension ref="A1:H53"/>
  <sheetViews>
    <sheetView showGridLines="0" workbookViewId="0"/>
  </sheetViews>
  <sheetFormatPr baseColWidth="10" defaultColWidth="8.83203125" defaultRowHeight="15"/>
  <cols>
    <col min="1" max="1" width="4" customWidth="1"/>
    <col min="2" max="2" width="36" customWidth="1"/>
    <col min="3" max="3" width="112" customWidth="1"/>
    <col min="4" max="14" width="16" customWidth="1"/>
  </cols>
  <sheetData>
    <row r="1" spans="1:8" ht="22" customHeight="1">
      <c r="A1" s="1"/>
      <c r="B1" s="1"/>
      <c r="C1" s="1"/>
      <c r="D1" s="1"/>
      <c r="E1" s="1"/>
      <c r="F1" s="1"/>
      <c r="G1" s="1"/>
      <c r="H1" s="1"/>
    </row>
    <row r="2" spans="1:8" ht="22" customHeight="1">
      <c r="A2" s="1"/>
      <c r="B2" s="2" t="s">
        <v>206</v>
      </c>
      <c r="C2" s="1"/>
      <c r="D2" s="1"/>
      <c r="E2" s="1"/>
      <c r="F2" s="1"/>
      <c r="G2" s="1"/>
      <c r="H2" s="1"/>
    </row>
    <row r="3" spans="1:8" ht="22" customHeight="1">
      <c r="A3" s="1"/>
      <c r="B3" s="1"/>
      <c r="C3" s="1"/>
      <c r="D3" s="1"/>
      <c r="E3" s="1"/>
      <c r="F3" s="1"/>
      <c r="G3" s="1"/>
      <c r="H3" s="1"/>
    </row>
    <row r="4" spans="1:8" ht="22" customHeight="1">
      <c r="A4" s="1"/>
      <c r="B4" s="1"/>
      <c r="C4" s="1"/>
      <c r="D4" s="1"/>
      <c r="E4" s="1"/>
      <c r="F4" s="1"/>
      <c r="G4" s="1"/>
      <c r="H4" s="1"/>
    </row>
    <row r="5" spans="1:8" ht="42" customHeight="1">
      <c r="A5" s="1"/>
      <c r="B5" s="29" t="s">
        <v>207</v>
      </c>
      <c r="C5" s="30" t="s">
        <v>208</v>
      </c>
      <c r="D5" s="1"/>
      <c r="E5" s="1"/>
      <c r="F5" s="1"/>
      <c r="G5" s="1"/>
      <c r="H5" s="1"/>
    </row>
    <row r="6" spans="1:8" ht="42" customHeight="1">
      <c r="A6" s="1"/>
      <c r="B6" s="27" t="s">
        <v>209</v>
      </c>
      <c r="C6" s="28" t="s">
        <v>210</v>
      </c>
      <c r="D6" s="1"/>
      <c r="E6" s="1"/>
      <c r="F6" s="1"/>
      <c r="G6" s="1"/>
      <c r="H6" s="1"/>
    </row>
    <row r="7" spans="1:8" ht="42" customHeight="1">
      <c r="A7" s="1"/>
      <c r="B7" s="29" t="s">
        <v>211</v>
      </c>
      <c r="C7" s="30" t="s">
        <v>212</v>
      </c>
      <c r="D7" s="1"/>
      <c r="E7" s="1"/>
      <c r="F7" s="1"/>
      <c r="G7" s="1"/>
      <c r="H7" s="1"/>
    </row>
    <row r="8" spans="1:8" ht="42" customHeight="1">
      <c r="A8" s="1"/>
      <c r="B8" s="27" t="s">
        <v>213</v>
      </c>
      <c r="C8" s="28" t="s">
        <v>214</v>
      </c>
      <c r="D8" s="1"/>
      <c r="E8" s="1"/>
      <c r="F8" s="1"/>
      <c r="G8" s="1"/>
      <c r="H8" s="1"/>
    </row>
    <row r="9" spans="1:8" ht="42" customHeight="1">
      <c r="A9" s="1"/>
      <c r="B9" s="29" t="s">
        <v>215</v>
      </c>
      <c r="C9" s="30" t="s">
        <v>216</v>
      </c>
      <c r="D9" s="1"/>
      <c r="E9" s="1"/>
      <c r="F9" s="1"/>
      <c r="G9" s="1"/>
      <c r="H9" s="1"/>
    </row>
    <row r="10" spans="1:8" ht="42" customHeight="1">
      <c r="A10" s="1"/>
      <c r="B10" s="27" t="s">
        <v>217</v>
      </c>
      <c r="C10" s="28" t="s">
        <v>218</v>
      </c>
      <c r="D10" s="1"/>
      <c r="E10" s="1"/>
      <c r="F10" s="1"/>
      <c r="G10" s="1"/>
      <c r="H10" s="1"/>
    </row>
    <row r="11" spans="1:8" ht="42" customHeight="1">
      <c r="A11" s="1"/>
      <c r="B11" s="29" t="s">
        <v>219</v>
      </c>
      <c r="C11" s="30" t="s">
        <v>220</v>
      </c>
      <c r="D11" s="1"/>
      <c r="E11" s="1"/>
      <c r="F11" s="1"/>
      <c r="G11" s="1"/>
      <c r="H11" s="1"/>
    </row>
    <row r="12" spans="1:8" ht="42" customHeight="1">
      <c r="A12" s="1"/>
      <c r="B12" s="27" t="s">
        <v>221</v>
      </c>
      <c r="C12" s="28" t="s">
        <v>222</v>
      </c>
      <c r="D12" s="1"/>
      <c r="E12" s="1"/>
      <c r="F12" s="1"/>
      <c r="G12" s="1"/>
      <c r="H12" s="1"/>
    </row>
    <row r="13" spans="1:8" ht="42" customHeight="1">
      <c r="A13" s="1"/>
      <c r="B13" s="29" t="s">
        <v>223</v>
      </c>
      <c r="C13" s="30" t="s">
        <v>224</v>
      </c>
      <c r="D13" s="1"/>
      <c r="E13" s="1"/>
      <c r="F13" s="1"/>
      <c r="G13" s="1"/>
      <c r="H13" s="1"/>
    </row>
    <row r="14" spans="1:8" ht="42" customHeight="1">
      <c r="A14" s="1"/>
      <c r="B14" s="27" t="s">
        <v>225</v>
      </c>
      <c r="C14" s="28" t="s">
        <v>226</v>
      </c>
      <c r="D14" s="1"/>
      <c r="E14" s="1"/>
      <c r="F14" s="1"/>
      <c r="G14" s="1"/>
      <c r="H14" s="1"/>
    </row>
    <row r="15" spans="1:8" ht="42" customHeight="1">
      <c r="A15" s="1"/>
      <c r="B15" s="29" t="s">
        <v>227</v>
      </c>
      <c r="C15" s="30" t="s">
        <v>228</v>
      </c>
      <c r="D15" s="1"/>
      <c r="E15" s="1"/>
      <c r="F15" s="1"/>
      <c r="G15" s="1"/>
      <c r="H15" s="1"/>
    </row>
    <row r="16" spans="1:8" ht="42" customHeight="1">
      <c r="A16" s="1"/>
      <c r="B16" s="27" t="s">
        <v>229</v>
      </c>
      <c r="C16" s="28" t="s">
        <v>230</v>
      </c>
      <c r="D16" s="1"/>
      <c r="E16" s="1"/>
      <c r="F16" s="1"/>
      <c r="G16" s="1"/>
      <c r="H16" s="1"/>
    </row>
    <row r="17" spans="1:8" ht="42" customHeight="1">
      <c r="A17" s="1"/>
      <c r="B17" s="29" t="s">
        <v>231</v>
      </c>
      <c r="C17" s="30" t="s">
        <v>232</v>
      </c>
      <c r="D17" s="1"/>
      <c r="E17" s="1"/>
      <c r="F17" s="1"/>
      <c r="G17" s="1"/>
      <c r="H17" s="1"/>
    </row>
    <row r="18" spans="1:8" ht="42" customHeight="1">
      <c r="A18" s="1"/>
      <c r="B18" s="27" t="s">
        <v>233</v>
      </c>
      <c r="C18" s="28" t="s">
        <v>234</v>
      </c>
      <c r="D18" s="1"/>
      <c r="E18" s="1"/>
      <c r="F18" s="1"/>
      <c r="G18" s="1"/>
      <c r="H18" s="1"/>
    </row>
    <row r="19" spans="1:8" ht="42" customHeight="1">
      <c r="A19" s="1"/>
      <c r="B19" s="29" t="s">
        <v>235</v>
      </c>
      <c r="C19" s="30" t="s">
        <v>236</v>
      </c>
      <c r="D19" s="1"/>
      <c r="E19" s="1"/>
      <c r="F19" s="1"/>
      <c r="G19" s="1"/>
      <c r="H19" s="1"/>
    </row>
    <row r="20" spans="1:8" ht="42" customHeight="1">
      <c r="A20" s="1"/>
      <c r="B20" s="27" t="s">
        <v>10</v>
      </c>
      <c r="C20" s="28" t="s">
        <v>237</v>
      </c>
      <c r="D20" s="1"/>
      <c r="E20" s="1"/>
      <c r="F20" s="1"/>
      <c r="G20" s="1"/>
      <c r="H20" s="1"/>
    </row>
    <row r="21" spans="1:8" ht="42" customHeight="1">
      <c r="A21" s="1"/>
      <c r="B21" s="29" t="s">
        <v>238</v>
      </c>
      <c r="C21" s="30" t="s">
        <v>239</v>
      </c>
      <c r="D21" s="1"/>
      <c r="E21" s="1"/>
      <c r="F21" s="1"/>
      <c r="G21" s="1"/>
      <c r="H21" s="1"/>
    </row>
    <row r="22" spans="1:8" ht="42" customHeight="1">
      <c r="A22" s="1"/>
      <c r="B22" s="27" t="s">
        <v>240</v>
      </c>
      <c r="C22" s="28" t="s">
        <v>241</v>
      </c>
      <c r="D22" s="1"/>
      <c r="E22" s="1"/>
      <c r="F22" s="1"/>
      <c r="G22" s="1"/>
      <c r="H22" s="1"/>
    </row>
    <row r="23" spans="1:8" ht="42" customHeight="1">
      <c r="A23" s="1"/>
      <c r="B23" s="29" t="s">
        <v>242</v>
      </c>
      <c r="C23" s="30" t="s">
        <v>243</v>
      </c>
      <c r="D23" s="1"/>
      <c r="E23" s="1"/>
      <c r="F23" s="1"/>
      <c r="G23" s="1"/>
      <c r="H23" s="1"/>
    </row>
    <row r="24" spans="1:8" ht="42" customHeight="1">
      <c r="A24" s="1"/>
      <c r="B24" s="27" t="s">
        <v>244</v>
      </c>
      <c r="C24" s="28" t="s">
        <v>245</v>
      </c>
      <c r="D24" s="1"/>
      <c r="E24" s="1"/>
      <c r="F24" s="1"/>
      <c r="G24" s="1"/>
      <c r="H24" s="1"/>
    </row>
    <row r="25" spans="1:8" ht="42" customHeight="1">
      <c r="A25" s="1"/>
      <c r="B25" s="29" t="s">
        <v>246</v>
      </c>
      <c r="C25" s="30" t="s">
        <v>247</v>
      </c>
      <c r="D25" s="1"/>
      <c r="E25" s="1"/>
      <c r="F25" s="1"/>
      <c r="G25" s="1"/>
      <c r="H25" s="1"/>
    </row>
    <row r="26" spans="1:8" ht="42" customHeight="1">
      <c r="A26" s="1"/>
      <c r="B26" s="27" t="s">
        <v>248</v>
      </c>
      <c r="C26" s="28" t="s">
        <v>249</v>
      </c>
      <c r="D26" s="1"/>
      <c r="E26" s="1"/>
      <c r="F26" s="1"/>
      <c r="G26" s="1"/>
      <c r="H26" s="1"/>
    </row>
    <row r="27" spans="1:8" ht="42" customHeight="1">
      <c r="A27" s="1"/>
      <c r="B27" s="29" t="s">
        <v>250</v>
      </c>
      <c r="C27" s="30" t="s">
        <v>251</v>
      </c>
      <c r="D27" s="1"/>
      <c r="E27" s="1"/>
      <c r="F27" s="1"/>
      <c r="G27" s="1"/>
      <c r="H27" s="1"/>
    </row>
    <row r="28" spans="1:8" ht="42" customHeight="1">
      <c r="A28" s="1"/>
      <c r="B28" s="27" t="s">
        <v>252</v>
      </c>
      <c r="C28" s="28" t="s">
        <v>253</v>
      </c>
      <c r="D28" s="1"/>
      <c r="E28" s="1"/>
      <c r="F28" s="1"/>
      <c r="G28" s="1"/>
      <c r="H28" s="1"/>
    </row>
    <row r="29" spans="1:8" ht="42" customHeight="1">
      <c r="A29" s="1"/>
      <c r="B29" s="29" t="s">
        <v>254</v>
      </c>
      <c r="C29" s="30" t="s">
        <v>255</v>
      </c>
      <c r="D29" s="1"/>
      <c r="E29" s="1"/>
      <c r="F29" s="1"/>
      <c r="G29" s="1"/>
      <c r="H29" s="1"/>
    </row>
    <row r="30" spans="1:8" ht="42" customHeight="1">
      <c r="A30" s="1"/>
      <c r="B30" s="27" t="s">
        <v>256</v>
      </c>
      <c r="C30" s="28" t="s">
        <v>257</v>
      </c>
      <c r="D30" s="1"/>
      <c r="E30" s="1"/>
      <c r="F30" s="1"/>
      <c r="G30" s="1"/>
      <c r="H30" s="1"/>
    </row>
    <row r="31" spans="1:8" ht="42" customHeight="1">
      <c r="A31" s="1"/>
      <c r="B31" s="29" t="s">
        <v>258</v>
      </c>
      <c r="C31" s="30" t="s">
        <v>259</v>
      </c>
      <c r="D31" s="1"/>
      <c r="E31" s="1"/>
      <c r="F31" s="1"/>
      <c r="G31" s="1"/>
      <c r="H31" s="1"/>
    </row>
    <row r="32" spans="1:8" ht="42" customHeight="1">
      <c r="A32" s="1"/>
      <c r="B32" s="27" t="s">
        <v>260</v>
      </c>
      <c r="C32" s="28" t="s">
        <v>261</v>
      </c>
      <c r="D32" s="1"/>
      <c r="E32" s="1"/>
      <c r="F32" s="1"/>
      <c r="G32" s="1"/>
      <c r="H32" s="1"/>
    </row>
    <row r="33" spans="1:8" ht="42" customHeight="1">
      <c r="A33" s="1"/>
      <c r="B33" s="29" t="s">
        <v>262</v>
      </c>
      <c r="C33" s="30" t="s">
        <v>263</v>
      </c>
      <c r="D33" s="1"/>
      <c r="E33" s="1"/>
      <c r="F33" s="1"/>
      <c r="G33" s="1"/>
      <c r="H33" s="1"/>
    </row>
    <row r="34" spans="1:8" ht="42" customHeight="1">
      <c r="A34" s="1"/>
      <c r="B34" s="27" t="s">
        <v>264</v>
      </c>
      <c r="C34" s="28" t="s">
        <v>265</v>
      </c>
      <c r="D34" s="1"/>
      <c r="E34" s="1"/>
      <c r="F34" s="1"/>
      <c r="G34" s="1"/>
      <c r="H34" s="1"/>
    </row>
    <row r="35" spans="1:8" ht="42" customHeight="1">
      <c r="A35" s="1"/>
      <c r="B35" s="29" t="s">
        <v>266</v>
      </c>
      <c r="C35" s="30" t="s">
        <v>267</v>
      </c>
      <c r="D35" s="1"/>
      <c r="E35" s="1"/>
      <c r="F35" s="1"/>
      <c r="G35" s="1"/>
      <c r="H35" s="1"/>
    </row>
    <row r="36" spans="1:8" ht="42" customHeight="1">
      <c r="A36" s="1"/>
      <c r="B36" s="27" t="s">
        <v>268</v>
      </c>
      <c r="C36" s="28" t="s">
        <v>269</v>
      </c>
      <c r="D36" s="1"/>
      <c r="E36" s="1"/>
      <c r="F36" s="1"/>
      <c r="G36" s="1"/>
      <c r="H36" s="1"/>
    </row>
    <row r="37" spans="1:8" ht="42" customHeight="1">
      <c r="A37" s="1"/>
      <c r="B37" s="29" t="s">
        <v>270</v>
      </c>
      <c r="C37" s="30" t="s">
        <v>271</v>
      </c>
      <c r="D37" s="1"/>
      <c r="E37" s="1"/>
      <c r="F37" s="1"/>
      <c r="G37" s="1"/>
      <c r="H37" s="1"/>
    </row>
    <row r="38" spans="1:8" ht="42" customHeight="1">
      <c r="A38" s="1"/>
      <c r="B38" s="27" t="s">
        <v>272</v>
      </c>
      <c r="C38" s="28" t="s">
        <v>273</v>
      </c>
      <c r="D38" s="1"/>
      <c r="E38" s="1"/>
      <c r="F38" s="1"/>
      <c r="G38" s="1"/>
      <c r="H38" s="1"/>
    </row>
    <row r="39" spans="1:8" ht="42" customHeight="1">
      <c r="A39" s="1"/>
      <c r="B39" s="29" t="s">
        <v>274</v>
      </c>
      <c r="C39" s="30" t="s">
        <v>275</v>
      </c>
      <c r="D39" s="1"/>
      <c r="E39" s="1"/>
      <c r="F39" s="1"/>
      <c r="G39" s="1"/>
      <c r="H39" s="1"/>
    </row>
    <row r="40" spans="1:8" ht="22" customHeight="1">
      <c r="A40" s="1"/>
      <c r="B40" s="1"/>
      <c r="C40" s="1"/>
      <c r="D40" s="1"/>
      <c r="E40" s="1"/>
      <c r="F40" s="1"/>
      <c r="G40" s="1"/>
      <c r="H40" s="1"/>
    </row>
    <row r="41" spans="1:8" ht="22" customHeight="1">
      <c r="A41" s="1"/>
      <c r="B41" s="1"/>
      <c r="C41" s="1"/>
      <c r="D41" s="1"/>
      <c r="E41" s="1"/>
      <c r="F41" s="1"/>
      <c r="G41" s="1"/>
      <c r="H41" s="1"/>
    </row>
    <row r="42" spans="1:8" ht="22" customHeight="1">
      <c r="A42" s="1"/>
      <c r="B42" s="1"/>
      <c r="C42" s="1"/>
      <c r="D42" s="1"/>
      <c r="E42" s="1"/>
      <c r="F42" s="1"/>
      <c r="G42" s="1"/>
      <c r="H42" s="1"/>
    </row>
    <row r="43" spans="1:8" ht="22" customHeight="1">
      <c r="A43" s="1"/>
      <c r="B43" s="1"/>
      <c r="C43" s="1"/>
      <c r="D43" s="1"/>
      <c r="E43" s="1"/>
      <c r="F43" s="1"/>
      <c r="G43" s="1"/>
      <c r="H43" s="1"/>
    </row>
    <row r="44" spans="1:8" ht="22" customHeight="1">
      <c r="A44" s="1"/>
      <c r="B44" s="1"/>
      <c r="C44" s="1"/>
      <c r="D44" s="1"/>
      <c r="E44" s="1"/>
      <c r="F44" s="1"/>
      <c r="G44" s="1"/>
      <c r="H44" s="1"/>
    </row>
    <row r="45" spans="1:8" ht="22" customHeight="1">
      <c r="A45" s="1"/>
      <c r="B45" s="1"/>
      <c r="C45" s="1"/>
      <c r="D45" s="1"/>
      <c r="E45" s="1"/>
      <c r="F45" s="1"/>
      <c r="G45" s="1"/>
      <c r="H45" s="1"/>
    </row>
    <row r="46" spans="1:8" ht="22" customHeight="1">
      <c r="A46" s="1"/>
      <c r="B46" s="1"/>
      <c r="C46" s="1"/>
      <c r="D46" s="1"/>
      <c r="E46" s="1"/>
      <c r="F46" s="1"/>
      <c r="G46" s="1"/>
      <c r="H46" s="1"/>
    </row>
    <row r="47" spans="1:8" ht="22" customHeight="1">
      <c r="A47" s="1"/>
      <c r="B47" s="1"/>
      <c r="C47" s="1"/>
      <c r="D47" s="1"/>
      <c r="E47" s="1"/>
      <c r="F47" s="1"/>
      <c r="G47" s="1"/>
      <c r="H47" s="1"/>
    </row>
    <row r="48" spans="1:8" ht="22" customHeight="1">
      <c r="A48" s="1"/>
      <c r="B48" s="1"/>
      <c r="C48" s="1"/>
      <c r="D48" s="1"/>
      <c r="E48" s="1"/>
      <c r="F48" s="1"/>
      <c r="G48" s="1"/>
      <c r="H48" s="1"/>
    </row>
    <row r="49" spans="1:8" ht="22" customHeight="1">
      <c r="A49" s="1"/>
      <c r="B49" s="1"/>
      <c r="C49" s="1"/>
      <c r="D49" s="1"/>
      <c r="E49" s="1"/>
      <c r="F49" s="1"/>
      <c r="G49" s="1"/>
      <c r="H49" s="1"/>
    </row>
    <row r="50" spans="1:8" ht="22" customHeight="1">
      <c r="A50" s="1"/>
      <c r="B50" s="1"/>
      <c r="C50" s="1"/>
      <c r="D50" s="1"/>
      <c r="E50" s="1"/>
      <c r="F50" s="1"/>
      <c r="G50" s="1"/>
      <c r="H50" s="1"/>
    </row>
    <row r="51" spans="1:8" ht="22" customHeight="1">
      <c r="A51" s="1"/>
      <c r="B51" s="1"/>
      <c r="C51" s="1"/>
      <c r="D51" s="1"/>
      <c r="E51" s="1"/>
      <c r="F51" s="1"/>
      <c r="G51" s="1"/>
      <c r="H51" s="1"/>
    </row>
    <row r="52" spans="1:8" ht="22" customHeight="1">
      <c r="A52" s="1"/>
      <c r="B52" s="1"/>
      <c r="C52" s="1"/>
      <c r="D52" s="1"/>
      <c r="E52" s="1"/>
      <c r="F52" s="1"/>
      <c r="G52" s="1"/>
      <c r="H52" s="1"/>
    </row>
    <row r="53" spans="1:8" ht="22" customHeight="1">
      <c r="A53" s="1"/>
      <c r="B53" s="1"/>
      <c r="C53" s="1"/>
      <c r="D53" s="1"/>
      <c r="E53" s="1"/>
      <c r="F53" s="1"/>
      <c r="G53" s="1"/>
      <c r="H5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Dashboard</vt:lpstr>
      <vt:lpstr>Configuración</vt:lpstr>
      <vt:lpstr>Estado de Resultados</vt:lpstr>
      <vt:lpstr>Balance General</vt:lpstr>
      <vt:lpstr>Flujo de Efectivo</vt:lpstr>
      <vt:lpstr>KPIs</vt:lpstr>
      <vt:lpstr>Ingresos</vt:lpstr>
      <vt:lpstr>Gastos</vt:lpstr>
      <vt:lpstr>Activos</vt:lpstr>
      <vt:lpstr>Pasivos</vt:lpstr>
      <vt:lpstr>Control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Rafael Ismael Rodríguez Escalante</cp:lastModifiedBy>
  <dcterms:modified xsi:type="dcterms:W3CDTF">2026-09-21T16:22:10Z</dcterms:modified>
</cp:coreProperties>
</file>